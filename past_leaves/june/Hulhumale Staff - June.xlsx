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june\"/>
    </mc:Choice>
  </mc:AlternateContent>
  <xr:revisionPtr revIDLastSave="0" documentId="13_ncr:1_{CF79C092-A65F-4320-98FA-3B424F546323}" xr6:coauthVersionLast="47" xr6:coauthVersionMax="47" xr10:uidLastSave="{00000000-0000-0000-0000-000000000000}"/>
  <bookViews>
    <workbookView xWindow="-120" yWindow="-120" windowWidth="29040" windowHeight="15840" activeTab="1" xr2:uid="{F40E51D0-06DA-454F-A274-231ADDE8369D}"/>
  </bookViews>
  <sheets>
    <sheet name="MASTER" sheetId="1" r:id="rId1"/>
    <sheet name="Rameez" sheetId="5" r:id="rId2"/>
  </sheets>
  <externalReferences>
    <externalReference r:id="rId3"/>
  </externalReferences>
  <definedNames>
    <definedName name="_xlnm._FilterDatabase" localSheetId="0" hidden="1">MASTER!$CF$4:$CP$4</definedName>
    <definedName name="_xlnm._FilterDatabase" localSheetId="1" hidden="1">Rameez!$CF$4:$CP$4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U60" i="1" s="1"/>
  <c r="BQ60" i="1"/>
  <c r="BR60" i="1"/>
  <c r="BS60" i="1"/>
  <c r="BT60" i="1"/>
  <c r="BW60" i="1"/>
  <c r="BX60" i="1"/>
  <c r="BY60" i="1"/>
  <c r="BZ60" i="1"/>
  <c r="CA60" i="1"/>
  <c r="CB60" i="1"/>
  <c r="CP60" i="1"/>
  <c r="CP5" i="5"/>
  <c r="AL12" i="5"/>
  <c r="B5" i="5"/>
  <c r="AS12" i="5" s="1"/>
  <c r="BY18" i="1"/>
  <c r="BY17" i="1"/>
  <c r="BY19" i="1"/>
  <c r="BY16" i="1"/>
  <c r="BY5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R8" i="1"/>
  <c r="BR9" i="1"/>
  <c r="BR10" i="1"/>
  <c r="CO7" i="1"/>
  <c r="CB7" i="1"/>
  <c r="CA7" i="1"/>
  <c r="BZ7" i="1"/>
  <c r="BY7" i="1"/>
  <c r="BX7" i="1"/>
  <c r="BW7" i="1"/>
  <c r="BV7" i="1"/>
  <c r="BU7" i="1"/>
  <c r="BT7" i="1"/>
  <c r="BS7" i="1"/>
  <c r="BR7" i="1"/>
  <c r="BQ7" i="1"/>
  <c r="BQ16" i="1"/>
  <c r="BQ5" i="1"/>
  <c r="CP35" i="1"/>
  <c r="CP26" i="1"/>
  <c r="CP27" i="1"/>
  <c r="CP28" i="1"/>
  <c r="CP29" i="1"/>
  <c r="CP30" i="1"/>
  <c r="CP31" i="1"/>
  <c r="CP32" i="1"/>
  <c r="CP33" i="1"/>
  <c r="CP34" i="1"/>
  <c r="BQ6" i="1"/>
  <c r="BQ8" i="1"/>
  <c r="BQ9" i="1"/>
  <c r="BQ10" i="1"/>
  <c r="CP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V60" i="1" l="1"/>
  <c r="BO60" i="1"/>
  <c r="BO7" i="1"/>
  <c r="AT12" i="5"/>
  <c r="AP12" i="5"/>
  <c r="AM12" i="5"/>
  <c r="AQ12" i="5"/>
  <c r="AU12" i="5"/>
  <c r="AN12" i="5"/>
  <c r="AR12" i="5"/>
  <c r="AV12" i="5"/>
  <c r="AO12" i="5"/>
  <c r="BO59" i="1"/>
  <c r="BR35" i="1" l="1"/>
  <c r="BS35" i="1"/>
  <c r="BT35" i="1"/>
  <c r="BU35" i="1"/>
  <c r="BV35" i="1"/>
  <c r="BW35" i="1"/>
  <c r="BX35" i="1"/>
  <c r="BY35" i="1"/>
  <c r="BZ35" i="1"/>
  <c r="CA35" i="1"/>
  <c r="CB35" i="1"/>
  <c r="BZ24" i="1"/>
  <c r="CA24" i="1"/>
  <c r="CB24" i="1"/>
  <c r="BR24" i="1"/>
  <c r="BS24" i="1"/>
  <c r="BT24" i="1"/>
  <c r="BU24" i="1"/>
  <c r="BV24" i="1"/>
  <c r="BW24" i="1"/>
  <c r="BX24" i="1"/>
  <c r="BY24" i="1"/>
  <c r="BR34" i="1"/>
  <c r="BS34" i="1"/>
  <c r="BT34" i="1"/>
  <c r="BU34" i="1"/>
  <c r="BV34" i="1"/>
  <c r="BW34" i="1"/>
  <c r="BX34" i="1"/>
  <c r="BY34" i="1"/>
  <c r="BZ34" i="1"/>
  <c r="CA34" i="1"/>
  <c r="CB34" i="1"/>
  <c r="BQ58" i="1"/>
  <c r="BO34" i="1" l="1"/>
  <c r="BO24" i="1"/>
  <c r="BO35" i="1"/>
  <c r="BR6" i="1"/>
  <c r="BS6" i="1"/>
  <c r="BT6" i="1"/>
  <c r="BU6" i="1"/>
  <c r="BV6" i="1"/>
  <c r="BW6" i="1"/>
  <c r="BX6" i="1"/>
  <c r="BY6" i="1"/>
  <c r="BZ6" i="1"/>
  <c r="CA6" i="1"/>
  <c r="CB6" i="1"/>
  <c r="CP58" i="1"/>
  <c r="CP9" i="1"/>
  <c r="CP24" i="1"/>
  <c r="CP56" i="1"/>
  <c r="BO6" i="1" l="1"/>
  <c r="BQ56" i="1"/>
  <c r="BQ57" i="1"/>
  <c r="CP8" i="1"/>
  <c r="BS8" i="1"/>
  <c r="BT8" i="1"/>
  <c r="BU8" i="1"/>
  <c r="BV8" i="1"/>
  <c r="BW8" i="1"/>
  <c r="BX8" i="1"/>
  <c r="BY8" i="1"/>
  <c r="BZ8" i="1"/>
  <c r="CA8" i="1"/>
  <c r="CB8" i="1"/>
  <c r="BR33" i="1"/>
  <c r="BS33" i="1"/>
  <c r="BT33" i="1"/>
  <c r="BU33" i="1"/>
  <c r="BV33" i="1"/>
  <c r="BW33" i="1"/>
  <c r="BX33" i="1"/>
  <c r="BY33" i="1"/>
  <c r="BZ33" i="1"/>
  <c r="CA33" i="1"/>
  <c r="CB33" i="1"/>
  <c r="BO8" i="1" l="1"/>
  <c r="BO33" i="1"/>
  <c r="CP57" i="1"/>
  <c r="CP25" i="1"/>
  <c r="CP23" i="1"/>
  <c r="CP22" i="1"/>
  <c r="CP21" i="1"/>
  <c r="CP20" i="1"/>
  <c r="CP19" i="1"/>
  <c r="CP18" i="1"/>
  <c r="CP17" i="1"/>
  <c r="CP16" i="1"/>
  <c r="CP10" i="1"/>
  <c r="CP6" i="1"/>
  <c r="CP5" i="1"/>
  <c r="BR17" i="1" l="1"/>
  <c r="BS17" i="1"/>
  <c r="BT17" i="1"/>
  <c r="BU17" i="1"/>
  <c r="BV17" i="1"/>
  <c r="BW17" i="1"/>
  <c r="BX17" i="1"/>
  <c r="BZ17" i="1"/>
  <c r="CA17" i="1"/>
  <c r="CB17" i="1"/>
  <c r="BR18" i="1"/>
  <c r="BS18" i="1"/>
  <c r="BT18" i="1"/>
  <c r="BU18" i="1"/>
  <c r="BV18" i="1"/>
  <c r="BW18" i="1"/>
  <c r="BX18" i="1"/>
  <c r="BZ18" i="1"/>
  <c r="CA18" i="1"/>
  <c r="CB18" i="1"/>
  <c r="BR19" i="1"/>
  <c r="BS19" i="1"/>
  <c r="BT19" i="1"/>
  <c r="BU19" i="1"/>
  <c r="BV19" i="1"/>
  <c r="BW19" i="1"/>
  <c r="BX19" i="1"/>
  <c r="BZ19" i="1"/>
  <c r="CA19" i="1"/>
  <c r="CB19" i="1"/>
  <c r="BR20" i="1"/>
  <c r="BS20" i="1"/>
  <c r="BT20" i="1"/>
  <c r="BU20" i="1"/>
  <c r="BV20" i="1"/>
  <c r="BW20" i="1"/>
  <c r="BX20" i="1"/>
  <c r="BY20" i="1"/>
  <c r="BZ20" i="1"/>
  <c r="CA20" i="1"/>
  <c r="CB20" i="1"/>
  <c r="BR21" i="1"/>
  <c r="BS21" i="1"/>
  <c r="BT21" i="1"/>
  <c r="BU21" i="1"/>
  <c r="BV21" i="1"/>
  <c r="BW21" i="1"/>
  <c r="BX21" i="1"/>
  <c r="BY21" i="1"/>
  <c r="BZ21" i="1"/>
  <c r="CA21" i="1"/>
  <c r="CB21" i="1"/>
  <c r="BR22" i="1"/>
  <c r="BS22" i="1"/>
  <c r="BT22" i="1"/>
  <c r="BU22" i="1"/>
  <c r="BV22" i="1"/>
  <c r="BW22" i="1"/>
  <c r="BX22" i="1"/>
  <c r="BY22" i="1"/>
  <c r="BZ22" i="1"/>
  <c r="CA22" i="1"/>
  <c r="CB22" i="1"/>
  <c r="BR23" i="1"/>
  <c r="BS23" i="1"/>
  <c r="BT23" i="1"/>
  <c r="BU23" i="1"/>
  <c r="BV23" i="1"/>
  <c r="BW23" i="1"/>
  <c r="BX23" i="1"/>
  <c r="BY23" i="1"/>
  <c r="BZ23" i="1"/>
  <c r="CA23" i="1"/>
  <c r="CB23" i="1"/>
  <c r="BR56" i="1"/>
  <c r="BS56" i="1"/>
  <c r="BT56" i="1"/>
  <c r="BU56" i="1"/>
  <c r="BV56" i="1"/>
  <c r="BW56" i="1"/>
  <c r="BX56" i="1"/>
  <c r="BY56" i="1"/>
  <c r="BZ56" i="1"/>
  <c r="CA56" i="1"/>
  <c r="CB56" i="1"/>
  <c r="BR25" i="1"/>
  <c r="BS25" i="1"/>
  <c r="BT25" i="1"/>
  <c r="BU25" i="1"/>
  <c r="BV25" i="1"/>
  <c r="BW25" i="1"/>
  <c r="BX25" i="1"/>
  <c r="BY25" i="1"/>
  <c r="BZ25" i="1"/>
  <c r="CA25" i="1"/>
  <c r="CB25" i="1"/>
  <c r="BR26" i="1"/>
  <c r="BS26" i="1"/>
  <c r="BT26" i="1"/>
  <c r="BU26" i="1"/>
  <c r="BV26" i="1"/>
  <c r="BW26" i="1"/>
  <c r="BX26" i="1"/>
  <c r="BY26" i="1"/>
  <c r="BZ26" i="1"/>
  <c r="CA26" i="1"/>
  <c r="CB26" i="1"/>
  <c r="BR57" i="1"/>
  <c r="BS57" i="1"/>
  <c r="BT57" i="1"/>
  <c r="BU57" i="1"/>
  <c r="BV57" i="1"/>
  <c r="BW57" i="1"/>
  <c r="BX57" i="1"/>
  <c r="BY57" i="1"/>
  <c r="BZ57" i="1"/>
  <c r="CA57" i="1"/>
  <c r="CB57" i="1"/>
  <c r="BR27" i="1"/>
  <c r="BS27" i="1"/>
  <c r="BT27" i="1"/>
  <c r="BU27" i="1"/>
  <c r="BV27" i="1"/>
  <c r="BW27" i="1"/>
  <c r="BX27" i="1"/>
  <c r="BY27" i="1"/>
  <c r="BZ27" i="1"/>
  <c r="CA27" i="1"/>
  <c r="CB27" i="1"/>
  <c r="BR28" i="1"/>
  <c r="BS28" i="1"/>
  <c r="BT28" i="1"/>
  <c r="BU28" i="1"/>
  <c r="BV28" i="1"/>
  <c r="BW28" i="1"/>
  <c r="BX28" i="1"/>
  <c r="BY28" i="1"/>
  <c r="BZ28" i="1"/>
  <c r="CA28" i="1"/>
  <c r="CB28" i="1"/>
  <c r="BR29" i="1"/>
  <c r="BS29" i="1"/>
  <c r="BT29" i="1"/>
  <c r="BU29" i="1"/>
  <c r="BV29" i="1"/>
  <c r="BW29" i="1"/>
  <c r="BX29" i="1"/>
  <c r="BY29" i="1"/>
  <c r="BZ29" i="1"/>
  <c r="CA29" i="1"/>
  <c r="CB29" i="1"/>
  <c r="BR30" i="1"/>
  <c r="BS30" i="1"/>
  <c r="BT30" i="1"/>
  <c r="BU30" i="1"/>
  <c r="BV30" i="1"/>
  <c r="BW30" i="1"/>
  <c r="BX30" i="1"/>
  <c r="BY30" i="1"/>
  <c r="BZ30" i="1"/>
  <c r="CA30" i="1"/>
  <c r="CB30" i="1"/>
  <c r="BR31" i="1"/>
  <c r="BS31" i="1"/>
  <c r="BT31" i="1"/>
  <c r="BU31" i="1"/>
  <c r="BV31" i="1"/>
  <c r="BW31" i="1"/>
  <c r="BX31" i="1"/>
  <c r="BY31" i="1"/>
  <c r="BZ31" i="1"/>
  <c r="CA31" i="1"/>
  <c r="CB31" i="1"/>
  <c r="BR32" i="1"/>
  <c r="BS32" i="1"/>
  <c r="BT32" i="1"/>
  <c r="BU32" i="1"/>
  <c r="BV32" i="1"/>
  <c r="BW32" i="1"/>
  <c r="BX32" i="1"/>
  <c r="BY32" i="1"/>
  <c r="BZ32" i="1"/>
  <c r="CA32" i="1"/>
  <c r="CB32" i="1"/>
  <c r="CB16" i="1"/>
  <c r="CA16" i="1"/>
  <c r="BZ16" i="1"/>
  <c r="BX16" i="1"/>
  <c r="BW16" i="1"/>
  <c r="BV16" i="1"/>
  <c r="BU16" i="1"/>
  <c r="BT16" i="1"/>
  <c r="BS16" i="1"/>
  <c r="BR16" i="1"/>
  <c r="BO31" i="1" l="1"/>
  <c r="BO20" i="1"/>
  <c r="BO21" i="1"/>
  <c r="BO22" i="1"/>
  <c r="BO32" i="1"/>
  <c r="BO23" i="1"/>
  <c r="BO25" i="1"/>
  <c r="BO26" i="1"/>
  <c r="BO17" i="1"/>
  <c r="BO27" i="1"/>
  <c r="BO18" i="1"/>
  <c r="BO28" i="1"/>
  <c r="BO29" i="1"/>
  <c r="BO19" i="1"/>
  <c r="BO30" i="1"/>
  <c r="BO16" i="1"/>
  <c r="BO57" i="1" l="1"/>
  <c r="BO56" i="1"/>
  <c r="B10" i="1" l="1"/>
  <c r="B9" i="1"/>
  <c r="B58" i="1"/>
  <c r="BU58" i="1" l="1"/>
  <c r="BY58" i="1"/>
  <c r="BR58" i="1"/>
  <c r="BV58" i="1"/>
  <c r="BZ58" i="1"/>
  <c r="BS58" i="1"/>
  <c r="BW58" i="1"/>
  <c r="CA58" i="1"/>
  <c r="BT58" i="1"/>
  <c r="BX58" i="1"/>
  <c r="CB58" i="1"/>
  <c r="BT9" i="1"/>
  <c r="BX9" i="1"/>
  <c r="CB9" i="1"/>
  <c r="BU9" i="1"/>
  <c r="BY9" i="1"/>
  <c r="BZ9" i="1"/>
  <c r="BS9" i="1"/>
  <c r="BW9" i="1"/>
  <c r="CA9" i="1"/>
  <c r="BV9" i="1"/>
  <c r="BT5" i="1"/>
  <c r="BX5" i="1"/>
  <c r="CB5" i="1"/>
  <c r="BU5" i="1"/>
  <c r="BV5" i="1"/>
  <c r="BR5" i="1"/>
  <c r="BS5" i="1"/>
  <c r="BW5" i="1"/>
  <c r="CA5" i="1"/>
  <c r="BZ5" i="1"/>
  <c r="BT10" i="1"/>
  <c r="BX10" i="1"/>
  <c r="CB10" i="1"/>
  <c r="BU10" i="1"/>
  <c r="BY10" i="1"/>
  <c r="BV10" i="1"/>
  <c r="BS10" i="1"/>
  <c r="BW10" i="1"/>
  <c r="CA10" i="1"/>
  <c r="BZ10" i="1"/>
  <c r="BO10" i="1" l="1"/>
  <c r="BO9" i="1"/>
  <c r="BO5" i="1"/>
  <c r="BO58" i="1"/>
</calcChain>
</file>

<file path=xl/sharedStrings.xml><?xml version="1.0" encoding="utf-8"?>
<sst xmlns="http://schemas.openxmlformats.org/spreadsheetml/2006/main" count="644" uniqueCount="120">
  <si>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</si>
  <si>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</si>
  <si>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</si>
  <si>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</si>
  <si>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</si>
  <si>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</si>
  <si>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</si>
  <si>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</si>
  <si>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</si>
  <si>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</si>
  <si>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</si>
  <si>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</si>
  <si>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</si>
  <si>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</si>
  <si>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</si>
  <si>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</si>
  <si>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</si>
  <si>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</si>
  <si>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</si>
  <si>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</si>
  <si>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</si>
  <si>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</si>
  <si>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</si>
  <si>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</si>
  <si>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</si>
  <si>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</si>
  <si>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</si>
  <si>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Al Amin</t>
  </si>
  <si>
    <t>Akter Hossain</t>
  </si>
  <si>
    <t>MD Rasel</t>
  </si>
  <si>
    <t>Mohamed Rameez Kariapper</t>
  </si>
  <si>
    <t>Rathnasiri Perera Egodage</t>
  </si>
  <si>
    <t>James Chinnappan</t>
  </si>
  <si>
    <t>FOREIGN JUNIOR STAFFS</t>
  </si>
  <si>
    <t>MAD0246</t>
  </si>
  <si>
    <t>Sharif Uddin</t>
  </si>
  <si>
    <t>MAD0454</t>
  </si>
  <si>
    <t>Mohamed Hidayathulla Abdeen</t>
  </si>
  <si>
    <t>MAD0556</t>
  </si>
  <si>
    <t>MAD0598</t>
  </si>
  <si>
    <t>MD Jihad Hossain</t>
  </si>
  <si>
    <t>MAD0600</t>
  </si>
  <si>
    <t>Kabir Hossain</t>
  </si>
  <si>
    <t>MAD0605</t>
  </si>
  <si>
    <t>MD Zahir Mia</t>
  </si>
  <si>
    <t>MAD0607</t>
  </si>
  <si>
    <t>MAD0627</t>
  </si>
  <si>
    <t>Manirul Laskar</t>
  </si>
  <si>
    <t>MAD0637</t>
  </si>
  <si>
    <t>Alisan</t>
  </si>
  <si>
    <t>MAD0654</t>
  </si>
  <si>
    <t>MAD0658</t>
  </si>
  <si>
    <t>Javed Alam</t>
  </si>
  <si>
    <t>MAD0671</t>
  </si>
  <si>
    <t>Najare Alam Ansari</t>
  </si>
  <si>
    <t>MAD0685</t>
  </si>
  <si>
    <t>MAD0207</t>
  </si>
  <si>
    <t>Abdul Hafiz</t>
  </si>
  <si>
    <t>MAD0691</t>
  </si>
  <si>
    <t>Sahadat Hossen</t>
  </si>
  <si>
    <t>MAD0692</t>
  </si>
  <si>
    <t>MD Aman Miea</t>
  </si>
  <si>
    <t>MAD0712</t>
  </si>
  <si>
    <t>MD Rumon Ali</t>
  </si>
  <si>
    <t>MAD0722</t>
  </si>
  <si>
    <t>Saddam Hossen</t>
  </si>
  <si>
    <t>Prepared By:</t>
  </si>
  <si>
    <t>Checked By: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</si>
  <si>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</si>
  <si>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</si>
  <si>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</si>
  <si>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</si>
  <si>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</si>
  <si>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</si>
  <si>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</si>
  <si>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</si>
  <si>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</si>
  <si>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</si>
  <si>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</si>
  <si>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</si>
  <si>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</si>
  <si>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</si>
  <si>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</si>
  <si>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</si>
  <si>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</si>
  <si>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</si>
  <si>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 xml:space="preserve"> </t>
  </si>
  <si>
    <t>Pls don’t Remove below data</t>
  </si>
  <si>
    <t>Total</t>
  </si>
  <si>
    <t>MD Imran Ali</t>
  </si>
  <si>
    <t>MDA0196</t>
  </si>
  <si>
    <t>MAD0745</t>
  </si>
  <si>
    <t>MAD0744</t>
  </si>
  <si>
    <t>Alamgir Hosain</t>
  </si>
  <si>
    <t>Saddam Hossian</t>
  </si>
  <si>
    <t>MAD0760</t>
  </si>
  <si>
    <t>MD Tarikul Islam tarik</t>
  </si>
  <si>
    <t>MAD0761</t>
  </si>
  <si>
    <t>MD Soriful Islam</t>
  </si>
  <si>
    <t>MAD0657</t>
  </si>
  <si>
    <t>Firoj Pawariya</t>
  </si>
  <si>
    <t>MAD0244</t>
  </si>
  <si>
    <t>SICK</t>
  </si>
  <si>
    <t>MAD0766</t>
  </si>
  <si>
    <t>MD Nahid Mia</t>
  </si>
  <si>
    <t xml:space="preserve">Used Leave Totals (Running Year, up to end of this month - JUNE  2026) </t>
  </si>
  <si>
    <t>Attendance for JUNE 2026 - Hulhumale Senior Foreign  Staff</t>
  </si>
  <si>
    <t>Attendance for  JUNE 2026 - Hulhumale Junior Foreign Staff</t>
  </si>
  <si>
    <t>Grapeson Edward</t>
  </si>
  <si>
    <t>MD Mukul Ali</t>
  </si>
  <si>
    <t>Md Abdus Samad</t>
  </si>
  <si>
    <t>MAD0655</t>
  </si>
  <si>
    <t>Arulmani Kumaresan</t>
  </si>
  <si>
    <t xml:space="preserve">  Salary and Allowance Settlement for June/July 2026  - MALE JUNIOR FOREIGN STAFFS</t>
  </si>
  <si>
    <t xml:space="preserve">                                                                                                                                                                                                  Salary and Allowance Settlement for June/July 2026  - MALE JUNIOR FOREIGN STAFFS</t>
  </si>
  <si>
    <t xml:space="preserve">Note:    </t>
  </si>
  <si>
    <t>OT</t>
  </si>
  <si>
    <t>Please  pay food allowance for 16 days( 1st - 3rd) July 2026</t>
  </si>
  <si>
    <t>Overtime: Fixed OT</t>
  </si>
  <si>
    <t xml:space="preserve">  Muneswari Sandrapalli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</si>
</sst>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Segoe UI"/>
      <family val="2"/>
      <charset val="1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2"/>
      <color theme="1"/>
      <name val="Arial Black"/>
      <family val="2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Segoe UI"/>
      <family val="2"/>
    </font>
    <font>
      <sz val="8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color rgb="FF1E293B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b/>
      <sz val="9.9"/>
      <color rgb="FFC62828"/>
      <name val="Arial"/>
      <family val="2"/>
    </font>
    <font>
      <sz val="12"/>
      <color theme="1"/>
      <name val="Segoe UI"/>
      <family val="2"/>
    </font>
    <font>
      <sz val="12"/>
      <name val="Calibri"/>
      <family val="2"/>
      <scheme val="minor"/>
    </font>
    <font>
      <sz val="9"/>
      <name val="Segoe U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charset val="1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EB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0" fontId="11" fillId="0" borderId="0"/>
  </cellStyleXfs>
  <cellXfs count="133">
    <xf numFmtId="0" fontId="0" fillId="0" borderId="0" xfId="0"/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0" borderId="0" xfId="0" applyFont="1"/>
    <xf numFmtId="164" fontId="18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24" fillId="0" borderId="0" xfId="0" applyFont="1"/>
    <xf numFmtId="0" fontId="25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11" borderId="0" xfId="0" applyFont="1" applyFill="1" applyAlignment="1">
      <alignment vertical="center"/>
    </xf>
    <xf numFmtId="0" fontId="25" fillId="11" borderId="0" xfId="0" applyFont="1" applyFill="1" applyAlignment="1">
      <alignment horizontal="left" vertical="center"/>
    </xf>
    <xf numFmtId="0" fontId="21" fillId="11" borderId="0" xfId="0" applyFont="1" applyFill="1"/>
    <xf numFmtId="0" fontId="26" fillId="0" borderId="0" xfId="0" applyFont="1" applyAlignment="1">
      <alignment vertical="center"/>
    </xf>
    <xf numFmtId="49" fontId="25" fillId="11" borderId="0" xfId="0" applyNumberFormat="1" applyFont="1" applyFill="1" applyAlignment="1">
      <alignment vertical="center"/>
    </xf>
    <xf numFmtId="49" fontId="25" fillId="11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0" fillId="0" borderId="3" xfId="1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1" fontId="8" fillId="8" borderId="4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20" fontId="29" fillId="4" borderId="2" xfId="0" applyNumberFormat="1" applyFont="1" applyFill="1" applyBorder="1" applyAlignment="1">
      <alignment horizontal="center" vertical="center" wrapText="1"/>
    </xf>
    <xf numFmtId="20" fontId="30" fillId="12" borderId="2" xfId="0" applyNumberFormat="1" applyFont="1" applyFill="1" applyBorder="1" applyAlignment="1">
      <alignment horizontal="center" vertical="center" wrapText="1"/>
    </xf>
    <xf numFmtId="0" fontId="31" fillId="4" borderId="9" xfId="0" applyFont="1" applyFill="1" applyBorder="1" applyAlignment="1">
      <alignment horizontal="center" vertical="center" wrapText="1"/>
    </xf>
    <xf numFmtId="0" fontId="31" fillId="4" borderId="10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top" wrapText="1"/>
    </xf>
    <xf numFmtId="0" fontId="1" fillId="4" borderId="0" xfId="0" applyFont="1" applyFill="1" applyAlignment="1">
      <alignment vertical="center"/>
    </xf>
    <xf numFmtId="1" fontId="8" fillId="4" borderId="0" xfId="0" applyNumberFormat="1" applyFont="1" applyFill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1" fontId="29" fillId="4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20" fontId="33" fillId="4" borderId="2" xfId="0" applyNumberFormat="1" applyFont="1" applyFill="1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 wrapText="1"/>
    </xf>
    <xf numFmtId="0" fontId="34" fillId="12" borderId="2" xfId="0" applyFont="1" applyFill="1" applyBorder="1" applyAlignment="1">
      <alignment horizontal="center" vertical="center" wrapText="1"/>
    </xf>
    <xf numFmtId="20" fontId="34" fillId="12" borderId="2" xfId="0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0" fontId="35" fillId="15" borderId="9" xfId="0" applyNumberFormat="1" applyFont="1" applyFill="1" applyBorder="1" applyAlignment="1">
      <alignment horizontal="center" vertical="center" wrapText="1"/>
    </xf>
    <xf numFmtId="20" fontId="33" fillId="4" borderId="0" xfId="0" applyNumberFormat="1" applyFont="1" applyFill="1" applyAlignment="1">
      <alignment horizontal="center" vertical="center" wrapText="1"/>
    </xf>
    <xf numFmtId="20" fontId="34" fillId="4" borderId="2" xfId="0" applyNumberFormat="1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164" fontId="37" fillId="0" borderId="0" xfId="0" applyNumberFormat="1" applyFont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20" fontId="30" fillId="4" borderId="2" xfId="0" applyNumberFormat="1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15" fontId="7" fillId="3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5" fontId="7" fillId="4" borderId="0" xfId="0" applyNumberFormat="1" applyFont="1" applyFill="1" applyAlignment="1">
      <alignment horizontal="center" vertical="center"/>
    </xf>
    <xf numFmtId="20" fontId="29" fillId="4" borderId="0" xfId="0" applyNumberFormat="1" applyFont="1" applyFill="1" applyAlignment="1">
      <alignment horizontal="center" vertical="center" wrapText="1"/>
    </xf>
    <xf numFmtId="0" fontId="10" fillId="0" borderId="2" xfId="1" applyFont="1" applyBorder="1" applyAlignment="1">
      <alignment horizontal="left" vertical="center" wrapText="1"/>
    </xf>
    <xf numFmtId="15" fontId="0" fillId="0" borderId="2" xfId="0" applyNumberFormat="1" applyBorder="1" applyAlignment="1">
      <alignment horizontal="center" vertical="center"/>
    </xf>
    <xf numFmtId="0" fontId="38" fillId="0" borderId="2" xfId="0" applyFont="1" applyBorder="1" applyAlignment="1">
      <alignment horizontal="left" vertical="center" wrapText="1"/>
    </xf>
    <xf numFmtId="15" fontId="1" fillId="3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" fontId="39" fillId="0" borderId="2" xfId="0" applyNumberFormat="1" applyFont="1" applyBorder="1" applyAlignment="1">
      <alignment horizontal="center" vertical="center"/>
    </xf>
    <xf numFmtId="0" fontId="39" fillId="4" borderId="3" xfId="0" applyFont="1" applyFill="1" applyBorder="1" applyAlignment="1">
      <alignment horizontal="left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/>
    </xf>
    <xf numFmtId="0" fontId="31" fillId="4" borderId="11" xfId="0" applyFont="1" applyFill="1" applyBorder="1" applyAlignment="1">
      <alignment horizontal="center" vertical="center" wrapText="1"/>
    </xf>
    <xf numFmtId="0" fontId="18" fillId="9" borderId="0" xfId="0" applyFont="1" applyFill="1" applyAlignment="1">
      <alignment vertical="center"/>
    </xf>
    <xf numFmtId="0" fontId="0" fillId="9" borderId="0" xfId="0" applyFill="1"/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13" fillId="2" borderId="2" xfId="0" applyFont="1" applyFill="1" applyBorder="1" applyAlignment="1">
      <alignment horizontal="center" vertical="center"/>
    </xf>
    <xf numFmtId="15" fontId="7" fillId="3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5" fontId="7" fillId="3" borderId="3" xfId="0" applyNumberFormat="1" applyFont="1" applyFill="1" applyBorder="1" applyAlignment="1">
      <alignment horizontal="center" vertical="center"/>
    </xf>
    <xf numFmtId="15" fontId="7" fillId="3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F39DB161-B07E-461D-8D78-25E91806D304}"/>
  </cellStyles>
  <dxfs count="541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R&amp;Admin\0.%20ATTENDANCE\2025\10%20October%202025\Sep%20%202025%20-_Hulhumale%20Foreig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humale Staffs_ Sep 2025"/>
      <sheetName val="Food (1-15 Sep"/>
      <sheetName val="Food (16-30 Sep)"/>
    </sheetNames>
    <sheetDataSet>
      <sheetData sheetId="0">
        <row r="6">
          <cell r="B6" t="str">
            <v>MAD0226</v>
          </cell>
        </row>
        <row r="8">
          <cell r="B8" t="str">
            <v>MAD0457</v>
          </cell>
        </row>
        <row r="9">
          <cell r="B9" t="str">
            <v>MAD0569</v>
          </cell>
        </row>
        <row r="11">
          <cell r="B11" t="str">
            <v>MAD0699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D4C0FB-DDA6-4DA1-9FFC-F74164136AFC}" name="Table2" displayName="Table2" ref="CF4:CP10" totalsRowShown="0" headerRowDxfId="540" dataDxfId="538" headerRowBorderDxfId="539" tableBorderDxfId="537" totalsRowBorderDxfId="536">
  <autoFilter ref="CF4:CP10" xr:uid="{60D4C0FB-DDA6-4DA1-9FFC-F74164136AFC}"/>
  <tableColumns count="11">
    <tableColumn id="1" xr3:uid="{FC384AC3-7600-431A-B6C2-1D7D41A86FA0}" name="MC" dataDxfId="535"/>
    <tableColumn id="2" xr3:uid="{919D7DDB-9EFB-4A8D-BE0B-C5D93CC34F5A}" name="EL" dataDxfId="534"/>
    <tableColumn id="3" xr3:uid="{7145DFD4-A922-4A4F-A6E4-C99DDA10EC7B}" name="AL" dataDxfId="533"/>
    <tableColumn id="4" xr3:uid="{9FFD4FF6-1484-462F-B15D-7E7510DA560D}" name="SUS" dataDxfId="532"/>
    <tableColumn id="5" xr3:uid="{52A2C6A8-CDF2-45EC-913D-ADF79AB595D7}" name="FL" dataDxfId="531"/>
    <tableColumn id="6" xr3:uid="{F14C484D-9F39-486E-BEC3-21F64C76F390}" name="S" dataDxfId="530"/>
    <tableColumn id="7" xr3:uid="{A4CCCDEF-327D-403A-9175-87E6156B5C61}" name="HD" dataDxfId="529"/>
    <tableColumn id="8" xr3:uid="{1EECA671-F97F-4C69-BF8E-CA0A8D62E14F}" name="AB" dataDxfId="528"/>
    <tableColumn id="9" xr3:uid="{A52320D1-512E-4ABF-937A-B1B3BCF2AC59}" name="NL" dataDxfId="527"/>
    <tableColumn id="10" xr3:uid="{73D83DD0-52B6-4032-8D58-B281C790AB98}" name="SP" dataDxfId="526"/>
    <tableColumn id="11" xr3:uid="{5020D66B-38C1-4C79-8183-E44F2FEE4C0B}" name="Total" dataDxfId="525">
      <calculatedColumnFormula>SUM(CF5:CO5)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5364A-3BEB-42C8-9B7E-03A47228F91B}" name="Table22" displayName="Table22" ref="CF4:CP5" totalsRowShown="0" headerRowDxfId="524" dataDxfId="522" headerRowBorderDxfId="523" tableBorderDxfId="521" totalsRowBorderDxfId="520">
  <autoFilter ref="CF4:CP5" xr:uid="{60D4C0FB-DDA6-4DA1-9FFC-F74164136AFC}"/>
  <tableColumns count="11">
    <tableColumn id="1" xr3:uid="{DC6469E1-BA1C-4C34-A69E-33EEEA2287E7}" name="MC" dataDxfId="519"/>
    <tableColumn id="2" xr3:uid="{A7AC5325-4E57-4FAB-92AB-51D2F47A49CE}" name="EL" dataDxfId="518"/>
    <tableColumn id="3" xr3:uid="{41B763A8-263E-4BFB-9EA0-CD396E1C3C23}" name="AL" dataDxfId="517"/>
    <tableColumn id="4" xr3:uid="{C55EE059-66AA-4941-B409-46E560F050B4}" name="SUS" dataDxfId="516"/>
    <tableColumn id="5" xr3:uid="{C27D4F69-1311-4562-83B9-187BBE054B59}" name="FL" dataDxfId="515"/>
    <tableColumn id="6" xr3:uid="{1DF46016-63C9-4B4A-A827-14D7921B029F}" name="S" dataDxfId="514"/>
    <tableColumn id="7" xr3:uid="{874C2842-767E-43F0-B851-B22585C99473}" name="HD" dataDxfId="513"/>
    <tableColumn id="8" xr3:uid="{410D8116-463F-41F2-BF79-E12D8E900055}" name="AB" dataDxfId="512"/>
    <tableColumn id="9" xr3:uid="{FF1ACAF1-BF9E-4047-991A-24073E4454E8}" name="NL" dataDxfId="511"/>
    <tableColumn id="10" xr3:uid="{E2B1D486-3B75-4324-9CE9-D230D8A58580}" name="SP" dataDxfId="510"/>
    <tableColumn id="11" xr3:uid="{E84B298B-34D7-41A9-8842-68255850447C}" name="Total" dataDxfId="509">
      <calculatedColumnFormula>SUM(CF5:CO5)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E187-7A0C-4228-9444-8A342039E6A5}">
  <sheetPr>
    <pageSetUpPr fitToPage="1"/>
  </sheetPr>
  <dimension ref="A1:CP60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11" sqref="H11"/>
    </sheetView>
  </sheetViews>
  <sheetFormatPr defaultRowHeight="15" x14ac:dyDescent="0.25"/>
  <cols>
    <col min="1" max="1" width="5" customWidth="1"/>
    <col min="2" max="2" width="10.85546875" style="20" customWidth="1"/>
    <col min="3" max="3" width="29.140625" customWidth="1"/>
    <col min="4" max="4" width="13.7109375" hidden="1" customWidth="1"/>
    <col min="5" max="34" width="6.42578125" customWidth="1"/>
    <col min="35" max="35" width="3.7109375" customWidth="1"/>
    <col min="36" max="36" width="5" customWidth="1"/>
    <col min="37" max="66" width="6.42578125" customWidth="1"/>
    <col min="67" max="67" width="5" customWidth="1"/>
    <col min="68" max="80" width="5.140625" customWidth="1"/>
    <col min="81" max="81" width="30.140625" customWidth="1"/>
    <col min="84" max="93" width="7.140625" customWidth="1"/>
  </cols>
  <sheetData>
    <row r="1" spans="1:94" ht="24" customHeight="1" x14ac:dyDescent="0.25">
      <c r="A1" s="122" t="s">
        <v>106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04"/>
      <c r="AJ1" s="122" t="s">
        <v>106</v>
      </c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</row>
    <row r="2" spans="1:94" ht="18.75" x14ac:dyDescent="0.25">
      <c r="A2" s="126" t="s">
        <v>0</v>
      </c>
      <c r="B2" s="126"/>
      <c r="C2" s="126"/>
      <c r="D2" s="75"/>
      <c r="E2" s="121" t="s">
        <v>6</v>
      </c>
      <c r="F2" s="121"/>
      <c r="G2" s="121" t="s">
        <v>7</v>
      </c>
      <c r="H2" s="121"/>
      <c r="I2" s="121" t="s">
        <v>1</v>
      </c>
      <c r="J2" s="121"/>
      <c r="K2" s="121" t="s">
        <v>2</v>
      </c>
      <c r="L2" s="121"/>
      <c r="M2" s="121" t="s">
        <v>3</v>
      </c>
      <c r="N2" s="121"/>
      <c r="O2" s="121" t="s">
        <v>4</v>
      </c>
      <c r="P2" s="121"/>
      <c r="Q2" s="121" t="s">
        <v>5</v>
      </c>
      <c r="R2" s="121"/>
      <c r="S2" s="121" t="s">
        <v>6</v>
      </c>
      <c r="T2" s="121"/>
      <c r="U2" s="121" t="s">
        <v>7</v>
      </c>
      <c r="V2" s="121"/>
      <c r="W2" s="121" t="s">
        <v>1</v>
      </c>
      <c r="X2" s="121"/>
      <c r="Y2" s="121" t="s">
        <v>2</v>
      </c>
      <c r="Z2" s="121"/>
      <c r="AA2" s="121" t="s">
        <v>3</v>
      </c>
      <c r="AB2" s="121"/>
      <c r="AC2" s="121" t="s">
        <v>4</v>
      </c>
      <c r="AD2" s="121"/>
      <c r="AE2" s="121" t="s">
        <v>5</v>
      </c>
      <c r="AF2" s="121"/>
      <c r="AG2" s="121" t="s">
        <v>6</v>
      </c>
      <c r="AH2" s="121"/>
      <c r="AI2" s="105"/>
      <c r="AJ2" s="12"/>
      <c r="AK2" s="121" t="s">
        <v>7</v>
      </c>
      <c r="AL2" s="121"/>
      <c r="AM2" s="121" t="s">
        <v>1</v>
      </c>
      <c r="AN2" s="121"/>
      <c r="AO2" s="121" t="s">
        <v>2</v>
      </c>
      <c r="AP2" s="121"/>
      <c r="AQ2" s="121" t="s">
        <v>3</v>
      </c>
      <c r="AR2" s="121"/>
      <c r="AS2" s="121" t="s">
        <v>4</v>
      </c>
      <c r="AT2" s="121"/>
      <c r="AU2" s="121" t="s">
        <v>5</v>
      </c>
      <c r="AV2" s="121"/>
      <c r="AW2" s="121" t="s">
        <v>6</v>
      </c>
      <c r="AX2" s="121"/>
      <c r="AY2" s="121" t="s">
        <v>7</v>
      </c>
      <c r="AZ2" s="121"/>
      <c r="BA2" s="121" t="s">
        <v>1</v>
      </c>
      <c r="BB2" s="121"/>
      <c r="BC2" s="121" t="s">
        <v>2</v>
      </c>
      <c r="BD2" s="121"/>
      <c r="BE2" s="121" t="s">
        <v>3</v>
      </c>
      <c r="BF2" s="121"/>
      <c r="BG2" s="121" t="s">
        <v>4</v>
      </c>
      <c r="BH2" s="121"/>
      <c r="BI2" s="121" t="s">
        <v>5</v>
      </c>
      <c r="BJ2" s="121"/>
      <c r="BK2" s="121" t="s">
        <v>6</v>
      </c>
      <c r="BL2" s="121"/>
      <c r="BM2" s="121" t="s">
        <v>7</v>
      </c>
      <c r="BN2" s="121"/>
      <c r="BO2" s="123" t="s">
        <v>8</v>
      </c>
      <c r="BP2" s="123" t="s">
        <v>9</v>
      </c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F2" s="128" t="s">
        <v>87</v>
      </c>
      <c r="CG2" s="128"/>
      <c r="CH2" s="128"/>
      <c r="CI2" s="128"/>
      <c r="CJ2" s="128"/>
      <c r="CK2" s="128"/>
      <c r="CL2" s="128"/>
      <c r="CM2" s="128"/>
      <c r="CN2" s="128"/>
      <c r="CO2" s="128"/>
      <c r="CP2" s="19"/>
    </row>
    <row r="3" spans="1:94" ht="18.75" x14ac:dyDescent="0.25">
      <c r="A3" s="126"/>
      <c r="B3" s="126"/>
      <c r="C3" s="126"/>
      <c r="D3" s="75"/>
      <c r="E3" s="125">
        <v>46174</v>
      </c>
      <c r="F3" s="125"/>
      <c r="G3" s="125">
        <v>46175</v>
      </c>
      <c r="H3" s="125"/>
      <c r="I3" s="125">
        <v>46176</v>
      </c>
      <c r="J3" s="125"/>
      <c r="K3" s="125">
        <v>46177</v>
      </c>
      <c r="L3" s="125"/>
      <c r="M3" s="125">
        <v>46178</v>
      </c>
      <c r="N3" s="125"/>
      <c r="O3" s="125">
        <v>46179</v>
      </c>
      <c r="P3" s="125"/>
      <c r="Q3" s="125">
        <v>46180</v>
      </c>
      <c r="R3" s="125"/>
      <c r="S3" s="125">
        <v>46181</v>
      </c>
      <c r="T3" s="125"/>
      <c r="U3" s="125">
        <v>46182</v>
      </c>
      <c r="V3" s="125"/>
      <c r="W3" s="125">
        <v>46183</v>
      </c>
      <c r="X3" s="125"/>
      <c r="Y3" s="125">
        <v>46184</v>
      </c>
      <c r="Z3" s="125"/>
      <c r="AA3" s="125">
        <v>46185</v>
      </c>
      <c r="AB3" s="125"/>
      <c r="AC3" s="125">
        <v>46186</v>
      </c>
      <c r="AD3" s="125"/>
      <c r="AE3" s="125">
        <v>46187</v>
      </c>
      <c r="AF3" s="125"/>
      <c r="AG3" s="125">
        <v>46188</v>
      </c>
      <c r="AH3" s="125"/>
      <c r="AI3" s="106"/>
      <c r="AJ3" s="102"/>
      <c r="AK3" s="125">
        <v>46189</v>
      </c>
      <c r="AL3" s="125"/>
      <c r="AM3" s="125">
        <v>46190</v>
      </c>
      <c r="AN3" s="125"/>
      <c r="AO3" s="125">
        <v>46191</v>
      </c>
      <c r="AP3" s="125"/>
      <c r="AQ3" s="125">
        <v>46192</v>
      </c>
      <c r="AR3" s="125"/>
      <c r="AS3" s="125">
        <v>46193</v>
      </c>
      <c r="AT3" s="125"/>
      <c r="AU3" s="125">
        <v>46194</v>
      </c>
      <c r="AV3" s="125"/>
      <c r="AW3" s="125">
        <v>46195</v>
      </c>
      <c r="AX3" s="125"/>
      <c r="AY3" s="125">
        <v>46196</v>
      </c>
      <c r="AZ3" s="125"/>
      <c r="BA3" s="125">
        <v>46197</v>
      </c>
      <c r="BB3" s="125"/>
      <c r="BC3" s="125">
        <v>46198</v>
      </c>
      <c r="BD3" s="125"/>
      <c r="BE3" s="125">
        <v>46199</v>
      </c>
      <c r="BF3" s="125"/>
      <c r="BG3" s="125">
        <v>46200</v>
      </c>
      <c r="BH3" s="125"/>
      <c r="BI3" s="125">
        <v>46201</v>
      </c>
      <c r="BJ3" s="125"/>
      <c r="BK3" s="125">
        <v>46202</v>
      </c>
      <c r="BL3" s="125"/>
      <c r="BM3" s="125">
        <v>46203</v>
      </c>
      <c r="BN3" s="125"/>
      <c r="BO3" s="123"/>
      <c r="BP3" s="123"/>
      <c r="BQ3" s="1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3"/>
      <c r="CF3" s="55" t="s">
        <v>105</v>
      </c>
      <c r="CG3" s="55"/>
      <c r="CH3" s="55"/>
      <c r="CI3" s="55"/>
      <c r="CJ3" s="55"/>
      <c r="CK3" s="55"/>
      <c r="CL3" s="55"/>
      <c r="CM3" s="55"/>
      <c r="CN3" s="55"/>
      <c r="CO3" s="55"/>
      <c r="CP3" s="19"/>
    </row>
    <row r="4" spans="1:94" ht="18.75" customHeight="1" x14ac:dyDescent="0.25">
      <c r="A4" s="4" t="s">
        <v>10</v>
      </c>
      <c r="B4" s="4" t="s">
        <v>11</v>
      </c>
      <c r="C4" s="4" t="s">
        <v>12</v>
      </c>
      <c r="D4" s="4"/>
      <c r="E4" s="12" t="s">
        <v>13</v>
      </c>
      <c r="F4" s="12" t="s">
        <v>14</v>
      </c>
      <c r="G4" s="12" t="s">
        <v>13</v>
      </c>
      <c r="H4" s="12" t="s">
        <v>14</v>
      </c>
      <c r="I4" s="12" t="s">
        <v>13</v>
      </c>
      <c r="J4" s="12" t="s">
        <v>14</v>
      </c>
      <c r="K4" s="12" t="s">
        <v>13</v>
      </c>
      <c r="L4" s="12" t="s">
        <v>14</v>
      </c>
      <c r="M4" s="12" t="s">
        <v>13</v>
      </c>
      <c r="N4" s="12" t="s">
        <v>14</v>
      </c>
      <c r="O4" s="12" t="s">
        <v>13</v>
      </c>
      <c r="P4" s="12" t="s">
        <v>14</v>
      </c>
      <c r="Q4" s="12" t="s">
        <v>13</v>
      </c>
      <c r="R4" s="12" t="s">
        <v>14</v>
      </c>
      <c r="S4" s="12" t="s">
        <v>13</v>
      </c>
      <c r="T4" s="12" t="s">
        <v>14</v>
      </c>
      <c r="U4" s="12" t="s">
        <v>13</v>
      </c>
      <c r="V4" s="12" t="s">
        <v>14</v>
      </c>
      <c r="W4" s="12" t="s">
        <v>13</v>
      </c>
      <c r="X4" s="12" t="s">
        <v>14</v>
      </c>
      <c r="Y4" s="12" t="s">
        <v>13</v>
      </c>
      <c r="Z4" s="12" t="s">
        <v>14</v>
      </c>
      <c r="AA4" s="12" t="s">
        <v>13</v>
      </c>
      <c r="AB4" s="12" t="s">
        <v>14</v>
      </c>
      <c r="AC4" s="12" t="s">
        <v>13</v>
      </c>
      <c r="AD4" s="12" t="s">
        <v>14</v>
      </c>
      <c r="AE4" s="12" t="s">
        <v>13</v>
      </c>
      <c r="AF4" s="12" t="s">
        <v>14</v>
      </c>
      <c r="AG4" s="12" t="s">
        <v>13</v>
      </c>
      <c r="AH4" s="12" t="s">
        <v>14</v>
      </c>
      <c r="AI4" s="105"/>
      <c r="AJ4" s="12"/>
      <c r="AK4" s="52" t="s">
        <v>13</v>
      </c>
      <c r="AL4" s="52" t="s">
        <v>14</v>
      </c>
      <c r="AM4" s="52" t="s">
        <v>13</v>
      </c>
      <c r="AN4" s="52" t="s">
        <v>14</v>
      </c>
      <c r="AO4" s="52" t="s">
        <v>13</v>
      </c>
      <c r="AP4" s="52" t="s">
        <v>14</v>
      </c>
      <c r="AQ4" s="52" t="s">
        <v>13</v>
      </c>
      <c r="AR4" s="52" t="s">
        <v>14</v>
      </c>
      <c r="AS4" s="52" t="s">
        <v>13</v>
      </c>
      <c r="AT4" s="52" t="s">
        <v>14</v>
      </c>
      <c r="AU4" s="12" t="s">
        <v>13</v>
      </c>
      <c r="AV4" s="12" t="s">
        <v>14</v>
      </c>
      <c r="AW4" s="12" t="s">
        <v>13</v>
      </c>
      <c r="AX4" s="12" t="s">
        <v>14</v>
      </c>
      <c r="AY4" s="12" t="s">
        <v>13</v>
      </c>
      <c r="AZ4" s="12" t="s">
        <v>14</v>
      </c>
      <c r="BA4" s="12" t="s">
        <v>13</v>
      </c>
      <c r="BB4" s="12" t="s">
        <v>14</v>
      </c>
      <c r="BC4" s="12" t="s">
        <v>13</v>
      </c>
      <c r="BD4" s="12" t="s">
        <v>14</v>
      </c>
      <c r="BE4" s="12" t="s">
        <v>13</v>
      </c>
      <c r="BF4" s="12" t="s">
        <v>14</v>
      </c>
      <c r="BG4" s="12" t="s">
        <v>13</v>
      </c>
      <c r="BH4" s="12" t="s">
        <v>14</v>
      </c>
      <c r="BI4" s="12" t="s">
        <v>13</v>
      </c>
      <c r="BJ4" s="12" t="s">
        <v>14</v>
      </c>
      <c r="BK4" s="12" t="s">
        <v>13</v>
      </c>
      <c r="BL4" s="12" t="s">
        <v>14</v>
      </c>
      <c r="BM4" s="12" t="s">
        <v>13</v>
      </c>
      <c r="BN4" s="12" t="s">
        <v>14</v>
      </c>
      <c r="BO4" s="123"/>
      <c r="BP4" s="123"/>
      <c r="BQ4" s="5"/>
      <c r="BR4" s="79" t="s">
        <v>15</v>
      </c>
      <c r="BS4" s="79" t="s">
        <v>16</v>
      </c>
      <c r="BT4" s="79" t="s">
        <v>17</v>
      </c>
      <c r="BU4" s="79" t="s">
        <v>18</v>
      </c>
      <c r="BV4" s="79" t="s">
        <v>19</v>
      </c>
      <c r="BW4" s="79" t="s">
        <v>20</v>
      </c>
      <c r="BX4" s="79" t="s">
        <v>102</v>
      </c>
      <c r="BY4" s="50" t="s">
        <v>22</v>
      </c>
      <c r="BZ4" s="79" t="s">
        <v>23</v>
      </c>
      <c r="CA4" s="79" t="s">
        <v>24</v>
      </c>
      <c r="CB4" s="79" t="s">
        <v>25</v>
      </c>
      <c r="CC4" s="6" t="s">
        <v>26</v>
      </c>
      <c r="CF4" s="56" t="s">
        <v>16</v>
      </c>
      <c r="CG4" s="57" t="s">
        <v>17</v>
      </c>
      <c r="CH4" s="57" t="s">
        <v>18</v>
      </c>
      <c r="CI4" s="57" t="s">
        <v>19</v>
      </c>
      <c r="CJ4" s="57" t="s">
        <v>20</v>
      </c>
      <c r="CK4" s="57" t="s">
        <v>21</v>
      </c>
      <c r="CL4" s="57" t="s">
        <v>22</v>
      </c>
      <c r="CM4" s="57" t="s">
        <v>23</v>
      </c>
      <c r="CN4" s="57" t="s">
        <v>24</v>
      </c>
      <c r="CO4" s="57" t="s">
        <v>25</v>
      </c>
      <c r="CP4" s="58" t="s">
        <v>88</v>
      </c>
    </row>
    <row r="5" spans="1:94" ht="22.5" customHeight="1" x14ac:dyDescent="0.25">
      <c r="A5" s="7">
        <v>1</v>
      </c>
      <c r="B5" s="8" t="s">
        <v>101</v>
      </c>
      <c r="C5" s="108" t="s">
        <v>27</v>
      </c>
      <c r="D5" s="109">
        <v>43523</v>
      </c>
      <c r="E5" s="66">
        <v>0.34583333333333338</v>
      </c>
      <c r="F5" s="98">
        <v>1</v>
      </c>
      <c r="G5" s="66">
        <v>0.35069444444444442</v>
      </c>
      <c r="H5" s="66">
        <v>6.9444444444444447E-4</v>
      </c>
      <c r="I5" s="66">
        <v>0.35416666666666669</v>
      </c>
      <c r="J5" s="66">
        <v>0.95833333333333337</v>
      </c>
      <c r="K5" s="66">
        <v>0.35138888888888892</v>
      </c>
      <c r="L5" s="98">
        <v>1</v>
      </c>
      <c r="M5" s="99">
        <v>0.56874999999999998</v>
      </c>
      <c r="N5" s="100">
        <v>1</v>
      </c>
      <c r="O5" s="66">
        <v>0.34236111111111112</v>
      </c>
      <c r="P5" s="66">
        <v>2.4999999999999998E-2</v>
      </c>
      <c r="Q5" s="66">
        <v>0.34027777777777773</v>
      </c>
      <c r="R5" s="98">
        <v>1</v>
      </c>
      <c r="S5" s="66">
        <v>0.33888888888888885</v>
      </c>
      <c r="T5" s="98">
        <v>1</v>
      </c>
      <c r="U5" s="66">
        <v>0.34027777777777773</v>
      </c>
      <c r="V5" s="98">
        <v>1</v>
      </c>
      <c r="W5" s="66">
        <v>0.34236111111111112</v>
      </c>
      <c r="X5" s="66">
        <v>0.92638888888888893</v>
      </c>
      <c r="Y5" s="66">
        <v>0.33749999999999997</v>
      </c>
      <c r="Z5" s="98">
        <v>1</v>
      </c>
      <c r="AA5" s="87" t="s">
        <v>15</v>
      </c>
      <c r="AB5" s="87" t="s">
        <v>15</v>
      </c>
      <c r="AC5" s="66">
        <v>0.33888888888888885</v>
      </c>
      <c r="AD5" s="66">
        <v>0.99097222222222225</v>
      </c>
      <c r="AE5" s="66">
        <v>0.34027777777777773</v>
      </c>
      <c r="AF5" s="66">
        <v>0.92291666666666661</v>
      </c>
      <c r="AG5" s="66">
        <v>0.33819444444444446</v>
      </c>
      <c r="AH5" s="98">
        <v>1</v>
      </c>
      <c r="AI5" s="101"/>
      <c r="AJ5" s="112">
        <v>1</v>
      </c>
      <c r="AK5" s="77">
        <v>0.33888888888888885</v>
      </c>
      <c r="AL5" s="79">
        <v>1</v>
      </c>
      <c r="AM5" s="77">
        <v>0.33958333333333335</v>
      </c>
      <c r="AN5" s="79">
        <v>1</v>
      </c>
      <c r="AO5" s="77">
        <v>0.34097222222222223</v>
      </c>
      <c r="AP5" s="79">
        <v>1</v>
      </c>
      <c r="AQ5" s="86">
        <v>0.57013888888888886</v>
      </c>
      <c r="AR5" s="86">
        <v>1</v>
      </c>
      <c r="AS5" s="77">
        <v>0.33819444444444446</v>
      </c>
      <c r="AT5" s="79">
        <v>1</v>
      </c>
      <c r="AU5" s="77">
        <v>0.33958333333333335</v>
      </c>
      <c r="AV5" s="79">
        <v>1</v>
      </c>
      <c r="AW5" s="77">
        <v>0.33958333333333335</v>
      </c>
      <c r="AX5" s="79">
        <v>1</v>
      </c>
      <c r="AY5" s="77">
        <v>0.34027777777777773</v>
      </c>
      <c r="AZ5" s="79">
        <v>1</v>
      </c>
      <c r="BA5" s="77">
        <v>0.34027777777777773</v>
      </c>
      <c r="BB5" s="79">
        <v>1</v>
      </c>
      <c r="BC5" s="77">
        <v>0.34027777777777773</v>
      </c>
      <c r="BD5" s="79">
        <v>1</v>
      </c>
      <c r="BE5" s="87" t="s">
        <v>15</v>
      </c>
      <c r="BF5" s="87" t="s">
        <v>15</v>
      </c>
      <c r="BG5" s="77">
        <v>0.33611111111111108</v>
      </c>
      <c r="BH5" s="79">
        <v>1</v>
      </c>
      <c r="BI5" s="77">
        <v>0.33958333333333335</v>
      </c>
      <c r="BJ5" s="77">
        <v>0.9277777777777777</v>
      </c>
      <c r="BK5" s="77">
        <v>0.33958333333333335</v>
      </c>
      <c r="BL5" s="98">
        <v>1</v>
      </c>
      <c r="BM5" s="77">
        <v>0.31944444444444448</v>
      </c>
      <c r="BN5" s="77">
        <v>0.31944444444444448</v>
      </c>
      <c r="BO5" s="15">
        <f>BQ5+BR5+BS5+BT5+BY5+BW5+BX5+CB5</f>
        <v>30</v>
      </c>
      <c r="BP5" s="74">
        <v>2</v>
      </c>
      <c r="BQ5" s="16">
        <f t="shared" ref="BQ5:BQ10" si="0">COUNT(E5:AH5)/2+COUNT(AK5:BN5)/2</f>
        <v>28</v>
      </c>
      <c r="BR5" s="17">
        <f>COUNTIF(B5:BN5,"OFF")/2</f>
        <v>2</v>
      </c>
      <c r="BS5" s="17">
        <f>COUNTIF(B5:BN5,"MC")/2</f>
        <v>0</v>
      </c>
      <c r="BT5" s="17">
        <f>COUNTIF(B5:BN5,"EL")/2</f>
        <v>0</v>
      </c>
      <c r="BU5" s="17">
        <f>COUNTIF(B5:BN5,"AL")/2</f>
        <v>0</v>
      </c>
      <c r="BV5" s="17">
        <f>COUNTIF(B5:BN5,"SUS")/2</f>
        <v>0</v>
      </c>
      <c r="BW5" s="17">
        <f>COUNTIF(B5:BN5,"FL")/2</f>
        <v>0</v>
      </c>
      <c r="BX5" s="17">
        <f>COUNTIF(B5:BN5,"SICK")/2</f>
        <v>0</v>
      </c>
      <c r="BY5" s="17">
        <f>COUNTIF(B5:BN5,"HD")/2</f>
        <v>0</v>
      </c>
      <c r="BZ5" s="17">
        <f>COUNTIF(B5:BN5,"AB")/2</f>
        <v>0</v>
      </c>
      <c r="CA5" s="17">
        <f>COUNTIF(B5:BN5,"NL")/2</f>
        <v>0</v>
      </c>
      <c r="CB5" s="17">
        <f>COUNTIF(B5:BN5,"SP")/2</f>
        <v>0</v>
      </c>
      <c r="CC5" s="18"/>
      <c r="CF5" s="60">
        <v>0</v>
      </c>
      <c r="CG5" s="60">
        <v>0</v>
      </c>
      <c r="CH5" s="60">
        <v>32</v>
      </c>
      <c r="CI5" s="60">
        <v>0</v>
      </c>
      <c r="CJ5" s="60">
        <v>0</v>
      </c>
      <c r="CK5" s="60">
        <v>0</v>
      </c>
      <c r="CL5" s="60">
        <v>0</v>
      </c>
      <c r="CM5" s="60">
        <v>0</v>
      </c>
      <c r="CN5" s="60">
        <v>0</v>
      </c>
      <c r="CO5" s="60">
        <v>0</v>
      </c>
      <c r="CP5" s="64">
        <f t="shared" ref="CP5:CP10" si="1">SUM(CF5:CO5)</f>
        <v>32</v>
      </c>
    </row>
    <row r="6" spans="1:94" ht="22.5" customHeight="1" x14ac:dyDescent="0.25">
      <c r="A6" s="7">
        <v>2</v>
      </c>
      <c r="B6" s="8" t="s">
        <v>90</v>
      </c>
      <c r="C6" s="108" t="s">
        <v>29</v>
      </c>
      <c r="D6" s="109">
        <v>43423</v>
      </c>
      <c r="E6" s="66">
        <v>0.3354166666666667</v>
      </c>
      <c r="F6" s="66">
        <v>0.9770833333333333</v>
      </c>
      <c r="G6" s="66">
        <v>0.33819444444444446</v>
      </c>
      <c r="H6" s="66">
        <v>0.9819444444444444</v>
      </c>
      <c r="I6" s="66">
        <v>0.33402777777777781</v>
      </c>
      <c r="J6" s="66">
        <v>0.9784722222222223</v>
      </c>
      <c r="K6" s="79" t="s">
        <v>102</v>
      </c>
      <c r="L6" s="79" t="s">
        <v>102</v>
      </c>
      <c r="M6" s="87" t="s">
        <v>15</v>
      </c>
      <c r="N6" s="87" t="s">
        <v>15</v>
      </c>
      <c r="O6" s="66">
        <v>0.33194444444444443</v>
      </c>
      <c r="P6" s="66">
        <v>0.99305555555555547</v>
      </c>
      <c r="Q6" s="66">
        <v>0.33124999999999999</v>
      </c>
      <c r="R6" s="98">
        <v>1</v>
      </c>
      <c r="S6" s="66">
        <v>0.33333333333333331</v>
      </c>
      <c r="T6" s="66">
        <v>0.98541666666666661</v>
      </c>
      <c r="U6" s="66">
        <v>0.35902777777777778</v>
      </c>
      <c r="V6" s="98">
        <v>1</v>
      </c>
      <c r="W6" s="66">
        <v>0.33124999999999999</v>
      </c>
      <c r="X6" s="98">
        <v>1</v>
      </c>
      <c r="Y6" s="66">
        <v>0.33055555555555555</v>
      </c>
      <c r="Z6" s="98">
        <v>1</v>
      </c>
      <c r="AA6" s="99">
        <v>0.56458333333333333</v>
      </c>
      <c r="AB6" s="100">
        <v>1</v>
      </c>
      <c r="AC6" s="66">
        <v>0.33194444444444443</v>
      </c>
      <c r="AD6" s="66">
        <v>1.8749999999999999E-2</v>
      </c>
      <c r="AE6" s="66">
        <v>0.33333333333333331</v>
      </c>
      <c r="AF6" s="98">
        <v>1</v>
      </c>
      <c r="AG6" s="66">
        <v>0.3576388888888889</v>
      </c>
      <c r="AH6" s="98">
        <v>1</v>
      </c>
      <c r="AI6" s="101"/>
      <c r="AJ6" s="112">
        <v>2</v>
      </c>
      <c r="AK6" s="77">
        <v>0.33263888888888887</v>
      </c>
      <c r="AL6" s="79">
        <v>1</v>
      </c>
      <c r="AM6" s="77">
        <v>0.3298611111111111</v>
      </c>
      <c r="AN6" s="79">
        <v>1</v>
      </c>
      <c r="AO6" s="77">
        <v>0.33263888888888887</v>
      </c>
      <c r="AP6" s="98">
        <v>1</v>
      </c>
      <c r="AQ6" s="87" t="s">
        <v>15</v>
      </c>
      <c r="AR6" s="87" t="s">
        <v>15</v>
      </c>
      <c r="AS6" s="77">
        <v>0.33263888888888887</v>
      </c>
      <c r="AT6" s="98">
        <v>1</v>
      </c>
      <c r="AU6" s="77">
        <v>0.33263888888888887</v>
      </c>
      <c r="AV6" s="77">
        <v>0.97013888888888899</v>
      </c>
      <c r="AW6" s="77">
        <v>0.33194444444444443</v>
      </c>
      <c r="AX6" s="79">
        <v>1</v>
      </c>
      <c r="AY6" s="77">
        <v>0.33055555555555555</v>
      </c>
      <c r="AZ6" s="79">
        <v>1</v>
      </c>
      <c r="BA6" s="77">
        <v>0.33263888888888887</v>
      </c>
      <c r="BB6" s="77">
        <v>0.9770833333333333</v>
      </c>
      <c r="BC6" s="77">
        <v>0.37916666666666665</v>
      </c>
      <c r="BD6" s="79">
        <v>1</v>
      </c>
      <c r="BE6" s="77">
        <v>0.5625</v>
      </c>
      <c r="BF6" s="77">
        <v>0.97777777777777775</v>
      </c>
      <c r="BG6" s="77">
        <v>0.3354166666666667</v>
      </c>
      <c r="BH6" s="79">
        <v>1</v>
      </c>
      <c r="BI6" s="77">
        <v>0.33194444444444443</v>
      </c>
      <c r="BJ6" s="79">
        <v>1</v>
      </c>
      <c r="BK6" s="77">
        <v>0.33055555555555555</v>
      </c>
      <c r="BL6" s="98">
        <v>1</v>
      </c>
      <c r="BM6" s="77">
        <v>0.3347222222222222</v>
      </c>
      <c r="BN6" s="79">
        <v>1</v>
      </c>
      <c r="BO6" s="15">
        <f t="shared" ref="BO6:BO10" si="2">BQ6+BR6+BS6+BT6+BY6+BW6+BX6+CB6</f>
        <v>30</v>
      </c>
      <c r="BP6" s="74">
        <v>2</v>
      </c>
      <c r="BQ6" s="16">
        <f t="shared" si="0"/>
        <v>27</v>
      </c>
      <c r="BR6" s="17">
        <f>COUNTIF(B6:BM6,"OFF")/2</f>
        <v>2</v>
      </c>
      <c r="BS6" s="17">
        <f>COUNTIF(B6:BM6,"MC")/2</f>
        <v>0</v>
      </c>
      <c r="BT6" s="17">
        <f>COUNTIF(B6:BM6,"EL")/2</f>
        <v>0</v>
      </c>
      <c r="BU6" s="17">
        <f>COUNTIF(B6:BM6,"AL")/2</f>
        <v>0</v>
      </c>
      <c r="BV6" s="17">
        <f>COUNTIF(B6:BM6,"SUS")/2</f>
        <v>0</v>
      </c>
      <c r="BW6" s="17">
        <f>COUNTIF(B6:BM6,"FL")/2</f>
        <v>0</v>
      </c>
      <c r="BX6" s="17">
        <f>COUNTIF(B6:BM6,"SICK")/2</f>
        <v>1</v>
      </c>
      <c r="BY6" s="17">
        <f>COUNTIF(B6:BM6,"HD")/2</f>
        <v>0</v>
      </c>
      <c r="BZ6" s="17">
        <f>COUNTIF(B6:BM6,"AB")/2</f>
        <v>0</v>
      </c>
      <c r="CA6" s="17">
        <f>COUNTIF(B6:BM6,"NL")/2</f>
        <v>0</v>
      </c>
      <c r="CB6" s="17">
        <f>COUNTIF(B6:BM6,"SP")/2</f>
        <v>0</v>
      </c>
      <c r="CC6" s="2"/>
      <c r="CF6" s="60">
        <v>0</v>
      </c>
      <c r="CG6" s="60">
        <v>0</v>
      </c>
      <c r="CH6" s="60">
        <v>60</v>
      </c>
      <c r="CI6" s="60">
        <v>0</v>
      </c>
      <c r="CJ6" s="60">
        <v>0</v>
      </c>
      <c r="CK6" s="60">
        <v>0</v>
      </c>
      <c r="CL6" s="60">
        <v>0</v>
      </c>
      <c r="CM6" s="60">
        <v>0</v>
      </c>
      <c r="CN6" s="60">
        <v>0</v>
      </c>
      <c r="CO6" s="60">
        <v>0</v>
      </c>
      <c r="CP6" s="60">
        <f t="shared" si="1"/>
        <v>60</v>
      </c>
    </row>
    <row r="7" spans="1:94" ht="22.5" customHeight="1" x14ac:dyDescent="0.25">
      <c r="A7" s="7">
        <v>3</v>
      </c>
      <c r="B7" s="113" t="s">
        <v>111</v>
      </c>
      <c r="C7" s="114" t="s">
        <v>112</v>
      </c>
      <c r="D7" s="78">
        <v>45612</v>
      </c>
      <c r="E7" s="66">
        <v>0.34375</v>
      </c>
      <c r="F7" s="66">
        <v>0.95347222222222217</v>
      </c>
      <c r="G7" s="66">
        <v>0.34583333333333338</v>
      </c>
      <c r="H7" s="98">
        <v>1</v>
      </c>
      <c r="I7" s="66">
        <v>0.33194444444444443</v>
      </c>
      <c r="J7" s="98">
        <v>1</v>
      </c>
      <c r="K7" s="66">
        <v>0.33263888888888887</v>
      </c>
      <c r="L7" s="98">
        <v>1</v>
      </c>
      <c r="M7" s="115" t="s">
        <v>15</v>
      </c>
      <c r="N7" s="116" t="s">
        <v>15</v>
      </c>
      <c r="O7" s="66">
        <v>0.3347222222222222</v>
      </c>
      <c r="P7" s="98">
        <v>1</v>
      </c>
      <c r="Q7" s="66">
        <v>0.3347222222222222</v>
      </c>
      <c r="R7" s="98">
        <v>1</v>
      </c>
      <c r="S7" s="66">
        <v>0.33263888888888887</v>
      </c>
      <c r="T7" s="98">
        <v>1</v>
      </c>
      <c r="U7" s="66">
        <v>0.33402777777777781</v>
      </c>
      <c r="V7" s="98">
        <v>1</v>
      </c>
      <c r="W7" s="66">
        <v>0.33055555555555555</v>
      </c>
      <c r="X7" s="98">
        <v>1</v>
      </c>
      <c r="Y7" s="66">
        <v>0.33055555555555555</v>
      </c>
      <c r="Z7" s="98">
        <v>1</v>
      </c>
      <c r="AA7" s="99">
        <v>0.56458333333333333</v>
      </c>
      <c r="AB7" s="100">
        <v>1</v>
      </c>
      <c r="AC7" s="66">
        <v>0.33194444444444443</v>
      </c>
      <c r="AD7" s="66">
        <v>0.33194444444444443</v>
      </c>
      <c r="AE7" s="66">
        <v>0.33333333333333331</v>
      </c>
      <c r="AF7" s="98">
        <v>1</v>
      </c>
      <c r="AG7" s="66">
        <v>0.33263888888888887</v>
      </c>
      <c r="AH7" s="98">
        <v>1</v>
      </c>
      <c r="AI7" s="101"/>
      <c r="AJ7" s="112">
        <v>3</v>
      </c>
      <c r="AK7" s="66">
        <v>0.33402777777777781</v>
      </c>
      <c r="AL7" s="98">
        <v>1</v>
      </c>
      <c r="AM7" s="66">
        <v>0.33124999999999999</v>
      </c>
      <c r="AN7" s="98">
        <v>1</v>
      </c>
      <c r="AO7" s="66">
        <v>0.3347222222222222</v>
      </c>
      <c r="AP7" s="98">
        <v>1</v>
      </c>
      <c r="AQ7" s="66">
        <v>0.5625</v>
      </c>
      <c r="AR7" s="66">
        <v>0.98888888888888893</v>
      </c>
      <c r="AS7" s="98">
        <v>1</v>
      </c>
      <c r="AT7" s="98">
        <v>1</v>
      </c>
      <c r="AU7" s="66">
        <v>0.33333333333333331</v>
      </c>
      <c r="AV7" s="98">
        <v>1</v>
      </c>
      <c r="AW7" s="66">
        <v>0.33263888888888887</v>
      </c>
      <c r="AX7" s="66">
        <v>0.97499999999999998</v>
      </c>
      <c r="AY7" s="66">
        <v>0.33263888888888887</v>
      </c>
      <c r="AZ7" s="66">
        <v>0.97222222222222221</v>
      </c>
      <c r="BA7" s="66">
        <v>0.33333333333333331</v>
      </c>
      <c r="BB7" s="66">
        <v>0.9784722222222223</v>
      </c>
      <c r="BC7" s="66">
        <v>0.33194444444444443</v>
      </c>
      <c r="BD7" s="98">
        <v>1</v>
      </c>
      <c r="BE7" s="87" t="s">
        <v>15</v>
      </c>
      <c r="BF7" s="87" t="s">
        <v>15</v>
      </c>
      <c r="BG7" s="77">
        <v>0.3298611111111111</v>
      </c>
      <c r="BH7" s="79">
        <v>1</v>
      </c>
      <c r="BI7" s="77">
        <v>0.33263888888888887</v>
      </c>
      <c r="BJ7" s="79">
        <v>1</v>
      </c>
      <c r="BK7" s="77">
        <v>0.33194444444444443</v>
      </c>
      <c r="BL7" s="98">
        <v>1</v>
      </c>
      <c r="BM7" s="77">
        <v>0.33194444444444443</v>
      </c>
      <c r="BN7" s="79">
        <v>1</v>
      </c>
      <c r="BO7" s="15">
        <f t="shared" si="2"/>
        <v>30</v>
      </c>
      <c r="BP7" s="117">
        <v>2</v>
      </c>
      <c r="BQ7" s="1">
        <f t="shared" si="0"/>
        <v>28</v>
      </c>
      <c r="BR7" s="2">
        <f>COUNTIF(E7:BN7,"OFF")/2</f>
        <v>2</v>
      </c>
      <c r="BS7" s="2">
        <f>COUNTIF(E7:BN7,"MC")/2</f>
        <v>0</v>
      </c>
      <c r="BT7" s="2">
        <f>COUNTIF(E7:BN7,"EL")/2</f>
        <v>0</v>
      </c>
      <c r="BU7" s="2">
        <f>COUNTIF(E7:BN7,"AL")/2</f>
        <v>0</v>
      </c>
      <c r="BV7" s="2">
        <f>COUNTIF(E7:BN7,"SUS")/2</f>
        <v>0</v>
      </c>
      <c r="BW7" s="2">
        <f>COUNTIF(E7:BN7,"FL")/2</f>
        <v>0</v>
      </c>
      <c r="BX7" s="2">
        <f>COUNTIF(E7:BN7,"SICK")/2</f>
        <v>0</v>
      </c>
      <c r="BY7" s="2">
        <f>COUNTIF(E7:BN7,"HD")/2</f>
        <v>0</v>
      </c>
      <c r="BZ7" s="2">
        <f>COUNTIF(E7:BN7,"AB")/2</f>
        <v>0</v>
      </c>
      <c r="CA7" s="2">
        <f>COUNTIF(E7:BN7,"NL")/2</f>
        <v>0</v>
      </c>
      <c r="CB7" s="2">
        <f>COUNTIF(E7:BN7,"SP")/2</f>
        <v>0</v>
      </c>
      <c r="CC7" s="3"/>
      <c r="CE7" s="60">
        <v>0</v>
      </c>
      <c r="CF7" s="59">
        <v>0</v>
      </c>
      <c r="CG7" s="59">
        <v>0</v>
      </c>
      <c r="CH7" s="59">
        <v>0</v>
      </c>
      <c r="CI7" s="59">
        <v>0</v>
      </c>
      <c r="CJ7" s="59">
        <v>0</v>
      </c>
      <c r="CK7" s="59">
        <v>0</v>
      </c>
      <c r="CL7" s="59">
        <v>0</v>
      </c>
      <c r="CM7" s="59">
        <v>0</v>
      </c>
      <c r="CN7" s="59">
        <v>0</v>
      </c>
      <c r="CO7" s="64">
        <f>SUM(CE7:CN7)</f>
        <v>0</v>
      </c>
    </row>
    <row r="8" spans="1:94" ht="22.5" customHeight="1" x14ac:dyDescent="0.25">
      <c r="A8" s="7">
        <v>4</v>
      </c>
      <c r="B8" s="8" t="s">
        <v>38</v>
      </c>
      <c r="C8" s="108" t="s">
        <v>108</v>
      </c>
      <c r="D8" s="109">
        <v>46078</v>
      </c>
      <c r="E8" s="66">
        <v>0.39583333333333331</v>
      </c>
      <c r="F8" s="66">
        <v>0.85763888888888884</v>
      </c>
      <c r="G8" s="66">
        <v>0.37222222222222223</v>
      </c>
      <c r="H8" s="66">
        <v>0.87083333333333324</v>
      </c>
      <c r="I8" s="66">
        <v>0.39930555555555558</v>
      </c>
      <c r="J8" s="66">
        <v>0.85833333333333339</v>
      </c>
      <c r="K8" s="66">
        <v>0.40347222222222223</v>
      </c>
      <c r="L8" s="98">
        <v>1</v>
      </c>
      <c r="M8" s="99">
        <v>0.84930555555555554</v>
      </c>
      <c r="N8" s="99">
        <v>0.84930555555555554</v>
      </c>
      <c r="O8" s="66">
        <v>0.36944444444444446</v>
      </c>
      <c r="P8" s="66">
        <v>0.8569444444444444</v>
      </c>
      <c r="Q8" s="66">
        <v>0.41388888888888892</v>
      </c>
      <c r="R8" s="66">
        <v>0.84375</v>
      </c>
      <c r="S8" s="66">
        <v>0.36458333333333331</v>
      </c>
      <c r="T8" s="66">
        <v>0.85069444444444453</v>
      </c>
      <c r="U8" s="66">
        <v>0.37291666666666662</v>
      </c>
      <c r="V8" s="66">
        <v>0.84027777777777779</v>
      </c>
      <c r="W8" s="66">
        <v>0.38750000000000001</v>
      </c>
      <c r="X8" s="66">
        <v>0.84652777777777777</v>
      </c>
      <c r="Y8" s="66">
        <v>0.38680555555555557</v>
      </c>
      <c r="Z8" s="66">
        <v>0.88958333333333339</v>
      </c>
      <c r="AA8" s="99">
        <v>0.33194444444444443</v>
      </c>
      <c r="AB8" s="99">
        <v>0.84236111111111101</v>
      </c>
      <c r="AC8" s="66">
        <v>0.39861111111111108</v>
      </c>
      <c r="AD8" s="66">
        <v>0.8534722222222223</v>
      </c>
      <c r="AE8" s="66">
        <v>0.3659722222222222</v>
      </c>
      <c r="AF8" s="66">
        <v>0.84166666666666667</v>
      </c>
      <c r="AG8" s="66">
        <v>0.36458333333333331</v>
      </c>
      <c r="AH8" s="98">
        <v>1</v>
      </c>
      <c r="AI8" s="101"/>
      <c r="AJ8" s="112">
        <v>4</v>
      </c>
      <c r="AK8" s="77">
        <v>0.3833333333333333</v>
      </c>
      <c r="AL8" s="77">
        <v>0.8520833333333333</v>
      </c>
      <c r="AM8" s="77">
        <v>0.38819444444444445</v>
      </c>
      <c r="AN8" s="77">
        <v>0.84652777777777777</v>
      </c>
      <c r="AO8" s="77">
        <v>0.38263888888888892</v>
      </c>
      <c r="AP8" s="77">
        <v>0.90347222222222223</v>
      </c>
      <c r="AQ8" s="86">
        <v>0.32500000000000001</v>
      </c>
      <c r="AR8" s="86">
        <v>0.85555555555555562</v>
      </c>
      <c r="AS8" s="77">
        <v>0.42222222222222222</v>
      </c>
      <c r="AT8" s="77">
        <v>0.83333333333333337</v>
      </c>
      <c r="AU8" s="77">
        <v>0.36041666666666666</v>
      </c>
      <c r="AV8" s="77">
        <v>0.84097222222222223</v>
      </c>
      <c r="AW8" s="77">
        <v>0.36736111111111108</v>
      </c>
      <c r="AX8" s="77">
        <v>0.85</v>
      </c>
      <c r="AY8" s="77">
        <v>0.36805555555555558</v>
      </c>
      <c r="AZ8" s="77">
        <v>0.84722222222222221</v>
      </c>
      <c r="BA8" s="77">
        <v>0.36527777777777781</v>
      </c>
      <c r="BB8" s="77">
        <v>0.8354166666666667</v>
      </c>
      <c r="BC8" s="77">
        <v>0.36041666666666666</v>
      </c>
      <c r="BD8" s="77">
        <v>0.88263888888888886</v>
      </c>
      <c r="BE8" s="77">
        <v>0.32916666666666666</v>
      </c>
      <c r="BF8" s="77">
        <v>0.84444444444444444</v>
      </c>
      <c r="BG8" s="77">
        <v>0.37083333333333335</v>
      </c>
      <c r="BH8" s="77">
        <v>0.84513888888888899</v>
      </c>
      <c r="BI8" s="77">
        <v>0.36180555555555555</v>
      </c>
      <c r="BJ8" s="77">
        <v>0.85138888888888886</v>
      </c>
      <c r="BK8" s="77">
        <v>0.35972222222222222</v>
      </c>
      <c r="BL8" s="77">
        <v>0.83819444444444446</v>
      </c>
      <c r="BM8" s="77">
        <v>0.41319444444444442</v>
      </c>
      <c r="BN8" s="77">
        <v>0.8340277777777777</v>
      </c>
      <c r="BO8" s="15">
        <f t="shared" si="2"/>
        <v>30</v>
      </c>
      <c r="BP8" s="74">
        <v>4</v>
      </c>
      <c r="BQ8" s="16">
        <f t="shared" si="0"/>
        <v>30</v>
      </c>
      <c r="BR8" s="2">
        <f>COUNTIF(E8:BN8,"OFF")/2</f>
        <v>0</v>
      </c>
      <c r="BS8" s="17">
        <f>COUNTIF(B8:BE8,"MC")/2</f>
        <v>0</v>
      </c>
      <c r="BT8" s="17">
        <f>COUNTIF(B8:BE8,"EL")/2</f>
        <v>0</v>
      </c>
      <c r="BU8" s="17">
        <f>COUNTIF(B8:BE8,"AL")/2</f>
        <v>0</v>
      </c>
      <c r="BV8" s="17">
        <f>COUNTIF(B8:BE8,"SUS")/2</f>
        <v>0</v>
      </c>
      <c r="BW8" s="17">
        <f>COUNTIF(B8:BE8,"FL")/2</f>
        <v>0</v>
      </c>
      <c r="BX8" s="17">
        <f>COUNTIF(B8:BE8,"SICK")/2</f>
        <v>0</v>
      </c>
      <c r="BY8" s="17">
        <f>COUNTIF(B8:BE8,"HD")/2</f>
        <v>0</v>
      </c>
      <c r="BZ8" s="17">
        <f>COUNTIF(B8:BE8,"AB")/2</f>
        <v>0</v>
      </c>
      <c r="CA8" s="17">
        <f>COUNTIF(B8:BE8,"NL")/2</f>
        <v>0</v>
      </c>
      <c r="CB8" s="17">
        <f>COUNTIF(B8:BE8,"SP")/2</f>
        <v>0</v>
      </c>
      <c r="CC8" s="18"/>
      <c r="CF8" s="60">
        <v>0</v>
      </c>
      <c r="CG8" s="60">
        <v>0</v>
      </c>
      <c r="CH8" s="60">
        <v>0</v>
      </c>
      <c r="CI8" s="60">
        <v>0</v>
      </c>
      <c r="CJ8" s="60">
        <v>0</v>
      </c>
      <c r="CK8" s="60">
        <v>0</v>
      </c>
      <c r="CL8" s="60">
        <v>0</v>
      </c>
      <c r="CM8" s="60">
        <v>0</v>
      </c>
      <c r="CN8" s="60">
        <v>0</v>
      </c>
      <c r="CO8" s="60">
        <v>0</v>
      </c>
      <c r="CP8" s="64">
        <f t="shared" si="1"/>
        <v>0</v>
      </c>
    </row>
    <row r="9" spans="1:94" ht="22.5" customHeight="1" x14ac:dyDescent="0.25">
      <c r="A9" s="7">
        <v>5</v>
      </c>
      <c r="B9" s="8" t="str">
        <f>'[1]Hulhumale Staffs_ Sep 2025'!B9</f>
        <v>MAD0569</v>
      </c>
      <c r="C9" s="108" t="s">
        <v>31</v>
      </c>
      <c r="D9" s="109">
        <v>45295</v>
      </c>
      <c r="E9" s="66">
        <v>0.31944444444444448</v>
      </c>
      <c r="F9" s="66">
        <v>0.87291666666666667</v>
      </c>
      <c r="G9" s="66">
        <v>0.33611111111111108</v>
      </c>
      <c r="H9" s="66">
        <v>0.87430555555555556</v>
      </c>
      <c r="I9" s="66">
        <v>0.34097222222222223</v>
      </c>
      <c r="J9" s="66">
        <v>0.34097222222222223</v>
      </c>
      <c r="K9" s="66">
        <v>0.88541666666666663</v>
      </c>
      <c r="L9" s="66">
        <v>0.88541666666666663</v>
      </c>
      <c r="M9" s="99">
        <v>0.28333333333333333</v>
      </c>
      <c r="N9" s="99">
        <v>0.57500000000000007</v>
      </c>
      <c r="O9" s="66">
        <v>0.31736111111111115</v>
      </c>
      <c r="P9" s="66">
        <v>0.95763888888888893</v>
      </c>
      <c r="Q9" s="66">
        <v>0.33680555555555558</v>
      </c>
      <c r="R9" s="66">
        <v>0.86249999999999993</v>
      </c>
      <c r="S9" s="66">
        <v>0.32083333333333336</v>
      </c>
      <c r="T9" s="66">
        <v>0.86458333333333337</v>
      </c>
      <c r="U9" s="66">
        <v>0.32083333333333336</v>
      </c>
      <c r="V9" s="66">
        <v>0.32083333333333336</v>
      </c>
      <c r="W9" s="66">
        <v>0.32847222222222222</v>
      </c>
      <c r="X9" s="66">
        <v>0.87152777777777779</v>
      </c>
      <c r="Y9" s="66">
        <v>0.31319444444444444</v>
      </c>
      <c r="Z9" s="66">
        <v>0.88888888888888884</v>
      </c>
      <c r="AA9" s="99">
        <v>0.30277777777777776</v>
      </c>
      <c r="AB9" s="99">
        <v>0.57847222222222217</v>
      </c>
      <c r="AC9" s="66">
        <v>0.31944444444444448</v>
      </c>
      <c r="AD9" s="66">
        <v>0.85763888888888884</v>
      </c>
      <c r="AE9" s="66">
        <v>0.32291666666666669</v>
      </c>
      <c r="AF9" s="66">
        <v>0.86805555555555547</v>
      </c>
      <c r="AG9" s="66">
        <v>0.32013888888888892</v>
      </c>
      <c r="AH9" s="66">
        <v>0.87152777777777779</v>
      </c>
      <c r="AI9" s="107"/>
      <c r="AJ9" s="112">
        <v>5</v>
      </c>
      <c r="AK9" s="77">
        <v>0.31597222222222221</v>
      </c>
      <c r="AL9" s="77">
        <v>0.86805555555555547</v>
      </c>
      <c r="AM9" s="77">
        <v>0.30486111111111108</v>
      </c>
      <c r="AN9" s="77">
        <v>0.8666666666666667</v>
      </c>
      <c r="AO9" s="77">
        <v>0.31527777777777777</v>
      </c>
      <c r="AP9" s="77">
        <v>0.86736111111111114</v>
      </c>
      <c r="AQ9" s="87" t="s">
        <v>15</v>
      </c>
      <c r="AR9" s="87" t="s">
        <v>15</v>
      </c>
      <c r="AS9" s="77">
        <v>0.31458333333333333</v>
      </c>
      <c r="AT9" s="77">
        <v>0.86041666666666661</v>
      </c>
      <c r="AU9" s="77">
        <v>0.32361111111111113</v>
      </c>
      <c r="AV9" s="77">
        <v>0.85833333333333339</v>
      </c>
      <c r="AW9" s="77">
        <v>0.3263888888888889</v>
      </c>
      <c r="AX9" s="77">
        <v>0.87152777777777779</v>
      </c>
      <c r="AY9" s="77">
        <v>0.31041666666666667</v>
      </c>
      <c r="AZ9" s="77">
        <v>0.89722222222222225</v>
      </c>
      <c r="BA9" s="77">
        <v>0.31458333333333333</v>
      </c>
      <c r="BB9" s="77">
        <v>0.8618055555555556</v>
      </c>
      <c r="BC9" s="77">
        <v>0.30694444444444441</v>
      </c>
      <c r="BD9" s="77">
        <v>0.85625000000000007</v>
      </c>
      <c r="BE9" s="77">
        <v>0.29722222222222222</v>
      </c>
      <c r="BF9" s="77">
        <v>0.57291666666666663</v>
      </c>
      <c r="BG9" s="77">
        <v>0.36180555555555555</v>
      </c>
      <c r="BH9" s="77">
        <v>0.88124999999999998</v>
      </c>
      <c r="BI9" s="77">
        <v>0.31805555555555554</v>
      </c>
      <c r="BJ9" s="77">
        <v>0.87013888888888891</v>
      </c>
      <c r="BK9" s="77">
        <v>0.3125</v>
      </c>
      <c r="BL9" s="77">
        <v>0.87291666666666667</v>
      </c>
      <c r="BM9" s="77">
        <v>0.32361111111111113</v>
      </c>
      <c r="BN9" s="77">
        <v>0.86458333333333337</v>
      </c>
      <c r="BO9" s="15">
        <f t="shared" si="2"/>
        <v>30</v>
      </c>
      <c r="BP9" s="74">
        <v>3</v>
      </c>
      <c r="BQ9" s="16">
        <f t="shared" si="0"/>
        <v>29</v>
      </c>
      <c r="BR9" s="2">
        <f>COUNTIF(E9:BN9,"OFF")/2</f>
        <v>1</v>
      </c>
      <c r="BS9" s="17">
        <f>COUNTIF(B9:BE9,"MC")/2</f>
        <v>0</v>
      </c>
      <c r="BT9" s="17">
        <f>COUNTIF(B9:BE9,"EL")/2</f>
        <v>0</v>
      </c>
      <c r="BU9" s="17">
        <f>COUNTIF(B9:BE9,"AL")/2</f>
        <v>0</v>
      </c>
      <c r="BV9" s="17">
        <f>COUNTIF(B9:BE9,"SUS")/2</f>
        <v>0</v>
      </c>
      <c r="BW9" s="17">
        <f>COUNTIF(B9:BE9,"FL")/2</f>
        <v>0</v>
      </c>
      <c r="BX9" s="17">
        <f>COUNTIF(B9:BE9,"SICK")/2</f>
        <v>0</v>
      </c>
      <c r="BY9" s="17">
        <f>COUNTIF(B9:BE9,"HD")/2</f>
        <v>0</v>
      </c>
      <c r="BZ9" s="17">
        <f>COUNTIF(B9:BE9,"AB")/2</f>
        <v>0</v>
      </c>
      <c r="CA9" s="17">
        <f>COUNTIF(B9:BE9,"NL")/2</f>
        <v>0</v>
      </c>
      <c r="CB9" s="17">
        <f>COUNTIF(B9:BE9,"SP")/2</f>
        <v>0</v>
      </c>
      <c r="CC9" s="3"/>
      <c r="CF9" s="60">
        <v>0</v>
      </c>
      <c r="CG9" s="60">
        <v>0</v>
      </c>
      <c r="CH9" s="60">
        <v>25</v>
      </c>
      <c r="CI9" s="60">
        <v>0</v>
      </c>
      <c r="CJ9" s="60">
        <v>0</v>
      </c>
      <c r="CK9" s="60">
        <v>0</v>
      </c>
      <c r="CL9" s="60">
        <v>0</v>
      </c>
      <c r="CM9" s="60">
        <v>0</v>
      </c>
      <c r="CN9" s="60">
        <v>0</v>
      </c>
      <c r="CO9" s="60">
        <v>0</v>
      </c>
      <c r="CP9" s="64">
        <f t="shared" si="1"/>
        <v>25</v>
      </c>
    </row>
    <row r="10" spans="1:94" ht="22.5" customHeight="1" x14ac:dyDescent="0.25">
      <c r="A10" s="7">
        <v>6</v>
      </c>
      <c r="B10" s="8" t="str">
        <f>'[1]Hulhumale Staffs_ Sep 2025'!B11</f>
        <v>MAD0699</v>
      </c>
      <c r="C10" s="108" t="s">
        <v>32</v>
      </c>
      <c r="D10" s="109">
        <v>45837</v>
      </c>
      <c r="E10" s="66">
        <v>0.33611111111111108</v>
      </c>
      <c r="F10" s="98">
        <v>1</v>
      </c>
      <c r="G10" s="66">
        <v>0.34097222222222223</v>
      </c>
      <c r="H10" s="98">
        <v>1</v>
      </c>
      <c r="I10" s="66">
        <v>0.34166666666666662</v>
      </c>
      <c r="J10" s="98">
        <v>1</v>
      </c>
      <c r="K10" s="66">
        <v>0.34375</v>
      </c>
      <c r="L10" s="66">
        <v>5.6250000000000001E-2</v>
      </c>
      <c r="M10" s="79" t="s">
        <v>15</v>
      </c>
      <c r="N10" s="79" t="s">
        <v>15</v>
      </c>
      <c r="O10" s="66">
        <v>0.32847222222222222</v>
      </c>
      <c r="P10" s="66">
        <v>1</v>
      </c>
      <c r="Q10" s="66">
        <v>0.33124999999999999</v>
      </c>
      <c r="R10" s="66">
        <v>0.33124999999999999</v>
      </c>
      <c r="S10" s="66">
        <v>0.32708333333333334</v>
      </c>
      <c r="T10" s="98">
        <v>1</v>
      </c>
      <c r="U10" s="66">
        <v>0.32708333333333334</v>
      </c>
      <c r="V10" s="98">
        <v>1</v>
      </c>
      <c r="W10" s="66">
        <v>0.32916666666666666</v>
      </c>
      <c r="X10" s="98">
        <v>1</v>
      </c>
      <c r="Y10" s="66">
        <v>0.33055555555555555</v>
      </c>
      <c r="Z10" s="66">
        <v>2.9861111111111113E-2</v>
      </c>
      <c r="AA10" s="99">
        <v>0.56666666666666665</v>
      </c>
      <c r="AB10" s="99">
        <v>0.97083333333333333</v>
      </c>
      <c r="AC10" s="66">
        <v>0.32916666666666666</v>
      </c>
      <c r="AD10" s="98">
        <v>1</v>
      </c>
      <c r="AE10" s="66">
        <v>0.33263888888888887</v>
      </c>
      <c r="AF10" s="98">
        <v>1</v>
      </c>
      <c r="AG10" s="66">
        <v>0.32013888888888892</v>
      </c>
      <c r="AH10" s="66">
        <v>0.32430555555555557</v>
      </c>
      <c r="AI10" s="107"/>
      <c r="AJ10" s="112">
        <v>6</v>
      </c>
      <c r="AK10" s="77">
        <v>0.33055555555555555</v>
      </c>
      <c r="AL10" s="79">
        <v>1</v>
      </c>
      <c r="AM10" s="77">
        <v>0.32083333333333336</v>
      </c>
      <c r="AN10" s="79">
        <v>1</v>
      </c>
      <c r="AO10" s="77">
        <v>0.3298611111111111</v>
      </c>
      <c r="AP10" s="79">
        <v>1</v>
      </c>
      <c r="AQ10" s="87" t="s">
        <v>15</v>
      </c>
      <c r="AR10" s="87" t="s">
        <v>15</v>
      </c>
      <c r="AS10" s="77">
        <v>0.31458333333333333</v>
      </c>
      <c r="AT10" s="77">
        <v>0.31458333333333333</v>
      </c>
      <c r="AU10" s="77">
        <v>0.3298611111111111</v>
      </c>
      <c r="AV10" s="79">
        <v>1</v>
      </c>
      <c r="AW10" s="77">
        <v>0.33402777777777781</v>
      </c>
      <c r="AX10" s="79">
        <v>1</v>
      </c>
      <c r="AY10" s="77">
        <v>0.31111111111111112</v>
      </c>
      <c r="AZ10" s="79">
        <v>1</v>
      </c>
      <c r="BA10" s="77">
        <v>0.31736111111111115</v>
      </c>
      <c r="BB10" s="79">
        <v>1</v>
      </c>
      <c r="BC10" s="77">
        <v>0.32916666666666666</v>
      </c>
      <c r="BD10" s="79">
        <v>1</v>
      </c>
      <c r="BE10" s="77">
        <v>0.56458333333333333</v>
      </c>
      <c r="BF10" s="79">
        <v>1</v>
      </c>
      <c r="BG10" s="77">
        <v>0.32430555555555557</v>
      </c>
      <c r="BH10" s="77">
        <v>0.32430555555555557</v>
      </c>
      <c r="BI10" s="77">
        <v>0.3298611111111111</v>
      </c>
      <c r="BJ10" s="79">
        <v>1</v>
      </c>
      <c r="BK10" s="77">
        <v>0.33194444444444443</v>
      </c>
      <c r="BL10" s="98">
        <v>1</v>
      </c>
      <c r="BM10" s="77">
        <v>0.33124999999999999</v>
      </c>
      <c r="BN10" s="79">
        <v>1</v>
      </c>
      <c r="BO10" s="15">
        <f t="shared" si="2"/>
        <v>30</v>
      </c>
      <c r="BP10" s="74">
        <v>2</v>
      </c>
      <c r="BQ10" s="16">
        <f t="shared" si="0"/>
        <v>28</v>
      </c>
      <c r="BR10" s="2">
        <f>COUNTIF(E10:BN10,"OFF")/2</f>
        <v>2</v>
      </c>
      <c r="BS10" s="17">
        <f>COUNTIF(B10:BE10,"MC")/2</f>
        <v>0</v>
      </c>
      <c r="BT10" s="17">
        <f>COUNTIF(B10:BE10,"EL")/2</f>
        <v>0</v>
      </c>
      <c r="BU10" s="17">
        <f>COUNTIF(B10:BE10,"AL")/2</f>
        <v>0</v>
      </c>
      <c r="BV10" s="17">
        <f>COUNTIF(B10:BE10,"SUS")/2</f>
        <v>0</v>
      </c>
      <c r="BW10" s="17">
        <f>COUNTIF(B10:BE10,"FL")/2</f>
        <v>0</v>
      </c>
      <c r="BX10" s="17">
        <f>COUNTIF(B10:BE10,"SICK")/2</f>
        <v>0</v>
      </c>
      <c r="BY10" s="17">
        <f>COUNTIF(B10:BE10,"HD")/2</f>
        <v>0</v>
      </c>
      <c r="BZ10" s="17">
        <f>COUNTIF(B10:BE10,"AB")/2</f>
        <v>0</v>
      </c>
      <c r="CA10" s="17">
        <f>COUNTIF(B10:BE10,"NL")/2</f>
        <v>0</v>
      </c>
      <c r="CB10" s="17">
        <f>COUNTIF(B10:BE10,"SP")/2</f>
        <v>0</v>
      </c>
      <c r="CC10" s="18"/>
      <c r="CF10" s="82">
        <v>0</v>
      </c>
      <c r="CG10" s="82">
        <v>0</v>
      </c>
      <c r="CH10" s="82">
        <v>0</v>
      </c>
      <c r="CI10" s="82">
        <v>0</v>
      </c>
      <c r="CJ10" s="82">
        <v>0</v>
      </c>
      <c r="CK10" s="82">
        <v>2</v>
      </c>
      <c r="CL10" s="82">
        <v>0</v>
      </c>
      <c r="CM10" s="82">
        <v>0</v>
      </c>
      <c r="CN10" s="82">
        <v>0</v>
      </c>
      <c r="CO10" s="82">
        <v>0</v>
      </c>
      <c r="CP10" s="83">
        <f t="shared" si="1"/>
        <v>2</v>
      </c>
    </row>
    <row r="11" spans="1:94" ht="16.5" x14ac:dyDescent="0.25">
      <c r="A11" s="9"/>
      <c r="B11" s="1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01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71"/>
      <c r="BO11" s="72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</row>
    <row r="12" spans="1:94" ht="24" customHeight="1" x14ac:dyDescent="0.25">
      <c r="A12" s="122" t="s">
        <v>107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04"/>
      <c r="AJ12" s="122" t="s">
        <v>107</v>
      </c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</row>
    <row r="13" spans="1:94" ht="18.75" customHeight="1" x14ac:dyDescent="0.25">
      <c r="A13" s="124" t="s">
        <v>33</v>
      </c>
      <c r="B13" s="124"/>
      <c r="C13" s="124"/>
      <c r="D13" s="103"/>
      <c r="E13" s="121" t="s">
        <v>6</v>
      </c>
      <c r="F13" s="121"/>
      <c r="G13" s="121" t="s">
        <v>7</v>
      </c>
      <c r="H13" s="121"/>
      <c r="I13" s="121" t="s">
        <v>1</v>
      </c>
      <c r="J13" s="121"/>
      <c r="K13" s="121" t="s">
        <v>2</v>
      </c>
      <c r="L13" s="121"/>
      <c r="M13" s="121" t="s">
        <v>3</v>
      </c>
      <c r="N13" s="121"/>
      <c r="O13" s="121" t="s">
        <v>4</v>
      </c>
      <c r="P13" s="121"/>
      <c r="Q13" s="121" t="s">
        <v>5</v>
      </c>
      <c r="R13" s="121"/>
      <c r="S13" s="121" t="s">
        <v>6</v>
      </c>
      <c r="T13" s="121"/>
      <c r="U13" s="121" t="s">
        <v>7</v>
      </c>
      <c r="V13" s="121"/>
      <c r="W13" s="121" t="s">
        <v>1</v>
      </c>
      <c r="X13" s="121"/>
      <c r="Y13" s="121" t="s">
        <v>2</v>
      </c>
      <c r="Z13" s="121"/>
      <c r="AA13" s="121" t="s">
        <v>3</v>
      </c>
      <c r="AB13" s="121"/>
      <c r="AC13" s="121" t="s">
        <v>4</v>
      </c>
      <c r="AD13" s="121"/>
      <c r="AE13" s="121" t="s">
        <v>5</v>
      </c>
      <c r="AF13" s="121"/>
      <c r="AG13" s="121" t="s">
        <v>6</v>
      </c>
      <c r="AH13" s="121"/>
      <c r="AI13" s="105"/>
      <c r="AJ13" s="12"/>
      <c r="AK13" s="121" t="s">
        <v>7</v>
      </c>
      <c r="AL13" s="121"/>
      <c r="AM13" s="121" t="s">
        <v>1</v>
      </c>
      <c r="AN13" s="121"/>
      <c r="AO13" s="121" t="s">
        <v>2</v>
      </c>
      <c r="AP13" s="121"/>
      <c r="AQ13" s="121" t="s">
        <v>3</v>
      </c>
      <c r="AR13" s="121"/>
      <c r="AS13" s="121" t="s">
        <v>4</v>
      </c>
      <c r="AT13" s="121"/>
      <c r="AU13" s="121" t="s">
        <v>5</v>
      </c>
      <c r="AV13" s="121"/>
      <c r="AW13" s="121" t="s">
        <v>6</v>
      </c>
      <c r="AX13" s="121"/>
      <c r="AY13" s="121" t="s">
        <v>7</v>
      </c>
      <c r="AZ13" s="121"/>
      <c r="BA13" s="121" t="s">
        <v>1</v>
      </c>
      <c r="BB13" s="121"/>
      <c r="BC13" s="121" t="s">
        <v>2</v>
      </c>
      <c r="BD13" s="121"/>
      <c r="BE13" s="121" t="s">
        <v>3</v>
      </c>
      <c r="BF13" s="121"/>
      <c r="BG13" s="121" t="s">
        <v>4</v>
      </c>
      <c r="BH13" s="121"/>
      <c r="BI13" s="121" t="s">
        <v>5</v>
      </c>
      <c r="BJ13" s="121"/>
      <c r="BK13" s="121" t="s">
        <v>6</v>
      </c>
      <c r="BL13" s="121"/>
      <c r="BM13" s="121" t="s">
        <v>7</v>
      </c>
      <c r="BN13" s="121"/>
      <c r="BO13" s="123" t="s">
        <v>8</v>
      </c>
      <c r="BP13" s="123" t="s">
        <v>9</v>
      </c>
      <c r="BQ13" s="14"/>
      <c r="BR13" s="14"/>
      <c r="BS13" s="14"/>
      <c r="BT13" s="14"/>
      <c r="BU13" s="14"/>
      <c r="BV13" s="14"/>
      <c r="BW13" s="14"/>
      <c r="BX13" s="14"/>
      <c r="BY13" s="21"/>
      <c r="BZ13" s="21"/>
      <c r="CA13" s="14"/>
      <c r="CB13" s="22"/>
      <c r="CC13" s="22"/>
      <c r="CF13" s="128" t="s">
        <v>87</v>
      </c>
      <c r="CG13" s="128"/>
      <c r="CH13" s="128"/>
      <c r="CI13" s="128"/>
      <c r="CJ13" s="128"/>
      <c r="CK13" s="128"/>
      <c r="CL13" s="128"/>
      <c r="CM13" s="128"/>
      <c r="CN13" s="128"/>
      <c r="CO13" s="128"/>
      <c r="CP13" s="19"/>
    </row>
    <row r="14" spans="1:94" ht="18.75" customHeight="1" x14ac:dyDescent="0.25">
      <c r="A14" s="124"/>
      <c r="B14" s="124"/>
      <c r="C14" s="124"/>
      <c r="D14" s="103"/>
      <c r="E14" s="125">
        <v>46174</v>
      </c>
      <c r="F14" s="125"/>
      <c r="G14" s="125">
        <v>46175</v>
      </c>
      <c r="H14" s="125"/>
      <c r="I14" s="125">
        <v>46176</v>
      </c>
      <c r="J14" s="125"/>
      <c r="K14" s="125">
        <v>46177</v>
      </c>
      <c r="L14" s="125"/>
      <c r="M14" s="125">
        <v>46178</v>
      </c>
      <c r="N14" s="125"/>
      <c r="O14" s="125">
        <v>46179</v>
      </c>
      <c r="P14" s="125"/>
      <c r="Q14" s="125">
        <v>46180</v>
      </c>
      <c r="R14" s="125"/>
      <c r="S14" s="125">
        <v>46181</v>
      </c>
      <c r="T14" s="125"/>
      <c r="U14" s="125">
        <v>46182</v>
      </c>
      <c r="V14" s="125"/>
      <c r="W14" s="125">
        <v>46183</v>
      </c>
      <c r="X14" s="125"/>
      <c r="Y14" s="125">
        <v>46184</v>
      </c>
      <c r="Z14" s="125"/>
      <c r="AA14" s="125">
        <v>46185</v>
      </c>
      <c r="AB14" s="125"/>
      <c r="AC14" s="125">
        <v>46186</v>
      </c>
      <c r="AD14" s="125"/>
      <c r="AE14" s="125">
        <v>46187</v>
      </c>
      <c r="AF14" s="125"/>
      <c r="AG14" s="125">
        <v>46188</v>
      </c>
      <c r="AH14" s="125"/>
      <c r="AI14" s="106"/>
      <c r="AJ14" s="111"/>
      <c r="AK14" s="125">
        <v>46189</v>
      </c>
      <c r="AL14" s="125"/>
      <c r="AM14" s="125">
        <v>46190</v>
      </c>
      <c r="AN14" s="125"/>
      <c r="AO14" s="125">
        <v>46191</v>
      </c>
      <c r="AP14" s="125"/>
      <c r="AQ14" s="125">
        <v>46192</v>
      </c>
      <c r="AR14" s="125"/>
      <c r="AS14" s="125">
        <v>46193</v>
      </c>
      <c r="AT14" s="125"/>
      <c r="AU14" s="125">
        <v>46194</v>
      </c>
      <c r="AV14" s="125"/>
      <c r="AW14" s="125">
        <v>46195</v>
      </c>
      <c r="AX14" s="125"/>
      <c r="AY14" s="125">
        <v>46196</v>
      </c>
      <c r="AZ14" s="125"/>
      <c r="BA14" s="125">
        <v>46197</v>
      </c>
      <c r="BB14" s="125"/>
      <c r="BC14" s="125">
        <v>46198</v>
      </c>
      <c r="BD14" s="125"/>
      <c r="BE14" s="125">
        <v>46199</v>
      </c>
      <c r="BF14" s="125"/>
      <c r="BG14" s="125">
        <v>46200</v>
      </c>
      <c r="BH14" s="125"/>
      <c r="BI14" s="125">
        <v>46201</v>
      </c>
      <c r="BJ14" s="125"/>
      <c r="BK14" s="125">
        <v>46202</v>
      </c>
      <c r="BL14" s="125"/>
      <c r="BM14" s="125">
        <v>46203</v>
      </c>
      <c r="BN14" s="125"/>
      <c r="BO14" s="123"/>
      <c r="BP14" s="123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F14" s="55" t="s">
        <v>105</v>
      </c>
      <c r="CG14" s="55"/>
      <c r="CH14" s="55"/>
      <c r="CI14" s="55"/>
      <c r="CJ14" s="55"/>
      <c r="CK14" s="55"/>
      <c r="CL14" s="55"/>
      <c r="CM14" s="55"/>
      <c r="CN14" s="55"/>
      <c r="CO14" s="55"/>
      <c r="CP14" s="19"/>
    </row>
    <row r="15" spans="1:94" ht="18.75" customHeight="1" x14ac:dyDescent="0.25">
      <c r="A15" s="4" t="s">
        <v>10</v>
      </c>
      <c r="B15" s="4" t="s">
        <v>11</v>
      </c>
      <c r="C15" s="4" t="s">
        <v>12</v>
      </c>
      <c r="D15" s="4"/>
      <c r="E15" s="12" t="s">
        <v>13</v>
      </c>
      <c r="F15" s="12" t="s">
        <v>14</v>
      </c>
      <c r="G15" s="12" t="s">
        <v>13</v>
      </c>
      <c r="H15" s="12" t="s">
        <v>14</v>
      </c>
      <c r="I15" s="12" t="s">
        <v>13</v>
      </c>
      <c r="J15" s="12" t="s">
        <v>14</v>
      </c>
      <c r="K15" s="12" t="s">
        <v>13</v>
      </c>
      <c r="L15" s="12" t="s">
        <v>14</v>
      </c>
      <c r="M15" s="12" t="s">
        <v>13</v>
      </c>
      <c r="N15" s="12" t="s">
        <v>14</v>
      </c>
      <c r="O15" s="12" t="s">
        <v>13</v>
      </c>
      <c r="P15" s="12" t="s">
        <v>14</v>
      </c>
      <c r="Q15" s="12" t="s">
        <v>13</v>
      </c>
      <c r="R15" s="12" t="s">
        <v>14</v>
      </c>
      <c r="S15" s="12" t="s">
        <v>13</v>
      </c>
      <c r="T15" s="12" t="s">
        <v>14</v>
      </c>
      <c r="U15" s="12" t="s">
        <v>13</v>
      </c>
      <c r="V15" s="12" t="s">
        <v>14</v>
      </c>
      <c r="W15" s="12" t="s">
        <v>13</v>
      </c>
      <c r="X15" s="12" t="s">
        <v>14</v>
      </c>
      <c r="Y15" s="12" t="s">
        <v>13</v>
      </c>
      <c r="Z15" s="12" t="s">
        <v>14</v>
      </c>
      <c r="AA15" s="12" t="s">
        <v>13</v>
      </c>
      <c r="AB15" s="12" t="s">
        <v>14</v>
      </c>
      <c r="AC15" s="12" t="s">
        <v>13</v>
      </c>
      <c r="AD15" s="12" t="s">
        <v>14</v>
      </c>
      <c r="AE15" s="12" t="s">
        <v>13</v>
      </c>
      <c r="AF15" s="12" t="s">
        <v>14</v>
      </c>
      <c r="AG15" s="12" t="s">
        <v>13</v>
      </c>
      <c r="AH15" s="12" t="s">
        <v>14</v>
      </c>
      <c r="AI15" s="105"/>
      <c r="AJ15" s="12"/>
      <c r="AK15" s="52" t="s">
        <v>13</v>
      </c>
      <c r="AL15" s="52" t="s">
        <v>14</v>
      </c>
      <c r="AM15" s="52" t="s">
        <v>13</v>
      </c>
      <c r="AN15" s="52" t="s">
        <v>14</v>
      </c>
      <c r="AO15" s="52" t="s">
        <v>13</v>
      </c>
      <c r="AP15" s="52" t="s">
        <v>14</v>
      </c>
      <c r="AQ15" s="52" t="s">
        <v>13</v>
      </c>
      <c r="AR15" s="52" t="s">
        <v>14</v>
      </c>
      <c r="AS15" s="52" t="s">
        <v>13</v>
      </c>
      <c r="AT15" s="52" t="s">
        <v>14</v>
      </c>
      <c r="AU15" s="12" t="s">
        <v>13</v>
      </c>
      <c r="AV15" s="12" t="s">
        <v>14</v>
      </c>
      <c r="AW15" s="12" t="s">
        <v>13</v>
      </c>
      <c r="AX15" s="12" t="s">
        <v>14</v>
      </c>
      <c r="AY15" s="12" t="s">
        <v>13</v>
      </c>
      <c r="AZ15" s="12" t="s">
        <v>14</v>
      </c>
      <c r="BA15" s="12" t="s">
        <v>13</v>
      </c>
      <c r="BB15" s="12" t="s">
        <v>14</v>
      </c>
      <c r="BC15" s="12" t="s">
        <v>13</v>
      </c>
      <c r="BD15" s="12" t="s">
        <v>14</v>
      </c>
      <c r="BE15" s="12" t="s">
        <v>13</v>
      </c>
      <c r="BF15" s="12" t="s">
        <v>14</v>
      </c>
      <c r="BG15" s="12" t="s">
        <v>13</v>
      </c>
      <c r="BH15" s="12" t="s">
        <v>14</v>
      </c>
      <c r="BI15" s="12" t="s">
        <v>13</v>
      </c>
      <c r="BJ15" s="12" t="s">
        <v>14</v>
      </c>
      <c r="BK15" s="12" t="s">
        <v>13</v>
      </c>
      <c r="BL15" s="12" t="s">
        <v>14</v>
      </c>
      <c r="BM15" s="12" t="s">
        <v>13</v>
      </c>
      <c r="BN15" s="12" t="s">
        <v>14</v>
      </c>
      <c r="BO15" s="123"/>
      <c r="BP15" s="123"/>
      <c r="BQ15" s="13"/>
      <c r="BR15" s="79" t="s">
        <v>15</v>
      </c>
      <c r="BS15" s="79" t="s">
        <v>16</v>
      </c>
      <c r="BT15" s="79" t="s">
        <v>17</v>
      </c>
      <c r="BU15" s="79" t="s">
        <v>18</v>
      </c>
      <c r="BV15" s="79" t="s">
        <v>19</v>
      </c>
      <c r="BW15" s="79" t="s">
        <v>20</v>
      </c>
      <c r="BX15" s="79" t="s">
        <v>102</v>
      </c>
      <c r="BY15" s="50" t="s">
        <v>22</v>
      </c>
      <c r="BZ15" s="79" t="s">
        <v>23</v>
      </c>
      <c r="CA15" s="79" t="s">
        <v>24</v>
      </c>
      <c r="CB15" s="79" t="s">
        <v>25</v>
      </c>
      <c r="CC15" s="14" t="s">
        <v>26</v>
      </c>
      <c r="CF15" s="65" t="s">
        <v>16</v>
      </c>
      <c r="CG15" s="65" t="s">
        <v>17</v>
      </c>
      <c r="CH15" s="65" t="s">
        <v>18</v>
      </c>
      <c r="CI15" s="65" t="s">
        <v>19</v>
      </c>
      <c r="CJ15" s="65" t="s">
        <v>20</v>
      </c>
      <c r="CK15" s="65" t="s">
        <v>21</v>
      </c>
      <c r="CL15" s="65" t="s">
        <v>22</v>
      </c>
      <c r="CM15" s="65" t="s">
        <v>23</v>
      </c>
      <c r="CN15" s="65" t="s">
        <v>24</v>
      </c>
      <c r="CO15" s="65" t="s">
        <v>25</v>
      </c>
      <c r="CP15" s="65" t="s">
        <v>88</v>
      </c>
    </row>
    <row r="16" spans="1:94" ht="22.5" customHeight="1" x14ac:dyDescent="0.25">
      <c r="A16" s="7">
        <v>7</v>
      </c>
      <c r="B16" s="8" t="s">
        <v>34</v>
      </c>
      <c r="C16" s="108" t="s">
        <v>35</v>
      </c>
      <c r="D16" s="109">
        <v>43525</v>
      </c>
      <c r="E16" s="66">
        <v>0.3527777777777778</v>
      </c>
      <c r="F16" s="98">
        <v>1</v>
      </c>
      <c r="G16" s="66">
        <v>0.35416666666666669</v>
      </c>
      <c r="H16" s="98">
        <v>1</v>
      </c>
      <c r="I16" s="66">
        <v>0.34930555555555554</v>
      </c>
      <c r="J16" s="98">
        <v>1</v>
      </c>
      <c r="K16" s="66">
        <v>0.34722222222222227</v>
      </c>
      <c r="L16" s="98">
        <v>1</v>
      </c>
      <c r="M16" s="99">
        <v>0.57847222222222217</v>
      </c>
      <c r="N16" s="100">
        <v>1</v>
      </c>
      <c r="O16" s="66">
        <v>0.34027777777777773</v>
      </c>
      <c r="P16" s="98">
        <v>1</v>
      </c>
      <c r="Q16" s="66">
        <v>0.34652777777777777</v>
      </c>
      <c r="R16" s="98">
        <v>1</v>
      </c>
      <c r="S16" s="66">
        <v>0.33888888888888885</v>
      </c>
      <c r="T16" s="98">
        <v>1</v>
      </c>
      <c r="U16" s="66">
        <v>0.34027777777777773</v>
      </c>
      <c r="V16" s="98">
        <v>1</v>
      </c>
      <c r="W16" s="66">
        <v>0.33958333333333335</v>
      </c>
      <c r="X16" s="98">
        <v>1</v>
      </c>
      <c r="Y16" s="66">
        <v>0.34027777777777773</v>
      </c>
      <c r="Z16" s="98">
        <v>1</v>
      </c>
      <c r="AA16" s="87" t="s">
        <v>15</v>
      </c>
      <c r="AB16" s="87" t="s">
        <v>15</v>
      </c>
      <c r="AC16" s="66">
        <v>0.33749999999999997</v>
      </c>
      <c r="AD16" s="98">
        <v>1</v>
      </c>
      <c r="AE16" s="66">
        <v>0.34375</v>
      </c>
      <c r="AF16" s="98">
        <v>1</v>
      </c>
      <c r="AG16" s="66">
        <v>0.34236111111111112</v>
      </c>
      <c r="AH16" s="98">
        <v>1</v>
      </c>
      <c r="AI16" s="101"/>
      <c r="AJ16" s="112">
        <v>7</v>
      </c>
      <c r="AK16" s="77">
        <v>0.33958333333333335</v>
      </c>
      <c r="AL16" s="98">
        <v>1</v>
      </c>
      <c r="AM16" s="77">
        <v>0.33958333333333335</v>
      </c>
      <c r="AN16" s="98">
        <v>1</v>
      </c>
      <c r="AO16" s="77">
        <v>0.33888888888888885</v>
      </c>
      <c r="AP16" s="98">
        <v>1</v>
      </c>
      <c r="AQ16" s="86">
        <v>0.57847222222222217</v>
      </c>
      <c r="AR16" s="87">
        <v>1</v>
      </c>
      <c r="AS16" s="77">
        <v>0.37708333333333338</v>
      </c>
      <c r="AT16" s="98">
        <v>1</v>
      </c>
      <c r="AU16" s="77">
        <v>0.33819444444444446</v>
      </c>
      <c r="AV16" s="98">
        <v>1</v>
      </c>
      <c r="AW16" s="77">
        <v>0.33958333333333335</v>
      </c>
      <c r="AX16" s="98">
        <v>1</v>
      </c>
      <c r="AY16" s="77">
        <v>0.33819444444444446</v>
      </c>
      <c r="AZ16" s="98">
        <v>1</v>
      </c>
      <c r="BA16" s="77">
        <v>0.34097222222222223</v>
      </c>
      <c r="BB16" s="98">
        <v>1</v>
      </c>
      <c r="BC16" s="77">
        <v>0.3444444444444445</v>
      </c>
      <c r="BD16" s="98">
        <v>1</v>
      </c>
      <c r="BE16" s="87" t="s">
        <v>15</v>
      </c>
      <c r="BF16" s="87" t="s">
        <v>15</v>
      </c>
      <c r="BG16" s="77">
        <v>0.33819444444444446</v>
      </c>
      <c r="BH16" s="79">
        <v>1</v>
      </c>
      <c r="BI16" s="77">
        <v>0.33680555555555558</v>
      </c>
      <c r="BJ16" s="79">
        <v>1</v>
      </c>
      <c r="BK16" s="77">
        <v>0.34583333333333338</v>
      </c>
      <c r="BL16" s="98">
        <v>1</v>
      </c>
      <c r="BM16" s="77">
        <v>0.34166666666666662</v>
      </c>
      <c r="BN16" s="77">
        <v>0.34166666666666662</v>
      </c>
      <c r="BO16" s="15">
        <f>BQ16+BR16+BS16+BT16+BY16+BW16+BX16+CB16</f>
        <v>30</v>
      </c>
      <c r="BP16" s="54">
        <v>2</v>
      </c>
      <c r="BQ16" s="16">
        <f t="shared" ref="BQ16:BQ35" si="3">COUNT(E16:AH16)/2+COUNT(AK16:BN16)/2</f>
        <v>28</v>
      </c>
      <c r="BR16" s="17">
        <f>COUNTIF(B16:BN16,"OFF")/2</f>
        <v>2</v>
      </c>
      <c r="BS16" s="17">
        <f>COUNTIF(B16:BN16,"MC")/2</f>
        <v>0</v>
      </c>
      <c r="BT16" s="17">
        <f>COUNTIF(B16:BN16,"EL")/2</f>
        <v>0</v>
      </c>
      <c r="BU16" s="17">
        <f>COUNTIF(B16:BN16,"AL")/2</f>
        <v>0</v>
      </c>
      <c r="BV16" s="17">
        <f>COUNTIF(B16:BN16,"SUS")/2</f>
        <v>0</v>
      </c>
      <c r="BW16" s="17">
        <f>COUNTIF(B16:BN16,"FL")/2</f>
        <v>0</v>
      </c>
      <c r="BX16" s="17">
        <f>COUNTIF(B16:BN16,"SICK")/2</f>
        <v>0</v>
      </c>
      <c r="BY16" s="17">
        <f>COUNTIF(B16:BN16,"HD")/2</f>
        <v>0</v>
      </c>
      <c r="BZ16" s="17">
        <f>COUNTIF(B16:BN16,"AB")/2</f>
        <v>0</v>
      </c>
      <c r="CA16" s="17">
        <f>COUNTIF(B16:BN16,"NL")/2</f>
        <v>0</v>
      </c>
      <c r="CB16" s="17">
        <f>COUNTIF(B16:BN16,"SP")/2</f>
        <v>0</v>
      </c>
      <c r="CC16" s="18"/>
      <c r="CF16" s="61">
        <v>0</v>
      </c>
      <c r="CG16" s="61">
        <v>0</v>
      </c>
      <c r="CH16" s="61">
        <v>0</v>
      </c>
      <c r="CI16" s="61">
        <v>0</v>
      </c>
      <c r="CJ16" s="61">
        <v>0</v>
      </c>
      <c r="CK16" s="61">
        <v>2</v>
      </c>
      <c r="CL16" s="62">
        <v>0</v>
      </c>
      <c r="CM16" s="62">
        <v>0</v>
      </c>
      <c r="CN16" s="62">
        <v>0</v>
      </c>
      <c r="CO16" s="62">
        <v>0</v>
      </c>
      <c r="CP16" s="63">
        <f t="shared" ref="CP16:CP17" si="4">SUM(CF16:CO16)</f>
        <v>2</v>
      </c>
    </row>
    <row r="17" spans="1:94" ht="22.5" customHeight="1" x14ac:dyDescent="0.25">
      <c r="A17" s="7">
        <v>8</v>
      </c>
      <c r="B17" s="8" t="s">
        <v>36</v>
      </c>
      <c r="C17" s="108" t="s">
        <v>37</v>
      </c>
      <c r="D17" s="109">
        <v>44862</v>
      </c>
      <c r="E17" s="66">
        <v>0.3527777777777778</v>
      </c>
      <c r="F17" s="66">
        <v>0.94166666666666676</v>
      </c>
      <c r="G17" s="66">
        <v>0.35694444444444445</v>
      </c>
      <c r="H17" s="66">
        <v>0.9375</v>
      </c>
      <c r="I17" s="66">
        <v>0.3527777777777778</v>
      </c>
      <c r="J17" s="66">
        <v>0.94027777777777777</v>
      </c>
      <c r="K17" s="66">
        <v>0.35416666666666669</v>
      </c>
      <c r="L17" s="66">
        <v>0.96111111111111114</v>
      </c>
      <c r="M17" s="99">
        <v>0.57847222222222217</v>
      </c>
      <c r="N17" s="99">
        <v>0.95833333333333337</v>
      </c>
      <c r="O17" s="66">
        <v>0.34930555555555554</v>
      </c>
      <c r="P17" s="66">
        <v>0.95763888888888893</v>
      </c>
      <c r="Q17" s="66">
        <v>0.35069444444444442</v>
      </c>
      <c r="R17" s="66">
        <v>0.93680555555555556</v>
      </c>
      <c r="S17" s="66">
        <v>0.3520833333333333</v>
      </c>
      <c r="T17" s="66">
        <v>0.94305555555555554</v>
      </c>
      <c r="U17" s="66">
        <v>0.3520833333333333</v>
      </c>
      <c r="V17" s="66">
        <v>0.94027777777777777</v>
      </c>
      <c r="W17" s="66">
        <v>0.34791666666666665</v>
      </c>
      <c r="X17" s="66">
        <v>0.94166666666666676</v>
      </c>
      <c r="Y17" s="66">
        <v>0.35069444444444442</v>
      </c>
      <c r="Z17" s="66">
        <v>0.95624999999999993</v>
      </c>
      <c r="AA17" s="87" t="s">
        <v>15</v>
      </c>
      <c r="AB17" s="87" t="s">
        <v>15</v>
      </c>
      <c r="AC17" s="66">
        <v>0.34930555555555554</v>
      </c>
      <c r="AD17" s="66">
        <v>0.95624999999999993</v>
      </c>
      <c r="AE17" s="66">
        <v>0.35069444444444442</v>
      </c>
      <c r="AF17" s="66">
        <v>0.93958333333333333</v>
      </c>
      <c r="AG17" s="66">
        <v>0.35416666666666669</v>
      </c>
      <c r="AH17" s="66">
        <v>0.9604166666666667</v>
      </c>
      <c r="AI17" s="107"/>
      <c r="AJ17" s="112">
        <v>8</v>
      </c>
      <c r="AK17" s="77">
        <v>0.34791666666666665</v>
      </c>
      <c r="AL17" s="77">
        <v>0.93819444444444444</v>
      </c>
      <c r="AM17" s="77">
        <v>0.3527777777777778</v>
      </c>
      <c r="AN17" s="77">
        <v>0.94097222222222221</v>
      </c>
      <c r="AO17" s="77">
        <v>0.35486111111111113</v>
      </c>
      <c r="AP17" s="77">
        <v>0.95694444444444438</v>
      </c>
      <c r="AQ17" s="86">
        <v>0.57708333333333328</v>
      </c>
      <c r="AR17" s="86">
        <v>0.95486111111111116</v>
      </c>
      <c r="AS17" s="77">
        <v>0.34861111111111115</v>
      </c>
      <c r="AT17" s="77">
        <v>0.9590277777777777</v>
      </c>
      <c r="AU17" s="77">
        <v>0.34930555555555554</v>
      </c>
      <c r="AV17" s="77">
        <v>0.93819444444444444</v>
      </c>
      <c r="AW17" s="77">
        <v>0.34791666666666665</v>
      </c>
      <c r="AX17" s="77">
        <v>0.93958333333333333</v>
      </c>
      <c r="AY17" s="77">
        <v>0.34930555555555554</v>
      </c>
      <c r="AZ17" s="77">
        <v>0.93888888888888899</v>
      </c>
      <c r="BA17" s="77">
        <v>0.35000000000000003</v>
      </c>
      <c r="BB17" s="77">
        <v>0.94236111111111109</v>
      </c>
      <c r="BC17" s="77">
        <v>0.35000000000000003</v>
      </c>
      <c r="BD17" s="98">
        <v>1</v>
      </c>
      <c r="BE17" s="87" t="s">
        <v>15</v>
      </c>
      <c r="BF17" s="87" t="s">
        <v>15</v>
      </c>
      <c r="BG17" s="77">
        <v>0.35000000000000003</v>
      </c>
      <c r="BH17" s="77">
        <v>0.94166666666666676</v>
      </c>
      <c r="BI17" s="77">
        <v>0.35000000000000003</v>
      </c>
      <c r="BJ17" s="77">
        <v>0.94305555555555554</v>
      </c>
      <c r="BK17" s="77">
        <v>0.35000000000000003</v>
      </c>
      <c r="BL17" s="77">
        <v>0.92708333333333337</v>
      </c>
      <c r="BM17" s="77">
        <v>0.35069444444444442</v>
      </c>
      <c r="BN17" s="77">
        <v>0.94444444444444453</v>
      </c>
      <c r="BO17" s="15">
        <f t="shared" ref="BO17:BO35" si="5">BQ17+BR17+BS17+BT17+BY17+BW17+BX17+CB17</f>
        <v>30</v>
      </c>
      <c r="BP17" s="54">
        <v>2</v>
      </c>
      <c r="BQ17" s="16">
        <f t="shared" si="3"/>
        <v>28</v>
      </c>
      <c r="BR17" s="17">
        <f t="shared" ref="BR17:BR23" si="6">COUNTIF(B17:BJ17,"OFF")/2</f>
        <v>2</v>
      </c>
      <c r="BS17" s="17">
        <f t="shared" ref="BS17:BS23" si="7">COUNTIF(B17:BJ17,"MC")/2</f>
        <v>0</v>
      </c>
      <c r="BT17" s="17">
        <f t="shared" ref="BT17:BT23" si="8">COUNTIF(B17:BJ17,"EL")/2</f>
        <v>0</v>
      </c>
      <c r="BU17" s="17">
        <f t="shared" ref="BU17:BU23" si="9">COUNTIF(B17:BJ17,"AL")/2</f>
        <v>0</v>
      </c>
      <c r="BV17" s="17">
        <f t="shared" ref="BV17:BV23" si="10">COUNTIF(B17:BJ17,"SUS")/2</f>
        <v>0</v>
      </c>
      <c r="BW17" s="17">
        <f t="shared" ref="BW17:BW23" si="11">COUNTIF(B17:BJ17,"FL")/2</f>
        <v>0</v>
      </c>
      <c r="BX17" s="17">
        <f t="shared" ref="BX17:BX23" si="12">COUNTIF(B17:BJ17,"SICK")/2</f>
        <v>0</v>
      </c>
      <c r="BY17" s="17">
        <f>COUNTIF(B17:BN17,"HD")/2</f>
        <v>0</v>
      </c>
      <c r="BZ17" s="17">
        <f t="shared" ref="BZ17:BZ23" si="13">COUNTIF(B17:BJ17,"AB")/2</f>
        <v>0</v>
      </c>
      <c r="CA17" s="17">
        <f t="shared" ref="CA17:CA23" si="14">COUNTIF(B17:BJ17,"NL")/2</f>
        <v>0</v>
      </c>
      <c r="CB17" s="17">
        <f t="shared" ref="CB17:CB23" si="15">COUNTIF(B17:BJ17,"SP")/2</f>
        <v>0</v>
      </c>
      <c r="CC17" s="18"/>
      <c r="CF17" s="60">
        <v>0</v>
      </c>
      <c r="CG17" s="60">
        <v>0</v>
      </c>
      <c r="CH17" s="60">
        <v>0</v>
      </c>
      <c r="CI17" s="59">
        <v>0</v>
      </c>
      <c r="CJ17" s="59">
        <v>0</v>
      </c>
      <c r="CK17" s="59">
        <v>1</v>
      </c>
      <c r="CL17" s="59">
        <v>0</v>
      </c>
      <c r="CM17" s="59">
        <v>0</v>
      </c>
      <c r="CN17" s="59">
        <v>0</v>
      </c>
      <c r="CO17" s="59">
        <v>0</v>
      </c>
      <c r="CP17" s="64">
        <f t="shared" si="4"/>
        <v>1</v>
      </c>
    </row>
    <row r="18" spans="1:94" ht="22.5" customHeight="1" x14ac:dyDescent="0.25">
      <c r="A18" s="7">
        <v>9</v>
      </c>
      <c r="B18" s="8" t="s">
        <v>39</v>
      </c>
      <c r="C18" s="108" t="s">
        <v>40</v>
      </c>
      <c r="D18" s="109">
        <v>45374</v>
      </c>
      <c r="E18" s="66">
        <v>0.35972222222222222</v>
      </c>
      <c r="F18" s="66">
        <v>0.9590277777777777</v>
      </c>
      <c r="G18" s="66">
        <v>0.64861111111111114</v>
      </c>
      <c r="H18" s="66">
        <v>0.95763888888888893</v>
      </c>
      <c r="I18" s="66">
        <v>0.43055555555555558</v>
      </c>
      <c r="J18" s="66">
        <v>0.95347222222222217</v>
      </c>
      <c r="K18" s="66">
        <v>0.3576388888888889</v>
      </c>
      <c r="L18" s="66">
        <v>0.97083333333333333</v>
      </c>
      <c r="M18" s="87" t="s">
        <v>15</v>
      </c>
      <c r="N18" s="87" t="s">
        <v>15</v>
      </c>
      <c r="O18" s="66">
        <v>0.35833333333333334</v>
      </c>
      <c r="P18" s="66">
        <v>0.97569444444444453</v>
      </c>
      <c r="Q18" s="66">
        <v>0.35902777777777778</v>
      </c>
      <c r="R18" s="66">
        <v>0.95416666666666661</v>
      </c>
      <c r="S18" s="66">
        <v>0.4381944444444445</v>
      </c>
      <c r="T18" s="66">
        <v>0.9604166666666667</v>
      </c>
      <c r="U18" s="66">
        <v>0.33819444444444446</v>
      </c>
      <c r="V18" s="66">
        <v>0.95138888888888884</v>
      </c>
      <c r="W18" s="66">
        <v>0.35902777777777778</v>
      </c>
      <c r="X18" s="66">
        <v>0.94652777777777775</v>
      </c>
      <c r="Y18" s="66">
        <v>0.35902777777777778</v>
      </c>
      <c r="Z18" s="66">
        <v>0.96736111111111101</v>
      </c>
      <c r="AA18" s="66">
        <v>0.56874999999999998</v>
      </c>
      <c r="AB18" s="66">
        <v>0.95208333333333339</v>
      </c>
      <c r="AC18" s="66">
        <v>0.35694444444444445</v>
      </c>
      <c r="AD18" s="98">
        <v>1</v>
      </c>
      <c r="AE18" s="66">
        <v>0.33888888888888885</v>
      </c>
      <c r="AF18" s="66">
        <v>0.95138888888888884</v>
      </c>
      <c r="AG18" s="66">
        <v>0.35486111111111113</v>
      </c>
      <c r="AH18" s="66">
        <v>0.9819444444444444</v>
      </c>
      <c r="AI18" s="107"/>
      <c r="AJ18" s="112">
        <v>9</v>
      </c>
      <c r="AK18" s="77">
        <v>0.9506944444444444</v>
      </c>
      <c r="AL18" s="79">
        <v>1</v>
      </c>
      <c r="AM18" s="77">
        <v>0.35625000000000001</v>
      </c>
      <c r="AN18" s="77">
        <v>0.9506944444444444</v>
      </c>
      <c r="AO18" s="77">
        <v>0.35555555555555557</v>
      </c>
      <c r="AP18" s="77">
        <v>0.97569444444444453</v>
      </c>
      <c r="AQ18" s="87" t="s">
        <v>15</v>
      </c>
      <c r="AR18" s="87" t="s">
        <v>15</v>
      </c>
      <c r="AS18" s="77">
        <v>0.35625000000000001</v>
      </c>
      <c r="AT18" s="77">
        <v>0.96388888888888891</v>
      </c>
      <c r="AU18" s="77">
        <v>0.94930555555555562</v>
      </c>
      <c r="AV18" s="98">
        <v>1</v>
      </c>
      <c r="AW18" s="77">
        <v>0.35902777777777778</v>
      </c>
      <c r="AX18" s="77">
        <v>0.95347222222222217</v>
      </c>
      <c r="AY18" s="77">
        <v>0.56458333333333333</v>
      </c>
      <c r="AZ18" s="77">
        <v>0.94027777777777777</v>
      </c>
      <c r="BA18" s="77">
        <v>0.35486111111111113</v>
      </c>
      <c r="BB18" s="98">
        <v>1</v>
      </c>
      <c r="BC18" s="77">
        <v>0.35902777777777778</v>
      </c>
      <c r="BD18" s="98">
        <v>1</v>
      </c>
      <c r="BE18" s="98">
        <v>1</v>
      </c>
      <c r="BF18" s="98">
        <v>1</v>
      </c>
      <c r="BG18" s="77">
        <v>0.35833333333333334</v>
      </c>
      <c r="BH18" s="98">
        <v>1</v>
      </c>
      <c r="BI18" s="98">
        <v>1</v>
      </c>
      <c r="BJ18" s="98">
        <v>1</v>
      </c>
      <c r="BK18" s="50" t="s">
        <v>22</v>
      </c>
      <c r="BL18" s="50" t="s">
        <v>22</v>
      </c>
      <c r="BM18" s="77">
        <v>0.34166666666666662</v>
      </c>
      <c r="BN18" s="77">
        <v>0.95486111111111116</v>
      </c>
      <c r="BO18" s="15">
        <f>BQ18+BR18+BS18+BT18+BY18+BW18+BX18+CB18</f>
        <v>30</v>
      </c>
      <c r="BP18" s="54">
        <v>2</v>
      </c>
      <c r="BQ18" s="16">
        <f t="shared" si="3"/>
        <v>27</v>
      </c>
      <c r="BR18" s="17">
        <f t="shared" si="6"/>
        <v>2</v>
      </c>
      <c r="BS18" s="17">
        <f t="shared" si="7"/>
        <v>0</v>
      </c>
      <c r="BT18" s="17">
        <f t="shared" si="8"/>
        <v>0</v>
      </c>
      <c r="BU18" s="17">
        <f t="shared" si="9"/>
        <v>0</v>
      </c>
      <c r="BV18" s="17">
        <f t="shared" si="10"/>
        <v>0</v>
      </c>
      <c r="BW18" s="17">
        <f t="shared" si="11"/>
        <v>0</v>
      </c>
      <c r="BX18" s="17">
        <f t="shared" si="12"/>
        <v>0</v>
      </c>
      <c r="BY18" s="17">
        <f>COUNTIF(B18:BN18,"HD")/2</f>
        <v>1</v>
      </c>
      <c r="BZ18" s="17">
        <f t="shared" si="13"/>
        <v>0</v>
      </c>
      <c r="CA18" s="17">
        <f t="shared" si="14"/>
        <v>0</v>
      </c>
      <c r="CB18" s="17">
        <f t="shared" si="15"/>
        <v>0</v>
      </c>
      <c r="CC18" s="18"/>
      <c r="CF18" s="61">
        <v>0</v>
      </c>
      <c r="CG18" s="61">
        <v>0</v>
      </c>
      <c r="CH18" s="61">
        <v>0</v>
      </c>
      <c r="CI18" s="61">
        <v>0</v>
      </c>
      <c r="CJ18" s="61">
        <v>0</v>
      </c>
      <c r="CK18" s="61">
        <v>4</v>
      </c>
      <c r="CL18" s="62">
        <v>0</v>
      </c>
      <c r="CM18" s="62">
        <v>5</v>
      </c>
      <c r="CN18" s="62">
        <v>0</v>
      </c>
      <c r="CO18" s="62">
        <v>0</v>
      </c>
      <c r="CP18" s="63">
        <f t="shared" ref="CP18:CP29" si="16">SUM(CF18:CO18)</f>
        <v>9</v>
      </c>
    </row>
    <row r="19" spans="1:94" ht="22.5" customHeight="1" x14ac:dyDescent="0.25">
      <c r="A19" s="7">
        <v>10</v>
      </c>
      <c r="B19" s="8" t="s">
        <v>41</v>
      </c>
      <c r="C19" s="108" t="s">
        <v>42</v>
      </c>
      <c r="D19" s="109">
        <v>45382</v>
      </c>
      <c r="E19" s="66">
        <v>0.35069444444444442</v>
      </c>
      <c r="F19" s="66">
        <v>0.83958333333333324</v>
      </c>
      <c r="G19" s="66">
        <v>0.35347222222222219</v>
      </c>
      <c r="H19" s="66">
        <v>0.35347222222222219</v>
      </c>
      <c r="I19" s="66">
        <v>0.35625000000000001</v>
      </c>
      <c r="J19" s="66">
        <v>0.83333333333333337</v>
      </c>
      <c r="K19" s="66">
        <v>0.35069444444444442</v>
      </c>
      <c r="L19" s="66">
        <v>0.8652777777777777</v>
      </c>
      <c r="M19" s="99">
        <v>0.56736111111111109</v>
      </c>
      <c r="N19" s="99">
        <v>0.79236111111111107</v>
      </c>
      <c r="O19" s="66">
        <v>0.34027777777777773</v>
      </c>
      <c r="P19" s="66">
        <v>0.87777777777777777</v>
      </c>
      <c r="Q19" s="66">
        <v>0.34097222222222223</v>
      </c>
      <c r="R19" s="66">
        <v>0.80555555555555547</v>
      </c>
      <c r="S19" s="66">
        <v>0.33958333333333335</v>
      </c>
      <c r="T19" s="66">
        <v>0.81666666666666676</v>
      </c>
      <c r="U19" s="66">
        <v>0.33749999999999997</v>
      </c>
      <c r="V19" s="66">
        <v>0.85486111111111107</v>
      </c>
      <c r="W19" s="66">
        <v>0.34166666666666662</v>
      </c>
      <c r="X19" s="66">
        <v>0.81805555555555554</v>
      </c>
      <c r="Y19" s="66">
        <v>0.34166666666666662</v>
      </c>
      <c r="Z19" s="98">
        <v>1</v>
      </c>
      <c r="AA19" s="87" t="s">
        <v>15</v>
      </c>
      <c r="AB19" s="87" t="s">
        <v>15</v>
      </c>
      <c r="AC19" s="66">
        <v>0.34027777777777773</v>
      </c>
      <c r="AD19" s="66">
        <v>0.81458333333333333</v>
      </c>
      <c r="AE19" s="66">
        <v>0.34097222222222223</v>
      </c>
      <c r="AF19" s="98">
        <v>1</v>
      </c>
      <c r="AG19" s="66">
        <v>0.34027777777777773</v>
      </c>
      <c r="AH19" s="98">
        <v>1</v>
      </c>
      <c r="AI19" s="101"/>
      <c r="AJ19" s="112">
        <v>10</v>
      </c>
      <c r="AK19" s="77">
        <v>0.34027777777777773</v>
      </c>
      <c r="AL19" s="77">
        <v>0.78680555555555554</v>
      </c>
      <c r="AM19" s="77">
        <v>0.33888888888888885</v>
      </c>
      <c r="AN19" s="77">
        <v>0.83888888888888891</v>
      </c>
      <c r="AO19" s="77">
        <v>0.33611111111111108</v>
      </c>
      <c r="AP19" s="77">
        <v>0.83680555555555547</v>
      </c>
      <c r="AQ19" s="86">
        <v>0.56736111111111109</v>
      </c>
      <c r="AR19" s="86">
        <v>0.81458333333333333</v>
      </c>
      <c r="AS19" s="77">
        <v>0.34166666666666662</v>
      </c>
      <c r="AT19" s="77">
        <v>0.82291666666666663</v>
      </c>
      <c r="AU19" s="77">
        <v>0.34166666666666662</v>
      </c>
      <c r="AV19" s="77">
        <v>0.34166666666666662</v>
      </c>
      <c r="AW19" s="77">
        <v>0.34236111111111112</v>
      </c>
      <c r="AX19" s="77">
        <v>0.34236111111111112</v>
      </c>
      <c r="AY19" s="77">
        <v>0.33819444444444446</v>
      </c>
      <c r="AZ19" s="77">
        <v>0.33819444444444446</v>
      </c>
      <c r="BA19" s="77">
        <v>0.33819444444444446</v>
      </c>
      <c r="BB19" s="77">
        <v>0.87083333333333324</v>
      </c>
      <c r="BC19" s="77">
        <v>0.33888888888888885</v>
      </c>
      <c r="BD19" s="77">
        <v>0.82847222222222217</v>
      </c>
      <c r="BE19" s="87" t="s">
        <v>15</v>
      </c>
      <c r="BF19" s="87" t="s">
        <v>15</v>
      </c>
      <c r="BG19" s="77">
        <v>0.34166666666666662</v>
      </c>
      <c r="BH19" s="77">
        <v>0.81458333333333333</v>
      </c>
      <c r="BI19" s="77">
        <v>0.34097222222222223</v>
      </c>
      <c r="BJ19" s="77">
        <v>0.34097222222222223</v>
      </c>
      <c r="BK19" s="77">
        <v>0.3430555555555555</v>
      </c>
      <c r="BL19" s="77">
        <v>0.3430555555555555</v>
      </c>
      <c r="BM19" s="77">
        <v>0.3444444444444445</v>
      </c>
      <c r="BN19" s="77">
        <v>0.94652777777777775</v>
      </c>
      <c r="BO19" s="15">
        <f t="shared" si="5"/>
        <v>30</v>
      </c>
      <c r="BP19" s="54">
        <v>2</v>
      </c>
      <c r="BQ19" s="16">
        <f t="shared" si="3"/>
        <v>28</v>
      </c>
      <c r="BR19" s="17">
        <f t="shared" si="6"/>
        <v>2</v>
      </c>
      <c r="BS19" s="17">
        <f t="shared" si="7"/>
        <v>0</v>
      </c>
      <c r="BT19" s="17">
        <f t="shared" si="8"/>
        <v>0</v>
      </c>
      <c r="BU19" s="17">
        <f t="shared" si="9"/>
        <v>0</v>
      </c>
      <c r="BV19" s="17">
        <f t="shared" si="10"/>
        <v>0</v>
      </c>
      <c r="BW19" s="17">
        <f t="shared" si="11"/>
        <v>0</v>
      </c>
      <c r="BX19" s="17">
        <f t="shared" si="12"/>
        <v>0</v>
      </c>
      <c r="BY19" s="17">
        <f>COUNTIF(B19:BN19,"HD")/2</f>
        <v>0</v>
      </c>
      <c r="BZ19" s="17">
        <f t="shared" si="13"/>
        <v>0</v>
      </c>
      <c r="CA19" s="17">
        <f t="shared" si="14"/>
        <v>0</v>
      </c>
      <c r="CB19" s="17">
        <f t="shared" si="15"/>
        <v>0</v>
      </c>
      <c r="CC19" s="18"/>
      <c r="CF19" s="60">
        <v>0</v>
      </c>
      <c r="CG19" s="60">
        <v>0</v>
      </c>
      <c r="CH19" s="60">
        <v>0</v>
      </c>
      <c r="CI19" s="60">
        <v>0</v>
      </c>
      <c r="CJ19" s="60">
        <v>0</v>
      </c>
      <c r="CK19" s="59">
        <v>3</v>
      </c>
      <c r="CL19" s="60">
        <v>0</v>
      </c>
      <c r="CM19" s="60">
        <v>0</v>
      </c>
      <c r="CN19" s="60">
        <v>0</v>
      </c>
      <c r="CO19" s="60">
        <v>0</v>
      </c>
      <c r="CP19" s="64">
        <f t="shared" si="16"/>
        <v>3</v>
      </c>
    </row>
    <row r="20" spans="1:94" ht="22.5" customHeight="1" x14ac:dyDescent="0.25">
      <c r="A20" s="7">
        <v>11</v>
      </c>
      <c r="B20" s="8" t="s">
        <v>43</v>
      </c>
      <c r="C20" s="108" t="s">
        <v>44</v>
      </c>
      <c r="D20" s="109">
        <v>45406</v>
      </c>
      <c r="E20" s="66">
        <v>0.35347222222222219</v>
      </c>
      <c r="F20" s="66">
        <v>0.94444444444444453</v>
      </c>
      <c r="G20" s="66">
        <v>0.3576388888888889</v>
      </c>
      <c r="H20" s="66">
        <v>0.94027777777777777</v>
      </c>
      <c r="I20" s="66">
        <v>0.35486111111111113</v>
      </c>
      <c r="J20" s="66">
        <v>0.94027777777777777</v>
      </c>
      <c r="K20" s="66">
        <v>0.35416666666666669</v>
      </c>
      <c r="L20" s="66">
        <v>0.9604166666666667</v>
      </c>
      <c r="M20" s="87" t="s">
        <v>15</v>
      </c>
      <c r="N20" s="87" t="s">
        <v>15</v>
      </c>
      <c r="O20" s="66">
        <v>0.35000000000000003</v>
      </c>
      <c r="P20" s="66">
        <v>0.96527777777777779</v>
      </c>
      <c r="Q20" s="66">
        <v>0.35069444444444442</v>
      </c>
      <c r="R20" s="66">
        <v>0.94027777777777777</v>
      </c>
      <c r="S20" s="66">
        <v>0.3520833333333333</v>
      </c>
      <c r="T20" s="66">
        <v>0.94444444444444453</v>
      </c>
      <c r="U20" s="66">
        <v>0.3527777777777778</v>
      </c>
      <c r="V20" s="66">
        <v>0.94444444444444453</v>
      </c>
      <c r="W20" s="66">
        <v>0.34861111111111115</v>
      </c>
      <c r="X20" s="66">
        <v>0.34861111111111115</v>
      </c>
      <c r="Y20" s="66">
        <v>0.35069444444444442</v>
      </c>
      <c r="Z20" s="66">
        <v>0.95972222222222225</v>
      </c>
      <c r="AA20" s="66">
        <v>0.58124999999999993</v>
      </c>
      <c r="AB20" s="66">
        <v>0.94513888888888886</v>
      </c>
      <c r="AC20" s="66">
        <v>0.34930555555555554</v>
      </c>
      <c r="AD20" s="66">
        <v>0.95833333333333337</v>
      </c>
      <c r="AE20" s="66">
        <v>0.35138888888888892</v>
      </c>
      <c r="AF20" s="66">
        <v>0.94236111111111109</v>
      </c>
      <c r="AG20" s="66">
        <v>0.35486111111111113</v>
      </c>
      <c r="AH20" s="66">
        <v>0.9604166666666667</v>
      </c>
      <c r="AI20" s="107"/>
      <c r="AJ20" s="112">
        <v>11</v>
      </c>
      <c r="AK20" s="77">
        <v>0.34861111111111115</v>
      </c>
      <c r="AL20" s="77">
        <v>0.94166666666666676</v>
      </c>
      <c r="AM20" s="77">
        <v>0.3527777777777778</v>
      </c>
      <c r="AN20" s="77">
        <v>0.94374999999999998</v>
      </c>
      <c r="AO20" s="77">
        <v>0.35625000000000001</v>
      </c>
      <c r="AP20" s="77">
        <v>0.96180555555555547</v>
      </c>
      <c r="AQ20" s="87" t="s">
        <v>15</v>
      </c>
      <c r="AR20" s="87" t="s">
        <v>15</v>
      </c>
      <c r="AS20" s="77">
        <v>0.34930555555555554</v>
      </c>
      <c r="AT20" s="77">
        <v>0.96111111111111114</v>
      </c>
      <c r="AU20" s="77">
        <v>0.35000000000000003</v>
      </c>
      <c r="AV20" s="77">
        <v>0.93958333333333333</v>
      </c>
      <c r="AW20" s="77">
        <v>0.35486111111111113</v>
      </c>
      <c r="AX20" s="77">
        <v>0.93958333333333333</v>
      </c>
      <c r="AY20" s="77">
        <v>0.34930555555555554</v>
      </c>
      <c r="AZ20" s="77">
        <v>0.93958333333333333</v>
      </c>
      <c r="BA20" s="77">
        <v>0.35000000000000003</v>
      </c>
      <c r="BB20" s="77">
        <v>0.94305555555555554</v>
      </c>
      <c r="BC20" s="77">
        <v>0.35000000000000003</v>
      </c>
      <c r="BD20" s="77">
        <v>0.35000000000000003</v>
      </c>
      <c r="BE20" s="86">
        <v>0.57777777777777783</v>
      </c>
      <c r="BF20" s="86">
        <v>0.95486111111111116</v>
      </c>
      <c r="BG20" s="77">
        <v>0.35000000000000003</v>
      </c>
      <c r="BH20" s="77">
        <v>0.94236111111111109</v>
      </c>
      <c r="BI20" s="77">
        <v>0.35000000000000003</v>
      </c>
      <c r="BJ20" s="77">
        <v>0.94652777777777775</v>
      </c>
      <c r="BK20" s="77">
        <v>0.35000000000000003</v>
      </c>
      <c r="BL20" s="77">
        <v>0.92847222222222225</v>
      </c>
      <c r="BM20" s="77">
        <v>0.35486111111111113</v>
      </c>
      <c r="BN20" s="77">
        <v>0.35486111111111113</v>
      </c>
      <c r="BO20" s="15">
        <f t="shared" si="5"/>
        <v>30</v>
      </c>
      <c r="BP20" s="54">
        <v>2</v>
      </c>
      <c r="BQ20" s="16">
        <f t="shared" si="3"/>
        <v>28</v>
      </c>
      <c r="BR20" s="17">
        <f t="shared" si="6"/>
        <v>2</v>
      </c>
      <c r="BS20" s="17">
        <f t="shared" si="7"/>
        <v>0</v>
      </c>
      <c r="BT20" s="17">
        <f t="shared" si="8"/>
        <v>0</v>
      </c>
      <c r="BU20" s="17">
        <f t="shared" si="9"/>
        <v>0</v>
      </c>
      <c r="BV20" s="17">
        <f t="shared" si="10"/>
        <v>0</v>
      </c>
      <c r="BW20" s="17">
        <f t="shared" si="11"/>
        <v>0</v>
      </c>
      <c r="BX20" s="17">
        <f t="shared" si="12"/>
        <v>0</v>
      </c>
      <c r="BY20" s="17">
        <f>COUNTIF(B20:BJ20,"HD")/2</f>
        <v>0</v>
      </c>
      <c r="BZ20" s="17">
        <f t="shared" si="13"/>
        <v>0</v>
      </c>
      <c r="CA20" s="17">
        <f t="shared" si="14"/>
        <v>0</v>
      </c>
      <c r="CB20" s="17">
        <f t="shared" si="15"/>
        <v>0</v>
      </c>
      <c r="CC20" s="18"/>
      <c r="CF20" s="61">
        <v>0</v>
      </c>
      <c r="CG20" s="61">
        <v>0</v>
      </c>
      <c r="CH20" s="61">
        <v>0</v>
      </c>
      <c r="CI20" s="61">
        <v>0</v>
      </c>
      <c r="CJ20" s="61">
        <v>0</v>
      </c>
      <c r="CK20" s="61">
        <v>7</v>
      </c>
      <c r="CL20" s="62">
        <v>0</v>
      </c>
      <c r="CM20" s="62">
        <v>0</v>
      </c>
      <c r="CN20" s="62">
        <v>0</v>
      </c>
      <c r="CO20" s="62">
        <v>0</v>
      </c>
      <c r="CP20" s="63">
        <f t="shared" si="16"/>
        <v>7</v>
      </c>
    </row>
    <row r="21" spans="1:94" ht="22.5" customHeight="1" x14ac:dyDescent="0.25">
      <c r="A21" s="7">
        <v>12</v>
      </c>
      <c r="B21" s="8" t="s">
        <v>45</v>
      </c>
      <c r="C21" s="108" t="s">
        <v>109</v>
      </c>
      <c r="D21" s="109">
        <v>45387</v>
      </c>
      <c r="E21" s="66">
        <v>0.35694444444444445</v>
      </c>
      <c r="F21" s="66">
        <v>0.96597222222222223</v>
      </c>
      <c r="G21" s="66">
        <v>0.35069444444444442</v>
      </c>
      <c r="H21" s="66">
        <v>0</v>
      </c>
      <c r="I21" s="66">
        <v>0.35555555555555557</v>
      </c>
      <c r="J21" s="66">
        <v>0.97499999999999998</v>
      </c>
      <c r="K21" s="66">
        <v>0.3576388888888889</v>
      </c>
      <c r="L21" s="66">
        <v>8.3333333333333332E-3</v>
      </c>
      <c r="M21" s="87" t="s">
        <v>15</v>
      </c>
      <c r="N21" s="87" t="s">
        <v>15</v>
      </c>
      <c r="O21" s="66">
        <v>0.35347222222222219</v>
      </c>
      <c r="P21" s="66">
        <v>0.98819444444444438</v>
      </c>
      <c r="Q21" s="66">
        <v>0.35416666666666669</v>
      </c>
      <c r="R21" s="66">
        <v>0.94652777777777775</v>
      </c>
      <c r="S21" s="66">
        <v>0.35625000000000001</v>
      </c>
      <c r="T21" s="66">
        <v>0.97638888888888886</v>
      </c>
      <c r="U21" s="66">
        <v>0.35625000000000001</v>
      </c>
      <c r="V21" s="66">
        <v>0.96388888888888891</v>
      </c>
      <c r="W21" s="66">
        <v>0.35555555555555557</v>
      </c>
      <c r="X21" s="66">
        <v>0.97569444444444453</v>
      </c>
      <c r="Y21" s="66">
        <v>0.35625000000000001</v>
      </c>
      <c r="Z21" s="66">
        <v>0.97499999999999998</v>
      </c>
      <c r="AA21" s="66">
        <v>0.58611111111111114</v>
      </c>
      <c r="AB21" s="66">
        <v>0.96944444444444444</v>
      </c>
      <c r="AC21" s="66">
        <v>0.35555555555555557</v>
      </c>
      <c r="AD21" s="66">
        <v>0.96944444444444444</v>
      </c>
      <c r="AE21" s="66">
        <v>0.99305555555555547</v>
      </c>
      <c r="AF21" s="66">
        <v>0.99375000000000002</v>
      </c>
      <c r="AG21" s="66">
        <v>0.3576388888888889</v>
      </c>
      <c r="AH21" s="66">
        <v>0.9784722222222223</v>
      </c>
      <c r="AI21" s="107"/>
      <c r="AJ21" s="112">
        <v>12</v>
      </c>
      <c r="AK21" s="77">
        <v>0.33888888888888885</v>
      </c>
      <c r="AL21" s="77">
        <v>0.97291666666666676</v>
      </c>
      <c r="AM21" s="77">
        <v>0.35625000000000001</v>
      </c>
      <c r="AN21" s="77">
        <v>0.95486111111111116</v>
      </c>
      <c r="AO21" s="77">
        <v>0.35833333333333334</v>
      </c>
      <c r="AP21" s="77">
        <v>1.3888888888888889E-3</v>
      </c>
      <c r="AQ21" s="87" t="s">
        <v>15</v>
      </c>
      <c r="AR21" s="87" t="s">
        <v>15</v>
      </c>
      <c r="AS21" s="77">
        <v>0.32777777777777778</v>
      </c>
      <c r="AT21" s="79">
        <v>1</v>
      </c>
      <c r="AU21" s="77">
        <v>0.35555555555555557</v>
      </c>
      <c r="AV21" s="77">
        <v>0.96527777777777779</v>
      </c>
      <c r="AW21" s="77">
        <v>0.35347222222222219</v>
      </c>
      <c r="AX21" s="77">
        <v>0.97013888888888899</v>
      </c>
      <c r="AY21" s="77">
        <v>0.35486111111111113</v>
      </c>
      <c r="AZ21" s="77">
        <v>0.95000000000000007</v>
      </c>
      <c r="BA21" s="77">
        <v>0.35347222222222219</v>
      </c>
      <c r="BB21" s="77">
        <v>0.97430555555555554</v>
      </c>
      <c r="BC21" s="77">
        <v>0.35416666666666669</v>
      </c>
      <c r="BD21" s="77">
        <v>0.9770833333333333</v>
      </c>
      <c r="BE21" s="77">
        <v>0.55208333333333337</v>
      </c>
      <c r="BF21" s="77">
        <v>0.97777777777777775</v>
      </c>
      <c r="BG21" s="77">
        <v>0.35486111111111113</v>
      </c>
      <c r="BH21" s="77">
        <v>0.96597222222222223</v>
      </c>
      <c r="BI21" s="77">
        <v>0.35555555555555557</v>
      </c>
      <c r="BJ21" s="77">
        <v>0.99513888888888891</v>
      </c>
      <c r="BK21" s="77">
        <v>0.35694444444444445</v>
      </c>
      <c r="BL21" s="77">
        <v>0.95138888888888884</v>
      </c>
      <c r="BM21" s="77">
        <v>0.35416666666666669</v>
      </c>
      <c r="BN21" s="77">
        <v>0.97777777777777775</v>
      </c>
      <c r="BO21" s="15">
        <f t="shared" si="5"/>
        <v>30</v>
      </c>
      <c r="BP21" s="54">
        <v>2</v>
      </c>
      <c r="BQ21" s="16">
        <f t="shared" si="3"/>
        <v>28</v>
      </c>
      <c r="BR21" s="17">
        <f t="shared" si="6"/>
        <v>2</v>
      </c>
      <c r="BS21" s="17">
        <f t="shared" si="7"/>
        <v>0</v>
      </c>
      <c r="BT21" s="17">
        <f t="shared" si="8"/>
        <v>0</v>
      </c>
      <c r="BU21" s="17">
        <f t="shared" si="9"/>
        <v>0</v>
      </c>
      <c r="BV21" s="17">
        <f t="shared" si="10"/>
        <v>0</v>
      </c>
      <c r="BW21" s="17">
        <f t="shared" si="11"/>
        <v>0</v>
      </c>
      <c r="BX21" s="17">
        <f t="shared" si="12"/>
        <v>0</v>
      </c>
      <c r="BY21" s="17">
        <f>COUNTIF(B21:BJ21,"HD")/2</f>
        <v>0</v>
      </c>
      <c r="BZ21" s="17">
        <f t="shared" si="13"/>
        <v>0</v>
      </c>
      <c r="CA21" s="17">
        <f t="shared" si="14"/>
        <v>0</v>
      </c>
      <c r="CB21" s="17">
        <f t="shared" si="15"/>
        <v>0</v>
      </c>
      <c r="CC21" s="18"/>
      <c r="CF21" s="60">
        <v>0</v>
      </c>
      <c r="CG21" s="60">
        <v>0</v>
      </c>
      <c r="CH21" s="60">
        <v>0</v>
      </c>
      <c r="CI21" s="60">
        <v>0</v>
      </c>
      <c r="CJ21" s="60">
        <v>0</v>
      </c>
      <c r="CK21" s="60">
        <v>0</v>
      </c>
      <c r="CL21" s="60">
        <v>0</v>
      </c>
      <c r="CM21" s="60">
        <v>0</v>
      </c>
      <c r="CN21" s="60">
        <v>0</v>
      </c>
      <c r="CO21" s="60">
        <v>0</v>
      </c>
      <c r="CP21" s="64">
        <f t="shared" si="16"/>
        <v>0</v>
      </c>
    </row>
    <row r="22" spans="1:94" ht="22.5" customHeight="1" x14ac:dyDescent="0.25">
      <c r="A22" s="7">
        <v>13</v>
      </c>
      <c r="B22" s="8" t="s">
        <v>46</v>
      </c>
      <c r="C22" s="108" t="s">
        <v>47</v>
      </c>
      <c r="D22" s="109">
        <v>45498</v>
      </c>
      <c r="E22" s="66">
        <v>0.35416666666666669</v>
      </c>
      <c r="F22" s="66">
        <v>0.94166666666666676</v>
      </c>
      <c r="G22" s="66">
        <v>0.35694444444444445</v>
      </c>
      <c r="H22" s="66">
        <v>0.93819444444444444</v>
      </c>
      <c r="I22" s="66">
        <v>0.3527777777777778</v>
      </c>
      <c r="J22" s="66">
        <v>0.94097222222222221</v>
      </c>
      <c r="K22" s="66">
        <v>0.35416666666666669</v>
      </c>
      <c r="L22" s="66">
        <v>0.96180555555555547</v>
      </c>
      <c r="M22" s="99">
        <v>0.57916666666666672</v>
      </c>
      <c r="N22" s="99">
        <v>0.95833333333333337</v>
      </c>
      <c r="O22" s="79" t="s">
        <v>102</v>
      </c>
      <c r="P22" s="79" t="s">
        <v>102</v>
      </c>
      <c r="Q22" s="66">
        <v>0.35416666666666669</v>
      </c>
      <c r="R22" s="66">
        <v>0.93958333333333333</v>
      </c>
      <c r="S22" s="66">
        <v>0.36319444444444443</v>
      </c>
      <c r="T22" s="66">
        <v>0.94305555555555554</v>
      </c>
      <c r="U22" s="66">
        <v>0.3520833333333333</v>
      </c>
      <c r="V22" s="66">
        <v>0.94236111111111109</v>
      </c>
      <c r="W22" s="66">
        <v>0.3527777777777778</v>
      </c>
      <c r="X22" s="66">
        <v>0.94305555555555554</v>
      </c>
      <c r="Y22" s="66">
        <v>0.35347222222222219</v>
      </c>
      <c r="Z22" s="66">
        <v>0.95624999999999993</v>
      </c>
      <c r="AA22" s="87" t="s">
        <v>15</v>
      </c>
      <c r="AB22" s="87" t="s">
        <v>15</v>
      </c>
      <c r="AC22" s="66">
        <v>0.35347222222222219</v>
      </c>
      <c r="AD22" s="66">
        <v>0.95624999999999993</v>
      </c>
      <c r="AE22" s="66">
        <v>0.3576388888888889</v>
      </c>
      <c r="AF22" s="66">
        <v>0.94097222222222221</v>
      </c>
      <c r="AG22" s="66">
        <v>0.35555555555555557</v>
      </c>
      <c r="AH22" s="66">
        <v>0.9604166666666667</v>
      </c>
      <c r="AI22" s="107"/>
      <c r="AJ22" s="112">
        <v>13</v>
      </c>
      <c r="AK22" s="77">
        <v>0.34861111111111115</v>
      </c>
      <c r="AL22" s="77">
        <v>0.93888888888888899</v>
      </c>
      <c r="AM22" s="77">
        <v>0.35555555555555557</v>
      </c>
      <c r="AN22" s="77">
        <v>0.94097222222222221</v>
      </c>
      <c r="AO22" s="77">
        <v>0.35625000000000001</v>
      </c>
      <c r="AP22" s="77">
        <v>0.95694444444444438</v>
      </c>
      <c r="AQ22" s="86">
        <v>0.57777777777777783</v>
      </c>
      <c r="AR22" s="86">
        <v>0.95486111111111116</v>
      </c>
      <c r="AS22" s="77">
        <v>0.35000000000000003</v>
      </c>
      <c r="AT22" s="77">
        <v>0.95972222222222225</v>
      </c>
      <c r="AU22" s="77">
        <v>0.35833333333333334</v>
      </c>
      <c r="AV22" s="77">
        <v>0.93819444444444444</v>
      </c>
      <c r="AW22" s="77">
        <v>0.35138888888888892</v>
      </c>
      <c r="AX22" s="77">
        <v>0.94027777777777777</v>
      </c>
      <c r="AY22" s="77">
        <v>0.3527777777777778</v>
      </c>
      <c r="AZ22" s="77">
        <v>0.93958333333333333</v>
      </c>
      <c r="BA22" s="77">
        <v>0.35138888888888892</v>
      </c>
      <c r="BB22" s="77">
        <v>0.94444444444444453</v>
      </c>
      <c r="BC22" s="77">
        <v>0.35416666666666669</v>
      </c>
      <c r="BD22" s="98">
        <v>1</v>
      </c>
      <c r="BE22" s="87" t="s">
        <v>15</v>
      </c>
      <c r="BF22" s="87" t="s">
        <v>15</v>
      </c>
      <c r="BG22" s="77">
        <v>0.35555555555555557</v>
      </c>
      <c r="BH22" s="77">
        <v>0.94236111111111109</v>
      </c>
      <c r="BI22" s="77">
        <v>0.3520833333333333</v>
      </c>
      <c r="BJ22" s="98">
        <v>1</v>
      </c>
      <c r="BK22" s="77">
        <v>0.35833333333333334</v>
      </c>
      <c r="BL22" s="77">
        <v>0.9277777777777777</v>
      </c>
      <c r="BM22" s="77">
        <v>0.35069444444444442</v>
      </c>
      <c r="BN22" s="77">
        <v>0.94444444444444453</v>
      </c>
      <c r="BO22" s="15">
        <f t="shared" si="5"/>
        <v>30</v>
      </c>
      <c r="BP22" s="54">
        <v>2</v>
      </c>
      <c r="BQ22" s="16">
        <f t="shared" si="3"/>
        <v>27</v>
      </c>
      <c r="BR22" s="17">
        <f t="shared" si="6"/>
        <v>2</v>
      </c>
      <c r="BS22" s="17">
        <f t="shared" si="7"/>
        <v>0</v>
      </c>
      <c r="BT22" s="17">
        <f t="shared" si="8"/>
        <v>0</v>
      </c>
      <c r="BU22" s="17">
        <f t="shared" si="9"/>
        <v>0</v>
      </c>
      <c r="BV22" s="17">
        <f t="shared" si="10"/>
        <v>0</v>
      </c>
      <c r="BW22" s="17">
        <f t="shared" si="11"/>
        <v>0</v>
      </c>
      <c r="BX22" s="17">
        <f t="shared" si="12"/>
        <v>1</v>
      </c>
      <c r="BY22" s="17">
        <f>COUNTIF(B22:BJ22,"HD")/2</f>
        <v>0</v>
      </c>
      <c r="BZ22" s="17">
        <f t="shared" si="13"/>
        <v>0</v>
      </c>
      <c r="CA22" s="17">
        <f t="shared" si="14"/>
        <v>0</v>
      </c>
      <c r="CB22" s="17">
        <f t="shared" si="15"/>
        <v>0</v>
      </c>
      <c r="CC22" s="18"/>
      <c r="CF22" s="61">
        <v>0</v>
      </c>
      <c r="CG22" s="61">
        <v>0</v>
      </c>
      <c r="CH22" s="61">
        <v>0</v>
      </c>
      <c r="CI22" s="61">
        <v>0</v>
      </c>
      <c r="CJ22" s="61">
        <v>0</v>
      </c>
      <c r="CK22" s="61">
        <v>21</v>
      </c>
      <c r="CL22" s="62">
        <v>0</v>
      </c>
      <c r="CM22" s="62">
        <v>1</v>
      </c>
      <c r="CN22" s="62">
        <v>0</v>
      </c>
      <c r="CO22" s="62">
        <v>0</v>
      </c>
      <c r="CP22" s="63">
        <f t="shared" si="16"/>
        <v>22</v>
      </c>
    </row>
    <row r="23" spans="1:94" ht="22.5" customHeight="1" x14ac:dyDescent="0.25">
      <c r="A23" s="7">
        <v>14</v>
      </c>
      <c r="B23" s="8" t="s">
        <v>48</v>
      </c>
      <c r="C23" s="108" t="s">
        <v>49</v>
      </c>
      <c r="D23" s="109">
        <v>45536</v>
      </c>
      <c r="E23" s="66">
        <v>0.35555555555555557</v>
      </c>
      <c r="F23" s="98">
        <v>1</v>
      </c>
      <c r="G23" s="66">
        <v>0.35833333333333334</v>
      </c>
      <c r="H23" s="98">
        <v>1</v>
      </c>
      <c r="I23" s="66">
        <v>0.3576388888888889</v>
      </c>
      <c r="J23" s="98">
        <v>1</v>
      </c>
      <c r="K23" s="66">
        <v>0.35416666666666669</v>
      </c>
      <c r="L23" s="66">
        <v>0.97638888888888886</v>
      </c>
      <c r="M23" s="87" t="s">
        <v>15</v>
      </c>
      <c r="N23" s="87" t="s">
        <v>15</v>
      </c>
      <c r="O23" s="66">
        <v>0.33055555555555555</v>
      </c>
      <c r="P23" s="98">
        <v>1</v>
      </c>
      <c r="Q23" s="66">
        <v>0.34027777777777773</v>
      </c>
      <c r="R23" s="98">
        <v>1</v>
      </c>
      <c r="S23" s="66">
        <v>0.35555555555555557</v>
      </c>
      <c r="T23" s="98">
        <v>1</v>
      </c>
      <c r="U23" s="66">
        <v>0.35555555555555557</v>
      </c>
      <c r="V23" s="66">
        <v>0.95000000000000007</v>
      </c>
      <c r="W23" s="66">
        <v>0.33055555555555555</v>
      </c>
      <c r="X23" s="98">
        <v>1</v>
      </c>
      <c r="Y23" s="66">
        <v>0.35555555555555557</v>
      </c>
      <c r="Z23" s="98">
        <v>1</v>
      </c>
      <c r="AA23" s="66">
        <v>0.58472222222222225</v>
      </c>
      <c r="AB23" s="66">
        <v>0.94652777777777775</v>
      </c>
      <c r="AC23" s="66">
        <v>0.35486111111111113</v>
      </c>
      <c r="AD23" s="98">
        <v>1</v>
      </c>
      <c r="AE23" s="66">
        <v>0.35625000000000001</v>
      </c>
      <c r="AF23" s="98">
        <v>1</v>
      </c>
      <c r="AG23" s="66">
        <v>0.73541666666666661</v>
      </c>
      <c r="AH23" s="98">
        <v>1</v>
      </c>
      <c r="AI23" s="101"/>
      <c r="AJ23" s="112">
        <v>14</v>
      </c>
      <c r="AK23" s="77">
        <v>0.33888888888888885</v>
      </c>
      <c r="AL23" s="77">
        <v>0.95416666666666661</v>
      </c>
      <c r="AM23" s="77">
        <v>0.3298611111111111</v>
      </c>
      <c r="AN23" s="79">
        <v>1</v>
      </c>
      <c r="AO23" s="77">
        <v>0.33888888888888885</v>
      </c>
      <c r="AP23" s="79">
        <v>1</v>
      </c>
      <c r="AQ23" s="87" t="s">
        <v>15</v>
      </c>
      <c r="AR23" s="87" t="s">
        <v>15</v>
      </c>
      <c r="AS23" s="77">
        <v>0.33263888888888887</v>
      </c>
      <c r="AT23" s="79">
        <v>1</v>
      </c>
      <c r="AU23" s="77">
        <v>0.32708333333333334</v>
      </c>
      <c r="AV23" s="98">
        <v>1</v>
      </c>
      <c r="AW23" s="77">
        <v>0.3520833333333333</v>
      </c>
      <c r="AX23" s="98">
        <v>1</v>
      </c>
      <c r="AY23" s="77">
        <v>0.35486111111111113</v>
      </c>
      <c r="AZ23" s="77">
        <v>0.9506944444444444</v>
      </c>
      <c r="BA23" s="77">
        <v>0.33888888888888885</v>
      </c>
      <c r="BB23" s="77">
        <v>0.95624999999999993</v>
      </c>
      <c r="BC23" s="77">
        <v>0.35347222222222219</v>
      </c>
      <c r="BD23" s="98">
        <v>1</v>
      </c>
      <c r="BE23" s="77">
        <v>0.58124999999999993</v>
      </c>
      <c r="BF23" s="77">
        <v>0.94930555555555562</v>
      </c>
      <c r="BG23" s="77">
        <v>0.35416666666666669</v>
      </c>
      <c r="BH23" s="77">
        <v>4.5833333333333337E-2</v>
      </c>
      <c r="BI23" s="77">
        <v>0.33680555555555558</v>
      </c>
      <c r="BJ23" s="77">
        <v>0.33680555555555558</v>
      </c>
      <c r="BK23" s="77">
        <v>0.33333333333333331</v>
      </c>
      <c r="BL23" s="77">
        <v>0.95208333333333339</v>
      </c>
      <c r="BM23" s="77">
        <v>0.3354166666666667</v>
      </c>
      <c r="BN23" s="98">
        <v>1</v>
      </c>
      <c r="BO23" s="15">
        <f t="shared" si="5"/>
        <v>30</v>
      </c>
      <c r="BP23" s="54">
        <v>2</v>
      </c>
      <c r="BQ23" s="16">
        <f t="shared" si="3"/>
        <v>28</v>
      </c>
      <c r="BR23" s="17">
        <f t="shared" si="6"/>
        <v>2</v>
      </c>
      <c r="BS23" s="17">
        <f t="shared" si="7"/>
        <v>0</v>
      </c>
      <c r="BT23" s="17">
        <f t="shared" si="8"/>
        <v>0</v>
      </c>
      <c r="BU23" s="17">
        <f t="shared" si="9"/>
        <v>0</v>
      </c>
      <c r="BV23" s="17">
        <f t="shared" si="10"/>
        <v>0</v>
      </c>
      <c r="BW23" s="17">
        <f t="shared" si="11"/>
        <v>0</v>
      </c>
      <c r="BX23" s="17">
        <f t="shared" si="12"/>
        <v>0</v>
      </c>
      <c r="BY23" s="17">
        <f>COUNTIF(B23:BJ23,"HD")/2</f>
        <v>0</v>
      </c>
      <c r="BZ23" s="17">
        <f t="shared" si="13"/>
        <v>0</v>
      </c>
      <c r="CA23" s="17">
        <f t="shared" si="14"/>
        <v>0</v>
      </c>
      <c r="CB23" s="17">
        <f t="shared" si="15"/>
        <v>0</v>
      </c>
      <c r="CC23" s="18"/>
      <c r="CF23" s="60">
        <v>0</v>
      </c>
      <c r="CG23" s="60">
        <v>0</v>
      </c>
      <c r="CH23" s="60">
        <v>0</v>
      </c>
      <c r="CI23" s="60">
        <v>0</v>
      </c>
      <c r="CJ23" s="60">
        <v>0</v>
      </c>
      <c r="CK23" s="59">
        <v>5</v>
      </c>
      <c r="CL23" s="60">
        <v>0</v>
      </c>
      <c r="CM23" s="60">
        <v>0</v>
      </c>
      <c r="CN23" s="60">
        <v>0</v>
      </c>
      <c r="CO23" s="60">
        <v>0</v>
      </c>
      <c r="CP23" s="64">
        <f t="shared" si="16"/>
        <v>5</v>
      </c>
    </row>
    <row r="24" spans="1:94" ht="22.5" customHeight="1" x14ac:dyDescent="0.25">
      <c r="A24" s="7">
        <v>15</v>
      </c>
      <c r="B24" s="8" t="s">
        <v>99</v>
      </c>
      <c r="C24" s="108" t="s">
        <v>100</v>
      </c>
      <c r="D24" s="109">
        <v>45614</v>
      </c>
      <c r="E24" s="66">
        <v>0.33333333333333331</v>
      </c>
      <c r="F24" s="66">
        <v>0.86875000000000002</v>
      </c>
      <c r="G24" s="66">
        <v>0.33611111111111108</v>
      </c>
      <c r="H24" s="66">
        <v>0.87083333333333324</v>
      </c>
      <c r="I24" s="66">
        <v>0.3430555555555555</v>
      </c>
      <c r="J24" s="66">
        <v>0.87152777777777779</v>
      </c>
      <c r="K24" s="66">
        <v>0.33680555555555558</v>
      </c>
      <c r="L24" s="66">
        <v>0.94166666666666676</v>
      </c>
      <c r="M24" s="87" t="s">
        <v>15</v>
      </c>
      <c r="N24" s="87" t="s">
        <v>15</v>
      </c>
      <c r="O24" s="66">
        <v>0.32500000000000001</v>
      </c>
      <c r="P24" s="66">
        <v>2.4999999999999998E-2</v>
      </c>
      <c r="Q24" s="66">
        <v>0.36180555555555555</v>
      </c>
      <c r="R24" s="66">
        <v>0.88680555555555562</v>
      </c>
      <c r="S24" s="66">
        <v>0.32569444444444445</v>
      </c>
      <c r="T24" s="66">
        <v>0.89027777777777783</v>
      </c>
      <c r="U24" s="66">
        <v>0.32430555555555557</v>
      </c>
      <c r="V24" s="66">
        <v>0.86458333333333337</v>
      </c>
      <c r="W24" s="66">
        <v>0.34652777777777777</v>
      </c>
      <c r="X24" s="66">
        <v>0.8965277777777777</v>
      </c>
      <c r="Y24" s="66">
        <v>0.31527777777777777</v>
      </c>
      <c r="Z24" s="66">
        <v>0.9</v>
      </c>
      <c r="AA24" s="98">
        <v>1</v>
      </c>
      <c r="AB24" s="98">
        <v>1</v>
      </c>
      <c r="AC24" s="66">
        <v>0.3298611111111111</v>
      </c>
      <c r="AD24" s="66">
        <v>0.86111111111111116</v>
      </c>
      <c r="AE24" s="66">
        <v>0.3263888888888889</v>
      </c>
      <c r="AF24" s="66">
        <v>0.85833333333333339</v>
      </c>
      <c r="AG24" s="66">
        <v>0.32569444444444445</v>
      </c>
      <c r="AH24" s="98">
        <v>1</v>
      </c>
      <c r="AI24" s="101"/>
      <c r="AJ24" s="112">
        <v>15</v>
      </c>
      <c r="AK24" s="77">
        <v>0.3298611111111111</v>
      </c>
      <c r="AL24" s="77">
        <v>0.85833333333333339</v>
      </c>
      <c r="AM24" s="77">
        <v>0.32013888888888892</v>
      </c>
      <c r="AN24" s="79">
        <v>1</v>
      </c>
      <c r="AO24" s="77">
        <v>0.32500000000000001</v>
      </c>
      <c r="AP24" s="77">
        <v>0.90138888888888891</v>
      </c>
      <c r="AQ24" s="86">
        <v>0.3215277777777778</v>
      </c>
      <c r="AR24" s="86">
        <v>0.3215277777777778</v>
      </c>
      <c r="AS24" s="77">
        <v>0.3215277777777778</v>
      </c>
      <c r="AT24" s="77">
        <v>0.85972222222222217</v>
      </c>
      <c r="AU24" s="77">
        <v>0.32291666666666669</v>
      </c>
      <c r="AV24" s="77">
        <v>0.8569444444444444</v>
      </c>
      <c r="AW24" s="77">
        <v>0.3354166666666667</v>
      </c>
      <c r="AX24" s="77">
        <v>0.89236111111111116</v>
      </c>
      <c r="AY24" s="77">
        <v>0.32777777777777778</v>
      </c>
      <c r="AZ24" s="77">
        <v>0.86319444444444438</v>
      </c>
      <c r="BA24" s="77">
        <v>0.31736111111111115</v>
      </c>
      <c r="BB24" s="77">
        <v>0.8618055555555556</v>
      </c>
      <c r="BC24" s="77">
        <v>0.33124999999999999</v>
      </c>
      <c r="BD24" s="98">
        <v>1</v>
      </c>
      <c r="BE24" s="77">
        <v>0.55902777777777779</v>
      </c>
      <c r="BF24" s="77">
        <v>0.85763888888888884</v>
      </c>
      <c r="BG24" s="77">
        <v>0.3263888888888889</v>
      </c>
      <c r="BH24" s="98">
        <v>1</v>
      </c>
      <c r="BI24" s="77">
        <v>0.32222222222222224</v>
      </c>
      <c r="BJ24" s="77">
        <v>0.86249999999999993</v>
      </c>
      <c r="BK24" s="77">
        <v>0.3263888888888889</v>
      </c>
      <c r="BL24" s="98">
        <v>1</v>
      </c>
      <c r="BM24" s="77">
        <v>0.3263888888888889</v>
      </c>
      <c r="BN24" s="77">
        <v>0.88888888888888884</v>
      </c>
      <c r="BO24" s="15">
        <f t="shared" si="5"/>
        <v>30</v>
      </c>
      <c r="BP24" s="54">
        <v>3</v>
      </c>
      <c r="BQ24" s="16">
        <f t="shared" si="3"/>
        <v>29</v>
      </c>
      <c r="BR24" s="17">
        <f>COUNTIF(B24:BL24,"OFF")/2</f>
        <v>1</v>
      </c>
      <c r="BS24" s="17">
        <f>COUNTIF(B24:BL24,"MC")/2</f>
        <v>0</v>
      </c>
      <c r="BT24" s="17">
        <f>COUNTIF(B24:BL24,"EL")/2</f>
        <v>0</v>
      </c>
      <c r="BU24" s="17">
        <f>COUNTIF(B24:BL24,"AL")/2</f>
        <v>0</v>
      </c>
      <c r="BV24" s="17">
        <f>COUNTIF(B24:BL24,"SUS")/2</f>
        <v>0</v>
      </c>
      <c r="BW24" s="17">
        <f>COUNTIF(B24:BL24,"FL")/2</f>
        <v>0</v>
      </c>
      <c r="BX24" s="17">
        <f>COUNTIF(B24:BL24,"SICK")/2</f>
        <v>0</v>
      </c>
      <c r="BY24" s="17">
        <f>COUNTIF(B24:BL24,"HD")/2</f>
        <v>0</v>
      </c>
      <c r="BZ24" s="17">
        <f>COUNTIF(B24:BL24,"AB")/2</f>
        <v>0</v>
      </c>
      <c r="CA24" s="17">
        <f>COUNTIF(B24:BL24,"NL")/2</f>
        <v>0</v>
      </c>
      <c r="CB24" s="17">
        <f>COUNTIF(B24:BL24,"SP")/2</f>
        <v>0</v>
      </c>
      <c r="CC24" s="18"/>
      <c r="CF24" s="61">
        <v>0</v>
      </c>
      <c r="CG24" s="61">
        <v>0</v>
      </c>
      <c r="CH24" s="61">
        <v>32</v>
      </c>
      <c r="CI24" s="61">
        <v>0</v>
      </c>
      <c r="CJ24" s="61">
        <v>0</v>
      </c>
      <c r="CK24" s="61">
        <v>5</v>
      </c>
      <c r="CL24" s="61">
        <v>0</v>
      </c>
      <c r="CM24" s="61">
        <v>0</v>
      </c>
      <c r="CN24" s="61">
        <v>0</v>
      </c>
      <c r="CO24" s="61">
        <v>0</v>
      </c>
      <c r="CP24" s="61">
        <f t="shared" si="16"/>
        <v>37</v>
      </c>
    </row>
    <row r="25" spans="1:94" ht="22.5" customHeight="1" x14ac:dyDescent="0.25">
      <c r="A25" s="7">
        <v>16</v>
      </c>
      <c r="B25" s="8" t="s">
        <v>53</v>
      </c>
      <c r="C25" s="108" t="s">
        <v>54</v>
      </c>
      <c r="D25" s="109">
        <v>45653</v>
      </c>
      <c r="E25" s="66">
        <v>0.35625000000000001</v>
      </c>
      <c r="F25" s="98">
        <v>1</v>
      </c>
      <c r="G25" s="66">
        <v>0.43124999999999997</v>
      </c>
      <c r="H25" s="66">
        <v>0.95624999999999993</v>
      </c>
      <c r="I25" s="66">
        <v>0.35555555555555557</v>
      </c>
      <c r="J25" s="66">
        <v>0.9555555555555556</v>
      </c>
      <c r="K25" s="66">
        <v>0.3576388888888889</v>
      </c>
      <c r="L25" s="66">
        <v>0.97638888888888886</v>
      </c>
      <c r="M25" s="87" t="s">
        <v>15</v>
      </c>
      <c r="N25" s="87" t="s">
        <v>15</v>
      </c>
      <c r="O25" s="66">
        <v>0.3520833333333333</v>
      </c>
      <c r="P25" s="66">
        <v>0.97013888888888899</v>
      </c>
      <c r="Q25" s="50" t="s">
        <v>22</v>
      </c>
      <c r="R25" s="50" t="s">
        <v>22</v>
      </c>
      <c r="S25" s="98">
        <v>1</v>
      </c>
      <c r="T25" s="98">
        <v>1</v>
      </c>
      <c r="U25" s="66">
        <v>0.41597222222222219</v>
      </c>
      <c r="V25" s="66">
        <v>0.85486111111111107</v>
      </c>
      <c r="W25" s="66">
        <v>0.33749999999999997</v>
      </c>
      <c r="X25" s="66">
        <v>0.81805555555555554</v>
      </c>
      <c r="Y25" s="66">
        <v>0.34027777777777773</v>
      </c>
      <c r="Z25" s="66">
        <v>0.34027777777777773</v>
      </c>
      <c r="AA25" s="66">
        <v>0.56666666666666665</v>
      </c>
      <c r="AB25" s="98">
        <v>1</v>
      </c>
      <c r="AC25" s="66">
        <v>0.33611111111111108</v>
      </c>
      <c r="AD25" s="66">
        <v>0.81527777777777777</v>
      </c>
      <c r="AE25" s="66">
        <v>0.33819444444444446</v>
      </c>
      <c r="AF25" s="98">
        <v>1</v>
      </c>
      <c r="AG25" s="66">
        <v>0.34236111111111112</v>
      </c>
      <c r="AH25" s="98">
        <v>1</v>
      </c>
      <c r="AI25" s="107"/>
      <c r="AJ25" s="112">
        <v>16</v>
      </c>
      <c r="AK25" s="77">
        <v>0.33680555555555558</v>
      </c>
      <c r="AL25" s="79">
        <v>1</v>
      </c>
      <c r="AM25" s="77">
        <v>0.35138888888888892</v>
      </c>
      <c r="AN25" s="79">
        <v>1</v>
      </c>
      <c r="AO25" s="77">
        <v>0.36249999999999999</v>
      </c>
      <c r="AP25" s="79">
        <v>1</v>
      </c>
      <c r="AQ25" s="87" t="s">
        <v>15</v>
      </c>
      <c r="AR25" s="87" t="s">
        <v>15</v>
      </c>
      <c r="AS25" s="79" t="s">
        <v>102</v>
      </c>
      <c r="AT25" s="79" t="s">
        <v>102</v>
      </c>
      <c r="AU25" s="79" t="s">
        <v>102</v>
      </c>
      <c r="AV25" s="79" t="s">
        <v>102</v>
      </c>
      <c r="AW25" s="79" t="s">
        <v>23</v>
      </c>
      <c r="AX25" s="79" t="s">
        <v>23</v>
      </c>
      <c r="AY25" s="79" t="s">
        <v>23</v>
      </c>
      <c r="AZ25" s="79" t="s">
        <v>23</v>
      </c>
      <c r="BA25" s="77">
        <v>0.34097222222222223</v>
      </c>
      <c r="BB25" s="77">
        <v>0.87013888888888891</v>
      </c>
      <c r="BC25" s="77">
        <v>0.33194444444444443</v>
      </c>
      <c r="BD25" s="77">
        <v>0.82916666666666661</v>
      </c>
      <c r="BE25" s="77">
        <v>0.55972222222222223</v>
      </c>
      <c r="BF25" s="98">
        <v>1</v>
      </c>
      <c r="BG25" s="77">
        <v>0.33958333333333335</v>
      </c>
      <c r="BH25" s="77">
        <v>0.81458333333333333</v>
      </c>
      <c r="BI25" s="77">
        <v>0.33611111111111108</v>
      </c>
      <c r="BJ25" s="98">
        <v>1</v>
      </c>
      <c r="BK25" s="77">
        <v>0.34097222222222223</v>
      </c>
      <c r="BL25" s="98">
        <v>1</v>
      </c>
      <c r="BM25" s="77">
        <v>0.34166666666666662</v>
      </c>
      <c r="BN25" s="77">
        <v>0.93402777777777779</v>
      </c>
      <c r="BO25" s="15">
        <f>BQ25+BR25+BS25+BT25+BY25+BW25+BX25+CB25</f>
        <v>28</v>
      </c>
      <c r="BP25" s="54">
        <v>2</v>
      </c>
      <c r="BQ25" s="16">
        <f t="shared" si="3"/>
        <v>23</v>
      </c>
      <c r="BR25" s="17">
        <f>COUNTIF(B25:BL25,"OFF")/2</f>
        <v>2</v>
      </c>
      <c r="BS25" s="17">
        <f>COUNTIF(B25:BL25,"MC")/2</f>
        <v>0</v>
      </c>
      <c r="BT25" s="17">
        <f>COUNTIF(B25:BL25,"EL")/2</f>
        <v>0</v>
      </c>
      <c r="BU25" s="17">
        <f>COUNTIF(B25:BL25,"AL")/2</f>
        <v>0</v>
      </c>
      <c r="BV25" s="17">
        <f>COUNTIF(B25:BL25,"SUS")/2</f>
        <v>0</v>
      </c>
      <c r="BW25" s="17">
        <f>COUNTIF(B25:BL25,"FL")/2</f>
        <v>0</v>
      </c>
      <c r="BX25" s="17">
        <f>COUNTIF(B25:BL25,"SICK")/2</f>
        <v>2</v>
      </c>
      <c r="BY25" s="17">
        <f>COUNTIF(B25:BL25,"HD")/2</f>
        <v>1</v>
      </c>
      <c r="BZ25" s="17">
        <f>COUNTIF(B25:BL25,"AB")/2</f>
        <v>2</v>
      </c>
      <c r="CA25" s="17">
        <f>COUNTIF(B25:BL25,"NL")/2</f>
        <v>0</v>
      </c>
      <c r="CB25" s="17">
        <f>COUNTIF(B25:BL25,"SP")/2</f>
        <v>0</v>
      </c>
      <c r="CC25" s="18"/>
      <c r="CF25" s="60">
        <v>0</v>
      </c>
      <c r="CG25" s="60">
        <v>0</v>
      </c>
      <c r="CH25" s="60">
        <v>0</v>
      </c>
      <c r="CI25" s="60">
        <v>0</v>
      </c>
      <c r="CJ25" s="60">
        <v>0</v>
      </c>
      <c r="CK25" s="59">
        <v>10</v>
      </c>
      <c r="CL25" s="60">
        <v>0</v>
      </c>
      <c r="CM25" s="59">
        <v>2</v>
      </c>
      <c r="CN25" s="59">
        <v>0</v>
      </c>
      <c r="CO25" s="59">
        <v>0</v>
      </c>
      <c r="CP25" s="64">
        <f t="shared" si="16"/>
        <v>12</v>
      </c>
    </row>
    <row r="26" spans="1:94" ht="22.5" customHeight="1" x14ac:dyDescent="0.25">
      <c r="A26" s="7">
        <v>17</v>
      </c>
      <c r="B26" s="8" t="s">
        <v>55</v>
      </c>
      <c r="C26" s="108" t="s">
        <v>110</v>
      </c>
      <c r="D26" s="109">
        <v>45723</v>
      </c>
      <c r="E26" s="79" t="s">
        <v>102</v>
      </c>
      <c r="F26" s="79" t="s">
        <v>102</v>
      </c>
      <c r="G26" s="66">
        <v>0.95694444444444438</v>
      </c>
      <c r="H26" s="98">
        <v>1</v>
      </c>
      <c r="I26" s="66">
        <v>0.35486111111111113</v>
      </c>
      <c r="J26" s="66">
        <v>0.9555555555555556</v>
      </c>
      <c r="K26" s="66">
        <v>0.35694444444444445</v>
      </c>
      <c r="L26" s="66">
        <v>0.97638888888888886</v>
      </c>
      <c r="M26" s="99">
        <v>0.58194444444444449</v>
      </c>
      <c r="N26" s="99">
        <v>0.95138888888888884</v>
      </c>
      <c r="O26" s="66">
        <v>0.3520833333333333</v>
      </c>
      <c r="P26" s="66">
        <v>0.97013888888888899</v>
      </c>
      <c r="Q26" s="66">
        <v>0.35347222222222219</v>
      </c>
      <c r="R26" s="66">
        <v>0.95208333333333339</v>
      </c>
      <c r="S26" s="66">
        <v>0.35555555555555557</v>
      </c>
      <c r="T26" s="66">
        <v>0.95416666666666661</v>
      </c>
      <c r="U26" s="66">
        <v>0.35486111111111113</v>
      </c>
      <c r="V26" s="66">
        <v>0.95000000000000007</v>
      </c>
      <c r="W26" s="66">
        <v>0.35555555555555557</v>
      </c>
      <c r="X26" s="66">
        <v>0.95763888888888893</v>
      </c>
      <c r="Y26" s="66">
        <v>0.35555555555555557</v>
      </c>
      <c r="Z26" s="66">
        <v>0.97638888888888886</v>
      </c>
      <c r="AA26" s="66">
        <v>0.58472222222222225</v>
      </c>
      <c r="AB26" s="66">
        <v>0.95000000000000007</v>
      </c>
      <c r="AC26" s="66">
        <v>0.35416666666666669</v>
      </c>
      <c r="AD26" s="66">
        <v>0.97152777777777777</v>
      </c>
      <c r="AE26" s="66">
        <v>0.35625000000000001</v>
      </c>
      <c r="AF26" s="66">
        <v>0.95000000000000007</v>
      </c>
      <c r="AG26" s="66">
        <v>0.35694444444444445</v>
      </c>
      <c r="AH26" s="66">
        <v>0.96388888888888891</v>
      </c>
      <c r="AI26" s="107"/>
      <c r="AJ26" s="112">
        <v>17</v>
      </c>
      <c r="AK26" s="77">
        <v>0.35972222222222222</v>
      </c>
      <c r="AL26" s="77">
        <v>0.9555555555555556</v>
      </c>
      <c r="AM26" s="77">
        <v>0.35555555555555557</v>
      </c>
      <c r="AN26" s="77">
        <v>0.95486111111111116</v>
      </c>
      <c r="AO26" s="77">
        <v>0.97499999999999998</v>
      </c>
      <c r="AP26" s="79">
        <v>1</v>
      </c>
      <c r="AQ26" s="86">
        <v>0.5805555555555556</v>
      </c>
      <c r="AR26" s="86">
        <v>0.95694444444444438</v>
      </c>
      <c r="AS26" s="77">
        <v>0.3527777777777778</v>
      </c>
      <c r="AT26" s="77">
        <v>0.97777777777777775</v>
      </c>
      <c r="AU26" s="77">
        <v>0.35486111111111113</v>
      </c>
      <c r="AV26" s="77">
        <v>0.95138888888888884</v>
      </c>
      <c r="AW26" s="77">
        <v>0.95416666666666661</v>
      </c>
      <c r="AX26" s="98">
        <v>1</v>
      </c>
      <c r="AY26" s="77">
        <v>0.35416666666666669</v>
      </c>
      <c r="AZ26" s="77">
        <v>0.9506944444444444</v>
      </c>
      <c r="BA26" s="77">
        <v>0.35347222222222219</v>
      </c>
      <c r="BB26" s="77">
        <v>0.95624999999999993</v>
      </c>
      <c r="BC26" s="77">
        <v>0.35347222222222219</v>
      </c>
      <c r="BD26" s="98">
        <v>1</v>
      </c>
      <c r="BE26" s="77">
        <v>0.58124999999999993</v>
      </c>
      <c r="BF26" s="77">
        <v>0.94930555555555562</v>
      </c>
      <c r="BG26" s="77">
        <v>0.35416666666666669</v>
      </c>
      <c r="BH26" s="98">
        <v>1</v>
      </c>
      <c r="BI26" s="77">
        <v>0.35486111111111113</v>
      </c>
      <c r="BJ26" s="98">
        <v>1</v>
      </c>
      <c r="BK26" s="77">
        <v>0.35625000000000001</v>
      </c>
      <c r="BL26" s="77">
        <v>0.95208333333333339</v>
      </c>
      <c r="BM26" s="77">
        <v>0.35416666666666669</v>
      </c>
      <c r="BN26" s="98">
        <v>1</v>
      </c>
      <c r="BO26" s="15">
        <f t="shared" si="5"/>
        <v>30</v>
      </c>
      <c r="BP26" s="54">
        <v>4</v>
      </c>
      <c r="BQ26" s="16">
        <f t="shared" si="3"/>
        <v>29</v>
      </c>
      <c r="BR26" s="17">
        <f>COUNTIF(B26:BJ26,"OFF")/2</f>
        <v>0</v>
      </c>
      <c r="BS26" s="17">
        <f>COUNTIF(B26:BJ26,"MC")/2</f>
        <v>0</v>
      </c>
      <c r="BT26" s="17">
        <f>COUNTIF(B26:BJ26,"EL")/2</f>
        <v>0</v>
      </c>
      <c r="BU26" s="17">
        <f>COUNTIF(B26:BJ26,"AL")/2</f>
        <v>0</v>
      </c>
      <c r="BV26" s="17">
        <f>COUNTIF(B26:BJ26,"SUS")/2</f>
        <v>0</v>
      </c>
      <c r="BW26" s="17">
        <f>COUNTIF(B26:BJ26,"FL")/2</f>
        <v>0</v>
      </c>
      <c r="BX26" s="17">
        <f>COUNTIF(B26:BJ26,"SICK")/2</f>
        <v>1</v>
      </c>
      <c r="BY26" s="17">
        <f>COUNTIF(B26:BJ26,"HD")/2</f>
        <v>0</v>
      </c>
      <c r="BZ26" s="17">
        <f>COUNTIF(B26:BJ26,"AB")/2</f>
        <v>0</v>
      </c>
      <c r="CA26" s="17">
        <f>COUNTIF(B26:BJ26,"NL")/2</f>
        <v>0</v>
      </c>
      <c r="CB26" s="17">
        <f>COUNTIF(B26:BJ26,"SP")/2</f>
        <v>0</v>
      </c>
      <c r="CC26" s="18"/>
      <c r="CF26" s="61">
        <v>0</v>
      </c>
      <c r="CG26" s="61">
        <v>0</v>
      </c>
      <c r="CH26" s="61">
        <v>0</v>
      </c>
      <c r="CI26" s="61">
        <v>0</v>
      </c>
      <c r="CJ26" s="61">
        <v>0</v>
      </c>
      <c r="CK26" s="61">
        <v>4</v>
      </c>
      <c r="CL26" s="61">
        <v>0</v>
      </c>
      <c r="CM26" s="61">
        <v>0</v>
      </c>
      <c r="CN26" s="61">
        <v>0</v>
      </c>
      <c r="CO26" s="61">
        <v>0</v>
      </c>
      <c r="CP26" s="61">
        <f t="shared" si="16"/>
        <v>4</v>
      </c>
    </row>
    <row r="27" spans="1:94" ht="22.5" customHeight="1" x14ac:dyDescent="0.25">
      <c r="A27" s="7">
        <v>18</v>
      </c>
      <c r="B27" s="8" t="s">
        <v>58</v>
      </c>
      <c r="C27" s="108" t="s">
        <v>59</v>
      </c>
      <c r="D27" s="109">
        <v>45807</v>
      </c>
      <c r="E27" s="66">
        <v>0.34583333333333338</v>
      </c>
      <c r="F27" s="66">
        <v>0.83958333333333324</v>
      </c>
      <c r="G27" s="66">
        <v>0.3520833333333333</v>
      </c>
      <c r="H27" s="66">
        <v>0.3520833333333333</v>
      </c>
      <c r="I27" s="66">
        <v>0.34236111111111112</v>
      </c>
      <c r="J27" s="66">
        <v>0.83333333333333337</v>
      </c>
      <c r="K27" s="66">
        <v>0.35000000000000003</v>
      </c>
      <c r="L27" s="66">
        <v>0.85972222222222217</v>
      </c>
      <c r="M27" s="99">
        <v>0.56805555555555554</v>
      </c>
      <c r="N27" s="99">
        <v>0.79236111111111107</v>
      </c>
      <c r="O27" s="66">
        <v>0.3347222222222222</v>
      </c>
      <c r="P27" s="66">
        <v>0.87847222222222221</v>
      </c>
      <c r="Q27" s="66">
        <v>0.33819444444444446</v>
      </c>
      <c r="R27" s="66">
        <v>0.80763888888888891</v>
      </c>
      <c r="S27" s="66">
        <v>0.33680555555555558</v>
      </c>
      <c r="T27" s="66">
        <v>0.81736111111111109</v>
      </c>
      <c r="U27" s="66">
        <v>0.33819444444444446</v>
      </c>
      <c r="V27" s="66">
        <v>0.85486111111111107</v>
      </c>
      <c r="W27" s="66">
        <v>0.34097222222222223</v>
      </c>
      <c r="X27" s="66">
        <v>0.81736111111111109</v>
      </c>
      <c r="Y27" s="66">
        <v>0.33749999999999997</v>
      </c>
      <c r="Z27" s="66">
        <v>0.33749999999999997</v>
      </c>
      <c r="AA27" s="87" t="s">
        <v>15</v>
      </c>
      <c r="AB27" s="87" t="s">
        <v>15</v>
      </c>
      <c r="AC27" s="66">
        <v>0.3347222222222222</v>
      </c>
      <c r="AD27" s="66">
        <v>0.81527777777777777</v>
      </c>
      <c r="AE27" s="66">
        <v>0.33888888888888885</v>
      </c>
      <c r="AF27" s="98">
        <v>1</v>
      </c>
      <c r="AG27" s="66">
        <v>0.33402777777777781</v>
      </c>
      <c r="AH27" s="98">
        <v>1</v>
      </c>
      <c r="AI27" s="101"/>
      <c r="AJ27" s="112">
        <v>18</v>
      </c>
      <c r="AK27" s="77">
        <v>0.33402777777777781</v>
      </c>
      <c r="AL27" s="77">
        <v>0.78680555555555554</v>
      </c>
      <c r="AM27" s="77">
        <v>0.32083333333333336</v>
      </c>
      <c r="AN27" s="77">
        <v>0.83819444444444446</v>
      </c>
      <c r="AO27" s="77">
        <v>0.33124999999999999</v>
      </c>
      <c r="AP27" s="77">
        <v>0.83750000000000002</v>
      </c>
      <c r="AQ27" s="86">
        <v>0.56666666666666665</v>
      </c>
      <c r="AR27" s="86">
        <v>0.81458333333333333</v>
      </c>
      <c r="AS27" s="77">
        <v>0.33680555555555558</v>
      </c>
      <c r="AT27" s="77">
        <v>0.82291666666666663</v>
      </c>
      <c r="AU27" s="77">
        <v>0.33263888888888887</v>
      </c>
      <c r="AV27" s="77">
        <v>0.33263888888888887</v>
      </c>
      <c r="AW27" s="77">
        <v>0.33680555555555558</v>
      </c>
      <c r="AX27" s="98">
        <v>1</v>
      </c>
      <c r="AY27" s="77">
        <v>0.33680555555555558</v>
      </c>
      <c r="AZ27" s="98">
        <v>1</v>
      </c>
      <c r="BA27" s="77">
        <v>0.33819444444444446</v>
      </c>
      <c r="BB27" s="77">
        <v>0.87083333333333324</v>
      </c>
      <c r="BC27" s="77">
        <v>0.33333333333333331</v>
      </c>
      <c r="BD27" s="77">
        <v>0.80694444444444446</v>
      </c>
      <c r="BE27" s="87" t="s">
        <v>15</v>
      </c>
      <c r="BF27" s="87" t="s">
        <v>15</v>
      </c>
      <c r="BG27" s="77">
        <v>0.33402777777777781</v>
      </c>
      <c r="BH27" s="77">
        <v>0.81527777777777777</v>
      </c>
      <c r="BI27" s="77">
        <v>0.32222222222222224</v>
      </c>
      <c r="BJ27" s="77">
        <v>0.32222222222222224</v>
      </c>
      <c r="BK27" s="77">
        <v>0.33958333333333335</v>
      </c>
      <c r="BL27" s="77">
        <v>0.33958333333333335</v>
      </c>
      <c r="BM27" s="77">
        <v>0.32847222222222222</v>
      </c>
      <c r="BN27" s="77">
        <v>0.93333333333333324</v>
      </c>
      <c r="BO27" s="15">
        <f t="shared" si="5"/>
        <v>30</v>
      </c>
      <c r="BP27" s="54">
        <v>2</v>
      </c>
      <c r="BQ27" s="16">
        <f t="shared" si="3"/>
        <v>28</v>
      </c>
      <c r="BR27" s="17">
        <f t="shared" ref="BR27:BR35" si="17">COUNTIF(B27:BN27,"OFF")/2</f>
        <v>2</v>
      </c>
      <c r="BS27" s="17">
        <f t="shared" ref="BS27:BS35" si="18">COUNTIF(B27:BN27,"MC")/2</f>
        <v>0</v>
      </c>
      <c r="BT27" s="17">
        <f t="shared" ref="BT27:BT35" si="19">COUNTIF(B27:BN27,"EL")/2</f>
        <v>0</v>
      </c>
      <c r="BU27" s="17">
        <f t="shared" ref="BU27:BU35" si="20">COUNTIF(B27:BN27,"AL")/2</f>
        <v>0</v>
      </c>
      <c r="BV27" s="17">
        <f t="shared" ref="BV27:BV35" si="21">COUNTIF(B27:BN27,"SUS")/2</f>
        <v>0</v>
      </c>
      <c r="BW27" s="17">
        <f t="shared" ref="BW27:BW35" si="22">COUNTIF(B27:BN27,"FL")/2</f>
        <v>0</v>
      </c>
      <c r="BX27" s="17">
        <f t="shared" ref="BX27:BX35" si="23">COUNTIF(B27:BN27,"SICK")/2</f>
        <v>0</v>
      </c>
      <c r="BY27" s="17">
        <f t="shared" ref="BY27:BY35" si="24">COUNTIF(B27:BN27,"HD")/2</f>
        <v>0</v>
      </c>
      <c r="BZ27" s="17">
        <f t="shared" ref="BZ27:BZ35" si="25">COUNTIF(B27:BN27,"AB")/2</f>
        <v>0</v>
      </c>
      <c r="CA27" s="17">
        <f t="shared" ref="CA27:CA35" si="26">COUNTIF(B27:BN27,"NL")/2</f>
        <v>0</v>
      </c>
      <c r="CB27" s="17">
        <f t="shared" ref="CB27:CB35" si="27">COUNTIF(B27:BN27,"SP")/2</f>
        <v>0</v>
      </c>
      <c r="CC27" s="18"/>
      <c r="CF27" s="60">
        <v>0</v>
      </c>
      <c r="CG27" s="60">
        <v>0</v>
      </c>
      <c r="CH27" s="60">
        <v>0</v>
      </c>
      <c r="CI27" s="60">
        <v>0</v>
      </c>
      <c r="CJ27" s="60">
        <v>0</v>
      </c>
      <c r="CK27" s="59">
        <v>6</v>
      </c>
      <c r="CL27" s="60">
        <v>0</v>
      </c>
      <c r="CM27" s="59">
        <v>0</v>
      </c>
      <c r="CN27" s="59">
        <v>0</v>
      </c>
      <c r="CO27" s="59">
        <v>0</v>
      </c>
      <c r="CP27" s="64">
        <f t="shared" si="16"/>
        <v>6</v>
      </c>
    </row>
    <row r="28" spans="1:94" ht="22.5" customHeight="1" x14ac:dyDescent="0.25">
      <c r="A28" s="7">
        <v>19</v>
      </c>
      <c r="B28" s="8" t="s">
        <v>60</v>
      </c>
      <c r="C28" s="108" t="s">
        <v>61</v>
      </c>
      <c r="D28" s="109">
        <v>45807</v>
      </c>
      <c r="E28" s="66">
        <v>0.35555555555555557</v>
      </c>
      <c r="F28" s="66">
        <v>0.9555555555555556</v>
      </c>
      <c r="G28" s="66">
        <v>0.36041666666666666</v>
      </c>
      <c r="H28" s="66">
        <v>0.95763888888888893</v>
      </c>
      <c r="I28" s="66">
        <v>0.35555555555555557</v>
      </c>
      <c r="J28" s="66">
        <v>0.9555555555555556</v>
      </c>
      <c r="K28" s="66">
        <v>0.35694444444444445</v>
      </c>
      <c r="L28" s="66">
        <v>0.97638888888888886</v>
      </c>
      <c r="M28" s="99">
        <v>0.58194444444444449</v>
      </c>
      <c r="N28" s="99">
        <v>0.95208333333333339</v>
      </c>
      <c r="O28" s="66">
        <v>0.3520833333333333</v>
      </c>
      <c r="P28" s="66">
        <v>0.97013888888888899</v>
      </c>
      <c r="Q28" s="66">
        <v>0.35416666666666669</v>
      </c>
      <c r="R28" s="66">
        <v>0.95208333333333339</v>
      </c>
      <c r="S28" s="66">
        <v>0.35555555555555557</v>
      </c>
      <c r="T28" s="66">
        <v>0.95486111111111116</v>
      </c>
      <c r="U28" s="66">
        <v>0.35555555555555557</v>
      </c>
      <c r="V28" s="98">
        <v>1</v>
      </c>
      <c r="W28" s="66">
        <v>0.35555555555555557</v>
      </c>
      <c r="X28" s="66">
        <v>0.95833333333333337</v>
      </c>
      <c r="Y28" s="66">
        <v>0.35555555555555557</v>
      </c>
      <c r="Z28" s="66">
        <v>0.97638888888888886</v>
      </c>
      <c r="AA28" s="87" t="s">
        <v>15</v>
      </c>
      <c r="AB28" s="87" t="s">
        <v>15</v>
      </c>
      <c r="AC28" s="66">
        <v>0.35416666666666669</v>
      </c>
      <c r="AD28" s="66">
        <v>0.97291666666666676</v>
      </c>
      <c r="AE28" s="66">
        <v>0.35625000000000001</v>
      </c>
      <c r="AF28" s="66">
        <v>0.9506944444444444</v>
      </c>
      <c r="AG28" s="66">
        <v>0.3576388888888889</v>
      </c>
      <c r="AH28" s="66">
        <v>0.96458333333333324</v>
      </c>
      <c r="AI28" s="107"/>
      <c r="AJ28" s="112">
        <v>19</v>
      </c>
      <c r="AK28" s="77">
        <v>0.35972222222222222</v>
      </c>
      <c r="AL28" s="77">
        <v>0.9555555555555556</v>
      </c>
      <c r="AM28" s="77">
        <v>0.35625000000000001</v>
      </c>
      <c r="AN28" s="77">
        <v>0.95486111111111116</v>
      </c>
      <c r="AO28" s="77">
        <v>0.35833333333333334</v>
      </c>
      <c r="AP28" s="77">
        <v>0.97361111111111109</v>
      </c>
      <c r="AQ28" s="87" t="s">
        <v>15</v>
      </c>
      <c r="AR28" s="87" t="s">
        <v>15</v>
      </c>
      <c r="AS28" s="77">
        <v>0.35347222222222219</v>
      </c>
      <c r="AT28" s="77">
        <v>0.97777777777777775</v>
      </c>
      <c r="AU28" s="77">
        <v>0.35486111111111113</v>
      </c>
      <c r="AV28" s="77">
        <v>0.95208333333333339</v>
      </c>
      <c r="AW28" s="77">
        <v>0.3520833333333333</v>
      </c>
      <c r="AX28" s="77">
        <v>0.95486111111111116</v>
      </c>
      <c r="AY28" s="77">
        <v>0.35416666666666669</v>
      </c>
      <c r="AZ28" s="77">
        <v>0.95000000000000007</v>
      </c>
      <c r="BA28" s="77">
        <v>0.35347222222222219</v>
      </c>
      <c r="BB28" s="77">
        <v>0.95694444444444438</v>
      </c>
      <c r="BC28" s="77">
        <v>0.35347222222222219</v>
      </c>
      <c r="BD28" s="77">
        <v>0.97638888888888886</v>
      </c>
      <c r="BE28" s="77">
        <v>0.58124999999999993</v>
      </c>
      <c r="BF28" s="98">
        <v>1</v>
      </c>
      <c r="BG28" s="77">
        <v>0.35416666666666669</v>
      </c>
      <c r="BH28" s="77">
        <v>0.96666666666666667</v>
      </c>
      <c r="BI28" s="77">
        <v>0.35486111111111113</v>
      </c>
      <c r="BJ28" s="77">
        <v>0.99236111111111114</v>
      </c>
      <c r="BK28" s="77">
        <v>0.35625000000000001</v>
      </c>
      <c r="BL28" s="77">
        <v>0.95208333333333339</v>
      </c>
      <c r="BM28" s="77">
        <v>0.35416666666666669</v>
      </c>
      <c r="BN28" s="77">
        <v>0.93958333333333333</v>
      </c>
      <c r="BO28" s="15">
        <f t="shared" si="5"/>
        <v>30</v>
      </c>
      <c r="BP28" s="54">
        <v>2</v>
      </c>
      <c r="BQ28" s="16">
        <f t="shared" si="3"/>
        <v>28</v>
      </c>
      <c r="BR28" s="17">
        <f t="shared" si="17"/>
        <v>2</v>
      </c>
      <c r="BS28" s="17">
        <f t="shared" si="18"/>
        <v>0</v>
      </c>
      <c r="BT28" s="17">
        <f t="shared" si="19"/>
        <v>0</v>
      </c>
      <c r="BU28" s="17">
        <f t="shared" si="20"/>
        <v>0</v>
      </c>
      <c r="BV28" s="17">
        <f t="shared" si="21"/>
        <v>0</v>
      </c>
      <c r="BW28" s="17">
        <f t="shared" si="22"/>
        <v>0</v>
      </c>
      <c r="BX28" s="17">
        <f t="shared" si="23"/>
        <v>0</v>
      </c>
      <c r="BY28" s="17">
        <f t="shared" si="24"/>
        <v>0</v>
      </c>
      <c r="BZ28" s="17">
        <f t="shared" si="25"/>
        <v>0</v>
      </c>
      <c r="CA28" s="17">
        <f t="shared" si="26"/>
        <v>0</v>
      </c>
      <c r="CB28" s="17">
        <f t="shared" si="27"/>
        <v>0</v>
      </c>
      <c r="CC28" s="18"/>
      <c r="CF28" s="61">
        <v>0</v>
      </c>
      <c r="CG28" s="61">
        <v>0</v>
      </c>
      <c r="CH28" s="61">
        <v>0</v>
      </c>
      <c r="CI28" s="61">
        <v>0</v>
      </c>
      <c r="CJ28" s="61">
        <v>0</v>
      </c>
      <c r="CK28" s="61">
        <v>0</v>
      </c>
      <c r="CL28" s="61">
        <v>0</v>
      </c>
      <c r="CM28" s="61">
        <v>0</v>
      </c>
      <c r="CN28" s="61">
        <v>0</v>
      </c>
      <c r="CO28" s="61">
        <v>0</v>
      </c>
      <c r="CP28" s="61">
        <f t="shared" si="16"/>
        <v>0</v>
      </c>
    </row>
    <row r="29" spans="1:94" ht="22.5" customHeight="1" x14ac:dyDescent="0.25">
      <c r="A29" s="7">
        <v>20</v>
      </c>
      <c r="B29" s="8" t="s">
        <v>62</v>
      </c>
      <c r="C29" s="108" t="s">
        <v>63</v>
      </c>
      <c r="D29" s="109">
        <v>45883</v>
      </c>
      <c r="E29" s="66">
        <v>0.35555555555555557</v>
      </c>
      <c r="F29" s="66">
        <v>0.9555555555555556</v>
      </c>
      <c r="G29" s="66">
        <v>0.36041666666666666</v>
      </c>
      <c r="H29" s="66">
        <v>0.95486111111111116</v>
      </c>
      <c r="I29" s="66">
        <v>0.41666666666666669</v>
      </c>
      <c r="J29" s="66">
        <v>0.95486111111111116</v>
      </c>
      <c r="K29" s="66">
        <v>0.35347222222222219</v>
      </c>
      <c r="L29" s="66">
        <v>0.97430555555555554</v>
      </c>
      <c r="M29" s="99">
        <v>0.57847222222222217</v>
      </c>
      <c r="N29" s="99">
        <v>0.57847222222222217</v>
      </c>
      <c r="O29" s="66">
        <v>0.35833333333333334</v>
      </c>
      <c r="P29" s="66">
        <v>0.97569444444444453</v>
      </c>
      <c r="Q29" s="66">
        <v>0.35833333333333334</v>
      </c>
      <c r="R29" s="98">
        <v>1</v>
      </c>
      <c r="S29" s="66">
        <v>0.36041666666666666</v>
      </c>
      <c r="T29" s="66">
        <v>0.96111111111111114</v>
      </c>
      <c r="U29" s="66">
        <v>0.35138888888888892</v>
      </c>
      <c r="V29" s="66">
        <v>0.95138888888888884</v>
      </c>
      <c r="W29" s="66">
        <v>0.35902777777777778</v>
      </c>
      <c r="X29" s="98">
        <v>1</v>
      </c>
      <c r="Y29" s="66">
        <v>0.35972222222222222</v>
      </c>
      <c r="Z29" s="66">
        <v>0.97361111111111109</v>
      </c>
      <c r="AA29" s="87" t="s">
        <v>15</v>
      </c>
      <c r="AB29" s="87" t="s">
        <v>15</v>
      </c>
      <c r="AC29" s="66">
        <v>0.35694444444444445</v>
      </c>
      <c r="AD29" s="98">
        <v>1</v>
      </c>
      <c r="AE29" s="66">
        <v>0.3576388888888889</v>
      </c>
      <c r="AF29" s="98">
        <v>1</v>
      </c>
      <c r="AG29" s="66">
        <v>0.35416666666666669</v>
      </c>
      <c r="AH29" s="66">
        <v>0.97638888888888886</v>
      </c>
      <c r="AI29" s="107"/>
      <c r="AJ29" s="112">
        <v>20</v>
      </c>
      <c r="AK29" s="77">
        <v>0.35902777777777778</v>
      </c>
      <c r="AL29" s="77">
        <v>0.9506944444444444</v>
      </c>
      <c r="AM29" s="77">
        <v>0.3527777777777778</v>
      </c>
      <c r="AN29" s="77">
        <v>0.95138888888888884</v>
      </c>
      <c r="AO29" s="77">
        <v>0.35694444444444445</v>
      </c>
      <c r="AP29" s="77">
        <v>0.97499999999999998</v>
      </c>
      <c r="AQ29" s="86">
        <v>0.57708333333333328</v>
      </c>
      <c r="AR29" s="87">
        <v>1</v>
      </c>
      <c r="AS29" s="77">
        <v>0.35625000000000001</v>
      </c>
      <c r="AT29" s="79">
        <v>1</v>
      </c>
      <c r="AU29" s="77">
        <v>0.35138888888888892</v>
      </c>
      <c r="AV29" s="77">
        <v>0.94861111111111107</v>
      </c>
      <c r="AW29" s="77">
        <v>0.35902777777777778</v>
      </c>
      <c r="AX29" s="77">
        <v>0.95347222222222217</v>
      </c>
      <c r="AY29" s="77">
        <v>0.35069444444444442</v>
      </c>
      <c r="AZ29" s="77">
        <v>0.94652777777777775</v>
      </c>
      <c r="BA29" s="77">
        <v>0.4201388888888889</v>
      </c>
      <c r="BB29" s="77">
        <v>0.95416666666666661</v>
      </c>
      <c r="BC29" s="77">
        <v>0.35000000000000003</v>
      </c>
      <c r="BD29" s="98">
        <v>1</v>
      </c>
      <c r="BE29" s="87" t="s">
        <v>15</v>
      </c>
      <c r="BF29" s="87" t="s">
        <v>15</v>
      </c>
      <c r="BG29" s="77">
        <v>0.35833333333333334</v>
      </c>
      <c r="BH29" s="77">
        <v>0.97013888888888899</v>
      </c>
      <c r="BI29" s="77">
        <v>0.35694444444444445</v>
      </c>
      <c r="BJ29" s="77">
        <v>0.95972222222222225</v>
      </c>
      <c r="BK29" s="77">
        <v>0.3611111111111111</v>
      </c>
      <c r="BL29" s="98">
        <v>1</v>
      </c>
      <c r="BM29" s="77">
        <v>0.34097222222222223</v>
      </c>
      <c r="BN29" s="77">
        <v>0.34097222222222223</v>
      </c>
      <c r="BO29" s="15">
        <f t="shared" si="5"/>
        <v>30</v>
      </c>
      <c r="BP29" s="54">
        <v>2</v>
      </c>
      <c r="BQ29" s="16">
        <f t="shared" si="3"/>
        <v>28</v>
      </c>
      <c r="BR29" s="17">
        <f t="shared" si="17"/>
        <v>2</v>
      </c>
      <c r="BS29" s="17">
        <f t="shared" si="18"/>
        <v>0</v>
      </c>
      <c r="BT29" s="17">
        <f t="shared" si="19"/>
        <v>0</v>
      </c>
      <c r="BU29" s="17">
        <f t="shared" si="20"/>
        <v>0</v>
      </c>
      <c r="BV29" s="17">
        <f t="shared" si="21"/>
        <v>0</v>
      </c>
      <c r="BW29" s="17">
        <f t="shared" si="22"/>
        <v>0</v>
      </c>
      <c r="BX29" s="17">
        <f t="shared" si="23"/>
        <v>0</v>
      </c>
      <c r="BY29" s="17">
        <f t="shared" si="24"/>
        <v>0</v>
      </c>
      <c r="BZ29" s="17">
        <f t="shared" si="25"/>
        <v>0</v>
      </c>
      <c r="CA29" s="17">
        <f t="shared" si="26"/>
        <v>0</v>
      </c>
      <c r="CB29" s="17">
        <f t="shared" si="27"/>
        <v>0</v>
      </c>
      <c r="CC29" s="18"/>
      <c r="CF29" s="60">
        <v>0</v>
      </c>
      <c r="CG29" s="60">
        <v>0</v>
      </c>
      <c r="CH29" s="60">
        <v>0</v>
      </c>
      <c r="CI29" s="60">
        <v>0</v>
      </c>
      <c r="CJ29" s="60">
        <v>0</v>
      </c>
      <c r="CK29" s="59">
        <v>4</v>
      </c>
      <c r="CL29" s="60">
        <v>0</v>
      </c>
      <c r="CM29" s="59">
        <v>0</v>
      </c>
      <c r="CN29" s="59">
        <v>0</v>
      </c>
      <c r="CO29" s="59">
        <v>0</v>
      </c>
      <c r="CP29" s="64">
        <f t="shared" si="16"/>
        <v>4</v>
      </c>
    </row>
    <row r="30" spans="1:94" ht="22.5" customHeight="1" x14ac:dyDescent="0.25">
      <c r="A30" s="7">
        <v>21</v>
      </c>
      <c r="B30" s="8" t="s">
        <v>64</v>
      </c>
      <c r="C30" s="108" t="s">
        <v>65</v>
      </c>
      <c r="D30" s="109">
        <v>45956</v>
      </c>
      <c r="E30" s="66">
        <v>0.35555555555555557</v>
      </c>
      <c r="F30" s="66">
        <v>0.95277777777777783</v>
      </c>
      <c r="G30" s="66">
        <v>0.36041666666666666</v>
      </c>
      <c r="H30" s="66">
        <v>0.95624999999999993</v>
      </c>
      <c r="I30" s="66">
        <v>0.35555555555555557</v>
      </c>
      <c r="J30" s="66">
        <v>0.9555555555555556</v>
      </c>
      <c r="K30" s="66">
        <v>0.35694444444444445</v>
      </c>
      <c r="L30" s="66">
        <v>0.97569444444444453</v>
      </c>
      <c r="M30" s="99">
        <v>0.58194444444444449</v>
      </c>
      <c r="N30" s="99">
        <v>0.95138888888888884</v>
      </c>
      <c r="O30" s="66">
        <v>0.3520833333333333</v>
      </c>
      <c r="P30" s="66">
        <v>0.97013888888888899</v>
      </c>
      <c r="Q30" s="66">
        <v>0.35416666666666669</v>
      </c>
      <c r="R30" s="66">
        <v>0.95138888888888884</v>
      </c>
      <c r="S30" s="66">
        <v>0.35555555555555557</v>
      </c>
      <c r="T30" s="66">
        <v>0.9555555555555556</v>
      </c>
      <c r="U30" s="66">
        <v>0.35555555555555557</v>
      </c>
      <c r="V30" s="66">
        <v>0.9506944444444444</v>
      </c>
      <c r="W30" s="66">
        <v>0.35555555555555557</v>
      </c>
      <c r="X30" s="66">
        <v>0.95694444444444438</v>
      </c>
      <c r="Y30" s="66">
        <v>0.35625000000000001</v>
      </c>
      <c r="Z30" s="66">
        <v>0.97361111111111109</v>
      </c>
      <c r="AA30" s="87" t="s">
        <v>15</v>
      </c>
      <c r="AB30" s="87" t="s">
        <v>15</v>
      </c>
      <c r="AC30" s="66">
        <v>0.35416666666666669</v>
      </c>
      <c r="AD30" s="66">
        <v>0.97361111111111109</v>
      </c>
      <c r="AE30" s="66">
        <v>0.35625000000000001</v>
      </c>
      <c r="AF30" s="66">
        <v>0.95000000000000007</v>
      </c>
      <c r="AG30" s="66">
        <v>0.3576388888888889</v>
      </c>
      <c r="AH30" s="66">
        <v>0.96458333333333324</v>
      </c>
      <c r="AI30" s="107"/>
      <c r="AJ30" s="112">
        <v>21</v>
      </c>
      <c r="AK30" s="77">
        <v>0.35972222222222222</v>
      </c>
      <c r="AL30" s="77">
        <v>0.95347222222222217</v>
      </c>
      <c r="AM30" s="77">
        <v>0.35625000000000001</v>
      </c>
      <c r="AN30" s="77">
        <v>0.95486111111111116</v>
      </c>
      <c r="AO30" s="77">
        <v>0.35833333333333334</v>
      </c>
      <c r="AP30" s="77">
        <v>0.97291666666666676</v>
      </c>
      <c r="AQ30" s="86">
        <v>0.5805555555555556</v>
      </c>
      <c r="AR30" s="86">
        <v>0.95624999999999993</v>
      </c>
      <c r="AS30" s="77">
        <v>0.3527777777777778</v>
      </c>
      <c r="AT30" s="77">
        <v>0.97638888888888886</v>
      </c>
      <c r="AU30" s="77">
        <v>0.35486111111111113</v>
      </c>
      <c r="AV30" s="77">
        <v>0.95208333333333339</v>
      </c>
      <c r="AW30" s="77">
        <v>0.3527777777777778</v>
      </c>
      <c r="AX30" s="77">
        <v>0.94861111111111107</v>
      </c>
      <c r="AY30" s="77">
        <v>0.35416666666666669</v>
      </c>
      <c r="AZ30" s="77">
        <v>0.95000000000000007</v>
      </c>
      <c r="BA30" s="77">
        <v>0.35347222222222219</v>
      </c>
      <c r="BB30" s="77">
        <v>0.95694444444444438</v>
      </c>
      <c r="BC30" s="77">
        <v>0.35347222222222219</v>
      </c>
      <c r="BD30" s="77">
        <v>0.97499999999999998</v>
      </c>
      <c r="BE30" s="87" t="s">
        <v>15</v>
      </c>
      <c r="BF30" s="87" t="s">
        <v>15</v>
      </c>
      <c r="BG30" s="77">
        <v>0.35416666666666669</v>
      </c>
      <c r="BH30" s="98">
        <v>1</v>
      </c>
      <c r="BI30" s="77">
        <v>0.35486111111111113</v>
      </c>
      <c r="BJ30" s="77">
        <v>0.96944444444444444</v>
      </c>
      <c r="BK30" s="77">
        <v>0.35694444444444445</v>
      </c>
      <c r="BL30" s="77">
        <v>0.95138888888888884</v>
      </c>
      <c r="BM30" s="77">
        <v>0.35416666666666669</v>
      </c>
      <c r="BN30" s="77">
        <v>0.94027777777777777</v>
      </c>
      <c r="BO30" s="15">
        <f t="shared" si="5"/>
        <v>30</v>
      </c>
      <c r="BP30" s="54">
        <v>2</v>
      </c>
      <c r="BQ30" s="16">
        <f t="shared" si="3"/>
        <v>28</v>
      </c>
      <c r="BR30" s="17">
        <f t="shared" si="17"/>
        <v>2</v>
      </c>
      <c r="BS30" s="17">
        <f t="shared" si="18"/>
        <v>0</v>
      </c>
      <c r="BT30" s="17">
        <f t="shared" si="19"/>
        <v>0</v>
      </c>
      <c r="BU30" s="17">
        <f t="shared" si="20"/>
        <v>0</v>
      </c>
      <c r="BV30" s="17">
        <f t="shared" si="21"/>
        <v>0</v>
      </c>
      <c r="BW30" s="17">
        <f t="shared" si="22"/>
        <v>0</v>
      </c>
      <c r="BX30" s="17">
        <f t="shared" si="23"/>
        <v>0</v>
      </c>
      <c r="BY30" s="17">
        <f t="shared" si="24"/>
        <v>0</v>
      </c>
      <c r="BZ30" s="17">
        <f t="shared" si="25"/>
        <v>0</v>
      </c>
      <c r="CA30" s="17">
        <f t="shared" si="26"/>
        <v>0</v>
      </c>
      <c r="CB30" s="17">
        <f t="shared" si="27"/>
        <v>0</v>
      </c>
      <c r="CC30" s="18"/>
      <c r="CF30" s="61">
        <v>0</v>
      </c>
      <c r="CG30" s="61">
        <v>0</v>
      </c>
      <c r="CH30" s="61">
        <v>0</v>
      </c>
      <c r="CI30" s="61">
        <v>0</v>
      </c>
      <c r="CJ30" s="61">
        <v>0</v>
      </c>
      <c r="CK30" s="61">
        <v>5</v>
      </c>
      <c r="CL30" s="61">
        <v>0</v>
      </c>
      <c r="CM30" s="61">
        <v>0</v>
      </c>
      <c r="CN30" s="61">
        <v>0</v>
      </c>
      <c r="CO30" s="61">
        <v>0</v>
      </c>
      <c r="CP30" s="61">
        <f>SUM(CF30:CO30)</f>
        <v>5</v>
      </c>
    </row>
    <row r="31" spans="1:94" ht="22.5" customHeight="1" x14ac:dyDescent="0.25">
      <c r="A31" s="7">
        <v>22</v>
      </c>
      <c r="B31" s="8" t="s">
        <v>92</v>
      </c>
      <c r="C31" s="108" t="s">
        <v>93</v>
      </c>
      <c r="D31" s="109">
        <v>46028</v>
      </c>
      <c r="E31" s="66">
        <v>0.33611111111111108</v>
      </c>
      <c r="F31" s="66">
        <v>0.83888888888888891</v>
      </c>
      <c r="G31" s="66">
        <v>0.34722222222222227</v>
      </c>
      <c r="H31" s="66">
        <v>0.34791666666666665</v>
      </c>
      <c r="I31" s="66">
        <v>0.34930555555555554</v>
      </c>
      <c r="J31" s="66">
        <v>0.83333333333333337</v>
      </c>
      <c r="K31" s="66">
        <v>0.34861111111111115</v>
      </c>
      <c r="L31" s="66">
        <v>0.85972222222222217</v>
      </c>
      <c r="M31" s="99">
        <v>0.56874999999999998</v>
      </c>
      <c r="N31" s="99">
        <v>0.56874999999999998</v>
      </c>
      <c r="O31" s="66">
        <v>0.33888888888888885</v>
      </c>
      <c r="P31" s="66">
        <v>0.87916666666666676</v>
      </c>
      <c r="Q31" s="66">
        <v>0.33680555555555558</v>
      </c>
      <c r="R31" s="66">
        <v>0.80555555555555547</v>
      </c>
      <c r="S31" s="66">
        <v>0.3347222222222222</v>
      </c>
      <c r="T31" s="66">
        <v>0.81666666666666676</v>
      </c>
      <c r="U31" s="66">
        <v>0.33333333333333331</v>
      </c>
      <c r="V31" s="66">
        <v>0.85486111111111107</v>
      </c>
      <c r="W31" s="66">
        <v>0.33611111111111108</v>
      </c>
      <c r="X31" s="66">
        <v>0.81736111111111109</v>
      </c>
      <c r="Y31" s="66">
        <v>0.33888888888888885</v>
      </c>
      <c r="Z31" s="66">
        <v>0.33888888888888885</v>
      </c>
      <c r="AA31" s="87" t="s">
        <v>15</v>
      </c>
      <c r="AB31" s="87" t="s">
        <v>15</v>
      </c>
      <c r="AC31" s="66">
        <v>0.34027777777777773</v>
      </c>
      <c r="AD31" s="66">
        <v>0.81527777777777777</v>
      </c>
      <c r="AE31" s="66">
        <v>0.33194444444444443</v>
      </c>
      <c r="AF31" s="66">
        <v>0.33263888888888887</v>
      </c>
      <c r="AG31" s="66">
        <v>0.3298611111111111</v>
      </c>
      <c r="AH31" s="66">
        <v>0.3298611111111111</v>
      </c>
      <c r="AI31" s="107"/>
      <c r="AJ31" s="112">
        <v>22</v>
      </c>
      <c r="AK31" s="77">
        <v>0.32916666666666666</v>
      </c>
      <c r="AL31" s="77">
        <v>0.78472222222222221</v>
      </c>
      <c r="AM31" s="77">
        <v>0.33402777777777781</v>
      </c>
      <c r="AN31" s="77">
        <v>0.83819444444444446</v>
      </c>
      <c r="AO31" s="77">
        <v>0.33958333333333335</v>
      </c>
      <c r="AP31" s="77">
        <v>0.83680555555555547</v>
      </c>
      <c r="AQ31" s="86">
        <v>0.56736111111111109</v>
      </c>
      <c r="AR31" s="86">
        <v>0.81458333333333333</v>
      </c>
      <c r="AS31" s="77">
        <v>0.33958333333333335</v>
      </c>
      <c r="AT31" s="77">
        <v>0.33958333333333335</v>
      </c>
      <c r="AU31" s="77">
        <v>0.33888888888888885</v>
      </c>
      <c r="AV31" s="77">
        <v>0.33888888888888885</v>
      </c>
      <c r="AW31" s="77">
        <v>0.34236111111111112</v>
      </c>
      <c r="AX31" s="98">
        <v>1</v>
      </c>
      <c r="AY31" s="77">
        <v>0.33749999999999997</v>
      </c>
      <c r="AZ31" s="77">
        <v>0.33749999999999997</v>
      </c>
      <c r="BA31" s="77">
        <v>0.3347222222222222</v>
      </c>
      <c r="BB31" s="77">
        <v>0.87083333333333324</v>
      </c>
      <c r="BC31" s="77">
        <v>0.3354166666666667</v>
      </c>
      <c r="BD31" s="77">
        <v>0.82916666666666661</v>
      </c>
      <c r="BE31" s="87" t="s">
        <v>15</v>
      </c>
      <c r="BF31" s="87" t="s">
        <v>15</v>
      </c>
      <c r="BG31" s="77">
        <v>0.33749999999999997</v>
      </c>
      <c r="BH31" s="77">
        <v>0.81527777777777777</v>
      </c>
      <c r="BI31" s="77">
        <v>0.33611111111111108</v>
      </c>
      <c r="BJ31" s="77">
        <v>0.33611111111111108</v>
      </c>
      <c r="BK31" s="77">
        <v>0.34722222222222227</v>
      </c>
      <c r="BL31" s="77">
        <v>0.34722222222222227</v>
      </c>
      <c r="BM31" s="77">
        <v>0.3347222222222222</v>
      </c>
      <c r="BN31" s="77">
        <v>0.93333333333333324</v>
      </c>
      <c r="BO31" s="15">
        <f t="shared" si="5"/>
        <v>30</v>
      </c>
      <c r="BP31" s="54">
        <v>2</v>
      </c>
      <c r="BQ31" s="16">
        <f t="shared" si="3"/>
        <v>28</v>
      </c>
      <c r="BR31" s="17">
        <f t="shared" si="17"/>
        <v>2</v>
      </c>
      <c r="BS31" s="17">
        <f t="shared" si="18"/>
        <v>0</v>
      </c>
      <c r="BT31" s="17">
        <f t="shared" si="19"/>
        <v>0</v>
      </c>
      <c r="BU31" s="17">
        <f t="shared" si="20"/>
        <v>0</v>
      </c>
      <c r="BV31" s="17">
        <f t="shared" si="21"/>
        <v>0</v>
      </c>
      <c r="BW31" s="17">
        <f t="shared" si="22"/>
        <v>0</v>
      </c>
      <c r="BX31" s="17">
        <f t="shared" si="23"/>
        <v>0</v>
      </c>
      <c r="BY31" s="17">
        <f t="shared" si="24"/>
        <v>0</v>
      </c>
      <c r="BZ31" s="17">
        <f t="shared" si="25"/>
        <v>0</v>
      </c>
      <c r="CA31" s="17">
        <f t="shared" si="26"/>
        <v>0</v>
      </c>
      <c r="CB31" s="17">
        <f t="shared" si="27"/>
        <v>0</v>
      </c>
      <c r="CC31" s="18"/>
      <c r="CF31" s="60">
        <v>0</v>
      </c>
      <c r="CG31" s="60">
        <v>0</v>
      </c>
      <c r="CH31" s="60">
        <v>0</v>
      </c>
      <c r="CI31" s="60">
        <v>0</v>
      </c>
      <c r="CJ31" s="60">
        <v>0</v>
      </c>
      <c r="CK31" s="59">
        <v>0</v>
      </c>
      <c r="CL31" s="60">
        <v>0</v>
      </c>
      <c r="CM31" s="59">
        <v>0</v>
      </c>
      <c r="CN31" s="59">
        <v>0</v>
      </c>
      <c r="CO31" s="59">
        <v>0</v>
      </c>
      <c r="CP31" s="64">
        <f t="shared" ref="CP31" si="28">SUM(CF31:CO31)</f>
        <v>0</v>
      </c>
    </row>
    <row r="32" spans="1:94" ht="22.5" customHeight="1" x14ac:dyDescent="0.25">
      <c r="A32" s="7">
        <v>23</v>
      </c>
      <c r="B32" s="8" t="s">
        <v>91</v>
      </c>
      <c r="C32" s="108" t="s">
        <v>94</v>
      </c>
      <c r="D32" s="109">
        <v>46028</v>
      </c>
      <c r="E32" s="66">
        <v>0.35416666666666669</v>
      </c>
      <c r="F32" s="66">
        <v>0.94236111111111109</v>
      </c>
      <c r="G32" s="66">
        <v>0.3576388888888889</v>
      </c>
      <c r="H32" s="66">
        <v>0.94027777777777777</v>
      </c>
      <c r="I32" s="66">
        <v>0.35347222222222219</v>
      </c>
      <c r="J32" s="66">
        <v>0.94236111111111109</v>
      </c>
      <c r="K32" s="66">
        <v>0.35486111111111113</v>
      </c>
      <c r="L32" s="66">
        <v>0.96319444444444446</v>
      </c>
      <c r="M32" s="87" t="s">
        <v>15</v>
      </c>
      <c r="N32" s="87" t="s">
        <v>15</v>
      </c>
      <c r="O32" s="66">
        <v>0.35000000000000003</v>
      </c>
      <c r="P32" s="66">
        <v>0.96111111111111114</v>
      </c>
      <c r="Q32" s="66">
        <v>0.35069444444444442</v>
      </c>
      <c r="R32" s="66">
        <v>0.94097222222222221</v>
      </c>
      <c r="S32" s="66">
        <v>0.35416666666666669</v>
      </c>
      <c r="T32" s="66">
        <v>0.9458333333333333</v>
      </c>
      <c r="U32" s="66">
        <v>0.3520833333333333</v>
      </c>
      <c r="V32" s="66">
        <v>0.94374999999999998</v>
      </c>
      <c r="W32" s="66">
        <v>0.35138888888888892</v>
      </c>
      <c r="X32" s="66">
        <v>0.94374999999999998</v>
      </c>
      <c r="Y32" s="66">
        <v>0.35138888888888892</v>
      </c>
      <c r="Z32" s="66">
        <v>0.9604166666666667</v>
      </c>
      <c r="AA32" s="66">
        <v>0.58124999999999993</v>
      </c>
      <c r="AB32" s="66">
        <v>0.94513888888888886</v>
      </c>
      <c r="AC32" s="66">
        <v>0.35833333333333334</v>
      </c>
      <c r="AD32" s="66">
        <v>0.95694444444444438</v>
      </c>
      <c r="AE32" s="66">
        <v>0.35347222222222219</v>
      </c>
      <c r="AF32" s="66">
        <v>0.94374999999999998</v>
      </c>
      <c r="AG32" s="66">
        <v>0.35486111111111113</v>
      </c>
      <c r="AH32" s="66">
        <v>0.96111111111111114</v>
      </c>
      <c r="AI32" s="107"/>
      <c r="AJ32" s="112">
        <v>23</v>
      </c>
      <c r="AK32" s="77">
        <v>0.3527777777777778</v>
      </c>
      <c r="AL32" s="77">
        <v>0.94236111111111109</v>
      </c>
      <c r="AM32" s="77">
        <v>0.35555555555555557</v>
      </c>
      <c r="AN32" s="77">
        <v>0.94513888888888886</v>
      </c>
      <c r="AO32" s="77">
        <v>0.35555555555555557</v>
      </c>
      <c r="AP32" s="77">
        <v>0.96388888888888891</v>
      </c>
      <c r="AQ32" s="87" t="s">
        <v>15</v>
      </c>
      <c r="AR32" s="87" t="s">
        <v>15</v>
      </c>
      <c r="AS32" s="77">
        <v>0.3527777777777778</v>
      </c>
      <c r="AT32" s="77">
        <v>0.96180555555555547</v>
      </c>
      <c r="AU32" s="77">
        <v>0.35138888888888892</v>
      </c>
      <c r="AV32" s="77">
        <v>0.94097222222222221</v>
      </c>
      <c r="AW32" s="77">
        <v>0.35694444444444445</v>
      </c>
      <c r="AX32" s="77">
        <v>0.94097222222222221</v>
      </c>
      <c r="AY32" s="77">
        <v>0.34930555555555554</v>
      </c>
      <c r="AZ32" s="77">
        <v>0.94097222222222221</v>
      </c>
      <c r="BA32" s="77">
        <v>0.35069444444444442</v>
      </c>
      <c r="BB32" s="77">
        <v>0.94513888888888886</v>
      </c>
      <c r="BC32" s="98">
        <v>1</v>
      </c>
      <c r="BD32" s="98">
        <v>1</v>
      </c>
      <c r="BE32" s="77">
        <v>0.58124999999999993</v>
      </c>
      <c r="BF32" s="77">
        <v>0.94930555555555562</v>
      </c>
      <c r="BG32" s="77">
        <v>0.35486111111111113</v>
      </c>
      <c r="BH32" s="77">
        <v>0.94305555555555554</v>
      </c>
      <c r="BI32" s="77">
        <v>0.35416666666666669</v>
      </c>
      <c r="BJ32" s="77">
        <v>0.95833333333333337</v>
      </c>
      <c r="BK32" s="77">
        <v>0.35625000000000001</v>
      </c>
      <c r="BL32" s="77">
        <v>0.9277777777777777</v>
      </c>
      <c r="BM32" s="77">
        <v>0.3527777777777778</v>
      </c>
      <c r="BN32" s="98">
        <v>1</v>
      </c>
      <c r="BO32" s="15">
        <f t="shared" si="5"/>
        <v>30</v>
      </c>
      <c r="BP32" s="54">
        <v>2</v>
      </c>
      <c r="BQ32" s="16">
        <f t="shared" si="3"/>
        <v>28</v>
      </c>
      <c r="BR32" s="17">
        <f t="shared" si="17"/>
        <v>2</v>
      </c>
      <c r="BS32" s="17">
        <f t="shared" si="18"/>
        <v>0</v>
      </c>
      <c r="BT32" s="17">
        <f t="shared" si="19"/>
        <v>0</v>
      </c>
      <c r="BU32" s="17">
        <f t="shared" si="20"/>
        <v>0</v>
      </c>
      <c r="BV32" s="17">
        <f t="shared" si="21"/>
        <v>0</v>
      </c>
      <c r="BW32" s="17">
        <f t="shared" si="22"/>
        <v>0</v>
      </c>
      <c r="BX32" s="17">
        <f t="shared" si="23"/>
        <v>0</v>
      </c>
      <c r="BY32" s="17">
        <f t="shared" si="24"/>
        <v>0</v>
      </c>
      <c r="BZ32" s="17">
        <f t="shared" si="25"/>
        <v>0</v>
      </c>
      <c r="CA32" s="17">
        <f t="shared" si="26"/>
        <v>0</v>
      </c>
      <c r="CB32" s="17">
        <f t="shared" si="27"/>
        <v>0</v>
      </c>
      <c r="CC32" s="18"/>
      <c r="CF32" s="61">
        <v>0</v>
      </c>
      <c r="CG32" s="61">
        <v>0</v>
      </c>
      <c r="CH32" s="61">
        <v>0</v>
      </c>
      <c r="CI32" s="61">
        <v>0</v>
      </c>
      <c r="CJ32" s="61">
        <v>0</v>
      </c>
      <c r="CK32" s="61">
        <v>0</v>
      </c>
      <c r="CL32" s="61">
        <v>0</v>
      </c>
      <c r="CM32" s="61">
        <v>0</v>
      </c>
      <c r="CN32" s="61">
        <v>0</v>
      </c>
      <c r="CO32" s="61">
        <v>0</v>
      </c>
      <c r="CP32" s="61">
        <f>SUM(CF32:CO32)</f>
        <v>0</v>
      </c>
    </row>
    <row r="33" spans="1:94" ht="22.5" customHeight="1" x14ac:dyDescent="0.25">
      <c r="A33" s="7">
        <v>24</v>
      </c>
      <c r="B33" s="8" t="s">
        <v>95</v>
      </c>
      <c r="C33" s="108" t="s">
        <v>96</v>
      </c>
      <c r="D33" s="109">
        <v>46075</v>
      </c>
      <c r="E33" s="66">
        <v>0.3527777777777778</v>
      </c>
      <c r="F33" s="66">
        <v>0.9506944444444444</v>
      </c>
      <c r="G33" s="66">
        <v>0.35694444444444445</v>
      </c>
      <c r="H33" s="66">
        <v>0.95833333333333337</v>
      </c>
      <c r="I33" s="66">
        <v>0.3527777777777778</v>
      </c>
      <c r="J33" s="66">
        <v>0.95208333333333339</v>
      </c>
      <c r="K33" s="66">
        <v>0.35347222222222219</v>
      </c>
      <c r="L33" s="66">
        <v>0.97083333333333333</v>
      </c>
      <c r="M33" s="99">
        <v>0.58263888888888882</v>
      </c>
      <c r="N33" s="99">
        <v>0.9506944444444444</v>
      </c>
      <c r="O33" s="66">
        <v>0.34930555555555554</v>
      </c>
      <c r="P33" s="66">
        <v>0.96944444444444444</v>
      </c>
      <c r="Q33" s="66">
        <v>0.35416666666666669</v>
      </c>
      <c r="R33" s="66">
        <v>0.9506944444444444</v>
      </c>
      <c r="S33" s="66">
        <v>0.35555555555555557</v>
      </c>
      <c r="T33" s="66">
        <v>0.95347222222222217</v>
      </c>
      <c r="U33" s="66">
        <v>0.35555555555555557</v>
      </c>
      <c r="V33" s="66">
        <v>0.94930555555555562</v>
      </c>
      <c r="W33" s="66">
        <v>0.35555555555555557</v>
      </c>
      <c r="X33" s="66">
        <v>0.95694444444444438</v>
      </c>
      <c r="Y33" s="66">
        <v>0.35625000000000001</v>
      </c>
      <c r="Z33" s="66">
        <v>0.97291666666666676</v>
      </c>
      <c r="AA33" s="87" t="s">
        <v>15</v>
      </c>
      <c r="AB33" s="87" t="s">
        <v>15</v>
      </c>
      <c r="AC33" s="66">
        <v>0.35486111111111113</v>
      </c>
      <c r="AD33" s="66">
        <v>0.97152777777777777</v>
      </c>
      <c r="AE33" s="66">
        <v>0.35625000000000001</v>
      </c>
      <c r="AF33" s="66">
        <v>0.95000000000000007</v>
      </c>
      <c r="AG33" s="66">
        <v>0.3576388888888889</v>
      </c>
      <c r="AH33" s="66">
        <v>0.96458333333333324</v>
      </c>
      <c r="AI33" s="107"/>
      <c r="AJ33" s="112">
        <v>24</v>
      </c>
      <c r="AK33" s="77">
        <v>0.35972222222222222</v>
      </c>
      <c r="AL33" s="77">
        <v>0.95486111111111116</v>
      </c>
      <c r="AM33" s="77">
        <v>0.35625000000000001</v>
      </c>
      <c r="AN33" s="77">
        <v>0.95416666666666661</v>
      </c>
      <c r="AO33" s="77">
        <v>0.35833333333333334</v>
      </c>
      <c r="AP33" s="77">
        <v>0.97222222222222221</v>
      </c>
      <c r="AQ33" s="86">
        <v>0.5805555555555556</v>
      </c>
      <c r="AR33" s="86">
        <v>0.95138888888888884</v>
      </c>
      <c r="AS33" s="77">
        <v>0.35347222222222219</v>
      </c>
      <c r="AT33" s="77">
        <v>0.97638888888888886</v>
      </c>
      <c r="AU33" s="77">
        <v>0.35486111111111113</v>
      </c>
      <c r="AV33" s="77">
        <v>0.95138888888888884</v>
      </c>
      <c r="AW33" s="77">
        <v>0.3527777777777778</v>
      </c>
      <c r="AX33" s="77">
        <v>0.95347222222222217</v>
      </c>
      <c r="AY33" s="77">
        <v>0.35416666666666669</v>
      </c>
      <c r="AZ33" s="77">
        <v>0.95000000000000007</v>
      </c>
      <c r="BA33" s="77">
        <v>0.35347222222222219</v>
      </c>
      <c r="BB33" s="77">
        <v>0.95624999999999993</v>
      </c>
      <c r="BC33" s="77">
        <v>0.35347222222222219</v>
      </c>
      <c r="BD33" s="77">
        <v>0.97499999999999998</v>
      </c>
      <c r="BE33" s="87" t="s">
        <v>15</v>
      </c>
      <c r="BF33" s="87" t="s">
        <v>15</v>
      </c>
      <c r="BG33" s="77">
        <v>0.35416666666666669</v>
      </c>
      <c r="BH33" s="77">
        <v>0.96597222222222223</v>
      </c>
      <c r="BI33" s="77">
        <v>0.35555555555555557</v>
      </c>
      <c r="BJ33" s="77">
        <v>0.97013888888888899</v>
      </c>
      <c r="BK33" s="77">
        <v>0.35694444444444445</v>
      </c>
      <c r="BL33" s="77">
        <v>0.95138888888888884</v>
      </c>
      <c r="BM33" s="77">
        <v>0.35416666666666669</v>
      </c>
      <c r="BN33" s="98">
        <v>1</v>
      </c>
      <c r="BO33" s="15">
        <f t="shared" si="5"/>
        <v>30</v>
      </c>
      <c r="BP33" s="54">
        <v>2</v>
      </c>
      <c r="BQ33" s="16">
        <f t="shared" si="3"/>
        <v>28</v>
      </c>
      <c r="BR33" s="17">
        <f t="shared" si="17"/>
        <v>2</v>
      </c>
      <c r="BS33" s="17">
        <f t="shared" si="18"/>
        <v>0</v>
      </c>
      <c r="BT33" s="17">
        <f t="shared" si="19"/>
        <v>0</v>
      </c>
      <c r="BU33" s="17">
        <f t="shared" si="20"/>
        <v>0</v>
      </c>
      <c r="BV33" s="17">
        <f t="shared" si="21"/>
        <v>0</v>
      </c>
      <c r="BW33" s="17">
        <f t="shared" si="22"/>
        <v>0</v>
      </c>
      <c r="BX33" s="17">
        <f t="shared" si="23"/>
        <v>0</v>
      </c>
      <c r="BY33" s="17">
        <f t="shared" si="24"/>
        <v>0</v>
      </c>
      <c r="BZ33" s="17">
        <f t="shared" si="25"/>
        <v>0</v>
      </c>
      <c r="CA33" s="17">
        <f t="shared" si="26"/>
        <v>0</v>
      </c>
      <c r="CB33" s="17">
        <f t="shared" si="27"/>
        <v>0</v>
      </c>
      <c r="CC33" s="18"/>
      <c r="CF33" s="60">
        <v>0</v>
      </c>
      <c r="CG33" s="60">
        <v>0</v>
      </c>
      <c r="CH33" s="60">
        <v>0</v>
      </c>
      <c r="CI33" s="60">
        <v>0</v>
      </c>
      <c r="CJ33" s="60">
        <v>0</v>
      </c>
      <c r="CK33" s="59">
        <v>0</v>
      </c>
      <c r="CL33" s="60">
        <v>0</v>
      </c>
      <c r="CM33" s="59">
        <v>0</v>
      </c>
      <c r="CN33" s="59">
        <v>0</v>
      </c>
      <c r="CO33" s="59">
        <v>0</v>
      </c>
      <c r="CP33" s="64">
        <f t="shared" ref="CP33:CP34" si="29">SUM(CF33:CO33)</f>
        <v>0</v>
      </c>
    </row>
    <row r="34" spans="1:94" ht="22.5" customHeight="1" x14ac:dyDescent="0.25">
      <c r="A34" s="7">
        <v>25</v>
      </c>
      <c r="B34" s="8" t="s">
        <v>97</v>
      </c>
      <c r="C34" s="108" t="s">
        <v>98</v>
      </c>
      <c r="D34" s="109">
        <v>46078</v>
      </c>
      <c r="E34" s="66">
        <v>0.33749999999999997</v>
      </c>
      <c r="F34" s="66">
        <v>0.83958333333333324</v>
      </c>
      <c r="G34" s="66">
        <v>0.34791666666666665</v>
      </c>
      <c r="H34" s="98">
        <v>1</v>
      </c>
      <c r="I34" s="66">
        <v>0.33888888888888885</v>
      </c>
      <c r="J34" s="66">
        <v>0.83333333333333337</v>
      </c>
      <c r="K34" s="66">
        <v>0.33749999999999997</v>
      </c>
      <c r="L34" s="66">
        <v>0.85972222222222217</v>
      </c>
      <c r="M34" s="87" t="s">
        <v>15</v>
      </c>
      <c r="N34" s="87" t="s">
        <v>15</v>
      </c>
      <c r="O34" s="66">
        <v>0.32916666666666666</v>
      </c>
      <c r="P34" s="66">
        <v>0.87777777777777777</v>
      </c>
      <c r="Q34" s="66">
        <v>0.34027777777777773</v>
      </c>
      <c r="R34" s="66">
        <v>0.80555555555555547</v>
      </c>
      <c r="S34" s="66">
        <v>0.33611111111111108</v>
      </c>
      <c r="T34" s="66">
        <v>0.81666666666666676</v>
      </c>
      <c r="U34" s="66">
        <v>0.3347222222222222</v>
      </c>
      <c r="V34" s="66">
        <v>0.85486111111111107</v>
      </c>
      <c r="W34" s="66">
        <v>0.3347222222222222</v>
      </c>
      <c r="X34" s="66">
        <v>0.81805555555555554</v>
      </c>
      <c r="Y34" s="66">
        <v>0.33124999999999999</v>
      </c>
      <c r="Z34" s="98">
        <v>1</v>
      </c>
      <c r="AA34" s="66">
        <v>0.56874999999999998</v>
      </c>
      <c r="AB34" s="98">
        <v>1</v>
      </c>
      <c r="AC34" s="66">
        <v>0.3354166666666667</v>
      </c>
      <c r="AD34" s="66">
        <v>0.81527777777777777</v>
      </c>
      <c r="AE34" s="66">
        <v>0.33958333333333335</v>
      </c>
      <c r="AF34" s="98">
        <v>1</v>
      </c>
      <c r="AG34" s="66">
        <v>0.3354166666666667</v>
      </c>
      <c r="AH34" s="98">
        <v>1</v>
      </c>
      <c r="AI34" s="101"/>
      <c r="AJ34" s="112">
        <v>25</v>
      </c>
      <c r="AK34" s="77">
        <v>0.33124999999999999</v>
      </c>
      <c r="AL34" s="77">
        <v>0.78680555555555554</v>
      </c>
      <c r="AM34" s="77">
        <v>0.33055555555555555</v>
      </c>
      <c r="AN34" s="77">
        <v>0.83819444444444446</v>
      </c>
      <c r="AO34" s="77">
        <v>0.3298611111111111</v>
      </c>
      <c r="AP34" s="77">
        <v>0.83750000000000002</v>
      </c>
      <c r="AQ34" s="87" t="s">
        <v>15</v>
      </c>
      <c r="AR34" s="87" t="s">
        <v>15</v>
      </c>
      <c r="AS34" s="77">
        <v>0.33333333333333331</v>
      </c>
      <c r="AT34" s="77">
        <v>0.82291666666666663</v>
      </c>
      <c r="AU34" s="77">
        <v>0.33194444444444443</v>
      </c>
      <c r="AV34" s="98">
        <v>1</v>
      </c>
      <c r="AW34" s="77">
        <v>0.32847222222222222</v>
      </c>
      <c r="AX34" s="77">
        <v>0.32847222222222222</v>
      </c>
      <c r="AY34" s="77">
        <v>0.33680555555555558</v>
      </c>
      <c r="AZ34" s="98">
        <v>1</v>
      </c>
      <c r="BA34" s="77">
        <v>0.33263888888888887</v>
      </c>
      <c r="BB34" s="77">
        <v>0.87083333333333324</v>
      </c>
      <c r="BC34" s="77">
        <v>0.33124999999999999</v>
      </c>
      <c r="BD34" s="77">
        <v>0.80694444444444446</v>
      </c>
      <c r="BE34" s="77">
        <v>0.56527777777777777</v>
      </c>
      <c r="BF34" s="98">
        <v>1</v>
      </c>
      <c r="BG34" s="77">
        <v>0.3298611111111111</v>
      </c>
      <c r="BH34" s="98">
        <v>1</v>
      </c>
      <c r="BI34" s="77">
        <v>0.32847222222222222</v>
      </c>
      <c r="BJ34" s="98">
        <v>1</v>
      </c>
      <c r="BK34" s="77">
        <v>0.33680555555555558</v>
      </c>
      <c r="BL34" s="98">
        <v>1</v>
      </c>
      <c r="BM34" s="77">
        <v>0.33333333333333331</v>
      </c>
      <c r="BN34" s="77">
        <v>0.93333333333333324</v>
      </c>
      <c r="BO34" s="15">
        <f t="shared" si="5"/>
        <v>30</v>
      </c>
      <c r="BP34" s="54">
        <v>2</v>
      </c>
      <c r="BQ34" s="16">
        <f t="shared" si="3"/>
        <v>28</v>
      </c>
      <c r="BR34" s="17">
        <f t="shared" si="17"/>
        <v>2</v>
      </c>
      <c r="BS34" s="17">
        <f t="shared" si="18"/>
        <v>0</v>
      </c>
      <c r="BT34" s="17">
        <f t="shared" si="19"/>
        <v>0</v>
      </c>
      <c r="BU34" s="17">
        <f t="shared" si="20"/>
        <v>0</v>
      </c>
      <c r="BV34" s="17">
        <f t="shared" si="21"/>
        <v>0</v>
      </c>
      <c r="BW34" s="17">
        <f t="shared" si="22"/>
        <v>0</v>
      </c>
      <c r="BX34" s="17">
        <f t="shared" si="23"/>
        <v>0</v>
      </c>
      <c r="BY34" s="17">
        <f t="shared" si="24"/>
        <v>0</v>
      </c>
      <c r="BZ34" s="17">
        <f t="shared" si="25"/>
        <v>0</v>
      </c>
      <c r="CA34" s="17">
        <f t="shared" si="26"/>
        <v>0</v>
      </c>
      <c r="CB34" s="17">
        <f t="shared" si="27"/>
        <v>0</v>
      </c>
      <c r="CC34" s="18"/>
      <c r="CF34" s="61">
        <v>0</v>
      </c>
      <c r="CG34" s="61">
        <v>0</v>
      </c>
      <c r="CH34" s="61">
        <v>0</v>
      </c>
      <c r="CI34" s="61">
        <v>0</v>
      </c>
      <c r="CJ34" s="61">
        <v>0</v>
      </c>
      <c r="CK34" s="61">
        <v>0</v>
      </c>
      <c r="CL34" s="61">
        <v>0</v>
      </c>
      <c r="CM34" s="61">
        <v>0</v>
      </c>
      <c r="CN34" s="61">
        <v>0</v>
      </c>
      <c r="CO34" s="61">
        <v>0</v>
      </c>
      <c r="CP34" s="61">
        <f t="shared" si="29"/>
        <v>0</v>
      </c>
    </row>
    <row r="35" spans="1:94" ht="22.5" customHeight="1" x14ac:dyDescent="0.25">
      <c r="A35" s="7">
        <v>26</v>
      </c>
      <c r="B35" s="97" t="s">
        <v>103</v>
      </c>
      <c r="C35" s="110" t="s">
        <v>104</v>
      </c>
      <c r="D35" s="109"/>
      <c r="E35" s="66">
        <v>0.33611111111111108</v>
      </c>
      <c r="F35" s="66">
        <v>0.83958333333333324</v>
      </c>
      <c r="G35" s="66">
        <v>0.35000000000000003</v>
      </c>
      <c r="H35" s="66">
        <v>0.35000000000000003</v>
      </c>
      <c r="I35" s="66">
        <v>0.33888888888888885</v>
      </c>
      <c r="J35" s="66">
        <v>0.83263888888888893</v>
      </c>
      <c r="K35" s="66">
        <v>0.34791666666666665</v>
      </c>
      <c r="L35" s="66">
        <v>0.86111111111111116</v>
      </c>
      <c r="M35" s="87" t="s">
        <v>15</v>
      </c>
      <c r="N35" s="87" t="s">
        <v>15</v>
      </c>
      <c r="O35" s="66">
        <v>0.3347222222222222</v>
      </c>
      <c r="P35" s="66">
        <v>0.3354166666666667</v>
      </c>
      <c r="Q35" s="66">
        <v>0.3347222222222222</v>
      </c>
      <c r="R35" s="66">
        <v>0.80555555555555547</v>
      </c>
      <c r="S35" s="66">
        <v>0.3354166666666667</v>
      </c>
      <c r="T35" s="66">
        <v>0.81666666666666676</v>
      </c>
      <c r="U35" s="66">
        <v>0.33611111111111108</v>
      </c>
      <c r="V35" s="66">
        <v>0.85486111111111107</v>
      </c>
      <c r="W35" s="66">
        <v>0.33680555555555558</v>
      </c>
      <c r="X35" s="66">
        <v>0.81736111111111109</v>
      </c>
      <c r="Y35" s="66">
        <v>0.33055555555555555</v>
      </c>
      <c r="Z35" s="98">
        <v>1</v>
      </c>
      <c r="AA35" s="66">
        <v>0.56874999999999998</v>
      </c>
      <c r="AB35" s="66">
        <v>0.56874999999999998</v>
      </c>
      <c r="AC35" s="66">
        <v>0.3347222222222222</v>
      </c>
      <c r="AD35" s="66">
        <v>0.81527777777777777</v>
      </c>
      <c r="AE35" s="66">
        <v>0.33333333333333331</v>
      </c>
      <c r="AF35" s="66">
        <v>0.33333333333333331</v>
      </c>
      <c r="AG35" s="66">
        <v>0.32916666666666666</v>
      </c>
      <c r="AH35" s="66">
        <v>0.32916666666666666</v>
      </c>
      <c r="AI35" s="107"/>
      <c r="AJ35" s="112">
        <v>26</v>
      </c>
      <c r="AK35" s="77">
        <v>0.3298611111111111</v>
      </c>
      <c r="AL35" s="77">
        <v>0.78680555555555554</v>
      </c>
      <c r="AM35" s="77">
        <v>0.33055555555555555</v>
      </c>
      <c r="AN35" s="77">
        <v>0.83888888888888891</v>
      </c>
      <c r="AO35" s="77">
        <v>0.3298611111111111</v>
      </c>
      <c r="AP35" s="77">
        <v>0.83680555555555547</v>
      </c>
      <c r="AQ35" s="87" t="s">
        <v>15</v>
      </c>
      <c r="AR35" s="87" t="s">
        <v>15</v>
      </c>
      <c r="AS35" s="77">
        <v>0.33958333333333335</v>
      </c>
      <c r="AT35" s="77">
        <v>0.82291666666666663</v>
      </c>
      <c r="AU35" s="77">
        <v>0.33888888888888885</v>
      </c>
      <c r="AV35" s="77">
        <v>0.33888888888888885</v>
      </c>
      <c r="AW35" s="77">
        <v>0.34236111111111112</v>
      </c>
      <c r="AX35" s="77">
        <v>0.34236111111111112</v>
      </c>
      <c r="AY35" s="77">
        <v>0.33680555555555558</v>
      </c>
      <c r="AZ35" s="77">
        <v>0.33680555555555558</v>
      </c>
      <c r="BA35" s="77">
        <v>0.3347222222222222</v>
      </c>
      <c r="BB35" s="77">
        <v>0.3347222222222222</v>
      </c>
      <c r="BC35" s="77">
        <v>0.3354166666666667</v>
      </c>
      <c r="BD35" s="77">
        <v>0.33611111111111108</v>
      </c>
      <c r="BE35" s="87" t="s">
        <v>15</v>
      </c>
      <c r="BF35" s="87" t="s">
        <v>15</v>
      </c>
      <c r="BG35" s="77">
        <v>0.3298611111111111</v>
      </c>
      <c r="BH35" s="77">
        <v>0.81527777777777777</v>
      </c>
      <c r="BI35" s="77">
        <v>0.33124999999999999</v>
      </c>
      <c r="BJ35" s="77">
        <v>0.33124999999999999</v>
      </c>
      <c r="BK35" s="77">
        <v>0.34583333333333338</v>
      </c>
      <c r="BL35" s="98">
        <v>1</v>
      </c>
      <c r="BM35" s="77">
        <v>0.33055555555555555</v>
      </c>
      <c r="BN35" s="98">
        <v>1</v>
      </c>
      <c r="BO35" s="15">
        <f t="shared" si="5"/>
        <v>30</v>
      </c>
      <c r="BP35" s="54">
        <v>1</v>
      </c>
      <c r="BQ35" s="16">
        <f t="shared" si="3"/>
        <v>27</v>
      </c>
      <c r="BR35" s="17">
        <f t="shared" si="17"/>
        <v>3</v>
      </c>
      <c r="BS35" s="17">
        <f t="shared" si="18"/>
        <v>0</v>
      </c>
      <c r="BT35" s="17">
        <f t="shared" si="19"/>
        <v>0</v>
      </c>
      <c r="BU35" s="17">
        <f t="shared" si="20"/>
        <v>0</v>
      </c>
      <c r="BV35" s="17">
        <f t="shared" si="21"/>
        <v>0</v>
      </c>
      <c r="BW35" s="17">
        <f t="shared" si="22"/>
        <v>0</v>
      </c>
      <c r="BX35" s="17">
        <f t="shared" si="23"/>
        <v>0</v>
      </c>
      <c r="BY35" s="17">
        <f t="shared" si="24"/>
        <v>0</v>
      </c>
      <c r="BZ35" s="17">
        <f t="shared" si="25"/>
        <v>0</v>
      </c>
      <c r="CA35" s="17">
        <f t="shared" si="26"/>
        <v>0</v>
      </c>
      <c r="CB35" s="17">
        <f t="shared" si="27"/>
        <v>0</v>
      </c>
      <c r="CC35" s="18"/>
      <c r="CF35" s="60">
        <v>0</v>
      </c>
      <c r="CG35" s="60">
        <v>0</v>
      </c>
      <c r="CH35" s="60">
        <v>0</v>
      </c>
      <c r="CI35" s="60">
        <v>0</v>
      </c>
      <c r="CJ35" s="60">
        <v>0</v>
      </c>
      <c r="CK35" s="59">
        <v>0</v>
      </c>
      <c r="CL35" s="60">
        <v>0</v>
      </c>
      <c r="CM35" s="59">
        <v>0</v>
      </c>
      <c r="CN35" s="59">
        <v>0</v>
      </c>
      <c r="CO35" s="59">
        <v>0</v>
      </c>
      <c r="CP35" s="64">
        <f t="shared" ref="CP35" si="30">SUM(CF35:CO35)</f>
        <v>0</v>
      </c>
    </row>
    <row r="36" spans="1:94" ht="15.75" thickBot="1" x14ac:dyDescent="0.3">
      <c r="AK36" s="69"/>
    </row>
    <row r="37" spans="1:94" ht="16.5" thickBot="1" x14ac:dyDescent="0.3">
      <c r="F37" s="28"/>
      <c r="G37" s="29" t="s">
        <v>66</v>
      </c>
      <c r="H37" s="23"/>
      <c r="I37" s="29"/>
      <c r="J37" s="25"/>
      <c r="K37" s="25"/>
      <c r="L37" s="26"/>
      <c r="M37" s="27"/>
      <c r="O37" s="27"/>
      <c r="P37" s="30" t="s">
        <v>67</v>
      </c>
      <c r="Q37" s="30"/>
      <c r="R37" s="26"/>
      <c r="S37" s="26"/>
      <c r="T37" s="26"/>
      <c r="U37" s="26" t="s">
        <v>86</v>
      </c>
      <c r="V37" s="26"/>
      <c r="W37" s="26"/>
      <c r="X37" s="26"/>
      <c r="Y37" s="30" t="s">
        <v>68</v>
      </c>
      <c r="Z37" s="26"/>
      <c r="AK37" s="68"/>
      <c r="BP37" s="40" t="s">
        <v>75</v>
      </c>
      <c r="BQ37" s="41"/>
      <c r="BR37" s="41"/>
      <c r="BS37" s="42" t="s">
        <v>15</v>
      </c>
      <c r="BT37" s="43"/>
      <c r="BU37" s="44" t="s">
        <v>76</v>
      </c>
      <c r="BV37" s="45"/>
      <c r="BW37" s="45"/>
      <c r="BX37" s="46"/>
      <c r="BY37" s="47" t="s">
        <v>21</v>
      </c>
    </row>
    <row r="38" spans="1:94" ht="17.25" x14ac:dyDescent="0.25">
      <c r="F38" s="31"/>
      <c r="G38" s="25"/>
      <c r="H38" s="25"/>
      <c r="I38" s="25"/>
      <c r="J38" s="25"/>
      <c r="K38" s="25"/>
      <c r="L38" s="25"/>
      <c r="M38" s="32"/>
      <c r="O38" s="32"/>
      <c r="P38" s="32"/>
      <c r="Q38" s="25"/>
      <c r="R38" s="25"/>
      <c r="S38" s="33"/>
      <c r="T38" s="33"/>
      <c r="U38" s="33"/>
      <c r="V38" s="33"/>
      <c r="W38" s="33"/>
      <c r="X38" s="33"/>
      <c r="Y38" s="34"/>
      <c r="Z38" s="34"/>
      <c r="BP38" s="40" t="s">
        <v>77</v>
      </c>
      <c r="BQ38" s="41"/>
      <c r="BR38" s="41"/>
      <c r="BS38" s="42" t="s">
        <v>16</v>
      </c>
      <c r="BT38" s="43"/>
      <c r="BU38" s="48" t="s">
        <v>78</v>
      </c>
      <c r="BV38" s="49"/>
      <c r="BW38" s="49"/>
      <c r="BX38" s="46"/>
      <c r="BY38" s="47" t="s">
        <v>22</v>
      </c>
    </row>
    <row r="39" spans="1:94" ht="17.25" x14ac:dyDescent="0.25">
      <c r="F39" s="31"/>
      <c r="G39" s="35"/>
      <c r="H39" s="25"/>
      <c r="I39" s="35"/>
      <c r="J39" s="25"/>
      <c r="K39" s="25"/>
      <c r="L39" s="35" t="s">
        <v>86</v>
      </c>
      <c r="M39" s="36"/>
      <c r="O39" s="36"/>
      <c r="P39" s="32"/>
      <c r="Q39" s="25"/>
      <c r="R39" s="35"/>
      <c r="S39" s="26"/>
      <c r="T39" s="25"/>
      <c r="U39" s="25"/>
      <c r="V39" s="25"/>
      <c r="W39" s="25"/>
      <c r="X39" s="25"/>
      <c r="Y39" s="37"/>
      <c r="Z39" s="37"/>
      <c r="BP39" s="40" t="s">
        <v>79</v>
      </c>
      <c r="BQ39" s="41"/>
      <c r="BR39" s="41"/>
      <c r="BS39" s="42" t="s">
        <v>17</v>
      </c>
      <c r="BT39" s="43"/>
      <c r="BU39" s="48" t="s">
        <v>80</v>
      </c>
      <c r="BV39" s="49"/>
      <c r="BW39" s="49"/>
      <c r="BX39" s="46"/>
      <c r="BY39" s="47" t="s">
        <v>23</v>
      </c>
    </row>
    <row r="40" spans="1:94" ht="17.25" x14ac:dyDescent="0.25">
      <c r="F40" s="38"/>
      <c r="G40" s="35"/>
      <c r="H40" s="25"/>
      <c r="I40" s="35"/>
      <c r="J40" s="25"/>
      <c r="K40" s="25"/>
      <c r="L40" s="35"/>
      <c r="M40" s="36"/>
      <c r="O40" s="36"/>
      <c r="P40" s="32"/>
      <c r="Q40" s="26"/>
      <c r="R40" s="35"/>
      <c r="S40" s="26"/>
      <c r="T40" s="25"/>
      <c r="U40" s="25"/>
      <c r="V40" s="25"/>
      <c r="W40" s="25"/>
      <c r="X40" s="25"/>
      <c r="Y40" s="37"/>
      <c r="Z40" s="37"/>
      <c r="BP40" s="40" t="s">
        <v>81</v>
      </c>
      <c r="BQ40" s="41"/>
      <c r="BR40" s="41"/>
      <c r="BS40" s="42" t="s">
        <v>18</v>
      </c>
      <c r="BT40" s="43"/>
      <c r="BU40" s="44" t="s">
        <v>82</v>
      </c>
      <c r="BV40" s="45"/>
      <c r="BW40" s="45"/>
      <c r="BX40" s="46"/>
      <c r="BY40" s="47" t="s">
        <v>24</v>
      </c>
    </row>
    <row r="41" spans="1:94" ht="17.25" x14ac:dyDescent="0.25">
      <c r="F41" s="94" t="s">
        <v>69</v>
      </c>
      <c r="G41" s="39"/>
      <c r="H41" s="28"/>
      <c r="I41" s="94"/>
      <c r="J41" s="90"/>
      <c r="K41" s="90"/>
      <c r="L41" s="89"/>
      <c r="M41" s="92"/>
      <c r="O41" s="91"/>
      <c r="P41" s="95" t="s">
        <v>70</v>
      </c>
      <c r="Q41" s="90"/>
      <c r="R41" s="24"/>
      <c r="S41" s="90"/>
      <c r="T41" s="90"/>
      <c r="U41" s="90"/>
      <c r="V41" s="90"/>
      <c r="W41" s="90"/>
      <c r="X41" s="90"/>
      <c r="Y41" s="95" t="s">
        <v>71</v>
      </c>
      <c r="Z41" s="93"/>
      <c r="BP41" s="40" t="s">
        <v>83</v>
      </c>
      <c r="BQ41" s="41"/>
      <c r="BR41" s="41"/>
      <c r="BS41" s="42" t="s">
        <v>19</v>
      </c>
      <c r="BT41" s="43"/>
      <c r="BU41" s="44" t="s">
        <v>84</v>
      </c>
      <c r="BV41" s="45"/>
      <c r="BW41" s="45"/>
      <c r="BX41" s="46"/>
      <c r="BY41" s="47" t="s">
        <v>25</v>
      </c>
    </row>
    <row r="42" spans="1:94" ht="17.25" x14ac:dyDescent="0.25">
      <c r="F42" s="94"/>
      <c r="G42" s="94" t="s">
        <v>72</v>
      </c>
      <c r="H42" s="88"/>
      <c r="I42" s="88"/>
      <c r="J42" s="90"/>
      <c r="K42" s="90"/>
      <c r="L42" s="95"/>
      <c r="M42" s="96"/>
      <c r="O42" s="96"/>
      <c r="P42" s="95" t="s">
        <v>73</v>
      </c>
      <c r="Q42" s="95"/>
      <c r="R42" s="24"/>
      <c r="S42" s="95"/>
      <c r="T42" s="90"/>
      <c r="U42" s="90"/>
      <c r="V42" s="90"/>
      <c r="W42" s="90"/>
      <c r="X42" s="90"/>
      <c r="Y42" s="95" t="s">
        <v>74</v>
      </c>
      <c r="Z42" s="93"/>
      <c r="BP42" s="40" t="s">
        <v>85</v>
      </c>
      <c r="BQ42" s="41"/>
      <c r="BR42" s="41"/>
      <c r="BS42" s="42" t="s">
        <v>20</v>
      </c>
      <c r="BT42" s="43"/>
      <c r="BU42" s="43"/>
      <c r="BV42" s="43"/>
      <c r="BW42" s="43"/>
      <c r="BX42" s="43"/>
      <c r="BY42" s="43"/>
    </row>
    <row r="43" spans="1:94" x14ac:dyDescent="0.25">
      <c r="AW43" t="s">
        <v>86</v>
      </c>
    </row>
    <row r="47" spans="1:94" ht="15.75" x14ac:dyDescent="0.25">
      <c r="K47" s="24"/>
      <c r="N47" s="25"/>
    </row>
    <row r="52" spans="1:94" x14ac:dyDescent="0.25">
      <c r="J52" t="s">
        <v>86</v>
      </c>
    </row>
    <row r="55" spans="1:94" ht="15.75" thickBot="1" x14ac:dyDescent="0.3"/>
    <row r="56" spans="1:94" ht="22.5" customHeight="1" thickBot="1" x14ac:dyDescent="0.3">
      <c r="A56" s="7">
        <v>15</v>
      </c>
      <c r="B56" s="8" t="s">
        <v>50</v>
      </c>
      <c r="C56" s="51" t="s">
        <v>89</v>
      </c>
      <c r="D56" s="78">
        <v>45593</v>
      </c>
      <c r="E56" s="77">
        <v>0.37777777777777777</v>
      </c>
      <c r="F56" s="77">
        <v>0.84722222222222221</v>
      </c>
      <c r="G56" s="77">
        <v>0.37847222222222227</v>
      </c>
      <c r="H56" s="77">
        <v>0.9243055555555556</v>
      </c>
      <c r="I56" s="81">
        <v>0.33402777777777781</v>
      </c>
      <c r="J56" s="81">
        <v>0.86111111111111116</v>
      </c>
      <c r="K56" s="77">
        <v>0.39861111111111108</v>
      </c>
      <c r="L56" s="77">
        <v>0.86875000000000002</v>
      </c>
      <c r="M56" s="77">
        <v>0.41180555555555554</v>
      </c>
      <c r="N56" s="77">
        <v>0.86805555555555547</v>
      </c>
      <c r="O56" s="77">
        <v>0.375</v>
      </c>
      <c r="P56" s="77">
        <v>0.86597222222222225</v>
      </c>
      <c r="Q56" s="77">
        <v>0.37916666666666665</v>
      </c>
      <c r="R56" s="77">
        <v>0.85902777777777783</v>
      </c>
      <c r="S56" s="77">
        <v>0.37708333333333338</v>
      </c>
      <c r="T56" s="77">
        <v>0.87152777777777779</v>
      </c>
      <c r="U56" s="77">
        <v>0.37777777777777777</v>
      </c>
      <c r="V56" s="77">
        <v>0.91180555555555554</v>
      </c>
      <c r="W56" s="81">
        <v>0.33263888888888887</v>
      </c>
      <c r="X56" s="81">
        <v>0.87430555555555556</v>
      </c>
      <c r="Y56" s="77">
        <v>0.3756944444444445</v>
      </c>
      <c r="Z56" s="77">
        <v>0.86944444444444446</v>
      </c>
      <c r="AA56" s="77">
        <v>0.3756944444444445</v>
      </c>
      <c r="AB56" s="77">
        <v>0.87222222222222223</v>
      </c>
      <c r="AC56" s="77">
        <v>0.375</v>
      </c>
      <c r="AD56" s="77">
        <v>0.87152777777777779</v>
      </c>
      <c r="AE56" s="77">
        <v>0.3743055555555555</v>
      </c>
      <c r="AF56" s="77">
        <v>0.8666666666666667</v>
      </c>
      <c r="AG56" s="77">
        <v>0.37152777777777773</v>
      </c>
      <c r="AH56" s="77">
        <v>0.87222222222222223</v>
      </c>
      <c r="AI56" s="85"/>
      <c r="AJ56" s="84"/>
      <c r="AM56" s="66"/>
      <c r="AN56" s="66"/>
      <c r="AO56" s="66"/>
      <c r="AP56" s="66"/>
      <c r="AQ56" s="66"/>
      <c r="AR56" s="66"/>
      <c r="AS56" s="67"/>
      <c r="AT56" s="73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7"/>
      <c r="BH56" s="67"/>
      <c r="BI56" s="66"/>
      <c r="BJ56" s="66"/>
      <c r="BK56" s="66"/>
      <c r="BL56" s="66"/>
      <c r="BM56" s="66"/>
      <c r="BN56" s="66"/>
      <c r="BO56" s="53">
        <f>BQ56+BR56+BS56+BT56+BY56+BW56+BX56+CB56</f>
        <v>14</v>
      </c>
      <c r="BP56" s="54"/>
      <c r="BQ56" s="16">
        <f>COUNT(E56:AD56)/2+COUNT(AG56:BN56)/2</f>
        <v>14</v>
      </c>
      <c r="BR56" s="17">
        <f>COUNTIF(B56:BN56,"OFF")/2</f>
        <v>0</v>
      </c>
      <c r="BS56" s="17">
        <f>COUNTIF(B56:BN56,"MC")/2</f>
        <v>0</v>
      </c>
      <c r="BT56" s="17">
        <f>COUNTIF(B56:BN56,"EL")/2</f>
        <v>0</v>
      </c>
      <c r="BU56" s="17">
        <f>COUNTIF(B56:BN56,"AL")/2</f>
        <v>0</v>
      </c>
      <c r="BV56" s="17">
        <f>COUNTIF(B56:BN56,"SUS")/2</f>
        <v>0</v>
      </c>
      <c r="BW56" s="17">
        <f>COUNTIF(B56:BN56,"FL")/2</f>
        <v>0</v>
      </c>
      <c r="BX56" s="17">
        <f>COUNTIF(B56:BN56,"SICK")/2</f>
        <v>0</v>
      </c>
      <c r="BY56" s="17">
        <f>COUNTIF(B56:BN56,"HD")/2</f>
        <v>0</v>
      </c>
      <c r="BZ56" s="17">
        <f>COUNTIF(B56:BN56,"AB")/2</f>
        <v>0</v>
      </c>
      <c r="CA56" s="17">
        <f>COUNTIF(B56:BN56,"NL")/2</f>
        <v>0</v>
      </c>
      <c r="CB56" s="17">
        <f>COUNTIF(B56:BN56,"SP")/2</f>
        <v>0</v>
      </c>
      <c r="CC56" s="76"/>
      <c r="CF56" s="61">
        <v>0</v>
      </c>
      <c r="CG56" s="61">
        <v>0</v>
      </c>
      <c r="CH56" s="61">
        <v>0</v>
      </c>
      <c r="CI56" s="61">
        <v>0</v>
      </c>
      <c r="CJ56" s="61">
        <v>0</v>
      </c>
      <c r="CK56" s="61">
        <v>1</v>
      </c>
      <c r="CL56" s="61">
        <v>0</v>
      </c>
      <c r="CM56" s="62">
        <v>1</v>
      </c>
      <c r="CN56" s="62">
        <v>0</v>
      </c>
      <c r="CO56" s="62">
        <v>0</v>
      </c>
      <c r="CP56" s="64">
        <f>SUM(CF56:CO56)</f>
        <v>2</v>
      </c>
    </row>
    <row r="57" spans="1:94" ht="22.5" customHeight="1" x14ac:dyDescent="0.25">
      <c r="A57" s="7">
        <v>20</v>
      </c>
      <c r="B57" s="8" t="s">
        <v>56</v>
      </c>
      <c r="C57" s="51" t="s">
        <v>57</v>
      </c>
      <c r="D57" s="78">
        <v>45764</v>
      </c>
      <c r="E57" s="77">
        <v>0.34513888888888888</v>
      </c>
      <c r="F57" s="77">
        <v>0.82986111111111116</v>
      </c>
      <c r="G57" s="77">
        <v>0.33888888888888885</v>
      </c>
      <c r="H57" s="77">
        <v>0.82847222222222217</v>
      </c>
      <c r="I57" s="81">
        <v>0.56944444444444442</v>
      </c>
      <c r="J57" s="81">
        <v>0.82291666666666663</v>
      </c>
      <c r="K57" s="77">
        <v>0.34513888888888888</v>
      </c>
      <c r="L57" s="77">
        <v>0.83263888888888893</v>
      </c>
      <c r="M57" s="77">
        <v>0.34375</v>
      </c>
      <c r="N57" s="77">
        <v>0.91041666666666676</v>
      </c>
      <c r="O57" s="77">
        <v>0.3430555555555555</v>
      </c>
      <c r="P57" s="77">
        <v>0.9555555555555556</v>
      </c>
      <c r="Q57" s="77">
        <v>0.34652777777777777</v>
      </c>
      <c r="R57" s="77">
        <v>0.83124999999999993</v>
      </c>
      <c r="S57" s="77">
        <v>0.3430555555555555</v>
      </c>
      <c r="T57" s="77">
        <v>0.74930555555555556</v>
      </c>
      <c r="U57" s="77">
        <v>0.34097222222222223</v>
      </c>
      <c r="V57" s="77">
        <v>0.92986111111111114</v>
      </c>
      <c r="W57" s="80" t="s">
        <v>15</v>
      </c>
      <c r="X57" s="80" t="s">
        <v>15</v>
      </c>
      <c r="Y57" s="77">
        <v>0.34513888888888888</v>
      </c>
      <c r="Z57" s="77">
        <v>0.87847222222222221</v>
      </c>
      <c r="AA57" s="77">
        <v>0.3444444444444445</v>
      </c>
      <c r="AB57" s="77">
        <v>0.85902777777777783</v>
      </c>
      <c r="AC57" s="77">
        <v>0.3444444444444445</v>
      </c>
      <c r="AD57" s="77">
        <v>0.85</v>
      </c>
      <c r="AE57" s="77">
        <v>0.33680555555555558</v>
      </c>
      <c r="AF57" s="77">
        <v>0.84791666666666676</v>
      </c>
      <c r="AG57" s="77">
        <v>0.3354166666666667</v>
      </c>
      <c r="AH57" s="77">
        <v>0.82638888888888884</v>
      </c>
      <c r="AI57" s="77"/>
      <c r="AJ57" s="7">
        <v>20</v>
      </c>
      <c r="AK57" s="77">
        <v>0.34652777777777777</v>
      </c>
      <c r="AL57" s="77">
        <v>0.8354166666666667</v>
      </c>
      <c r="AM57" s="81">
        <v>0.57777777777777783</v>
      </c>
      <c r="AN57" s="81">
        <v>0.87777777777777777</v>
      </c>
      <c r="AO57" s="77">
        <v>0.33888888888888885</v>
      </c>
      <c r="AP57" s="77">
        <v>0.33958333333333335</v>
      </c>
      <c r="AQ57" s="77">
        <v>0.35138888888888892</v>
      </c>
      <c r="AR57" s="77">
        <v>0.85</v>
      </c>
      <c r="AS57" s="77">
        <v>0.3430555555555555</v>
      </c>
      <c r="AT57" s="77">
        <v>0.85486111111111107</v>
      </c>
      <c r="AU57" s="77">
        <v>0.34027777777777773</v>
      </c>
      <c r="AV57" s="77">
        <v>0.85138888888888886</v>
      </c>
      <c r="AW57" s="77">
        <v>0.33333333333333331</v>
      </c>
      <c r="AX57" s="77">
        <v>0.33333333333333331</v>
      </c>
      <c r="AY57" s="77">
        <v>0.33749999999999997</v>
      </c>
      <c r="AZ57" s="77">
        <v>0.33749999999999997</v>
      </c>
      <c r="BA57" s="80" t="s">
        <v>15</v>
      </c>
      <c r="BB57" s="80" t="s">
        <v>15</v>
      </c>
      <c r="BC57" s="77" t="s">
        <v>18</v>
      </c>
      <c r="BD57" s="77" t="s">
        <v>18</v>
      </c>
      <c r="BE57" s="77" t="s">
        <v>18</v>
      </c>
      <c r="BF57" s="77" t="s">
        <v>18</v>
      </c>
      <c r="BI57" s="66"/>
      <c r="BJ57" s="66"/>
      <c r="BK57" s="66"/>
      <c r="BL57" s="66"/>
      <c r="BM57" s="66"/>
      <c r="BN57" s="66"/>
      <c r="BO57" s="53">
        <f>BQ57+BR57+BS57+BT57+BY57+BW57+BX57+CB57</f>
        <v>23.5</v>
      </c>
      <c r="BP57" s="54"/>
      <c r="BQ57" s="16">
        <f>COUNT(E57:AD57)/2+COUNT(AG57:BN57)/2</f>
        <v>21.5</v>
      </c>
      <c r="BR57" s="17">
        <f>COUNTIF(B57:BN57,"OFF")/2</f>
        <v>2</v>
      </c>
      <c r="BS57" s="17">
        <f>COUNTIF(B57:BN57,"MC")/2</f>
        <v>0</v>
      </c>
      <c r="BT57" s="17">
        <f>COUNTIF(B57:BN57,"EL")/2</f>
        <v>0</v>
      </c>
      <c r="BU57" s="17">
        <f>COUNTIF(B57:BN57,"AL")/2</f>
        <v>2</v>
      </c>
      <c r="BV57" s="17">
        <f>COUNTIF(B57:BN57,"SUS")/2</f>
        <v>0</v>
      </c>
      <c r="BW57" s="17">
        <f>COUNTIF(B57:BN57,"FL")/2</f>
        <v>0</v>
      </c>
      <c r="BX57" s="17">
        <f>COUNTIF(B57:BN57,"SICK")/2</f>
        <v>0</v>
      </c>
      <c r="BY57" s="17">
        <f>COUNTIF(B57:BN57,"HD")/2</f>
        <v>0</v>
      </c>
      <c r="BZ57" s="17">
        <f>COUNTIF(B57:BN57,"AB")/2</f>
        <v>0</v>
      </c>
      <c r="CA57" s="17">
        <f>COUNTIF(B57:BN57,"NL")/2</f>
        <v>0</v>
      </c>
      <c r="CB57" s="17">
        <f>COUNTIF(B57:BN57,"SP")/2</f>
        <v>0</v>
      </c>
      <c r="CC57" s="18"/>
      <c r="CF57" s="60">
        <v>0</v>
      </c>
      <c r="CG57" s="60">
        <v>0</v>
      </c>
      <c r="CH57" s="60">
        <v>0</v>
      </c>
      <c r="CI57" s="60">
        <v>0</v>
      </c>
      <c r="CJ57" s="60">
        <v>0</v>
      </c>
      <c r="CK57" s="60">
        <v>0</v>
      </c>
      <c r="CL57" s="60">
        <v>0</v>
      </c>
      <c r="CM57" s="60">
        <v>0</v>
      </c>
      <c r="CN57" s="60">
        <v>0</v>
      </c>
      <c r="CO57" s="60">
        <v>0</v>
      </c>
      <c r="CP57" s="64">
        <f>SUM(CF57:CO57)</f>
        <v>0</v>
      </c>
    </row>
    <row r="58" spans="1:94" ht="22.5" customHeight="1" x14ac:dyDescent="0.25">
      <c r="A58" s="7">
        <v>2</v>
      </c>
      <c r="B58" s="8" t="str">
        <f>'[1]Hulhumale Staffs_ Sep 2025'!B6</f>
        <v>MAD0226</v>
      </c>
      <c r="C58" s="51" t="s">
        <v>28</v>
      </c>
      <c r="D58" s="78">
        <v>45371</v>
      </c>
      <c r="E58" s="77">
        <v>0.35902777777777778</v>
      </c>
      <c r="F58" s="77">
        <v>0.98749999999999993</v>
      </c>
      <c r="G58" s="77">
        <v>0.3354166666666667</v>
      </c>
      <c r="H58" s="77">
        <v>0</v>
      </c>
      <c r="I58" s="81">
        <v>0.77430555555555547</v>
      </c>
      <c r="J58" s="80">
        <v>1</v>
      </c>
      <c r="K58" s="77">
        <v>0.33611111111111108</v>
      </c>
      <c r="L58" s="77">
        <v>2.7777777777777779E-3</v>
      </c>
      <c r="M58" s="77">
        <v>0.34375</v>
      </c>
      <c r="N58" s="77">
        <v>0.98611111111111116</v>
      </c>
      <c r="O58" s="77">
        <v>0.33402777777777781</v>
      </c>
      <c r="P58" s="77">
        <v>0.98541666666666661</v>
      </c>
      <c r="Q58" s="77">
        <v>0.33680555555555558</v>
      </c>
      <c r="R58" s="77">
        <v>0.9819444444444444</v>
      </c>
      <c r="S58" s="77">
        <v>0.33749999999999997</v>
      </c>
      <c r="T58" s="77">
        <v>0.98125000000000007</v>
      </c>
      <c r="U58" s="77">
        <v>0.33333333333333331</v>
      </c>
      <c r="V58" s="77">
        <v>0</v>
      </c>
      <c r="W58" s="81">
        <v>0.55833333333333335</v>
      </c>
      <c r="X58" s="81">
        <v>0.9819444444444444</v>
      </c>
      <c r="Y58" s="77">
        <v>0.3354166666666667</v>
      </c>
      <c r="Z58" s="77">
        <v>1.3888888888888889E-3</v>
      </c>
      <c r="AA58" s="77">
        <v>0.33194444444444443</v>
      </c>
      <c r="AB58" s="77">
        <v>0.98541666666666661</v>
      </c>
      <c r="AC58" s="77">
        <v>0.33402777777777781</v>
      </c>
      <c r="AD58" s="77">
        <v>0.97777777777777775</v>
      </c>
      <c r="AE58" s="77">
        <v>0.3576388888888889</v>
      </c>
      <c r="AF58" s="77">
        <v>0.3576388888888889</v>
      </c>
      <c r="AG58" s="77">
        <v>0.33333333333333331</v>
      </c>
      <c r="AH58" s="77">
        <v>0.97152777777777777</v>
      </c>
      <c r="AI58" s="77"/>
      <c r="AJ58" s="7">
        <v>2</v>
      </c>
      <c r="AK58" s="77">
        <v>0.33749999999999997</v>
      </c>
      <c r="AL58" s="77">
        <v>7.6388888888888886E-3</v>
      </c>
      <c r="AM58" s="80" t="s">
        <v>15</v>
      </c>
      <c r="AN58" s="80" t="s">
        <v>15</v>
      </c>
      <c r="AO58" s="77">
        <v>0.33402777777777781</v>
      </c>
      <c r="AP58" s="77">
        <v>0.99583333333333324</v>
      </c>
      <c r="AQ58" s="77">
        <v>0.33402777777777781</v>
      </c>
      <c r="AR58" s="77">
        <v>0.98125000000000007</v>
      </c>
      <c r="AS58" s="77">
        <v>0.36527777777777781</v>
      </c>
      <c r="AT58" s="77">
        <v>0.36527777777777781</v>
      </c>
      <c r="AU58" s="77">
        <v>0.3354166666666667</v>
      </c>
      <c r="AV58" s="77">
        <v>0.97916666666666663</v>
      </c>
      <c r="AW58" s="77">
        <v>0.33333333333333331</v>
      </c>
      <c r="AX58" s="77">
        <v>0.97986111111111107</v>
      </c>
      <c r="AY58" s="77">
        <v>0.33333333333333331</v>
      </c>
      <c r="AZ58" s="77">
        <v>2.7777777777777779E-3</v>
      </c>
      <c r="BA58" s="81">
        <v>0.5625</v>
      </c>
      <c r="BB58" s="81">
        <v>0.98749999999999993</v>
      </c>
      <c r="BC58" s="77">
        <v>0.33402777777777781</v>
      </c>
      <c r="BD58" s="77">
        <v>0.99791666666666667</v>
      </c>
      <c r="BE58" s="77">
        <v>0.33194444444444443</v>
      </c>
      <c r="BF58" s="77">
        <v>0.97777777777777775</v>
      </c>
      <c r="BG58" s="77">
        <v>0.33749999999999997</v>
      </c>
      <c r="BH58" s="79">
        <v>1</v>
      </c>
      <c r="BI58" s="77">
        <v>0.3354166666666667</v>
      </c>
      <c r="BJ58" s="77">
        <v>0.97499999999999998</v>
      </c>
      <c r="BK58" s="77">
        <v>0.3354166666666667</v>
      </c>
      <c r="BL58" s="77">
        <v>0.9819444444444444</v>
      </c>
      <c r="BM58" s="77">
        <v>0.33402777777777781</v>
      </c>
      <c r="BN58" s="85"/>
      <c r="BO58" s="53">
        <f>BQ58+BR58+BS58+BT58+BY58+BW58+BX58+CB58</f>
        <v>29.5</v>
      </c>
      <c r="BP58" s="74">
        <v>3</v>
      </c>
      <c r="BQ58" s="16">
        <f>COUNT(E58:AH58)/2+COUNT(AK58:BN58)/2</f>
        <v>28.5</v>
      </c>
      <c r="BR58" s="17">
        <f>COUNTIF(B58:BM58,"OFF")/2</f>
        <v>1</v>
      </c>
      <c r="BS58" s="17">
        <f>COUNTIF(B58:BM58,"MC")/2</f>
        <v>0</v>
      </c>
      <c r="BT58" s="17">
        <f>COUNTIF(B58:BM58,"EL")/2</f>
        <v>0</v>
      </c>
      <c r="BU58" s="17">
        <f>COUNTIF(B58:BM58,"AL")/2</f>
        <v>0</v>
      </c>
      <c r="BV58" s="17">
        <f>COUNTIF(B58:BM58,"SUS")/2</f>
        <v>0</v>
      </c>
      <c r="BW58" s="17">
        <f>COUNTIF(B58:BM58,"FL")/2</f>
        <v>0</v>
      </c>
      <c r="BX58" s="17">
        <f>COUNTIF(B58:BM58,"SICK")/2</f>
        <v>0</v>
      </c>
      <c r="BY58" s="17">
        <f>COUNTIF(B58:BM58,"HD")/2</f>
        <v>0</v>
      </c>
      <c r="BZ58" s="17">
        <f>COUNTIF(B58:BM58,"AB")/2</f>
        <v>0</v>
      </c>
      <c r="CA58" s="17">
        <f>COUNTIF(B58:BM58,"NL")/2</f>
        <v>0</v>
      </c>
      <c r="CB58" s="17">
        <f>COUNTIF(B58:BM58,"SP")/2</f>
        <v>0</v>
      </c>
      <c r="CC58" s="18"/>
      <c r="CF58" s="60">
        <v>0</v>
      </c>
      <c r="CG58" s="60">
        <v>0</v>
      </c>
      <c r="CH58" s="60">
        <v>0</v>
      </c>
      <c r="CI58" s="60">
        <v>0</v>
      </c>
      <c r="CJ58" s="60">
        <v>0</v>
      </c>
      <c r="CK58" s="60">
        <v>0</v>
      </c>
      <c r="CL58" s="60">
        <v>0</v>
      </c>
      <c r="CM58" s="60">
        <v>0</v>
      </c>
      <c r="CN58" s="60">
        <v>0</v>
      </c>
      <c r="CO58" s="60">
        <v>0</v>
      </c>
      <c r="CP58" s="64">
        <f>SUM(CF58:CO58)</f>
        <v>0</v>
      </c>
    </row>
    <row r="59" spans="1:94" ht="22.5" customHeight="1" x14ac:dyDescent="0.25">
      <c r="A59" s="7">
        <v>16</v>
      </c>
      <c r="B59" s="8" t="s">
        <v>51</v>
      </c>
      <c r="C59" s="51" t="s">
        <v>52</v>
      </c>
      <c r="D59" s="78">
        <v>45616</v>
      </c>
      <c r="E59" s="86">
        <v>0.57847222222222217</v>
      </c>
      <c r="F59" s="86">
        <v>0.57847222222222217</v>
      </c>
      <c r="G59" s="77">
        <v>0.33749999999999997</v>
      </c>
      <c r="H59" s="79">
        <v>1</v>
      </c>
      <c r="I59" s="77">
        <v>0.34027777777777773</v>
      </c>
      <c r="J59" s="77">
        <v>0.87361111111111101</v>
      </c>
      <c r="K59" s="77">
        <v>0.3263888888888889</v>
      </c>
      <c r="L59" s="79">
        <v>1</v>
      </c>
      <c r="M59" s="77">
        <v>0.3215277777777778</v>
      </c>
      <c r="N59" s="77">
        <v>0.86458333333333337</v>
      </c>
      <c r="O59" s="77">
        <v>0.3354166666666667</v>
      </c>
      <c r="P59" s="77">
        <v>0.82013888888888886</v>
      </c>
      <c r="Q59" s="77">
        <v>0.32916666666666666</v>
      </c>
      <c r="R59" s="77">
        <v>0.32916666666666666</v>
      </c>
      <c r="S59" s="79" t="s">
        <v>15</v>
      </c>
      <c r="T59" s="79" t="s">
        <v>15</v>
      </c>
      <c r="U59" s="77">
        <v>0.34166666666666662</v>
      </c>
      <c r="V59" s="79">
        <v>1</v>
      </c>
      <c r="W59" s="77">
        <v>0.32500000000000001</v>
      </c>
      <c r="X59" s="77">
        <v>0.84861111111111109</v>
      </c>
      <c r="Y59" s="77">
        <v>0.31111111111111112</v>
      </c>
      <c r="Z59" s="77">
        <v>0.84375</v>
      </c>
      <c r="AA59" s="77">
        <v>0.32847222222222222</v>
      </c>
      <c r="AB59" s="77">
        <v>0.32847222222222222</v>
      </c>
      <c r="AC59" s="77">
        <v>0.32916666666666666</v>
      </c>
      <c r="AD59" s="77">
        <v>0.86041666666666661</v>
      </c>
      <c r="AE59" s="77">
        <v>0.31736111111111115</v>
      </c>
      <c r="AF59" s="79">
        <v>1</v>
      </c>
      <c r="AG59" s="86">
        <v>0.56736111111111109</v>
      </c>
      <c r="AH59" s="87">
        <v>1</v>
      </c>
      <c r="AI59" s="87"/>
      <c r="AJ59" s="7">
        <v>16</v>
      </c>
      <c r="AK59" s="77">
        <v>0.32916666666666666</v>
      </c>
      <c r="AL59" s="77">
        <v>0.80694444444444446</v>
      </c>
      <c r="AM59" s="77">
        <v>0.32500000000000001</v>
      </c>
      <c r="AN59" s="79">
        <v>1</v>
      </c>
      <c r="AO59" s="77">
        <v>0.32916666666666666</v>
      </c>
      <c r="AP59" s="77">
        <v>0.90069444444444446</v>
      </c>
      <c r="AQ59" s="77">
        <v>0.3354166666666667</v>
      </c>
      <c r="AR59" s="77">
        <v>0.83611111111111114</v>
      </c>
      <c r="AS59" s="77">
        <v>0.33680555555555558</v>
      </c>
      <c r="AT59" s="77">
        <v>0.85138888888888886</v>
      </c>
      <c r="AU59" s="77">
        <v>0.33680555555555558</v>
      </c>
      <c r="AV59" s="79">
        <v>1</v>
      </c>
      <c r="AW59" s="87" t="s">
        <v>15</v>
      </c>
      <c r="AX59" s="87" t="s">
        <v>15</v>
      </c>
      <c r="AY59" s="77">
        <v>0.35625000000000001</v>
      </c>
      <c r="AZ59" s="77">
        <v>0.84930555555555554</v>
      </c>
      <c r="BA59" s="77">
        <v>0.34236111111111112</v>
      </c>
      <c r="BB59" s="77">
        <v>0.79166666666666663</v>
      </c>
      <c r="BC59" s="77">
        <v>0.34513888888888888</v>
      </c>
      <c r="BD59" s="77">
        <v>0.8881944444444444</v>
      </c>
      <c r="BE59" s="77">
        <v>0.34722222222222227</v>
      </c>
      <c r="BF59" s="79">
        <v>1</v>
      </c>
      <c r="BG59" s="87" t="s">
        <v>15</v>
      </c>
      <c r="BH59" s="87" t="s">
        <v>15</v>
      </c>
      <c r="BI59" s="77">
        <v>0.3298611111111111</v>
      </c>
      <c r="BJ59" s="77">
        <v>0.99513888888888891</v>
      </c>
      <c r="BK59" s="86">
        <v>0.58124999999999993</v>
      </c>
      <c r="BL59" s="86">
        <v>0.58124999999999993</v>
      </c>
      <c r="BO59" s="53">
        <f t="shared" ref="BO59" si="31">BQ59+BR59+BS59+BT59+BY59+BW59+BX59+CB59</f>
        <v>29</v>
      </c>
      <c r="BP59" s="54">
        <v>3</v>
      </c>
      <c r="BQ59" s="16">
        <f>COUNT(E59:AH59)/2+COUNT(AK59:BN59)/2</f>
        <v>26</v>
      </c>
      <c r="BR59" s="17">
        <f>COUNTIF(B59:BL59,"OFF")/2</f>
        <v>3</v>
      </c>
      <c r="BS59" s="17">
        <f>COUNTIF(B59:BL59,"MC")/2</f>
        <v>0</v>
      </c>
      <c r="BT59" s="17">
        <f>COUNTIF(B59:BL59,"EL")/2</f>
        <v>0</v>
      </c>
      <c r="BU59" s="17">
        <f>COUNTIF(B59:BL59,"AL")/2</f>
        <v>0</v>
      </c>
      <c r="BV59" s="17">
        <f>COUNTIF(B59:BL59,"SUS")/2</f>
        <v>0</v>
      </c>
      <c r="BW59" s="17">
        <f>COUNTIF(B59:BL59,"FL")/2</f>
        <v>0</v>
      </c>
      <c r="BX59" s="17">
        <f>COUNTIF(B59:BL59,"SICK")/2</f>
        <v>0</v>
      </c>
      <c r="BY59" s="17">
        <f>COUNTIF(B59:BL59,"HD")/2</f>
        <v>0</v>
      </c>
      <c r="BZ59" s="17">
        <f>COUNTIF(B59:BL59,"AB")/2</f>
        <v>0</v>
      </c>
      <c r="CA59" s="17">
        <f>COUNTIF(B59:BL59,"NL")/2</f>
        <v>0</v>
      </c>
      <c r="CB59" s="17">
        <f>COUNTIF(B59:BL59,"SP")/2</f>
        <v>0</v>
      </c>
      <c r="CC59" s="18"/>
      <c r="CF59" s="61">
        <v>0</v>
      </c>
      <c r="CG59" s="61">
        <v>0</v>
      </c>
      <c r="CH59" s="61">
        <v>1</v>
      </c>
      <c r="CI59" s="62">
        <v>0</v>
      </c>
      <c r="CJ59" s="62">
        <v>0</v>
      </c>
      <c r="CK59" s="61">
        <v>6</v>
      </c>
      <c r="CL59" s="62">
        <v>0</v>
      </c>
      <c r="CM59" s="62">
        <v>1</v>
      </c>
      <c r="CN59" s="62">
        <v>0</v>
      </c>
      <c r="CO59" s="62">
        <v>0</v>
      </c>
      <c r="CP59" s="63">
        <f t="shared" ref="CP59" si="32">SUM(CF59:CO59)</f>
        <v>8</v>
      </c>
    </row>
    <row r="60" spans="1:94" ht="22.5" customHeight="1" x14ac:dyDescent="0.25">
      <c r="A60" s="7">
        <v>3</v>
      </c>
      <c r="B60" s="8" t="str">
        <f>'[1]Hulhumale Staffs_ Sep 2025'!B8</f>
        <v>MAD0457</v>
      </c>
      <c r="C60" s="108" t="s">
        <v>30</v>
      </c>
      <c r="D60" s="109">
        <v>44887</v>
      </c>
      <c r="E60" s="66">
        <v>0.34375</v>
      </c>
      <c r="F60" s="66">
        <v>0.93402777777777779</v>
      </c>
      <c r="G60" s="66">
        <v>0.32222222222222224</v>
      </c>
      <c r="H60" s="98">
        <v>1</v>
      </c>
      <c r="I60" s="66">
        <v>0.3576388888888889</v>
      </c>
      <c r="J60" s="66">
        <v>0.9159722222222223</v>
      </c>
      <c r="K60" s="66">
        <v>0.35625000000000001</v>
      </c>
      <c r="L60" s="66">
        <v>0.93194444444444446</v>
      </c>
      <c r="M60" s="99">
        <v>0.53263888888888888</v>
      </c>
      <c r="N60" s="99">
        <v>0.875</v>
      </c>
      <c r="O60" s="66">
        <v>0.32500000000000001</v>
      </c>
      <c r="P60" s="66">
        <v>4.6527777777777779E-2</v>
      </c>
      <c r="Q60" s="66">
        <v>0.33958333333333335</v>
      </c>
      <c r="R60" s="66">
        <v>0.90486111111111101</v>
      </c>
      <c r="S60" s="66">
        <v>0.33958333333333335</v>
      </c>
      <c r="T60" s="66">
        <v>0.90208333333333324</v>
      </c>
      <c r="U60" s="66">
        <v>0.34027777777777773</v>
      </c>
      <c r="V60" s="66">
        <v>0.90555555555555556</v>
      </c>
      <c r="W60" s="66">
        <v>0.34375</v>
      </c>
      <c r="X60" s="66">
        <v>0.8881944444444444</v>
      </c>
      <c r="Y60" s="66">
        <v>0.34027777777777773</v>
      </c>
      <c r="Z60" s="66">
        <v>0.99236111111111114</v>
      </c>
      <c r="AA60" s="99">
        <v>0.53125</v>
      </c>
      <c r="AB60" s="99">
        <v>0.8666666666666667</v>
      </c>
      <c r="AC60" s="66">
        <v>0.34930555555555554</v>
      </c>
      <c r="AD60" s="66">
        <v>2.7083333333333334E-2</v>
      </c>
      <c r="AE60" s="66">
        <v>0.33958333333333335</v>
      </c>
      <c r="AF60" s="66">
        <v>0.8930555555555556</v>
      </c>
      <c r="AG60" s="66">
        <v>0.34236111111111112</v>
      </c>
      <c r="AH60" s="66">
        <v>0.90486111111111101</v>
      </c>
      <c r="AI60" s="107"/>
      <c r="AJ60" s="112">
        <v>3</v>
      </c>
      <c r="AK60" s="77">
        <v>0.33680555555555558</v>
      </c>
      <c r="AL60" s="77">
        <v>0.33680555555555558</v>
      </c>
      <c r="AM60" s="77">
        <v>0.34166666666666662</v>
      </c>
      <c r="AN60" s="77">
        <v>0.91805555555555562</v>
      </c>
      <c r="AO60" s="77">
        <v>0.3527777777777778</v>
      </c>
      <c r="AP60" s="77">
        <v>7.4305555555555555E-2</v>
      </c>
      <c r="AQ60" s="86">
        <v>0.55069444444444449</v>
      </c>
      <c r="AR60" s="86">
        <v>0.95416666666666661</v>
      </c>
      <c r="AS60" s="77">
        <v>0.34236111111111112</v>
      </c>
      <c r="AT60" s="77">
        <v>0.90277777777777779</v>
      </c>
      <c r="AU60" s="77">
        <v>0.3430555555555555</v>
      </c>
      <c r="AV60" s="77">
        <v>0.92361111111111116</v>
      </c>
      <c r="AW60" s="77">
        <v>0.35069444444444442</v>
      </c>
      <c r="AX60" s="77">
        <v>0.87777777777777777</v>
      </c>
      <c r="AY60" s="77">
        <v>0.3430555555555555</v>
      </c>
      <c r="AZ60" s="77">
        <v>0.88750000000000007</v>
      </c>
      <c r="BA60" s="77">
        <v>0.35347222222222219</v>
      </c>
      <c r="BB60" s="77">
        <v>0.87916666666666676</v>
      </c>
      <c r="BC60" s="77">
        <v>0.34513888888888888</v>
      </c>
      <c r="BD60" s="77">
        <v>0.88680555555555562</v>
      </c>
      <c r="BE60" s="87" t="s">
        <v>15</v>
      </c>
      <c r="BF60" s="87" t="s">
        <v>15</v>
      </c>
      <c r="BG60" s="77">
        <v>0.33611111111111108</v>
      </c>
      <c r="BH60" s="77">
        <v>0.90625</v>
      </c>
      <c r="BI60" s="77">
        <v>0.3430555555555555</v>
      </c>
      <c r="BJ60" s="77">
        <v>0.88055555555555554</v>
      </c>
      <c r="BK60" s="77">
        <v>0.3444444444444445</v>
      </c>
      <c r="BL60" s="77">
        <v>0.8930555555555556</v>
      </c>
      <c r="BM60" s="77">
        <v>0.3347222222222222</v>
      </c>
      <c r="BN60" s="79">
        <v>1</v>
      </c>
      <c r="BO60" s="15">
        <f>BQ60+BR60+BS60+BT60+BY60+BW60+BX60+CB60</f>
        <v>30</v>
      </c>
      <c r="BP60" s="74">
        <v>3</v>
      </c>
      <c r="BQ60" s="16">
        <f>COUNT(E60:AH60)/2+COUNT(AK60:BN60)/2</f>
        <v>29</v>
      </c>
      <c r="BR60" s="2">
        <f>COUNTIF(E60:BN60,"OFF")/2</f>
        <v>1</v>
      </c>
      <c r="BS60" s="17">
        <f>COUNTIF(B60:BE60,"MC")/2</f>
        <v>0</v>
      </c>
      <c r="BT60" s="17">
        <f>COUNTIF(B60:BE60,"EL")/2</f>
        <v>0</v>
      </c>
      <c r="BU60" s="17">
        <f>COUNTIF(B60:BE60,"AL")/2</f>
        <v>0</v>
      </c>
      <c r="BV60" s="17">
        <f>COUNTIF(B60:BE60,"SUS")/2</f>
        <v>0</v>
      </c>
      <c r="BW60" s="17">
        <f>COUNTIF(B60:BE60,"FL")/2</f>
        <v>0</v>
      </c>
      <c r="BX60" s="17">
        <f>COUNTIF(B60:BE60,"SICK")/2</f>
        <v>0</v>
      </c>
      <c r="BY60" s="17">
        <f>COUNTIF(B60:BE60,"HD")/2</f>
        <v>0</v>
      </c>
      <c r="BZ60" s="17">
        <f>COUNTIF(B60:BE60,"AB")/2</f>
        <v>0</v>
      </c>
      <c r="CA60" s="17">
        <f>COUNTIF(B60:BE60,"NL")/2</f>
        <v>0</v>
      </c>
      <c r="CB60" s="17">
        <f>COUNTIF(B60:BE60,"SP")/2</f>
        <v>0</v>
      </c>
      <c r="CC60" s="70"/>
      <c r="CF60" s="60">
        <v>0</v>
      </c>
      <c r="CG60" s="60">
        <v>0</v>
      </c>
      <c r="CH60" s="60">
        <v>0</v>
      </c>
      <c r="CI60" s="60">
        <v>0</v>
      </c>
      <c r="CJ60" s="60">
        <v>0</v>
      </c>
      <c r="CK60" s="60">
        <v>0</v>
      </c>
      <c r="CL60" s="60">
        <v>0</v>
      </c>
      <c r="CM60" s="60">
        <v>0</v>
      </c>
      <c r="CN60" s="60">
        <v>0</v>
      </c>
      <c r="CO60" s="60">
        <v>0</v>
      </c>
      <c r="CP60" s="64">
        <f>SUM(CF60:CO60)</f>
        <v>0</v>
      </c>
    </row>
  </sheetData>
  <mergeCells count="133">
    <mergeCell ref="E3:F3"/>
    <mergeCell ref="Y2:Z2"/>
    <mergeCell ref="W3:X3"/>
    <mergeCell ref="U3:V3"/>
    <mergeCell ref="S3:T3"/>
    <mergeCell ref="AE2:AF2"/>
    <mergeCell ref="AC3:AD3"/>
    <mergeCell ref="BA3:BB3"/>
    <mergeCell ref="BE2:BF2"/>
    <mergeCell ref="BC2:BD2"/>
    <mergeCell ref="BA2:BB2"/>
    <mergeCell ref="AA3:AB3"/>
    <mergeCell ref="Y3:Z3"/>
    <mergeCell ref="G3:H3"/>
    <mergeCell ref="AQ3:AR3"/>
    <mergeCell ref="AS3:AT3"/>
    <mergeCell ref="AU3:AV3"/>
    <mergeCell ref="AW2:AX2"/>
    <mergeCell ref="Q3:R3"/>
    <mergeCell ref="AA2:AB2"/>
    <mergeCell ref="AK2:AL2"/>
    <mergeCell ref="AS2:AT2"/>
    <mergeCell ref="AU2:AV2"/>
    <mergeCell ref="M13:N13"/>
    <mergeCell ref="O13:P13"/>
    <mergeCell ref="K14:L14"/>
    <mergeCell ref="AE13:AF13"/>
    <mergeCell ref="M3:N3"/>
    <mergeCell ref="I3:J3"/>
    <mergeCell ref="K3:L3"/>
    <mergeCell ref="Y14:Z14"/>
    <mergeCell ref="AA14:AB14"/>
    <mergeCell ref="AC14:AD14"/>
    <mergeCell ref="Q13:R13"/>
    <mergeCell ref="S13:T13"/>
    <mergeCell ref="M14:N14"/>
    <mergeCell ref="O14:P14"/>
    <mergeCell ref="Q14:R14"/>
    <mergeCell ref="S14:T14"/>
    <mergeCell ref="O3:P3"/>
    <mergeCell ref="AE3:AF3"/>
    <mergeCell ref="U13:V13"/>
    <mergeCell ref="W13:X13"/>
    <mergeCell ref="Y13:Z13"/>
    <mergeCell ref="AA13:AB13"/>
    <mergeCell ref="AC13:AD13"/>
    <mergeCell ref="BK2:BL2"/>
    <mergeCell ref="BI2:BJ2"/>
    <mergeCell ref="CF2:CO2"/>
    <mergeCell ref="CF13:CO13"/>
    <mergeCell ref="BG13:BH13"/>
    <mergeCell ref="BG3:BH3"/>
    <mergeCell ref="BG2:BH2"/>
    <mergeCell ref="AG2:AH2"/>
    <mergeCell ref="AS13:AT13"/>
    <mergeCell ref="AU13:AV13"/>
    <mergeCell ref="AM13:AN13"/>
    <mergeCell ref="AM3:AN3"/>
    <mergeCell ref="AO3:AP3"/>
    <mergeCell ref="BM3:BN3"/>
    <mergeCell ref="BM2:BN2"/>
    <mergeCell ref="BM14:BN14"/>
    <mergeCell ref="BM13:BN13"/>
    <mergeCell ref="AG13:AH13"/>
    <mergeCell ref="AK13:AL13"/>
    <mergeCell ref="BC3:BD3"/>
    <mergeCell ref="BA14:BB14"/>
    <mergeCell ref="BC14:BD14"/>
    <mergeCell ref="AW13:AX13"/>
    <mergeCell ref="AY13:AZ13"/>
    <mergeCell ref="AW14:AX14"/>
    <mergeCell ref="AY14:AZ14"/>
    <mergeCell ref="BE14:BF14"/>
    <mergeCell ref="BE3:BF3"/>
    <mergeCell ref="BA13:BB13"/>
    <mergeCell ref="AW3:AX3"/>
    <mergeCell ref="AY3:AZ3"/>
    <mergeCell ref="AU14:AV14"/>
    <mergeCell ref="AS14:AT14"/>
    <mergeCell ref="AK14:AL14"/>
    <mergeCell ref="AM14:AN14"/>
    <mergeCell ref="AO14:AP14"/>
    <mergeCell ref="AQ14:AR14"/>
    <mergeCell ref="BC13:BD13"/>
    <mergeCell ref="BI3:BJ3"/>
    <mergeCell ref="A1:AH1"/>
    <mergeCell ref="AJ1:CC1"/>
    <mergeCell ref="A2:C3"/>
    <mergeCell ref="E2:F2"/>
    <mergeCell ref="G2:H2"/>
    <mergeCell ref="I2:J2"/>
    <mergeCell ref="K2:L2"/>
    <mergeCell ref="M2:N2"/>
    <mergeCell ref="O2:P2"/>
    <mergeCell ref="Q2:R2"/>
    <mergeCell ref="AM2:AN2"/>
    <mergeCell ref="AO2:AP2"/>
    <mergeCell ref="AQ2:AR2"/>
    <mergeCell ref="S2:T2"/>
    <mergeCell ref="U2:V2"/>
    <mergeCell ref="W2:X2"/>
    <mergeCell ref="AY2:AZ2"/>
    <mergeCell ref="AG3:AH3"/>
    <mergeCell ref="AK3:AL3"/>
    <mergeCell ref="AC2:AD2"/>
    <mergeCell ref="BO2:BO4"/>
    <mergeCell ref="BP2:BP4"/>
    <mergeCell ref="BQ2:CC2"/>
    <mergeCell ref="BK3:BL3"/>
    <mergeCell ref="E13:F13"/>
    <mergeCell ref="G13:H13"/>
    <mergeCell ref="A12:AH12"/>
    <mergeCell ref="AJ12:CC12"/>
    <mergeCell ref="BP13:BP15"/>
    <mergeCell ref="A13:C14"/>
    <mergeCell ref="BG14:BH14"/>
    <mergeCell ref="AG14:AH14"/>
    <mergeCell ref="BO13:BO15"/>
    <mergeCell ref="AE14:AF14"/>
    <mergeCell ref="E14:F14"/>
    <mergeCell ref="G14:H14"/>
    <mergeCell ref="I14:J14"/>
    <mergeCell ref="U14:V14"/>
    <mergeCell ref="W14:X14"/>
    <mergeCell ref="AO13:AP13"/>
    <mergeCell ref="AQ13:AR13"/>
    <mergeCell ref="BE13:BF13"/>
    <mergeCell ref="I13:J13"/>
    <mergeCell ref="K13:L13"/>
    <mergeCell ref="BK14:BL14"/>
    <mergeCell ref="BK13:BL13"/>
    <mergeCell ref="BI14:BJ14"/>
    <mergeCell ref="BI13:BJ13"/>
  </mergeCells>
  <phoneticPr fontId="17" type="noConversion"/>
  <conditionalFormatting sqref="A2 BP16:BP35 BP56:BP57">
    <cfRule type="cellIs" dxfId="508" priority="3137" operator="equal">
      <formula>";"</formula>
    </cfRule>
  </conditionalFormatting>
  <conditionalFormatting sqref="A13">
    <cfRule type="cellIs" dxfId="507" priority="3136" stopIfTrue="1" operator="equal">
      <formula>";"</formula>
    </cfRule>
  </conditionalFormatting>
  <conditionalFormatting sqref="C1:C1048576">
    <cfRule type="duplicateValues" dxfId="506" priority="3147"/>
  </conditionalFormatting>
  <conditionalFormatting sqref="C7">
    <cfRule type="duplicateValues" dxfId="505" priority="34"/>
    <cfRule type="duplicateValues" dxfId="504" priority="35"/>
    <cfRule type="duplicateValues" dxfId="503" priority="37"/>
  </conditionalFormatting>
  <conditionalFormatting sqref="C8:C1048576 C1:C6">
    <cfRule type="duplicateValues" dxfId="502" priority="3176"/>
  </conditionalFormatting>
  <conditionalFormatting sqref="C7:D7">
    <cfRule type="duplicateValues" dxfId="501" priority="36"/>
  </conditionalFormatting>
  <conditionalFormatting sqref="D5">
    <cfRule type="timePeriod" dxfId="500" priority="1232" timePeriod="thisWeek">
      <formula>AND(TODAY()-ROUNDDOWN(D5,0)&lt;=WEEKDAY(TODAY())-1,ROUNDDOWN(D5,0)-TODAY()&lt;=7-WEEKDAY(TODAY()))</formula>
    </cfRule>
    <cfRule type="timePeriod" dxfId="499" priority="1233" timePeriod="last7Days">
      <formula>AND(TODAY()-FLOOR(D5,1)&lt;=6,FLOOR(D5,1)&lt;=TODAY())</formula>
    </cfRule>
  </conditionalFormatting>
  <conditionalFormatting sqref="D5:D8">
    <cfRule type="timePeriod" dxfId="498" priority="1235" timePeriod="nextWeek">
      <formula>AND(ROUNDDOWN(D5,0)-TODAY()&gt;(7-WEEKDAY(TODAY())),ROUNDDOWN(D5,0)-TODAY()&lt;(15-WEEKDAY(TODAY())))</formula>
    </cfRule>
  </conditionalFormatting>
  <conditionalFormatting sqref="D5:D10 D56:D60">
    <cfRule type="timePeriod" priority="23" timePeriod="nextWeek">
      <formula>AND(ROUNDDOWN(D5,0)-TODAY()&gt;(7-WEEKDAY(TODAY())),ROUNDDOWN(D5,0)-TODAY()&lt;(15-WEEKDAY(TODAY())))</formula>
    </cfRule>
  </conditionalFormatting>
  <conditionalFormatting sqref="D7">
    <cfRule type="timePeriod" dxfId="497" priority="24" timePeriod="last7Days">
      <formula>AND(TODAY()-FLOOR(D7,1)&lt;=6,FLOOR(D7,1)&lt;=TODAY())</formula>
    </cfRule>
    <cfRule type="timePeriod" dxfId="496" priority="25" timePeriod="thisWeek">
      <formula>AND(TODAY()-ROUNDDOWN(D7,0)&lt;=WEEKDAY(TODAY())-1,ROUNDDOWN(D7,0)-TODAY()&lt;=7-WEEKDAY(TODAY()))</formula>
    </cfRule>
  </conditionalFormatting>
  <conditionalFormatting sqref="D8">
    <cfRule type="timePeriod" dxfId="495" priority="1333" timePeriod="last7Days">
      <formula>AND(TODAY()-FLOOR(D8,1)&lt;=6,FLOOR(D8,1)&lt;=TODAY())</formula>
    </cfRule>
  </conditionalFormatting>
  <conditionalFormatting sqref="D8:D10">
    <cfRule type="timePeriod" dxfId="494" priority="1321" timePeriod="thisWeek">
      <formula>AND(TODAY()-ROUNDDOWN(D8,0)&lt;=WEEKDAY(TODAY())-1,ROUNDDOWN(D8,0)-TODAY()&lt;=7-WEEKDAY(TODAY()))</formula>
    </cfRule>
  </conditionalFormatting>
  <conditionalFormatting sqref="D9:D10">
    <cfRule type="timePeriod" dxfId="493" priority="1320" timePeriod="last7Days">
      <formula>AND(TODAY()-FLOOR(D9,1)&lt;=6,FLOOR(D9,1)&lt;=TODAY())</formula>
    </cfRule>
    <cfRule type="timePeriod" dxfId="492" priority="1323" timePeriod="nextWeek">
      <formula>AND(ROUNDDOWN(D9,0)-TODAY()&gt;(7-WEEKDAY(TODAY())),ROUNDDOWN(D9,0)-TODAY()&lt;(15-WEEKDAY(TODAY())))</formula>
    </cfRule>
  </conditionalFormatting>
  <conditionalFormatting sqref="D16:D35">
    <cfRule type="timePeriod" dxfId="491" priority="654" timePeriod="thisWeek">
      <formula>AND(TODAY()-ROUNDDOWN(D16,0)&lt;=WEEKDAY(TODAY())-1,ROUNDDOWN(D16,0)-TODAY()&lt;=7-WEEKDAY(TODAY()))</formula>
    </cfRule>
    <cfRule type="timePeriod" dxfId="490" priority="655" timePeriod="last7Days">
      <formula>AND(TODAY()-FLOOR(D16,1)&lt;=6,FLOOR(D16,1)&lt;=TODAY())</formula>
    </cfRule>
    <cfRule type="timePeriod" priority="656" timePeriod="nextWeek">
      <formula>AND(ROUNDDOWN(D16,0)-TODAY()&gt;(7-WEEKDAY(TODAY())),ROUNDDOWN(D16,0)-TODAY()&lt;(15-WEEKDAY(TODAY())))</formula>
    </cfRule>
    <cfRule type="timePeriod" dxfId="489" priority="657" timePeriod="nextWeek">
      <formula>AND(ROUNDDOWN(D16,0)-TODAY()&gt;(7-WEEKDAY(TODAY())),ROUNDDOWN(D16,0)-TODAY()&lt;(15-WEEKDAY(TODAY())))</formula>
    </cfRule>
  </conditionalFormatting>
  <conditionalFormatting sqref="D56:D59">
    <cfRule type="timePeriod" dxfId="488" priority="420" timePeriod="last7Days">
      <formula>AND(TODAY()-FLOOR(D56,1)&lt;=6,FLOOR(D56,1)&lt;=TODAY())</formula>
    </cfRule>
    <cfRule type="timePeriod" dxfId="487" priority="419" timePeriod="thisWeek">
      <formula>AND(TODAY()-ROUNDDOWN(D56,0)&lt;=WEEKDAY(TODAY())-1,ROUNDDOWN(D56,0)-TODAY()&lt;=7-WEEKDAY(TODAY()))</formula>
    </cfRule>
  </conditionalFormatting>
  <conditionalFormatting sqref="D56:D60">
    <cfRule type="timePeriod" dxfId="486" priority="422" timePeriod="nextWeek">
      <formula>AND(ROUNDDOWN(D56,0)-TODAY()&gt;(7-WEEKDAY(TODAY())),ROUNDDOWN(D56,0)-TODAY()&lt;(15-WEEKDAY(TODAY())))</formula>
    </cfRule>
  </conditionalFormatting>
  <conditionalFormatting sqref="K6:N6">
    <cfRule type="containsText" dxfId="485" priority="366" operator="containsText" text="SICK">
      <formula>NOT(ISERROR(SEARCH("SICK",K6)))</formula>
    </cfRule>
    <cfRule type="containsText" dxfId="484" priority="367" operator="containsText" text="AL">
      <formula>NOT(ISERROR(SEARCH("AL",K6)))</formula>
    </cfRule>
    <cfRule type="containsText" dxfId="483" priority="365" operator="containsText" text="AB">
      <formula>NOT(ISERROR(SEARCH("AB",K6)))</formula>
    </cfRule>
    <cfRule type="containsText" dxfId="482" priority="364" operator="containsText" text="OFF">
      <formula>NOT(ISERROR(SEARCH("OFF",K6)))</formula>
    </cfRule>
    <cfRule type="containsText" dxfId="481" priority="363" operator="containsText" text="FL">
      <formula>NOT(ISERROR(SEARCH("FL",K6)))</formula>
    </cfRule>
    <cfRule type="containsText" dxfId="480" priority="362" operator="containsText" text="SUS">
      <formula>NOT(ISERROR(SEARCH("SUS",K6)))</formula>
    </cfRule>
    <cfRule type="containsText" dxfId="479" priority="361" operator="containsText" text="MC">
      <formula>NOT(ISERROR(SEARCH("MC",K6)))</formula>
    </cfRule>
    <cfRule type="containsText" dxfId="478" priority="360" operator="containsText" text="NL">
      <formula>NOT(ISERROR(SEARCH("NL",K6)))</formula>
    </cfRule>
    <cfRule type="containsText" dxfId="477" priority="359" operator="containsText" text="SP">
      <formula>NOT(ISERROR(SEARCH("SP",K6)))</formula>
    </cfRule>
    <cfRule type="containsText" dxfId="476" priority="358" operator="containsText" text="EL">
      <formula>NOT(ISERROR(SEARCH("EL",K6)))</formula>
    </cfRule>
  </conditionalFormatting>
  <conditionalFormatting sqref="M7:N7">
    <cfRule type="containsText" dxfId="475" priority="15" operator="containsText" text="AB">
      <formula>NOT(ISERROR(SEARCH("AB",M7)))</formula>
    </cfRule>
    <cfRule type="containsText" dxfId="474" priority="16" operator="containsText" text="SUS">
      <formula>NOT(ISERROR(SEARCH("SUS",M7)))</formula>
    </cfRule>
    <cfRule type="containsText" dxfId="473" priority="17" operator="containsText" text="FL">
      <formula>NOT(ISERROR(SEARCH("FL",M7)))</formula>
    </cfRule>
    <cfRule type="containsText" dxfId="472" priority="14" operator="containsText" text="EL">
      <formula>NOT(ISERROR(SEARCH("EL",M7)))</formula>
    </cfRule>
    <cfRule type="containsText" dxfId="471" priority="20" operator="containsText" text="Sick">
      <formula>NOT(ISERROR(SEARCH("Sick",M7)))</formula>
    </cfRule>
    <cfRule type="containsText" dxfId="470" priority="22" operator="containsText" text="AL">
      <formula>NOT(ISERROR(SEARCH("AL",M7)))</formula>
    </cfRule>
    <cfRule type="containsText" dxfId="469" priority="21" operator="containsText" text="OFF">
      <formula>NOT(ISERROR(SEARCH("OFF",M7)))</formula>
    </cfRule>
    <cfRule type="containsText" dxfId="468" priority="19" operator="containsText" text="AB">
      <formula>NOT(ISERROR(SEARCH("AB",M7)))</formula>
    </cfRule>
    <cfRule type="containsText" dxfId="467" priority="18" operator="containsText" text="MC">
      <formula>NOT(ISERROR(SEARCH("MC",M7)))</formula>
    </cfRule>
  </conditionalFormatting>
  <conditionalFormatting sqref="M10:N10">
    <cfRule type="containsText" dxfId="466" priority="357" operator="containsText" text="AL">
      <formula>NOT(ISERROR(SEARCH("AL",M10)))</formula>
    </cfRule>
    <cfRule type="containsText" dxfId="465" priority="356" operator="containsText" text="SICK">
      <formula>NOT(ISERROR(SEARCH("SICK",M10)))</formula>
    </cfRule>
    <cfRule type="containsText" dxfId="464" priority="354" operator="containsText" text="OFF">
      <formula>NOT(ISERROR(SEARCH("OFF",M10)))</formula>
    </cfRule>
    <cfRule type="containsText" dxfId="463" priority="353" operator="containsText" text="FL">
      <formula>NOT(ISERROR(SEARCH("FL",M10)))</formula>
    </cfRule>
    <cfRule type="containsText" dxfId="462" priority="352" operator="containsText" text="SUS">
      <formula>NOT(ISERROR(SEARCH("SUS",M10)))</formula>
    </cfRule>
    <cfRule type="containsText" dxfId="461" priority="351" operator="containsText" text="MC">
      <formula>NOT(ISERROR(SEARCH("MC",M10)))</formula>
    </cfRule>
    <cfRule type="containsText" dxfId="460" priority="350" operator="containsText" text="NL">
      <formula>NOT(ISERROR(SEARCH("NL",M10)))</formula>
    </cfRule>
    <cfRule type="containsText" dxfId="459" priority="355" operator="containsText" text="AB">
      <formula>NOT(ISERROR(SEARCH("AB",M10)))</formula>
    </cfRule>
    <cfRule type="containsText" dxfId="458" priority="348" operator="containsText" text="EL">
      <formula>NOT(ISERROR(SEARCH("EL",M10)))</formula>
    </cfRule>
    <cfRule type="containsText" dxfId="457" priority="349" operator="containsText" text="SP">
      <formula>NOT(ISERROR(SEARCH("SP",M10)))</formula>
    </cfRule>
  </conditionalFormatting>
  <conditionalFormatting sqref="M18:N18">
    <cfRule type="containsText" dxfId="456" priority="346" operator="containsText" text="SICK">
      <formula>NOT(ISERROR(SEARCH("SICK",M18)))</formula>
    </cfRule>
    <cfRule type="containsText" dxfId="455" priority="345" operator="containsText" text="AB">
      <formula>NOT(ISERROR(SEARCH("AB",M18)))</formula>
    </cfRule>
    <cfRule type="containsText" dxfId="454" priority="344" operator="containsText" text="OFF">
      <formula>NOT(ISERROR(SEARCH("OFF",M18)))</formula>
    </cfRule>
    <cfRule type="containsText" dxfId="453" priority="343" operator="containsText" text="FL">
      <formula>NOT(ISERROR(SEARCH("FL",M18)))</formula>
    </cfRule>
    <cfRule type="containsText" dxfId="452" priority="341" operator="containsText" text="MC">
      <formula>NOT(ISERROR(SEARCH("MC",M18)))</formula>
    </cfRule>
    <cfRule type="containsText" dxfId="451" priority="340" operator="containsText" text="NL">
      <formula>NOT(ISERROR(SEARCH("NL",M18)))</formula>
    </cfRule>
    <cfRule type="containsText" dxfId="450" priority="339" operator="containsText" text="SP">
      <formula>NOT(ISERROR(SEARCH("SP",M18)))</formula>
    </cfRule>
    <cfRule type="containsText" dxfId="449" priority="338" operator="containsText" text="EL">
      <formula>NOT(ISERROR(SEARCH("EL",M18)))</formula>
    </cfRule>
    <cfRule type="containsText" dxfId="448" priority="342" operator="containsText" text="SUS">
      <formula>NOT(ISERROR(SEARCH("SUS",M18)))</formula>
    </cfRule>
    <cfRule type="containsText" dxfId="447" priority="347" operator="containsText" text="AL">
      <formula>NOT(ISERROR(SEARCH("AL",M18)))</formula>
    </cfRule>
  </conditionalFormatting>
  <conditionalFormatting sqref="M20:N21">
    <cfRule type="containsText" dxfId="446" priority="333" operator="containsText" text="FL">
      <formula>NOT(ISERROR(SEARCH("FL",M20)))</formula>
    </cfRule>
    <cfRule type="containsText" dxfId="445" priority="332" operator="containsText" text="SUS">
      <formula>NOT(ISERROR(SEARCH("SUS",M20)))</formula>
    </cfRule>
    <cfRule type="containsText" dxfId="444" priority="331" operator="containsText" text="MC">
      <formula>NOT(ISERROR(SEARCH("MC",M20)))</formula>
    </cfRule>
    <cfRule type="containsText" dxfId="443" priority="330" operator="containsText" text="NL">
      <formula>NOT(ISERROR(SEARCH("NL",M20)))</formula>
    </cfRule>
    <cfRule type="containsText" dxfId="442" priority="329" operator="containsText" text="SP">
      <formula>NOT(ISERROR(SEARCH("SP",M20)))</formula>
    </cfRule>
    <cfRule type="containsText" dxfId="441" priority="328" operator="containsText" text="EL">
      <formula>NOT(ISERROR(SEARCH("EL",M20)))</formula>
    </cfRule>
    <cfRule type="containsText" dxfId="440" priority="335" operator="containsText" text="AB">
      <formula>NOT(ISERROR(SEARCH("AB",M20)))</formula>
    </cfRule>
    <cfRule type="containsText" dxfId="439" priority="336" operator="containsText" text="SICK">
      <formula>NOT(ISERROR(SEARCH("SICK",M20)))</formula>
    </cfRule>
    <cfRule type="containsText" dxfId="438" priority="337" operator="containsText" text="AL">
      <formula>NOT(ISERROR(SEARCH("AL",M20)))</formula>
    </cfRule>
    <cfRule type="containsText" dxfId="437" priority="334" operator="containsText" text="OFF">
      <formula>NOT(ISERROR(SEARCH("OFF",M20)))</formula>
    </cfRule>
  </conditionalFormatting>
  <conditionalFormatting sqref="M23:N25">
    <cfRule type="containsText" dxfId="436" priority="327" operator="containsText" text="AL">
      <formula>NOT(ISERROR(SEARCH("AL",M23)))</formula>
    </cfRule>
    <cfRule type="containsText" dxfId="435" priority="326" operator="containsText" text="SICK">
      <formula>NOT(ISERROR(SEARCH("SICK",M23)))</formula>
    </cfRule>
    <cfRule type="containsText" dxfId="434" priority="325" operator="containsText" text="AB">
      <formula>NOT(ISERROR(SEARCH("AB",M23)))</formula>
    </cfRule>
    <cfRule type="containsText" dxfId="433" priority="324" operator="containsText" text="OFF">
      <formula>NOT(ISERROR(SEARCH("OFF",M23)))</formula>
    </cfRule>
    <cfRule type="containsText" dxfId="432" priority="323" operator="containsText" text="FL">
      <formula>NOT(ISERROR(SEARCH("FL",M23)))</formula>
    </cfRule>
    <cfRule type="containsText" dxfId="431" priority="322" operator="containsText" text="SUS">
      <formula>NOT(ISERROR(SEARCH("SUS",M23)))</formula>
    </cfRule>
    <cfRule type="containsText" dxfId="430" priority="321" operator="containsText" text="MC">
      <formula>NOT(ISERROR(SEARCH("MC",M23)))</formula>
    </cfRule>
    <cfRule type="containsText" dxfId="429" priority="320" operator="containsText" text="NL">
      <formula>NOT(ISERROR(SEARCH("NL",M23)))</formula>
    </cfRule>
    <cfRule type="containsText" dxfId="428" priority="319" operator="containsText" text="SP">
      <formula>NOT(ISERROR(SEARCH("SP",M23)))</formula>
    </cfRule>
    <cfRule type="containsText" dxfId="427" priority="318" operator="containsText" text="EL">
      <formula>NOT(ISERROR(SEARCH("EL",M23)))</formula>
    </cfRule>
  </conditionalFormatting>
  <conditionalFormatting sqref="M32:N32">
    <cfRule type="containsText" dxfId="426" priority="317" operator="containsText" text="AL">
      <formula>NOT(ISERROR(SEARCH("AL",M32)))</formula>
    </cfRule>
    <cfRule type="containsText" dxfId="425" priority="316" operator="containsText" text="SICK">
      <formula>NOT(ISERROR(SEARCH("SICK",M32)))</formula>
    </cfRule>
    <cfRule type="containsText" dxfId="424" priority="315" operator="containsText" text="AB">
      <formula>NOT(ISERROR(SEARCH("AB",M32)))</formula>
    </cfRule>
    <cfRule type="containsText" dxfId="423" priority="314" operator="containsText" text="OFF">
      <formula>NOT(ISERROR(SEARCH("OFF",M32)))</formula>
    </cfRule>
    <cfRule type="containsText" dxfId="422" priority="313" operator="containsText" text="FL">
      <formula>NOT(ISERROR(SEARCH("FL",M32)))</formula>
    </cfRule>
    <cfRule type="containsText" dxfId="421" priority="312" operator="containsText" text="SUS">
      <formula>NOT(ISERROR(SEARCH("SUS",M32)))</formula>
    </cfRule>
    <cfRule type="containsText" dxfId="420" priority="311" operator="containsText" text="MC">
      <formula>NOT(ISERROR(SEARCH("MC",M32)))</formula>
    </cfRule>
    <cfRule type="containsText" dxfId="419" priority="310" operator="containsText" text="NL">
      <formula>NOT(ISERROR(SEARCH("NL",M32)))</formula>
    </cfRule>
    <cfRule type="containsText" dxfId="418" priority="309" operator="containsText" text="SP">
      <formula>NOT(ISERROR(SEARCH("SP",M32)))</formula>
    </cfRule>
    <cfRule type="containsText" dxfId="417" priority="308" operator="containsText" text="EL">
      <formula>NOT(ISERROR(SEARCH("EL",M32)))</formula>
    </cfRule>
  </conditionalFormatting>
  <conditionalFormatting sqref="M34:N35">
    <cfRule type="containsText" dxfId="416" priority="303" operator="containsText" text="FL">
      <formula>NOT(ISERROR(SEARCH("FL",M34)))</formula>
    </cfRule>
    <cfRule type="containsText" dxfId="415" priority="302" operator="containsText" text="SUS">
      <formula>NOT(ISERROR(SEARCH("SUS",M34)))</formula>
    </cfRule>
    <cfRule type="containsText" dxfId="414" priority="301" operator="containsText" text="MC">
      <formula>NOT(ISERROR(SEARCH("MC",M34)))</formula>
    </cfRule>
    <cfRule type="containsText" dxfId="413" priority="300" operator="containsText" text="NL">
      <formula>NOT(ISERROR(SEARCH("NL",M34)))</formula>
    </cfRule>
    <cfRule type="containsText" dxfId="412" priority="299" operator="containsText" text="SP">
      <formula>NOT(ISERROR(SEARCH("SP",M34)))</formula>
    </cfRule>
    <cfRule type="containsText" dxfId="411" priority="298" operator="containsText" text="EL">
      <formula>NOT(ISERROR(SEARCH("EL",M34)))</formula>
    </cfRule>
    <cfRule type="containsText" dxfId="410" priority="304" operator="containsText" text="OFF">
      <formula>NOT(ISERROR(SEARCH("OFF",M34)))</formula>
    </cfRule>
    <cfRule type="containsText" dxfId="409" priority="307" operator="containsText" text="AL">
      <formula>NOT(ISERROR(SEARCH("AL",M34)))</formula>
    </cfRule>
    <cfRule type="containsText" dxfId="408" priority="306" operator="containsText" text="SICK">
      <formula>NOT(ISERROR(SEARCH("SICK",M34)))</formula>
    </cfRule>
    <cfRule type="containsText" dxfId="407" priority="305" operator="containsText" text="AB">
      <formula>NOT(ISERROR(SEARCH("AB",M34)))</formula>
    </cfRule>
  </conditionalFormatting>
  <conditionalFormatting sqref="O22:P22">
    <cfRule type="containsText" dxfId="406" priority="293" operator="containsText" text="FL">
      <formula>NOT(ISERROR(SEARCH("FL",O22)))</formula>
    </cfRule>
    <cfRule type="containsText" dxfId="405" priority="292" operator="containsText" text="SUS">
      <formula>NOT(ISERROR(SEARCH("SUS",O22)))</formula>
    </cfRule>
    <cfRule type="containsText" dxfId="404" priority="291" operator="containsText" text="MC">
      <formula>NOT(ISERROR(SEARCH("MC",O22)))</formula>
    </cfRule>
    <cfRule type="containsText" dxfId="403" priority="290" operator="containsText" text="NL">
      <formula>NOT(ISERROR(SEARCH("NL",O22)))</formula>
    </cfRule>
    <cfRule type="containsText" dxfId="402" priority="297" operator="containsText" text="AL">
      <formula>NOT(ISERROR(SEARCH("AL",O22)))</formula>
    </cfRule>
    <cfRule type="containsText" dxfId="401" priority="288" operator="containsText" text="EL">
      <formula>NOT(ISERROR(SEARCH("EL",O22)))</formula>
    </cfRule>
    <cfRule type="containsText" dxfId="400" priority="296" operator="containsText" text="SICK">
      <formula>NOT(ISERROR(SEARCH("SICK",O22)))</formula>
    </cfRule>
    <cfRule type="containsText" dxfId="399" priority="295" operator="containsText" text="AB">
      <formula>NOT(ISERROR(SEARCH("AB",O22)))</formula>
    </cfRule>
    <cfRule type="containsText" dxfId="398" priority="289" operator="containsText" text="SP">
      <formula>NOT(ISERROR(SEARCH("SP",O22)))</formula>
    </cfRule>
    <cfRule type="containsText" dxfId="397" priority="294" operator="containsText" text="OFF">
      <formula>NOT(ISERROR(SEARCH("OFF",O22)))</formula>
    </cfRule>
  </conditionalFormatting>
  <conditionalFormatting sqref="S59:T59">
    <cfRule type="containsText" dxfId="396" priority="409" operator="containsText" text="EL">
      <formula>NOT(ISERROR(SEARCH("EL",S59)))</formula>
    </cfRule>
    <cfRule type="containsText" dxfId="395" priority="410" operator="containsText" text="SP">
      <formula>NOT(ISERROR(SEARCH("SP",S59)))</formula>
    </cfRule>
    <cfRule type="containsText" dxfId="394" priority="411" operator="containsText" text="NL">
      <formula>NOT(ISERROR(SEARCH("NL",S59)))</formula>
    </cfRule>
    <cfRule type="containsText" dxfId="393" priority="412" operator="containsText" text="MC">
      <formula>NOT(ISERROR(SEARCH("MC",S59)))</formula>
    </cfRule>
    <cfRule type="containsText" dxfId="392" priority="414" operator="containsText" text="FL">
      <formula>NOT(ISERROR(SEARCH("FL",S59)))</formula>
    </cfRule>
    <cfRule type="containsText" dxfId="391" priority="415" operator="containsText" text="OFF">
      <formula>NOT(ISERROR(SEARCH("OFF",S59)))</formula>
    </cfRule>
    <cfRule type="containsText" dxfId="390" priority="416" operator="containsText" text="AB">
      <formula>NOT(ISERROR(SEARCH("AB",S59)))</formula>
    </cfRule>
    <cfRule type="containsText" dxfId="389" priority="417" operator="containsText" text="SICK">
      <formula>NOT(ISERROR(SEARCH("SICK",S59)))</formula>
    </cfRule>
    <cfRule type="containsText" dxfId="388" priority="418" operator="containsText" text="AL">
      <formula>NOT(ISERROR(SEARCH("AL",S59)))</formula>
    </cfRule>
    <cfRule type="containsText" dxfId="387" priority="413" operator="containsText" text="SUS">
      <formula>NOT(ISERROR(SEARCH("SUS",S59)))</formula>
    </cfRule>
  </conditionalFormatting>
  <conditionalFormatting sqref="AA5:AB5">
    <cfRule type="containsText" dxfId="386" priority="285" operator="containsText" text="AB">
      <formula>NOT(ISERROR(SEARCH("AB",AA5)))</formula>
    </cfRule>
    <cfRule type="containsText" dxfId="385" priority="286" operator="containsText" text="SICK">
      <formula>NOT(ISERROR(SEARCH("SICK",AA5)))</formula>
    </cfRule>
    <cfRule type="containsText" dxfId="384" priority="287" operator="containsText" text="AL">
      <formula>NOT(ISERROR(SEARCH("AL",AA5)))</formula>
    </cfRule>
    <cfRule type="containsText" dxfId="383" priority="278" operator="containsText" text="EL">
      <formula>NOT(ISERROR(SEARCH("EL",AA5)))</formula>
    </cfRule>
    <cfRule type="containsText" dxfId="382" priority="279" operator="containsText" text="SP">
      <formula>NOT(ISERROR(SEARCH("SP",AA5)))</formula>
    </cfRule>
    <cfRule type="containsText" dxfId="381" priority="280" operator="containsText" text="NL">
      <formula>NOT(ISERROR(SEARCH("NL",AA5)))</formula>
    </cfRule>
    <cfRule type="containsText" dxfId="380" priority="281" operator="containsText" text="MC">
      <formula>NOT(ISERROR(SEARCH("MC",AA5)))</formula>
    </cfRule>
    <cfRule type="containsText" dxfId="379" priority="282" operator="containsText" text="SUS">
      <formula>NOT(ISERROR(SEARCH("SUS",AA5)))</formula>
    </cfRule>
    <cfRule type="containsText" dxfId="378" priority="283" operator="containsText" text="FL">
      <formula>NOT(ISERROR(SEARCH("FL",AA5)))</formula>
    </cfRule>
    <cfRule type="containsText" dxfId="377" priority="284" operator="containsText" text="OFF">
      <formula>NOT(ISERROR(SEARCH("OFF",AA5)))</formula>
    </cfRule>
  </conditionalFormatting>
  <conditionalFormatting sqref="AA16:AB17">
    <cfRule type="containsText" dxfId="376" priority="275" operator="containsText" text="AB">
      <formula>NOT(ISERROR(SEARCH("AB",AA16)))</formula>
    </cfRule>
    <cfRule type="containsText" dxfId="375" priority="274" operator="containsText" text="OFF">
      <formula>NOT(ISERROR(SEARCH("OFF",AA16)))</formula>
    </cfRule>
    <cfRule type="containsText" dxfId="374" priority="273" operator="containsText" text="FL">
      <formula>NOT(ISERROR(SEARCH("FL",AA16)))</formula>
    </cfRule>
    <cfRule type="containsText" dxfId="373" priority="272" operator="containsText" text="SUS">
      <formula>NOT(ISERROR(SEARCH("SUS",AA16)))</formula>
    </cfRule>
    <cfRule type="containsText" dxfId="372" priority="271" operator="containsText" text="MC">
      <formula>NOT(ISERROR(SEARCH("MC",AA16)))</formula>
    </cfRule>
    <cfRule type="containsText" dxfId="371" priority="270" operator="containsText" text="NL">
      <formula>NOT(ISERROR(SEARCH("NL",AA16)))</formula>
    </cfRule>
    <cfRule type="containsText" dxfId="370" priority="269" operator="containsText" text="SP">
      <formula>NOT(ISERROR(SEARCH("SP",AA16)))</formula>
    </cfRule>
    <cfRule type="containsText" dxfId="369" priority="276" operator="containsText" text="SICK">
      <formula>NOT(ISERROR(SEARCH("SICK",AA16)))</formula>
    </cfRule>
    <cfRule type="containsText" dxfId="368" priority="268" operator="containsText" text="EL">
      <formula>NOT(ISERROR(SEARCH("EL",AA16)))</formula>
    </cfRule>
    <cfRule type="containsText" dxfId="367" priority="277" operator="containsText" text="AL">
      <formula>NOT(ISERROR(SEARCH("AL",AA16)))</formula>
    </cfRule>
  </conditionalFormatting>
  <conditionalFormatting sqref="AA19:AB19">
    <cfRule type="containsText" dxfId="366" priority="260" operator="containsText" text="NL">
      <formula>NOT(ISERROR(SEARCH("NL",AA19)))</formula>
    </cfRule>
    <cfRule type="containsText" dxfId="365" priority="263" operator="containsText" text="FL">
      <formula>NOT(ISERROR(SEARCH("FL",AA19)))</formula>
    </cfRule>
    <cfRule type="containsText" dxfId="364" priority="262" operator="containsText" text="SUS">
      <formula>NOT(ISERROR(SEARCH("SUS",AA19)))</formula>
    </cfRule>
    <cfRule type="containsText" dxfId="363" priority="265" operator="containsText" text="AB">
      <formula>NOT(ISERROR(SEARCH("AB",AA19)))</formula>
    </cfRule>
    <cfRule type="containsText" dxfId="362" priority="267" operator="containsText" text="AL">
      <formula>NOT(ISERROR(SEARCH("AL",AA19)))</formula>
    </cfRule>
    <cfRule type="containsText" dxfId="361" priority="266" operator="containsText" text="SICK">
      <formula>NOT(ISERROR(SEARCH("SICK",AA19)))</formula>
    </cfRule>
    <cfRule type="containsText" dxfId="360" priority="264" operator="containsText" text="OFF">
      <formula>NOT(ISERROR(SEARCH("OFF",AA19)))</formula>
    </cfRule>
    <cfRule type="containsText" dxfId="359" priority="261" operator="containsText" text="MC">
      <formula>NOT(ISERROR(SEARCH("MC",AA19)))</formula>
    </cfRule>
    <cfRule type="containsText" dxfId="358" priority="259" operator="containsText" text="SP">
      <formula>NOT(ISERROR(SEARCH("SP",AA19)))</formula>
    </cfRule>
    <cfRule type="containsText" dxfId="357" priority="258" operator="containsText" text="EL">
      <formula>NOT(ISERROR(SEARCH("EL",AA19)))</formula>
    </cfRule>
  </conditionalFormatting>
  <conditionalFormatting sqref="AA22:AB22">
    <cfRule type="containsText" dxfId="356" priority="254" operator="containsText" text="OFF">
      <formula>NOT(ISERROR(SEARCH("OFF",AA22)))</formula>
    </cfRule>
    <cfRule type="containsText" dxfId="355" priority="257" operator="containsText" text="AL">
      <formula>NOT(ISERROR(SEARCH("AL",AA22)))</formula>
    </cfRule>
    <cfRule type="containsText" dxfId="354" priority="256" operator="containsText" text="SICK">
      <formula>NOT(ISERROR(SEARCH("SICK",AA22)))</formula>
    </cfRule>
    <cfRule type="containsText" dxfId="353" priority="255" operator="containsText" text="AB">
      <formula>NOT(ISERROR(SEARCH("AB",AA22)))</formula>
    </cfRule>
    <cfRule type="containsText" dxfId="352" priority="253" operator="containsText" text="FL">
      <formula>NOT(ISERROR(SEARCH("FL",AA22)))</formula>
    </cfRule>
    <cfRule type="containsText" dxfId="351" priority="252" operator="containsText" text="SUS">
      <formula>NOT(ISERROR(SEARCH("SUS",AA22)))</formula>
    </cfRule>
    <cfRule type="containsText" dxfId="350" priority="251" operator="containsText" text="MC">
      <formula>NOT(ISERROR(SEARCH("MC",AA22)))</formula>
    </cfRule>
    <cfRule type="containsText" dxfId="349" priority="250" operator="containsText" text="NL">
      <formula>NOT(ISERROR(SEARCH("NL",AA22)))</formula>
    </cfRule>
    <cfRule type="containsText" dxfId="348" priority="249" operator="containsText" text="SP">
      <formula>NOT(ISERROR(SEARCH("SP",AA22)))</formula>
    </cfRule>
    <cfRule type="containsText" dxfId="347" priority="248" operator="containsText" text="EL">
      <formula>NOT(ISERROR(SEARCH("EL",AA22)))</formula>
    </cfRule>
  </conditionalFormatting>
  <conditionalFormatting sqref="AA27:AB31">
    <cfRule type="containsText" dxfId="346" priority="229" operator="containsText" text="SP">
      <formula>NOT(ISERROR(SEARCH("SP",AA27)))</formula>
    </cfRule>
    <cfRule type="containsText" dxfId="345" priority="228" operator="containsText" text="EL">
      <formula>NOT(ISERROR(SEARCH("EL",AA27)))</formula>
    </cfRule>
    <cfRule type="containsText" dxfId="344" priority="231" operator="containsText" text="MC">
      <formula>NOT(ISERROR(SEARCH("MC",AA27)))</formula>
    </cfRule>
    <cfRule type="containsText" dxfId="343" priority="230" operator="containsText" text="NL">
      <formula>NOT(ISERROR(SEARCH("NL",AA27)))</formula>
    </cfRule>
    <cfRule type="containsText" dxfId="342" priority="237" operator="containsText" text="AL">
      <formula>NOT(ISERROR(SEARCH("AL",AA27)))</formula>
    </cfRule>
    <cfRule type="containsText" dxfId="341" priority="232" operator="containsText" text="SUS">
      <formula>NOT(ISERROR(SEARCH("SUS",AA27)))</formula>
    </cfRule>
    <cfRule type="containsText" dxfId="340" priority="236" operator="containsText" text="SICK">
      <formula>NOT(ISERROR(SEARCH("SICK",AA27)))</formula>
    </cfRule>
    <cfRule type="containsText" dxfId="339" priority="235" operator="containsText" text="AB">
      <formula>NOT(ISERROR(SEARCH("AB",AA27)))</formula>
    </cfRule>
    <cfRule type="containsText" dxfId="338" priority="234" operator="containsText" text="OFF">
      <formula>NOT(ISERROR(SEARCH("OFF",AA27)))</formula>
    </cfRule>
    <cfRule type="containsText" dxfId="337" priority="233" operator="containsText" text="FL">
      <formula>NOT(ISERROR(SEARCH("FL",AA27)))</formula>
    </cfRule>
  </conditionalFormatting>
  <conditionalFormatting sqref="AA33:AB33">
    <cfRule type="containsText" dxfId="336" priority="225" operator="containsText" text="AB">
      <formula>NOT(ISERROR(SEARCH("AB",AA33)))</formula>
    </cfRule>
    <cfRule type="containsText" dxfId="335" priority="226" operator="containsText" text="SICK">
      <formula>NOT(ISERROR(SEARCH("SICK",AA33)))</formula>
    </cfRule>
    <cfRule type="containsText" dxfId="334" priority="227" operator="containsText" text="AL">
      <formula>NOT(ISERROR(SEARCH("AL",AA33)))</formula>
    </cfRule>
    <cfRule type="containsText" dxfId="333" priority="220" operator="containsText" text="NL">
      <formula>NOT(ISERROR(SEARCH("NL",AA33)))</formula>
    </cfRule>
    <cfRule type="containsText" dxfId="332" priority="218" operator="containsText" text="EL">
      <formula>NOT(ISERROR(SEARCH("EL",AA33)))</formula>
    </cfRule>
    <cfRule type="containsText" dxfId="331" priority="219" operator="containsText" text="SP">
      <formula>NOT(ISERROR(SEARCH("SP",AA33)))</formula>
    </cfRule>
    <cfRule type="containsText" dxfId="330" priority="221" operator="containsText" text="MC">
      <formula>NOT(ISERROR(SEARCH("MC",AA33)))</formula>
    </cfRule>
    <cfRule type="containsText" dxfId="329" priority="222" operator="containsText" text="SUS">
      <formula>NOT(ISERROR(SEARCH("SUS",AA33)))</formula>
    </cfRule>
    <cfRule type="containsText" dxfId="328" priority="223" operator="containsText" text="FL">
      <formula>NOT(ISERROR(SEARCH("FL",AA33)))</formula>
    </cfRule>
    <cfRule type="containsText" dxfId="327" priority="224" operator="containsText" text="OFF">
      <formula>NOT(ISERROR(SEARCH("OFF",AA33)))</formula>
    </cfRule>
  </conditionalFormatting>
  <conditionalFormatting sqref="AM56:AR56">
    <cfRule type="cellIs" dxfId="326" priority="1359" operator="between">
      <formula>0.0625</formula>
      <formula>0.1875</formula>
    </cfRule>
  </conditionalFormatting>
  <conditionalFormatting sqref="AM56:AS56">
    <cfRule type="containsText" dxfId="325" priority="3138" operator="containsText" text="AB">
      <formula>NOT(ISERROR(SEARCH("AB",AM56)))</formula>
    </cfRule>
    <cfRule type="containsText" dxfId="324" priority="1523" operator="containsText" text="SICK">
      <formula>NOT(ISERROR(SEARCH("SICK",AM56)))</formula>
    </cfRule>
  </conditionalFormatting>
  <conditionalFormatting sqref="AQ6:AR6">
    <cfRule type="containsText" dxfId="323" priority="215" operator="containsText" text="AB">
      <formula>NOT(ISERROR(SEARCH("AB",AQ6)))</formula>
    </cfRule>
    <cfRule type="containsText" dxfId="322" priority="217" operator="containsText" text="AL">
      <formula>NOT(ISERROR(SEARCH("AL",AQ6)))</formula>
    </cfRule>
    <cfRule type="containsText" dxfId="321" priority="216" operator="containsText" text="SICK">
      <formula>NOT(ISERROR(SEARCH("SICK",AQ6)))</formula>
    </cfRule>
    <cfRule type="containsText" dxfId="320" priority="211" operator="containsText" text="MC">
      <formula>NOT(ISERROR(SEARCH("MC",AQ6)))</formula>
    </cfRule>
    <cfRule type="containsText" dxfId="319" priority="214" operator="containsText" text="OFF">
      <formula>NOT(ISERROR(SEARCH("OFF",AQ6)))</formula>
    </cfRule>
    <cfRule type="containsText" dxfId="318" priority="208" operator="containsText" text="EL">
      <formula>NOT(ISERROR(SEARCH("EL",AQ6)))</formula>
    </cfRule>
    <cfRule type="containsText" dxfId="317" priority="209" operator="containsText" text="SP">
      <formula>NOT(ISERROR(SEARCH("SP",AQ6)))</formula>
    </cfRule>
    <cfRule type="containsText" dxfId="316" priority="210" operator="containsText" text="NL">
      <formula>NOT(ISERROR(SEARCH("NL",AQ6)))</formula>
    </cfRule>
    <cfRule type="containsText" dxfId="315" priority="213" operator="containsText" text="FL">
      <formula>NOT(ISERROR(SEARCH("FL",AQ6)))</formula>
    </cfRule>
    <cfRule type="containsText" dxfId="314" priority="212" operator="containsText" text="SUS">
      <formula>NOT(ISERROR(SEARCH("SUS",AQ6)))</formula>
    </cfRule>
  </conditionalFormatting>
  <conditionalFormatting sqref="AQ9:AR10">
    <cfRule type="containsText" dxfId="313" priority="206" operator="containsText" text="SICK">
      <formula>NOT(ISERROR(SEARCH("SICK",AQ9)))</formula>
    </cfRule>
    <cfRule type="containsText" dxfId="312" priority="202" operator="containsText" text="SUS">
      <formula>NOT(ISERROR(SEARCH("SUS",AQ9)))</formula>
    </cfRule>
    <cfRule type="containsText" dxfId="311" priority="203" operator="containsText" text="FL">
      <formula>NOT(ISERROR(SEARCH("FL",AQ9)))</formula>
    </cfRule>
    <cfRule type="containsText" dxfId="310" priority="205" operator="containsText" text="AB">
      <formula>NOT(ISERROR(SEARCH("AB",AQ9)))</formula>
    </cfRule>
    <cfRule type="containsText" dxfId="309" priority="207" operator="containsText" text="AL">
      <formula>NOT(ISERROR(SEARCH("AL",AQ9)))</formula>
    </cfRule>
    <cfRule type="containsText" dxfId="308" priority="200" operator="containsText" text="NL">
      <formula>NOT(ISERROR(SEARCH("NL",AQ9)))</formula>
    </cfRule>
    <cfRule type="containsText" dxfId="307" priority="199" operator="containsText" text="SP">
      <formula>NOT(ISERROR(SEARCH("SP",AQ9)))</formula>
    </cfRule>
    <cfRule type="containsText" dxfId="306" priority="198" operator="containsText" text="EL">
      <formula>NOT(ISERROR(SEARCH("EL",AQ9)))</formula>
    </cfRule>
    <cfRule type="containsText" dxfId="305" priority="204" operator="containsText" text="OFF">
      <formula>NOT(ISERROR(SEARCH("OFF",AQ9)))</formula>
    </cfRule>
    <cfRule type="containsText" dxfId="304" priority="201" operator="containsText" text="MC">
      <formula>NOT(ISERROR(SEARCH("MC",AQ9)))</formula>
    </cfRule>
  </conditionalFormatting>
  <conditionalFormatting sqref="AQ18:AR18">
    <cfRule type="containsText" dxfId="303" priority="191" operator="containsText" text="MC">
      <formula>NOT(ISERROR(SEARCH("MC",AQ18)))</formula>
    </cfRule>
    <cfRule type="containsText" dxfId="302" priority="190" operator="containsText" text="NL">
      <formula>NOT(ISERROR(SEARCH("NL",AQ18)))</formula>
    </cfRule>
    <cfRule type="containsText" dxfId="301" priority="189" operator="containsText" text="SP">
      <formula>NOT(ISERROR(SEARCH("SP",AQ18)))</formula>
    </cfRule>
    <cfRule type="containsText" dxfId="300" priority="188" operator="containsText" text="EL">
      <formula>NOT(ISERROR(SEARCH("EL",AQ18)))</formula>
    </cfRule>
    <cfRule type="containsText" dxfId="299" priority="194" operator="containsText" text="OFF">
      <formula>NOT(ISERROR(SEARCH("OFF",AQ18)))</formula>
    </cfRule>
    <cfRule type="containsText" dxfId="298" priority="196" operator="containsText" text="SICK">
      <formula>NOT(ISERROR(SEARCH("SICK",AQ18)))</formula>
    </cfRule>
    <cfRule type="containsText" dxfId="297" priority="197" operator="containsText" text="AL">
      <formula>NOT(ISERROR(SEARCH("AL",AQ18)))</formula>
    </cfRule>
    <cfRule type="containsText" dxfId="296" priority="192" operator="containsText" text="SUS">
      <formula>NOT(ISERROR(SEARCH("SUS",AQ18)))</formula>
    </cfRule>
    <cfRule type="containsText" dxfId="295" priority="193" operator="containsText" text="FL">
      <formula>NOT(ISERROR(SEARCH("FL",AQ18)))</formula>
    </cfRule>
    <cfRule type="containsText" dxfId="294" priority="195" operator="containsText" text="AB">
      <formula>NOT(ISERROR(SEARCH("AB",AQ18)))</formula>
    </cfRule>
  </conditionalFormatting>
  <conditionalFormatting sqref="AQ20:AR21">
    <cfRule type="containsText" dxfId="293" priority="185" operator="containsText" text="AB">
      <formula>NOT(ISERROR(SEARCH("AB",AQ20)))</formula>
    </cfRule>
    <cfRule type="containsText" dxfId="292" priority="187" operator="containsText" text="AL">
      <formula>NOT(ISERROR(SEARCH("AL",AQ20)))</formula>
    </cfRule>
    <cfRule type="containsText" dxfId="291" priority="186" operator="containsText" text="SICK">
      <formula>NOT(ISERROR(SEARCH("SICK",AQ20)))</formula>
    </cfRule>
    <cfRule type="containsText" dxfId="290" priority="184" operator="containsText" text="OFF">
      <formula>NOT(ISERROR(SEARCH("OFF",AQ20)))</formula>
    </cfRule>
    <cfRule type="containsText" dxfId="289" priority="183" operator="containsText" text="FL">
      <formula>NOT(ISERROR(SEARCH("FL",AQ20)))</formula>
    </cfRule>
    <cfRule type="containsText" dxfId="288" priority="181" operator="containsText" text="MC">
      <formula>NOT(ISERROR(SEARCH("MC",AQ20)))</formula>
    </cfRule>
    <cfRule type="containsText" dxfId="287" priority="180" operator="containsText" text="NL">
      <formula>NOT(ISERROR(SEARCH("NL",AQ20)))</formula>
    </cfRule>
    <cfRule type="containsText" dxfId="286" priority="179" operator="containsText" text="SP">
      <formula>NOT(ISERROR(SEARCH("SP",AQ20)))</formula>
    </cfRule>
    <cfRule type="containsText" dxfId="285" priority="178" operator="containsText" text="EL">
      <formula>NOT(ISERROR(SEARCH("EL",AQ20)))</formula>
    </cfRule>
    <cfRule type="containsText" dxfId="284" priority="182" operator="containsText" text="SUS">
      <formula>NOT(ISERROR(SEARCH("SUS",AQ20)))</formula>
    </cfRule>
  </conditionalFormatting>
  <conditionalFormatting sqref="AQ23:AR23">
    <cfRule type="containsText" dxfId="283" priority="177" operator="containsText" text="AL">
      <formula>NOT(ISERROR(SEARCH("AL",AQ23)))</formula>
    </cfRule>
    <cfRule type="containsText" dxfId="282" priority="176" operator="containsText" text="SICK">
      <formula>NOT(ISERROR(SEARCH("SICK",AQ23)))</formula>
    </cfRule>
    <cfRule type="containsText" dxfId="281" priority="175" operator="containsText" text="AB">
      <formula>NOT(ISERROR(SEARCH("AB",AQ23)))</formula>
    </cfRule>
    <cfRule type="containsText" dxfId="280" priority="174" operator="containsText" text="OFF">
      <formula>NOT(ISERROR(SEARCH("OFF",AQ23)))</formula>
    </cfRule>
    <cfRule type="containsText" dxfId="279" priority="173" operator="containsText" text="FL">
      <formula>NOT(ISERROR(SEARCH("FL",AQ23)))</formula>
    </cfRule>
    <cfRule type="containsText" dxfId="278" priority="172" operator="containsText" text="SUS">
      <formula>NOT(ISERROR(SEARCH("SUS",AQ23)))</formula>
    </cfRule>
    <cfRule type="containsText" dxfId="277" priority="171" operator="containsText" text="MC">
      <formula>NOT(ISERROR(SEARCH("MC",AQ23)))</formula>
    </cfRule>
    <cfRule type="containsText" dxfId="276" priority="170" operator="containsText" text="NL">
      <formula>NOT(ISERROR(SEARCH("NL",AQ23)))</formula>
    </cfRule>
    <cfRule type="containsText" dxfId="275" priority="169" operator="containsText" text="SP">
      <formula>NOT(ISERROR(SEARCH("SP",AQ23)))</formula>
    </cfRule>
    <cfRule type="containsText" dxfId="274" priority="168" operator="containsText" text="EL">
      <formula>NOT(ISERROR(SEARCH("EL",AQ23)))</formula>
    </cfRule>
  </conditionalFormatting>
  <conditionalFormatting sqref="AQ28:AR28">
    <cfRule type="containsText" dxfId="273" priority="153" operator="containsText" text="FL">
      <formula>NOT(ISERROR(SEARCH("FL",AQ28)))</formula>
    </cfRule>
    <cfRule type="containsText" dxfId="272" priority="148" operator="containsText" text="EL">
      <formula>NOT(ISERROR(SEARCH("EL",AQ28)))</formula>
    </cfRule>
    <cfRule type="containsText" dxfId="271" priority="149" operator="containsText" text="SP">
      <formula>NOT(ISERROR(SEARCH("SP",AQ28)))</formula>
    </cfRule>
    <cfRule type="containsText" dxfId="270" priority="151" operator="containsText" text="MC">
      <formula>NOT(ISERROR(SEARCH("MC",AQ28)))</formula>
    </cfRule>
    <cfRule type="containsText" dxfId="269" priority="150" operator="containsText" text="NL">
      <formula>NOT(ISERROR(SEARCH("NL",AQ28)))</formula>
    </cfRule>
    <cfRule type="containsText" dxfId="268" priority="152" operator="containsText" text="SUS">
      <formula>NOT(ISERROR(SEARCH("SUS",AQ28)))</formula>
    </cfRule>
    <cfRule type="containsText" dxfId="267" priority="154" operator="containsText" text="OFF">
      <formula>NOT(ISERROR(SEARCH("OFF",AQ28)))</formula>
    </cfRule>
    <cfRule type="containsText" dxfId="266" priority="155" operator="containsText" text="AB">
      <formula>NOT(ISERROR(SEARCH("AB",AQ28)))</formula>
    </cfRule>
    <cfRule type="containsText" dxfId="265" priority="156" operator="containsText" text="SICK">
      <formula>NOT(ISERROR(SEARCH("SICK",AQ28)))</formula>
    </cfRule>
    <cfRule type="containsText" dxfId="264" priority="157" operator="containsText" text="AL">
      <formula>NOT(ISERROR(SEARCH("AL",AQ28)))</formula>
    </cfRule>
  </conditionalFormatting>
  <conditionalFormatting sqref="AQ32:AR32">
    <cfRule type="containsText" dxfId="263" priority="141" operator="containsText" text="MC">
      <formula>NOT(ISERROR(SEARCH("MC",AQ32)))</formula>
    </cfRule>
    <cfRule type="containsText" dxfId="262" priority="140" operator="containsText" text="NL">
      <formula>NOT(ISERROR(SEARCH("NL",AQ32)))</formula>
    </cfRule>
    <cfRule type="containsText" dxfId="261" priority="139" operator="containsText" text="SP">
      <formula>NOT(ISERROR(SEARCH("SP",AQ32)))</formula>
    </cfRule>
    <cfRule type="containsText" dxfId="260" priority="138" operator="containsText" text="EL">
      <formula>NOT(ISERROR(SEARCH("EL",AQ32)))</formula>
    </cfRule>
    <cfRule type="containsText" dxfId="259" priority="145" operator="containsText" text="AB">
      <formula>NOT(ISERROR(SEARCH("AB",AQ32)))</formula>
    </cfRule>
    <cfRule type="containsText" dxfId="258" priority="146" operator="containsText" text="SICK">
      <formula>NOT(ISERROR(SEARCH("SICK",AQ32)))</formula>
    </cfRule>
    <cfRule type="containsText" dxfId="257" priority="147" operator="containsText" text="AL">
      <formula>NOT(ISERROR(SEARCH("AL",AQ32)))</formula>
    </cfRule>
    <cfRule type="containsText" dxfId="256" priority="143" operator="containsText" text="FL">
      <formula>NOT(ISERROR(SEARCH("FL",AQ32)))</formula>
    </cfRule>
    <cfRule type="containsText" dxfId="255" priority="142" operator="containsText" text="SUS">
      <formula>NOT(ISERROR(SEARCH("SUS",AQ32)))</formula>
    </cfRule>
    <cfRule type="containsText" dxfId="254" priority="144" operator="containsText" text="OFF">
      <formula>NOT(ISERROR(SEARCH("OFF",AQ32)))</formula>
    </cfRule>
  </conditionalFormatting>
  <conditionalFormatting sqref="AQ34:AR35">
    <cfRule type="containsText" dxfId="253" priority="137" operator="containsText" text="AL">
      <formula>NOT(ISERROR(SEARCH("AL",AQ34)))</formula>
    </cfRule>
    <cfRule type="containsText" dxfId="252" priority="135" operator="containsText" text="AB">
      <formula>NOT(ISERROR(SEARCH("AB",AQ34)))</formula>
    </cfRule>
    <cfRule type="containsText" dxfId="251" priority="134" operator="containsText" text="OFF">
      <formula>NOT(ISERROR(SEARCH("OFF",AQ34)))</formula>
    </cfRule>
    <cfRule type="containsText" dxfId="250" priority="133" operator="containsText" text="FL">
      <formula>NOT(ISERROR(SEARCH("FL",AQ34)))</formula>
    </cfRule>
    <cfRule type="containsText" dxfId="249" priority="132" operator="containsText" text="SUS">
      <formula>NOT(ISERROR(SEARCH("SUS",AQ34)))</formula>
    </cfRule>
    <cfRule type="containsText" dxfId="248" priority="131" operator="containsText" text="MC">
      <formula>NOT(ISERROR(SEARCH("MC",AQ34)))</formula>
    </cfRule>
    <cfRule type="containsText" dxfId="247" priority="129" operator="containsText" text="SP">
      <formula>NOT(ISERROR(SEARCH("SP",AQ34)))</formula>
    </cfRule>
    <cfRule type="containsText" dxfId="246" priority="130" operator="containsText" text="NL">
      <formula>NOT(ISERROR(SEARCH("NL",AQ34)))</formula>
    </cfRule>
    <cfRule type="containsText" dxfId="245" priority="128" operator="containsText" text="EL">
      <formula>NOT(ISERROR(SEARCH("EL",AQ34)))</formula>
    </cfRule>
    <cfRule type="containsText" dxfId="244" priority="136" operator="containsText" text="SICK">
      <formula>NOT(ISERROR(SEARCH("SICK",AQ34)))</formula>
    </cfRule>
  </conditionalFormatting>
  <conditionalFormatting sqref="AQ25:AZ25">
    <cfRule type="containsText" dxfId="243" priority="117" operator="containsText" text="AL">
      <formula>NOT(ISERROR(SEARCH("AL",AQ25)))</formula>
    </cfRule>
    <cfRule type="containsText" dxfId="242" priority="116" operator="containsText" text="SICK">
      <formula>NOT(ISERROR(SEARCH("SICK",AQ25)))</formula>
    </cfRule>
    <cfRule type="containsText" dxfId="241" priority="115" operator="containsText" text="AB">
      <formula>NOT(ISERROR(SEARCH("AB",AQ25)))</formula>
    </cfRule>
    <cfRule type="containsText" dxfId="240" priority="114" operator="containsText" text="OFF">
      <formula>NOT(ISERROR(SEARCH("OFF",AQ25)))</formula>
    </cfRule>
    <cfRule type="containsText" dxfId="239" priority="113" operator="containsText" text="FL">
      <formula>NOT(ISERROR(SEARCH("FL",AQ25)))</formula>
    </cfRule>
    <cfRule type="containsText" dxfId="238" priority="112" operator="containsText" text="SUS">
      <formula>NOT(ISERROR(SEARCH("SUS",AQ25)))</formula>
    </cfRule>
    <cfRule type="containsText" dxfId="237" priority="111" operator="containsText" text="MC">
      <formula>NOT(ISERROR(SEARCH("MC",AQ25)))</formula>
    </cfRule>
    <cfRule type="containsText" dxfId="236" priority="110" operator="containsText" text="NL">
      <formula>NOT(ISERROR(SEARCH("NL",AQ25)))</formula>
    </cfRule>
    <cfRule type="containsText" dxfId="235" priority="109" operator="containsText" text="SP">
      <formula>NOT(ISERROR(SEARCH("SP",AQ25)))</formula>
    </cfRule>
    <cfRule type="containsText" dxfId="234" priority="108" operator="containsText" text="EL">
      <formula>NOT(ISERROR(SEARCH("EL",AQ25)))</formula>
    </cfRule>
  </conditionalFormatting>
  <conditionalFormatting sqref="AW59:AX59">
    <cfRule type="containsText" dxfId="233" priority="402" operator="containsText" text="MC">
      <formula>NOT(ISERROR(SEARCH("MC",AW59)))</formula>
    </cfRule>
    <cfRule type="containsText" dxfId="232" priority="401" operator="containsText" text="NL">
      <formula>NOT(ISERROR(SEARCH("NL",AW59)))</formula>
    </cfRule>
    <cfRule type="containsText" dxfId="231" priority="399" operator="containsText" text="EL">
      <formula>NOT(ISERROR(SEARCH("EL",AW59)))</formula>
    </cfRule>
    <cfRule type="containsText" dxfId="230" priority="405" operator="containsText" text="OFF">
      <formula>NOT(ISERROR(SEARCH("OFF",AW59)))</formula>
    </cfRule>
    <cfRule type="containsText" dxfId="229" priority="404" operator="containsText" text="FL">
      <formula>NOT(ISERROR(SEARCH("FL",AW59)))</formula>
    </cfRule>
    <cfRule type="containsText" dxfId="228" priority="403" operator="containsText" text="SUS">
      <formula>NOT(ISERROR(SEARCH("SUS",AW59)))</formula>
    </cfRule>
    <cfRule type="containsText" dxfId="227" priority="406" operator="containsText" text="AB">
      <formula>NOT(ISERROR(SEARCH("AB",AW59)))</formula>
    </cfRule>
    <cfRule type="containsText" dxfId="226" priority="407" operator="containsText" text="SICK">
      <formula>NOT(ISERROR(SEARCH("SICK",AW59)))</formula>
    </cfRule>
    <cfRule type="containsText" dxfId="225" priority="408" operator="containsText" text="AL">
      <formula>NOT(ISERROR(SEARCH("AL",AW59)))</formula>
    </cfRule>
    <cfRule type="containsText" dxfId="224" priority="400" operator="containsText" text="SP">
      <formula>NOT(ISERROR(SEARCH("SP",AW59)))</formula>
    </cfRule>
  </conditionalFormatting>
  <conditionalFormatting sqref="BC57:BF57">
    <cfRule type="containsText" dxfId="223" priority="1218" operator="containsText" text="SICK">
      <formula>NOT(ISERROR(SEARCH("SICK",BC57)))</formula>
    </cfRule>
    <cfRule type="containsText" dxfId="222" priority="1217" operator="containsText" text="AB">
      <formula>NOT(ISERROR(SEARCH("AB",BC57)))</formula>
    </cfRule>
    <cfRule type="cellIs" dxfId="221" priority="1216" operator="between">
      <formula>0.0625</formula>
      <formula>0.1875</formula>
    </cfRule>
    <cfRule type="containsText" dxfId="220" priority="1215" operator="containsText" text="AL">
      <formula>NOT(ISERROR(SEARCH("AL",BC57)))</formula>
    </cfRule>
  </conditionalFormatting>
  <conditionalFormatting sqref="BE5:BF5">
    <cfRule type="containsText" dxfId="219" priority="86" operator="containsText" text="SICK">
      <formula>NOT(ISERROR(SEARCH("SICK",BE5)))</formula>
    </cfRule>
    <cfRule type="containsText" dxfId="218" priority="87" operator="containsText" text="AL">
      <formula>NOT(ISERROR(SEARCH("AL",BE5)))</formula>
    </cfRule>
    <cfRule type="containsText" dxfId="217" priority="78" operator="containsText" text="EL">
      <formula>NOT(ISERROR(SEARCH("EL",BE5)))</formula>
    </cfRule>
    <cfRule type="containsText" dxfId="216" priority="81" operator="containsText" text="MC">
      <formula>NOT(ISERROR(SEARCH("MC",BE5)))</formula>
    </cfRule>
    <cfRule type="containsText" dxfId="215" priority="79" operator="containsText" text="SP">
      <formula>NOT(ISERROR(SEARCH("SP",BE5)))</formula>
    </cfRule>
    <cfRule type="containsText" dxfId="214" priority="80" operator="containsText" text="NL">
      <formula>NOT(ISERROR(SEARCH("NL",BE5)))</formula>
    </cfRule>
    <cfRule type="containsText" dxfId="213" priority="82" operator="containsText" text="SUS">
      <formula>NOT(ISERROR(SEARCH("SUS",BE5)))</formula>
    </cfRule>
    <cfRule type="containsText" dxfId="212" priority="83" operator="containsText" text="FL">
      <formula>NOT(ISERROR(SEARCH("FL",BE5)))</formula>
    </cfRule>
    <cfRule type="containsText" dxfId="211" priority="84" operator="containsText" text="OFF">
      <formula>NOT(ISERROR(SEARCH("OFF",BE5)))</formula>
    </cfRule>
    <cfRule type="containsText" dxfId="210" priority="85" operator="containsText" text="AB">
      <formula>NOT(ISERROR(SEARCH("AB",BE5)))</formula>
    </cfRule>
  </conditionalFormatting>
  <conditionalFormatting sqref="BE7:BF7 E26:F26 BE60:BF60">
    <cfRule type="containsText" dxfId="209" priority="373" operator="containsText" text="FL">
      <formula>NOT(ISERROR(SEARCH("FL",E7)))</formula>
    </cfRule>
    <cfRule type="containsText" dxfId="208" priority="375" operator="containsText" text="AB">
      <formula>NOT(ISERROR(SEARCH("AB",E7)))</formula>
    </cfRule>
    <cfRule type="containsText" dxfId="207" priority="372" operator="containsText" text="SUS">
      <formula>NOT(ISERROR(SEARCH("SUS",E7)))</formula>
    </cfRule>
    <cfRule type="containsText" dxfId="206" priority="371" operator="containsText" text="MC">
      <formula>NOT(ISERROR(SEARCH("MC",E7)))</formula>
    </cfRule>
    <cfRule type="containsText" dxfId="205" priority="368" operator="containsText" text="EL">
      <formula>NOT(ISERROR(SEARCH("EL",E7)))</formula>
    </cfRule>
    <cfRule type="containsText" dxfId="204" priority="374" operator="containsText" text="OFF">
      <formula>NOT(ISERROR(SEARCH("OFF",E7)))</formula>
    </cfRule>
    <cfRule type="containsText" dxfId="203" priority="377" operator="containsText" text="AL">
      <formula>NOT(ISERROR(SEARCH("AL",E7)))</formula>
    </cfRule>
    <cfRule type="containsText" dxfId="202" priority="376" operator="containsText" text="SICK">
      <formula>NOT(ISERROR(SEARCH("SICK",E7)))</formula>
    </cfRule>
    <cfRule type="containsText" dxfId="201" priority="370" operator="containsText" text="NL">
      <formula>NOT(ISERROR(SEARCH("NL",E7)))</formula>
    </cfRule>
    <cfRule type="containsText" dxfId="200" priority="369" operator="containsText" text="SP">
      <formula>NOT(ISERROR(SEARCH("SP",E7)))</formula>
    </cfRule>
  </conditionalFormatting>
  <conditionalFormatting sqref="BE16:BF17 BE19:BF19">
    <cfRule type="containsText" dxfId="199" priority="107" operator="containsText" text="AL">
      <formula>NOT(ISERROR(SEARCH("AL",BE16)))</formula>
    </cfRule>
    <cfRule type="containsText" dxfId="198" priority="106" operator="containsText" text="SICK">
      <formula>NOT(ISERROR(SEARCH("SICK",BE16)))</formula>
    </cfRule>
    <cfRule type="containsText" dxfId="197" priority="105" operator="containsText" text="AB">
      <formula>NOT(ISERROR(SEARCH("AB",BE16)))</formula>
    </cfRule>
    <cfRule type="containsText" dxfId="196" priority="98" operator="containsText" text="EL">
      <formula>NOT(ISERROR(SEARCH("EL",BE16)))</formula>
    </cfRule>
    <cfRule type="containsText" dxfId="195" priority="99" operator="containsText" text="SP">
      <formula>NOT(ISERROR(SEARCH("SP",BE16)))</formula>
    </cfRule>
    <cfRule type="containsText" dxfId="194" priority="100" operator="containsText" text="NL">
      <formula>NOT(ISERROR(SEARCH("NL",BE16)))</formula>
    </cfRule>
    <cfRule type="containsText" dxfId="193" priority="101" operator="containsText" text="MC">
      <formula>NOT(ISERROR(SEARCH("MC",BE16)))</formula>
    </cfRule>
    <cfRule type="containsText" dxfId="192" priority="102" operator="containsText" text="SUS">
      <formula>NOT(ISERROR(SEARCH("SUS",BE16)))</formula>
    </cfRule>
    <cfRule type="containsText" dxfId="191" priority="104" operator="containsText" text="OFF">
      <formula>NOT(ISERROR(SEARCH("OFF",BE16)))</formula>
    </cfRule>
    <cfRule type="containsText" dxfId="190" priority="103" operator="containsText" text="FL">
      <formula>NOT(ISERROR(SEARCH("FL",BE16)))</formula>
    </cfRule>
  </conditionalFormatting>
  <conditionalFormatting sqref="BE22:BF22">
    <cfRule type="containsText" dxfId="189" priority="69" operator="containsText" text="SP">
      <formula>NOT(ISERROR(SEARCH("SP",BE22)))</formula>
    </cfRule>
    <cfRule type="containsText" dxfId="188" priority="70" operator="containsText" text="NL">
      <formula>NOT(ISERROR(SEARCH("NL",BE22)))</formula>
    </cfRule>
    <cfRule type="containsText" dxfId="187" priority="71" operator="containsText" text="MC">
      <formula>NOT(ISERROR(SEARCH("MC",BE22)))</formula>
    </cfRule>
    <cfRule type="containsText" dxfId="186" priority="72" operator="containsText" text="SUS">
      <formula>NOT(ISERROR(SEARCH("SUS",BE22)))</formula>
    </cfRule>
    <cfRule type="containsText" dxfId="185" priority="73" operator="containsText" text="FL">
      <formula>NOT(ISERROR(SEARCH("FL",BE22)))</formula>
    </cfRule>
    <cfRule type="containsText" dxfId="184" priority="74" operator="containsText" text="OFF">
      <formula>NOT(ISERROR(SEARCH("OFF",BE22)))</formula>
    </cfRule>
    <cfRule type="containsText" dxfId="183" priority="77" operator="containsText" text="AL">
      <formula>NOT(ISERROR(SEARCH("AL",BE22)))</formula>
    </cfRule>
    <cfRule type="containsText" dxfId="182" priority="75" operator="containsText" text="AB">
      <formula>NOT(ISERROR(SEARCH("AB",BE22)))</formula>
    </cfRule>
    <cfRule type="containsText" dxfId="181" priority="76" operator="containsText" text="SICK">
      <formula>NOT(ISERROR(SEARCH("SICK",BE22)))</formula>
    </cfRule>
    <cfRule type="containsText" dxfId="180" priority="68" operator="containsText" text="EL">
      <formula>NOT(ISERROR(SEARCH("EL",BE22)))</formula>
    </cfRule>
  </conditionalFormatting>
  <conditionalFormatting sqref="BE27:BF27">
    <cfRule type="containsText" dxfId="179" priority="66" operator="containsText" text="SICK">
      <formula>NOT(ISERROR(SEARCH("SICK",BE27)))</formula>
    </cfRule>
    <cfRule type="containsText" dxfId="178" priority="58" operator="containsText" text="EL">
      <formula>NOT(ISERROR(SEARCH("EL",BE27)))</formula>
    </cfRule>
    <cfRule type="containsText" dxfId="177" priority="60" operator="containsText" text="NL">
      <formula>NOT(ISERROR(SEARCH("NL",BE27)))</formula>
    </cfRule>
    <cfRule type="containsText" dxfId="176" priority="59" operator="containsText" text="SP">
      <formula>NOT(ISERROR(SEARCH("SP",BE27)))</formula>
    </cfRule>
    <cfRule type="containsText" dxfId="175" priority="67" operator="containsText" text="AL">
      <formula>NOT(ISERROR(SEARCH("AL",BE27)))</formula>
    </cfRule>
    <cfRule type="containsText" dxfId="174" priority="61" operator="containsText" text="MC">
      <formula>NOT(ISERROR(SEARCH("MC",BE27)))</formula>
    </cfRule>
    <cfRule type="containsText" dxfId="173" priority="65" operator="containsText" text="AB">
      <formula>NOT(ISERROR(SEARCH("AB",BE27)))</formula>
    </cfRule>
    <cfRule type="containsText" dxfId="172" priority="64" operator="containsText" text="OFF">
      <formula>NOT(ISERROR(SEARCH("OFF",BE27)))</formula>
    </cfRule>
    <cfRule type="containsText" dxfId="171" priority="63" operator="containsText" text="FL">
      <formula>NOT(ISERROR(SEARCH("FL",BE27)))</formula>
    </cfRule>
    <cfRule type="containsText" dxfId="170" priority="62" operator="containsText" text="SUS">
      <formula>NOT(ISERROR(SEARCH("SUS",BE27)))</formula>
    </cfRule>
  </conditionalFormatting>
  <conditionalFormatting sqref="BE29:BF31 BE33:BF33">
    <cfRule type="containsText" dxfId="169" priority="48" operator="containsText" text="EL">
      <formula>NOT(ISERROR(SEARCH("EL",BE29)))</formula>
    </cfRule>
    <cfRule type="containsText" dxfId="168" priority="52" operator="containsText" text="SUS">
      <formula>NOT(ISERROR(SEARCH("SUS",BE29)))</formula>
    </cfRule>
    <cfRule type="containsText" dxfId="167" priority="51" operator="containsText" text="MC">
      <formula>NOT(ISERROR(SEARCH("MC",BE29)))</formula>
    </cfRule>
    <cfRule type="containsText" dxfId="166" priority="57" operator="containsText" text="AL">
      <formula>NOT(ISERROR(SEARCH("AL",BE29)))</formula>
    </cfRule>
    <cfRule type="containsText" dxfId="165" priority="50" operator="containsText" text="NL">
      <formula>NOT(ISERROR(SEARCH("NL",BE29)))</formula>
    </cfRule>
    <cfRule type="containsText" dxfId="164" priority="56" operator="containsText" text="SICK">
      <formula>NOT(ISERROR(SEARCH("SICK",BE29)))</formula>
    </cfRule>
    <cfRule type="containsText" dxfId="163" priority="55" operator="containsText" text="AB">
      <formula>NOT(ISERROR(SEARCH("AB",BE29)))</formula>
    </cfRule>
    <cfRule type="containsText" dxfId="162" priority="54" operator="containsText" text="OFF">
      <formula>NOT(ISERROR(SEARCH("OFF",BE29)))</formula>
    </cfRule>
    <cfRule type="containsText" dxfId="161" priority="49" operator="containsText" text="SP">
      <formula>NOT(ISERROR(SEARCH("SP",BE29)))</formula>
    </cfRule>
    <cfRule type="containsText" dxfId="160" priority="53" operator="containsText" text="FL">
      <formula>NOT(ISERROR(SEARCH("FL",BE29)))</formula>
    </cfRule>
  </conditionalFormatting>
  <conditionalFormatting sqref="BE35:BF35">
    <cfRule type="containsText" dxfId="159" priority="39" operator="containsText" text="SP">
      <formula>NOT(ISERROR(SEARCH("SP",BE35)))</formula>
    </cfRule>
    <cfRule type="containsText" dxfId="158" priority="38" operator="containsText" text="EL">
      <formula>NOT(ISERROR(SEARCH("EL",BE35)))</formula>
    </cfRule>
    <cfRule type="containsText" dxfId="157" priority="40" operator="containsText" text="NL">
      <formula>NOT(ISERROR(SEARCH("NL",BE35)))</formula>
    </cfRule>
    <cfRule type="containsText" dxfId="156" priority="45" operator="containsText" text="AB">
      <formula>NOT(ISERROR(SEARCH("AB",BE35)))</formula>
    </cfRule>
    <cfRule type="containsText" dxfId="155" priority="46" operator="containsText" text="SICK">
      <formula>NOT(ISERROR(SEARCH("SICK",BE35)))</formula>
    </cfRule>
    <cfRule type="containsText" dxfId="154" priority="47" operator="containsText" text="AL">
      <formula>NOT(ISERROR(SEARCH("AL",BE35)))</formula>
    </cfRule>
    <cfRule type="containsText" dxfId="153" priority="41" operator="containsText" text="MC">
      <formula>NOT(ISERROR(SEARCH("MC",BE35)))</formula>
    </cfRule>
    <cfRule type="containsText" dxfId="152" priority="42" operator="containsText" text="SUS">
      <formula>NOT(ISERROR(SEARCH("SUS",BE35)))</formula>
    </cfRule>
    <cfRule type="containsText" dxfId="151" priority="43" operator="containsText" text="FL">
      <formula>NOT(ISERROR(SEARCH("FL",BE35)))</formula>
    </cfRule>
    <cfRule type="containsText" dxfId="150" priority="44" operator="containsText" text="OFF">
      <formula>NOT(ISERROR(SEARCH("OFF",BE35)))</formula>
    </cfRule>
  </conditionalFormatting>
  <conditionalFormatting sqref="BG59:BH59">
    <cfRule type="containsText" dxfId="149" priority="397" operator="containsText" text="SICK">
      <formula>NOT(ISERROR(SEARCH("SICK",BG59)))</formula>
    </cfRule>
    <cfRule type="containsText" dxfId="148" priority="396" operator="containsText" text="AB">
      <formula>NOT(ISERROR(SEARCH("AB",BG59)))</formula>
    </cfRule>
    <cfRule type="containsText" dxfId="147" priority="395" operator="containsText" text="OFF">
      <formula>NOT(ISERROR(SEARCH("OFF",BG59)))</formula>
    </cfRule>
    <cfRule type="containsText" dxfId="146" priority="394" operator="containsText" text="FL">
      <formula>NOT(ISERROR(SEARCH("FL",BG59)))</formula>
    </cfRule>
    <cfRule type="containsText" dxfId="145" priority="393" operator="containsText" text="SUS">
      <formula>NOT(ISERROR(SEARCH("SUS",BG59)))</formula>
    </cfRule>
    <cfRule type="containsText" dxfId="144" priority="392" operator="containsText" text="MC">
      <formula>NOT(ISERROR(SEARCH("MC",BG59)))</formula>
    </cfRule>
    <cfRule type="containsText" dxfId="143" priority="390" operator="containsText" text="SP">
      <formula>NOT(ISERROR(SEARCH("SP",BG59)))</formula>
    </cfRule>
    <cfRule type="containsText" dxfId="142" priority="391" operator="containsText" text="NL">
      <formula>NOT(ISERROR(SEARCH("NL",BG59)))</formula>
    </cfRule>
    <cfRule type="containsText" dxfId="141" priority="389" operator="containsText" text="EL">
      <formula>NOT(ISERROR(SEARCH("EL",BG59)))</formula>
    </cfRule>
    <cfRule type="containsText" dxfId="140" priority="398" operator="containsText" text="AL">
      <formula>NOT(ISERROR(SEARCH("AL",BG59)))</formula>
    </cfRule>
  </conditionalFormatting>
  <conditionalFormatting sqref="BP5:BP6 BP8:BP10 AU56:BN56 BI57:BN57 BP58 BP60">
    <cfRule type="containsText" dxfId="139" priority="1522" operator="containsText" text="SICK">
      <formula>NOT(ISERROR(SEARCH("SICK",AU5)))</formula>
    </cfRule>
    <cfRule type="containsText" dxfId="138" priority="1521" operator="containsText" text="AB">
      <formula>NOT(ISERROR(SEARCH("AB",AU5)))</formula>
    </cfRule>
  </conditionalFormatting>
  <conditionalFormatting sqref="BP7">
    <cfRule type="cellIs" dxfId="137" priority="33" stopIfTrue="1" operator="equal">
      <formula>";"</formula>
    </cfRule>
  </conditionalFormatting>
  <conditionalFormatting sqref="BP59">
    <cfRule type="cellIs" dxfId="136" priority="423" operator="equal">
      <formula>";"</formula>
    </cfRule>
  </conditionalFormatting>
  <conditionalFormatting sqref="BR4:BX4">
    <cfRule type="containsText" dxfId="135" priority="1074" operator="containsText" text="FL">
      <formula>NOT(ISERROR(SEARCH("FL",BR4)))</formula>
    </cfRule>
    <cfRule type="containsText" dxfId="134" priority="1075" operator="containsText" text="OFF">
      <formula>NOT(ISERROR(SEARCH("OFF",BR4)))</formula>
    </cfRule>
    <cfRule type="containsText" dxfId="133" priority="1076" operator="containsText" text="AB">
      <formula>NOT(ISERROR(SEARCH("AB",BR4)))</formula>
    </cfRule>
    <cfRule type="containsText" dxfId="132" priority="1077" operator="containsText" text="SICK">
      <formula>NOT(ISERROR(SEARCH("SICK",BR4)))</formula>
    </cfRule>
    <cfRule type="containsText" dxfId="131" priority="1078" operator="containsText" text="AL">
      <formula>NOT(ISERROR(SEARCH("AL",BR4)))</formula>
    </cfRule>
    <cfRule type="containsText" dxfId="130" priority="1070" operator="containsText" text="SP">
      <formula>NOT(ISERROR(SEARCH("SP",BR4)))</formula>
    </cfRule>
    <cfRule type="containsText" dxfId="129" priority="1069" operator="containsText" text="EL">
      <formula>NOT(ISERROR(SEARCH("EL",BR4)))</formula>
    </cfRule>
    <cfRule type="containsText" dxfId="128" priority="1071" operator="containsText" text="NL">
      <formula>NOT(ISERROR(SEARCH("NL",BR4)))</formula>
    </cfRule>
    <cfRule type="containsText" dxfId="127" priority="1072" operator="containsText" text="MC">
      <formula>NOT(ISERROR(SEARCH("MC",BR4)))</formula>
    </cfRule>
    <cfRule type="containsText" dxfId="126" priority="1073" operator="containsText" text="SUS">
      <formula>NOT(ISERROR(SEARCH("SUS",BR4)))</formula>
    </cfRule>
  </conditionalFormatting>
  <conditionalFormatting sqref="BR15:BX15">
    <cfRule type="containsText" dxfId="125" priority="1059" operator="containsText" text="EL">
      <formula>NOT(ISERROR(SEARCH("EL",BR15)))</formula>
    </cfRule>
    <cfRule type="containsText" dxfId="124" priority="1060" operator="containsText" text="SP">
      <formula>NOT(ISERROR(SEARCH("SP",BR15)))</formula>
    </cfRule>
    <cfRule type="containsText" dxfId="123" priority="1068" operator="containsText" text="AL">
      <formula>NOT(ISERROR(SEARCH("AL",BR15)))</formula>
    </cfRule>
    <cfRule type="containsText" dxfId="122" priority="1067" operator="containsText" text="SICK">
      <formula>NOT(ISERROR(SEARCH("SICK",BR15)))</formula>
    </cfRule>
    <cfRule type="containsText" dxfId="121" priority="1066" operator="containsText" text="AB">
      <formula>NOT(ISERROR(SEARCH("AB",BR15)))</formula>
    </cfRule>
    <cfRule type="containsText" dxfId="120" priority="1061" operator="containsText" text="NL">
      <formula>NOT(ISERROR(SEARCH("NL",BR15)))</formula>
    </cfRule>
    <cfRule type="containsText" dxfId="119" priority="1062" operator="containsText" text="MC">
      <formula>NOT(ISERROR(SEARCH("MC",BR15)))</formula>
    </cfRule>
    <cfRule type="containsText" dxfId="118" priority="1063" operator="containsText" text="SUS">
      <formula>NOT(ISERROR(SEARCH("SUS",BR15)))</formula>
    </cfRule>
    <cfRule type="containsText" dxfId="117" priority="1064" operator="containsText" text="FL">
      <formula>NOT(ISERROR(SEARCH("FL",BR15)))</formula>
    </cfRule>
    <cfRule type="containsText" dxfId="116" priority="1065" operator="containsText" text="OFF">
      <formula>NOT(ISERROR(SEARCH("OFF",BR15)))</formula>
    </cfRule>
  </conditionalFormatting>
  <conditionalFormatting sqref="BZ4">
    <cfRule type="containsText" dxfId="115" priority="1055" operator="containsText" text="OFF">
      <formula>NOT(ISERROR(SEARCH("OFF",BZ4)))</formula>
    </cfRule>
    <cfRule type="containsText" dxfId="114" priority="1054" operator="containsText" text="FL">
      <formula>NOT(ISERROR(SEARCH("FL",BZ4)))</formula>
    </cfRule>
    <cfRule type="containsText" dxfId="113" priority="1052" operator="containsText" text="MC">
      <formula>NOT(ISERROR(SEARCH("MC",BZ4)))</formula>
    </cfRule>
    <cfRule type="containsText" dxfId="112" priority="1051" operator="containsText" text="NL">
      <formula>NOT(ISERROR(SEARCH("NL",BZ4)))</formula>
    </cfRule>
    <cfRule type="containsText" dxfId="111" priority="1058" operator="containsText" text="AL">
      <formula>NOT(ISERROR(SEARCH("AL",BZ4)))</formula>
    </cfRule>
    <cfRule type="containsText" dxfId="110" priority="1057" operator="containsText" text="SICK">
      <formula>NOT(ISERROR(SEARCH("SICK",BZ4)))</formula>
    </cfRule>
    <cfRule type="containsText" dxfId="109" priority="1056" operator="containsText" text="AB">
      <formula>NOT(ISERROR(SEARCH("AB",BZ4)))</formula>
    </cfRule>
    <cfRule type="containsText" dxfId="108" priority="1053" operator="containsText" text="SUS">
      <formula>NOT(ISERROR(SEARCH("SUS",BZ4)))</formula>
    </cfRule>
  </conditionalFormatting>
  <conditionalFormatting sqref="BZ15">
    <cfRule type="containsText" dxfId="107" priority="1047" operator="containsText" text="SICK">
      <formula>NOT(ISERROR(SEARCH("SICK",BZ15)))</formula>
    </cfRule>
    <cfRule type="containsText" dxfId="106" priority="1048" operator="containsText" text="AL">
      <formula>NOT(ISERROR(SEARCH("AL",BZ15)))</formula>
    </cfRule>
    <cfRule type="containsText" dxfId="105" priority="1046" operator="containsText" text="AB">
      <formula>NOT(ISERROR(SEARCH("AB",BZ15)))</formula>
    </cfRule>
    <cfRule type="containsText" dxfId="104" priority="1045" operator="containsText" text="OFF">
      <formula>NOT(ISERROR(SEARCH("OFF",BZ15)))</formula>
    </cfRule>
    <cfRule type="containsText" dxfId="103" priority="1044" operator="containsText" text="FL">
      <formula>NOT(ISERROR(SEARCH("FL",BZ15)))</formula>
    </cfRule>
    <cfRule type="containsText" dxfId="102" priority="1043" operator="containsText" text="SUS">
      <formula>NOT(ISERROR(SEARCH("SUS",BZ15)))</formula>
    </cfRule>
    <cfRule type="containsText" dxfId="101" priority="1042" operator="containsText" text="MC">
      <formula>NOT(ISERROR(SEARCH("MC",BZ15)))</formula>
    </cfRule>
    <cfRule type="containsText" dxfId="100" priority="1041" operator="containsText" text="NL">
      <formula>NOT(ISERROR(SEARCH("NL",BZ15)))</formula>
    </cfRule>
  </conditionalFormatting>
  <conditionalFormatting sqref="BZ4:CA4">
    <cfRule type="containsText" dxfId="99" priority="1020" operator="containsText" text="SP">
      <formula>NOT(ISERROR(SEARCH("SP",BZ4)))</formula>
    </cfRule>
  </conditionalFormatting>
  <conditionalFormatting sqref="BZ15:CA15">
    <cfRule type="containsText" dxfId="98" priority="1010" operator="containsText" text="SP">
      <formula>NOT(ISERROR(SEARCH("SP",BZ15)))</formula>
    </cfRule>
  </conditionalFormatting>
  <conditionalFormatting sqref="BZ4:CB4">
    <cfRule type="containsText" dxfId="97" priority="999" operator="containsText" text="EL">
      <formula>NOT(ISERROR(SEARCH("EL",BZ4)))</formula>
    </cfRule>
  </conditionalFormatting>
  <conditionalFormatting sqref="BZ15:CB15">
    <cfRule type="containsText" dxfId="96" priority="989" operator="containsText" text="EL">
      <formula>NOT(ISERROR(SEARCH("EL",BZ15)))</formula>
    </cfRule>
  </conditionalFormatting>
  <conditionalFormatting sqref="CA4">
    <cfRule type="containsText" dxfId="95" priority="1026" operator="containsText" text="AB">
      <formula>NOT(ISERROR(SEARCH("AB",CA4)))</formula>
    </cfRule>
    <cfRule type="containsText" dxfId="94" priority="1023" operator="containsText" text="SUS">
      <formula>NOT(ISERROR(SEARCH("SUS",CA4)))</formula>
    </cfRule>
    <cfRule type="containsText" dxfId="93" priority="1027" operator="containsText" text="SICK">
      <formula>NOT(ISERROR(SEARCH("SICK",CA4)))</formula>
    </cfRule>
    <cfRule type="containsText" dxfId="92" priority="1024" operator="containsText" text="FL">
      <formula>NOT(ISERROR(SEARCH("FL",CA4)))</formula>
    </cfRule>
    <cfRule type="containsText" dxfId="91" priority="1022" operator="containsText" text="MC">
      <formula>NOT(ISERROR(SEARCH("MC",CA4)))</formula>
    </cfRule>
    <cfRule type="containsText" dxfId="90" priority="1021" operator="containsText" text="NL">
      <formula>NOT(ISERROR(SEARCH("NL",CA4)))</formula>
    </cfRule>
    <cfRule type="containsText" dxfId="89" priority="1028" operator="containsText" text="AL">
      <formula>NOT(ISERROR(SEARCH("AL",CA4)))</formula>
    </cfRule>
    <cfRule type="containsText" dxfId="88" priority="1025" operator="containsText" text="OFF">
      <formula>NOT(ISERROR(SEARCH("OFF",CA4)))</formula>
    </cfRule>
  </conditionalFormatting>
  <conditionalFormatting sqref="CA15">
    <cfRule type="containsText" dxfId="87" priority="1011" operator="containsText" text="NL">
      <formula>NOT(ISERROR(SEARCH("NL",CA15)))</formula>
    </cfRule>
    <cfRule type="containsText" dxfId="86" priority="1016" operator="containsText" text="AB">
      <formula>NOT(ISERROR(SEARCH("AB",CA15)))</formula>
    </cfRule>
    <cfRule type="containsText" dxfId="85" priority="1015" operator="containsText" text="OFF">
      <formula>NOT(ISERROR(SEARCH("OFF",CA15)))</formula>
    </cfRule>
    <cfRule type="containsText" dxfId="84" priority="1014" operator="containsText" text="FL">
      <formula>NOT(ISERROR(SEARCH("FL",CA15)))</formula>
    </cfRule>
    <cfRule type="containsText" dxfId="83" priority="1013" operator="containsText" text="SUS">
      <formula>NOT(ISERROR(SEARCH("SUS",CA15)))</formula>
    </cfRule>
    <cfRule type="containsText" dxfId="82" priority="1012" operator="containsText" text="MC">
      <formula>NOT(ISERROR(SEARCH("MC",CA15)))</formula>
    </cfRule>
    <cfRule type="containsText" dxfId="81" priority="1018" operator="containsText" text="AL">
      <formula>NOT(ISERROR(SEARCH("AL",CA15)))</formula>
    </cfRule>
    <cfRule type="containsText" dxfId="80" priority="1017" operator="containsText" text="SICK">
      <formula>NOT(ISERROR(SEARCH("SICK",CA15)))</formula>
    </cfRule>
  </conditionalFormatting>
  <conditionalFormatting sqref="CB4">
    <cfRule type="containsText" dxfId="79" priority="1002" operator="containsText" text="MC">
      <formula>NOT(ISERROR(SEARCH("MC",CB4)))</formula>
    </cfRule>
    <cfRule type="containsText" dxfId="78" priority="1001" operator="containsText" text="NL">
      <formula>NOT(ISERROR(SEARCH("NL",CB4)))</formula>
    </cfRule>
    <cfRule type="containsText" dxfId="77" priority="1000" operator="containsText" text="SP">
      <formula>NOT(ISERROR(SEARCH("SP",CB4)))</formula>
    </cfRule>
    <cfRule type="containsText" dxfId="76" priority="1008" operator="containsText" text="AL">
      <formula>NOT(ISERROR(SEARCH("AL",CB4)))</formula>
    </cfRule>
    <cfRule type="containsText" dxfId="75" priority="1007" operator="containsText" text="SICK">
      <formula>NOT(ISERROR(SEARCH("SICK",CB4)))</formula>
    </cfRule>
    <cfRule type="containsText" dxfId="74" priority="1006" operator="containsText" text="AB">
      <formula>NOT(ISERROR(SEARCH("AB",CB4)))</formula>
    </cfRule>
    <cfRule type="containsText" dxfId="73" priority="1005" operator="containsText" text="OFF">
      <formula>NOT(ISERROR(SEARCH("OFF",CB4)))</formula>
    </cfRule>
    <cfRule type="containsText" dxfId="72" priority="1003" operator="containsText" text="SUS">
      <formula>NOT(ISERROR(SEARCH("SUS",CB4)))</formula>
    </cfRule>
    <cfRule type="containsText" dxfId="71" priority="1004" operator="containsText" text="FL">
      <formula>NOT(ISERROR(SEARCH("FL",CB4)))</formula>
    </cfRule>
  </conditionalFormatting>
  <conditionalFormatting sqref="CB15">
    <cfRule type="containsText" dxfId="70" priority="998" operator="containsText" text="AL">
      <formula>NOT(ISERROR(SEARCH("AL",CB15)))</formula>
    </cfRule>
    <cfRule type="containsText" dxfId="69" priority="997" operator="containsText" text="SICK">
      <formula>NOT(ISERROR(SEARCH("SICK",CB15)))</formula>
    </cfRule>
    <cfRule type="containsText" dxfId="68" priority="995" operator="containsText" text="OFF">
      <formula>NOT(ISERROR(SEARCH("OFF",CB15)))</formula>
    </cfRule>
    <cfRule type="containsText" dxfId="67" priority="994" operator="containsText" text="FL">
      <formula>NOT(ISERROR(SEARCH("FL",CB15)))</formula>
    </cfRule>
    <cfRule type="containsText" dxfId="66" priority="993" operator="containsText" text="SUS">
      <formula>NOT(ISERROR(SEARCH("SUS",CB15)))</formula>
    </cfRule>
    <cfRule type="containsText" dxfId="65" priority="992" operator="containsText" text="MC">
      <formula>NOT(ISERROR(SEARCH("MC",CB15)))</formula>
    </cfRule>
    <cfRule type="containsText" dxfId="64" priority="991" operator="containsText" text="NL">
      <formula>NOT(ISERROR(SEARCH("NL",CB15)))</formula>
    </cfRule>
    <cfRule type="containsText" dxfId="63" priority="996" operator="containsText" text="AB">
      <formula>NOT(ISERROR(SEARCH("AB",CB15)))</formula>
    </cfRule>
    <cfRule type="containsText" dxfId="62" priority="990" operator="containsText" text="SP">
      <formula>NOT(ISERROR(SEARCH("SP",CB15)))</formula>
    </cfRule>
  </conditionalFormatting>
  <pageMargins left="0.7" right="0.7" top="0.75" bottom="0.75" header="0.3" footer="0.3"/>
  <pageSetup paperSize="9" scale="2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2BD6-A66C-48AC-AAF8-BAF3E30F6BDA}">
  <sheetPr>
    <pageSetUpPr fitToPage="1"/>
  </sheetPr>
  <dimension ref="A1:CP24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W16" sqref="W16"/>
    </sheetView>
  </sheetViews>
  <sheetFormatPr defaultRowHeight="15" x14ac:dyDescent="0.25"/>
  <cols>
    <col min="1" max="1" width="5" customWidth="1"/>
    <col min="2" max="2" width="10.85546875" style="20" customWidth="1"/>
    <col min="3" max="3" width="29.140625" customWidth="1"/>
    <col min="4" max="4" width="13.7109375" hidden="1" customWidth="1"/>
    <col min="5" max="32" width="6.42578125" customWidth="1"/>
    <col min="33" max="33" width="6.28515625" customWidth="1"/>
    <col min="34" max="34" width="6.42578125" customWidth="1"/>
    <col min="35" max="40" width="6.140625" customWidth="1"/>
    <col min="41" max="48" width="6.42578125" customWidth="1"/>
    <col min="49" max="49" width="10.7109375" customWidth="1"/>
    <col min="50" max="66" width="6.42578125" customWidth="1"/>
    <col min="67" max="67" width="5" customWidth="1"/>
    <col min="68" max="80" width="5.140625" customWidth="1"/>
    <col min="81" max="81" width="30.140625" customWidth="1"/>
    <col min="84" max="93" width="7.140625" customWidth="1"/>
  </cols>
  <sheetData>
    <row r="1" spans="1:94" ht="18.75" customHeight="1" x14ac:dyDescent="0.25">
      <c r="A1" s="122" t="s">
        <v>114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</row>
    <row r="2" spans="1:94" ht="18.75" customHeight="1" x14ac:dyDescent="0.25">
      <c r="A2" s="126" t="s">
        <v>0</v>
      </c>
      <c r="B2" s="126"/>
      <c r="C2" s="126"/>
      <c r="D2" s="75"/>
      <c r="E2" s="121" t="s">
        <v>6</v>
      </c>
      <c r="F2" s="121"/>
      <c r="G2" s="121" t="s">
        <v>7</v>
      </c>
      <c r="H2" s="121"/>
      <c r="I2" s="121" t="s">
        <v>1</v>
      </c>
      <c r="J2" s="121"/>
      <c r="K2" s="121" t="s">
        <v>2</v>
      </c>
      <c r="L2" s="121"/>
      <c r="M2" s="121" t="s">
        <v>3</v>
      </c>
      <c r="N2" s="121"/>
      <c r="O2" s="121" t="s">
        <v>4</v>
      </c>
      <c r="P2" s="121"/>
      <c r="Q2" s="121" t="s">
        <v>5</v>
      </c>
      <c r="R2" s="121"/>
      <c r="S2" s="121" t="s">
        <v>6</v>
      </c>
      <c r="T2" s="121"/>
      <c r="U2" s="121" t="s">
        <v>7</v>
      </c>
      <c r="V2" s="121"/>
      <c r="W2" s="121" t="s">
        <v>1</v>
      </c>
      <c r="X2" s="121"/>
      <c r="Y2" s="121" t="s">
        <v>2</v>
      </c>
      <c r="Z2" s="121"/>
      <c r="AA2" s="121" t="s">
        <v>3</v>
      </c>
      <c r="AB2" s="121"/>
      <c r="AC2" s="121" t="s">
        <v>4</v>
      </c>
      <c r="AD2" s="121"/>
      <c r="AE2" s="121" t="s">
        <v>5</v>
      </c>
      <c r="AF2" s="121"/>
      <c r="AG2" s="121" t="s">
        <v>6</v>
      </c>
      <c r="AH2" s="121"/>
      <c r="AI2" s="121" t="s">
        <v>7</v>
      </c>
      <c r="AJ2" s="121"/>
      <c r="AK2" s="121" t="s">
        <v>1</v>
      </c>
      <c r="AL2" s="121"/>
      <c r="AM2" s="121" t="s">
        <v>2</v>
      </c>
      <c r="AN2" s="121"/>
      <c r="CF2" s="128" t="s">
        <v>87</v>
      </c>
      <c r="CG2" s="128"/>
      <c r="CH2" s="128"/>
      <c r="CI2" s="128"/>
      <c r="CJ2" s="128"/>
      <c r="CK2" s="128"/>
      <c r="CL2" s="128"/>
      <c r="CM2" s="128"/>
      <c r="CN2" s="128"/>
      <c r="CO2" s="128"/>
      <c r="CP2" s="19"/>
    </row>
    <row r="3" spans="1:94" ht="18.75" customHeight="1" x14ac:dyDescent="0.25">
      <c r="A3" s="126"/>
      <c r="B3" s="126"/>
      <c r="C3" s="126"/>
      <c r="D3" s="75"/>
      <c r="E3" s="125">
        <v>46174</v>
      </c>
      <c r="F3" s="125"/>
      <c r="G3" s="125">
        <v>46175</v>
      </c>
      <c r="H3" s="125"/>
      <c r="I3" s="125">
        <v>46176</v>
      </c>
      <c r="J3" s="125"/>
      <c r="K3" s="125">
        <v>46177</v>
      </c>
      <c r="L3" s="125"/>
      <c r="M3" s="125">
        <v>46178</v>
      </c>
      <c r="N3" s="125"/>
      <c r="O3" s="125">
        <v>46179</v>
      </c>
      <c r="P3" s="125"/>
      <c r="Q3" s="125">
        <v>46180</v>
      </c>
      <c r="R3" s="125"/>
      <c r="S3" s="125">
        <v>46181</v>
      </c>
      <c r="T3" s="125"/>
      <c r="U3" s="125">
        <v>46182</v>
      </c>
      <c r="V3" s="125"/>
      <c r="W3" s="125">
        <v>46183</v>
      </c>
      <c r="X3" s="125"/>
      <c r="Y3" s="125">
        <v>46184</v>
      </c>
      <c r="Z3" s="125"/>
      <c r="AA3" s="125">
        <v>46185</v>
      </c>
      <c r="AB3" s="125"/>
      <c r="AC3" s="125">
        <v>46186</v>
      </c>
      <c r="AD3" s="125"/>
      <c r="AE3" s="125">
        <v>46187</v>
      </c>
      <c r="AF3" s="125"/>
      <c r="AG3" s="125">
        <v>46188</v>
      </c>
      <c r="AH3" s="125"/>
      <c r="AI3" s="125">
        <v>46189</v>
      </c>
      <c r="AJ3" s="125"/>
      <c r="AK3" s="125">
        <v>46190</v>
      </c>
      <c r="AL3" s="125"/>
      <c r="AM3" s="125">
        <v>46191</v>
      </c>
      <c r="AN3" s="125"/>
      <c r="CF3" s="55" t="s">
        <v>105</v>
      </c>
      <c r="CG3" s="55"/>
      <c r="CH3" s="55"/>
      <c r="CI3" s="55"/>
      <c r="CJ3" s="55"/>
      <c r="CK3" s="55"/>
      <c r="CL3" s="55"/>
      <c r="CM3" s="55"/>
      <c r="CN3" s="55"/>
      <c r="CO3" s="55"/>
      <c r="CP3" s="19"/>
    </row>
    <row r="4" spans="1:94" ht="18.75" customHeight="1" x14ac:dyDescent="0.25">
      <c r="A4" s="4" t="s">
        <v>10</v>
      </c>
      <c r="B4" s="4" t="s">
        <v>11</v>
      </c>
      <c r="C4" s="4" t="s">
        <v>12</v>
      </c>
      <c r="D4" s="4"/>
      <c r="E4" s="12" t="s">
        <v>13</v>
      </c>
      <c r="F4" s="12" t="s">
        <v>14</v>
      </c>
      <c r="G4" s="12" t="s">
        <v>13</v>
      </c>
      <c r="H4" s="12" t="s">
        <v>14</v>
      </c>
      <c r="I4" s="12" t="s">
        <v>13</v>
      </c>
      <c r="J4" s="12" t="s">
        <v>14</v>
      </c>
      <c r="K4" s="12" t="s">
        <v>13</v>
      </c>
      <c r="L4" s="12" t="s">
        <v>14</v>
      </c>
      <c r="M4" s="12" t="s">
        <v>13</v>
      </c>
      <c r="N4" s="12" t="s">
        <v>14</v>
      </c>
      <c r="O4" s="12" t="s">
        <v>13</v>
      </c>
      <c r="P4" s="12" t="s">
        <v>14</v>
      </c>
      <c r="Q4" s="12" t="s">
        <v>13</v>
      </c>
      <c r="R4" s="12" t="s">
        <v>14</v>
      </c>
      <c r="S4" s="12" t="s">
        <v>13</v>
      </c>
      <c r="T4" s="12" t="s">
        <v>14</v>
      </c>
      <c r="U4" s="12" t="s">
        <v>13</v>
      </c>
      <c r="V4" s="12" t="s">
        <v>14</v>
      </c>
      <c r="W4" s="12" t="s">
        <v>13</v>
      </c>
      <c r="X4" s="12" t="s">
        <v>14</v>
      </c>
      <c r="Y4" s="12" t="s">
        <v>13</v>
      </c>
      <c r="Z4" s="12" t="s">
        <v>14</v>
      </c>
      <c r="AA4" s="12" t="s">
        <v>13</v>
      </c>
      <c r="AB4" s="12" t="s">
        <v>14</v>
      </c>
      <c r="AC4" s="12" t="s">
        <v>13</v>
      </c>
      <c r="AD4" s="12" t="s">
        <v>14</v>
      </c>
      <c r="AE4" s="12" t="s">
        <v>13</v>
      </c>
      <c r="AF4" s="12" t="s">
        <v>14</v>
      </c>
      <c r="AG4" s="12" t="s">
        <v>13</v>
      </c>
      <c r="AH4" s="12" t="s">
        <v>14</v>
      </c>
      <c r="AI4" s="52" t="s">
        <v>13</v>
      </c>
      <c r="AJ4" s="52" t="s">
        <v>14</v>
      </c>
      <c r="AK4" s="52" t="s">
        <v>13</v>
      </c>
      <c r="AL4" s="52" t="s">
        <v>14</v>
      </c>
      <c r="AM4" s="52" t="s">
        <v>13</v>
      </c>
      <c r="AN4" s="52" t="s">
        <v>14</v>
      </c>
      <c r="CF4" s="56" t="s">
        <v>16</v>
      </c>
      <c r="CG4" s="57" t="s">
        <v>17</v>
      </c>
      <c r="CH4" s="57" t="s">
        <v>18</v>
      </c>
      <c r="CI4" s="57" t="s">
        <v>19</v>
      </c>
      <c r="CJ4" s="57" t="s">
        <v>20</v>
      </c>
      <c r="CK4" s="57" t="s">
        <v>21</v>
      </c>
      <c r="CL4" s="57" t="s">
        <v>22</v>
      </c>
      <c r="CM4" s="57" t="s">
        <v>23</v>
      </c>
      <c r="CN4" s="57" t="s">
        <v>24</v>
      </c>
      <c r="CO4" s="57" t="s">
        <v>25</v>
      </c>
      <c r="CP4" s="58" t="s">
        <v>88</v>
      </c>
    </row>
    <row r="5" spans="1:94" ht="22.5" customHeight="1" x14ac:dyDescent="0.25">
      <c r="A5" s="7">
        <v>1</v>
      </c>
      <c r="B5" s="8" t="str">
        <f>'[1]Hulhumale Staffs_ Sep 2025'!B8</f>
        <v>MAD0457</v>
      </c>
      <c r="C5" s="108" t="s">
        <v>30</v>
      </c>
      <c r="D5" s="109">
        <v>44887</v>
      </c>
      <c r="E5" s="66">
        <v>0.34375</v>
      </c>
      <c r="F5" s="66">
        <v>0.93402777777777779</v>
      </c>
      <c r="G5" s="66">
        <v>0.32222222222222224</v>
      </c>
      <c r="H5" s="98">
        <v>1</v>
      </c>
      <c r="I5" s="66">
        <v>0.3576388888888889</v>
      </c>
      <c r="J5" s="66">
        <v>0.9159722222222223</v>
      </c>
      <c r="K5" s="66">
        <v>0.35625000000000001</v>
      </c>
      <c r="L5" s="66">
        <v>0.93194444444444446</v>
      </c>
      <c r="M5" s="99">
        <v>0.53263888888888888</v>
      </c>
      <c r="N5" s="99">
        <v>0.875</v>
      </c>
      <c r="O5" s="66">
        <v>0.32500000000000001</v>
      </c>
      <c r="P5" s="66">
        <v>4.6527777777777779E-2</v>
      </c>
      <c r="Q5" s="66">
        <v>0.33958333333333335</v>
      </c>
      <c r="R5" s="66">
        <v>0.90486111111111101</v>
      </c>
      <c r="S5" s="66">
        <v>0.33958333333333335</v>
      </c>
      <c r="T5" s="66">
        <v>0.90208333333333324</v>
      </c>
      <c r="U5" s="66">
        <v>0.34027777777777773</v>
      </c>
      <c r="V5" s="66">
        <v>0.90555555555555556</v>
      </c>
      <c r="W5" s="66">
        <v>0.34375</v>
      </c>
      <c r="X5" s="66">
        <v>0.8881944444444444</v>
      </c>
      <c r="Y5" s="66">
        <v>0.34027777777777773</v>
      </c>
      <c r="Z5" s="66">
        <v>0.99236111111111114</v>
      </c>
      <c r="AA5" s="99">
        <v>0.53125</v>
      </c>
      <c r="AB5" s="99">
        <v>0.8666666666666667</v>
      </c>
      <c r="AC5" s="66">
        <v>0.34930555555555554</v>
      </c>
      <c r="AD5" s="66">
        <v>2.7083333333333334E-2</v>
      </c>
      <c r="AE5" s="66">
        <v>0.33958333333333335</v>
      </c>
      <c r="AF5" s="66">
        <v>0.8930555555555556</v>
      </c>
      <c r="AG5" s="66">
        <v>0.34236111111111112</v>
      </c>
      <c r="AH5" s="66">
        <v>0.90486111111111101</v>
      </c>
      <c r="AI5" s="77">
        <v>0.33680555555555558</v>
      </c>
      <c r="AJ5" s="77">
        <v>0.33680555555555558</v>
      </c>
      <c r="AK5" s="77">
        <v>0.34166666666666662</v>
      </c>
      <c r="AL5" s="77">
        <v>0.91805555555555562</v>
      </c>
      <c r="AM5" s="77">
        <v>0.3527777777777778</v>
      </c>
      <c r="AN5" s="77">
        <v>7.4305555555555555E-2</v>
      </c>
      <c r="CF5" s="60">
        <v>0</v>
      </c>
      <c r="CG5" s="60">
        <v>0</v>
      </c>
      <c r="CH5" s="60">
        <v>0</v>
      </c>
      <c r="CI5" s="60">
        <v>0</v>
      </c>
      <c r="CJ5" s="60">
        <v>0</v>
      </c>
      <c r="CK5" s="60">
        <v>0</v>
      </c>
      <c r="CL5" s="60">
        <v>0</v>
      </c>
      <c r="CM5" s="60">
        <v>0</v>
      </c>
      <c r="CN5" s="60">
        <v>0</v>
      </c>
      <c r="CO5" s="60">
        <v>0</v>
      </c>
      <c r="CP5" s="64">
        <f t="shared" ref="CP5" si="0">SUM(CF5:CO5)</f>
        <v>0</v>
      </c>
    </row>
    <row r="6" spans="1:94" ht="16.5" x14ac:dyDescent="0.25">
      <c r="A6" s="9"/>
      <c r="B6" s="1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1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71"/>
      <c r="BO6" s="72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</row>
    <row r="7" spans="1:94" x14ac:dyDescent="0.25">
      <c r="AK7" s="118"/>
    </row>
    <row r="8" spans="1:94" ht="18.75" customHeight="1" x14ac:dyDescent="0.25">
      <c r="E8" s="122" t="s">
        <v>113</v>
      </c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BO8" s="40" t="s">
        <v>75</v>
      </c>
      <c r="BP8" s="41"/>
      <c r="BQ8" s="41"/>
      <c r="BR8" s="42" t="s">
        <v>15</v>
      </c>
      <c r="BS8" s="43"/>
      <c r="BT8" s="44" t="s">
        <v>76</v>
      </c>
      <c r="BU8" s="45"/>
      <c r="BV8" s="45"/>
      <c r="BW8" s="46"/>
      <c r="BX8" s="47" t="s">
        <v>21</v>
      </c>
    </row>
    <row r="9" spans="1:94" ht="18.75" customHeight="1" x14ac:dyDescent="0.25">
      <c r="E9" s="129" t="s">
        <v>3</v>
      </c>
      <c r="F9" s="130"/>
      <c r="G9" s="129" t="s">
        <v>4</v>
      </c>
      <c r="H9" s="130"/>
      <c r="I9" s="129" t="s">
        <v>5</v>
      </c>
      <c r="J9" s="130"/>
      <c r="K9" s="129" t="s">
        <v>6</v>
      </c>
      <c r="L9" s="130"/>
      <c r="M9" s="129" t="s">
        <v>7</v>
      </c>
      <c r="N9" s="130"/>
      <c r="O9" s="129" t="s">
        <v>1</v>
      </c>
      <c r="P9" s="130"/>
      <c r="Q9" s="129" t="s">
        <v>2</v>
      </c>
      <c r="R9" s="130"/>
      <c r="S9" s="129" t="s">
        <v>3</v>
      </c>
      <c r="T9" s="130"/>
      <c r="U9" s="129" t="s">
        <v>4</v>
      </c>
      <c r="V9" s="130"/>
      <c r="W9" s="121" t="s">
        <v>5</v>
      </c>
      <c r="X9" s="121"/>
      <c r="Y9" s="121" t="s">
        <v>6</v>
      </c>
      <c r="Z9" s="121"/>
      <c r="AA9" s="121" t="s">
        <v>7</v>
      </c>
      <c r="AB9" s="121"/>
      <c r="AC9" s="121" t="s">
        <v>1</v>
      </c>
      <c r="AD9" s="121"/>
      <c r="AE9" s="121" t="s">
        <v>2</v>
      </c>
      <c r="AF9" s="121"/>
      <c r="AG9" s="121" t="s">
        <v>3</v>
      </c>
      <c r="AH9" s="121"/>
      <c r="AI9" s="123" t="s">
        <v>8</v>
      </c>
      <c r="AJ9" s="123" t="s">
        <v>9</v>
      </c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BO9" s="40" t="s">
        <v>77</v>
      </c>
      <c r="BP9" s="41"/>
      <c r="BQ9" s="41"/>
      <c r="BR9" s="42" t="s">
        <v>16</v>
      </c>
      <c r="BS9" s="43"/>
      <c r="BT9" s="48" t="s">
        <v>78</v>
      </c>
      <c r="BU9" s="49"/>
      <c r="BV9" s="49"/>
      <c r="BW9" s="46"/>
      <c r="BX9" s="47" t="s">
        <v>22</v>
      </c>
    </row>
    <row r="10" spans="1:94" ht="18.75" customHeight="1" x14ac:dyDescent="0.25">
      <c r="E10" s="131">
        <v>46192</v>
      </c>
      <c r="F10" s="132"/>
      <c r="G10" s="131">
        <v>46193</v>
      </c>
      <c r="H10" s="132"/>
      <c r="I10" s="131">
        <v>46194</v>
      </c>
      <c r="J10" s="132"/>
      <c r="K10" s="131">
        <v>46195</v>
      </c>
      <c r="L10" s="132"/>
      <c r="M10" s="131">
        <v>46196</v>
      </c>
      <c r="N10" s="132"/>
      <c r="O10" s="131">
        <v>46197</v>
      </c>
      <c r="P10" s="132"/>
      <c r="Q10" s="131">
        <v>46198</v>
      </c>
      <c r="R10" s="132"/>
      <c r="S10" s="131">
        <v>46199</v>
      </c>
      <c r="T10" s="132"/>
      <c r="U10" s="131">
        <v>46200</v>
      </c>
      <c r="V10" s="132"/>
      <c r="W10" s="125">
        <v>46201</v>
      </c>
      <c r="X10" s="125"/>
      <c r="Y10" s="125">
        <v>46202</v>
      </c>
      <c r="Z10" s="125"/>
      <c r="AA10" s="125">
        <v>46203</v>
      </c>
      <c r="AB10" s="125"/>
      <c r="AC10" s="125">
        <v>46204</v>
      </c>
      <c r="AD10" s="125"/>
      <c r="AE10" s="125">
        <v>46205</v>
      </c>
      <c r="AF10" s="125"/>
      <c r="AG10" s="125">
        <v>46206</v>
      </c>
      <c r="AH10" s="125"/>
      <c r="AI10" s="123"/>
      <c r="AJ10" s="123"/>
      <c r="AK10" s="1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3"/>
      <c r="BO10" s="40" t="s">
        <v>79</v>
      </c>
      <c r="BP10" s="41"/>
      <c r="BQ10" s="41"/>
      <c r="BR10" s="42" t="s">
        <v>17</v>
      </c>
      <c r="BS10" s="43"/>
      <c r="BT10" s="48" t="s">
        <v>80</v>
      </c>
      <c r="BU10" s="49"/>
      <c r="BV10" s="49"/>
      <c r="BW10" s="46"/>
      <c r="BX10" s="47" t="s">
        <v>23</v>
      </c>
    </row>
    <row r="11" spans="1:94" ht="18.75" customHeight="1" x14ac:dyDescent="0.25">
      <c r="E11" s="52" t="s">
        <v>13</v>
      </c>
      <c r="F11" s="52" t="s">
        <v>14</v>
      </c>
      <c r="G11" s="52" t="s">
        <v>13</v>
      </c>
      <c r="H11" s="52" t="s">
        <v>14</v>
      </c>
      <c r="I11" s="12" t="s">
        <v>13</v>
      </c>
      <c r="J11" s="12" t="s">
        <v>14</v>
      </c>
      <c r="K11" s="12" t="s">
        <v>13</v>
      </c>
      <c r="L11" s="12" t="s">
        <v>14</v>
      </c>
      <c r="M11" s="12" t="s">
        <v>13</v>
      </c>
      <c r="N11" s="12" t="s">
        <v>14</v>
      </c>
      <c r="O11" s="12" t="s">
        <v>13</v>
      </c>
      <c r="P11" s="12" t="s">
        <v>14</v>
      </c>
      <c r="Q11" s="12" t="s">
        <v>13</v>
      </c>
      <c r="R11" s="12" t="s">
        <v>14</v>
      </c>
      <c r="S11" s="12" t="s">
        <v>13</v>
      </c>
      <c r="T11" s="12" t="s">
        <v>14</v>
      </c>
      <c r="U11" s="12" t="s">
        <v>13</v>
      </c>
      <c r="V11" s="12" t="s">
        <v>14</v>
      </c>
      <c r="W11" s="12" t="s">
        <v>13</v>
      </c>
      <c r="X11" s="12" t="s">
        <v>14</v>
      </c>
      <c r="Y11" s="12" t="s">
        <v>13</v>
      </c>
      <c r="Z11" s="12" t="s">
        <v>14</v>
      </c>
      <c r="AA11" s="12" t="s">
        <v>13</v>
      </c>
      <c r="AB11" s="12" t="s">
        <v>14</v>
      </c>
      <c r="AC11" s="12" t="s">
        <v>13</v>
      </c>
      <c r="AD11" s="12" t="s">
        <v>14</v>
      </c>
      <c r="AE11" s="12" t="s">
        <v>13</v>
      </c>
      <c r="AF11" s="12" t="s">
        <v>14</v>
      </c>
      <c r="AG11" s="12" t="s">
        <v>13</v>
      </c>
      <c r="AH11" s="12" t="s">
        <v>14</v>
      </c>
      <c r="AI11" s="123"/>
      <c r="AJ11" s="123"/>
      <c r="AK11" s="5"/>
      <c r="AL11" s="79" t="s">
        <v>15</v>
      </c>
      <c r="AM11" s="79" t="s">
        <v>16</v>
      </c>
      <c r="AN11" s="79" t="s">
        <v>17</v>
      </c>
      <c r="AO11" s="79" t="s">
        <v>18</v>
      </c>
      <c r="AP11" s="79" t="s">
        <v>19</v>
      </c>
      <c r="AQ11" s="79" t="s">
        <v>20</v>
      </c>
      <c r="AR11" s="79" t="s">
        <v>102</v>
      </c>
      <c r="AS11" s="50" t="s">
        <v>22</v>
      </c>
      <c r="AT11" s="79" t="s">
        <v>23</v>
      </c>
      <c r="AU11" s="79" t="s">
        <v>24</v>
      </c>
      <c r="AV11" s="79" t="s">
        <v>25</v>
      </c>
      <c r="AW11" s="6" t="s">
        <v>26</v>
      </c>
      <c r="BO11" s="40" t="s">
        <v>81</v>
      </c>
      <c r="BP11" s="41"/>
      <c r="BQ11" s="41"/>
      <c r="BR11" s="42" t="s">
        <v>18</v>
      </c>
      <c r="BS11" s="43"/>
      <c r="BT11" s="44" t="s">
        <v>82</v>
      </c>
      <c r="BU11" s="45"/>
      <c r="BV11" s="45"/>
      <c r="BW11" s="46"/>
      <c r="BX11" s="47" t="s">
        <v>24</v>
      </c>
    </row>
    <row r="12" spans="1:94" ht="21.75" customHeight="1" x14ac:dyDescent="0.25">
      <c r="E12" s="86">
        <v>0.55069444444444449</v>
      </c>
      <c r="F12" s="86">
        <v>0.95416666666666661</v>
      </c>
      <c r="G12" s="77">
        <v>0.34236111111111112</v>
      </c>
      <c r="H12" s="77">
        <v>0.90277777777777779</v>
      </c>
      <c r="I12" s="77">
        <v>0.3430555555555555</v>
      </c>
      <c r="J12" s="77">
        <v>0.92361111111111116</v>
      </c>
      <c r="K12" s="77">
        <v>0.35069444444444442</v>
      </c>
      <c r="L12" s="77">
        <v>0.87777777777777777</v>
      </c>
      <c r="M12" s="77">
        <v>0.3430555555555555</v>
      </c>
      <c r="N12" s="77">
        <v>0.88750000000000007</v>
      </c>
      <c r="O12" s="77">
        <v>0.35347222222222219</v>
      </c>
      <c r="P12" s="77">
        <v>0.87916666666666676</v>
      </c>
      <c r="Q12" s="77">
        <v>0.34513888888888888</v>
      </c>
      <c r="R12" s="77">
        <v>0.88680555555555562</v>
      </c>
      <c r="S12" s="87" t="s">
        <v>15</v>
      </c>
      <c r="T12" s="87" t="s">
        <v>15</v>
      </c>
      <c r="U12" s="77">
        <v>0.33611111111111108</v>
      </c>
      <c r="V12" s="77">
        <v>0.90625</v>
      </c>
      <c r="W12" s="77">
        <v>0.3430555555555555</v>
      </c>
      <c r="X12" s="77">
        <v>0.88055555555555554</v>
      </c>
      <c r="Y12" s="77">
        <v>0.3444444444444445</v>
      </c>
      <c r="Z12" s="77">
        <v>0.8930555555555556</v>
      </c>
      <c r="AA12" s="77">
        <v>0.3347222222222222</v>
      </c>
      <c r="AB12" s="79">
        <v>1</v>
      </c>
      <c r="AC12" s="79">
        <v>1</v>
      </c>
      <c r="AD12" s="79">
        <v>1</v>
      </c>
      <c r="AE12" s="79">
        <v>1</v>
      </c>
      <c r="AF12" s="79">
        <v>1</v>
      </c>
      <c r="AG12" s="87" t="s">
        <v>15</v>
      </c>
      <c r="AH12" s="87" t="s">
        <v>15</v>
      </c>
      <c r="AI12" s="15">
        <v>33</v>
      </c>
      <c r="AJ12" s="74">
        <v>3</v>
      </c>
      <c r="AK12" s="16">
        <v>33</v>
      </c>
      <c r="AL12" s="2">
        <f>COUNTIF(E5:BN5,"OFF")/2</f>
        <v>0</v>
      </c>
      <c r="AM12" s="17">
        <f>COUNTIF(B5:BE5,"MC")/2</f>
        <v>0</v>
      </c>
      <c r="AN12" s="17">
        <f>COUNTIF(B5:BE5,"EL")/2</f>
        <v>0</v>
      </c>
      <c r="AO12" s="17">
        <f>COUNTIF(B5:BE5,"AL")/2</f>
        <v>0</v>
      </c>
      <c r="AP12" s="17">
        <f>COUNTIF(B5:BE5,"SUS")/2</f>
        <v>0</v>
      </c>
      <c r="AQ12" s="17">
        <f>COUNTIF(B5:BE5,"FL")/2</f>
        <v>0</v>
      </c>
      <c r="AR12" s="17">
        <f>COUNTIF(B5:BE5,"SICK")/2</f>
        <v>0</v>
      </c>
      <c r="AS12" s="17">
        <f>COUNTIF(B5:BE5,"HD")/2</f>
        <v>0</v>
      </c>
      <c r="AT12" s="17">
        <f>COUNTIF(B5:BE5,"AB")/2</f>
        <v>0</v>
      </c>
      <c r="AU12" s="17">
        <f>COUNTIF(B5:BE5,"NL")/2</f>
        <v>0</v>
      </c>
      <c r="AV12" s="17">
        <f>COUNTIF(B5:BE5,"SP")/2</f>
        <v>0</v>
      </c>
      <c r="AW12" s="70"/>
      <c r="BO12" s="40" t="s">
        <v>83</v>
      </c>
      <c r="BP12" s="41"/>
      <c r="BQ12" s="41"/>
      <c r="BR12" s="42" t="s">
        <v>19</v>
      </c>
      <c r="BS12" s="43"/>
      <c r="BT12" s="44" t="s">
        <v>84</v>
      </c>
      <c r="BU12" s="45"/>
      <c r="BV12" s="45"/>
      <c r="BW12" s="46"/>
      <c r="BX12" s="47" t="s">
        <v>25</v>
      </c>
    </row>
    <row r="13" spans="1:94" x14ac:dyDescent="0.25">
      <c r="BP13" s="40" t="s">
        <v>85</v>
      </c>
      <c r="BQ13" s="41"/>
      <c r="BR13" s="41"/>
      <c r="BS13" s="42" t="s">
        <v>20</v>
      </c>
      <c r="BT13" s="43"/>
      <c r="BU13" s="43"/>
      <c r="BV13" s="43"/>
      <c r="BW13" s="43"/>
      <c r="BX13" s="43"/>
      <c r="BY13" s="43"/>
    </row>
    <row r="14" spans="1:94" ht="15.75" x14ac:dyDescent="0.25">
      <c r="H14" s="119" t="s">
        <v>115</v>
      </c>
      <c r="I14" s="119"/>
      <c r="J14" s="119" t="s">
        <v>117</v>
      </c>
      <c r="K14" s="119"/>
      <c r="L14" s="119"/>
      <c r="M14" s="119"/>
      <c r="N14" s="119"/>
      <c r="O14" s="119"/>
      <c r="P14" s="120"/>
      <c r="Q14" s="120"/>
      <c r="R14" s="120"/>
      <c r="S14" s="120"/>
      <c r="AW14" t="s">
        <v>86</v>
      </c>
    </row>
    <row r="15" spans="1:94" ht="15.75" x14ac:dyDescent="0.25">
      <c r="H15" s="119" t="s">
        <v>116</v>
      </c>
      <c r="I15" s="119"/>
      <c r="J15" s="119" t="s">
        <v>118</v>
      </c>
      <c r="K15" s="119"/>
      <c r="L15" s="119"/>
      <c r="M15" s="119"/>
      <c r="N15" s="119"/>
      <c r="O15" s="119"/>
      <c r="P15" s="120"/>
      <c r="Q15" s="120"/>
      <c r="R15" s="120"/>
      <c r="S15" s="120"/>
    </row>
    <row r="18" spans="6:26" ht="15.75" x14ac:dyDescent="0.25">
      <c r="K18" s="24"/>
      <c r="N18" s="25"/>
    </row>
    <row r="19" spans="6:26" ht="15.75" x14ac:dyDescent="0.25">
      <c r="F19" s="28"/>
      <c r="G19" s="29" t="s">
        <v>66</v>
      </c>
      <c r="H19" s="23"/>
      <c r="I19" s="29"/>
      <c r="J19" s="25"/>
      <c r="K19" s="25"/>
      <c r="L19" s="26"/>
      <c r="M19" s="27"/>
      <c r="O19" s="27"/>
      <c r="P19" s="30" t="s">
        <v>67</v>
      </c>
      <c r="Q19" s="30"/>
      <c r="R19" s="26"/>
      <c r="S19" s="26"/>
      <c r="T19" s="26"/>
      <c r="U19" s="26" t="s">
        <v>86</v>
      </c>
      <c r="V19" s="26"/>
      <c r="W19" s="26"/>
      <c r="X19" s="26"/>
      <c r="Y19" s="30" t="s">
        <v>68</v>
      </c>
      <c r="Z19" s="26"/>
    </row>
    <row r="20" spans="6:26" ht="17.25" x14ac:dyDescent="0.25">
      <c r="F20" s="31"/>
      <c r="G20" s="25"/>
      <c r="H20" s="25"/>
      <c r="I20" s="25"/>
      <c r="J20" s="25"/>
      <c r="K20" s="25"/>
      <c r="L20" s="25"/>
      <c r="M20" s="32"/>
      <c r="O20" s="32"/>
      <c r="P20" s="32"/>
      <c r="Q20" s="25"/>
      <c r="R20" s="25"/>
      <c r="S20" s="33"/>
      <c r="T20" s="33"/>
      <c r="U20" s="33"/>
      <c r="V20" s="33"/>
      <c r="W20" s="33"/>
      <c r="X20" s="33"/>
      <c r="Y20" s="34"/>
      <c r="Z20" s="34"/>
    </row>
    <row r="21" spans="6:26" ht="17.25" x14ac:dyDescent="0.25">
      <c r="F21" s="31"/>
      <c r="G21" s="35"/>
      <c r="H21" s="25"/>
      <c r="I21" s="35"/>
      <c r="J21" s="25"/>
      <c r="K21" s="25"/>
      <c r="L21" s="35" t="s">
        <v>86</v>
      </c>
      <c r="M21" s="36"/>
      <c r="O21" s="36"/>
      <c r="P21" s="32"/>
      <c r="Q21" s="25"/>
      <c r="R21" s="35"/>
      <c r="S21" s="26"/>
      <c r="T21" s="25"/>
      <c r="U21" s="25"/>
      <c r="V21" s="25"/>
      <c r="W21" s="25"/>
      <c r="X21" s="25"/>
      <c r="Y21" s="37"/>
      <c r="Z21" s="37"/>
    </row>
    <row r="22" spans="6:26" ht="17.25" x14ac:dyDescent="0.25">
      <c r="F22" s="38"/>
      <c r="G22" s="35"/>
      <c r="H22" s="25"/>
      <c r="I22" s="35"/>
      <c r="J22" s="25"/>
      <c r="K22" s="25"/>
      <c r="L22" s="35"/>
      <c r="M22" s="36"/>
      <c r="O22" s="36"/>
      <c r="P22" s="32"/>
      <c r="Q22" s="26"/>
      <c r="R22" s="35"/>
      <c r="S22" s="26"/>
      <c r="T22" s="25"/>
      <c r="U22" s="25"/>
      <c r="V22" s="25"/>
      <c r="W22" s="25"/>
      <c r="X22" s="25"/>
      <c r="Y22" s="37"/>
      <c r="Z22" s="37"/>
    </row>
    <row r="23" spans="6:26" ht="17.25" x14ac:dyDescent="0.25">
      <c r="F23" s="94" t="s">
        <v>119</v>
      </c>
      <c r="G23" s="39"/>
      <c r="H23" s="28"/>
      <c r="I23" s="94"/>
      <c r="J23" s="90"/>
      <c r="K23" s="90"/>
      <c r="L23" s="89"/>
      <c r="M23" s="92"/>
      <c r="O23" s="91"/>
      <c r="P23" s="95" t="s">
        <v>70</v>
      </c>
      <c r="Q23" s="90"/>
      <c r="R23" s="24"/>
      <c r="S23" s="90"/>
      <c r="T23" s="90"/>
      <c r="U23" s="90"/>
      <c r="V23" s="90"/>
      <c r="W23" s="90"/>
      <c r="X23" s="90"/>
      <c r="Y23" s="95" t="s">
        <v>71</v>
      </c>
      <c r="Z23" s="93"/>
    </row>
    <row r="24" spans="6:26" ht="17.25" x14ac:dyDescent="0.25">
      <c r="F24" s="94"/>
      <c r="G24" s="94" t="s">
        <v>72</v>
      </c>
      <c r="H24" s="88"/>
      <c r="I24" s="88"/>
      <c r="J24" s="90"/>
      <c r="K24" s="90"/>
      <c r="L24" s="95"/>
      <c r="M24" s="96"/>
      <c r="O24" s="96"/>
      <c r="P24" s="95" t="s">
        <v>73</v>
      </c>
      <c r="Q24" s="95"/>
      <c r="R24" s="24"/>
      <c r="S24" s="95"/>
      <c r="T24" s="90"/>
      <c r="U24" s="90"/>
      <c r="V24" s="90"/>
      <c r="W24" s="90"/>
      <c r="X24" s="90"/>
      <c r="Y24" s="95" t="s">
        <v>74</v>
      </c>
      <c r="Z24" s="93"/>
    </row>
  </sheetData>
  <mergeCells count="73">
    <mergeCell ref="Y2:Z2"/>
    <mergeCell ref="AA2:AB2"/>
    <mergeCell ref="AC3:AD3"/>
    <mergeCell ref="U3:V3"/>
    <mergeCell ref="O2:P2"/>
    <mergeCell ref="Q2:R2"/>
    <mergeCell ref="S2:T2"/>
    <mergeCell ref="U2:V2"/>
    <mergeCell ref="W2:X2"/>
    <mergeCell ref="A2:C3"/>
    <mergeCell ref="E2:F2"/>
    <mergeCell ref="G2:H2"/>
    <mergeCell ref="I2:J2"/>
    <mergeCell ref="K2:L2"/>
    <mergeCell ref="CF2:CO2"/>
    <mergeCell ref="E3:F3"/>
    <mergeCell ref="G3:H3"/>
    <mergeCell ref="I3:J3"/>
    <mergeCell ref="K3:L3"/>
    <mergeCell ref="M3:N3"/>
    <mergeCell ref="O3:P3"/>
    <mergeCell ref="Q3:R3"/>
    <mergeCell ref="S3:T3"/>
    <mergeCell ref="AE2:AF2"/>
    <mergeCell ref="AG2:AH2"/>
    <mergeCell ref="AI2:AJ2"/>
    <mergeCell ref="AK2:AL2"/>
    <mergeCell ref="AM2:AN2"/>
    <mergeCell ref="AC2:AD2"/>
    <mergeCell ref="M2:N2"/>
    <mergeCell ref="AE10:AF10"/>
    <mergeCell ref="AG10:AH10"/>
    <mergeCell ref="E8:AW8"/>
    <mergeCell ref="W3:X3"/>
    <mergeCell ref="Y3:Z3"/>
    <mergeCell ref="AA3:AB3"/>
    <mergeCell ref="AE3:AF3"/>
    <mergeCell ref="AG3:AH3"/>
    <mergeCell ref="AJ9:AJ11"/>
    <mergeCell ref="AK9:AW9"/>
    <mergeCell ref="W9:X9"/>
    <mergeCell ref="Y9:Z9"/>
    <mergeCell ref="AA9:AB9"/>
    <mergeCell ref="AI9:AI11"/>
    <mergeCell ref="W10:X10"/>
    <mergeCell ref="AA10:AB10"/>
    <mergeCell ref="M10:N10"/>
    <mergeCell ref="O10:P10"/>
    <mergeCell ref="Q10:R10"/>
    <mergeCell ref="S10:T10"/>
    <mergeCell ref="U10:V10"/>
    <mergeCell ref="Y10:Z10"/>
    <mergeCell ref="O9:P9"/>
    <mergeCell ref="Q9:R9"/>
    <mergeCell ref="AI3:AJ3"/>
    <mergeCell ref="AK3:AL3"/>
    <mergeCell ref="AM3:AN3"/>
    <mergeCell ref="A1:AN1"/>
    <mergeCell ref="E10:F10"/>
    <mergeCell ref="I10:J10"/>
    <mergeCell ref="G10:H10"/>
    <mergeCell ref="K10:L10"/>
    <mergeCell ref="AC10:AD10"/>
    <mergeCell ref="AE9:AF9"/>
    <mergeCell ref="AG9:AH9"/>
    <mergeCell ref="S9:T9"/>
    <mergeCell ref="U9:V9"/>
    <mergeCell ref="AC9:AD9"/>
    <mergeCell ref="E9:F9"/>
    <mergeCell ref="G9:H9"/>
    <mergeCell ref="I9:J9"/>
    <mergeCell ref="K9:L9"/>
    <mergeCell ref="M9:N9"/>
  </mergeCells>
  <phoneticPr fontId="17" type="noConversion"/>
  <conditionalFormatting sqref="A2">
    <cfRule type="cellIs" dxfId="61" priority="474" operator="equal">
      <formula>";"</formula>
    </cfRule>
  </conditionalFormatting>
  <conditionalFormatting sqref="C2:C1048576">
    <cfRule type="duplicateValues" dxfId="60" priority="476"/>
  </conditionalFormatting>
  <conditionalFormatting sqref="D5">
    <cfRule type="timePeriod" priority="30" timePeriod="nextWeek">
      <formula>AND(ROUNDDOWN(D5,0)-TODAY()&gt;(7-WEEKDAY(TODAY())),ROUNDDOWN(D5,0)-TODAY()&lt;(15-WEEKDAY(TODAY())))</formula>
    </cfRule>
    <cfRule type="timePeriod" dxfId="59" priority="464" timePeriod="nextWeek">
      <formula>AND(ROUNDDOWN(D5,0)-TODAY()&gt;(7-WEEKDAY(TODAY())),ROUNDDOWN(D5,0)-TODAY()&lt;(15-WEEKDAY(TODAY())))</formula>
    </cfRule>
  </conditionalFormatting>
  <conditionalFormatting sqref="S12:T12">
    <cfRule type="containsText" dxfId="58" priority="338" operator="containsText" text="MC">
      <formula>NOT(ISERROR(SEARCH("MC",S12)))</formula>
    </cfRule>
    <cfRule type="containsText" dxfId="57" priority="335" operator="containsText" text="EL">
      <formula>NOT(ISERROR(SEARCH("EL",S12)))</formula>
    </cfRule>
    <cfRule type="containsText" dxfId="56" priority="336" operator="containsText" text="SP">
      <formula>NOT(ISERROR(SEARCH("SP",S12)))</formula>
    </cfRule>
    <cfRule type="containsText" dxfId="55" priority="337" operator="containsText" text="NL">
      <formula>NOT(ISERROR(SEARCH("NL",S12)))</formula>
    </cfRule>
    <cfRule type="containsText" dxfId="54" priority="339" operator="containsText" text="SUS">
      <formula>NOT(ISERROR(SEARCH("SUS",S12)))</formula>
    </cfRule>
    <cfRule type="containsText" dxfId="53" priority="340" operator="containsText" text="FL">
      <formula>NOT(ISERROR(SEARCH("FL",S12)))</formula>
    </cfRule>
    <cfRule type="containsText" dxfId="52" priority="341" operator="containsText" text="OFF">
      <formula>NOT(ISERROR(SEARCH("OFF",S12)))</formula>
    </cfRule>
    <cfRule type="containsText" dxfId="51" priority="342" operator="containsText" text="AB">
      <formula>NOT(ISERROR(SEARCH("AB",S12)))</formula>
    </cfRule>
    <cfRule type="containsText" dxfId="50" priority="343" operator="containsText" text="SICK">
      <formula>NOT(ISERROR(SEARCH("SICK",S12)))</formula>
    </cfRule>
    <cfRule type="containsText" dxfId="49" priority="344" operator="containsText" text="AL">
      <formula>NOT(ISERROR(SEARCH("AL",S12)))</formula>
    </cfRule>
  </conditionalFormatting>
  <conditionalFormatting sqref="AG12:AH12">
    <cfRule type="containsText" dxfId="48" priority="2" operator="containsText" text="SP">
      <formula>NOT(ISERROR(SEARCH("SP",AG12)))</formula>
    </cfRule>
    <cfRule type="containsText" dxfId="47" priority="3" operator="containsText" text="NL">
      <formula>NOT(ISERROR(SEARCH("NL",AG12)))</formula>
    </cfRule>
    <cfRule type="containsText" dxfId="46" priority="4" operator="containsText" text="MC">
      <formula>NOT(ISERROR(SEARCH("MC",AG12)))</formula>
    </cfRule>
    <cfRule type="containsText" dxfId="45" priority="5" operator="containsText" text="SUS">
      <formula>NOT(ISERROR(SEARCH("SUS",AG12)))</formula>
    </cfRule>
    <cfRule type="containsText" dxfId="44" priority="6" operator="containsText" text="FL">
      <formula>NOT(ISERROR(SEARCH("FL",AG12)))</formula>
    </cfRule>
    <cfRule type="containsText" dxfId="43" priority="7" operator="containsText" text="OFF">
      <formula>NOT(ISERROR(SEARCH("OFF",AG12)))</formula>
    </cfRule>
    <cfRule type="containsText" dxfId="42" priority="1" operator="containsText" text="EL">
      <formula>NOT(ISERROR(SEARCH("EL",AG12)))</formula>
    </cfRule>
    <cfRule type="containsText" dxfId="41" priority="9" operator="containsText" text="SICK">
      <formula>NOT(ISERROR(SEARCH("SICK",AG12)))</formula>
    </cfRule>
    <cfRule type="containsText" dxfId="40" priority="10" operator="containsText" text="AL">
      <formula>NOT(ISERROR(SEARCH("AL",AG12)))</formula>
    </cfRule>
    <cfRule type="containsText" dxfId="39" priority="8" operator="containsText" text="AB">
      <formula>NOT(ISERROR(SEARCH("AB",AG12)))</formula>
    </cfRule>
  </conditionalFormatting>
  <conditionalFormatting sqref="AJ12">
    <cfRule type="containsText" dxfId="38" priority="471" operator="containsText" text="SICK">
      <formula>NOT(ISERROR(SEARCH("SICK",AJ12)))</formula>
    </cfRule>
    <cfRule type="containsText" dxfId="37" priority="470" operator="containsText" text="AB">
      <formula>NOT(ISERROR(SEARCH("AB",AJ12)))</formula>
    </cfRule>
  </conditionalFormatting>
  <conditionalFormatting sqref="AL11:AR11">
    <cfRule type="containsText" dxfId="36" priority="453" operator="containsText" text="FL">
      <formula>NOT(ISERROR(SEARCH("FL",AL11)))</formula>
    </cfRule>
    <cfRule type="containsText" dxfId="35" priority="454" operator="containsText" text="OFF">
      <formula>NOT(ISERROR(SEARCH("OFF",AL11)))</formula>
    </cfRule>
    <cfRule type="containsText" dxfId="34" priority="456" operator="containsText" text="SICK">
      <formula>NOT(ISERROR(SEARCH("SICK",AL11)))</formula>
    </cfRule>
    <cfRule type="containsText" dxfId="33" priority="457" operator="containsText" text="AL">
      <formula>NOT(ISERROR(SEARCH("AL",AL11)))</formula>
    </cfRule>
    <cfRule type="containsText" dxfId="32" priority="455" operator="containsText" text="AB">
      <formula>NOT(ISERROR(SEARCH("AB",AL11)))</formula>
    </cfRule>
    <cfRule type="containsText" dxfId="31" priority="448" operator="containsText" text="EL">
      <formula>NOT(ISERROR(SEARCH("EL",AL11)))</formula>
    </cfRule>
    <cfRule type="containsText" dxfId="30" priority="449" operator="containsText" text="SP">
      <formula>NOT(ISERROR(SEARCH("SP",AL11)))</formula>
    </cfRule>
    <cfRule type="containsText" dxfId="29" priority="450" operator="containsText" text="NL">
      <formula>NOT(ISERROR(SEARCH("NL",AL11)))</formula>
    </cfRule>
    <cfRule type="containsText" dxfId="28" priority="451" operator="containsText" text="MC">
      <formula>NOT(ISERROR(SEARCH("MC",AL11)))</formula>
    </cfRule>
    <cfRule type="containsText" dxfId="27" priority="452" operator="containsText" text="SUS">
      <formula>NOT(ISERROR(SEARCH("SUS",AL11)))</formula>
    </cfRule>
  </conditionalFormatting>
  <conditionalFormatting sqref="AT11">
    <cfRule type="containsText" dxfId="26" priority="431" operator="containsText" text="MC">
      <formula>NOT(ISERROR(SEARCH("MC",AT11)))</formula>
    </cfRule>
    <cfRule type="containsText" dxfId="25" priority="432" operator="containsText" text="SUS">
      <formula>NOT(ISERROR(SEARCH("SUS",AT11)))</formula>
    </cfRule>
    <cfRule type="containsText" dxfId="24" priority="433" operator="containsText" text="FL">
      <formula>NOT(ISERROR(SEARCH("FL",AT11)))</formula>
    </cfRule>
    <cfRule type="containsText" dxfId="23" priority="434" operator="containsText" text="OFF">
      <formula>NOT(ISERROR(SEARCH("OFF",AT11)))</formula>
    </cfRule>
    <cfRule type="containsText" dxfId="22" priority="435" operator="containsText" text="AB">
      <formula>NOT(ISERROR(SEARCH("AB",AT11)))</formula>
    </cfRule>
    <cfRule type="containsText" dxfId="21" priority="436" operator="containsText" text="SICK">
      <formula>NOT(ISERROR(SEARCH("SICK",AT11)))</formula>
    </cfRule>
    <cfRule type="containsText" dxfId="20" priority="437" operator="containsText" text="AL">
      <formula>NOT(ISERROR(SEARCH("AL",AT11)))</formula>
    </cfRule>
    <cfRule type="containsText" dxfId="19" priority="430" operator="containsText" text="NL">
      <formula>NOT(ISERROR(SEARCH("NL",AT11)))</formula>
    </cfRule>
  </conditionalFormatting>
  <conditionalFormatting sqref="AT11:AU11">
    <cfRule type="containsText" dxfId="18" priority="413" operator="containsText" text="SP">
      <formula>NOT(ISERROR(SEARCH("SP",AT11)))</formula>
    </cfRule>
  </conditionalFormatting>
  <conditionalFormatting sqref="AT11:AV11">
    <cfRule type="containsText" dxfId="17" priority="394" operator="containsText" text="EL">
      <formula>NOT(ISERROR(SEARCH("EL",AT11)))</formula>
    </cfRule>
  </conditionalFormatting>
  <conditionalFormatting sqref="AU11">
    <cfRule type="containsText" dxfId="16" priority="414" operator="containsText" text="NL">
      <formula>NOT(ISERROR(SEARCH("NL",AU11)))</formula>
    </cfRule>
    <cfRule type="containsText" dxfId="15" priority="415" operator="containsText" text="MC">
      <formula>NOT(ISERROR(SEARCH("MC",AU11)))</formula>
    </cfRule>
    <cfRule type="containsText" dxfId="14" priority="416" operator="containsText" text="SUS">
      <formula>NOT(ISERROR(SEARCH("SUS",AU11)))</formula>
    </cfRule>
    <cfRule type="containsText" dxfId="13" priority="417" operator="containsText" text="FL">
      <formula>NOT(ISERROR(SEARCH("FL",AU11)))</formula>
    </cfRule>
    <cfRule type="containsText" dxfId="12" priority="418" operator="containsText" text="OFF">
      <formula>NOT(ISERROR(SEARCH("OFF",AU11)))</formula>
    </cfRule>
    <cfRule type="containsText" dxfId="11" priority="419" operator="containsText" text="AB">
      <formula>NOT(ISERROR(SEARCH("AB",AU11)))</formula>
    </cfRule>
    <cfRule type="containsText" dxfId="10" priority="420" operator="containsText" text="SICK">
      <formula>NOT(ISERROR(SEARCH("SICK",AU11)))</formula>
    </cfRule>
    <cfRule type="containsText" dxfId="9" priority="421" operator="containsText" text="AL">
      <formula>NOT(ISERROR(SEARCH("AL",AU11)))</formula>
    </cfRule>
  </conditionalFormatting>
  <conditionalFormatting sqref="AV11">
    <cfRule type="containsText" dxfId="8" priority="395" operator="containsText" text="SP">
      <formula>NOT(ISERROR(SEARCH("SP",AV11)))</formula>
    </cfRule>
    <cfRule type="containsText" dxfId="7" priority="396" operator="containsText" text="NL">
      <formula>NOT(ISERROR(SEARCH("NL",AV11)))</formula>
    </cfRule>
    <cfRule type="containsText" dxfId="6" priority="398" operator="containsText" text="SUS">
      <formula>NOT(ISERROR(SEARCH("SUS",AV11)))</formula>
    </cfRule>
    <cfRule type="containsText" dxfId="5" priority="403" operator="containsText" text="AL">
      <formula>NOT(ISERROR(SEARCH("AL",AV11)))</formula>
    </cfRule>
    <cfRule type="containsText" dxfId="4" priority="397" operator="containsText" text="MC">
      <formula>NOT(ISERROR(SEARCH("MC",AV11)))</formula>
    </cfRule>
    <cfRule type="containsText" dxfId="3" priority="402" operator="containsText" text="SICK">
      <formula>NOT(ISERROR(SEARCH("SICK",AV11)))</formula>
    </cfRule>
    <cfRule type="containsText" dxfId="2" priority="401" operator="containsText" text="AB">
      <formula>NOT(ISERROR(SEARCH("AB",AV11)))</formula>
    </cfRule>
    <cfRule type="containsText" dxfId="1" priority="400" operator="containsText" text="OFF">
      <formula>NOT(ISERROR(SEARCH("OFF",AV11)))</formula>
    </cfRule>
    <cfRule type="containsText" dxfId="0" priority="399" operator="containsText" text="FL">
      <formula>NOT(ISERROR(SEARCH("FL",AV11)))</formula>
    </cfRule>
  </conditionalFormatting>
  <pageMargins left="0.7" right="0.7" top="0.75" bottom="0.75" header="0.3" footer="0.3"/>
  <pageSetup paperSize="9" scale="2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Rameez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2026-07-02T06:20:28Z</cp:lastPrinted>
  <dcterms:created xsi:type="dcterms:W3CDTF">2025-11-05T07:56:06Z</dcterms:created>
  <dcterms:modified xsi:type="dcterms:W3CDTF">2026-10-30T09:31:59Z</dcterms:modified>
</cp:coreProperties>
</file>