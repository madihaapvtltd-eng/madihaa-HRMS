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feb\"/>
    </mc:Choice>
  </mc:AlternateContent>
  <xr:revisionPtr revIDLastSave="0" documentId="8_{D640EDFE-9743-4221-B6B1-9A8E4670B1D8}" xr6:coauthVersionLast="47" xr6:coauthVersionMax="47" xr10:uidLastSave="{00000000-0000-0000-0000-000000000000}"/>
  <bookViews>
    <workbookView xWindow="-120" yWindow="-120" windowWidth="29040" windowHeight="15840" tabRatio="630" xr2:uid="{7B5E2D85-C188-4C2A-B943-BB771193A8A7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6" i="1" l="1"/>
  <c r="BM6" i="1"/>
  <c r="BN6" i="1"/>
  <c r="BO6" i="1"/>
  <c r="BP6" i="1"/>
  <c r="BQ6" i="1"/>
  <c r="BR6" i="1"/>
  <c r="BS6" i="1"/>
  <c r="BT6" i="1"/>
  <c r="BU6" i="1"/>
  <c r="BV6" i="1"/>
  <c r="BW6" i="1"/>
  <c r="BL7" i="1"/>
  <c r="BM7" i="1"/>
  <c r="BN7" i="1"/>
  <c r="BO7" i="1"/>
  <c r="BP7" i="1"/>
  <c r="BQ7" i="1"/>
  <c r="BR7" i="1"/>
  <c r="BS7" i="1"/>
  <c r="BT7" i="1"/>
  <c r="BU7" i="1"/>
  <c r="BV7" i="1"/>
  <c r="BW7" i="1"/>
  <c r="BL8" i="1"/>
  <c r="BM8" i="1"/>
  <c r="BN8" i="1"/>
  <c r="BO8" i="1"/>
  <c r="BP8" i="1"/>
  <c r="BQ8" i="1"/>
  <c r="BR8" i="1"/>
  <c r="BS8" i="1"/>
  <c r="BT8" i="1"/>
  <c r="BU8" i="1"/>
  <c r="BV8" i="1"/>
  <c r="BW8" i="1"/>
  <c r="BL9" i="1"/>
  <c r="BM9" i="1"/>
  <c r="BN9" i="1"/>
  <c r="BO9" i="1"/>
  <c r="BP9" i="1"/>
  <c r="BQ9" i="1"/>
  <c r="BR9" i="1"/>
  <c r="BS9" i="1"/>
  <c r="BT9" i="1"/>
  <c r="BU9" i="1"/>
  <c r="BV9" i="1"/>
  <c r="BW9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J77" i="1" l="1"/>
  <c r="BJ78" i="1"/>
  <c r="BJ102" i="1"/>
  <c r="BJ98" i="1"/>
  <c r="BJ73" i="1"/>
  <c r="BJ9" i="1"/>
  <c r="BJ105" i="1"/>
  <c r="BJ49" i="1"/>
  <c r="BJ122" i="1"/>
  <c r="BJ121" i="1"/>
  <c r="BJ117" i="1"/>
  <c r="BJ101" i="1"/>
  <c r="BJ94" i="1"/>
  <c r="BJ93" i="1"/>
  <c r="BJ90" i="1"/>
  <c r="BJ89" i="1"/>
  <c r="BJ86" i="1"/>
  <c r="BJ81" i="1"/>
  <c r="BJ74" i="1"/>
  <c r="BJ70" i="1"/>
  <c r="BJ69" i="1"/>
  <c r="BJ29" i="1"/>
  <c r="BJ25" i="1"/>
  <c r="BJ21" i="1"/>
  <c r="BJ17" i="1"/>
  <c r="BJ13" i="1"/>
  <c r="BJ58" i="1"/>
  <c r="BJ55" i="1"/>
  <c r="BJ51" i="1"/>
  <c r="BJ47" i="1"/>
  <c r="BJ27" i="1"/>
  <c r="BJ23" i="1"/>
  <c r="BJ19" i="1"/>
  <c r="BJ15" i="1"/>
  <c r="BJ7" i="1"/>
  <c r="BJ114" i="1"/>
  <c r="BJ113" i="1"/>
  <c r="BJ110" i="1"/>
  <c r="BJ109" i="1"/>
  <c r="BJ106" i="1"/>
  <c r="BJ97" i="1"/>
  <c r="BJ82" i="1"/>
  <c r="BJ66" i="1"/>
  <c r="BJ65" i="1"/>
  <c r="BJ62" i="1"/>
  <c r="BJ61" i="1"/>
  <c r="BJ57" i="1"/>
  <c r="BJ119" i="1"/>
  <c r="BJ116" i="1"/>
  <c r="BJ115" i="1"/>
  <c r="BJ112" i="1"/>
  <c r="BJ111" i="1"/>
  <c r="BJ108" i="1"/>
  <c r="BJ104" i="1"/>
  <c r="BJ103" i="1"/>
  <c r="BJ100" i="1"/>
  <c r="BJ99" i="1"/>
  <c r="BJ96" i="1"/>
  <c r="BJ95" i="1"/>
  <c r="BJ92" i="1"/>
  <c r="BJ91" i="1"/>
  <c r="BJ88" i="1"/>
  <c r="BJ87" i="1"/>
  <c r="BJ84" i="1"/>
  <c r="BJ79" i="1"/>
  <c r="BJ76" i="1"/>
  <c r="BJ75" i="1"/>
  <c r="BJ71" i="1"/>
  <c r="BJ68" i="1"/>
  <c r="BJ67" i="1"/>
  <c r="BJ64" i="1"/>
  <c r="BJ63" i="1"/>
  <c r="BJ59" i="1"/>
  <c r="BJ56" i="1"/>
  <c r="BJ52" i="1"/>
  <c r="BJ50" i="1"/>
  <c r="BJ48" i="1"/>
  <c r="BJ46" i="1"/>
  <c r="BJ28" i="1"/>
  <c r="BJ26" i="1"/>
  <c r="BJ24" i="1"/>
  <c r="BJ22" i="1"/>
  <c r="BJ20" i="1"/>
  <c r="BJ18" i="1"/>
  <c r="BJ16" i="1"/>
  <c r="BJ14" i="1"/>
  <c r="BJ8" i="1"/>
  <c r="BJ6" i="1"/>
  <c r="BJ12" i="1"/>
  <c r="BJ11" i="1"/>
  <c r="BJ10" i="1"/>
  <c r="BJ72" i="1"/>
  <c r="BJ120" i="1"/>
  <c r="BJ118" i="1"/>
  <c r="BJ107" i="1"/>
  <c r="BJ85" i="1"/>
  <c r="BJ83" i="1"/>
  <c r="BJ80" i="1"/>
  <c r="BJ54" i="1"/>
  <c r="BJ53" i="1"/>
  <c r="BJ60" i="1"/>
  <c r="CL120" i="1" l="1"/>
  <c r="CL121" i="1"/>
  <c r="CL122" i="1" l="1"/>
  <c r="CL29" i="1"/>
  <c r="CL119" i="1"/>
  <c r="CL149" i="1" l="1"/>
  <c r="CL82" i="1"/>
  <c r="CL63" i="1"/>
  <c r="CL115" i="1"/>
  <c r="CL114" i="1"/>
  <c r="CL113" i="1"/>
  <c r="CL112" i="1"/>
  <c r="CL111" i="1"/>
  <c r="CL110" i="1"/>
  <c r="CL109" i="1"/>
  <c r="CL108" i="1"/>
  <c r="CL107" i="1"/>
  <c r="CL106" i="1"/>
  <c r="CL105" i="1"/>
  <c r="CL104" i="1"/>
  <c r="CL27" i="1"/>
  <c r="CL103" i="1"/>
  <c r="CL102" i="1"/>
  <c r="CL101" i="1"/>
  <c r="CL100" i="1"/>
  <c r="CL99" i="1"/>
  <c r="CL98" i="1"/>
  <c r="CL97" i="1"/>
  <c r="CL96" i="1"/>
  <c r="CL95" i="1"/>
  <c r="CL94" i="1"/>
  <c r="CL93" i="1"/>
  <c r="CL92" i="1"/>
  <c r="CL91" i="1"/>
  <c r="CL90" i="1"/>
  <c r="CL89" i="1"/>
  <c r="CL88" i="1"/>
  <c r="CL87" i="1"/>
  <c r="CL86" i="1"/>
  <c r="CL85" i="1"/>
  <c r="CL84" i="1"/>
  <c r="CL83" i="1"/>
  <c r="CL81" i="1"/>
  <c r="CL80" i="1"/>
  <c r="CL79" i="1"/>
  <c r="CL78" i="1"/>
  <c r="CL77" i="1"/>
  <c r="CL76" i="1"/>
  <c r="CL75" i="1"/>
  <c r="CL74" i="1"/>
  <c r="CL73" i="1"/>
  <c r="CL72" i="1"/>
  <c r="CL71" i="1"/>
  <c r="CL70" i="1"/>
  <c r="CL69" i="1"/>
  <c r="CL68" i="1"/>
  <c r="CL67" i="1"/>
  <c r="CL66" i="1"/>
  <c r="CL65" i="1"/>
  <c r="CL64" i="1"/>
  <c r="CL62" i="1"/>
  <c r="CL61" i="1"/>
  <c r="CL60" i="1"/>
  <c r="CL59" i="1"/>
  <c r="CL58" i="1"/>
  <c r="CL57" i="1"/>
  <c r="CL56" i="1"/>
  <c r="CL55" i="1"/>
  <c r="CL54" i="1"/>
  <c r="CL53" i="1"/>
  <c r="CL52" i="1"/>
  <c r="CL51" i="1"/>
  <c r="CL50" i="1"/>
  <c r="CL49" i="1"/>
  <c r="CL48" i="1"/>
  <c r="CL47" i="1"/>
  <c r="CL46" i="1"/>
  <c r="CL45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S5" i="1"/>
  <c r="BL5" i="1"/>
  <c r="BJ45" i="1" l="1"/>
  <c r="CL118" i="1"/>
  <c r="CL28" i="1"/>
  <c r="BM5" i="1"/>
  <c r="CL117" i="1" l="1"/>
  <c r="CL116" i="1" l="1"/>
  <c r="BW5" i="1"/>
  <c r="BV5" i="1"/>
  <c r="BU5" i="1"/>
  <c r="BT5" i="1"/>
  <c r="BR5" i="1"/>
  <c r="BQ5" i="1"/>
  <c r="BP5" i="1"/>
  <c r="BO5" i="1"/>
  <c r="BN5" i="1"/>
  <c r="CL147" i="1" l="1"/>
  <c r="BL147" i="1" l="1"/>
  <c r="BM147" i="1"/>
  <c r="BN147" i="1"/>
  <c r="BO147" i="1"/>
  <c r="BP147" i="1"/>
  <c r="BQ147" i="1"/>
  <c r="BR147" i="1"/>
  <c r="BS147" i="1"/>
  <c r="BT147" i="1"/>
  <c r="BU147" i="1"/>
  <c r="BV147" i="1"/>
  <c r="BW147" i="1"/>
  <c r="BJ147" i="1" l="1"/>
  <c r="BY146" i="1" l="1"/>
  <c r="BX146" i="1"/>
  <c r="BW146" i="1"/>
  <c r="BV146" i="1"/>
  <c r="BU146" i="1"/>
  <c r="BT146" i="1"/>
  <c r="BS146" i="1"/>
  <c r="BR146" i="1"/>
  <c r="BQ146" i="1"/>
  <c r="BP146" i="1"/>
  <c r="BO146" i="1"/>
  <c r="BN146" i="1"/>
  <c r="BL146" i="1" l="1"/>
  <c r="BJ5" i="1" l="1"/>
</calcChain>
</file>

<file path=xl/sharedStrings.xml><?xml version="1.0" encoding="utf-8"?>
<sst xmlns="http://schemas.openxmlformats.org/spreadsheetml/2006/main" count="780" uniqueCount="277">
  <si>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</si>
  <si>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</si>
  <si>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</si>
  <si>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</si>
  <si>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</si>
  <si>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</si>
  <si>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</si>
  <si>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</si>
  <si>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</si>
  <si>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</si>
  <si>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</si>
  <si>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</si>
  <si>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</si>
  <si>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</si>
  <si>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</si>
  <si>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</si>
  <si>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</si>
  <si>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</si>
  <si>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</si>
  <si>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</si>
  <si>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</si>
  <si>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</si>
  <si>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</si>
  <si>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</si>
  <si>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</si>
  <si>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</si>
  <si>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</si>
  <si>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</si>
  <si>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</si>
  <si>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</si>
  <si>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</si>
  <si>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</si>
  <si>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</si>
  <si>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</si>
  <si>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</si>
  <si>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</si>
  <si>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</si>
  <si>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</si>
  <si>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</si>
  <si>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</si>
  <si>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</si>
  <si>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MAD0590</t>
  </si>
  <si>
    <t>Dinuka Asintha Bambarenda</t>
  </si>
  <si>
    <t>MAD0652</t>
  </si>
  <si>
    <t>MAD0599</t>
  </si>
  <si>
    <t>Suriya krishnan</t>
  </si>
  <si>
    <t>MAD0606</t>
  </si>
  <si>
    <t>MAD0707</t>
  </si>
  <si>
    <t>Kesavan Sathiyamoorthy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</si>
  <si>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</si>
  <si>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</si>
  <si>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</si>
  <si>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</si>
  <si>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</si>
  <si>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</si>
  <si>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</si>
  <si>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</si>
  <si>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</si>
  <si>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</si>
  <si>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</si>
  <si>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</si>
  <si>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</si>
  <si>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</si>
  <si>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 xml:space="preserve">Mohammed Kalifa Mohamed </t>
  </si>
  <si>
    <t>MAD0711</t>
  </si>
  <si>
    <t>Vijayakumar Kaliaraj</t>
  </si>
  <si>
    <t>MAD0717</t>
  </si>
  <si>
    <t>Muneswari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</si>
  <si>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</si>
  <si>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</si>
  <si>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</si>
  <si>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</si>
  <si>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</si>
  <si>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</si>
  <si>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</si>
  <si>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</si>
  <si>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</si>
  <si>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</si>
  <si>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</si>
  <si>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</si>
  <si>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</si>
  <si>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</si>
  <si>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</si>
  <si>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</si>
  <si>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</si>
  <si>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</si>
  <si>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</si>
  <si>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</si>
  <si>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</si>
  <si>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</si>
  <si>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</si>
  <si>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</si>
  <si>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</si>
  <si>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</si>
  <si>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</si>
  <si>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</si>
  <si>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</si>
  <si>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</si>
  <si>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</si>
  <si>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</si>
  <si>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</si>
  <si>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</si>
  <si>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</si>
  <si>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</si>
  <si>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</si>
  <si>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</si>
  <si>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</si>
  <si>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</si>
  <si>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</si>
  <si>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</si>
  <si>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</si>
  <si>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</si>
  <si>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</si>
  <si>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</si>
  <si>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</si>
  <si>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</si>
  <si>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</si>
  <si>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</si>
  <si>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</si>
  <si>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</si>
  <si>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</si>
  <si>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</si>
  <si>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MAD0561</t>
  </si>
  <si>
    <t>Priyanka Subba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</si>
  <si>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</si>
  <si>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</si>
  <si>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</si>
  <si>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</si>
  <si>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</si>
  <si>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</si>
  <si>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</si>
  <si>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</si>
  <si>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</si>
  <si>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</si>
  <si>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</si>
  <si>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</si>
  <si>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</si>
  <si>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</si>
  <si>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</si>
  <si>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</si>
  <si>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</si>
  <si>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</si>
  <si>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</si>
  <si>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</si>
  <si>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</si>
  <si>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MAD0642</t>
  </si>
  <si>
    <t>Mohammad Salman</t>
  </si>
  <si>
    <t>MAD0643</t>
  </si>
  <si>
    <t>NAJIR SHEKH</t>
  </si>
  <si>
    <t>MAD0655</t>
  </si>
  <si>
    <t>Arulmani Kumaresan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</si>
  <si>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</si>
  <si>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</si>
  <si>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</si>
  <si>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</si>
  <si>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</si>
  <si>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</si>
  <si>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</si>
  <si>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</si>
  <si>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</si>
  <si>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</si>
  <si>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</si>
  <si>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</si>
  <si>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</si>
  <si>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</si>
  <si>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</si>
  <si>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</si>
  <si>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</si>
  <si>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</si>
  <si>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</si>
  <si>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</si>
  <si>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</si>
  <si>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MAD0684</t>
  </si>
  <si>
    <t>Jayanti Ghimire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</si>
  <si>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</si>
  <si>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</si>
  <si>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</si>
  <si>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</si>
  <si>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</si>
  <si>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</si>
  <si>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</si>
  <si>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</si>
  <si>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</si>
  <si>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</si>
  <si>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</si>
  <si>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</si>
  <si>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</si>
  <si>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</si>
  <si>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</si>
  <si>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</si>
  <si>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</si>
  <si>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</si>
  <si>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</si>
  <si>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</si>
  <si>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</si>
  <si>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</si>
  <si>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MAD0521</t>
  </si>
  <si>
    <t>AJAJ ALI</t>
  </si>
  <si>
    <t>39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</si>
  <si>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</si>
  <si>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</si>
  <si>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</si>
  <si>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</si>
  <si>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</si>
  <si>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</si>
  <si>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</si>
  <si>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</si>
  <si>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</si>
  <si>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</si>
  <si>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</si>
  <si>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</si>
  <si>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</si>
  <si>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</si>
  <si>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</si>
  <si>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</si>
  <si>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</si>
  <si>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</si>
  <si>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</si>
  <si>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</si>
  <si>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 xml:space="preserve">Used Leave Totals (Running Year, up to end of this month - Nov 2025) </t>
  </si>
  <si>
    <t>Total</t>
  </si>
  <si>
    <t>MAD0407</t>
  </si>
  <si>
    <t>Pratheesh Prasad</t>
  </si>
  <si>
    <t>MAD0733</t>
  </si>
  <si>
    <t>Sabbir Hossain</t>
  </si>
  <si>
    <t>MAD0233</t>
  </si>
  <si>
    <t>Alam Shahinur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</si>
  <si>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</si>
  <si>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</si>
  <si>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</si>
  <si>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</si>
  <si>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</si>
  <si>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</si>
  <si>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</si>
  <si>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</si>
  <si>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</si>
  <si>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</si>
  <si>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</si>
  <si>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</si>
  <si>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</si>
  <si>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</si>
  <si>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 xml:space="preserve">Used Leave Totals (Running Year, up to end of this month - Jan 2026) </t>
  </si>
  <si>
    <t>MAD0672</t>
  </si>
  <si>
    <t>MAD0748</t>
  </si>
  <si>
    <t>MAD0749</t>
  </si>
  <si>
    <t>Pranav Muraleedharannair</t>
  </si>
  <si>
    <t>RamPrasath Ravipugal</t>
  </si>
  <si>
    <t>Attendance for February 2026  - MALE SENIOR FOREIGN STAFFS</t>
  </si>
  <si>
    <t>MAD0750</t>
  </si>
  <si>
    <t>Yamin Ko Ko</t>
  </si>
  <si>
    <t>JOINING ON 3rd FEB 2026</t>
  </si>
  <si>
    <t>Attendance for FEBRUARY 2026   - MALE JUNIOR FOREIGN STAFFS</t>
  </si>
  <si>
    <t>MAD0755</t>
  </si>
  <si>
    <t>Imran Hossian</t>
  </si>
  <si>
    <t>JOINGING ON 12TH FEB 2026</t>
  </si>
  <si>
    <t>JOINGING ON 15TH FEB 2026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</si>
  <si>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</si>
  <si>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</si>
  <si>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</si>
  <si>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</si>
  <si>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</si>
  <si>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</si>
  <si>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</si>
  <si>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</si>
  <si>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JOINGING ON 16TH FEB 2026</t>
  </si>
  <si>
    <t>JOINGING ON 17TH FEB 2026</t>
  </si>
  <si>
    <t>17 TH Feb</t>
  </si>
  <si>
    <t>Enamul Hoque</t>
  </si>
  <si>
    <t>MD Manik Hossain</t>
  </si>
  <si>
    <t xml:space="preserve">Need To Pay Al Days Salary </t>
  </si>
  <si>
    <t>Adnan Abdul Majeed</t>
  </si>
  <si>
    <t>Thirugnanam Maruthai</t>
  </si>
  <si>
    <t>Mohammad Ajmal</t>
  </si>
  <si>
    <t>Raju Ahmed</t>
  </si>
  <si>
    <t>MD Naim Sarder</t>
  </si>
  <si>
    <t>MD Nahim Gazi</t>
  </si>
  <si>
    <t>1000 MVR fine pls deduct from his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</si>
</sst>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6" fillId="0" borderId="0"/>
  </cellStyleXfs>
  <cellXfs count="164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0" fontId="10" fillId="4" borderId="3" xfId="0" applyNumberFormat="1" applyFont="1" applyFill="1" applyBorder="1" applyAlignment="1">
      <alignment horizontal="center" vertical="center" wrapText="1"/>
    </xf>
    <xf numFmtId="20" fontId="8" fillId="4" borderId="3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164" fontId="17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0" borderId="0" xfId="0" applyFont="1"/>
    <xf numFmtId="0" fontId="16" fillId="0" borderId="0" xfId="0" applyFont="1" applyAlignment="1">
      <alignment vertical="center"/>
    </xf>
    <xf numFmtId="0" fontId="20" fillId="0" borderId="0" xfId="0" applyFont="1"/>
    <xf numFmtId="164" fontId="16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 wrapText="1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left" vertical="center"/>
    </xf>
    <xf numFmtId="0" fontId="14" fillId="7" borderId="0" xfId="0" applyFont="1" applyFill="1"/>
    <xf numFmtId="0" fontId="23" fillId="0" borderId="0" xfId="0" applyFont="1" applyAlignment="1">
      <alignment vertical="center"/>
    </xf>
    <xf numFmtId="49" fontId="22" fillId="7" borderId="0" xfId="0" applyNumberFormat="1" applyFont="1" applyFill="1" applyAlignment="1">
      <alignment vertical="center"/>
    </xf>
    <xf numFmtId="49" fontId="22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20" fontId="11" fillId="10" borderId="3" xfId="0" applyNumberFormat="1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20" fontId="5" fillId="10" borderId="3" xfId="0" applyNumberFormat="1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left" vertical="center"/>
    </xf>
    <xf numFmtId="49" fontId="10" fillId="11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" fontId="0" fillId="4" borderId="3" xfId="0" applyNumberFormat="1" applyFill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20" fontId="1" fillId="10" borderId="3" xfId="0" applyNumberFormat="1" applyFont="1" applyFill="1" applyBorder="1" applyAlignment="1">
      <alignment horizontal="center" vertical="center" wrapText="1"/>
    </xf>
    <xf numFmtId="20" fontId="1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24" fillId="0" borderId="1" xfId="1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5" fontId="8" fillId="4" borderId="5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20" fontId="28" fillId="4" borderId="3" xfId="0" applyNumberFormat="1" applyFont="1" applyFill="1" applyBorder="1" applyAlignment="1">
      <alignment horizontal="center" vertical="center" wrapText="1"/>
    </xf>
    <xf numFmtId="1" fontId="28" fillId="4" borderId="3" xfId="0" applyNumberFormat="1" applyFont="1" applyFill="1" applyBorder="1" applyAlignment="1">
      <alignment horizontal="center" vertical="center" wrapText="1"/>
    </xf>
    <xf numFmtId="20" fontId="29" fillId="10" borderId="3" xfId="0" applyNumberFormat="1" applyFont="1" applyFill="1" applyBorder="1" applyAlignment="1">
      <alignment horizontal="center" vertical="center" wrapText="1"/>
    </xf>
    <xf numFmtId="1" fontId="29" fillId="10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20" fontId="28" fillId="4" borderId="4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20" fontId="29" fillId="4" borderId="3" xfId="0" applyNumberFormat="1" applyFont="1" applyFill="1" applyBorder="1" applyAlignment="1">
      <alignment vertical="center" wrapText="1"/>
    </xf>
    <xf numFmtId="0" fontId="0" fillId="13" borderId="0" xfId="0" applyFill="1"/>
    <xf numFmtId="0" fontId="0" fillId="4" borderId="3" xfId="0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20" fontId="28" fillId="4" borderId="6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20" fontId="1" fillId="10" borderId="1" xfId="0" applyNumberFormat="1" applyFont="1" applyFill="1" applyBorder="1" applyAlignment="1">
      <alignment horizontal="center" vertical="center" wrapText="1"/>
    </xf>
    <xf numFmtId="20" fontId="29" fillId="10" borderId="4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15" xfId="0" applyBorder="1"/>
    <xf numFmtId="20" fontId="28" fillId="14" borderId="3" xfId="0" applyNumberFormat="1" applyFont="1" applyFill="1" applyBorder="1" applyAlignment="1">
      <alignment horizontal="center" vertical="center" wrapText="1"/>
    </xf>
    <xf numFmtId="20" fontId="28" fillId="15" borderId="3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20" fontId="29" fillId="4" borderId="1" xfId="0" applyNumberFormat="1" applyFont="1" applyFill="1" applyBorder="1" applyAlignment="1">
      <alignment horizontal="center" vertical="center" wrapText="1"/>
    </xf>
    <xf numFmtId="20" fontId="29" fillId="4" borderId="2" xfId="0" applyNumberFormat="1" applyFont="1" applyFill="1" applyBorder="1" applyAlignment="1">
      <alignment horizontal="center" vertical="center" wrapText="1"/>
    </xf>
    <xf numFmtId="20" fontId="29" fillId="4" borderId="5" xfId="0" applyNumberFormat="1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15" fontId="8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20" fontId="29" fillId="4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4EC3061-B914-4480-9893-F99140BDDDFD}"/>
  </cellStyles>
  <dxfs count="7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B4:CL30" totalsRowShown="0" headerRowDxfId="759" dataDxfId="757" headerRowBorderDxfId="758" tableBorderDxfId="756" totalsRowBorderDxfId="755">
  <autoFilter ref="CB4:CL30" xr:uid="{C5309D74-53D8-451C-BBF6-C79A1162CA3E}"/>
  <tableColumns count="11">
    <tableColumn id="1" xr3:uid="{77A0E13E-5799-4C51-9B9D-764F7EC3B2A2}" name="MC" dataDxfId="754"/>
    <tableColumn id="2" xr3:uid="{EB5D1FE6-2099-48DC-843A-922345D1799C}" name="EL" dataDxfId="753"/>
    <tableColumn id="3" xr3:uid="{273122D7-D3D7-4F6A-9E6D-E93DF2DF0B27}" name="AL" dataDxfId="752"/>
    <tableColumn id="4" xr3:uid="{B7AA7E3F-797D-4E59-ABF4-A10DED797705}" name="SUS" dataDxfId="751"/>
    <tableColumn id="5" xr3:uid="{FF39316F-7211-4A90-81FC-66B156DA3370}" name="FL" dataDxfId="750"/>
    <tableColumn id="6" xr3:uid="{C1AC8A82-6AED-43E8-BC9E-B08DBA59F3CB}" name="S" dataDxfId="749"/>
    <tableColumn id="7" xr3:uid="{9F1B4AC5-FE14-4372-9A6B-3C39BF751A75}" name="HD" dataDxfId="748"/>
    <tableColumn id="8" xr3:uid="{C1782C61-8577-4048-80AA-855C84FC8A55}" name="AB" dataDxfId="747"/>
    <tableColumn id="9" xr3:uid="{06E98CE2-1D98-4581-9F55-176721D2D094}" name="NL" dataDxfId="746"/>
    <tableColumn id="10" xr3:uid="{AD8D1379-4ABC-49D0-8269-2F105F33CF9F}" name="SP" dataDxfId="745"/>
    <tableColumn id="11" xr3:uid="{578C8149-ECDB-4F46-B84E-C814E33BCF50}" name="Total" dataDxfId="74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A1A2E-9207-48A7-9E2B-652C557C9266}" name="Table13" displayName="Table13" ref="CB44:CL127" totalsRowShown="0" headerRowDxfId="743" dataDxfId="741" headerRowBorderDxfId="742" tableBorderDxfId="740" totalsRowBorderDxfId="739">
  <autoFilter ref="CB44:CL127" xr:uid="{E75A1A2E-9207-48A7-9E2B-652C557C9266}"/>
  <tableColumns count="11">
    <tableColumn id="1" xr3:uid="{C09AF12D-79B9-4AAE-AE40-4F26181C148B}" name="MC" dataDxfId="738"/>
    <tableColumn id="2" xr3:uid="{3D2526A2-6499-4D6D-8AEE-A126EADE84B2}" name="EL" dataDxfId="737"/>
    <tableColumn id="3" xr3:uid="{C5AE97C0-0C27-4ED9-93F2-E3037050652D}" name="AL" dataDxfId="736"/>
    <tableColumn id="4" xr3:uid="{3C7DF5FA-C5B8-4E13-9C02-BBAA6EC3DC90}" name="SUS" dataDxfId="735"/>
    <tableColumn id="5" xr3:uid="{24511860-20CF-45F5-92F7-F4ACD085EEC3}" name="FL" dataDxfId="734"/>
    <tableColumn id="6" xr3:uid="{E42BB61F-37F5-4497-A296-1DF6D3DE3304}" name="S" dataDxfId="733"/>
    <tableColumn id="7" xr3:uid="{C0B9D2A6-DBB2-4D29-9D22-B0666E19E96F}" name="HD" dataDxfId="732"/>
    <tableColumn id="8" xr3:uid="{29667B8F-020A-4767-83B3-F35973126DDB}" name="AB" dataDxfId="731"/>
    <tableColumn id="9" xr3:uid="{99109EE1-B355-406D-97D0-62441D2C7EC3}" name="NL" dataDxfId="730"/>
    <tableColumn id="10" xr3:uid="{B7DDCD9B-BDB2-440A-B4B9-538FC222E55B}" name="SP" dataDxfId="729"/>
    <tableColumn id="11" xr3:uid="{B7572C54-4ADC-403A-8E66-BFB3794D5D62}" name="Total" dataDxfId="728">
      <calculatedColumnFormula>SUM(CB45:CK45)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L179"/>
  <sheetViews>
    <sheetView tabSelected="1" zoomScaleNormal="100" workbookViewId="0">
      <pane xSplit="3" ySplit="4" topLeftCell="AR5" activePane="bottomRight" state="frozen"/>
      <selection activeCell="AB20" sqref="AB20"/>
      <selection pane="topRight" activeCell="AB20" sqref="AB20"/>
      <selection pane="bottomLeft" activeCell="AB20" sqref="AB20"/>
      <selection pane="bottomRight" activeCell="C8" sqref="C8"/>
    </sheetView>
  </sheetViews>
  <sheetFormatPr defaultRowHeight="15" x14ac:dyDescent="0.25"/>
  <cols>
    <col min="1" max="1" width="5.140625" style="55" customWidth="1"/>
    <col min="2" max="2" width="12" style="24" customWidth="1"/>
    <col min="3" max="3" width="28.5703125" customWidth="1"/>
    <col min="4" max="33" width="6.5703125" customWidth="1"/>
    <col min="34" max="34" width="5.5703125" customWidth="1"/>
    <col min="35" max="35" width="5.140625" style="93" customWidth="1"/>
    <col min="36" max="61" width="6.5703125" customWidth="1"/>
    <col min="62" max="62" width="5.85546875" style="24" customWidth="1"/>
    <col min="63" max="75" width="5" customWidth="1"/>
    <col min="76" max="76" width="32.28515625" customWidth="1"/>
    <col min="80" max="90" width="7.85546875" customWidth="1"/>
  </cols>
  <sheetData>
    <row r="1" spans="1:90" ht="25.5" customHeight="1" x14ac:dyDescent="0.25">
      <c r="A1" s="153" t="s">
        <v>247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  <c r="AH1" s="59"/>
      <c r="AI1" s="156" t="s">
        <v>247</v>
      </c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90" ht="22.5" customHeight="1" x14ac:dyDescent="0.25">
      <c r="A2" s="157" t="s">
        <v>0</v>
      </c>
      <c r="B2" s="157"/>
      <c r="C2" s="157"/>
      <c r="D2" s="139" t="s">
        <v>5</v>
      </c>
      <c r="E2" s="139"/>
      <c r="F2" s="139" t="s">
        <v>6</v>
      </c>
      <c r="G2" s="139"/>
      <c r="H2" s="139" t="s">
        <v>7</v>
      </c>
      <c r="I2" s="139"/>
      <c r="J2" s="139" t="s">
        <v>1</v>
      </c>
      <c r="K2" s="139"/>
      <c r="L2" s="139" t="s">
        <v>2</v>
      </c>
      <c r="M2" s="139"/>
      <c r="N2" s="139" t="s">
        <v>3</v>
      </c>
      <c r="O2" s="139"/>
      <c r="P2" s="139" t="s">
        <v>4</v>
      </c>
      <c r="Q2" s="139"/>
      <c r="R2" s="139" t="s">
        <v>5</v>
      </c>
      <c r="S2" s="139"/>
      <c r="T2" s="139" t="s">
        <v>6</v>
      </c>
      <c r="U2" s="139"/>
      <c r="V2" s="139" t="s">
        <v>7</v>
      </c>
      <c r="W2" s="139"/>
      <c r="X2" s="139" t="s">
        <v>1</v>
      </c>
      <c r="Y2" s="139"/>
      <c r="Z2" s="139" t="s">
        <v>2</v>
      </c>
      <c r="AA2" s="139"/>
      <c r="AB2" s="139" t="s">
        <v>3</v>
      </c>
      <c r="AC2" s="139"/>
      <c r="AD2" s="139" t="s">
        <v>4</v>
      </c>
      <c r="AE2" s="139"/>
      <c r="AF2" s="139" t="s">
        <v>5</v>
      </c>
      <c r="AG2" s="139"/>
      <c r="AH2" s="60"/>
      <c r="AI2" s="91"/>
      <c r="AJ2" s="139" t="s">
        <v>6</v>
      </c>
      <c r="AK2" s="140"/>
      <c r="AL2" s="139" t="s">
        <v>7</v>
      </c>
      <c r="AM2" s="140"/>
      <c r="AN2" s="139" t="s">
        <v>1</v>
      </c>
      <c r="AO2" s="140"/>
      <c r="AP2" s="139" t="s">
        <v>2</v>
      </c>
      <c r="AQ2" s="140"/>
      <c r="AR2" s="139" t="s">
        <v>3</v>
      </c>
      <c r="AS2" s="140"/>
      <c r="AT2" s="139" t="s">
        <v>4</v>
      </c>
      <c r="AU2" s="140"/>
      <c r="AV2" s="139" t="s">
        <v>5</v>
      </c>
      <c r="AW2" s="140"/>
      <c r="AX2" s="139" t="s">
        <v>6</v>
      </c>
      <c r="AY2" s="140"/>
      <c r="AZ2" s="139" t="s">
        <v>7</v>
      </c>
      <c r="BA2" s="140"/>
      <c r="BB2" s="139" t="s">
        <v>1</v>
      </c>
      <c r="BC2" s="140"/>
      <c r="BD2" s="139" t="s">
        <v>2</v>
      </c>
      <c r="BE2" s="140"/>
      <c r="BF2" s="139" t="s">
        <v>3</v>
      </c>
      <c r="BG2" s="140"/>
      <c r="BH2" s="139" t="s">
        <v>4</v>
      </c>
      <c r="BI2" s="140"/>
      <c r="BJ2" s="160" t="s">
        <v>8</v>
      </c>
      <c r="BK2" s="150" t="s">
        <v>9</v>
      </c>
      <c r="BL2" s="147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9"/>
      <c r="CB2" s="138" t="s">
        <v>218</v>
      </c>
      <c r="CC2" s="138"/>
      <c r="CD2" s="138"/>
      <c r="CE2" s="138"/>
      <c r="CF2" s="138"/>
      <c r="CG2" s="138"/>
      <c r="CH2" s="138"/>
      <c r="CI2" s="138"/>
      <c r="CJ2" s="138"/>
      <c r="CK2" s="138"/>
      <c r="CL2" s="56"/>
    </row>
    <row r="3" spans="1:90" ht="22.5" customHeight="1" x14ac:dyDescent="0.25">
      <c r="A3" s="157"/>
      <c r="B3" s="157"/>
      <c r="C3" s="157"/>
      <c r="D3" s="141">
        <v>46054</v>
      </c>
      <c r="E3" s="141"/>
      <c r="F3" s="141">
        <v>46055</v>
      </c>
      <c r="G3" s="141"/>
      <c r="H3" s="141">
        <v>46056</v>
      </c>
      <c r="I3" s="141"/>
      <c r="J3" s="141">
        <v>46057</v>
      </c>
      <c r="K3" s="141"/>
      <c r="L3" s="141">
        <v>46058</v>
      </c>
      <c r="M3" s="141"/>
      <c r="N3" s="141">
        <v>46059</v>
      </c>
      <c r="O3" s="141"/>
      <c r="P3" s="141">
        <v>46060</v>
      </c>
      <c r="Q3" s="141"/>
      <c r="R3" s="141">
        <v>46061</v>
      </c>
      <c r="S3" s="141"/>
      <c r="T3" s="141">
        <v>46062</v>
      </c>
      <c r="U3" s="141"/>
      <c r="V3" s="141">
        <v>46063</v>
      </c>
      <c r="W3" s="141"/>
      <c r="X3" s="141">
        <v>46064</v>
      </c>
      <c r="Y3" s="141"/>
      <c r="Z3" s="141">
        <v>46065</v>
      </c>
      <c r="AA3" s="141"/>
      <c r="AB3" s="141">
        <v>46066</v>
      </c>
      <c r="AC3" s="141"/>
      <c r="AD3" s="141">
        <v>46067</v>
      </c>
      <c r="AE3" s="141"/>
      <c r="AF3" s="141">
        <v>46068</v>
      </c>
      <c r="AG3" s="141"/>
      <c r="AH3" s="60"/>
      <c r="AI3" s="92"/>
      <c r="AJ3" s="141">
        <v>46069</v>
      </c>
      <c r="AK3" s="146"/>
      <c r="AL3" s="141">
        <v>46070</v>
      </c>
      <c r="AM3" s="146"/>
      <c r="AN3" s="141">
        <v>46071</v>
      </c>
      <c r="AO3" s="146"/>
      <c r="AP3" s="141">
        <v>46072</v>
      </c>
      <c r="AQ3" s="146"/>
      <c r="AR3" s="141">
        <v>46073</v>
      </c>
      <c r="AS3" s="146"/>
      <c r="AT3" s="141">
        <v>46074</v>
      </c>
      <c r="AU3" s="146"/>
      <c r="AV3" s="141">
        <v>46075</v>
      </c>
      <c r="AW3" s="146"/>
      <c r="AX3" s="141">
        <v>46076</v>
      </c>
      <c r="AY3" s="146"/>
      <c r="AZ3" s="141">
        <v>46077</v>
      </c>
      <c r="BA3" s="146"/>
      <c r="BB3" s="141">
        <v>46078</v>
      </c>
      <c r="BC3" s="146"/>
      <c r="BD3" s="141">
        <v>46079</v>
      </c>
      <c r="BE3" s="146"/>
      <c r="BF3" s="141">
        <v>46080</v>
      </c>
      <c r="BG3" s="146"/>
      <c r="BH3" s="141">
        <v>46081</v>
      </c>
      <c r="BI3" s="146"/>
      <c r="BJ3" s="161"/>
      <c r="BK3" s="151"/>
      <c r="BL3" s="2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CB3" s="90" t="s">
        <v>241</v>
      </c>
      <c r="CC3" s="90"/>
      <c r="CD3" s="90"/>
      <c r="CE3" s="90"/>
      <c r="CF3" s="90"/>
      <c r="CG3" s="90"/>
      <c r="CH3" s="90"/>
      <c r="CI3" s="90"/>
      <c r="CJ3" s="90"/>
      <c r="CK3" s="90"/>
      <c r="CL3" s="56"/>
    </row>
    <row r="4" spans="1:90" ht="20.25" customHeight="1" x14ac:dyDescent="0.25">
      <c r="A4" s="5" t="s">
        <v>10</v>
      </c>
      <c r="B4" s="5" t="s">
        <v>11</v>
      </c>
      <c r="C4" s="5" t="s">
        <v>12</v>
      </c>
      <c r="D4" s="22" t="s">
        <v>13</v>
      </c>
      <c r="E4" s="22" t="s">
        <v>14</v>
      </c>
      <c r="F4" s="22" t="s">
        <v>13</v>
      </c>
      <c r="G4" s="22" t="s">
        <v>14</v>
      </c>
      <c r="H4" s="22" t="s">
        <v>13</v>
      </c>
      <c r="I4" s="22" t="s">
        <v>14</v>
      </c>
      <c r="J4" s="22" t="s">
        <v>13</v>
      </c>
      <c r="K4" s="22" t="s">
        <v>14</v>
      </c>
      <c r="L4" s="22" t="s">
        <v>13</v>
      </c>
      <c r="M4" s="22" t="s">
        <v>14</v>
      </c>
      <c r="N4" s="22" t="s">
        <v>13</v>
      </c>
      <c r="O4" s="22" t="s">
        <v>14</v>
      </c>
      <c r="P4" s="22" t="s">
        <v>13</v>
      </c>
      <c r="Q4" s="22" t="s">
        <v>14</v>
      </c>
      <c r="R4" s="22" t="s">
        <v>13</v>
      </c>
      <c r="S4" s="22" t="s">
        <v>14</v>
      </c>
      <c r="T4" s="22" t="s">
        <v>13</v>
      </c>
      <c r="U4" s="22" t="s">
        <v>14</v>
      </c>
      <c r="V4" s="22" t="s">
        <v>13</v>
      </c>
      <c r="W4" s="22" t="s">
        <v>14</v>
      </c>
      <c r="X4" s="5" t="s">
        <v>13</v>
      </c>
      <c r="Y4" s="5" t="s">
        <v>14</v>
      </c>
      <c r="Z4" s="22" t="s">
        <v>13</v>
      </c>
      <c r="AA4" s="22" t="s">
        <v>14</v>
      </c>
      <c r="AB4" s="22" t="s">
        <v>13</v>
      </c>
      <c r="AC4" s="22" t="s">
        <v>14</v>
      </c>
      <c r="AD4" s="22" t="s">
        <v>13</v>
      </c>
      <c r="AE4" s="22" t="s">
        <v>14</v>
      </c>
      <c r="AF4" s="22" t="s">
        <v>13</v>
      </c>
      <c r="AG4" s="23" t="s">
        <v>14</v>
      </c>
      <c r="AH4" s="60"/>
      <c r="AI4" s="130"/>
      <c r="AJ4" s="22" t="s">
        <v>13</v>
      </c>
      <c r="AK4" s="23" t="s">
        <v>14</v>
      </c>
      <c r="AL4" s="22" t="s">
        <v>13</v>
      </c>
      <c r="AM4" s="23" t="s">
        <v>14</v>
      </c>
      <c r="AN4" s="22" t="s">
        <v>13</v>
      </c>
      <c r="AO4" s="23" t="s">
        <v>14</v>
      </c>
      <c r="AP4" s="22" t="s">
        <v>13</v>
      </c>
      <c r="AQ4" s="23" t="s">
        <v>14</v>
      </c>
      <c r="AR4" s="22" t="s">
        <v>13</v>
      </c>
      <c r="AS4" s="23" t="s">
        <v>14</v>
      </c>
      <c r="AT4" s="22" t="s">
        <v>13</v>
      </c>
      <c r="AU4" s="23" t="s">
        <v>14</v>
      </c>
      <c r="AV4" s="22" t="s">
        <v>13</v>
      </c>
      <c r="AW4" s="23" t="s">
        <v>14</v>
      </c>
      <c r="AX4" s="22" t="s">
        <v>13</v>
      </c>
      <c r="AY4" s="23" t="s">
        <v>14</v>
      </c>
      <c r="AZ4" s="22" t="s">
        <v>13</v>
      </c>
      <c r="BA4" s="23" t="s">
        <v>14</v>
      </c>
      <c r="BB4" s="22" t="s">
        <v>13</v>
      </c>
      <c r="BC4" s="23" t="s">
        <v>14</v>
      </c>
      <c r="BD4" s="22" t="s">
        <v>13</v>
      </c>
      <c r="BE4" s="23" t="s">
        <v>14</v>
      </c>
      <c r="BF4" s="22" t="s">
        <v>13</v>
      </c>
      <c r="BG4" s="23" t="s">
        <v>14</v>
      </c>
      <c r="BH4" s="22" t="s">
        <v>13</v>
      </c>
      <c r="BI4" s="23" t="s">
        <v>14</v>
      </c>
      <c r="BJ4" s="162"/>
      <c r="BK4" s="152"/>
      <c r="BL4" s="6"/>
      <c r="BM4" s="7" t="s">
        <v>15</v>
      </c>
      <c r="BN4" s="7" t="s">
        <v>16</v>
      </c>
      <c r="BO4" s="7" t="s">
        <v>17</v>
      </c>
      <c r="BP4" s="7" t="s">
        <v>18</v>
      </c>
      <c r="BQ4" s="7" t="s">
        <v>19</v>
      </c>
      <c r="BR4" s="7" t="s">
        <v>20</v>
      </c>
      <c r="BS4" s="7" t="s">
        <v>21</v>
      </c>
      <c r="BT4" s="7" t="s">
        <v>22</v>
      </c>
      <c r="BU4" s="7" t="s">
        <v>23</v>
      </c>
      <c r="BV4" s="7" t="s">
        <v>24</v>
      </c>
      <c r="BW4" s="7" t="s">
        <v>25</v>
      </c>
      <c r="BX4" s="8" t="s">
        <v>26</v>
      </c>
      <c r="CB4" s="84" t="s">
        <v>16</v>
      </c>
      <c r="CC4" s="85" t="s">
        <v>17</v>
      </c>
      <c r="CD4" s="85" t="s">
        <v>18</v>
      </c>
      <c r="CE4" s="85" t="s">
        <v>19</v>
      </c>
      <c r="CF4" s="85" t="s">
        <v>20</v>
      </c>
      <c r="CG4" s="85" t="s">
        <v>21</v>
      </c>
      <c r="CH4" s="85" t="s">
        <v>22</v>
      </c>
      <c r="CI4" s="85" t="s">
        <v>23</v>
      </c>
      <c r="CJ4" s="85" t="s">
        <v>24</v>
      </c>
      <c r="CK4" s="85" t="s">
        <v>25</v>
      </c>
      <c r="CL4" s="86" t="s">
        <v>220</v>
      </c>
    </row>
    <row r="5" spans="1:90" ht="22.5" customHeight="1" x14ac:dyDescent="0.25">
      <c r="A5" s="18">
        <v>1</v>
      </c>
      <c r="B5" s="20" t="s">
        <v>27</v>
      </c>
      <c r="C5" s="9" t="s">
        <v>28</v>
      </c>
      <c r="D5" s="73">
        <v>0.38680555555555557</v>
      </c>
      <c r="E5" s="121">
        <v>1</v>
      </c>
      <c r="F5" s="73">
        <v>0.38750000000000001</v>
      </c>
      <c r="G5" s="73">
        <v>0.76041666666666663</v>
      </c>
      <c r="H5" s="73">
        <v>0.38541666666666669</v>
      </c>
      <c r="I5" s="73">
        <v>0.76458333333333339</v>
      </c>
      <c r="J5" s="73">
        <v>0.38194444444444442</v>
      </c>
      <c r="K5" s="121">
        <v>1</v>
      </c>
      <c r="L5" s="73">
        <v>0.48819444444444443</v>
      </c>
      <c r="M5" s="73">
        <v>0.7270833333333333</v>
      </c>
      <c r="N5" s="122" t="s">
        <v>15</v>
      </c>
      <c r="O5" s="126" t="s">
        <v>15</v>
      </c>
      <c r="P5" s="105">
        <v>0.44097222222222227</v>
      </c>
      <c r="Q5" s="105">
        <v>0.75902777777777775</v>
      </c>
      <c r="R5" s="105">
        <v>0.38750000000000001</v>
      </c>
      <c r="S5" s="121">
        <v>1</v>
      </c>
      <c r="T5" s="105">
        <v>0.38541666666666669</v>
      </c>
      <c r="U5" s="105">
        <v>0.74375000000000002</v>
      </c>
      <c r="V5" s="105">
        <v>0.39097222222222222</v>
      </c>
      <c r="W5" s="105">
        <v>0.75208333333333333</v>
      </c>
      <c r="X5" s="105">
        <v>0.43611111111111112</v>
      </c>
      <c r="Y5" s="105">
        <v>0.75694444444444453</v>
      </c>
      <c r="Z5" s="105">
        <v>0.39652777777777781</v>
      </c>
      <c r="AA5" s="105">
        <v>0.76736111111111116</v>
      </c>
      <c r="AB5" s="122" t="s">
        <v>15</v>
      </c>
      <c r="AC5" s="126" t="s">
        <v>15</v>
      </c>
      <c r="AD5" s="105">
        <v>0.42569444444444443</v>
      </c>
      <c r="AE5" s="105">
        <v>0.75138888888888899</v>
      </c>
      <c r="AF5" s="105">
        <v>0.39513888888888887</v>
      </c>
      <c r="AG5" s="105">
        <v>0.76736111111111116</v>
      </c>
      <c r="AH5" s="120"/>
      <c r="AI5" s="18">
        <v>1</v>
      </c>
      <c r="AJ5" s="105">
        <v>0.375</v>
      </c>
      <c r="AK5" s="105">
        <v>0.77777777777777779</v>
      </c>
      <c r="AL5" s="105">
        <v>0.375</v>
      </c>
      <c r="AM5" s="105">
        <v>0.76736111111111116</v>
      </c>
      <c r="AN5" s="133" t="s">
        <v>25</v>
      </c>
      <c r="AO5" s="133" t="s">
        <v>25</v>
      </c>
      <c r="AP5" s="105">
        <v>0.37847222222222227</v>
      </c>
      <c r="AQ5" s="105">
        <v>0.71319444444444446</v>
      </c>
      <c r="AR5" s="107" t="s">
        <v>15</v>
      </c>
      <c r="AS5" s="107" t="s">
        <v>15</v>
      </c>
      <c r="AT5" s="105">
        <v>0.42222222222222222</v>
      </c>
      <c r="AU5" s="105">
        <v>0.73819444444444438</v>
      </c>
      <c r="AV5" s="121">
        <v>1</v>
      </c>
      <c r="AW5" s="105">
        <v>0.72083333333333333</v>
      </c>
      <c r="AX5" s="105">
        <v>0.38611111111111113</v>
      </c>
      <c r="AY5" s="105">
        <v>0.73055555555555562</v>
      </c>
      <c r="AZ5" s="105">
        <v>0.39513888888888887</v>
      </c>
      <c r="BA5" s="105">
        <v>0.71388888888888891</v>
      </c>
      <c r="BB5" s="105">
        <v>0.39374999999999999</v>
      </c>
      <c r="BC5" s="105">
        <v>0.7319444444444444</v>
      </c>
      <c r="BD5" s="105">
        <v>0.3923611111111111</v>
      </c>
      <c r="BE5" s="105">
        <v>0.72777777777777775</v>
      </c>
      <c r="BF5" s="122" t="s">
        <v>15</v>
      </c>
      <c r="BG5" s="126" t="s">
        <v>15</v>
      </c>
      <c r="BH5" s="105">
        <v>0.45</v>
      </c>
      <c r="BI5" s="105">
        <v>0.73333333333333339</v>
      </c>
      <c r="BJ5" s="12">
        <f>BL5+BM5+BO5+BP5+BT5+BR5+BS5+BW5</f>
        <v>28</v>
      </c>
      <c r="BK5" s="112">
        <v>0</v>
      </c>
      <c r="BL5" s="2">
        <f t="shared" ref="BL5" si="0">COUNT(D5:AG5)/2+COUNT(AJ5:BI5)/2</f>
        <v>23</v>
      </c>
      <c r="BM5" s="3">
        <f t="shared" ref="BM5" si="1">COUNTIF(D5:BI5,"OFF")/2</f>
        <v>4</v>
      </c>
      <c r="BN5" s="3">
        <f t="shared" ref="BN5" si="2">COUNTIF(D5:BI5,"MC")/2</f>
        <v>0</v>
      </c>
      <c r="BO5" s="3">
        <f t="shared" ref="BO5" si="3">COUNTIF(D5:BI5,"EL")/2</f>
        <v>0</v>
      </c>
      <c r="BP5" s="3">
        <f t="shared" ref="BP5" si="4">COUNTIF(D5:BI5,"AL")/2</f>
        <v>0</v>
      </c>
      <c r="BQ5" s="3">
        <f t="shared" ref="BQ5" si="5">COUNTIF(D5:BI5,"SUS")/2</f>
        <v>0</v>
      </c>
      <c r="BR5" s="3">
        <f t="shared" ref="BR5" si="6">COUNTIF(D5:BI5,"FL")/2</f>
        <v>0</v>
      </c>
      <c r="BS5" s="3">
        <f t="shared" ref="BS5" si="7">COUNTIF(D5:BI5,"SICK")/2</f>
        <v>0</v>
      </c>
      <c r="BT5" s="3">
        <f t="shared" ref="BT5" si="8">COUNTIF(D5:BI5,"HD")/2</f>
        <v>0</v>
      </c>
      <c r="BU5" s="3">
        <f t="shared" ref="BU5" si="9">COUNTIF(D5:BI5,"AB")/2</f>
        <v>0</v>
      </c>
      <c r="BV5" s="3">
        <f t="shared" ref="BV5" si="10">COUNTIF(D5:BI5,"NL")/2</f>
        <v>0</v>
      </c>
      <c r="BW5" s="3">
        <f t="shared" ref="BW5" si="11">COUNTIF(D5:BI5,"SP")/2</f>
        <v>1</v>
      </c>
      <c r="BX5" s="118"/>
      <c r="CB5" s="87">
        <v>0</v>
      </c>
      <c r="CC5" s="87">
        <v>0</v>
      </c>
      <c r="CD5" s="88">
        <v>25</v>
      </c>
      <c r="CE5" s="87">
        <v>0</v>
      </c>
      <c r="CF5" s="88">
        <v>1</v>
      </c>
      <c r="CG5" s="88">
        <v>3</v>
      </c>
      <c r="CH5" s="87">
        <v>0</v>
      </c>
      <c r="CI5" s="87">
        <v>0</v>
      </c>
      <c r="CJ5" s="87">
        <v>0</v>
      </c>
      <c r="CK5" s="87">
        <v>0</v>
      </c>
      <c r="CL5" s="83">
        <f>SUM(CB5:CK5)</f>
        <v>29</v>
      </c>
    </row>
    <row r="6" spans="1:90" ht="21" customHeight="1" x14ac:dyDescent="0.25">
      <c r="A6" s="18">
        <v>2</v>
      </c>
      <c r="B6" s="20" t="s">
        <v>29</v>
      </c>
      <c r="C6" s="9" t="s">
        <v>30</v>
      </c>
      <c r="D6" s="73">
        <v>0.40069444444444446</v>
      </c>
      <c r="E6" s="121">
        <v>1</v>
      </c>
      <c r="F6" s="73">
        <v>0.40625</v>
      </c>
      <c r="G6" s="121">
        <v>1</v>
      </c>
      <c r="H6" s="73">
        <v>0.40763888888888888</v>
      </c>
      <c r="I6" s="121">
        <v>1</v>
      </c>
      <c r="J6" s="73">
        <v>0.41111111111111115</v>
      </c>
      <c r="K6" s="121">
        <v>1</v>
      </c>
      <c r="L6" s="73">
        <v>0.41319444444444442</v>
      </c>
      <c r="M6" s="121">
        <v>1</v>
      </c>
      <c r="N6" s="76">
        <v>0.65347222222222223</v>
      </c>
      <c r="O6" s="126">
        <v>1</v>
      </c>
      <c r="P6" s="105">
        <v>0.4201388888888889</v>
      </c>
      <c r="Q6" s="121">
        <v>1</v>
      </c>
      <c r="R6" s="105">
        <v>0.40416666666666662</v>
      </c>
      <c r="S6" s="121">
        <v>1</v>
      </c>
      <c r="T6" s="105">
        <v>0.41388888888888892</v>
      </c>
      <c r="U6" s="121">
        <v>1</v>
      </c>
      <c r="V6" s="105">
        <v>0.41666666666666669</v>
      </c>
      <c r="W6" s="121">
        <v>1</v>
      </c>
      <c r="X6" s="105">
        <v>0.41666666666666669</v>
      </c>
      <c r="Y6" s="121">
        <v>1</v>
      </c>
      <c r="Z6" s="105">
        <v>0.42083333333333334</v>
      </c>
      <c r="AA6" s="121">
        <v>1</v>
      </c>
      <c r="AB6" s="107">
        <v>0.66319444444444442</v>
      </c>
      <c r="AC6" s="122">
        <v>1</v>
      </c>
      <c r="AD6" s="105">
        <v>0.42499999999999999</v>
      </c>
      <c r="AE6" s="121">
        <v>1</v>
      </c>
      <c r="AF6" s="105">
        <v>0.41736111111111113</v>
      </c>
      <c r="AG6" s="121">
        <v>1</v>
      </c>
      <c r="AI6" s="18">
        <v>2</v>
      </c>
      <c r="AJ6" s="105">
        <v>0.41388888888888892</v>
      </c>
      <c r="AK6" s="121">
        <v>1</v>
      </c>
      <c r="AL6" s="105">
        <v>0.40763888888888888</v>
      </c>
      <c r="AM6" s="121">
        <v>1</v>
      </c>
      <c r="AN6" s="105">
        <v>0.42152777777777778</v>
      </c>
      <c r="AO6" s="121">
        <v>1</v>
      </c>
      <c r="AP6" s="105">
        <v>0.41041666666666665</v>
      </c>
      <c r="AQ6" s="121">
        <v>1</v>
      </c>
      <c r="AR6" s="107">
        <v>0.62569444444444444</v>
      </c>
      <c r="AS6" s="122">
        <v>1</v>
      </c>
      <c r="AT6" s="105">
        <v>0.41944444444444445</v>
      </c>
      <c r="AU6" s="121">
        <v>1</v>
      </c>
      <c r="AV6" s="105">
        <v>0.4145833333333333</v>
      </c>
      <c r="AW6" s="121">
        <v>1</v>
      </c>
      <c r="AX6" s="105">
        <v>0.4145833333333333</v>
      </c>
      <c r="AY6" s="121">
        <v>1</v>
      </c>
      <c r="AZ6" s="105">
        <v>0.42569444444444443</v>
      </c>
      <c r="BA6" s="121">
        <v>1</v>
      </c>
      <c r="BB6" s="105">
        <v>0.41597222222222219</v>
      </c>
      <c r="BC6" s="121">
        <v>1</v>
      </c>
      <c r="BD6" s="105">
        <v>0.41597222222222219</v>
      </c>
      <c r="BE6" s="121">
        <v>1</v>
      </c>
      <c r="BF6" s="107">
        <v>0.61249999999999993</v>
      </c>
      <c r="BG6" s="122">
        <v>1</v>
      </c>
      <c r="BH6" s="105">
        <v>0.45208333333333334</v>
      </c>
      <c r="BI6" s="121">
        <v>1</v>
      </c>
      <c r="BJ6" s="12">
        <f t="shared" ref="BJ6:BJ29" si="12">BL6+BM6+BO6+BP6+BT6+BR6+BS6+BW6</f>
        <v>28</v>
      </c>
      <c r="BK6" s="112">
        <v>4</v>
      </c>
      <c r="BL6" s="2">
        <f t="shared" ref="BL6:BL29" si="13">COUNT(D6:AG6)/2+COUNT(AJ6:BI6)/2</f>
        <v>28</v>
      </c>
      <c r="BM6" s="3">
        <f t="shared" ref="BM6:BM29" si="14">COUNTIF(D6:BI6,"OFF")/2</f>
        <v>0</v>
      </c>
      <c r="BN6" s="3">
        <f t="shared" ref="BN6:BN29" si="15">COUNTIF(D6:BI6,"MC")/2</f>
        <v>0</v>
      </c>
      <c r="BO6" s="3">
        <f t="shared" ref="BO6:BO29" si="16">COUNTIF(D6:BI6,"EL")/2</f>
        <v>0</v>
      </c>
      <c r="BP6" s="3">
        <f t="shared" ref="BP6:BP29" si="17">COUNTIF(D6:BI6,"AL")/2</f>
        <v>0</v>
      </c>
      <c r="BQ6" s="3">
        <f t="shared" ref="BQ6:BQ29" si="18">COUNTIF(D6:BI6,"SUS")/2</f>
        <v>0</v>
      </c>
      <c r="BR6" s="3">
        <f t="shared" ref="BR6:BR29" si="19">COUNTIF(D6:BI6,"FL")/2</f>
        <v>0</v>
      </c>
      <c r="BS6" s="3">
        <f t="shared" ref="BS6:BS29" si="20">COUNTIF(D6:BI6,"SICK")/2</f>
        <v>0</v>
      </c>
      <c r="BT6" s="3">
        <f t="shared" ref="BT6:BT29" si="21">COUNTIF(D6:BI6,"HD")/2</f>
        <v>0</v>
      </c>
      <c r="BU6" s="3">
        <f t="shared" ref="BU6:BU29" si="22">COUNTIF(D6:BI6,"AB")/2</f>
        <v>0</v>
      </c>
      <c r="BV6" s="3">
        <f t="shared" ref="BV6:BV29" si="23">COUNTIF(D6:BI6,"NL")/2</f>
        <v>0</v>
      </c>
      <c r="BW6" s="3">
        <f t="shared" ref="BW6:BW29" si="24">COUNTIF(D6:BI6,"SP")/2</f>
        <v>0</v>
      </c>
      <c r="BX6" s="118"/>
      <c r="CB6" s="87">
        <v>0</v>
      </c>
      <c r="CC6" s="87">
        <v>39</v>
      </c>
      <c r="CD6" s="88">
        <v>0</v>
      </c>
      <c r="CE6" s="87">
        <v>0</v>
      </c>
      <c r="CF6" s="87">
        <v>0</v>
      </c>
      <c r="CG6" s="87">
        <v>1</v>
      </c>
      <c r="CH6" s="87">
        <v>0</v>
      </c>
      <c r="CI6" s="87">
        <v>0</v>
      </c>
      <c r="CJ6" s="87">
        <v>0</v>
      </c>
      <c r="CK6" s="87">
        <v>0</v>
      </c>
      <c r="CL6" s="83">
        <f>SUM(CB6:CK6)</f>
        <v>40</v>
      </c>
    </row>
    <row r="7" spans="1:90" ht="21" customHeight="1" x14ac:dyDescent="0.25">
      <c r="A7" s="18">
        <v>3</v>
      </c>
      <c r="B7" s="20" t="s">
        <v>31</v>
      </c>
      <c r="C7" s="9" t="s">
        <v>32</v>
      </c>
      <c r="D7" s="73">
        <v>0.37361111111111112</v>
      </c>
      <c r="E7" s="73">
        <v>1.0416666666666666E-2</v>
      </c>
      <c r="F7" s="73">
        <v>0.3756944444444445</v>
      </c>
      <c r="G7" s="73">
        <v>0.99930555555555556</v>
      </c>
      <c r="H7" s="73">
        <v>0.37638888888888888</v>
      </c>
      <c r="I7" s="73">
        <v>0.98958333333333337</v>
      </c>
      <c r="J7" s="73">
        <v>0.37916666666666665</v>
      </c>
      <c r="K7" s="73">
        <v>0.99652777777777779</v>
      </c>
      <c r="L7" s="73">
        <v>0.38125000000000003</v>
      </c>
      <c r="M7" s="73">
        <v>2.4305555555555556E-2</v>
      </c>
      <c r="N7" s="76">
        <v>0.60763888888888895</v>
      </c>
      <c r="O7" s="127">
        <v>0.76180555555555562</v>
      </c>
      <c r="P7" s="105">
        <v>0.41597222222222219</v>
      </c>
      <c r="Q7" s="105">
        <v>2.0833333333333332E-2</v>
      </c>
      <c r="R7" s="105">
        <v>0.37708333333333338</v>
      </c>
      <c r="S7" s="105">
        <v>0.98749999999999993</v>
      </c>
      <c r="T7" s="105">
        <v>0.38125000000000003</v>
      </c>
      <c r="U7" s="105">
        <v>0.9902777777777777</v>
      </c>
      <c r="V7" s="105">
        <v>0.37847222222222227</v>
      </c>
      <c r="W7" s="105">
        <v>0.98541666666666661</v>
      </c>
      <c r="X7" s="105">
        <v>0.37638888888888888</v>
      </c>
      <c r="Y7" s="105">
        <v>1.5972222222222224E-2</v>
      </c>
      <c r="Z7" s="105">
        <v>0.42152777777777778</v>
      </c>
      <c r="AA7" s="105">
        <v>6.2499999999999995E-3</v>
      </c>
      <c r="AB7" s="107">
        <v>0.61597222222222225</v>
      </c>
      <c r="AC7" s="107">
        <v>0.77013888888888893</v>
      </c>
      <c r="AD7" s="105">
        <v>0.41875000000000001</v>
      </c>
      <c r="AE7" s="105">
        <v>9.7222222222222224E-3</v>
      </c>
      <c r="AF7" s="105">
        <v>0.40972222222222227</v>
      </c>
      <c r="AG7" s="105">
        <v>6.2499999999999995E-3</v>
      </c>
      <c r="AI7" s="18">
        <v>3</v>
      </c>
      <c r="AJ7" s="105">
        <v>0.3756944444444445</v>
      </c>
      <c r="AK7" s="105">
        <v>9.7222222222222224E-3</v>
      </c>
      <c r="AL7" s="105">
        <v>0.37361111111111112</v>
      </c>
      <c r="AM7" s="105">
        <v>4.3055555555555562E-2</v>
      </c>
      <c r="AN7" s="105">
        <v>0.52569444444444446</v>
      </c>
      <c r="AO7" s="105">
        <v>4.4444444444444446E-2</v>
      </c>
      <c r="AP7" s="105">
        <v>0.39583333333333331</v>
      </c>
      <c r="AQ7" s="105">
        <v>5.8333333333333327E-2</v>
      </c>
      <c r="AR7" s="107">
        <v>0.60833333333333328</v>
      </c>
      <c r="AS7" s="107">
        <v>0.71458333333333324</v>
      </c>
      <c r="AT7" s="105">
        <v>0.39583333333333331</v>
      </c>
      <c r="AU7" s="105">
        <v>4.0972222222222222E-2</v>
      </c>
      <c r="AV7" s="105">
        <v>0.39374999999999999</v>
      </c>
      <c r="AW7" s="105">
        <v>0.70277777777777783</v>
      </c>
      <c r="AX7" s="105">
        <v>0.39583333333333331</v>
      </c>
      <c r="AY7" s="105">
        <v>5.6944444444444443E-2</v>
      </c>
      <c r="AZ7" s="105">
        <v>0.39930555555555558</v>
      </c>
      <c r="BA7" s="105">
        <v>8.7500000000000008E-2</v>
      </c>
      <c r="BB7" s="105">
        <v>0.40138888888888885</v>
      </c>
      <c r="BC7" s="105">
        <v>6.458333333333334E-2</v>
      </c>
      <c r="BD7" s="105">
        <v>0.39583333333333331</v>
      </c>
      <c r="BE7" s="105">
        <v>5.9027777777777783E-2</v>
      </c>
      <c r="BF7" s="107">
        <v>0.59583333333333333</v>
      </c>
      <c r="BG7" s="107">
        <v>0.74236111111111114</v>
      </c>
      <c r="BH7" s="105">
        <v>0.3972222222222222</v>
      </c>
      <c r="BI7" s="105">
        <v>6.5972222222222224E-2</v>
      </c>
      <c r="BJ7" s="12">
        <f t="shared" si="12"/>
        <v>28</v>
      </c>
      <c r="BK7" s="112">
        <v>4</v>
      </c>
      <c r="BL7" s="2">
        <f t="shared" si="13"/>
        <v>28</v>
      </c>
      <c r="BM7" s="3">
        <f t="shared" si="14"/>
        <v>0</v>
      </c>
      <c r="BN7" s="3">
        <f t="shared" si="15"/>
        <v>0</v>
      </c>
      <c r="BO7" s="3">
        <f t="shared" si="16"/>
        <v>0</v>
      </c>
      <c r="BP7" s="3">
        <f t="shared" si="17"/>
        <v>0</v>
      </c>
      <c r="BQ7" s="3">
        <f t="shared" si="18"/>
        <v>0</v>
      </c>
      <c r="BR7" s="3">
        <f t="shared" si="19"/>
        <v>0</v>
      </c>
      <c r="BS7" s="3">
        <f t="shared" si="20"/>
        <v>0</v>
      </c>
      <c r="BT7" s="3">
        <f t="shared" si="21"/>
        <v>0</v>
      </c>
      <c r="BU7" s="3">
        <f t="shared" si="22"/>
        <v>0</v>
      </c>
      <c r="BV7" s="3">
        <f t="shared" si="23"/>
        <v>0</v>
      </c>
      <c r="BW7" s="3">
        <f t="shared" si="24"/>
        <v>0</v>
      </c>
      <c r="BX7" s="118"/>
      <c r="CB7" s="87">
        <v>0</v>
      </c>
      <c r="CC7" s="87">
        <v>0</v>
      </c>
      <c r="CD7" s="88">
        <v>65</v>
      </c>
      <c r="CE7" s="87">
        <v>0</v>
      </c>
      <c r="CF7" s="87">
        <v>0</v>
      </c>
      <c r="CG7" s="87">
        <v>2</v>
      </c>
      <c r="CH7" s="87">
        <v>0</v>
      </c>
      <c r="CI7" s="87">
        <v>0</v>
      </c>
      <c r="CJ7" s="87">
        <v>0</v>
      </c>
      <c r="CK7" s="87">
        <v>0</v>
      </c>
      <c r="CL7" s="89">
        <f t="shared" ref="CL7" si="25">SUM(CB7:CK7)</f>
        <v>67</v>
      </c>
    </row>
    <row r="8" spans="1:90" ht="21" customHeight="1" x14ac:dyDescent="0.25">
      <c r="A8" s="18">
        <v>4</v>
      </c>
      <c r="B8" s="20" t="s">
        <v>33</v>
      </c>
      <c r="C8" s="9" t="s">
        <v>34</v>
      </c>
      <c r="D8" s="73">
        <v>0.3527777777777778</v>
      </c>
      <c r="E8" s="73">
        <v>5.5555555555555558E-3</v>
      </c>
      <c r="F8" s="73">
        <v>0.35000000000000003</v>
      </c>
      <c r="G8" s="73">
        <v>0.99722222222222223</v>
      </c>
      <c r="H8" s="73">
        <v>0.36527777777777781</v>
      </c>
      <c r="I8" s="73">
        <v>0.98888888888888893</v>
      </c>
      <c r="J8" s="73">
        <v>0.3659722222222222</v>
      </c>
      <c r="K8" s="73">
        <v>0.99375000000000002</v>
      </c>
      <c r="L8" s="73">
        <v>0.35416666666666669</v>
      </c>
      <c r="M8" s="73">
        <v>1.2499999999999999E-2</v>
      </c>
      <c r="N8" s="76">
        <v>0.57638888888888895</v>
      </c>
      <c r="O8" s="127">
        <v>0.9868055555555556</v>
      </c>
      <c r="P8" s="105">
        <v>0.375</v>
      </c>
      <c r="Q8" s="105">
        <v>2.7777777777777779E-3</v>
      </c>
      <c r="R8" s="105">
        <v>0.35416666666666669</v>
      </c>
      <c r="S8" s="105">
        <v>0.98749999999999993</v>
      </c>
      <c r="T8" s="105">
        <v>0.35486111111111113</v>
      </c>
      <c r="U8" s="105">
        <v>2.7777777777777779E-3</v>
      </c>
      <c r="V8" s="105">
        <v>0.36736111111111108</v>
      </c>
      <c r="W8" s="105">
        <v>0.98611111111111116</v>
      </c>
      <c r="X8" s="105">
        <v>0.35555555555555557</v>
      </c>
      <c r="Y8" s="105">
        <v>2.0833333333333333E-3</v>
      </c>
      <c r="Z8" s="105">
        <v>0.36319444444444443</v>
      </c>
      <c r="AA8" s="105">
        <v>3.125E-2</v>
      </c>
      <c r="AB8" s="107">
        <v>0.58124999999999993</v>
      </c>
      <c r="AC8" s="107">
        <v>1.5277777777777777E-2</v>
      </c>
      <c r="AD8" s="105">
        <v>0.36180555555555555</v>
      </c>
      <c r="AE8" s="105">
        <v>1.4583333333333332E-2</v>
      </c>
      <c r="AF8" s="105">
        <v>0.36736111111111108</v>
      </c>
      <c r="AG8" s="105">
        <v>3.125E-2</v>
      </c>
      <c r="AI8" s="18">
        <v>4</v>
      </c>
      <c r="AJ8" s="105">
        <v>0.35902777777777778</v>
      </c>
      <c r="AK8" s="105">
        <v>8.3333333333333332E-3</v>
      </c>
      <c r="AL8" s="105">
        <v>0.35833333333333334</v>
      </c>
      <c r="AM8" s="105">
        <v>7.1527777777777787E-2</v>
      </c>
      <c r="AN8" s="105">
        <v>0.38055555555555554</v>
      </c>
      <c r="AO8" s="105">
        <v>6.3194444444444442E-2</v>
      </c>
      <c r="AP8" s="105">
        <v>0.39374999999999999</v>
      </c>
      <c r="AQ8" s="105">
        <v>6.7361111111111108E-2</v>
      </c>
      <c r="AR8" s="107">
        <v>0.57638888888888895</v>
      </c>
      <c r="AS8" s="107">
        <v>8.4027777777777771E-2</v>
      </c>
      <c r="AT8" s="105">
        <v>0.36874999999999997</v>
      </c>
      <c r="AU8" s="105">
        <v>5.0694444444444452E-2</v>
      </c>
      <c r="AV8" s="105">
        <v>0.37916666666666665</v>
      </c>
      <c r="AW8" s="105">
        <v>0.84652777777777777</v>
      </c>
      <c r="AX8" s="105">
        <v>0.37638888888888888</v>
      </c>
      <c r="AY8" s="105">
        <v>5.6250000000000001E-2</v>
      </c>
      <c r="AZ8" s="105">
        <v>0.37777777777777777</v>
      </c>
      <c r="BA8" s="105">
        <v>6.25E-2</v>
      </c>
      <c r="BB8" s="105">
        <v>0.37361111111111112</v>
      </c>
      <c r="BC8" s="105">
        <v>7.4999999999999997E-2</v>
      </c>
      <c r="BD8" s="105">
        <v>0.37291666666666662</v>
      </c>
      <c r="BE8" s="105">
        <v>5.6250000000000001E-2</v>
      </c>
      <c r="BF8" s="107">
        <v>0.57777777777777783</v>
      </c>
      <c r="BG8" s="107">
        <v>6.1111111111111116E-2</v>
      </c>
      <c r="BH8" s="105">
        <v>0.37986111111111115</v>
      </c>
      <c r="BI8" s="105">
        <v>7.6388888888888895E-2</v>
      </c>
      <c r="BJ8" s="12">
        <f t="shared" si="12"/>
        <v>28</v>
      </c>
      <c r="BK8" s="112">
        <v>4</v>
      </c>
      <c r="BL8" s="2">
        <f t="shared" si="13"/>
        <v>28</v>
      </c>
      <c r="BM8" s="3">
        <f t="shared" si="14"/>
        <v>0</v>
      </c>
      <c r="BN8" s="3">
        <f t="shared" si="15"/>
        <v>0</v>
      </c>
      <c r="BO8" s="3">
        <f t="shared" si="16"/>
        <v>0</v>
      </c>
      <c r="BP8" s="3">
        <f t="shared" si="17"/>
        <v>0</v>
      </c>
      <c r="BQ8" s="3">
        <f t="shared" si="18"/>
        <v>0</v>
      </c>
      <c r="BR8" s="3">
        <f t="shared" si="19"/>
        <v>0</v>
      </c>
      <c r="BS8" s="3">
        <f t="shared" si="20"/>
        <v>0</v>
      </c>
      <c r="BT8" s="3">
        <f t="shared" si="21"/>
        <v>0</v>
      </c>
      <c r="BU8" s="3">
        <f t="shared" si="22"/>
        <v>0</v>
      </c>
      <c r="BV8" s="3">
        <f t="shared" si="23"/>
        <v>0</v>
      </c>
      <c r="BW8" s="3">
        <f t="shared" si="24"/>
        <v>0</v>
      </c>
      <c r="BX8" s="118"/>
      <c r="CB8" s="87">
        <v>0</v>
      </c>
      <c r="CC8" s="87">
        <v>0</v>
      </c>
      <c r="CD8" s="88">
        <v>23</v>
      </c>
      <c r="CE8" s="87">
        <v>0</v>
      </c>
      <c r="CF8" s="87">
        <v>0</v>
      </c>
      <c r="CG8" s="87">
        <v>0</v>
      </c>
      <c r="CH8" s="87">
        <v>0</v>
      </c>
      <c r="CI8" s="87">
        <v>0</v>
      </c>
      <c r="CJ8" s="87">
        <v>0</v>
      </c>
      <c r="CK8" s="87">
        <v>0</v>
      </c>
      <c r="CL8" s="89">
        <f t="shared" ref="CL8:CL9" si="26">SUM(CB8:CK8)</f>
        <v>23</v>
      </c>
    </row>
    <row r="9" spans="1:90" ht="21" customHeight="1" x14ac:dyDescent="0.25">
      <c r="A9" s="18">
        <v>5</v>
      </c>
      <c r="B9" s="20" t="s">
        <v>35</v>
      </c>
      <c r="C9" s="9" t="s">
        <v>36</v>
      </c>
      <c r="D9" s="73">
        <v>0.35555555555555557</v>
      </c>
      <c r="E9" s="73">
        <v>0.91805555555555562</v>
      </c>
      <c r="F9" s="73">
        <v>0.35833333333333334</v>
      </c>
      <c r="G9" s="73">
        <v>0.95763888888888893</v>
      </c>
      <c r="H9" s="73">
        <v>0.3659722222222222</v>
      </c>
      <c r="I9" s="73">
        <v>0.92222222222222217</v>
      </c>
      <c r="J9" s="73">
        <v>0.37708333333333338</v>
      </c>
      <c r="K9" s="73">
        <v>0.9506944444444444</v>
      </c>
      <c r="L9" s="73">
        <v>0.35833333333333334</v>
      </c>
      <c r="M9" s="73">
        <v>0.97083333333333333</v>
      </c>
      <c r="N9" s="76">
        <v>0.57361111111111118</v>
      </c>
      <c r="O9" s="127">
        <v>0.93055555555555547</v>
      </c>
      <c r="P9" s="105">
        <v>0.36874999999999997</v>
      </c>
      <c r="Q9" s="105">
        <v>0.93680555555555556</v>
      </c>
      <c r="R9" s="105">
        <v>0.35902777777777778</v>
      </c>
      <c r="S9" s="105">
        <v>0.92152777777777783</v>
      </c>
      <c r="T9" s="105">
        <v>0.36388888888888887</v>
      </c>
      <c r="U9" s="105">
        <v>0.92708333333333337</v>
      </c>
      <c r="V9" s="105">
        <v>0.37638888888888888</v>
      </c>
      <c r="W9" s="105">
        <v>0.94027777777777777</v>
      </c>
      <c r="X9" s="105">
        <v>0.36041666666666666</v>
      </c>
      <c r="Y9" s="105">
        <v>0.94027777777777777</v>
      </c>
      <c r="Z9" s="105">
        <v>0.35972222222222222</v>
      </c>
      <c r="AA9" s="105">
        <v>0.94166666666666676</v>
      </c>
      <c r="AB9" s="107">
        <v>0.58124999999999993</v>
      </c>
      <c r="AC9" s="107">
        <v>0.9555555555555556</v>
      </c>
      <c r="AD9" s="105">
        <v>0.3527777777777778</v>
      </c>
      <c r="AE9" s="105">
        <v>1.3194444444444444E-2</v>
      </c>
      <c r="AF9" s="105">
        <v>0.36874999999999997</v>
      </c>
      <c r="AG9" s="105">
        <v>0.92152777777777783</v>
      </c>
      <c r="AH9" s="120"/>
      <c r="AI9" s="18">
        <v>5</v>
      </c>
      <c r="AJ9" s="105">
        <v>0.35416666666666669</v>
      </c>
      <c r="AK9" s="105">
        <v>4.8611111111111112E-3</v>
      </c>
      <c r="AL9" s="105">
        <v>0.35625000000000001</v>
      </c>
      <c r="AM9" s="105">
        <v>4.5833333333333337E-2</v>
      </c>
      <c r="AN9" s="105">
        <v>0.38055555555555554</v>
      </c>
      <c r="AO9" s="105">
        <v>3.0555555555555555E-2</v>
      </c>
      <c r="AP9" s="105">
        <v>0.38194444444444442</v>
      </c>
      <c r="AQ9" s="105">
        <v>5.2777777777777778E-2</v>
      </c>
      <c r="AR9" s="107">
        <v>0.56527777777777777</v>
      </c>
      <c r="AS9" s="107">
        <v>3.125E-2</v>
      </c>
      <c r="AT9" s="105">
        <v>0.34652777777777777</v>
      </c>
      <c r="AU9" s="105">
        <v>4.5833333333333337E-2</v>
      </c>
      <c r="AV9" s="105">
        <v>0.39930555555555558</v>
      </c>
      <c r="AW9" s="121">
        <v>1</v>
      </c>
      <c r="AX9" s="105">
        <v>0.37291666666666662</v>
      </c>
      <c r="AY9" s="105">
        <v>5.9027777777777783E-2</v>
      </c>
      <c r="AZ9" s="105">
        <v>0.36944444444444446</v>
      </c>
      <c r="BA9" s="105">
        <v>0.85</v>
      </c>
      <c r="BB9" s="105">
        <v>0.3743055555555555</v>
      </c>
      <c r="BC9" s="105">
        <v>6.9444444444444434E-2</v>
      </c>
      <c r="BD9" s="105">
        <v>0.3743055555555555</v>
      </c>
      <c r="BE9" s="105">
        <v>4.4444444444444446E-2</v>
      </c>
      <c r="BF9" s="107">
        <v>0.5756944444444444</v>
      </c>
      <c r="BG9" s="107">
        <v>4.9305555555555554E-2</v>
      </c>
      <c r="BH9" s="105">
        <v>0.38125000000000003</v>
      </c>
      <c r="BI9" s="105">
        <v>5.7638888888888885E-2</v>
      </c>
      <c r="BJ9" s="12">
        <f t="shared" si="12"/>
        <v>28</v>
      </c>
      <c r="BK9" s="112">
        <v>4</v>
      </c>
      <c r="BL9" s="2">
        <f t="shared" si="13"/>
        <v>28</v>
      </c>
      <c r="BM9" s="3">
        <f t="shared" si="14"/>
        <v>0</v>
      </c>
      <c r="BN9" s="3">
        <f t="shared" si="15"/>
        <v>0</v>
      </c>
      <c r="BO9" s="3">
        <f t="shared" si="16"/>
        <v>0</v>
      </c>
      <c r="BP9" s="3">
        <f t="shared" si="17"/>
        <v>0</v>
      </c>
      <c r="BQ9" s="3">
        <f t="shared" si="18"/>
        <v>0</v>
      </c>
      <c r="BR9" s="3">
        <f t="shared" si="19"/>
        <v>0</v>
      </c>
      <c r="BS9" s="3">
        <f t="shared" si="20"/>
        <v>0</v>
      </c>
      <c r="BT9" s="3">
        <f t="shared" si="21"/>
        <v>0</v>
      </c>
      <c r="BU9" s="3">
        <f t="shared" si="22"/>
        <v>0</v>
      </c>
      <c r="BV9" s="3">
        <f t="shared" si="23"/>
        <v>0</v>
      </c>
      <c r="BW9" s="3">
        <f t="shared" si="24"/>
        <v>0</v>
      </c>
      <c r="BX9" s="118"/>
      <c r="CB9" s="87">
        <v>0</v>
      </c>
      <c r="CC9" s="87">
        <v>0</v>
      </c>
      <c r="CD9" s="88">
        <v>30</v>
      </c>
      <c r="CE9" s="87">
        <v>0</v>
      </c>
      <c r="CF9" s="87">
        <v>0</v>
      </c>
      <c r="CG9" s="87">
        <v>1</v>
      </c>
      <c r="CH9" s="87">
        <v>0</v>
      </c>
      <c r="CI9" s="87">
        <v>0</v>
      </c>
      <c r="CJ9" s="87">
        <v>0</v>
      </c>
      <c r="CK9" s="87">
        <v>0</v>
      </c>
      <c r="CL9" s="89">
        <f t="shared" si="26"/>
        <v>31</v>
      </c>
    </row>
    <row r="10" spans="1:90" ht="21" customHeight="1" x14ac:dyDescent="0.25">
      <c r="A10" s="18">
        <v>6</v>
      </c>
      <c r="B10" s="20" t="s">
        <v>37</v>
      </c>
      <c r="C10" s="9" t="s">
        <v>38</v>
      </c>
      <c r="D10" s="73">
        <v>0.37291666666666662</v>
      </c>
      <c r="E10" s="73">
        <v>0.73125000000000007</v>
      </c>
      <c r="F10" s="73">
        <v>0.3611111111111111</v>
      </c>
      <c r="G10" s="73">
        <v>0.90555555555555556</v>
      </c>
      <c r="H10" s="73">
        <v>0.34375</v>
      </c>
      <c r="I10" s="73">
        <v>0.75555555555555554</v>
      </c>
      <c r="J10" s="73">
        <v>0.37847222222222227</v>
      </c>
      <c r="K10" s="73">
        <v>0.59583333333333333</v>
      </c>
      <c r="L10" s="73">
        <v>0.37222222222222223</v>
      </c>
      <c r="M10" s="73">
        <v>0.7104166666666667</v>
      </c>
      <c r="N10" s="76">
        <v>0.60069444444444442</v>
      </c>
      <c r="O10" s="127">
        <v>0.62013888888888891</v>
      </c>
      <c r="P10" s="105">
        <v>0.39513888888888887</v>
      </c>
      <c r="Q10" s="105">
        <v>0.7319444444444444</v>
      </c>
      <c r="R10" s="105">
        <v>0.41250000000000003</v>
      </c>
      <c r="S10" s="105">
        <v>0.75</v>
      </c>
      <c r="T10" s="105">
        <v>0.36249999999999999</v>
      </c>
      <c r="U10" s="105">
        <v>0.74513888888888891</v>
      </c>
      <c r="V10" s="105">
        <v>0.37152777777777773</v>
      </c>
      <c r="W10" s="105">
        <v>0.76041666666666663</v>
      </c>
      <c r="X10" s="105">
        <v>0.37222222222222223</v>
      </c>
      <c r="Y10" s="105">
        <v>0.70277777777777783</v>
      </c>
      <c r="Z10" s="105">
        <v>0.3611111111111111</v>
      </c>
      <c r="AA10" s="105">
        <v>0.72361111111111109</v>
      </c>
      <c r="AB10" s="122" t="s">
        <v>15</v>
      </c>
      <c r="AC10" s="126" t="s">
        <v>15</v>
      </c>
      <c r="AD10" s="105">
        <v>0.37291666666666662</v>
      </c>
      <c r="AE10" s="105">
        <v>0.58402777777777781</v>
      </c>
      <c r="AF10" s="105">
        <v>0.36874999999999997</v>
      </c>
      <c r="AG10" s="105">
        <v>0.75</v>
      </c>
      <c r="AI10" s="18">
        <v>6</v>
      </c>
      <c r="AJ10" s="105">
        <v>0.37152777777777773</v>
      </c>
      <c r="AK10" s="105">
        <v>0.7284722222222223</v>
      </c>
      <c r="AL10" s="105">
        <v>0.36805555555555558</v>
      </c>
      <c r="AM10" s="105">
        <v>0.71666666666666667</v>
      </c>
      <c r="AN10" s="133" t="s">
        <v>25</v>
      </c>
      <c r="AO10" s="133" t="s">
        <v>25</v>
      </c>
      <c r="AP10" s="105">
        <v>0.39583333333333331</v>
      </c>
      <c r="AQ10" s="105">
        <v>0.39583333333333331</v>
      </c>
      <c r="AR10" s="107" t="s">
        <v>15</v>
      </c>
      <c r="AS10" s="107" t="s">
        <v>15</v>
      </c>
      <c r="AT10" s="105">
        <v>0.39305555555555555</v>
      </c>
      <c r="AU10" s="105">
        <v>0.73749999999999993</v>
      </c>
      <c r="AV10" s="105">
        <v>0.39166666666666666</v>
      </c>
      <c r="AW10" s="105">
        <v>0.71597222222222223</v>
      </c>
      <c r="AX10" s="105">
        <v>0.72916666666666663</v>
      </c>
      <c r="AY10" s="105">
        <v>0.72916666666666663</v>
      </c>
      <c r="AZ10" s="105">
        <v>0.39513888888888887</v>
      </c>
      <c r="BA10" s="105">
        <v>0.95833333333333337</v>
      </c>
      <c r="BB10" s="105">
        <v>0.3923611111111111</v>
      </c>
      <c r="BC10" s="105">
        <v>0.98055555555555562</v>
      </c>
      <c r="BD10" s="105">
        <v>0.42986111111111108</v>
      </c>
      <c r="BE10" s="105">
        <v>0.7270833333333333</v>
      </c>
      <c r="BF10" s="122" t="s">
        <v>15</v>
      </c>
      <c r="BG10" s="126" t="s">
        <v>15</v>
      </c>
      <c r="BH10" s="105">
        <v>0.38819444444444445</v>
      </c>
      <c r="BI10" s="105">
        <v>0.73263888888888884</v>
      </c>
      <c r="BJ10" s="12">
        <f t="shared" si="12"/>
        <v>28</v>
      </c>
      <c r="BK10" s="112">
        <v>1</v>
      </c>
      <c r="BL10" s="2">
        <f t="shared" si="13"/>
        <v>24</v>
      </c>
      <c r="BM10" s="3">
        <f t="shared" si="14"/>
        <v>3</v>
      </c>
      <c r="BN10" s="3">
        <f t="shared" si="15"/>
        <v>0</v>
      </c>
      <c r="BO10" s="3">
        <f t="shared" si="16"/>
        <v>0</v>
      </c>
      <c r="BP10" s="3">
        <f t="shared" si="17"/>
        <v>0</v>
      </c>
      <c r="BQ10" s="3">
        <f t="shared" si="18"/>
        <v>0</v>
      </c>
      <c r="BR10" s="3">
        <f t="shared" si="19"/>
        <v>0</v>
      </c>
      <c r="BS10" s="3">
        <f t="shared" si="20"/>
        <v>0</v>
      </c>
      <c r="BT10" s="3">
        <f t="shared" si="21"/>
        <v>0</v>
      </c>
      <c r="BU10" s="3">
        <f t="shared" si="22"/>
        <v>0</v>
      </c>
      <c r="BV10" s="3">
        <f t="shared" si="23"/>
        <v>0</v>
      </c>
      <c r="BW10" s="3">
        <f t="shared" si="24"/>
        <v>1</v>
      </c>
      <c r="BX10" s="118"/>
      <c r="CB10" s="87">
        <v>0</v>
      </c>
      <c r="CC10" s="87">
        <v>0</v>
      </c>
      <c r="CD10" s="88">
        <v>22</v>
      </c>
      <c r="CE10" s="87">
        <v>0</v>
      </c>
      <c r="CF10" s="88">
        <v>2</v>
      </c>
      <c r="CG10" s="88">
        <v>1</v>
      </c>
      <c r="CH10" s="88">
        <v>4</v>
      </c>
      <c r="CI10" s="87">
        <v>0</v>
      </c>
      <c r="CJ10" s="87">
        <v>0</v>
      </c>
      <c r="CK10" s="87">
        <v>0</v>
      </c>
      <c r="CL10" s="89">
        <f t="shared" ref="CL10:CL25" si="27">SUM(CB10:CK10)</f>
        <v>29</v>
      </c>
    </row>
    <row r="11" spans="1:90" ht="21" customHeight="1" x14ac:dyDescent="0.25">
      <c r="A11" s="18">
        <v>7</v>
      </c>
      <c r="B11" s="20" t="s">
        <v>39</v>
      </c>
      <c r="C11" s="9" t="s">
        <v>40</v>
      </c>
      <c r="D11" s="121" t="s">
        <v>195</v>
      </c>
      <c r="E11" s="121" t="s">
        <v>195</v>
      </c>
      <c r="F11" s="73">
        <v>0.37222222222222223</v>
      </c>
      <c r="G11" s="73">
        <v>0.68125000000000002</v>
      </c>
      <c r="H11" s="73">
        <v>0.4284722222222222</v>
      </c>
      <c r="I11" s="73">
        <v>0.68541666666666667</v>
      </c>
      <c r="J11" s="73">
        <v>0.4069444444444445</v>
      </c>
      <c r="K11" s="73">
        <v>0.71180555555555547</v>
      </c>
      <c r="L11" s="73">
        <v>0.40416666666666662</v>
      </c>
      <c r="M11" s="73">
        <v>0.71180555555555547</v>
      </c>
      <c r="N11" s="122" t="s">
        <v>15</v>
      </c>
      <c r="O11" s="126" t="s">
        <v>15</v>
      </c>
      <c r="P11" s="105">
        <v>0.41597222222222219</v>
      </c>
      <c r="Q11" s="105">
        <v>0.72222222222222221</v>
      </c>
      <c r="R11" s="105">
        <v>0.36805555555555558</v>
      </c>
      <c r="S11" s="105">
        <v>0.72916666666666663</v>
      </c>
      <c r="T11" s="105">
        <v>0.3743055555555555</v>
      </c>
      <c r="U11" s="105">
        <v>0.72916666666666663</v>
      </c>
      <c r="V11" s="105">
        <v>0.37916666666666665</v>
      </c>
      <c r="W11" s="105">
        <v>0.72222222222222221</v>
      </c>
      <c r="X11" s="105">
        <v>0.3756944444444445</v>
      </c>
      <c r="Y11" s="105">
        <v>0.72152777777777777</v>
      </c>
      <c r="Z11" s="105">
        <v>0.38611111111111113</v>
      </c>
      <c r="AA11" s="105">
        <v>0.71805555555555556</v>
      </c>
      <c r="AB11" s="122" t="s">
        <v>15</v>
      </c>
      <c r="AC11" s="126" t="s">
        <v>15</v>
      </c>
      <c r="AD11" s="105">
        <v>0.41041666666666665</v>
      </c>
      <c r="AE11" s="121">
        <v>1</v>
      </c>
      <c r="AF11" s="105">
        <v>0.3743055555555555</v>
      </c>
      <c r="AG11" s="105">
        <v>0.72916666666666663</v>
      </c>
      <c r="AI11" s="18">
        <v>7</v>
      </c>
      <c r="AJ11" s="105">
        <v>0.3979166666666667</v>
      </c>
      <c r="AK11" s="105">
        <v>0.7319444444444444</v>
      </c>
      <c r="AL11" s="105">
        <v>0.36874999999999997</v>
      </c>
      <c r="AM11" s="105">
        <v>0.84166666666666667</v>
      </c>
      <c r="AN11" s="133" t="s">
        <v>25</v>
      </c>
      <c r="AO11" s="133" t="s">
        <v>25</v>
      </c>
      <c r="AP11" s="105">
        <v>0.39027777777777778</v>
      </c>
      <c r="AQ11" s="105">
        <v>0.70694444444444438</v>
      </c>
      <c r="AR11" s="107" t="s">
        <v>15</v>
      </c>
      <c r="AS11" s="107" t="s">
        <v>15</v>
      </c>
      <c r="AT11" s="105">
        <v>0.39513888888888887</v>
      </c>
      <c r="AU11" s="105">
        <v>0.73333333333333339</v>
      </c>
      <c r="AV11" s="105">
        <v>0.39652777777777781</v>
      </c>
      <c r="AW11" s="105">
        <v>0.70208333333333339</v>
      </c>
      <c r="AX11" s="105">
        <v>0.39305555555555555</v>
      </c>
      <c r="AY11" s="105">
        <v>0.71111111111111114</v>
      </c>
      <c r="AZ11" s="105">
        <v>0.38680555555555557</v>
      </c>
      <c r="BA11" s="105">
        <v>0.70694444444444438</v>
      </c>
      <c r="BB11" s="105">
        <v>0.39027777777777778</v>
      </c>
      <c r="BC11" s="105">
        <v>0.55902777777777779</v>
      </c>
      <c r="BD11" s="105">
        <v>0.3888888888888889</v>
      </c>
      <c r="BE11" s="105">
        <v>0.72638888888888886</v>
      </c>
      <c r="BF11" s="122" t="s">
        <v>15</v>
      </c>
      <c r="BG11" s="126" t="s">
        <v>15</v>
      </c>
      <c r="BH11" s="105">
        <v>0.39444444444444443</v>
      </c>
      <c r="BI11" s="121">
        <v>1</v>
      </c>
      <c r="BJ11" s="12">
        <f t="shared" si="12"/>
        <v>28</v>
      </c>
      <c r="BK11" s="112">
        <v>0</v>
      </c>
      <c r="BL11" s="2">
        <f t="shared" si="13"/>
        <v>22</v>
      </c>
      <c r="BM11" s="3">
        <f t="shared" si="14"/>
        <v>4</v>
      </c>
      <c r="BN11" s="3">
        <f t="shared" si="15"/>
        <v>0</v>
      </c>
      <c r="BO11" s="3">
        <f t="shared" si="16"/>
        <v>0</v>
      </c>
      <c r="BP11" s="3">
        <f t="shared" si="17"/>
        <v>0</v>
      </c>
      <c r="BQ11" s="3">
        <f t="shared" si="18"/>
        <v>0</v>
      </c>
      <c r="BR11" s="3">
        <f t="shared" si="19"/>
        <v>0</v>
      </c>
      <c r="BS11" s="3">
        <f t="shared" si="20"/>
        <v>1</v>
      </c>
      <c r="BT11" s="3">
        <f t="shared" si="21"/>
        <v>0</v>
      </c>
      <c r="BU11" s="3">
        <f t="shared" si="22"/>
        <v>0</v>
      </c>
      <c r="BV11" s="3">
        <f t="shared" si="23"/>
        <v>0</v>
      </c>
      <c r="BW11" s="3">
        <f t="shared" si="24"/>
        <v>1</v>
      </c>
      <c r="BX11" s="118"/>
      <c r="CB11" s="87">
        <v>0</v>
      </c>
      <c r="CC11" s="87">
        <v>0</v>
      </c>
      <c r="CD11" s="87">
        <v>0</v>
      </c>
      <c r="CE11" s="87">
        <v>0</v>
      </c>
      <c r="CF11" s="87">
        <v>0</v>
      </c>
      <c r="CG11" s="87">
        <v>10</v>
      </c>
      <c r="CH11" s="87">
        <v>0</v>
      </c>
      <c r="CI11" s="87">
        <v>0</v>
      </c>
      <c r="CJ11" s="87">
        <v>0</v>
      </c>
      <c r="CK11" s="87">
        <v>0</v>
      </c>
      <c r="CL11" s="89">
        <f t="shared" si="27"/>
        <v>10</v>
      </c>
    </row>
    <row r="12" spans="1:90" ht="21" customHeight="1" x14ac:dyDescent="0.25">
      <c r="A12" s="18">
        <v>8</v>
      </c>
      <c r="B12" s="20" t="s">
        <v>43</v>
      </c>
      <c r="C12" s="9" t="s">
        <v>270</v>
      </c>
      <c r="D12" s="121" t="s">
        <v>195</v>
      </c>
      <c r="E12" s="121" t="s">
        <v>195</v>
      </c>
      <c r="F12" s="121" t="s">
        <v>195</v>
      </c>
      <c r="G12" s="121" t="s">
        <v>195</v>
      </c>
      <c r="H12" s="121" t="s">
        <v>195</v>
      </c>
      <c r="I12" s="121" t="s">
        <v>195</v>
      </c>
      <c r="J12" s="73">
        <v>0.4284722222222222</v>
      </c>
      <c r="K12" s="73">
        <v>0.70972222222222225</v>
      </c>
      <c r="L12" s="73">
        <v>0.38750000000000001</v>
      </c>
      <c r="M12" s="73">
        <v>0.72916666666666663</v>
      </c>
      <c r="N12" s="122" t="s">
        <v>15</v>
      </c>
      <c r="O12" s="126" t="s">
        <v>15</v>
      </c>
      <c r="P12" s="105">
        <v>0.42569444444444443</v>
      </c>
      <c r="Q12" s="105">
        <v>0.75277777777777777</v>
      </c>
      <c r="R12" s="105">
        <v>0.38819444444444445</v>
      </c>
      <c r="S12" s="105">
        <v>0.73958333333333337</v>
      </c>
      <c r="T12" s="105">
        <v>0.39166666666666666</v>
      </c>
      <c r="U12" s="105">
        <v>0.74444444444444446</v>
      </c>
      <c r="V12" s="105">
        <v>0.38680555555555557</v>
      </c>
      <c r="W12" s="105">
        <v>0.73819444444444438</v>
      </c>
      <c r="X12" s="105">
        <v>0.39166666666666666</v>
      </c>
      <c r="Y12" s="121">
        <v>1</v>
      </c>
      <c r="Z12" s="105">
        <v>0.38958333333333334</v>
      </c>
      <c r="AA12" s="105">
        <v>0.74444444444444446</v>
      </c>
      <c r="AB12" s="122" t="s">
        <v>15</v>
      </c>
      <c r="AC12" s="126" t="s">
        <v>15</v>
      </c>
      <c r="AD12" s="105">
        <v>0.41944444444444445</v>
      </c>
      <c r="AE12" s="105">
        <v>0.75069444444444444</v>
      </c>
      <c r="AF12" s="105">
        <v>0.38958333333333334</v>
      </c>
      <c r="AG12" s="105">
        <v>0.73958333333333337</v>
      </c>
      <c r="AI12" s="18">
        <v>8</v>
      </c>
      <c r="AJ12" s="105">
        <v>0.38194444444444442</v>
      </c>
      <c r="AK12" s="105">
        <v>0.77013888888888893</v>
      </c>
      <c r="AL12" s="105">
        <v>0.37361111111111112</v>
      </c>
      <c r="AM12" s="105">
        <v>0.7680555555555556</v>
      </c>
      <c r="AN12" s="133" t="s">
        <v>25</v>
      </c>
      <c r="AO12" s="133" t="s">
        <v>25</v>
      </c>
      <c r="AP12" s="105">
        <v>0.3972222222222222</v>
      </c>
      <c r="AQ12" s="105">
        <v>0.71180555555555547</v>
      </c>
      <c r="AR12" s="107" t="s">
        <v>15</v>
      </c>
      <c r="AS12" s="107" t="s">
        <v>15</v>
      </c>
      <c r="AT12" s="105">
        <v>0.41666666666666669</v>
      </c>
      <c r="AU12" s="105">
        <v>0.73333333333333339</v>
      </c>
      <c r="AV12" s="105">
        <v>0.39583333333333331</v>
      </c>
      <c r="AW12" s="105">
        <v>0.71666666666666667</v>
      </c>
      <c r="AX12" s="105">
        <v>0.39583333333333331</v>
      </c>
      <c r="AY12" s="105">
        <v>0.72916666666666663</v>
      </c>
      <c r="AZ12" s="105">
        <v>0.39861111111111108</v>
      </c>
      <c r="BA12" s="105">
        <v>0.7270833333333333</v>
      </c>
      <c r="BB12" s="105">
        <v>0.39861111111111108</v>
      </c>
      <c r="BC12" s="105">
        <v>0.7270833333333333</v>
      </c>
      <c r="BD12" s="105">
        <v>0.40138888888888885</v>
      </c>
      <c r="BE12" s="105">
        <v>0.7270833333333333</v>
      </c>
      <c r="BF12" s="122" t="s">
        <v>15</v>
      </c>
      <c r="BG12" s="126" t="s">
        <v>15</v>
      </c>
      <c r="BH12" s="105">
        <v>0.41666666666666669</v>
      </c>
      <c r="BI12" s="105">
        <v>0.73263888888888884</v>
      </c>
      <c r="BJ12" s="12">
        <f t="shared" si="12"/>
        <v>28</v>
      </c>
      <c r="BK12" s="112">
        <v>0</v>
      </c>
      <c r="BL12" s="2">
        <f t="shared" si="13"/>
        <v>20</v>
      </c>
      <c r="BM12" s="3">
        <f t="shared" si="14"/>
        <v>4</v>
      </c>
      <c r="BN12" s="3">
        <f t="shared" si="15"/>
        <v>0</v>
      </c>
      <c r="BO12" s="3">
        <f t="shared" si="16"/>
        <v>0</v>
      </c>
      <c r="BP12" s="3">
        <f t="shared" si="17"/>
        <v>0</v>
      </c>
      <c r="BQ12" s="3">
        <f t="shared" si="18"/>
        <v>0</v>
      </c>
      <c r="BR12" s="3">
        <f t="shared" si="19"/>
        <v>0</v>
      </c>
      <c r="BS12" s="3">
        <f t="shared" si="20"/>
        <v>3</v>
      </c>
      <c r="BT12" s="3">
        <f t="shared" si="21"/>
        <v>0</v>
      </c>
      <c r="BU12" s="3">
        <f t="shared" si="22"/>
        <v>0</v>
      </c>
      <c r="BV12" s="3">
        <f t="shared" si="23"/>
        <v>0</v>
      </c>
      <c r="BW12" s="3">
        <f t="shared" si="24"/>
        <v>1</v>
      </c>
      <c r="BX12" s="118"/>
      <c r="CB12" s="87">
        <v>0</v>
      </c>
      <c r="CC12" s="87">
        <v>0</v>
      </c>
      <c r="CD12" s="87">
        <v>38</v>
      </c>
      <c r="CE12" s="87">
        <v>0</v>
      </c>
      <c r="CF12" s="87">
        <v>0</v>
      </c>
      <c r="CG12" s="88">
        <v>9</v>
      </c>
      <c r="CH12" s="88">
        <v>0</v>
      </c>
      <c r="CI12" s="88">
        <v>0</v>
      </c>
      <c r="CJ12" s="87">
        <v>0</v>
      </c>
      <c r="CK12" s="87">
        <v>0</v>
      </c>
      <c r="CL12" s="89">
        <f>SUM(CB12:CK12)</f>
        <v>47</v>
      </c>
    </row>
    <row r="13" spans="1:90" ht="21" customHeight="1" x14ac:dyDescent="0.25">
      <c r="A13" s="18">
        <v>9</v>
      </c>
      <c r="B13" s="20" t="s">
        <v>41</v>
      </c>
      <c r="C13" s="9" t="s">
        <v>42</v>
      </c>
      <c r="D13" s="73">
        <v>0.38819444444444445</v>
      </c>
      <c r="E13" s="73">
        <v>0.87291666666666667</v>
      </c>
      <c r="F13" s="73">
        <v>0.55902777777777779</v>
      </c>
      <c r="G13" s="73">
        <v>0.61597222222222225</v>
      </c>
      <c r="H13" s="73">
        <v>0.3972222222222222</v>
      </c>
      <c r="I13" s="73">
        <v>0.95416666666666661</v>
      </c>
      <c r="J13" s="73">
        <v>0.40069444444444446</v>
      </c>
      <c r="K13" s="73">
        <v>0.5395833333333333</v>
      </c>
      <c r="L13" s="121" t="s">
        <v>24</v>
      </c>
      <c r="M13" s="121" t="s">
        <v>24</v>
      </c>
      <c r="N13" s="121" t="s">
        <v>24</v>
      </c>
      <c r="O13" s="121" t="s">
        <v>24</v>
      </c>
      <c r="P13" s="121" t="s">
        <v>24</v>
      </c>
      <c r="Q13" s="121" t="s">
        <v>24</v>
      </c>
      <c r="R13" s="121" t="s">
        <v>24</v>
      </c>
      <c r="S13" s="121" t="s">
        <v>24</v>
      </c>
      <c r="T13" s="121" t="s">
        <v>24</v>
      </c>
      <c r="U13" s="121" t="s">
        <v>24</v>
      </c>
      <c r="V13" s="121" t="s">
        <v>24</v>
      </c>
      <c r="W13" s="121" t="s">
        <v>24</v>
      </c>
      <c r="X13" s="121" t="s">
        <v>24</v>
      </c>
      <c r="Y13" s="121" t="s">
        <v>24</v>
      </c>
      <c r="Z13" s="121" t="s">
        <v>24</v>
      </c>
      <c r="AA13" s="121" t="s">
        <v>24</v>
      </c>
      <c r="AB13" s="122" t="s">
        <v>24</v>
      </c>
      <c r="AC13" s="122" t="s">
        <v>24</v>
      </c>
      <c r="AD13" s="121" t="s">
        <v>24</v>
      </c>
      <c r="AE13" s="121" t="s">
        <v>24</v>
      </c>
      <c r="AF13" s="121" t="s">
        <v>24</v>
      </c>
      <c r="AG13" s="121" t="s">
        <v>24</v>
      </c>
      <c r="AH13" s="120"/>
      <c r="AI13" s="18">
        <v>9</v>
      </c>
      <c r="AJ13" s="121" t="s">
        <v>24</v>
      </c>
      <c r="AK13" s="121" t="s">
        <v>24</v>
      </c>
      <c r="AL13" s="121" t="s">
        <v>24</v>
      </c>
      <c r="AM13" s="121" t="s">
        <v>24</v>
      </c>
      <c r="AN13" s="121" t="s">
        <v>24</v>
      </c>
      <c r="AO13" s="121" t="s">
        <v>24</v>
      </c>
      <c r="AP13" s="121" t="s">
        <v>24</v>
      </c>
      <c r="AQ13" s="121" t="s">
        <v>24</v>
      </c>
      <c r="AR13" s="122" t="s">
        <v>24</v>
      </c>
      <c r="AS13" s="122" t="s">
        <v>24</v>
      </c>
      <c r="AT13" s="121" t="s">
        <v>24</v>
      </c>
      <c r="AU13" s="121" t="s">
        <v>24</v>
      </c>
      <c r="AV13" s="121" t="s">
        <v>24</v>
      </c>
      <c r="AW13" s="121" t="s">
        <v>24</v>
      </c>
      <c r="AX13" s="121" t="s">
        <v>24</v>
      </c>
      <c r="AY13" s="121" t="s">
        <v>24</v>
      </c>
      <c r="AZ13" s="121" t="s">
        <v>24</v>
      </c>
      <c r="BA13" s="121" t="s">
        <v>24</v>
      </c>
      <c r="BB13" s="121" t="s">
        <v>24</v>
      </c>
      <c r="BC13" s="121" t="s">
        <v>24</v>
      </c>
      <c r="BD13" s="121" t="s">
        <v>24</v>
      </c>
      <c r="BE13" s="121" t="s">
        <v>24</v>
      </c>
      <c r="BF13" s="122" t="s">
        <v>24</v>
      </c>
      <c r="BG13" s="122" t="s">
        <v>24</v>
      </c>
      <c r="BH13" s="121" t="s">
        <v>24</v>
      </c>
      <c r="BI13" s="121" t="s">
        <v>24</v>
      </c>
      <c r="BJ13" s="12">
        <f t="shared" si="12"/>
        <v>4</v>
      </c>
      <c r="BK13" s="112">
        <v>0</v>
      </c>
      <c r="BL13" s="2">
        <f t="shared" si="13"/>
        <v>4</v>
      </c>
      <c r="BM13" s="3">
        <f t="shared" si="14"/>
        <v>0</v>
      </c>
      <c r="BN13" s="3">
        <f t="shared" si="15"/>
        <v>0</v>
      </c>
      <c r="BO13" s="3">
        <f t="shared" si="16"/>
        <v>0</v>
      </c>
      <c r="BP13" s="3">
        <f t="shared" si="17"/>
        <v>0</v>
      </c>
      <c r="BQ13" s="3">
        <f t="shared" si="18"/>
        <v>0</v>
      </c>
      <c r="BR13" s="3">
        <f t="shared" si="19"/>
        <v>0</v>
      </c>
      <c r="BS13" s="3">
        <f t="shared" si="20"/>
        <v>0</v>
      </c>
      <c r="BT13" s="3">
        <f t="shared" si="21"/>
        <v>0</v>
      </c>
      <c r="BU13" s="3">
        <f t="shared" si="22"/>
        <v>0</v>
      </c>
      <c r="BV13" s="3">
        <f t="shared" si="23"/>
        <v>24</v>
      </c>
      <c r="BW13" s="3">
        <f t="shared" si="24"/>
        <v>0</v>
      </c>
      <c r="BX13" s="118"/>
      <c r="CB13" s="87">
        <v>0</v>
      </c>
      <c r="CC13" s="87">
        <v>0</v>
      </c>
      <c r="CD13" s="88">
        <v>2</v>
      </c>
      <c r="CE13" s="87">
        <v>0</v>
      </c>
      <c r="CF13" s="88">
        <v>2</v>
      </c>
      <c r="CG13" s="88">
        <v>2</v>
      </c>
      <c r="CH13" s="88">
        <v>1</v>
      </c>
      <c r="CI13" s="87">
        <v>0</v>
      </c>
      <c r="CJ13" s="87">
        <v>0</v>
      </c>
      <c r="CK13" s="88">
        <v>1</v>
      </c>
      <c r="CL13" s="89">
        <f t="shared" si="27"/>
        <v>8</v>
      </c>
    </row>
    <row r="14" spans="1:90" ht="21" customHeight="1" x14ac:dyDescent="0.25">
      <c r="A14" s="18">
        <v>10</v>
      </c>
      <c r="B14" s="20" t="s">
        <v>44</v>
      </c>
      <c r="C14" s="9" t="s">
        <v>45</v>
      </c>
      <c r="D14" s="73">
        <v>0.33611111111111108</v>
      </c>
      <c r="E14" s="73">
        <v>0.99375000000000002</v>
      </c>
      <c r="F14" s="73">
        <v>0.33819444444444446</v>
      </c>
      <c r="G14" s="73">
        <v>0.94930555555555562</v>
      </c>
      <c r="H14" s="73">
        <v>0.33611111111111108</v>
      </c>
      <c r="I14" s="73">
        <v>0.99236111111111114</v>
      </c>
      <c r="J14" s="73">
        <v>0.36180555555555555</v>
      </c>
      <c r="K14" s="73">
        <v>0.9902777777777777</v>
      </c>
      <c r="L14" s="73">
        <v>0.40208333333333335</v>
      </c>
      <c r="M14" s="73">
        <v>0.90625</v>
      </c>
      <c r="N14" s="76">
        <v>0.5756944444444444</v>
      </c>
      <c r="O14" s="127">
        <v>0.93888888888888899</v>
      </c>
      <c r="P14" s="105">
        <v>0.3659722222222222</v>
      </c>
      <c r="Q14" s="105">
        <v>0.93333333333333324</v>
      </c>
      <c r="R14" s="105">
        <v>0.31527777777777777</v>
      </c>
      <c r="S14" s="105">
        <v>0.94097222222222221</v>
      </c>
      <c r="T14" s="105">
        <v>0.31666666666666665</v>
      </c>
      <c r="U14" s="105">
        <v>0.94305555555555554</v>
      </c>
      <c r="V14" s="105">
        <v>0.31944444444444448</v>
      </c>
      <c r="W14" s="105">
        <v>0.96527777777777779</v>
      </c>
      <c r="X14" s="105">
        <v>0.31458333333333333</v>
      </c>
      <c r="Y14" s="105">
        <v>0.94027777777777777</v>
      </c>
      <c r="Z14" s="105">
        <v>0.31597222222222221</v>
      </c>
      <c r="AA14" s="105">
        <v>0.96666666666666667</v>
      </c>
      <c r="AB14" s="107">
        <v>0.56597222222222221</v>
      </c>
      <c r="AC14" s="107">
        <v>0.94305555555555554</v>
      </c>
      <c r="AD14" s="105">
        <v>0.3576388888888889</v>
      </c>
      <c r="AE14" s="105">
        <v>0.93819444444444444</v>
      </c>
      <c r="AF14" s="105">
        <v>0.3430555555555555</v>
      </c>
      <c r="AG14" s="105">
        <v>0.93333333333333324</v>
      </c>
      <c r="AI14" s="18">
        <v>10</v>
      </c>
      <c r="AJ14" s="105">
        <v>0.34722222222222227</v>
      </c>
      <c r="AK14" s="105">
        <v>0.96458333333333324</v>
      </c>
      <c r="AL14" s="105">
        <v>0.31458333333333333</v>
      </c>
      <c r="AM14" s="105">
        <v>0.96388888888888891</v>
      </c>
      <c r="AN14" s="105">
        <v>0.35625000000000001</v>
      </c>
      <c r="AO14" s="105">
        <v>0.96944444444444444</v>
      </c>
      <c r="AP14" s="105">
        <v>0.3576388888888889</v>
      </c>
      <c r="AQ14" s="105">
        <v>2.361111111111111E-2</v>
      </c>
      <c r="AR14" s="107">
        <v>0.56319444444444444</v>
      </c>
      <c r="AS14" s="107">
        <v>0.98333333333333339</v>
      </c>
      <c r="AT14" s="105">
        <v>0.35347222222222219</v>
      </c>
      <c r="AU14" s="105">
        <v>7.0833333333333331E-2</v>
      </c>
      <c r="AV14" s="105">
        <v>0.35555555555555557</v>
      </c>
      <c r="AW14" s="105">
        <v>0.85555555555555562</v>
      </c>
      <c r="AX14" s="105">
        <v>0.34513888888888888</v>
      </c>
      <c r="AY14" s="105">
        <v>5.486111111111111E-2</v>
      </c>
      <c r="AZ14" s="105">
        <v>0.35416666666666669</v>
      </c>
      <c r="BA14" s="105">
        <v>9.930555555555555E-2</v>
      </c>
      <c r="BB14" s="105">
        <v>0.37083333333333335</v>
      </c>
      <c r="BC14" s="105">
        <v>6.0416666666666667E-2</v>
      </c>
      <c r="BD14" s="105">
        <v>0.36249999999999999</v>
      </c>
      <c r="BE14" s="105">
        <v>4.9305555555555554E-2</v>
      </c>
      <c r="BF14" s="107">
        <v>0.56527777777777777</v>
      </c>
      <c r="BG14" s="107">
        <v>4.7222222222222221E-2</v>
      </c>
      <c r="BH14" s="105">
        <v>0.35902777777777778</v>
      </c>
      <c r="BI14" s="105">
        <v>7.7777777777777779E-2</v>
      </c>
      <c r="BJ14" s="12">
        <f t="shared" si="12"/>
        <v>28</v>
      </c>
      <c r="BK14" s="112">
        <v>4</v>
      </c>
      <c r="BL14" s="2">
        <f t="shared" si="13"/>
        <v>28</v>
      </c>
      <c r="BM14" s="3">
        <f t="shared" si="14"/>
        <v>0</v>
      </c>
      <c r="BN14" s="3">
        <f t="shared" si="15"/>
        <v>0</v>
      </c>
      <c r="BO14" s="3">
        <f t="shared" si="16"/>
        <v>0</v>
      </c>
      <c r="BP14" s="3">
        <f t="shared" si="17"/>
        <v>0</v>
      </c>
      <c r="BQ14" s="3">
        <f t="shared" si="18"/>
        <v>0</v>
      </c>
      <c r="BR14" s="3">
        <f t="shared" si="19"/>
        <v>0</v>
      </c>
      <c r="BS14" s="3">
        <f t="shared" si="20"/>
        <v>0</v>
      </c>
      <c r="BT14" s="3">
        <f t="shared" si="21"/>
        <v>0</v>
      </c>
      <c r="BU14" s="3">
        <f t="shared" si="22"/>
        <v>0</v>
      </c>
      <c r="BV14" s="3">
        <f t="shared" si="23"/>
        <v>0</v>
      </c>
      <c r="BW14" s="3">
        <f t="shared" si="24"/>
        <v>0</v>
      </c>
      <c r="BX14" s="118"/>
      <c r="CB14" s="87">
        <v>0</v>
      </c>
      <c r="CC14" s="87">
        <v>0</v>
      </c>
      <c r="CD14" s="88">
        <v>40</v>
      </c>
      <c r="CE14" s="87">
        <v>0</v>
      </c>
      <c r="CF14" s="87">
        <v>0</v>
      </c>
      <c r="CG14" s="87">
        <v>0</v>
      </c>
      <c r="CH14" s="88">
        <v>2</v>
      </c>
      <c r="CI14" s="87">
        <v>0</v>
      </c>
      <c r="CJ14" s="87">
        <v>0</v>
      </c>
      <c r="CK14" s="87">
        <v>0</v>
      </c>
      <c r="CL14" s="89">
        <f t="shared" si="27"/>
        <v>42</v>
      </c>
    </row>
    <row r="15" spans="1:90" ht="21" customHeight="1" x14ac:dyDescent="0.25">
      <c r="A15" s="18">
        <v>11</v>
      </c>
      <c r="B15" s="20" t="s">
        <v>46</v>
      </c>
      <c r="C15" s="9" t="s">
        <v>271</v>
      </c>
      <c r="D15" s="73">
        <v>0.35694444444444445</v>
      </c>
      <c r="E15" s="73">
        <v>0.35694444444444445</v>
      </c>
      <c r="F15" s="73">
        <v>0.35625000000000001</v>
      </c>
      <c r="G15" s="73">
        <v>0.35625000000000001</v>
      </c>
      <c r="H15" s="73">
        <v>0.35555555555555557</v>
      </c>
      <c r="I15" s="73">
        <v>2.0833333333333333E-3</v>
      </c>
      <c r="J15" s="73">
        <v>0.35416666666666669</v>
      </c>
      <c r="K15" s="73">
        <v>0.35416666666666669</v>
      </c>
      <c r="L15" s="73">
        <v>0.35486111111111113</v>
      </c>
      <c r="M15" s="73">
        <v>2.361111111111111E-2</v>
      </c>
      <c r="N15" s="122" t="s">
        <v>15</v>
      </c>
      <c r="O15" s="126" t="s">
        <v>15</v>
      </c>
      <c r="P15" s="105">
        <v>0.35625000000000001</v>
      </c>
      <c r="Q15" s="105">
        <v>2.5694444444444447E-2</v>
      </c>
      <c r="R15" s="105">
        <v>0.35347222222222219</v>
      </c>
      <c r="S15" s="105">
        <v>0.96944444444444444</v>
      </c>
      <c r="T15" s="105">
        <v>0.35416666666666669</v>
      </c>
      <c r="U15" s="113">
        <v>1</v>
      </c>
      <c r="V15" s="105">
        <v>0.35486111111111113</v>
      </c>
      <c r="W15" s="105">
        <v>0.97291666666666676</v>
      </c>
      <c r="X15" s="105">
        <v>0.35416666666666669</v>
      </c>
      <c r="Y15" s="121">
        <v>1</v>
      </c>
      <c r="Z15" s="105">
        <v>0.35347222222222219</v>
      </c>
      <c r="AA15" s="121">
        <v>1</v>
      </c>
      <c r="AB15" s="107">
        <v>0.57847222222222217</v>
      </c>
      <c r="AC15" s="107">
        <v>0.57847222222222217</v>
      </c>
      <c r="AD15" s="105">
        <v>0.35347222222222219</v>
      </c>
      <c r="AE15" s="105">
        <v>0.35347222222222219</v>
      </c>
      <c r="AF15" s="105">
        <v>0.3527777777777778</v>
      </c>
      <c r="AG15" s="105">
        <v>2.5694444444444447E-2</v>
      </c>
      <c r="AI15" s="18">
        <v>11</v>
      </c>
      <c r="AJ15" s="105">
        <v>0.3527777777777778</v>
      </c>
      <c r="AK15" s="105">
        <v>4.1666666666666664E-2</v>
      </c>
      <c r="AL15" s="105">
        <v>0.35347222222222219</v>
      </c>
      <c r="AM15" s="105">
        <v>6.5277777777777782E-2</v>
      </c>
      <c r="AN15" s="105">
        <v>0.37361111111111112</v>
      </c>
      <c r="AO15" s="105">
        <v>6.5972222222222224E-2</v>
      </c>
      <c r="AP15" s="105">
        <v>0.375</v>
      </c>
      <c r="AQ15" s="105">
        <v>0.85416666666666663</v>
      </c>
      <c r="AR15" s="107">
        <v>0.57708333333333328</v>
      </c>
      <c r="AS15" s="107">
        <v>0.10694444444444444</v>
      </c>
      <c r="AT15" s="105">
        <v>0.3743055555555555</v>
      </c>
      <c r="AU15" s="105">
        <v>0.3743055555555555</v>
      </c>
      <c r="AV15" s="105">
        <v>0.37361111111111112</v>
      </c>
      <c r="AW15" s="121">
        <v>1</v>
      </c>
      <c r="AX15" s="105">
        <v>0.37361111111111112</v>
      </c>
      <c r="AY15" s="105">
        <v>8.8888888888888892E-2</v>
      </c>
      <c r="AZ15" s="105">
        <v>0.37361111111111112</v>
      </c>
      <c r="BA15" s="105">
        <v>0.85277777777777775</v>
      </c>
      <c r="BB15" s="105">
        <v>0.37291666666666662</v>
      </c>
      <c r="BC15" s="105">
        <v>5.2083333333333336E-2</v>
      </c>
      <c r="BD15" s="105">
        <v>0.3743055555555555</v>
      </c>
      <c r="BE15" s="105">
        <v>0.8534722222222223</v>
      </c>
      <c r="BF15" s="107">
        <v>0.57500000000000007</v>
      </c>
      <c r="BG15" s="107">
        <v>0.85416666666666663</v>
      </c>
      <c r="BH15" s="105">
        <v>0.37361111111111112</v>
      </c>
      <c r="BI15" s="105">
        <v>7.0833333333333331E-2</v>
      </c>
      <c r="BJ15" s="12">
        <f t="shared" si="12"/>
        <v>28</v>
      </c>
      <c r="BK15" s="112">
        <v>3</v>
      </c>
      <c r="BL15" s="2">
        <f t="shared" si="13"/>
        <v>27</v>
      </c>
      <c r="BM15" s="3">
        <f t="shared" si="14"/>
        <v>1</v>
      </c>
      <c r="BN15" s="3">
        <f t="shared" si="15"/>
        <v>0</v>
      </c>
      <c r="BO15" s="3">
        <f t="shared" si="16"/>
        <v>0</v>
      </c>
      <c r="BP15" s="3">
        <f t="shared" si="17"/>
        <v>0</v>
      </c>
      <c r="BQ15" s="3">
        <f t="shared" si="18"/>
        <v>0</v>
      </c>
      <c r="BR15" s="3">
        <f t="shared" si="19"/>
        <v>0</v>
      </c>
      <c r="BS15" s="3">
        <f t="shared" si="20"/>
        <v>0</v>
      </c>
      <c r="BT15" s="3">
        <f t="shared" si="21"/>
        <v>0</v>
      </c>
      <c r="BU15" s="3">
        <f t="shared" si="22"/>
        <v>0</v>
      </c>
      <c r="BV15" s="3">
        <f t="shared" si="23"/>
        <v>0</v>
      </c>
      <c r="BW15" s="3">
        <f t="shared" si="24"/>
        <v>0</v>
      </c>
      <c r="BX15" s="118"/>
      <c r="CB15" s="87">
        <v>0</v>
      </c>
      <c r="CC15" s="87">
        <v>0</v>
      </c>
      <c r="CD15" s="88">
        <v>28</v>
      </c>
      <c r="CE15" s="87">
        <v>0</v>
      </c>
      <c r="CF15" s="87">
        <v>0</v>
      </c>
      <c r="CG15" s="88">
        <v>1</v>
      </c>
      <c r="CH15" s="87">
        <v>0</v>
      </c>
      <c r="CI15" s="87">
        <v>0</v>
      </c>
      <c r="CJ15" s="87">
        <v>0</v>
      </c>
      <c r="CK15" s="87">
        <v>0</v>
      </c>
      <c r="CL15" s="89">
        <f t="shared" si="27"/>
        <v>29</v>
      </c>
    </row>
    <row r="16" spans="1:90" ht="21" customHeight="1" x14ac:dyDescent="0.25">
      <c r="A16" s="18">
        <v>12</v>
      </c>
      <c r="B16" s="20" t="s">
        <v>47</v>
      </c>
      <c r="C16" s="9" t="s">
        <v>48</v>
      </c>
      <c r="D16" s="73">
        <v>0.3520833333333333</v>
      </c>
      <c r="E16" s="73">
        <v>0.99305555555555547</v>
      </c>
      <c r="F16" s="73">
        <v>0.35347222222222219</v>
      </c>
      <c r="G16" s="73">
        <v>0.96250000000000002</v>
      </c>
      <c r="H16" s="73">
        <v>0.35347222222222219</v>
      </c>
      <c r="I16" s="73">
        <v>0.99791666666666667</v>
      </c>
      <c r="J16" s="73">
        <v>0.35347222222222219</v>
      </c>
      <c r="K16" s="73">
        <v>0.9902777777777777</v>
      </c>
      <c r="L16" s="73">
        <v>0.35347222222222219</v>
      </c>
      <c r="M16" s="73">
        <v>2.9166666666666664E-2</v>
      </c>
      <c r="N16" s="76">
        <v>0.57986111111111105</v>
      </c>
      <c r="O16" s="127">
        <v>0.96736111111111101</v>
      </c>
      <c r="P16" s="105">
        <v>0.35416666666666669</v>
      </c>
      <c r="Q16" s="105">
        <v>0.9902777777777777</v>
      </c>
      <c r="R16" s="105">
        <v>0.35416666666666669</v>
      </c>
      <c r="S16" s="105">
        <v>0.93819444444444444</v>
      </c>
      <c r="T16" s="121" t="s">
        <v>195</v>
      </c>
      <c r="U16" s="121" t="s">
        <v>195</v>
      </c>
      <c r="V16" s="105">
        <v>0.3611111111111111</v>
      </c>
      <c r="W16" s="105">
        <v>0.94652777777777775</v>
      </c>
      <c r="X16" s="105">
        <v>0.35416666666666669</v>
      </c>
      <c r="Y16" s="105">
        <v>2.7777777777777779E-3</v>
      </c>
      <c r="Z16" s="105">
        <v>0.35486111111111113</v>
      </c>
      <c r="AA16" s="105">
        <v>9.0277777777777787E-3</v>
      </c>
      <c r="AB16" s="107">
        <v>0.58263888888888882</v>
      </c>
      <c r="AC16" s="107">
        <v>5.5555555555555552E-2</v>
      </c>
      <c r="AD16" s="105">
        <v>0.35625000000000001</v>
      </c>
      <c r="AE16" s="105">
        <v>2.7083333333333334E-2</v>
      </c>
      <c r="AF16" s="105">
        <v>0.36180555555555555</v>
      </c>
      <c r="AG16" s="105">
        <v>0.9902777777777777</v>
      </c>
      <c r="AI16" s="18">
        <v>12</v>
      </c>
      <c r="AJ16" s="105">
        <v>0.35347222222222219</v>
      </c>
      <c r="AK16" s="105">
        <v>4.4444444444444446E-2</v>
      </c>
      <c r="AL16" s="105">
        <v>0.35486111111111113</v>
      </c>
      <c r="AM16" s="105">
        <v>7.9861111111111105E-2</v>
      </c>
      <c r="AN16" s="105">
        <v>0.3888888888888889</v>
      </c>
      <c r="AO16" s="105">
        <v>0.85069444444444453</v>
      </c>
      <c r="AP16" s="105">
        <v>0.37222222222222223</v>
      </c>
      <c r="AQ16" s="105">
        <v>5.9027777777777783E-2</v>
      </c>
      <c r="AR16" s="107">
        <v>0.58124999999999993</v>
      </c>
      <c r="AS16" s="107">
        <v>0.10902777777777778</v>
      </c>
      <c r="AT16" s="105">
        <v>0.375</v>
      </c>
      <c r="AU16" s="105">
        <v>6.0416666666666667E-2</v>
      </c>
      <c r="AV16" s="105">
        <v>0.37847222222222227</v>
      </c>
      <c r="AW16" s="105">
        <v>0.84652777777777777</v>
      </c>
      <c r="AX16" s="105">
        <v>0.37361111111111112</v>
      </c>
      <c r="AY16" s="105">
        <v>9.2361111111111116E-2</v>
      </c>
      <c r="AZ16" s="105">
        <v>0.375</v>
      </c>
      <c r="BA16" s="105">
        <v>9.7916666666666666E-2</v>
      </c>
      <c r="BB16" s="105">
        <v>0.37361111111111112</v>
      </c>
      <c r="BC16" s="105">
        <v>5.9027777777777783E-2</v>
      </c>
      <c r="BD16" s="105">
        <v>0.3743055555555555</v>
      </c>
      <c r="BE16" s="105">
        <v>4.8611111111111112E-2</v>
      </c>
      <c r="BF16" s="107">
        <v>0.58124999999999993</v>
      </c>
      <c r="BG16" s="107">
        <v>5.8333333333333327E-2</v>
      </c>
      <c r="BH16" s="105">
        <v>0.375</v>
      </c>
      <c r="BI16" s="105">
        <v>7.3611111111111113E-2</v>
      </c>
      <c r="BJ16" s="12">
        <f t="shared" si="12"/>
        <v>28</v>
      </c>
      <c r="BK16" s="112">
        <v>4</v>
      </c>
      <c r="BL16" s="2">
        <f t="shared" si="13"/>
        <v>27</v>
      </c>
      <c r="BM16" s="3">
        <f t="shared" si="14"/>
        <v>0</v>
      </c>
      <c r="BN16" s="3">
        <f t="shared" si="15"/>
        <v>0</v>
      </c>
      <c r="BO16" s="3">
        <f t="shared" si="16"/>
        <v>0</v>
      </c>
      <c r="BP16" s="3">
        <f t="shared" si="17"/>
        <v>0</v>
      </c>
      <c r="BQ16" s="3">
        <f t="shared" si="18"/>
        <v>0</v>
      </c>
      <c r="BR16" s="3">
        <f t="shared" si="19"/>
        <v>0</v>
      </c>
      <c r="BS16" s="3">
        <f t="shared" si="20"/>
        <v>1</v>
      </c>
      <c r="BT16" s="3">
        <f t="shared" si="21"/>
        <v>0</v>
      </c>
      <c r="BU16" s="3">
        <f t="shared" si="22"/>
        <v>0</v>
      </c>
      <c r="BV16" s="3">
        <f t="shared" si="23"/>
        <v>0</v>
      </c>
      <c r="BW16" s="3">
        <f t="shared" si="24"/>
        <v>0</v>
      </c>
      <c r="BX16" s="118"/>
      <c r="CB16" s="87">
        <v>0</v>
      </c>
      <c r="CC16" s="87">
        <v>0</v>
      </c>
      <c r="CD16" s="87">
        <v>0</v>
      </c>
      <c r="CE16" s="87">
        <v>0</v>
      </c>
      <c r="CF16" s="87">
        <v>0</v>
      </c>
      <c r="CG16" s="88">
        <v>1</v>
      </c>
      <c r="CH16" s="87">
        <v>0</v>
      </c>
      <c r="CI16" s="87">
        <v>0</v>
      </c>
      <c r="CJ16" s="87">
        <v>0</v>
      </c>
      <c r="CK16" s="87">
        <v>0</v>
      </c>
      <c r="CL16" s="89">
        <f t="shared" si="27"/>
        <v>1</v>
      </c>
    </row>
    <row r="17" spans="1:90" ht="21" customHeight="1" x14ac:dyDescent="0.25">
      <c r="A17" s="18">
        <v>13</v>
      </c>
      <c r="B17" s="20" t="s">
        <v>49</v>
      </c>
      <c r="C17" s="9" t="s">
        <v>50</v>
      </c>
      <c r="D17" s="73">
        <v>0.34375</v>
      </c>
      <c r="E17" s="73">
        <v>0.95208333333333339</v>
      </c>
      <c r="F17" s="73">
        <v>0.3444444444444445</v>
      </c>
      <c r="G17" s="73">
        <v>0.95416666666666661</v>
      </c>
      <c r="H17" s="73">
        <v>0.34513888888888888</v>
      </c>
      <c r="I17" s="73">
        <v>0.95138888888888884</v>
      </c>
      <c r="J17" s="73">
        <v>0.34513888888888888</v>
      </c>
      <c r="K17" s="73">
        <v>0.93888888888888899</v>
      </c>
      <c r="L17" s="73">
        <v>0.3430555555555555</v>
      </c>
      <c r="M17" s="73">
        <v>0.9555555555555556</v>
      </c>
      <c r="N17" s="122" t="s">
        <v>15</v>
      </c>
      <c r="O17" s="126" t="s">
        <v>15</v>
      </c>
      <c r="P17" s="105">
        <v>0.3430555555555555</v>
      </c>
      <c r="Q17" s="105">
        <v>0.96111111111111114</v>
      </c>
      <c r="R17" s="105">
        <v>0.34236111111111112</v>
      </c>
      <c r="S17" s="105">
        <v>0.92499999999999993</v>
      </c>
      <c r="T17" s="121" t="s">
        <v>195</v>
      </c>
      <c r="U17" s="121" t="s">
        <v>195</v>
      </c>
      <c r="V17" s="105">
        <v>0.34236111111111112</v>
      </c>
      <c r="W17" s="105">
        <v>0.94027777777777777</v>
      </c>
      <c r="X17" s="105">
        <v>0.34652777777777777</v>
      </c>
      <c r="Y17" s="105">
        <v>0.9458333333333333</v>
      </c>
      <c r="Z17" s="105">
        <v>0.34375</v>
      </c>
      <c r="AA17" s="105">
        <v>0.97361111111111109</v>
      </c>
      <c r="AB17" s="107">
        <v>0.5625</v>
      </c>
      <c r="AC17" s="107">
        <v>0.94097222222222221</v>
      </c>
      <c r="AD17" s="105">
        <v>0.34513888888888888</v>
      </c>
      <c r="AE17" s="105">
        <v>0.95624999999999993</v>
      </c>
      <c r="AF17" s="105">
        <v>0.34513888888888888</v>
      </c>
      <c r="AG17" s="105">
        <v>0.96111111111111114</v>
      </c>
      <c r="AI17" s="18">
        <v>13</v>
      </c>
      <c r="AJ17" s="105">
        <v>0.34652777777777777</v>
      </c>
      <c r="AK17" s="105">
        <v>0.96458333333333324</v>
      </c>
      <c r="AL17" s="105">
        <v>0.34722222222222227</v>
      </c>
      <c r="AM17" s="105">
        <v>0.95138888888888884</v>
      </c>
      <c r="AN17" s="105">
        <v>0.37013888888888885</v>
      </c>
      <c r="AO17" s="105">
        <v>0.99791666666666667</v>
      </c>
      <c r="AP17" s="105">
        <v>0.37083333333333335</v>
      </c>
      <c r="AQ17" s="105">
        <v>5.5555555555555558E-3</v>
      </c>
      <c r="AR17" s="107">
        <v>0.57708333333333328</v>
      </c>
      <c r="AS17" s="107">
        <v>0.99375000000000002</v>
      </c>
      <c r="AT17" s="105">
        <v>0.36874999999999997</v>
      </c>
      <c r="AU17" s="105">
        <v>0.99236111111111114</v>
      </c>
      <c r="AV17" s="105">
        <v>0.37013888888888885</v>
      </c>
      <c r="AW17" s="105">
        <v>0.9194444444444444</v>
      </c>
      <c r="AX17" s="105">
        <v>0.37013888888888885</v>
      </c>
      <c r="AY17" s="105">
        <v>0.85</v>
      </c>
      <c r="AZ17" s="105">
        <v>0.37152777777777773</v>
      </c>
      <c r="BA17" s="105">
        <v>0.99583333333333324</v>
      </c>
      <c r="BB17" s="105">
        <v>0.37152777777777773</v>
      </c>
      <c r="BC17" s="105">
        <v>7.6388888888888886E-3</v>
      </c>
      <c r="BD17" s="105">
        <v>0.37222222222222223</v>
      </c>
      <c r="BE17" s="105">
        <v>5.5555555555555558E-3</v>
      </c>
      <c r="BF17" s="107">
        <v>0.57361111111111118</v>
      </c>
      <c r="BG17" s="107">
        <v>0.9916666666666667</v>
      </c>
      <c r="BH17" s="105">
        <v>0.37291666666666662</v>
      </c>
      <c r="BI17" s="105">
        <v>2.8472222222222222E-2</v>
      </c>
      <c r="BJ17" s="12">
        <f t="shared" si="12"/>
        <v>28</v>
      </c>
      <c r="BK17" s="112">
        <v>3</v>
      </c>
      <c r="BL17" s="2">
        <f t="shared" si="13"/>
        <v>26</v>
      </c>
      <c r="BM17" s="3">
        <f t="shared" si="14"/>
        <v>1</v>
      </c>
      <c r="BN17" s="3">
        <f t="shared" si="15"/>
        <v>0</v>
      </c>
      <c r="BO17" s="3">
        <f t="shared" si="16"/>
        <v>0</v>
      </c>
      <c r="BP17" s="3">
        <f t="shared" si="17"/>
        <v>0</v>
      </c>
      <c r="BQ17" s="3">
        <f t="shared" si="18"/>
        <v>0</v>
      </c>
      <c r="BR17" s="3">
        <f t="shared" si="19"/>
        <v>0</v>
      </c>
      <c r="BS17" s="3">
        <f t="shared" si="20"/>
        <v>1</v>
      </c>
      <c r="BT17" s="3">
        <f t="shared" si="21"/>
        <v>0</v>
      </c>
      <c r="BU17" s="3">
        <f t="shared" si="22"/>
        <v>0</v>
      </c>
      <c r="BV17" s="3">
        <f t="shared" si="23"/>
        <v>0</v>
      </c>
      <c r="BW17" s="3">
        <f t="shared" si="24"/>
        <v>0</v>
      </c>
      <c r="BX17" s="118"/>
      <c r="CB17" s="87">
        <v>0</v>
      </c>
      <c r="CC17" s="87">
        <v>0</v>
      </c>
      <c r="CD17" s="87">
        <v>0</v>
      </c>
      <c r="CE17" s="87">
        <v>0</v>
      </c>
      <c r="CF17" s="87">
        <v>0</v>
      </c>
      <c r="CG17" s="88">
        <v>3</v>
      </c>
      <c r="CH17" s="87">
        <v>0</v>
      </c>
      <c r="CI17" s="87">
        <v>0</v>
      </c>
      <c r="CJ17" s="87">
        <v>0</v>
      </c>
      <c r="CK17" s="87">
        <v>0</v>
      </c>
      <c r="CL17" s="89">
        <f t="shared" si="27"/>
        <v>3</v>
      </c>
    </row>
    <row r="18" spans="1:90" ht="21" customHeight="1" x14ac:dyDescent="0.25">
      <c r="A18" s="18">
        <v>14</v>
      </c>
      <c r="B18" s="20" t="s">
        <v>51</v>
      </c>
      <c r="C18" s="9" t="s">
        <v>52</v>
      </c>
      <c r="D18" s="73">
        <v>0.3659722222222222</v>
      </c>
      <c r="E18" s="121">
        <v>1</v>
      </c>
      <c r="F18" s="73">
        <v>0.3659722222222222</v>
      </c>
      <c r="G18" s="121">
        <v>1</v>
      </c>
      <c r="H18" s="73">
        <v>0.36249999999999999</v>
      </c>
      <c r="I18" s="73">
        <v>0.98472222222222217</v>
      </c>
      <c r="J18" s="73">
        <v>0.36458333333333331</v>
      </c>
      <c r="K18" s="73">
        <v>0.69236111111111109</v>
      </c>
      <c r="L18" s="73">
        <v>0.37013888888888885</v>
      </c>
      <c r="M18" s="121">
        <v>1</v>
      </c>
      <c r="N18" s="76">
        <v>0.58958333333333335</v>
      </c>
      <c r="O18" s="127">
        <v>0.90625</v>
      </c>
      <c r="P18" s="105">
        <v>0.35625000000000001</v>
      </c>
      <c r="Q18" s="121">
        <v>1</v>
      </c>
      <c r="R18" s="105">
        <v>0.35555555555555557</v>
      </c>
      <c r="S18" s="105">
        <v>0.95138888888888884</v>
      </c>
      <c r="T18" s="105">
        <v>0.36527777777777781</v>
      </c>
      <c r="U18" s="105">
        <v>0.96250000000000002</v>
      </c>
      <c r="V18" s="105">
        <v>0.37361111111111112</v>
      </c>
      <c r="W18" s="105">
        <v>0.96527777777777779</v>
      </c>
      <c r="X18" s="105">
        <v>0.36249999999999999</v>
      </c>
      <c r="Y18" s="121">
        <v>1</v>
      </c>
      <c r="Z18" s="105">
        <v>0.3576388888888889</v>
      </c>
      <c r="AA18" s="105">
        <v>8.3333333333333332E-3</v>
      </c>
      <c r="AB18" s="122" t="s">
        <v>15</v>
      </c>
      <c r="AC18" s="126" t="s">
        <v>15</v>
      </c>
      <c r="AD18" s="105">
        <v>0.35555555555555557</v>
      </c>
      <c r="AE18" s="121">
        <v>1</v>
      </c>
      <c r="AF18" s="105">
        <v>0.3743055555555555</v>
      </c>
      <c r="AG18" s="105">
        <v>0.96875</v>
      </c>
      <c r="AI18" s="18">
        <v>14</v>
      </c>
      <c r="AJ18" s="105">
        <v>0.36944444444444446</v>
      </c>
      <c r="AK18" s="105">
        <v>0.96875</v>
      </c>
      <c r="AL18" s="105">
        <v>0.33819444444444446</v>
      </c>
      <c r="AM18" s="105">
        <v>0.96875</v>
      </c>
      <c r="AN18" s="105">
        <v>0.46319444444444446</v>
      </c>
      <c r="AO18" s="73">
        <v>0.125</v>
      </c>
      <c r="AP18" s="105">
        <v>0.35902777777777778</v>
      </c>
      <c r="AQ18" s="105">
        <v>0.60069444444444442</v>
      </c>
      <c r="AR18" s="107">
        <v>0.5805555555555556</v>
      </c>
      <c r="AS18" s="107">
        <v>0.98333333333333339</v>
      </c>
      <c r="AT18" s="105">
        <v>0.3833333333333333</v>
      </c>
      <c r="AU18" s="105">
        <v>0.99652777777777779</v>
      </c>
      <c r="AV18" s="105">
        <v>0.38263888888888892</v>
      </c>
      <c r="AW18" s="105">
        <v>4.1666666666666664E-2</v>
      </c>
      <c r="AX18" s="105">
        <v>0.37222222222222223</v>
      </c>
      <c r="AY18" s="121">
        <v>1</v>
      </c>
      <c r="AZ18" s="105">
        <v>0.3743055555555555</v>
      </c>
      <c r="BA18" s="121">
        <v>1</v>
      </c>
      <c r="BB18" s="105">
        <v>0.3756944444444445</v>
      </c>
      <c r="BC18" s="105">
        <v>4.0972222222222222E-2</v>
      </c>
      <c r="BD18" s="105">
        <v>0.3756944444444445</v>
      </c>
      <c r="BE18" s="121">
        <v>1</v>
      </c>
      <c r="BF18" s="107">
        <v>0.59444444444444444</v>
      </c>
      <c r="BG18" s="122">
        <v>1</v>
      </c>
      <c r="BH18" s="105">
        <v>0.44097222222222227</v>
      </c>
      <c r="BI18" s="121">
        <v>1</v>
      </c>
      <c r="BJ18" s="12">
        <f t="shared" si="12"/>
        <v>28</v>
      </c>
      <c r="BK18" s="112">
        <v>3</v>
      </c>
      <c r="BL18" s="2">
        <f t="shared" si="13"/>
        <v>27</v>
      </c>
      <c r="BM18" s="3">
        <f t="shared" si="14"/>
        <v>1</v>
      </c>
      <c r="BN18" s="3">
        <f t="shared" si="15"/>
        <v>0</v>
      </c>
      <c r="BO18" s="3">
        <f t="shared" si="16"/>
        <v>0</v>
      </c>
      <c r="BP18" s="3">
        <f t="shared" si="17"/>
        <v>0</v>
      </c>
      <c r="BQ18" s="3">
        <f t="shared" si="18"/>
        <v>0</v>
      </c>
      <c r="BR18" s="3">
        <f t="shared" si="19"/>
        <v>0</v>
      </c>
      <c r="BS18" s="3">
        <f t="shared" si="20"/>
        <v>0</v>
      </c>
      <c r="BT18" s="3">
        <f t="shared" si="21"/>
        <v>0</v>
      </c>
      <c r="BU18" s="3">
        <f t="shared" si="22"/>
        <v>0</v>
      </c>
      <c r="BV18" s="3">
        <f t="shared" si="23"/>
        <v>0</v>
      </c>
      <c r="BW18" s="3">
        <f t="shared" si="24"/>
        <v>0</v>
      </c>
      <c r="BX18" s="118"/>
      <c r="CB18" s="87">
        <v>0</v>
      </c>
      <c r="CC18" s="87">
        <v>0</v>
      </c>
      <c r="CD18" s="87">
        <v>0</v>
      </c>
      <c r="CE18" s="87">
        <v>0</v>
      </c>
      <c r="CF18" s="87">
        <v>0</v>
      </c>
      <c r="CG18" s="87">
        <v>0</v>
      </c>
      <c r="CH18" s="87">
        <v>0</v>
      </c>
      <c r="CI18" s="87">
        <v>0</v>
      </c>
      <c r="CJ18" s="87">
        <v>0</v>
      </c>
      <c r="CK18" s="87">
        <v>0</v>
      </c>
      <c r="CL18" s="89">
        <f t="shared" si="27"/>
        <v>0</v>
      </c>
    </row>
    <row r="19" spans="1:90" ht="21" customHeight="1" x14ac:dyDescent="0.25">
      <c r="A19" s="18">
        <v>15</v>
      </c>
      <c r="B19" s="20" t="s">
        <v>53</v>
      </c>
      <c r="C19" s="9" t="s">
        <v>54</v>
      </c>
      <c r="D19" s="73">
        <v>0.34930555555555554</v>
      </c>
      <c r="E19" s="73">
        <v>0.98888888888888893</v>
      </c>
      <c r="F19" s="73">
        <v>0.3576388888888889</v>
      </c>
      <c r="G19" s="121">
        <v>1</v>
      </c>
      <c r="H19" s="73">
        <v>0.35902777777777778</v>
      </c>
      <c r="I19" s="73">
        <v>2.7777777777777779E-3</v>
      </c>
      <c r="J19" s="73">
        <v>0.37361111111111112</v>
      </c>
      <c r="K19" s="73">
        <v>0.98611111111111116</v>
      </c>
      <c r="L19" s="73">
        <v>0.34861111111111115</v>
      </c>
      <c r="M19" s="73">
        <v>2.7083333333333334E-2</v>
      </c>
      <c r="N19" s="122" t="s">
        <v>15</v>
      </c>
      <c r="O19" s="126" t="s">
        <v>15</v>
      </c>
      <c r="P19" s="105">
        <v>0.35625000000000001</v>
      </c>
      <c r="Q19" s="105">
        <v>2.5694444444444447E-2</v>
      </c>
      <c r="R19" s="105">
        <v>0.36319444444444443</v>
      </c>
      <c r="S19" s="105">
        <v>0.96944444444444444</v>
      </c>
      <c r="T19" s="105">
        <v>0.36249999999999999</v>
      </c>
      <c r="U19" s="105">
        <v>0.96319444444444446</v>
      </c>
      <c r="V19" s="105">
        <v>0.3527777777777778</v>
      </c>
      <c r="W19" s="105">
        <v>0.96875</v>
      </c>
      <c r="X19" s="105">
        <v>0.35972222222222222</v>
      </c>
      <c r="Y19" s="105">
        <v>9.0277777777777787E-3</v>
      </c>
      <c r="Z19" s="105">
        <v>0.35694444444444445</v>
      </c>
      <c r="AA19" s="105">
        <v>8.3333333333333332E-3</v>
      </c>
      <c r="AB19" s="107">
        <v>0.56527777777777777</v>
      </c>
      <c r="AC19" s="107">
        <v>6.0416666666666667E-2</v>
      </c>
      <c r="AD19" s="105">
        <v>0.3743055555555555</v>
      </c>
      <c r="AE19" s="121">
        <v>1</v>
      </c>
      <c r="AF19" s="105">
        <v>0.3444444444444445</v>
      </c>
      <c r="AG19" s="105">
        <v>0.9590277777777777</v>
      </c>
      <c r="AI19" s="18">
        <v>15</v>
      </c>
      <c r="AJ19" s="105">
        <v>0.37986111111111115</v>
      </c>
      <c r="AK19" s="105">
        <v>4.3750000000000004E-2</v>
      </c>
      <c r="AL19" s="105">
        <v>0.34930555555555554</v>
      </c>
      <c r="AM19" s="105">
        <v>7.9166666666666663E-2</v>
      </c>
      <c r="AN19" s="105">
        <v>0.36944444444444446</v>
      </c>
      <c r="AO19" s="105">
        <v>6.3888888888888884E-2</v>
      </c>
      <c r="AP19" s="105">
        <v>0.375</v>
      </c>
      <c r="AQ19" s="105">
        <v>5.6250000000000001E-2</v>
      </c>
      <c r="AR19" s="107">
        <v>0.56597222222222221</v>
      </c>
      <c r="AS19" s="107">
        <v>0.11180555555555556</v>
      </c>
      <c r="AT19" s="105">
        <v>0.37777777777777777</v>
      </c>
      <c r="AU19" s="105">
        <v>4.8611111111111112E-2</v>
      </c>
      <c r="AV19" s="105">
        <v>0.37152777777777773</v>
      </c>
      <c r="AW19" s="105">
        <v>5.1388888888888894E-2</v>
      </c>
      <c r="AX19" s="105">
        <v>0.37708333333333338</v>
      </c>
      <c r="AY19" s="105">
        <v>8.6111111111111124E-2</v>
      </c>
      <c r="AZ19" s="105">
        <v>0.39027777777777778</v>
      </c>
      <c r="BA19" s="105">
        <v>9.6527777777777768E-2</v>
      </c>
      <c r="BB19" s="105">
        <v>0.3743055555555555</v>
      </c>
      <c r="BC19" s="105">
        <v>5.1388888888888894E-2</v>
      </c>
      <c r="BD19" s="105">
        <v>0.37777777777777777</v>
      </c>
      <c r="BE19" s="105">
        <v>5.4166666666666669E-2</v>
      </c>
      <c r="BF19" s="107">
        <v>0.57500000000000007</v>
      </c>
      <c r="BG19" s="107">
        <v>5.8333333333333327E-2</v>
      </c>
      <c r="BH19" s="105">
        <v>0.36805555555555558</v>
      </c>
      <c r="BI19" s="105">
        <v>7.2916666666666671E-2</v>
      </c>
      <c r="BJ19" s="12">
        <f t="shared" si="12"/>
        <v>28</v>
      </c>
      <c r="BK19" s="112">
        <v>3</v>
      </c>
      <c r="BL19" s="2">
        <f>COUNT(D19:AG19)/2+COUNT(AJ19:BI19)/2</f>
        <v>27</v>
      </c>
      <c r="BM19" s="3">
        <f>COUNTIF(D19:BI19,"OFF")/2</f>
        <v>1</v>
      </c>
      <c r="BN19" s="3">
        <f>COUNTIF(D19:BI19,"MC")/2</f>
        <v>0</v>
      </c>
      <c r="BO19" s="3">
        <f>COUNTIF(D19:BI19,"EL")/2</f>
        <v>0</v>
      </c>
      <c r="BP19" s="3">
        <f>COUNTIF(D19:BI19,"AL")/2</f>
        <v>0</v>
      </c>
      <c r="BQ19" s="3">
        <f>COUNTIF(D19:BI19,"SUS")/2</f>
        <v>0</v>
      </c>
      <c r="BR19" s="3">
        <f>COUNTIF(D19:BI19,"FL")/2</f>
        <v>0</v>
      </c>
      <c r="BS19" s="3">
        <f>COUNTIF(D19:BI19,"SICK")/2</f>
        <v>0</v>
      </c>
      <c r="BT19" s="3">
        <f>COUNTIF(D19:BI19,"HD")/2</f>
        <v>0</v>
      </c>
      <c r="BU19" s="3">
        <f>COUNTIF(D19:BI19,"AB")/2</f>
        <v>0</v>
      </c>
      <c r="BV19" s="3">
        <f>COUNTIF(D19:BI19,"NL")/2</f>
        <v>0</v>
      </c>
      <c r="BW19" s="3">
        <f>COUNTIF(D19:BI19,"SP")/2</f>
        <v>0</v>
      </c>
      <c r="BX19" s="118"/>
      <c r="CB19" s="87">
        <v>0</v>
      </c>
      <c r="CC19" s="88">
        <v>5</v>
      </c>
      <c r="CD19" s="87">
        <v>0</v>
      </c>
      <c r="CE19" s="87">
        <v>0</v>
      </c>
      <c r="CF19" s="87">
        <v>0</v>
      </c>
      <c r="CG19" s="87">
        <v>0</v>
      </c>
      <c r="CH19" s="87">
        <v>0</v>
      </c>
      <c r="CI19" s="87">
        <v>0</v>
      </c>
      <c r="CJ19" s="87">
        <v>0</v>
      </c>
      <c r="CK19" s="87">
        <v>0</v>
      </c>
      <c r="CL19" s="89">
        <f t="shared" si="27"/>
        <v>5</v>
      </c>
    </row>
    <row r="20" spans="1:90" ht="21" customHeight="1" x14ac:dyDescent="0.25">
      <c r="A20" s="18">
        <v>16</v>
      </c>
      <c r="B20" s="20" t="s">
        <v>55</v>
      </c>
      <c r="C20" s="9" t="s">
        <v>56</v>
      </c>
      <c r="D20" s="73">
        <v>0.3520833333333333</v>
      </c>
      <c r="E20" s="73">
        <v>0.97777777777777775</v>
      </c>
      <c r="F20" s="73">
        <v>0.35138888888888892</v>
      </c>
      <c r="G20" s="73">
        <v>0.95833333333333337</v>
      </c>
      <c r="H20" s="73">
        <v>0.3430555555555555</v>
      </c>
      <c r="I20" s="73">
        <v>0.95833333333333337</v>
      </c>
      <c r="J20" s="73">
        <v>0.34236111111111112</v>
      </c>
      <c r="K20" s="73">
        <v>0.98611111111111116</v>
      </c>
      <c r="L20" s="73">
        <v>0.3527777777777778</v>
      </c>
      <c r="M20" s="73">
        <v>2.0833333333333332E-2</v>
      </c>
      <c r="N20" s="122" t="s">
        <v>15</v>
      </c>
      <c r="O20" s="126" t="s">
        <v>15</v>
      </c>
      <c r="P20" s="105">
        <v>0.34791666666666665</v>
      </c>
      <c r="Q20" s="105">
        <v>0.97916666666666663</v>
      </c>
      <c r="R20" s="105">
        <v>0.35138888888888892</v>
      </c>
      <c r="S20" s="105">
        <v>0.96944444444444444</v>
      </c>
      <c r="T20" s="105">
        <v>0.34930555555555554</v>
      </c>
      <c r="U20" s="105">
        <v>0.93333333333333324</v>
      </c>
      <c r="V20" s="105">
        <v>0.35416666666666669</v>
      </c>
      <c r="W20" s="105">
        <v>0.9590277777777777</v>
      </c>
      <c r="X20" s="105">
        <v>0.34930555555555554</v>
      </c>
      <c r="Y20" s="121">
        <v>1</v>
      </c>
      <c r="Z20" s="105">
        <v>0.34513888888888888</v>
      </c>
      <c r="AA20" s="121">
        <v>1</v>
      </c>
      <c r="AB20" s="107">
        <v>0.57916666666666672</v>
      </c>
      <c r="AC20" s="107">
        <v>5.486111111111111E-2</v>
      </c>
      <c r="AD20" s="105">
        <v>0.3520833333333333</v>
      </c>
      <c r="AE20" s="105">
        <v>2.2222222222222223E-2</v>
      </c>
      <c r="AF20" s="105">
        <v>0.34930555555555554</v>
      </c>
      <c r="AG20" s="105">
        <v>0.96805555555555556</v>
      </c>
      <c r="AI20" s="18">
        <v>16</v>
      </c>
      <c r="AJ20" s="105">
        <v>0.35138888888888892</v>
      </c>
      <c r="AK20" s="105">
        <v>6.5972222222222224E-2</v>
      </c>
      <c r="AL20" s="105">
        <v>0.35138888888888892</v>
      </c>
      <c r="AM20" s="105">
        <v>6.5972222222222224E-2</v>
      </c>
      <c r="AN20" s="105">
        <v>0.37222222222222223</v>
      </c>
      <c r="AO20" s="105">
        <v>5.1388888888888894E-2</v>
      </c>
      <c r="AP20" s="105">
        <v>0.37361111111111112</v>
      </c>
      <c r="AQ20" s="105">
        <v>5.2083333333333336E-2</v>
      </c>
      <c r="AR20" s="107">
        <v>0.57916666666666672</v>
      </c>
      <c r="AS20" s="107">
        <v>0.10486111111111111</v>
      </c>
      <c r="AT20" s="105">
        <v>0.37291666666666662</v>
      </c>
      <c r="AU20" s="105">
        <v>5.2083333333333336E-2</v>
      </c>
      <c r="AV20" s="105">
        <v>0.37291666666666662</v>
      </c>
      <c r="AW20" s="105">
        <v>5.1388888888888894E-2</v>
      </c>
      <c r="AX20" s="105">
        <v>0.3743055555555555</v>
      </c>
      <c r="AY20" s="105">
        <v>8.7500000000000008E-2</v>
      </c>
      <c r="AZ20" s="105">
        <v>0.37152777777777773</v>
      </c>
      <c r="BA20" s="105">
        <v>9.0972222222222218E-2</v>
      </c>
      <c r="BB20" s="105">
        <v>0.37291666666666662</v>
      </c>
      <c r="BC20" s="105">
        <v>4.9305555555555554E-2</v>
      </c>
      <c r="BD20" s="105">
        <v>0.37361111111111112</v>
      </c>
      <c r="BE20" s="105">
        <v>4.3055555555555562E-2</v>
      </c>
      <c r="BF20" s="107">
        <v>0.5805555555555556</v>
      </c>
      <c r="BG20" s="107">
        <v>5.0694444444444452E-2</v>
      </c>
      <c r="BH20" s="105">
        <v>0.37291666666666662</v>
      </c>
      <c r="BI20" s="105">
        <v>6.9444444444444434E-2</v>
      </c>
      <c r="BJ20" s="12">
        <f t="shared" si="12"/>
        <v>28</v>
      </c>
      <c r="BK20" s="112">
        <v>3</v>
      </c>
      <c r="BL20" s="2">
        <f t="shared" si="13"/>
        <v>27</v>
      </c>
      <c r="BM20" s="3">
        <f t="shared" si="14"/>
        <v>1</v>
      </c>
      <c r="BN20" s="3">
        <f t="shared" si="15"/>
        <v>0</v>
      </c>
      <c r="BO20" s="3">
        <f t="shared" si="16"/>
        <v>0</v>
      </c>
      <c r="BP20" s="3">
        <f t="shared" si="17"/>
        <v>0</v>
      </c>
      <c r="BQ20" s="3">
        <f t="shared" si="18"/>
        <v>0</v>
      </c>
      <c r="BR20" s="3">
        <f t="shared" si="19"/>
        <v>0</v>
      </c>
      <c r="BS20" s="3">
        <f t="shared" si="20"/>
        <v>0</v>
      </c>
      <c r="BT20" s="3">
        <f t="shared" si="21"/>
        <v>0</v>
      </c>
      <c r="BU20" s="3">
        <f t="shared" si="22"/>
        <v>0</v>
      </c>
      <c r="BV20" s="3">
        <f t="shared" si="23"/>
        <v>0</v>
      </c>
      <c r="BW20" s="3">
        <f t="shared" si="24"/>
        <v>0</v>
      </c>
      <c r="BX20" s="118"/>
      <c r="CB20" s="87">
        <v>0</v>
      </c>
      <c r="CC20" s="87">
        <v>0</v>
      </c>
      <c r="CD20" s="87">
        <v>0</v>
      </c>
      <c r="CE20" s="87">
        <v>0</v>
      </c>
      <c r="CF20" s="87">
        <v>0</v>
      </c>
      <c r="CG20" s="88">
        <v>1</v>
      </c>
      <c r="CH20" s="87">
        <v>0</v>
      </c>
      <c r="CI20" s="87">
        <v>0</v>
      </c>
      <c r="CJ20" s="87">
        <v>0</v>
      </c>
      <c r="CK20" s="87">
        <v>0</v>
      </c>
      <c r="CL20" s="89">
        <f t="shared" si="27"/>
        <v>1</v>
      </c>
    </row>
    <row r="21" spans="1:90" ht="21" customHeight="1" x14ac:dyDescent="0.25">
      <c r="A21" s="18">
        <v>17</v>
      </c>
      <c r="B21" s="21" t="s">
        <v>57</v>
      </c>
      <c r="C21" s="9" t="s">
        <v>58</v>
      </c>
      <c r="D21" s="73">
        <v>0.34583333333333338</v>
      </c>
      <c r="E21" s="73">
        <v>0.97986111111111107</v>
      </c>
      <c r="F21" s="73">
        <v>0.34652777777777777</v>
      </c>
      <c r="G21" s="73">
        <v>0.95000000000000007</v>
      </c>
      <c r="H21" s="73">
        <v>0.3444444444444445</v>
      </c>
      <c r="I21" s="73">
        <v>0.96597222222222223</v>
      </c>
      <c r="J21" s="73">
        <v>0.35069444444444442</v>
      </c>
      <c r="K21" s="73">
        <v>0.9902777777777777</v>
      </c>
      <c r="L21" s="73">
        <v>0.34652777777777777</v>
      </c>
      <c r="M21" s="73">
        <v>2.5694444444444447E-2</v>
      </c>
      <c r="N21" s="76">
        <v>0.58124999999999993</v>
      </c>
      <c r="O21" s="127">
        <v>0.95694444444444438</v>
      </c>
      <c r="P21" s="105">
        <v>0.34930555555555554</v>
      </c>
      <c r="Q21" s="105">
        <v>0.9770833333333333</v>
      </c>
      <c r="R21" s="105">
        <v>0.33958333333333335</v>
      </c>
      <c r="S21" s="105">
        <v>0.33958333333333335</v>
      </c>
      <c r="T21" s="105">
        <v>0.3444444444444445</v>
      </c>
      <c r="U21" s="105">
        <v>0.95416666666666661</v>
      </c>
      <c r="V21" s="105">
        <v>0.34722222222222227</v>
      </c>
      <c r="W21" s="105">
        <v>0.96805555555555556</v>
      </c>
      <c r="X21" s="105">
        <v>0.35138888888888892</v>
      </c>
      <c r="Y21" s="121">
        <v>1</v>
      </c>
      <c r="Z21" s="105">
        <v>0.34930555555555554</v>
      </c>
      <c r="AA21" s="105">
        <v>6.9444444444444447E-4</v>
      </c>
      <c r="AB21" s="107">
        <v>0.5805555555555556</v>
      </c>
      <c r="AC21" s="122">
        <v>1</v>
      </c>
      <c r="AD21" s="105">
        <v>0.34930555555555554</v>
      </c>
      <c r="AE21" s="105">
        <v>2.6388888888888889E-2</v>
      </c>
      <c r="AF21" s="105">
        <v>0.34583333333333338</v>
      </c>
      <c r="AG21" s="121">
        <v>1</v>
      </c>
      <c r="AH21" s="129"/>
      <c r="AI21" s="18">
        <v>17</v>
      </c>
      <c r="AJ21" s="105">
        <v>0.35138888888888892</v>
      </c>
      <c r="AK21" s="105">
        <v>3.8194444444444441E-2</v>
      </c>
      <c r="AL21" s="105">
        <v>0.34583333333333338</v>
      </c>
      <c r="AM21" s="105">
        <v>7.6388888888888895E-2</v>
      </c>
      <c r="AN21" s="105">
        <v>0.3743055555555555</v>
      </c>
      <c r="AO21" s="105">
        <v>5.7638888888888885E-2</v>
      </c>
      <c r="AP21" s="105">
        <v>0.37638888888888888</v>
      </c>
      <c r="AQ21" s="105">
        <v>5.4166666666666669E-2</v>
      </c>
      <c r="AR21" s="107">
        <v>0.58124999999999993</v>
      </c>
      <c r="AS21" s="107">
        <v>0.10694444444444444</v>
      </c>
      <c r="AT21" s="105">
        <v>0.3743055555555555</v>
      </c>
      <c r="AU21" s="105">
        <v>4.8611111111111112E-2</v>
      </c>
      <c r="AV21" s="105">
        <v>0.37361111111111112</v>
      </c>
      <c r="AW21" s="105">
        <v>0.85555555555555562</v>
      </c>
      <c r="AX21" s="105">
        <v>0.3743055555555555</v>
      </c>
      <c r="AY21" s="105">
        <v>8.6805555555555566E-2</v>
      </c>
      <c r="AZ21" s="105">
        <v>0.37361111111111112</v>
      </c>
      <c r="BA21" s="105">
        <v>9.2361111111111116E-2</v>
      </c>
      <c r="BB21" s="105">
        <v>0.375</v>
      </c>
      <c r="BC21" s="105">
        <v>5.1388888888888894E-2</v>
      </c>
      <c r="BD21" s="105">
        <v>0.37361111111111112</v>
      </c>
      <c r="BE21" s="105">
        <v>5.1388888888888894E-2</v>
      </c>
      <c r="BF21" s="107">
        <v>0.5805555555555556</v>
      </c>
      <c r="BG21" s="107">
        <v>5.2083333333333336E-2</v>
      </c>
      <c r="BH21" s="105">
        <v>0.3743055555555555</v>
      </c>
      <c r="BI21" s="105">
        <v>7.1527777777777787E-2</v>
      </c>
      <c r="BJ21" s="12">
        <f t="shared" si="12"/>
        <v>28</v>
      </c>
      <c r="BK21" s="112">
        <v>4</v>
      </c>
      <c r="BL21" s="2">
        <f t="shared" si="13"/>
        <v>28</v>
      </c>
      <c r="BM21" s="3">
        <f t="shared" si="14"/>
        <v>0</v>
      </c>
      <c r="BN21" s="3">
        <f t="shared" si="15"/>
        <v>0</v>
      </c>
      <c r="BO21" s="3">
        <f t="shared" si="16"/>
        <v>0</v>
      </c>
      <c r="BP21" s="3">
        <f t="shared" si="17"/>
        <v>0</v>
      </c>
      <c r="BQ21" s="3">
        <f t="shared" si="18"/>
        <v>0</v>
      </c>
      <c r="BR21" s="3">
        <f t="shared" si="19"/>
        <v>0</v>
      </c>
      <c r="BS21" s="3">
        <f t="shared" si="20"/>
        <v>0</v>
      </c>
      <c r="BT21" s="3">
        <f t="shared" si="21"/>
        <v>0</v>
      </c>
      <c r="BU21" s="3">
        <f t="shared" si="22"/>
        <v>0</v>
      </c>
      <c r="BV21" s="3">
        <f t="shared" si="23"/>
        <v>0</v>
      </c>
      <c r="BW21" s="3">
        <f t="shared" si="24"/>
        <v>0</v>
      </c>
      <c r="BX21" s="118"/>
      <c r="CB21" s="87">
        <v>0</v>
      </c>
      <c r="CC21" s="87">
        <v>0</v>
      </c>
      <c r="CD21" s="87">
        <v>0</v>
      </c>
      <c r="CE21" s="87">
        <v>0</v>
      </c>
      <c r="CF21" s="87">
        <v>0</v>
      </c>
      <c r="CG21" s="88">
        <v>1</v>
      </c>
      <c r="CH21" s="87">
        <v>0</v>
      </c>
      <c r="CI21" s="87">
        <v>0</v>
      </c>
      <c r="CJ21" s="87">
        <v>0</v>
      </c>
      <c r="CK21" s="87">
        <v>0</v>
      </c>
      <c r="CL21" s="89">
        <f t="shared" si="27"/>
        <v>1</v>
      </c>
    </row>
    <row r="22" spans="1:90" ht="21" customHeight="1" x14ac:dyDescent="0.25">
      <c r="A22" s="18">
        <v>18</v>
      </c>
      <c r="B22" s="20" t="s">
        <v>59</v>
      </c>
      <c r="C22" s="9" t="s">
        <v>60</v>
      </c>
      <c r="D22" s="73">
        <v>0.34861111111111115</v>
      </c>
      <c r="E22" s="121">
        <v>1</v>
      </c>
      <c r="F22" s="73">
        <v>0.34861111111111115</v>
      </c>
      <c r="G22" s="121">
        <v>1</v>
      </c>
      <c r="H22" s="73">
        <v>0.34861111111111115</v>
      </c>
      <c r="I22" s="73">
        <v>0.92013888888888884</v>
      </c>
      <c r="J22" s="73">
        <v>0.35069444444444442</v>
      </c>
      <c r="K22" s="121">
        <v>1</v>
      </c>
      <c r="L22" s="73">
        <v>0.34930555555555554</v>
      </c>
      <c r="M22" s="73">
        <v>0.92569444444444438</v>
      </c>
      <c r="N22" s="122" t="s">
        <v>15</v>
      </c>
      <c r="O22" s="126" t="s">
        <v>15</v>
      </c>
      <c r="P22" s="105">
        <v>0.35000000000000003</v>
      </c>
      <c r="Q22" s="105">
        <v>0.93472222222222223</v>
      </c>
      <c r="R22" s="105">
        <v>0.35000000000000003</v>
      </c>
      <c r="S22" s="105">
        <v>0.92083333333333339</v>
      </c>
      <c r="T22" s="105">
        <v>0.35000000000000003</v>
      </c>
      <c r="U22" s="105">
        <v>0.92638888888888893</v>
      </c>
      <c r="V22" s="105">
        <v>0.35069444444444442</v>
      </c>
      <c r="W22" s="113">
        <v>1</v>
      </c>
      <c r="X22" s="105">
        <v>0.34930555555555554</v>
      </c>
      <c r="Y22" s="105">
        <v>0.34930555555555554</v>
      </c>
      <c r="Z22" s="105">
        <v>0.35000000000000003</v>
      </c>
      <c r="AA22" s="105">
        <v>0.93888888888888899</v>
      </c>
      <c r="AB22" s="107">
        <v>0.57361111111111118</v>
      </c>
      <c r="AC22" s="107">
        <v>0.93611111111111101</v>
      </c>
      <c r="AD22" s="105">
        <v>0.34930555555555554</v>
      </c>
      <c r="AE22" s="105">
        <v>9.0277777777777787E-3</v>
      </c>
      <c r="AF22" s="105">
        <v>0.35000000000000003</v>
      </c>
      <c r="AG22" s="121">
        <v>1</v>
      </c>
      <c r="AH22" s="120"/>
      <c r="AI22" s="18">
        <v>18</v>
      </c>
      <c r="AJ22" s="105">
        <v>0.35000000000000003</v>
      </c>
      <c r="AK22" s="105">
        <v>1.3888888888888889E-3</v>
      </c>
      <c r="AL22" s="105">
        <v>0.35069444444444442</v>
      </c>
      <c r="AM22" s="105">
        <v>4.5138888888888888E-2</v>
      </c>
      <c r="AN22" s="105">
        <v>0.37222222222222223</v>
      </c>
      <c r="AO22" s="105">
        <v>2.4999999999999998E-2</v>
      </c>
      <c r="AP22" s="105">
        <v>0.37083333333333335</v>
      </c>
      <c r="AQ22" s="105">
        <v>1</v>
      </c>
      <c r="AR22" s="107">
        <v>0.57430555555555551</v>
      </c>
      <c r="AS22" s="107">
        <v>4.3055555555555562E-2</v>
      </c>
      <c r="AT22" s="105">
        <v>0.37083333333333335</v>
      </c>
      <c r="AU22" s="105">
        <v>4.5138888888888888E-2</v>
      </c>
      <c r="AV22" s="105">
        <v>0.37361111111111112</v>
      </c>
      <c r="AW22" s="121">
        <v>1</v>
      </c>
      <c r="AX22" s="105">
        <v>0.37361111111111112</v>
      </c>
      <c r="AY22" s="105">
        <v>5.486111111111111E-2</v>
      </c>
      <c r="AZ22" s="105">
        <v>0.37361111111111112</v>
      </c>
      <c r="BA22" s="105">
        <v>0.85138888888888886</v>
      </c>
      <c r="BB22" s="105">
        <v>0.37222222222222223</v>
      </c>
      <c r="BC22" s="105">
        <v>5.8333333333333327E-2</v>
      </c>
      <c r="BD22" s="105">
        <v>0.37222222222222223</v>
      </c>
      <c r="BE22" s="105">
        <v>4.0972222222222222E-2</v>
      </c>
      <c r="BF22" s="107">
        <v>0.5756944444444444</v>
      </c>
      <c r="BG22" s="107">
        <v>4.4444444444444446E-2</v>
      </c>
      <c r="BH22" s="105">
        <v>0.37291666666666662</v>
      </c>
      <c r="BI22" s="105">
        <v>5.6944444444444443E-2</v>
      </c>
      <c r="BJ22" s="12">
        <f t="shared" si="12"/>
        <v>28</v>
      </c>
      <c r="BK22" s="112">
        <v>3</v>
      </c>
      <c r="BL22" s="2">
        <f t="shared" si="13"/>
        <v>27</v>
      </c>
      <c r="BM22" s="3">
        <f t="shared" si="14"/>
        <v>1</v>
      </c>
      <c r="BN22" s="3">
        <f t="shared" si="15"/>
        <v>0</v>
      </c>
      <c r="BO22" s="3">
        <f t="shared" si="16"/>
        <v>0</v>
      </c>
      <c r="BP22" s="3">
        <f t="shared" si="17"/>
        <v>0</v>
      </c>
      <c r="BQ22" s="3">
        <f t="shared" si="18"/>
        <v>0</v>
      </c>
      <c r="BR22" s="3">
        <f t="shared" si="19"/>
        <v>0</v>
      </c>
      <c r="BS22" s="3">
        <f t="shared" si="20"/>
        <v>0</v>
      </c>
      <c r="BT22" s="3">
        <f t="shared" si="21"/>
        <v>0</v>
      </c>
      <c r="BU22" s="3">
        <f t="shared" si="22"/>
        <v>0</v>
      </c>
      <c r="BV22" s="3">
        <f t="shared" si="23"/>
        <v>0</v>
      </c>
      <c r="BW22" s="3">
        <f t="shared" si="24"/>
        <v>0</v>
      </c>
      <c r="BX22" s="118"/>
      <c r="CB22" s="87">
        <v>0</v>
      </c>
      <c r="CC22" s="87">
        <v>0</v>
      </c>
      <c r="CD22" s="88">
        <v>2</v>
      </c>
      <c r="CE22" s="87">
        <v>0</v>
      </c>
      <c r="CF22" s="87">
        <v>0</v>
      </c>
      <c r="CG22" s="87">
        <v>0</v>
      </c>
      <c r="CH22" s="87">
        <v>0</v>
      </c>
      <c r="CI22" s="87">
        <v>0</v>
      </c>
      <c r="CJ22" s="87">
        <v>0</v>
      </c>
      <c r="CK22" s="87">
        <v>0</v>
      </c>
      <c r="CL22" s="89">
        <f t="shared" si="27"/>
        <v>2</v>
      </c>
    </row>
    <row r="23" spans="1:90" ht="21" customHeight="1" x14ac:dyDescent="0.25">
      <c r="A23" s="18">
        <v>19</v>
      </c>
      <c r="B23" s="20" t="s">
        <v>61</v>
      </c>
      <c r="C23" s="9" t="s">
        <v>62</v>
      </c>
      <c r="D23" s="73">
        <v>0.34861111111111115</v>
      </c>
      <c r="E23" s="121">
        <v>1</v>
      </c>
      <c r="F23" s="73">
        <v>0.34930555555555554</v>
      </c>
      <c r="G23" s="121">
        <v>1</v>
      </c>
      <c r="H23" s="73">
        <v>0.34652777777777777</v>
      </c>
      <c r="I23" s="121">
        <v>1</v>
      </c>
      <c r="J23" s="73">
        <v>0.34513888888888888</v>
      </c>
      <c r="K23" s="121">
        <v>1</v>
      </c>
      <c r="L23" s="73">
        <v>0.3444444444444445</v>
      </c>
      <c r="M23" s="121">
        <v>1</v>
      </c>
      <c r="N23" s="76">
        <v>0.56041666666666667</v>
      </c>
      <c r="O23" s="126">
        <v>1</v>
      </c>
      <c r="P23" s="105">
        <v>0.3444444444444445</v>
      </c>
      <c r="Q23" s="113">
        <v>1</v>
      </c>
      <c r="R23" s="105">
        <v>0.34583333333333338</v>
      </c>
      <c r="S23" s="113">
        <v>1</v>
      </c>
      <c r="T23" s="113">
        <v>1</v>
      </c>
      <c r="U23" s="113">
        <v>1</v>
      </c>
      <c r="V23" s="105">
        <v>0.34861111111111115</v>
      </c>
      <c r="W23" s="113">
        <v>1</v>
      </c>
      <c r="X23" s="105">
        <v>0.34097222222222223</v>
      </c>
      <c r="Y23" s="121">
        <v>1</v>
      </c>
      <c r="Z23" s="105">
        <v>0.3444444444444445</v>
      </c>
      <c r="AA23" s="121">
        <v>1</v>
      </c>
      <c r="AB23" s="107">
        <v>0.61111111111111105</v>
      </c>
      <c r="AC23" s="122">
        <v>1</v>
      </c>
      <c r="AD23" s="105">
        <v>0.37708333333333338</v>
      </c>
      <c r="AE23" s="121">
        <v>1</v>
      </c>
      <c r="AF23" s="105">
        <v>0.35694444444444445</v>
      </c>
      <c r="AG23" s="121">
        <v>1</v>
      </c>
      <c r="AI23" s="18">
        <v>19</v>
      </c>
      <c r="AJ23" s="105">
        <v>0.3520833333333333</v>
      </c>
      <c r="AK23" s="121">
        <v>1</v>
      </c>
      <c r="AL23" s="105">
        <v>0.35000000000000003</v>
      </c>
      <c r="AM23" s="121">
        <v>1</v>
      </c>
      <c r="AN23" s="105">
        <v>0.3756944444444445</v>
      </c>
      <c r="AO23" s="121">
        <v>1</v>
      </c>
      <c r="AP23" s="105">
        <v>0.3743055555555555</v>
      </c>
      <c r="AQ23" s="121">
        <v>1</v>
      </c>
      <c r="AR23" s="107">
        <v>0.58194444444444449</v>
      </c>
      <c r="AS23" s="122">
        <v>1</v>
      </c>
      <c r="AT23" s="105">
        <v>0.37916666666666665</v>
      </c>
      <c r="AU23" s="121">
        <v>1</v>
      </c>
      <c r="AV23" s="105">
        <v>0.37847222222222227</v>
      </c>
      <c r="AW23" s="121">
        <v>1</v>
      </c>
      <c r="AX23" s="105">
        <v>0.37361111111111112</v>
      </c>
      <c r="AY23" s="121">
        <v>1</v>
      </c>
      <c r="AZ23" s="105">
        <v>0.375</v>
      </c>
      <c r="BA23" s="121">
        <v>1</v>
      </c>
      <c r="BB23" s="105">
        <v>0.375</v>
      </c>
      <c r="BC23" s="121">
        <v>1</v>
      </c>
      <c r="BD23" s="105">
        <v>0.3756944444444445</v>
      </c>
      <c r="BE23" s="121">
        <v>1</v>
      </c>
      <c r="BF23" s="107">
        <v>0.5805555555555556</v>
      </c>
      <c r="BG23" s="122">
        <v>1</v>
      </c>
      <c r="BH23" s="105">
        <v>0.37083333333333335</v>
      </c>
      <c r="BI23" s="121">
        <v>1</v>
      </c>
      <c r="BJ23" s="12">
        <f t="shared" si="12"/>
        <v>28</v>
      </c>
      <c r="BK23" s="112">
        <v>4</v>
      </c>
      <c r="BL23" s="2">
        <f t="shared" si="13"/>
        <v>28</v>
      </c>
      <c r="BM23" s="3">
        <f t="shared" si="14"/>
        <v>0</v>
      </c>
      <c r="BN23" s="3">
        <f t="shared" si="15"/>
        <v>0</v>
      </c>
      <c r="BO23" s="3">
        <f t="shared" si="16"/>
        <v>0</v>
      </c>
      <c r="BP23" s="3">
        <f t="shared" si="17"/>
        <v>0</v>
      </c>
      <c r="BQ23" s="3">
        <f t="shared" si="18"/>
        <v>0</v>
      </c>
      <c r="BR23" s="3">
        <f t="shared" si="19"/>
        <v>0</v>
      </c>
      <c r="BS23" s="3">
        <f t="shared" si="20"/>
        <v>0</v>
      </c>
      <c r="BT23" s="3">
        <f t="shared" si="21"/>
        <v>0</v>
      </c>
      <c r="BU23" s="3">
        <f t="shared" si="22"/>
        <v>0</v>
      </c>
      <c r="BV23" s="3">
        <f t="shared" si="23"/>
        <v>0</v>
      </c>
      <c r="BW23" s="3">
        <f t="shared" si="24"/>
        <v>0</v>
      </c>
      <c r="BX23" s="118"/>
      <c r="CB23" s="87">
        <v>0</v>
      </c>
      <c r="CC23" s="87">
        <v>0</v>
      </c>
      <c r="CD23" s="87">
        <v>0</v>
      </c>
      <c r="CE23" s="87">
        <v>0</v>
      </c>
      <c r="CF23" s="87">
        <v>0</v>
      </c>
      <c r="CG23" s="87">
        <v>1</v>
      </c>
      <c r="CH23" s="87">
        <v>0</v>
      </c>
      <c r="CI23" s="87">
        <v>0</v>
      </c>
      <c r="CJ23" s="87">
        <v>0</v>
      </c>
      <c r="CK23" s="87">
        <v>0</v>
      </c>
      <c r="CL23" s="89">
        <f t="shared" si="27"/>
        <v>1</v>
      </c>
    </row>
    <row r="24" spans="1:90" ht="21" customHeight="1" x14ac:dyDescent="0.25">
      <c r="A24" s="18">
        <v>20</v>
      </c>
      <c r="B24" s="20" t="s">
        <v>242</v>
      </c>
      <c r="C24" s="9" t="s">
        <v>63</v>
      </c>
      <c r="D24" s="73">
        <v>0.3527777777777778</v>
      </c>
      <c r="E24" s="121">
        <v>1</v>
      </c>
      <c r="F24" s="73">
        <v>0.35416666666666669</v>
      </c>
      <c r="G24" s="73">
        <v>0.95972222222222225</v>
      </c>
      <c r="H24" s="73">
        <v>0.35347222222222219</v>
      </c>
      <c r="I24" s="73">
        <v>2.7777777777777779E-3</v>
      </c>
      <c r="J24" s="73">
        <v>0.35416666666666669</v>
      </c>
      <c r="K24" s="73">
        <v>0.98888888888888893</v>
      </c>
      <c r="L24" s="73">
        <v>0.35347222222222219</v>
      </c>
      <c r="M24" s="73">
        <v>2.2222222222222223E-2</v>
      </c>
      <c r="N24" s="76">
        <v>0.57430555555555551</v>
      </c>
      <c r="O24" s="127">
        <v>0.96666666666666667</v>
      </c>
      <c r="P24" s="105">
        <v>0.35347222222222219</v>
      </c>
      <c r="Q24" s="105">
        <v>2.5694444444444447E-2</v>
      </c>
      <c r="R24" s="105">
        <v>0.35347222222222219</v>
      </c>
      <c r="S24" s="105">
        <v>0.96944444444444444</v>
      </c>
      <c r="T24" s="105">
        <v>0.3527777777777778</v>
      </c>
      <c r="U24" s="105">
        <v>0.93680555555555556</v>
      </c>
      <c r="V24" s="105">
        <v>0.35486111111111113</v>
      </c>
      <c r="W24" s="105">
        <v>0.96180555555555547</v>
      </c>
      <c r="X24" s="105">
        <v>0.34861111111111115</v>
      </c>
      <c r="Y24" s="121">
        <v>1</v>
      </c>
      <c r="Z24" s="105">
        <v>0.35347222222222219</v>
      </c>
      <c r="AA24" s="105">
        <v>5.5555555555555558E-3</v>
      </c>
      <c r="AB24" s="107">
        <v>0.57361111111111118</v>
      </c>
      <c r="AC24" s="107">
        <v>5.5555555555555552E-2</v>
      </c>
      <c r="AD24" s="105">
        <v>0.35000000000000003</v>
      </c>
      <c r="AE24" s="121">
        <v>1</v>
      </c>
      <c r="AF24" s="121" t="s">
        <v>195</v>
      </c>
      <c r="AG24" s="121" t="s">
        <v>195</v>
      </c>
      <c r="AI24" s="18">
        <v>20</v>
      </c>
      <c r="AJ24" s="121" t="s">
        <v>195</v>
      </c>
      <c r="AK24" s="121" t="s">
        <v>195</v>
      </c>
      <c r="AL24" s="105">
        <v>0.35833333333333334</v>
      </c>
      <c r="AM24" s="105">
        <v>6.5277777777777782E-2</v>
      </c>
      <c r="AN24" s="105">
        <v>0.39305555555555555</v>
      </c>
      <c r="AO24" s="105">
        <v>6.6666666666666666E-2</v>
      </c>
      <c r="AP24" s="105">
        <v>0.37222222222222223</v>
      </c>
      <c r="AQ24" s="105">
        <v>5.2083333333333336E-2</v>
      </c>
      <c r="AR24" s="107">
        <v>0.57986111111111105</v>
      </c>
      <c r="AS24" s="107">
        <v>0.10694444444444444</v>
      </c>
      <c r="AT24" s="105">
        <v>0.37222222222222223</v>
      </c>
      <c r="AU24" s="105">
        <v>3.4722222222222224E-2</v>
      </c>
      <c r="AV24" s="105">
        <v>0.37291666666666662</v>
      </c>
      <c r="AW24" s="105">
        <v>6.5277777777777782E-2</v>
      </c>
      <c r="AX24" s="105">
        <v>0.37222222222222223</v>
      </c>
      <c r="AY24" s="105">
        <v>9.1666666666666674E-2</v>
      </c>
      <c r="AZ24" s="105">
        <v>0.37361111111111112</v>
      </c>
      <c r="BA24" s="121">
        <v>1</v>
      </c>
      <c r="BB24" s="121" t="s">
        <v>195</v>
      </c>
      <c r="BC24" s="121" t="s">
        <v>195</v>
      </c>
      <c r="BD24" s="105">
        <v>0.37361111111111112</v>
      </c>
      <c r="BE24" s="105">
        <v>0.84930555555555554</v>
      </c>
      <c r="BF24" s="107">
        <v>0.57986111111111105</v>
      </c>
      <c r="BG24" s="122">
        <v>1</v>
      </c>
      <c r="BH24" s="105">
        <v>0.37291666666666662</v>
      </c>
      <c r="BI24" s="121">
        <v>1</v>
      </c>
      <c r="BJ24" s="12">
        <f t="shared" si="12"/>
        <v>28</v>
      </c>
      <c r="BK24" s="112">
        <v>4</v>
      </c>
      <c r="BL24" s="2">
        <f t="shared" si="13"/>
        <v>25</v>
      </c>
      <c r="BM24" s="3">
        <f t="shared" si="14"/>
        <v>0</v>
      </c>
      <c r="BN24" s="3">
        <f t="shared" si="15"/>
        <v>0</v>
      </c>
      <c r="BO24" s="3">
        <f t="shared" si="16"/>
        <v>0</v>
      </c>
      <c r="BP24" s="3">
        <f t="shared" si="17"/>
        <v>0</v>
      </c>
      <c r="BQ24" s="3">
        <f t="shared" si="18"/>
        <v>0</v>
      </c>
      <c r="BR24" s="3">
        <f t="shared" si="19"/>
        <v>0</v>
      </c>
      <c r="BS24" s="3">
        <f t="shared" si="20"/>
        <v>3</v>
      </c>
      <c r="BT24" s="3">
        <f t="shared" si="21"/>
        <v>0</v>
      </c>
      <c r="BU24" s="3">
        <f t="shared" si="22"/>
        <v>0</v>
      </c>
      <c r="BV24" s="3">
        <f t="shared" si="23"/>
        <v>0</v>
      </c>
      <c r="BW24" s="3">
        <f t="shared" si="24"/>
        <v>0</v>
      </c>
      <c r="BX24" s="118"/>
      <c r="CB24" s="87">
        <v>0</v>
      </c>
      <c r="CC24" s="87">
        <v>0</v>
      </c>
      <c r="CD24" s="87">
        <v>0</v>
      </c>
      <c r="CE24" s="87">
        <v>0</v>
      </c>
      <c r="CF24" s="87">
        <v>1</v>
      </c>
      <c r="CG24" s="88">
        <v>7</v>
      </c>
      <c r="CH24" s="88">
        <v>1</v>
      </c>
      <c r="CI24" s="87">
        <v>0</v>
      </c>
      <c r="CJ24" s="87">
        <v>0</v>
      </c>
      <c r="CK24" s="87">
        <v>0</v>
      </c>
      <c r="CL24" s="89">
        <f t="shared" si="27"/>
        <v>9</v>
      </c>
    </row>
    <row r="25" spans="1:90" ht="21" customHeight="1" x14ac:dyDescent="0.25">
      <c r="A25" s="18">
        <v>21</v>
      </c>
      <c r="B25" s="20" t="s">
        <v>64</v>
      </c>
      <c r="C25" s="9" t="s">
        <v>65</v>
      </c>
      <c r="D25" s="73">
        <v>0.34375</v>
      </c>
      <c r="E25" s="121">
        <v>1</v>
      </c>
      <c r="F25" s="73">
        <v>0.33194444444444443</v>
      </c>
      <c r="G25" s="73">
        <v>0.94861111111111107</v>
      </c>
      <c r="H25" s="73">
        <v>0.33124999999999999</v>
      </c>
      <c r="I25" s="73">
        <v>0.96527777777777779</v>
      </c>
      <c r="J25" s="73">
        <v>0.3347222222222222</v>
      </c>
      <c r="K25" s="73">
        <v>0.9902777777777777</v>
      </c>
      <c r="L25" s="73">
        <v>0.33333333333333331</v>
      </c>
      <c r="M25" s="73">
        <v>2.7083333333333334E-2</v>
      </c>
      <c r="N25" s="76">
        <v>0.5708333333333333</v>
      </c>
      <c r="O25" s="127">
        <v>0.96250000000000002</v>
      </c>
      <c r="P25" s="105">
        <v>0.33402777777777781</v>
      </c>
      <c r="Q25" s="105">
        <v>0.3347222222222222</v>
      </c>
      <c r="R25" s="105">
        <v>0.3347222222222222</v>
      </c>
      <c r="S25" s="105">
        <v>0.96944444444444444</v>
      </c>
      <c r="T25" s="105">
        <v>0.3354166666666667</v>
      </c>
      <c r="U25" s="105">
        <v>0.94374999999999998</v>
      </c>
      <c r="V25" s="105">
        <v>0.34166666666666662</v>
      </c>
      <c r="W25" s="105">
        <v>0.96527777777777779</v>
      </c>
      <c r="X25" s="105">
        <v>0.33680555555555558</v>
      </c>
      <c r="Y25" s="105">
        <v>0.99791666666666667</v>
      </c>
      <c r="Z25" s="105">
        <v>0.3354166666666667</v>
      </c>
      <c r="AA25" s="105">
        <v>5.5555555555555558E-3</v>
      </c>
      <c r="AB25" s="107">
        <v>0.5708333333333333</v>
      </c>
      <c r="AC25" s="107">
        <v>5.486111111111111E-2</v>
      </c>
      <c r="AD25" s="105">
        <v>0.34583333333333338</v>
      </c>
      <c r="AE25" s="105">
        <v>2.4305555555555556E-2</v>
      </c>
      <c r="AF25" s="105">
        <v>0.34375</v>
      </c>
      <c r="AG25" s="105">
        <v>5.5555555555555558E-3</v>
      </c>
      <c r="AI25" s="18">
        <v>21</v>
      </c>
      <c r="AJ25" s="105">
        <v>0.35000000000000003</v>
      </c>
      <c r="AK25" s="105">
        <v>4.3055555555555562E-2</v>
      </c>
      <c r="AL25" s="105">
        <v>0.34930555555555554</v>
      </c>
      <c r="AM25" s="105">
        <v>6.805555555555555E-2</v>
      </c>
      <c r="AN25" s="105">
        <v>0.37986111111111115</v>
      </c>
      <c r="AO25" s="105">
        <v>5.9722222222222225E-2</v>
      </c>
      <c r="AP25" s="105">
        <v>0.37638888888888888</v>
      </c>
      <c r="AQ25" s="105">
        <v>5.0694444444444452E-2</v>
      </c>
      <c r="AR25" s="107">
        <v>0.55902777777777779</v>
      </c>
      <c r="AS25" s="107">
        <v>0.10833333333333334</v>
      </c>
      <c r="AT25" s="105">
        <v>0.36388888888888887</v>
      </c>
      <c r="AU25" s="105">
        <v>3.6111111111111115E-2</v>
      </c>
      <c r="AV25" s="105">
        <v>0.375</v>
      </c>
      <c r="AW25" s="105">
        <v>5.9722222222222225E-2</v>
      </c>
      <c r="AX25" s="105">
        <v>0.3743055555555555</v>
      </c>
      <c r="AY25" s="105">
        <v>9.1666666666666674E-2</v>
      </c>
      <c r="AZ25" s="105">
        <v>0.3743055555555555</v>
      </c>
      <c r="BA25" s="105">
        <v>9.5833333333333326E-2</v>
      </c>
      <c r="BB25" s="105">
        <v>0.3756944444444445</v>
      </c>
      <c r="BC25" s="105">
        <v>5.5555555555555552E-2</v>
      </c>
      <c r="BD25" s="105">
        <v>0.3743055555555555</v>
      </c>
      <c r="BE25" s="105">
        <v>4.9305555555555554E-2</v>
      </c>
      <c r="BF25" s="107">
        <v>0.55833333333333335</v>
      </c>
      <c r="BG25" s="107">
        <v>5.486111111111111E-2</v>
      </c>
      <c r="BH25" s="105">
        <v>0.37083333333333335</v>
      </c>
      <c r="BI25" s="105">
        <v>7.7083333333333337E-2</v>
      </c>
      <c r="BJ25" s="12">
        <f t="shared" si="12"/>
        <v>28</v>
      </c>
      <c r="BK25" s="112">
        <v>4</v>
      </c>
      <c r="BL25" s="2">
        <f t="shared" si="13"/>
        <v>28</v>
      </c>
      <c r="BM25" s="3">
        <f t="shared" si="14"/>
        <v>0</v>
      </c>
      <c r="BN25" s="3">
        <f t="shared" si="15"/>
        <v>0</v>
      </c>
      <c r="BO25" s="3">
        <f t="shared" si="16"/>
        <v>0</v>
      </c>
      <c r="BP25" s="3">
        <f t="shared" si="17"/>
        <v>0</v>
      </c>
      <c r="BQ25" s="3">
        <f t="shared" si="18"/>
        <v>0</v>
      </c>
      <c r="BR25" s="3">
        <f t="shared" si="19"/>
        <v>0</v>
      </c>
      <c r="BS25" s="3">
        <f t="shared" si="20"/>
        <v>0</v>
      </c>
      <c r="BT25" s="3">
        <f t="shared" si="21"/>
        <v>0</v>
      </c>
      <c r="BU25" s="3">
        <f t="shared" si="22"/>
        <v>0</v>
      </c>
      <c r="BV25" s="3">
        <f t="shared" si="23"/>
        <v>0</v>
      </c>
      <c r="BW25" s="3">
        <f t="shared" si="24"/>
        <v>0</v>
      </c>
      <c r="BX25" s="118"/>
      <c r="CB25" s="87">
        <v>0</v>
      </c>
      <c r="CC25" s="87">
        <v>0</v>
      </c>
      <c r="CD25" s="87">
        <v>0</v>
      </c>
      <c r="CE25" s="87">
        <v>0</v>
      </c>
      <c r="CF25" s="87">
        <v>0</v>
      </c>
      <c r="CG25" s="87">
        <v>0</v>
      </c>
      <c r="CH25" s="87">
        <v>0</v>
      </c>
      <c r="CI25" s="87">
        <v>0</v>
      </c>
      <c r="CJ25" s="87">
        <v>0</v>
      </c>
      <c r="CK25" s="87">
        <v>0</v>
      </c>
      <c r="CL25" s="89">
        <f t="shared" si="27"/>
        <v>0</v>
      </c>
    </row>
    <row r="26" spans="1:90" ht="21" customHeight="1" x14ac:dyDescent="0.25">
      <c r="A26" s="18">
        <v>22</v>
      </c>
      <c r="B26" s="20" t="s">
        <v>66</v>
      </c>
      <c r="C26" s="71" t="s">
        <v>67</v>
      </c>
      <c r="D26" s="73">
        <v>0.36736111111111108</v>
      </c>
      <c r="E26" s="73">
        <v>0.7680555555555556</v>
      </c>
      <c r="F26" s="121" t="s">
        <v>20</v>
      </c>
      <c r="G26" s="121" t="s">
        <v>20</v>
      </c>
      <c r="H26" s="73">
        <v>0.37152777777777773</v>
      </c>
      <c r="I26" s="73">
        <v>0.78541666666666676</v>
      </c>
      <c r="J26" s="73">
        <v>0.38611111111111113</v>
      </c>
      <c r="K26" s="73">
        <v>0.84166666666666667</v>
      </c>
      <c r="L26" s="73">
        <v>0.37708333333333338</v>
      </c>
      <c r="M26" s="73">
        <v>0.78749999999999998</v>
      </c>
      <c r="N26" s="76">
        <v>0.75208333333333333</v>
      </c>
      <c r="O26" s="127">
        <v>0.82013888888888886</v>
      </c>
      <c r="P26" s="105">
        <v>0.37986111111111115</v>
      </c>
      <c r="Q26" s="105">
        <v>0.81527777777777777</v>
      </c>
      <c r="R26" s="105">
        <v>0.38055555555555554</v>
      </c>
      <c r="S26" s="105">
        <v>0.80972222222222223</v>
      </c>
      <c r="T26" s="105">
        <v>0.37291666666666662</v>
      </c>
      <c r="U26" s="113">
        <v>1</v>
      </c>
      <c r="V26" s="105">
        <v>0.37847222222222227</v>
      </c>
      <c r="W26" s="105">
        <v>0.83958333333333324</v>
      </c>
      <c r="X26" s="105">
        <v>0.37291666666666662</v>
      </c>
      <c r="Y26" s="105">
        <v>0.80486111111111114</v>
      </c>
      <c r="Z26" s="105">
        <v>0.38125000000000003</v>
      </c>
      <c r="AA26" s="105">
        <v>0.8256944444444444</v>
      </c>
      <c r="AB26" s="107">
        <v>0.58680555555555558</v>
      </c>
      <c r="AC26" s="107">
        <v>0.77777777777777779</v>
      </c>
      <c r="AD26" s="105">
        <v>0.37708333333333338</v>
      </c>
      <c r="AE26" s="105">
        <v>0.79305555555555562</v>
      </c>
      <c r="AF26" s="105">
        <v>0.37638888888888888</v>
      </c>
      <c r="AG26" s="105">
        <v>0.8256944444444444</v>
      </c>
      <c r="AI26" s="18">
        <v>22</v>
      </c>
      <c r="AJ26" s="105">
        <v>0.38194444444444442</v>
      </c>
      <c r="AK26" s="105">
        <v>0.89513888888888893</v>
      </c>
      <c r="AL26" s="105">
        <v>0.34791666666666665</v>
      </c>
      <c r="AM26" s="105">
        <v>0.90069444444444446</v>
      </c>
      <c r="AN26" s="105">
        <v>0.38194444444444442</v>
      </c>
      <c r="AO26" s="105">
        <v>0.91180555555555554</v>
      </c>
      <c r="AP26" s="105">
        <v>0.38055555555555554</v>
      </c>
      <c r="AQ26" s="105">
        <v>0.65902777777777777</v>
      </c>
      <c r="AR26" s="107">
        <v>0.91180555555555554</v>
      </c>
      <c r="AS26" s="107">
        <v>0.6972222222222223</v>
      </c>
      <c r="AT26" s="105">
        <v>0.37708333333333338</v>
      </c>
      <c r="AU26" s="105">
        <v>0.90069444444444446</v>
      </c>
      <c r="AV26" s="105">
        <v>0.37916666666666665</v>
      </c>
      <c r="AW26" s="105">
        <v>0.91666666666666663</v>
      </c>
      <c r="AX26" s="105">
        <v>0.37708333333333338</v>
      </c>
      <c r="AY26" s="105">
        <v>0.6875</v>
      </c>
      <c r="AZ26" s="105">
        <v>0.37708333333333338</v>
      </c>
      <c r="BA26" s="105">
        <v>0.91319444444444453</v>
      </c>
      <c r="BB26" s="105">
        <v>0.37916666666666665</v>
      </c>
      <c r="BC26" s="105">
        <v>0.90138888888888891</v>
      </c>
      <c r="BD26" s="105">
        <v>0.37708333333333338</v>
      </c>
      <c r="BE26" s="105">
        <v>0.88055555555555554</v>
      </c>
      <c r="BF26" s="107">
        <v>0.58263888888888882</v>
      </c>
      <c r="BG26" s="107">
        <v>0.6972222222222223</v>
      </c>
      <c r="BH26" s="105">
        <v>0.3756944444444445</v>
      </c>
      <c r="BI26" s="105">
        <v>0.92638888888888893</v>
      </c>
      <c r="BJ26" s="12">
        <f t="shared" si="12"/>
        <v>28</v>
      </c>
      <c r="BK26" s="112">
        <v>4</v>
      </c>
      <c r="BL26" s="2">
        <f t="shared" si="13"/>
        <v>27</v>
      </c>
      <c r="BM26" s="3">
        <f t="shared" si="14"/>
        <v>0</v>
      </c>
      <c r="BN26" s="3">
        <f t="shared" si="15"/>
        <v>0</v>
      </c>
      <c r="BO26" s="3">
        <f t="shared" si="16"/>
        <v>0</v>
      </c>
      <c r="BP26" s="3">
        <f t="shared" si="17"/>
        <v>0</v>
      </c>
      <c r="BQ26" s="3">
        <f t="shared" si="18"/>
        <v>0</v>
      </c>
      <c r="BR26" s="3">
        <f t="shared" si="19"/>
        <v>1</v>
      </c>
      <c r="BS26" s="3">
        <f t="shared" si="20"/>
        <v>0</v>
      </c>
      <c r="BT26" s="3">
        <f t="shared" si="21"/>
        <v>0</v>
      </c>
      <c r="BU26" s="3">
        <f t="shared" si="22"/>
        <v>0</v>
      </c>
      <c r="BV26" s="3">
        <f t="shared" si="23"/>
        <v>0</v>
      </c>
      <c r="BW26" s="3">
        <f t="shared" si="24"/>
        <v>0</v>
      </c>
      <c r="BX26" s="118"/>
      <c r="CB26" s="87">
        <v>0</v>
      </c>
      <c r="CC26" s="87">
        <v>0</v>
      </c>
      <c r="CD26" s="87">
        <v>0</v>
      </c>
      <c r="CE26" s="87">
        <v>0</v>
      </c>
      <c r="CF26" s="87">
        <v>0</v>
      </c>
      <c r="CG26" s="87">
        <v>0</v>
      </c>
      <c r="CH26" s="87">
        <v>0</v>
      </c>
      <c r="CI26" s="87">
        <v>0</v>
      </c>
      <c r="CJ26" s="87">
        <v>0</v>
      </c>
      <c r="CK26" s="87">
        <v>0</v>
      </c>
      <c r="CL26" s="89">
        <f>SUM(CB26:CK26)</f>
        <v>0</v>
      </c>
    </row>
    <row r="27" spans="1:90" ht="21.75" customHeight="1" x14ac:dyDescent="0.25">
      <c r="A27" s="18">
        <v>23</v>
      </c>
      <c r="B27" s="54" t="s">
        <v>190</v>
      </c>
      <c r="C27" s="71" t="s">
        <v>191</v>
      </c>
      <c r="D27" s="105">
        <v>0.33333333333333331</v>
      </c>
      <c r="E27" s="113">
        <v>1</v>
      </c>
      <c r="F27" s="105">
        <v>0.34166666666666662</v>
      </c>
      <c r="G27" s="105">
        <v>0.94930555555555562</v>
      </c>
      <c r="H27" s="105">
        <v>0.34236111111111112</v>
      </c>
      <c r="I27" s="105">
        <v>0.9902777777777777</v>
      </c>
      <c r="J27" s="105">
        <v>0.34861111111111115</v>
      </c>
      <c r="K27" s="105">
        <v>0.98888888888888893</v>
      </c>
      <c r="L27" s="105">
        <v>0.3527777777777778</v>
      </c>
      <c r="M27" s="105">
        <v>0.90625</v>
      </c>
      <c r="N27" s="107">
        <v>0.5756944444444444</v>
      </c>
      <c r="O27" s="107">
        <v>0.93888888888888899</v>
      </c>
      <c r="P27" s="105">
        <v>0.34930555555555554</v>
      </c>
      <c r="Q27" s="105">
        <v>0.93333333333333324</v>
      </c>
      <c r="R27" s="105">
        <v>0.34375</v>
      </c>
      <c r="S27" s="105">
        <v>0.94097222222222221</v>
      </c>
      <c r="T27" s="105">
        <v>0.34513888888888888</v>
      </c>
      <c r="U27" s="105">
        <v>0.94374999999999998</v>
      </c>
      <c r="V27" s="105">
        <v>0.34166666666666662</v>
      </c>
      <c r="W27" s="105">
        <v>0.96527777777777779</v>
      </c>
      <c r="X27" s="105">
        <v>0.32708333333333334</v>
      </c>
      <c r="Y27" s="105">
        <v>0.94027777777777777</v>
      </c>
      <c r="Z27" s="105">
        <v>0.33333333333333331</v>
      </c>
      <c r="AA27" s="105">
        <v>0.96666666666666667</v>
      </c>
      <c r="AB27" s="107">
        <v>0.56597222222222221</v>
      </c>
      <c r="AC27" s="107">
        <v>0.94305555555555554</v>
      </c>
      <c r="AD27" s="105">
        <v>0.34027777777777773</v>
      </c>
      <c r="AE27" s="105">
        <v>0.93888888888888899</v>
      </c>
      <c r="AF27" s="105">
        <v>0.3430555555555555</v>
      </c>
      <c r="AG27" s="105">
        <v>0.91666666666666663</v>
      </c>
      <c r="AI27" s="18">
        <v>23</v>
      </c>
      <c r="AJ27" s="105">
        <v>0.33402777777777781</v>
      </c>
      <c r="AK27" s="105">
        <v>0.33402777777777781</v>
      </c>
      <c r="AL27" s="105">
        <v>0.34027777777777773</v>
      </c>
      <c r="AM27" s="105">
        <v>0.96388888888888891</v>
      </c>
      <c r="AN27" s="105">
        <v>0.35625000000000001</v>
      </c>
      <c r="AO27" s="105">
        <v>0.96944444444444444</v>
      </c>
      <c r="AP27" s="105">
        <v>0.3576388888888889</v>
      </c>
      <c r="AQ27" s="105">
        <v>4.6527777777777779E-2</v>
      </c>
      <c r="AR27" s="107">
        <v>0.56388888888888888</v>
      </c>
      <c r="AS27" s="107">
        <v>0.98333333333333339</v>
      </c>
      <c r="AT27" s="105">
        <v>0.36319444444444443</v>
      </c>
      <c r="AU27" s="105">
        <v>7.0833333333333331E-2</v>
      </c>
      <c r="AV27" s="105">
        <v>0.3611111111111111</v>
      </c>
      <c r="AW27" s="105">
        <v>0.84791666666666676</v>
      </c>
      <c r="AX27" s="105">
        <v>0.37986111111111115</v>
      </c>
      <c r="AY27" s="105">
        <v>5.486111111111111E-2</v>
      </c>
      <c r="AZ27" s="105">
        <v>0.36319444444444443</v>
      </c>
      <c r="BA27" s="105">
        <v>9.930555555555555E-2</v>
      </c>
      <c r="BB27" s="105">
        <v>0.36319444444444443</v>
      </c>
      <c r="BC27" s="105">
        <v>6.0416666666666667E-2</v>
      </c>
      <c r="BD27" s="105">
        <v>0.37152777777777773</v>
      </c>
      <c r="BE27" s="105">
        <v>4.9305555555555554E-2</v>
      </c>
      <c r="BF27" s="107">
        <v>0.57222222222222219</v>
      </c>
      <c r="BG27" s="107">
        <v>4.7222222222222221E-2</v>
      </c>
      <c r="BH27" s="105">
        <v>0.38958333333333334</v>
      </c>
      <c r="BI27" s="105">
        <v>7.7083333333333337E-2</v>
      </c>
      <c r="BJ27" s="12">
        <f t="shared" si="12"/>
        <v>28</v>
      </c>
      <c r="BK27" s="112">
        <v>4</v>
      </c>
      <c r="BL27" s="2">
        <f t="shared" si="13"/>
        <v>28</v>
      </c>
      <c r="BM27" s="3">
        <f t="shared" si="14"/>
        <v>0</v>
      </c>
      <c r="BN27" s="3">
        <f t="shared" si="15"/>
        <v>0</v>
      </c>
      <c r="BO27" s="3">
        <f t="shared" si="16"/>
        <v>0</v>
      </c>
      <c r="BP27" s="3">
        <f t="shared" si="17"/>
        <v>0</v>
      </c>
      <c r="BQ27" s="3">
        <f t="shared" si="18"/>
        <v>0</v>
      </c>
      <c r="BR27" s="3">
        <f t="shared" si="19"/>
        <v>0</v>
      </c>
      <c r="BS27" s="3">
        <f t="shared" si="20"/>
        <v>0</v>
      </c>
      <c r="BT27" s="3">
        <f t="shared" si="21"/>
        <v>0</v>
      </c>
      <c r="BU27" s="3">
        <f t="shared" si="22"/>
        <v>0</v>
      </c>
      <c r="BV27" s="3">
        <f t="shared" si="23"/>
        <v>0</v>
      </c>
      <c r="BW27" s="3">
        <f t="shared" si="24"/>
        <v>0</v>
      </c>
      <c r="BX27" s="118"/>
      <c r="CB27" s="87">
        <v>0</v>
      </c>
      <c r="CC27" s="87">
        <v>0</v>
      </c>
      <c r="CD27" s="87">
        <v>0</v>
      </c>
      <c r="CE27" s="87">
        <v>0</v>
      </c>
      <c r="CF27" s="87">
        <v>0</v>
      </c>
      <c r="CG27" s="87">
        <v>0</v>
      </c>
      <c r="CH27" s="87">
        <v>0</v>
      </c>
      <c r="CI27" s="87">
        <v>0</v>
      </c>
      <c r="CJ27" s="87">
        <v>0</v>
      </c>
      <c r="CK27" s="87">
        <v>0</v>
      </c>
      <c r="CL27" s="89">
        <f>SUM(CB27:CK27)</f>
        <v>0</v>
      </c>
    </row>
    <row r="28" spans="1:90" ht="22.5" customHeight="1" x14ac:dyDescent="0.25">
      <c r="A28" s="18">
        <v>24</v>
      </c>
      <c r="B28" s="54" t="s">
        <v>244</v>
      </c>
      <c r="C28" s="124" t="s">
        <v>246</v>
      </c>
      <c r="D28" s="116">
        <v>0.3520833333333333</v>
      </c>
      <c r="E28" s="116">
        <v>0.98819444444444438</v>
      </c>
      <c r="F28" s="116">
        <v>0.36249999999999999</v>
      </c>
      <c r="G28" s="116">
        <v>0.94930555555555562</v>
      </c>
      <c r="H28" s="116">
        <v>0.35347222222222219</v>
      </c>
      <c r="I28" s="116">
        <v>0.96527777777777779</v>
      </c>
      <c r="J28" s="116">
        <v>0.35416666666666669</v>
      </c>
      <c r="K28" s="116">
        <v>0.9902777777777777</v>
      </c>
      <c r="L28" s="116">
        <v>0.3576388888888889</v>
      </c>
      <c r="M28" s="116">
        <v>2.7083333333333334E-2</v>
      </c>
      <c r="N28" s="128">
        <v>0.5708333333333333</v>
      </c>
      <c r="O28" s="128">
        <v>0.96319444444444446</v>
      </c>
      <c r="P28" s="116">
        <v>0.35555555555555557</v>
      </c>
      <c r="Q28" s="116">
        <v>0.94444444444444453</v>
      </c>
      <c r="R28" s="116">
        <v>0.35625000000000001</v>
      </c>
      <c r="S28" s="116">
        <v>0.96944444444444444</v>
      </c>
      <c r="T28" s="116">
        <v>0.35902777777777778</v>
      </c>
      <c r="U28" s="116">
        <v>0.94374999999999998</v>
      </c>
      <c r="V28" s="116">
        <v>0.35347222222222219</v>
      </c>
      <c r="W28" s="116">
        <v>0.96527777777777779</v>
      </c>
      <c r="X28" s="105">
        <v>0.35625000000000001</v>
      </c>
      <c r="Y28" s="105">
        <v>0.99861111111111101</v>
      </c>
      <c r="Z28" s="105">
        <v>0.35972222222222222</v>
      </c>
      <c r="AA28" s="105">
        <v>5.5555555555555558E-3</v>
      </c>
      <c r="AB28" s="107">
        <v>0.5708333333333333</v>
      </c>
      <c r="AC28" s="107">
        <v>5.5555555555555552E-2</v>
      </c>
      <c r="AD28" s="105">
        <v>0.37847222222222227</v>
      </c>
      <c r="AE28" s="105">
        <v>1.3888888888888889E-3</v>
      </c>
      <c r="AF28" s="105">
        <v>0.36249999999999999</v>
      </c>
      <c r="AG28" s="105">
        <v>5.5555555555555558E-3</v>
      </c>
      <c r="AI28" s="18">
        <v>24</v>
      </c>
      <c r="AJ28" s="105">
        <v>0.3659722222222222</v>
      </c>
      <c r="AK28" s="105">
        <v>4.3750000000000004E-2</v>
      </c>
      <c r="AL28" s="105">
        <v>0.37847222222222227</v>
      </c>
      <c r="AM28" s="105">
        <v>6.7361111111111108E-2</v>
      </c>
      <c r="AN28" s="105">
        <v>0.37847222222222227</v>
      </c>
      <c r="AO28" s="105">
        <v>6.0416666666666667E-2</v>
      </c>
      <c r="AP28" s="105">
        <v>0.37638888888888888</v>
      </c>
      <c r="AQ28" s="105">
        <v>5.0694444444444452E-2</v>
      </c>
      <c r="AR28" s="107">
        <v>0.55625000000000002</v>
      </c>
      <c r="AS28" s="107">
        <v>0.10833333333333334</v>
      </c>
      <c r="AT28" s="105">
        <v>0.37847222222222227</v>
      </c>
      <c r="AU28" s="105">
        <v>3.4722222222222224E-2</v>
      </c>
      <c r="AV28" s="105">
        <v>0.38194444444444442</v>
      </c>
      <c r="AW28" s="105">
        <v>6.9444444444444447E-4</v>
      </c>
      <c r="AX28" s="105">
        <v>0.375</v>
      </c>
      <c r="AY28" s="105">
        <v>9.1666666666666674E-2</v>
      </c>
      <c r="AZ28" s="105">
        <v>0.37083333333333335</v>
      </c>
      <c r="BA28" s="105">
        <v>9.7916666666666666E-2</v>
      </c>
      <c r="BB28" s="105">
        <v>0.37152777777777773</v>
      </c>
      <c r="BC28" s="105">
        <v>5.6944444444444443E-2</v>
      </c>
      <c r="BD28" s="105">
        <v>0.37777777777777777</v>
      </c>
      <c r="BE28" s="105">
        <v>4.9305555555555554E-2</v>
      </c>
      <c r="BF28" s="107">
        <v>0.55763888888888891</v>
      </c>
      <c r="BG28" s="107">
        <v>5.4166666666666669E-2</v>
      </c>
      <c r="BH28" s="105">
        <v>0.375</v>
      </c>
      <c r="BI28" s="105">
        <v>7.7083333333333337E-2</v>
      </c>
      <c r="BJ28" s="12">
        <f t="shared" si="12"/>
        <v>28</v>
      </c>
      <c r="BK28" s="112">
        <v>4</v>
      </c>
      <c r="BL28" s="2">
        <f t="shared" si="13"/>
        <v>28</v>
      </c>
      <c r="BM28" s="3">
        <f t="shared" si="14"/>
        <v>0</v>
      </c>
      <c r="BN28" s="3">
        <f t="shared" si="15"/>
        <v>0</v>
      </c>
      <c r="BO28" s="3">
        <f t="shared" si="16"/>
        <v>0</v>
      </c>
      <c r="BP28" s="3">
        <f t="shared" si="17"/>
        <v>0</v>
      </c>
      <c r="BQ28" s="3">
        <f t="shared" si="18"/>
        <v>0</v>
      </c>
      <c r="BR28" s="3">
        <f t="shared" si="19"/>
        <v>0</v>
      </c>
      <c r="BS28" s="3">
        <f t="shared" si="20"/>
        <v>0</v>
      </c>
      <c r="BT28" s="3">
        <f t="shared" si="21"/>
        <v>0</v>
      </c>
      <c r="BU28" s="3">
        <f t="shared" si="22"/>
        <v>0</v>
      </c>
      <c r="BV28" s="3">
        <f t="shared" si="23"/>
        <v>0</v>
      </c>
      <c r="BW28" s="3">
        <f t="shared" si="24"/>
        <v>0</v>
      </c>
      <c r="BX28" s="118"/>
      <c r="CB28" s="110">
        <v>0</v>
      </c>
      <c r="CC28" s="110">
        <v>0</v>
      </c>
      <c r="CD28" s="110">
        <v>0</v>
      </c>
      <c r="CE28" s="110">
        <v>0</v>
      </c>
      <c r="CF28" s="110">
        <v>0</v>
      </c>
      <c r="CG28" s="110">
        <v>0</v>
      </c>
      <c r="CH28" s="110">
        <v>0</v>
      </c>
      <c r="CI28" s="110">
        <v>0</v>
      </c>
      <c r="CJ28" s="110">
        <v>0</v>
      </c>
      <c r="CK28" s="110">
        <v>0</v>
      </c>
      <c r="CL28" s="89">
        <f>SUM(CB28:CK28)</f>
        <v>0</v>
      </c>
    </row>
    <row r="29" spans="1:90" ht="22.5" customHeight="1" x14ac:dyDescent="0.25">
      <c r="A29" s="18">
        <v>25</v>
      </c>
      <c r="B29" s="54" t="s">
        <v>259</v>
      </c>
      <c r="C29" s="124" t="s">
        <v>263</v>
      </c>
      <c r="D29" s="135" t="s">
        <v>265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7"/>
      <c r="AI29" s="18">
        <v>25</v>
      </c>
      <c r="AJ29" s="135" t="s">
        <v>266</v>
      </c>
      <c r="AK29" s="137"/>
      <c r="AL29" s="105">
        <v>0.3520833333333333</v>
      </c>
      <c r="AM29" s="105">
        <v>0.9916666666666667</v>
      </c>
      <c r="AN29" s="105">
        <v>0.37916666666666665</v>
      </c>
      <c r="AO29" s="105">
        <v>5.9722222222222225E-2</v>
      </c>
      <c r="AP29" s="105">
        <v>0.37638888888888888</v>
      </c>
      <c r="AQ29" s="105">
        <v>5.0694444444444452E-2</v>
      </c>
      <c r="AR29" s="107">
        <v>0.10833333333333334</v>
      </c>
      <c r="AS29" s="107">
        <v>5.9722222222222225E-2</v>
      </c>
      <c r="AT29" s="105">
        <v>0.37361111111111112</v>
      </c>
      <c r="AU29" s="105">
        <v>3.6111111111111115E-2</v>
      </c>
      <c r="AV29" s="105">
        <v>0.37777777777777777</v>
      </c>
      <c r="AW29" s="105">
        <v>5.9722222222222225E-2</v>
      </c>
      <c r="AX29" s="105">
        <v>0.37777777777777777</v>
      </c>
      <c r="AY29" s="105">
        <v>9.1666666666666674E-2</v>
      </c>
      <c r="AZ29" s="105">
        <v>0.375</v>
      </c>
      <c r="BA29" s="105">
        <v>9.5833333333333326E-2</v>
      </c>
      <c r="BB29" s="105">
        <v>0.37847222222222227</v>
      </c>
      <c r="BC29" s="105">
        <v>5.6250000000000001E-2</v>
      </c>
      <c r="BD29" s="105">
        <v>0.37708333333333338</v>
      </c>
      <c r="BE29" s="105">
        <v>4.9305555555555554E-2</v>
      </c>
      <c r="BF29" s="107">
        <v>0.55833333333333335</v>
      </c>
      <c r="BG29" s="107">
        <v>5.486111111111111E-2</v>
      </c>
      <c r="BH29" s="105">
        <v>0.375</v>
      </c>
      <c r="BI29" s="105">
        <v>7.7083333333333337E-2</v>
      </c>
      <c r="BJ29" s="12">
        <f t="shared" si="12"/>
        <v>12</v>
      </c>
      <c r="BK29" s="112">
        <v>2</v>
      </c>
      <c r="BL29" s="2">
        <f t="shared" si="13"/>
        <v>12</v>
      </c>
      <c r="BM29" s="3">
        <f t="shared" si="14"/>
        <v>0</v>
      </c>
      <c r="BN29" s="3">
        <f t="shared" si="15"/>
        <v>0</v>
      </c>
      <c r="BO29" s="3">
        <f t="shared" si="16"/>
        <v>0</v>
      </c>
      <c r="BP29" s="3">
        <f t="shared" si="17"/>
        <v>0</v>
      </c>
      <c r="BQ29" s="3">
        <f t="shared" si="18"/>
        <v>0</v>
      </c>
      <c r="BR29" s="3">
        <f t="shared" si="19"/>
        <v>0</v>
      </c>
      <c r="BS29" s="3">
        <f t="shared" si="20"/>
        <v>0</v>
      </c>
      <c r="BT29" s="3">
        <f t="shared" si="21"/>
        <v>0</v>
      </c>
      <c r="BU29" s="3">
        <f t="shared" si="22"/>
        <v>0</v>
      </c>
      <c r="BV29" s="3">
        <f t="shared" si="23"/>
        <v>0</v>
      </c>
      <c r="BW29" s="3">
        <f t="shared" si="24"/>
        <v>0</v>
      </c>
      <c r="BX29" s="118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89">
        <f>SUM(CB29:CK29)</f>
        <v>0</v>
      </c>
    </row>
    <row r="31" spans="1:90" ht="23.25" customHeight="1" x14ac:dyDescent="0.25">
      <c r="AH31" s="61"/>
    </row>
    <row r="32" spans="1:90" x14ac:dyDescent="0.25">
      <c r="BL32" s="44" t="s">
        <v>78</v>
      </c>
      <c r="BM32" s="45"/>
      <c r="BN32" s="45"/>
      <c r="BO32" s="46" t="s">
        <v>15</v>
      </c>
      <c r="BP32" s="47"/>
      <c r="BQ32" s="48" t="s">
        <v>79</v>
      </c>
      <c r="BR32" s="49"/>
      <c r="BS32" s="49"/>
      <c r="BT32" s="50"/>
      <c r="BU32" s="51" t="s">
        <v>21</v>
      </c>
    </row>
    <row r="33" spans="1:90" x14ac:dyDescent="0.25"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BL33" s="44" t="s">
        <v>80</v>
      </c>
      <c r="BM33" s="45"/>
      <c r="BN33" s="45"/>
      <c r="BO33" s="46" t="s">
        <v>16</v>
      </c>
      <c r="BP33" s="47"/>
      <c r="BQ33" s="52" t="s">
        <v>81</v>
      </c>
      <c r="BR33" s="53"/>
      <c r="BS33" s="53"/>
      <c r="BT33" s="50"/>
      <c r="BU33" s="51" t="s">
        <v>22</v>
      </c>
    </row>
    <row r="34" spans="1:90" ht="15.75" x14ac:dyDescent="0.25">
      <c r="D34" s="25"/>
      <c r="E34" s="26" t="s">
        <v>68</v>
      </c>
      <c r="F34" s="27"/>
      <c r="G34" s="26"/>
      <c r="H34" s="28"/>
      <c r="I34" s="28"/>
      <c r="J34" s="29"/>
      <c r="K34" s="30"/>
      <c r="L34" s="30"/>
      <c r="M34" s="31" t="s">
        <v>69</v>
      </c>
      <c r="N34" s="31"/>
      <c r="O34" s="29"/>
      <c r="P34" s="29"/>
      <c r="Q34" s="29"/>
      <c r="R34" s="29"/>
      <c r="S34" s="29" t="s">
        <v>70</v>
      </c>
      <c r="T34" s="29"/>
      <c r="U34" s="29"/>
      <c r="V34" s="29"/>
      <c r="W34" s="31" t="s">
        <v>71</v>
      </c>
      <c r="X34" s="29"/>
      <c r="BL34" s="44" t="s">
        <v>82</v>
      </c>
      <c r="BM34" s="45"/>
      <c r="BN34" s="45"/>
      <c r="BO34" s="46" t="s">
        <v>17</v>
      </c>
      <c r="BP34" s="47"/>
      <c r="BQ34" s="52" t="s">
        <v>83</v>
      </c>
      <c r="BR34" s="53"/>
      <c r="BS34" s="53"/>
      <c r="BT34" s="50"/>
      <c r="BU34" s="51" t="s">
        <v>23</v>
      </c>
    </row>
    <row r="35" spans="1:90" ht="17.25" x14ac:dyDescent="0.25">
      <c r="D35" s="32"/>
      <c r="E35" s="28"/>
      <c r="F35" s="28"/>
      <c r="G35" s="28"/>
      <c r="H35" s="28"/>
      <c r="I35" s="28"/>
      <c r="J35" s="28"/>
      <c r="K35" s="33"/>
      <c r="L35" s="33"/>
      <c r="M35" s="33"/>
      <c r="N35" s="28"/>
      <c r="O35" s="28"/>
      <c r="P35" s="28"/>
      <c r="Q35" s="34"/>
      <c r="R35" s="34"/>
      <c r="S35" s="34"/>
      <c r="T35" s="34"/>
      <c r="U35" s="34"/>
      <c r="V35" s="34"/>
      <c r="W35" s="35"/>
      <c r="X35" s="35"/>
      <c r="BL35" s="44" t="s">
        <v>84</v>
      </c>
      <c r="BM35" s="45"/>
      <c r="BN35" s="45"/>
      <c r="BO35" s="46" t="s">
        <v>18</v>
      </c>
      <c r="BP35" s="47"/>
      <c r="BQ35" s="48" t="s">
        <v>85</v>
      </c>
      <c r="BR35" s="49"/>
      <c r="BS35" s="49"/>
      <c r="BT35" s="50"/>
      <c r="BU35" s="51" t="s">
        <v>24</v>
      </c>
    </row>
    <row r="36" spans="1:90" ht="17.25" x14ac:dyDescent="0.25">
      <c r="D36" s="32"/>
      <c r="E36" s="36"/>
      <c r="F36" s="28"/>
      <c r="G36" s="36"/>
      <c r="H36" s="28"/>
      <c r="I36" s="28"/>
      <c r="J36" s="36" t="s">
        <v>70</v>
      </c>
      <c r="K36" s="37"/>
      <c r="L36" s="37"/>
      <c r="M36" s="33"/>
      <c r="N36" s="28"/>
      <c r="O36" s="36"/>
      <c r="P36" s="36"/>
      <c r="Q36" s="29"/>
      <c r="R36" s="28"/>
      <c r="S36" s="28"/>
      <c r="T36" s="28"/>
      <c r="U36" s="28"/>
      <c r="V36" s="28"/>
      <c r="W36" s="38"/>
      <c r="X36" s="38"/>
      <c r="BL36" s="44" t="s">
        <v>86</v>
      </c>
      <c r="BM36" s="45"/>
      <c r="BN36" s="45"/>
      <c r="BO36" s="46" t="s">
        <v>19</v>
      </c>
      <c r="BP36" s="47"/>
      <c r="BQ36" s="48" t="s">
        <v>87</v>
      </c>
      <c r="BR36" s="49"/>
      <c r="BS36" s="49"/>
      <c r="BT36" s="50"/>
      <c r="BU36" s="51" t="s">
        <v>25</v>
      </c>
    </row>
    <row r="37" spans="1:90" ht="17.25" x14ac:dyDescent="0.25">
      <c r="D37" s="39"/>
      <c r="E37" s="36"/>
      <c r="F37" s="28"/>
      <c r="G37" s="36"/>
      <c r="H37" s="28"/>
      <c r="I37" s="28"/>
      <c r="J37" s="36"/>
      <c r="K37" s="37"/>
      <c r="L37" s="37"/>
      <c r="M37" s="33"/>
      <c r="N37" s="29"/>
      <c r="O37" s="36"/>
      <c r="P37" s="36"/>
      <c r="Q37" s="29"/>
      <c r="R37" s="28"/>
      <c r="S37" s="28"/>
      <c r="T37" s="28"/>
      <c r="U37" s="28"/>
      <c r="V37" s="28"/>
      <c r="W37" s="38"/>
      <c r="X37" s="38"/>
      <c r="BL37" s="44" t="s">
        <v>88</v>
      </c>
      <c r="BM37" s="45"/>
      <c r="BN37" s="45"/>
      <c r="BO37" s="46" t="s">
        <v>20</v>
      </c>
      <c r="BP37" s="47"/>
      <c r="BQ37" s="47"/>
      <c r="BR37" s="47"/>
      <c r="BS37" s="47"/>
      <c r="BT37" s="47"/>
      <c r="BU37" s="47"/>
    </row>
    <row r="38" spans="1:90" ht="17.25" x14ac:dyDescent="0.25">
      <c r="D38" s="40" t="s">
        <v>72</v>
      </c>
      <c r="E38" s="41"/>
      <c r="F38" s="25"/>
      <c r="G38" s="40"/>
      <c r="H38" s="28"/>
      <c r="I38" s="28"/>
      <c r="J38" s="36"/>
      <c r="K38" s="33"/>
      <c r="L38" s="37"/>
      <c r="M38" s="27" t="s">
        <v>73</v>
      </c>
      <c r="N38" s="28"/>
      <c r="O38" s="36"/>
      <c r="P38" s="29"/>
      <c r="Q38" s="28"/>
      <c r="R38" s="28"/>
      <c r="S38" s="28"/>
      <c r="T38" s="28"/>
      <c r="U38" s="28"/>
      <c r="V38" s="28"/>
      <c r="W38" s="27" t="s">
        <v>74</v>
      </c>
      <c r="X38" s="38"/>
      <c r="BL38" s="47"/>
      <c r="BM38" s="47"/>
      <c r="BN38" s="47"/>
      <c r="BO38" s="47"/>
      <c r="BP38" s="47"/>
      <c r="BQ38" s="47"/>
      <c r="BR38" s="47"/>
      <c r="BS38" s="47"/>
      <c r="BT38" s="47"/>
      <c r="BU38" s="47"/>
    </row>
    <row r="39" spans="1:90" ht="17.25" x14ac:dyDescent="0.25">
      <c r="D39" s="40"/>
      <c r="E39" s="40" t="s">
        <v>75</v>
      </c>
      <c r="F39" s="39"/>
      <c r="G39" s="39"/>
      <c r="H39" s="28"/>
      <c r="I39" s="28"/>
      <c r="J39" s="27"/>
      <c r="K39" s="42"/>
      <c r="L39" s="42"/>
      <c r="M39" s="27" t="s">
        <v>76</v>
      </c>
      <c r="N39" s="27"/>
      <c r="O39" s="27"/>
      <c r="P39" s="29"/>
      <c r="Q39" s="27"/>
      <c r="R39" s="28"/>
      <c r="S39" s="28"/>
      <c r="T39" s="28"/>
      <c r="U39" s="28"/>
      <c r="V39" s="28"/>
      <c r="W39" s="27" t="s">
        <v>77</v>
      </c>
      <c r="X39" s="38"/>
    </row>
    <row r="40" spans="1:90" ht="15.75" x14ac:dyDescent="0.25"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43"/>
      <c r="X40" s="43"/>
    </row>
    <row r="41" spans="1:90" ht="25.5" customHeight="1" x14ac:dyDescent="0.25">
      <c r="A41" s="156" t="s">
        <v>251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I41" s="156" t="s">
        <v>251</v>
      </c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94"/>
      <c r="BL41" s="98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100"/>
    </row>
    <row r="42" spans="1:90" ht="22.5" customHeight="1" x14ac:dyDescent="0.25">
      <c r="A42" s="157" t="s">
        <v>194</v>
      </c>
      <c r="B42" s="157"/>
      <c r="C42" s="157"/>
      <c r="D42" s="139" t="s">
        <v>5</v>
      </c>
      <c r="E42" s="139"/>
      <c r="F42" s="139" t="s">
        <v>6</v>
      </c>
      <c r="G42" s="139"/>
      <c r="H42" s="139" t="s">
        <v>7</v>
      </c>
      <c r="I42" s="139"/>
      <c r="J42" s="139" t="s">
        <v>1</v>
      </c>
      <c r="K42" s="139"/>
      <c r="L42" s="139" t="s">
        <v>2</v>
      </c>
      <c r="M42" s="139"/>
      <c r="N42" s="139" t="s">
        <v>3</v>
      </c>
      <c r="O42" s="139"/>
      <c r="P42" s="139" t="s">
        <v>4</v>
      </c>
      <c r="Q42" s="139"/>
      <c r="R42" s="139" t="s">
        <v>5</v>
      </c>
      <c r="S42" s="139"/>
      <c r="T42" s="139" t="s">
        <v>6</v>
      </c>
      <c r="U42" s="139"/>
      <c r="V42" s="139" t="s">
        <v>7</v>
      </c>
      <c r="W42" s="139"/>
      <c r="X42" s="139" t="s">
        <v>1</v>
      </c>
      <c r="Y42" s="139"/>
      <c r="Z42" s="139" t="s">
        <v>2</v>
      </c>
      <c r="AA42" s="139"/>
      <c r="AB42" s="139" t="s">
        <v>3</v>
      </c>
      <c r="AC42" s="139"/>
      <c r="AD42" s="139" t="s">
        <v>4</v>
      </c>
      <c r="AE42" s="139"/>
      <c r="AF42" s="139" t="s">
        <v>5</v>
      </c>
      <c r="AG42" s="139"/>
      <c r="AH42" s="57"/>
      <c r="AI42" s="5"/>
      <c r="AJ42" s="139" t="s">
        <v>6</v>
      </c>
      <c r="AK42" s="140"/>
      <c r="AL42" s="139" t="s">
        <v>7</v>
      </c>
      <c r="AM42" s="140"/>
      <c r="AN42" s="139" t="s">
        <v>1</v>
      </c>
      <c r="AO42" s="140"/>
      <c r="AP42" s="139" t="s">
        <v>2</v>
      </c>
      <c r="AQ42" s="140"/>
      <c r="AR42" s="139" t="s">
        <v>3</v>
      </c>
      <c r="AS42" s="140"/>
      <c r="AT42" s="139" t="s">
        <v>4</v>
      </c>
      <c r="AU42" s="140"/>
      <c r="AV42" s="139" t="s">
        <v>5</v>
      </c>
      <c r="AW42" s="140"/>
      <c r="AX42" s="139" t="s">
        <v>6</v>
      </c>
      <c r="AY42" s="140"/>
      <c r="AZ42" s="139" t="s">
        <v>7</v>
      </c>
      <c r="BA42" s="140"/>
      <c r="BB42" s="139" t="s">
        <v>1</v>
      </c>
      <c r="BC42" s="140"/>
      <c r="BD42" s="139" t="s">
        <v>2</v>
      </c>
      <c r="BE42" s="140"/>
      <c r="BF42" s="139" t="s">
        <v>3</v>
      </c>
      <c r="BG42" s="140"/>
      <c r="BH42" s="139" t="s">
        <v>4</v>
      </c>
      <c r="BI42" s="140"/>
      <c r="BJ42" s="145" t="s">
        <v>8</v>
      </c>
      <c r="BK42" s="158" t="s">
        <v>9</v>
      </c>
      <c r="BL42" s="142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4"/>
      <c r="CB42" s="138" t="s">
        <v>218</v>
      </c>
      <c r="CC42" s="138"/>
      <c r="CD42" s="138"/>
      <c r="CE42" s="138"/>
      <c r="CF42" s="138"/>
      <c r="CG42" s="138"/>
      <c r="CH42" s="138"/>
      <c r="CI42" s="138"/>
      <c r="CJ42" s="138"/>
      <c r="CK42" s="138"/>
      <c r="CL42" s="56"/>
    </row>
    <row r="43" spans="1:90" ht="22.5" customHeight="1" x14ac:dyDescent="0.25">
      <c r="A43" s="157"/>
      <c r="B43" s="157"/>
      <c r="C43" s="157"/>
      <c r="D43" s="141">
        <v>46054</v>
      </c>
      <c r="E43" s="141"/>
      <c r="F43" s="141">
        <v>46055</v>
      </c>
      <c r="G43" s="141"/>
      <c r="H43" s="141">
        <v>46056</v>
      </c>
      <c r="I43" s="141"/>
      <c r="J43" s="141">
        <v>46057</v>
      </c>
      <c r="K43" s="141"/>
      <c r="L43" s="141">
        <v>46058</v>
      </c>
      <c r="M43" s="141"/>
      <c r="N43" s="141">
        <v>46059</v>
      </c>
      <c r="O43" s="141"/>
      <c r="P43" s="141">
        <v>46060</v>
      </c>
      <c r="Q43" s="141"/>
      <c r="R43" s="141">
        <v>46061</v>
      </c>
      <c r="S43" s="141"/>
      <c r="T43" s="141">
        <v>46062</v>
      </c>
      <c r="U43" s="141"/>
      <c r="V43" s="141">
        <v>46063</v>
      </c>
      <c r="W43" s="141"/>
      <c r="X43" s="141">
        <v>46064</v>
      </c>
      <c r="Y43" s="141"/>
      <c r="Z43" s="141">
        <v>46065</v>
      </c>
      <c r="AA43" s="141"/>
      <c r="AB43" s="141">
        <v>46066</v>
      </c>
      <c r="AC43" s="141"/>
      <c r="AD43" s="141">
        <v>46067</v>
      </c>
      <c r="AE43" s="141"/>
      <c r="AF43" s="141">
        <v>46068</v>
      </c>
      <c r="AG43" s="141"/>
      <c r="AH43" s="58"/>
      <c r="AI43" s="115"/>
      <c r="AJ43" s="141">
        <v>46069</v>
      </c>
      <c r="AK43" s="146"/>
      <c r="AL43" s="141">
        <v>46070</v>
      </c>
      <c r="AM43" s="146"/>
      <c r="AN43" s="141">
        <v>46071</v>
      </c>
      <c r="AO43" s="146"/>
      <c r="AP43" s="141">
        <v>46072</v>
      </c>
      <c r="AQ43" s="146"/>
      <c r="AR43" s="141">
        <v>46073</v>
      </c>
      <c r="AS43" s="146"/>
      <c r="AT43" s="141">
        <v>46074</v>
      </c>
      <c r="AU43" s="146"/>
      <c r="AV43" s="141">
        <v>46075</v>
      </c>
      <c r="AW43" s="146"/>
      <c r="AX43" s="141">
        <v>46076</v>
      </c>
      <c r="AY43" s="146"/>
      <c r="AZ43" s="141">
        <v>46077</v>
      </c>
      <c r="BA43" s="146"/>
      <c r="BB43" s="141">
        <v>46078</v>
      </c>
      <c r="BC43" s="146"/>
      <c r="BD43" s="141">
        <v>46079</v>
      </c>
      <c r="BE43" s="146"/>
      <c r="BF43" s="141">
        <v>46080</v>
      </c>
      <c r="BG43" s="146"/>
      <c r="BH43" s="141">
        <v>46081</v>
      </c>
      <c r="BI43" s="146"/>
      <c r="BJ43" s="145"/>
      <c r="BK43" s="158"/>
      <c r="BL43" s="101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3"/>
      <c r="CB43" s="90" t="s">
        <v>219</v>
      </c>
      <c r="CC43" s="90"/>
      <c r="CD43" s="90"/>
      <c r="CE43" s="90"/>
      <c r="CF43" s="90"/>
      <c r="CG43" s="90"/>
      <c r="CH43" s="90"/>
      <c r="CI43" s="90"/>
      <c r="CJ43" s="90"/>
      <c r="CK43" s="90"/>
      <c r="CL43" s="56"/>
    </row>
    <row r="44" spans="1:90" ht="20.25" customHeight="1" x14ac:dyDescent="0.25">
      <c r="A44" s="5" t="s">
        <v>10</v>
      </c>
      <c r="B44" s="5" t="s">
        <v>11</v>
      </c>
      <c r="C44" s="5" t="s">
        <v>12</v>
      </c>
      <c r="D44" s="22" t="s">
        <v>13</v>
      </c>
      <c r="E44" s="22" t="s">
        <v>14</v>
      </c>
      <c r="F44" s="22" t="s">
        <v>13</v>
      </c>
      <c r="G44" s="22" t="s">
        <v>14</v>
      </c>
      <c r="H44" s="22" t="s">
        <v>13</v>
      </c>
      <c r="I44" s="22" t="s">
        <v>14</v>
      </c>
      <c r="J44" s="22" t="s">
        <v>13</v>
      </c>
      <c r="K44" s="22" t="s">
        <v>14</v>
      </c>
      <c r="L44" s="22" t="s">
        <v>13</v>
      </c>
      <c r="M44" s="22" t="s">
        <v>14</v>
      </c>
      <c r="N44" s="22" t="s">
        <v>13</v>
      </c>
      <c r="O44" s="22" t="s">
        <v>14</v>
      </c>
      <c r="P44" s="5" t="s">
        <v>13</v>
      </c>
      <c r="Q44" s="5" t="s">
        <v>14</v>
      </c>
      <c r="R44" s="5" t="s">
        <v>13</v>
      </c>
      <c r="S44" s="5" t="s">
        <v>14</v>
      </c>
      <c r="T44" s="5" t="s">
        <v>13</v>
      </c>
      <c r="U44" s="5" t="s">
        <v>14</v>
      </c>
      <c r="V44" s="5" t="s">
        <v>13</v>
      </c>
      <c r="W44" s="5" t="s">
        <v>14</v>
      </c>
      <c r="X44" s="5" t="s">
        <v>13</v>
      </c>
      <c r="Y44" s="5" t="s">
        <v>14</v>
      </c>
      <c r="Z44" s="5" t="s">
        <v>13</v>
      </c>
      <c r="AA44" s="5" t="s">
        <v>14</v>
      </c>
      <c r="AB44" s="5" t="s">
        <v>13</v>
      </c>
      <c r="AC44" s="5" t="s">
        <v>14</v>
      </c>
      <c r="AD44" s="5" t="s">
        <v>13</v>
      </c>
      <c r="AE44" s="5" t="s">
        <v>14</v>
      </c>
      <c r="AF44" s="5" t="s">
        <v>13</v>
      </c>
      <c r="AG44" s="5" t="s">
        <v>14</v>
      </c>
      <c r="AH44" s="58"/>
      <c r="AI44" s="5"/>
      <c r="AJ44" s="5" t="s">
        <v>13</v>
      </c>
      <c r="AK44" s="5" t="s">
        <v>14</v>
      </c>
      <c r="AL44" s="5" t="s">
        <v>13</v>
      </c>
      <c r="AM44" s="5" t="s">
        <v>14</v>
      </c>
      <c r="AN44" s="5" t="s">
        <v>13</v>
      </c>
      <c r="AO44" s="5" t="s">
        <v>14</v>
      </c>
      <c r="AP44" s="5" t="s">
        <v>13</v>
      </c>
      <c r="AQ44" s="5" t="s">
        <v>14</v>
      </c>
      <c r="AR44" s="5" t="s">
        <v>13</v>
      </c>
      <c r="AS44" s="5" t="s">
        <v>14</v>
      </c>
      <c r="AT44" s="5" t="s">
        <v>13</v>
      </c>
      <c r="AU44" s="5" t="s">
        <v>14</v>
      </c>
      <c r="AV44" s="5" t="s">
        <v>13</v>
      </c>
      <c r="AW44" s="5" t="s">
        <v>14</v>
      </c>
      <c r="AX44" s="5" t="s">
        <v>13</v>
      </c>
      <c r="AY44" s="5" t="s">
        <v>14</v>
      </c>
      <c r="AZ44" s="5" t="s">
        <v>13</v>
      </c>
      <c r="BA44" s="5" t="s">
        <v>14</v>
      </c>
      <c r="BB44" s="5" t="s">
        <v>13</v>
      </c>
      <c r="BC44" s="5" t="s">
        <v>14</v>
      </c>
      <c r="BD44" s="5" t="s">
        <v>13</v>
      </c>
      <c r="BE44" s="5" t="s">
        <v>14</v>
      </c>
      <c r="BF44" s="5" t="s">
        <v>13</v>
      </c>
      <c r="BG44" s="5" t="s">
        <v>14</v>
      </c>
      <c r="BH44" s="5" t="s">
        <v>13</v>
      </c>
      <c r="BI44" s="5" t="s">
        <v>14</v>
      </c>
      <c r="BJ44" s="145"/>
      <c r="BK44" s="159"/>
      <c r="BL44" s="95"/>
      <c r="BM44" s="96" t="s">
        <v>15</v>
      </c>
      <c r="BN44" s="96" t="s">
        <v>16</v>
      </c>
      <c r="BO44" s="96" t="s">
        <v>17</v>
      </c>
      <c r="BP44" s="96" t="s">
        <v>18</v>
      </c>
      <c r="BQ44" s="96" t="s">
        <v>19</v>
      </c>
      <c r="BR44" s="96" t="s">
        <v>20</v>
      </c>
      <c r="BS44" s="96" t="s">
        <v>21</v>
      </c>
      <c r="BT44" s="96" t="s">
        <v>22</v>
      </c>
      <c r="BU44" s="96" t="s">
        <v>23</v>
      </c>
      <c r="BV44" s="96" t="s">
        <v>24</v>
      </c>
      <c r="BW44" s="96" t="s">
        <v>25</v>
      </c>
      <c r="BX44" s="97" t="s">
        <v>26</v>
      </c>
      <c r="CB44" s="84" t="s">
        <v>16</v>
      </c>
      <c r="CC44" s="85" t="s">
        <v>17</v>
      </c>
      <c r="CD44" s="85" t="s">
        <v>18</v>
      </c>
      <c r="CE44" s="85" t="s">
        <v>19</v>
      </c>
      <c r="CF44" s="85" t="s">
        <v>20</v>
      </c>
      <c r="CG44" s="85" t="s">
        <v>21</v>
      </c>
      <c r="CH44" s="85" t="s">
        <v>22</v>
      </c>
      <c r="CI44" s="85" t="s">
        <v>23</v>
      </c>
      <c r="CJ44" s="85" t="s">
        <v>24</v>
      </c>
      <c r="CK44" s="85" t="s">
        <v>25</v>
      </c>
      <c r="CL44" s="86" t="s">
        <v>220</v>
      </c>
    </row>
    <row r="45" spans="1:90" ht="21.75" customHeight="1" x14ac:dyDescent="0.25">
      <c r="A45" s="54">
        <v>26</v>
      </c>
      <c r="B45" s="20" t="s">
        <v>89</v>
      </c>
      <c r="C45" s="9" t="s">
        <v>90</v>
      </c>
      <c r="D45" s="105">
        <v>0.3527777777777778</v>
      </c>
      <c r="E45" s="105">
        <v>0.9784722222222223</v>
      </c>
      <c r="F45" s="105">
        <v>0.35347222222222219</v>
      </c>
      <c r="G45" s="105">
        <v>0.94652777777777775</v>
      </c>
      <c r="H45" s="105">
        <v>0.35069444444444442</v>
      </c>
      <c r="I45" s="105">
        <v>6.9444444444444447E-4</v>
      </c>
      <c r="J45" s="105">
        <v>0.3527777777777778</v>
      </c>
      <c r="K45" s="105">
        <v>0.97083333333333333</v>
      </c>
      <c r="L45" s="105">
        <v>0.3520833333333333</v>
      </c>
      <c r="M45" s="113">
        <v>1</v>
      </c>
      <c r="N45" s="107">
        <v>0.5805555555555556</v>
      </c>
      <c r="O45" s="107">
        <v>0.96388888888888891</v>
      </c>
      <c r="P45" s="105">
        <v>0.35347222222222219</v>
      </c>
      <c r="Q45" s="105">
        <v>0.97777777777777775</v>
      </c>
      <c r="R45" s="105">
        <v>0.3520833333333333</v>
      </c>
      <c r="S45" s="105">
        <v>0.96111111111111114</v>
      </c>
      <c r="T45" s="105">
        <v>0.3527777777777778</v>
      </c>
      <c r="U45" s="105">
        <v>0.93888888888888899</v>
      </c>
      <c r="V45" s="105">
        <v>0.3527777777777778</v>
      </c>
      <c r="W45" s="105">
        <v>0.9590277777777777</v>
      </c>
      <c r="X45" s="105">
        <v>0.3520833333333333</v>
      </c>
      <c r="Y45" s="105">
        <v>0.99930555555555556</v>
      </c>
      <c r="Z45" s="105">
        <v>0.35347222222222219</v>
      </c>
      <c r="AA45" s="105">
        <v>0.94444444444444453</v>
      </c>
      <c r="AB45" s="122" t="s">
        <v>15</v>
      </c>
      <c r="AC45" s="122" t="s">
        <v>15</v>
      </c>
      <c r="AD45" s="105">
        <v>0.3527777777777778</v>
      </c>
      <c r="AE45" s="105">
        <v>0.96805555555555556</v>
      </c>
      <c r="AF45" s="105">
        <v>0.3520833333333333</v>
      </c>
      <c r="AG45" s="105">
        <v>0.96805555555555556</v>
      </c>
      <c r="AH45" s="120"/>
      <c r="AI45" s="18">
        <v>26</v>
      </c>
      <c r="AJ45" s="105">
        <v>0.3527777777777778</v>
      </c>
      <c r="AK45" s="105">
        <v>0.9819444444444444</v>
      </c>
      <c r="AL45" s="105">
        <v>0.35138888888888892</v>
      </c>
      <c r="AM45" s="105">
        <v>1.1805555555555555E-2</v>
      </c>
      <c r="AN45" s="105">
        <v>0.37291666666666662</v>
      </c>
      <c r="AO45" s="105">
        <v>4.3750000000000004E-2</v>
      </c>
      <c r="AP45" s="105">
        <v>0.37777777777777777</v>
      </c>
      <c r="AQ45" s="105">
        <v>5.0694444444444452E-2</v>
      </c>
      <c r="AR45" s="107">
        <v>0.58124999999999993</v>
      </c>
      <c r="AS45" s="107">
        <v>0.98402777777777783</v>
      </c>
      <c r="AT45" s="105">
        <v>0.37361111111111112</v>
      </c>
      <c r="AU45" s="105">
        <v>2.8472222222222222E-2</v>
      </c>
      <c r="AV45" s="105">
        <v>0.3756944444444445</v>
      </c>
      <c r="AW45" s="113">
        <v>1</v>
      </c>
      <c r="AX45" s="105">
        <v>0.37361111111111112</v>
      </c>
      <c r="AY45" s="105">
        <v>0.85486111111111107</v>
      </c>
      <c r="AZ45" s="105">
        <v>0.37291666666666662</v>
      </c>
      <c r="BA45" s="105">
        <v>4.4444444444444446E-2</v>
      </c>
      <c r="BB45" s="105">
        <v>0.37361111111111112</v>
      </c>
      <c r="BC45" s="105">
        <v>5.1388888888888894E-2</v>
      </c>
      <c r="BD45" s="105">
        <v>0.37361111111111112</v>
      </c>
      <c r="BE45" s="105">
        <v>4.2361111111111106E-2</v>
      </c>
      <c r="BF45" s="107">
        <v>0.5805555555555556</v>
      </c>
      <c r="BG45" s="107">
        <v>5.2777777777777778E-2</v>
      </c>
      <c r="BH45" s="105">
        <v>0.37361111111111112</v>
      </c>
      <c r="BI45" s="105">
        <v>4.3750000000000004E-2</v>
      </c>
      <c r="BJ45" s="12">
        <f>BL45+BM45+BO45+BP45+BT45+BR45+BS45+BW45</f>
        <v>28</v>
      </c>
      <c r="BK45" s="112">
        <v>3</v>
      </c>
      <c r="BL45" s="2">
        <f t="shared" ref="BL45" si="28">COUNT(D45:AG45)/2+COUNT(AJ45:BI45)/2</f>
        <v>27</v>
      </c>
      <c r="BM45" s="3">
        <f t="shared" ref="BM45" si="29">COUNTIF(D45:BI45,"OFF")/2</f>
        <v>1</v>
      </c>
      <c r="BN45" s="3">
        <f t="shared" ref="BN45" si="30">COUNTIF(D45:BI45,"MC")/2</f>
        <v>0</v>
      </c>
      <c r="BO45" s="3">
        <f t="shared" ref="BO45" si="31">COUNTIF(D45:BI45,"EL")/2</f>
        <v>0</v>
      </c>
      <c r="BP45" s="3">
        <f t="shared" ref="BP45" si="32">COUNTIF(D45:BI45,"AL")/2</f>
        <v>0</v>
      </c>
      <c r="BQ45" s="3">
        <f t="shared" ref="BQ45" si="33">COUNTIF(D45:BI45,"SUS")/2</f>
        <v>0</v>
      </c>
      <c r="BR45" s="3">
        <f t="shared" ref="BR45" si="34">COUNTIF(D45:BI45,"FL")/2</f>
        <v>0</v>
      </c>
      <c r="BS45" s="3">
        <f t="shared" ref="BS45" si="35">COUNTIF(D45:BI45,"SICK")/2</f>
        <v>0</v>
      </c>
      <c r="BT45" s="3">
        <f t="shared" ref="BT45" si="36">COUNTIF(D45:BI45,"HD")/2</f>
        <v>0</v>
      </c>
      <c r="BU45" s="3">
        <f t="shared" ref="BU45" si="37">COUNTIF(D45:BI45,"AB")/2</f>
        <v>0</v>
      </c>
      <c r="BV45" s="3">
        <f t="shared" ref="BV45" si="38">COUNTIF(D45:BI45,"NL")/2</f>
        <v>0</v>
      </c>
      <c r="BW45" s="3">
        <f t="shared" ref="BW45" si="39">COUNTIF(D45:BI45,"SP")/2</f>
        <v>0</v>
      </c>
      <c r="BX45" s="4"/>
      <c r="CB45" s="87">
        <v>0</v>
      </c>
      <c r="CC45" s="87">
        <v>0</v>
      </c>
      <c r="CD45" s="87">
        <v>0</v>
      </c>
      <c r="CE45" s="87">
        <v>0</v>
      </c>
      <c r="CF45" s="87">
        <v>0</v>
      </c>
      <c r="CG45" s="87">
        <v>0</v>
      </c>
      <c r="CH45" s="87">
        <v>0</v>
      </c>
      <c r="CI45" s="87">
        <v>0</v>
      </c>
      <c r="CJ45" s="87">
        <v>0</v>
      </c>
      <c r="CK45" s="87">
        <v>0</v>
      </c>
      <c r="CL45" s="83">
        <f>SUM(CB45:CK45)</f>
        <v>0</v>
      </c>
    </row>
    <row r="46" spans="1:90" ht="21.75" customHeight="1" x14ac:dyDescent="0.25">
      <c r="A46" s="54">
        <v>27</v>
      </c>
      <c r="B46" s="20" t="s">
        <v>91</v>
      </c>
      <c r="C46" s="9" t="s">
        <v>92</v>
      </c>
      <c r="D46" s="105">
        <v>0.3520833333333333</v>
      </c>
      <c r="E46" s="105">
        <v>0.97013888888888899</v>
      </c>
      <c r="F46" s="105">
        <v>0.3520833333333333</v>
      </c>
      <c r="G46" s="105">
        <v>0.94305555555555554</v>
      </c>
      <c r="H46" s="105">
        <v>0.3444444444444445</v>
      </c>
      <c r="I46" s="105">
        <v>0.95000000000000007</v>
      </c>
      <c r="J46" s="105">
        <v>0.36736111111111108</v>
      </c>
      <c r="K46" s="105">
        <v>0.96319444444444446</v>
      </c>
      <c r="L46" s="105">
        <v>0.3527777777777778</v>
      </c>
      <c r="M46" s="105">
        <v>0.97013888888888899</v>
      </c>
      <c r="N46" s="107">
        <v>0.57777777777777783</v>
      </c>
      <c r="O46" s="107">
        <v>0.95486111111111116</v>
      </c>
      <c r="P46" s="105">
        <v>0.35138888888888892</v>
      </c>
      <c r="Q46" s="105">
        <v>0.96875</v>
      </c>
      <c r="R46" s="105">
        <v>0.3527777777777778</v>
      </c>
      <c r="S46" s="105">
        <v>0.94930555555555562</v>
      </c>
      <c r="T46" s="105">
        <v>0.35138888888888892</v>
      </c>
      <c r="U46" s="105">
        <v>0.94444444444444453</v>
      </c>
      <c r="V46" s="105">
        <v>0.3520833333333333</v>
      </c>
      <c r="W46" s="105">
        <v>0.94652777777777775</v>
      </c>
      <c r="X46" s="105">
        <v>0.3520833333333333</v>
      </c>
      <c r="Y46" s="105">
        <v>0.9506944444444444</v>
      </c>
      <c r="Z46" s="105">
        <v>0.3520833333333333</v>
      </c>
      <c r="AA46" s="105">
        <v>0.96736111111111101</v>
      </c>
      <c r="AB46" s="107">
        <v>0.58263888888888882</v>
      </c>
      <c r="AC46" s="107">
        <v>0.95000000000000007</v>
      </c>
      <c r="AD46" s="105">
        <v>0.35138888888888892</v>
      </c>
      <c r="AE46" s="105">
        <v>0.98263888888888884</v>
      </c>
      <c r="AF46" s="105">
        <v>0.35069444444444442</v>
      </c>
      <c r="AG46" s="105">
        <v>0.98263888888888884</v>
      </c>
      <c r="AI46" s="18">
        <v>27</v>
      </c>
      <c r="AJ46" s="105">
        <v>0.35069444444444442</v>
      </c>
      <c r="AK46" s="105">
        <v>0.96111111111111114</v>
      </c>
      <c r="AL46" s="105">
        <v>0.35347222222222219</v>
      </c>
      <c r="AM46" s="105">
        <v>0.53263888888888888</v>
      </c>
      <c r="AN46" s="105">
        <v>0.375</v>
      </c>
      <c r="AO46" s="105">
        <v>0.98958333333333337</v>
      </c>
      <c r="AP46" s="105">
        <v>0.37152777777777773</v>
      </c>
      <c r="AQ46" s="105">
        <v>4.9999999999999996E-2</v>
      </c>
      <c r="AR46" s="107">
        <v>0.5805555555555556</v>
      </c>
      <c r="AS46" s="107">
        <v>9.7222222222222224E-3</v>
      </c>
      <c r="AT46" s="105">
        <v>0.3743055555555555</v>
      </c>
      <c r="AU46" s="105">
        <v>4.1666666666666664E-2</v>
      </c>
      <c r="AV46" s="105">
        <v>0.37222222222222223</v>
      </c>
      <c r="AW46" s="105">
        <v>0.8569444444444444</v>
      </c>
      <c r="AX46" s="105">
        <v>0.37361111111111112</v>
      </c>
      <c r="AY46" s="105">
        <v>4.5833333333333337E-2</v>
      </c>
      <c r="AZ46" s="105">
        <v>0.3743055555555555</v>
      </c>
      <c r="BA46" s="105">
        <v>4.5138888888888888E-2</v>
      </c>
      <c r="BB46" s="105">
        <v>0.37013888888888885</v>
      </c>
      <c r="BC46" s="105">
        <v>4.9305555555555554E-2</v>
      </c>
      <c r="BD46" s="105">
        <v>0.37222222222222223</v>
      </c>
      <c r="BE46" s="105">
        <v>4.3750000000000004E-2</v>
      </c>
      <c r="BF46" s="107">
        <v>0.57847222222222217</v>
      </c>
      <c r="BG46" s="107">
        <v>5.1388888888888894E-2</v>
      </c>
      <c r="BH46" s="105">
        <v>0.3743055555555555</v>
      </c>
      <c r="BI46" s="105">
        <v>4.5833333333333337E-2</v>
      </c>
      <c r="BJ46" s="12">
        <f t="shared" ref="BJ46:BJ109" si="40">BL46+BM46+BO46+BP46+BT46+BR46+BS46+BW46</f>
        <v>28</v>
      </c>
      <c r="BK46" s="112">
        <v>4</v>
      </c>
      <c r="BL46" s="2">
        <f t="shared" ref="BL46:BL109" si="41">COUNT(D46:AG46)/2+COUNT(AJ46:BI46)/2</f>
        <v>28</v>
      </c>
      <c r="BM46" s="3">
        <f t="shared" ref="BM46:BM109" si="42">COUNTIF(D46:BI46,"OFF")/2</f>
        <v>0</v>
      </c>
      <c r="BN46" s="3">
        <f t="shared" ref="BN46:BN109" si="43">COUNTIF(D46:BI46,"MC")/2</f>
        <v>0</v>
      </c>
      <c r="BO46" s="3">
        <f t="shared" ref="BO46:BO109" si="44">COUNTIF(D46:BI46,"EL")/2</f>
        <v>0</v>
      </c>
      <c r="BP46" s="3">
        <f t="shared" ref="BP46:BP109" si="45">COUNTIF(D46:BI46,"AL")/2</f>
        <v>0</v>
      </c>
      <c r="BQ46" s="3">
        <f t="shared" ref="BQ46:BQ109" si="46">COUNTIF(D46:BI46,"SUS")/2</f>
        <v>0</v>
      </c>
      <c r="BR46" s="3">
        <f t="shared" ref="BR46:BR109" si="47">COUNTIF(D46:BI46,"FL")/2</f>
        <v>0</v>
      </c>
      <c r="BS46" s="3">
        <f t="shared" ref="BS46:BS109" si="48">COUNTIF(D46:BI46,"SICK")/2</f>
        <v>0</v>
      </c>
      <c r="BT46" s="3">
        <f t="shared" ref="BT46:BT109" si="49">COUNTIF(D46:BI46,"HD")/2</f>
        <v>0</v>
      </c>
      <c r="BU46" s="3">
        <f t="shared" ref="BU46:BU109" si="50">COUNTIF(D46:BI46,"AB")/2</f>
        <v>0</v>
      </c>
      <c r="BV46" s="3">
        <f t="shared" ref="BV46:BV109" si="51">COUNTIF(D46:BI46,"NL")/2</f>
        <v>0</v>
      </c>
      <c r="BW46" s="3">
        <f t="shared" ref="BW46:BW109" si="52">COUNTIF(D46:BI46,"SP")/2</f>
        <v>0</v>
      </c>
      <c r="BX46" s="4"/>
      <c r="CB46" s="87">
        <v>0</v>
      </c>
      <c r="CC46" s="87">
        <v>0</v>
      </c>
      <c r="CD46" s="87">
        <v>0</v>
      </c>
      <c r="CE46" s="87">
        <v>0</v>
      </c>
      <c r="CF46" s="87">
        <v>0</v>
      </c>
      <c r="CG46" s="88">
        <v>2</v>
      </c>
      <c r="CH46" s="87">
        <v>0</v>
      </c>
      <c r="CI46" s="87">
        <v>0</v>
      </c>
      <c r="CJ46" s="87">
        <v>0</v>
      </c>
      <c r="CK46" s="87">
        <v>0</v>
      </c>
      <c r="CL46" s="83">
        <f t="shared" ref="CL46:CL47" si="53">SUM(CB46:CK46)</f>
        <v>2</v>
      </c>
    </row>
    <row r="47" spans="1:90" ht="21.75" customHeight="1" x14ac:dyDescent="0.25">
      <c r="A47" s="54">
        <v>28</v>
      </c>
      <c r="B47" s="20" t="s">
        <v>93</v>
      </c>
      <c r="C47" s="9" t="s">
        <v>94</v>
      </c>
      <c r="D47" s="105">
        <v>0.3520833333333333</v>
      </c>
      <c r="E47" s="105">
        <v>0.96319444444444446</v>
      </c>
      <c r="F47" s="105">
        <v>0.3520833333333333</v>
      </c>
      <c r="G47" s="105">
        <v>0.94444444444444453</v>
      </c>
      <c r="H47" s="105">
        <v>0.35138888888888892</v>
      </c>
      <c r="I47" s="105">
        <v>0.95000000000000007</v>
      </c>
      <c r="J47" s="105">
        <v>0.3527777777777778</v>
      </c>
      <c r="K47" s="105">
        <v>0.96319444444444446</v>
      </c>
      <c r="L47" s="105">
        <v>0.35138888888888892</v>
      </c>
      <c r="M47" s="105">
        <v>0.96666666666666667</v>
      </c>
      <c r="N47" s="122" t="s">
        <v>15</v>
      </c>
      <c r="O47" s="122" t="s">
        <v>15</v>
      </c>
      <c r="P47" s="105">
        <v>0.35138888888888892</v>
      </c>
      <c r="Q47" s="105">
        <v>0.96458333333333324</v>
      </c>
      <c r="R47" s="105">
        <v>0.35069444444444442</v>
      </c>
      <c r="S47" s="105">
        <v>0.9458333333333333</v>
      </c>
      <c r="T47" s="105">
        <v>0.35138888888888892</v>
      </c>
      <c r="U47" s="105">
        <v>0.94513888888888886</v>
      </c>
      <c r="V47" s="105">
        <v>0.35138888888888892</v>
      </c>
      <c r="W47" s="105">
        <v>0.94791666666666663</v>
      </c>
      <c r="X47" s="105">
        <v>0.35069444444444442</v>
      </c>
      <c r="Y47" s="105">
        <v>0.95000000000000007</v>
      </c>
      <c r="Z47" s="105">
        <v>0.3520833333333333</v>
      </c>
      <c r="AA47" s="105">
        <v>0.96875</v>
      </c>
      <c r="AB47" s="107">
        <v>0.57986111111111105</v>
      </c>
      <c r="AC47" s="107">
        <v>0.94652777777777775</v>
      </c>
      <c r="AD47" s="105">
        <v>0.35138888888888892</v>
      </c>
      <c r="AE47" s="105">
        <v>0.98125000000000007</v>
      </c>
      <c r="AF47" s="105">
        <v>0.35138888888888892</v>
      </c>
      <c r="AG47" s="105">
        <v>0.98125000000000007</v>
      </c>
      <c r="AI47" s="18">
        <v>28</v>
      </c>
      <c r="AJ47" s="105">
        <v>0.35138888888888892</v>
      </c>
      <c r="AK47" s="105">
        <v>0.96180555555555547</v>
      </c>
      <c r="AL47" s="105">
        <v>0.3520833333333333</v>
      </c>
      <c r="AM47" s="113">
        <v>1</v>
      </c>
      <c r="AN47" s="105">
        <v>0.37152777777777773</v>
      </c>
      <c r="AO47" s="105">
        <v>0.99583333333333324</v>
      </c>
      <c r="AP47" s="105">
        <v>0.37291666666666662</v>
      </c>
      <c r="AQ47" s="105">
        <v>5.1388888888888894E-2</v>
      </c>
      <c r="AR47" s="107">
        <v>0.5805555555555556</v>
      </c>
      <c r="AS47" s="107">
        <v>2.5694444444444447E-2</v>
      </c>
      <c r="AT47" s="105">
        <v>0.37361111111111112</v>
      </c>
      <c r="AU47" s="105">
        <v>4.1666666666666664E-2</v>
      </c>
      <c r="AV47" s="105">
        <v>0.37222222222222223</v>
      </c>
      <c r="AW47" s="105">
        <v>0.85555555555555562</v>
      </c>
      <c r="AX47" s="105">
        <v>0.37222222222222223</v>
      </c>
      <c r="AY47" s="105">
        <v>2.0833333333333332E-2</v>
      </c>
      <c r="AZ47" s="105">
        <v>0.37291666666666662</v>
      </c>
      <c r="BA47" s="105">
        <v>4.4444444444444446E-2</v>
      </c>
      <c r="BB47" s="105">
        <v>0.37152777777777773</v>
      </c>
      <c r="BC47" s="105">
        <v>4.8611111111111112E-2</v>
      </c>
      <c r="BD47" s="105">
        <v>0.37222222222222223</v>
      </c>
      <c r="BE47" s="105">
        <v>4.3055555555555562E-2</v>
      </c>
      <c r="BF47" s="107">
        <v>0.5805555555555556</v>
      </c>
      <c r="BG47" s="107">
        <v>5.0694444444444452E-2</v>
      </c>
      <c r="BH47" s="105">
        <v>0.37222222222222223</v>
      </c>
      <c r="BI47" s="105">
        <v>4.5138888888888888E-2</v>
      </c>
      <c r="BJ47" s="12">
        <f t="shared" si="40"/>
        <v>28</v>
      </c>
      <c r="BK47" s="112">
        <v>3</v>
      </c>
      <c r="BL47" s="2">
        <f t="shared" si="41"/>
        <v>27</v>
      </c>
      <c r="BM47" s="3">
        <f t="shared" si="42"/>
        <v>1</v>
      </c>
      <c r="BN47" s="3">
        <f t="shared" si="43"/>
        <v>0</v>
      </c>
      <c r="BO47" s="3">
        <f t="shared" si="44"/>
        <v>0</v>
      </c>
      <c r="BP47" s="3">
        <f t="shared" si="45"/>
        <v>0</v>
      </c>
      <c r="BQ47" s="3">
        <f t="shared" si="46"/>
        <v>0</v>
      </c>
      <c r="BR47" s="3">
        <f t="shared" si="47"/>
        <v>0</v>
      </c>
      <c r="BS47" s="3">
        <f t="shared" si="48"/>
        <v>0</v>
      </c>
      <c r="BT47" s="3">
        <f t="shared" si="49"/>
        <v>0</v>
      </c>
      <c r="BU47" s="3">
        <f t="shared" si="50"/>
        <v>0</v>
      </c>
      <c r="BV47" s="3">
        <f t="shared" si="51"/>
        <v>0</v>
      </c>
      <c r="BW47" s="3">
        <f t="shared" si="52"/>
        <v>0</v>
      </c>
      <c r="BX47" s="4"/>
      <c r="CB47" s="87">
        <v>0</v>
      </c>
      <c r="CC47" s="87">
        <v>0</v>
      </c>
      <c r="CD47" s="87">
        <v>13</v>
      </c>
      <c r="CE47" s="87">
        <v>0</v>
      </c>
      <c r="CF47" s="87">
        <v>0</v>
      </c>
      <c r="CG47" s="87">
        <v>0</v>
      </c>
      <c r="CH47" s="87">
        <v>0</v>
      </c>
      <c r="CI47" s="87">
        <v>0</v>
      </c>
      <c r="CJ47" s="87">
        <v>0</v>
      </c>
      <c r="CK47" s="87">
        <v>0</v>
      </c>
      <c r="CL47" s="89">
        <f t="shared" si="53"/>
        <v>13</v>
      </c>
    </row>
    <row r="48" spans="1:90" ht="21.75" customHeight="1" x14ac:dyDescent="0.25">
      <c r="A48" s="54">
        <v>29</v>
      </c>
      <c r="B48" s="20" t="s">
        <v>95</v>
      </c>
      <c r="C48" s="9" t="s">
        <v>96</v>
      </c>
      <c r="D48" s="105">
        <v>0.3520833333333333</v>
      </c>
      <c r="E48" s="105">
        <v>0.96180555555555547</v>
      </c>
      <c r="F48" s="121" t="s">
        <v>195</v>
      </c>
      <c r="G48" s="121" t="s">
        <v>195</v>
      </c>
      <c r="H48" s="121" t="s">
        <v>195</v>
      </c>
      <c r="I48" s="121" t="s">
        <v>195</v>
      </c>
      <c r="J48" s="121" t="s">
        <v>195</v>
      </c>
      <c r="K48" s="121" t="s">
        <v>195</v>
      </c>
      <c r="L48" s="121" t="s">
        <v>195</v>
      </c>
      <c r="M48" s="121" t="s">
        <v>195</v>
      </c>
      <c r="N48" s="122" t="s">
        <v>15</v>
      </c>
      <c r="O48" s="122" t="s">
        <v>15</v>
      </c>
      <c r="P48" s="121" t="s">
        <v>195</v>
      </c>
      <c r="Q48" s="121" t="s">
        <v>195</v>
      </c>
      <c r="R48" s="121" t="s">
        <v>195</v>
      </c>
      <c r="S48" s="121" t="s">
        <v>195</v>
      </c>
      <c r="T48" s="105">
        <v>0.35000000000000003</v>
      </c>
      <c r="U48" s="105">
        <v>0.93541666666666667</v>
      </c>
      <c r="V48" s="105">
        <v>0.34583333333333338</v>
      </c>
      <c r="W48" s="105">
        <v>0.95416666666666661</v>
      </c>
      <c r="X48" s="105">
        <v>0.34375</v>
      </c>
      <c r="Y48" s="113">
        <v>1</v>
      </c>
      <c r="Z48" s="105">
        <v>0.34722222222222227</v>
      </c>
      <c r="AA48" s="105">
        <v>0.96458333333333324</v>
      </c>
      <c r="AB48" s="107">
        <v>0.58124999999999993</v>
      </c>
      <c r="AC48" s="107">
        <v>0.9506944444444444</v>
      </c>
      <c r="AD48" s="105">
        <v>0.34791666666666665</v>
      </c>
      <c r="AE48" s="105">
        <v>0.97986111111111107</v>
      </c>
      <c r="AF48" s="105">
        <v>0.34791666666666665</v>
      </c>
      <c r="AG48" s="105">
        <v>0.97986111111111107</v>
      </c>
      <c r="AI48" s="18">
        <v>29</v>
      </c>
      <c r="AJ48" s="105">
        <v>0.34930555555555554</v>
      </c>
      <c r="AK48" s="105">
        <v>0.98749999999999993</v>
      </c>
      <c r="AL48" s="105">
        <v>0.34861111111111115</v>
      </c>
      <c r="AM48" s="105">
        <v>5.4166666666666669E-2</v>
      </c>
      <c r="AN48" s="105">
        <v>0.37291666666666662</v>
      </c>
      <c r="AO48" s="105">
        <v>5.1388888888888894E-2</v>
      </c>
      <c r="AP48" s="105">
        <v>0.3756944444444445</v>
      </c>
      <c r="AQ48" s="105">
        <v>4.3055555555555562E-2</v>
      </c>
      <c r="AR48" s="107">
        <v>0.57916666666666672</v>
      </c>
      <c r="AS48" s="107">
        <v>1.5972222222222224E-2</v>
      </c>
      <c r="AT48" s="105">
        <v>0.37847222222222227</v>
      </c>
      <c r="AU48" s="105">
        <v>3.888888888888889E-2</v>
      </c>
      <c r="AV48" s="105">
        <v>0.37361111111111112</v>
      </c>
      <c r="AW48" s="105">
        <v>0.85763888888888884</v>
      </c>
      <c r="AX48" s="105">
        <v>0.37291666666666662</v>
      </c>
      <c r="AY48" s="105">
        <v>6.1111111111111116E-2</v>
      </c>
      <c r="AZ48" s="105">
        <v>0.3743055555555555</v>
      </c>
      <c r="BA48" s="105">
        <v>6.1805555555555558E-2</v>
      </c>
      <c r="BB48" s="105">
        <v>0.37638888888888888</v>
      </c>
      <c r="BC48" s="105">
        <v>5.2083333333333336E-2</v>
      </c>
      <c r="BD48" s="105">
        <v>0.375</v>
      </c>
      <c r="BE48" s="105">
        <v>4.9999999999999996E-2</v>
      </c>
      <c r="BF48" s="107">
        <v>0.58124999999999993</v>
      </c>
      <c r="BG48" s="107">
        <v>4.5138888888888888E-2</v>
      </c>
      <c r="BH48" s="105">
        <v>0.37638888888888888</v>
      </c>
      <c r="BI48" s="105">
        <v>4.9305555555555554E-2</v>
      </c>
      <c r="BJ48" s="12">
        <f t="shared" si="40"/>
        <v>28</v>
      </c>
      <c r="BK48" s="112">
        <v>3</v>
      </c>
      <c r="BL48" s="2">
        <f t="shared" si="41"/>
        <v>21</v>
      </c>
      <c r="BM48" s="3">
        <f t="shared" si="42"/>
        <v>1</v>
      </c>
      <c r="BN48" s="3">
        <f t="shared" si="43"/>
        <v>0</v>
      </c>
      <c r="BO48" s="3">
        <f t="shared" si="44"/>
        <v>0</v>
      </c>
      <c r="BP48" s="3">
        <f t="shared" si="45"/>
        <v>0</v>
      </c>
      <c r="BQ48" s="3">
        <f t="shared" si="46"/>
        <v>0</v>
      </c>
      <c r="BR48" s="3">
        <f t="shared" si="47"/>
        <v>0</v>
      </c>
      <c r="BS48" s="3">
        <f t="shared" si="48"/>
        <v>6</v>
      </c>
      <c r="BT48" s="3">
        <f t="shared" si="49"/>
        <v>0</v>
      </c>
      <c r="BU48" s="3">
        <f t="shared" si="50"/>
        <v>0</v>
      </c>
      <c r="BV48" s="3">
        <f t="shared" si="51"/>
        <v>0</v>
      </c>
      <c r="BW48" s="3">
        <f t="shared" si="52"/>
        <v>0</v>
      </c>
      <c r="BX48" s="4"/>
      <c r="CB48" s="87">
        <v>0</v>
      </c>
      <c r="CC48" s="87">
        <v>0</v>
      </c>
      <c r="CD48" s="87">
        <v>60</v>
      </c>
      <c r="CE48" s="87">
        <v>0</v>
      </c>
      <c r="CF48" s="87">
        <v>0</v>
      </c>
      <c r="CG48" s="87">
        <v>0</v>
      </c>
      <c r="CH48" s="87">
        <v>0</v>
      </c>
      <c r="CI48" s="87">
        <v>0</v>
      </c>
      <c r="CJ48" s="87">
        <v>11</v>
      </c>
      <c r="CK48" s="87">
        <v>0</v>
      </c>
      <c r="CL48" s="89">
        <f>SUM(CB48:CK48)</f>
        <v>71</v>
      </c>
    </row>
    <row r="49" spans="1:90" ht="21.75" customHeight="1" x14ac:dyDescent="0.25">
      <c r="A49" s="54">
        <v>30</v>
      </c>
      <c r="B49" s="20" t="s">
        <v>225</v>
      </c>
      <c r="C49" s="123" t="s">
        <v>226</v>
      </c>
      <c r="D49" s="105">
        <v>0.34861111111111115</v>
      </c>
      <c r="E49" s="105">
        <v>0.97916666666666663</v>
      </c>
      <c r="F49" s="105">
        <v>0.34652777777777777</v>
      </c>
      <c r="G49" s="105">
        <v>0.9472222222222223</v>
      </c>
      <c r="H49" s="105">
        <v>0.34791666666666665</v>
      </c>
      <c r="I49" s="105">
        <v>6.9444444444444447E-4</v>
      </c>
      <c r="J49" s="105">
        <v>0.35000000000000003</v>
      </c>
      <c r="K49" s="105">
        <v>0.98888888888888893</v>
      </c>
      <c r="L49" s="105">
        <v>0.34722222222222227</v>
      </c>
      <c r="M49" s="105">
        <v>6.9444444444444441E-3</v>
      </c>
      <c r="N49" s="107">
        <v>0.57986111111111105</v>
      </c>
      <c r="O49" s="107">
        <v>0.96388888888888891</v>
      </c>
      <c r="P49" s="105">
        <v>0.34861111111111115</v>
      </c>
      <c r="Q49" s="105">
        <v>0.9770833333333333</v>
      </c>
      <c r="R49" s="105">
        <v>0.34722222222222227</v>
      </c>
      <c r="S49" s="105">
        <v>0.96111111111111114</v>
      </c>
      <c r="T49" s="105">
        <v>0.34930555555555554</v>
      </c>
      <c r="U49" s="105">
        <v>0.9375</v>
      </c>
      <c r="V49" s="105">
        <v>0.34722222222222227</v>
      </c>
      <c r="W49" s="105">
        <v>0.95833333333333337</v>
      </c>
      <c r="X49" s="105">
        <v>0.34861111111111115</v>
      </c>
      <c r="Y49" s="105">
        <v>0.99930555555555556</v>
      </c>
      <c r="Z49" s="105">
        <v>0.34861111111111115</v>
      </c>
      <c r="AA49" s="105">
        <v>0.99305555555555547</v>
      </c>
      <c r="AB49" s="107">
        <v>0.57916666666666672</v>
      </c>
      <c r="AC49" s="107">
        <v>0.98055555555555562</v>
      </c>
      <c r="AD49" s="105">
        <v>0.34861111111111115</v>
      </c>
      <c r="AE49" s="105">
        <v>0.99375000000000002</v>
      </c>
      <c r="AF49" s="105">
        <v>0.34652777777777777</v>
      </c>
      <c r="AG49" s="105">
        <v>0.90972222222222221</v>
      </c>
      <c r="AI49" s="18">
        <v>30</v>
      </c>
      <c r="AJ49" s="105">
        <v>0.34652777777777777</v>
      </c>
      <c r="AK49" s="105">
        <v>4.1666666666666664E-2</v>
      </c>
      <c r="AL49" s="105">
        <v>0.35069444444444442</v>
      </c>
      <c r="AM49" s="105">
        <v>2.0833333333333332E-2</v>
      </c>
      <c r="AN49" s="105">
        <v>0.37222222222222223</v>
      </c>
      <c r="AO49" s="105">
        <v>4.9999999999999996E-2</v>
      </c>
      <c r="AP49" s="105">
        <v>0.37222222222222223</v>
      </c>
      <c r="AQ49" s="105">
        <v>5.0694444444444452E-2</v>
      </c>
      <c r="AR49" s="107">
        <v>0.57916666666666672</v>
      </c>
      <c r="AS49" s="107">
        <v>4.2361111111111106E-2</v>
      </c>
      <c r="AT49" s="105">
        <v>0.37291666666666662</v>
      </c>
      <c r="AU49" s="105">
        <v>4.2361111111111106E-2</v>
      </c>
      <c r="AV49" s="105">
        <v>0.3743055555555555</v>
      </c>
      <c r="AW49" s="105">
        <v>0.85277777777777775</v>
      </c>
      <c r="AX49" s="105">
        <v>0.37222222222222223</v>
      </c>
      <c r="AY49" s="105">
        <v>7.9166666666666663E-2</v>
      </c>
      <c r="AZ49" s="105">
        <v>0.37152777777777773</v>
      </c>
      <c r="BA49" s="105">
        <v>8.3333333333333329E-2</v>
      </c>
      <c r="BB49" s="105">
        <v>0.37291666666666662</v>
      </c>
      <c r="BC49" s="105">
        <v>0.85277777777777775</v>
      </c>
      <c r="BD49" s="105">
        <v>0.37361111111111112</v>
      </c>
      <c r="BE49" s="105">
        <v>4.3055555555555562E-2</v>
      </c>
      <c r="BF49" s="107">
        <v>0.57986111111111105</v>
      </c>
      <c r="BG49" s="107">
        <v>5.2083333333333336E-2</v>
      </c>
      <c r="BH49" s="105">
        <v>0.37222222222222223</v>
      </c>
      <c r="BI49" s="105">
        <v>6.9444444444444434E-2</v>
      </c>
      <c r="BJ49" s="12">
        <f t="shared" si="40"/>
        <v>28</v>
      </c>
      <c r="BK49" s="112">
        <v>4</v>
      </c>
      <c r="BL49" s="2">
        <f t="shared" si="41"/>
        <v>28</v>
      </c>
      <c r="BM49" s="3">
        <f t="shared" si="42"/>
        <v>0</v>
      </c>
      <c r="BN49" s="3">
        <f t="shared" si="43"/>
        <v>0</v>
      </c>
      <c r="BO49" s="3">
        <f t="shared" si="44"/>
        <v>0</v>
      </c>
      <c r="BP49" s="3">
        <f t="shared" si="45"/>
        <v>0</v>
      </c>
      <c r="BQ49" s="3">
        <f t="shared" si="46"/>
        <v>0</v>
      </c>
      <c r="BR49" s="3">
        <f t="shared" si="47"/>
        <v>0</v>
      </c>
      <c r="BS49" s="3">
        <f t="shared" si="48"/>
        <v>0</v>
      </c>
      <c r="BT49" s="3">
        <f t="shared" si="49"/>
        <v>0</v>
      </c>
      <c r="BU49" s="3">
        <f t="shared" si="50"/>
        <v>0</v>
      </c>
      <c r="BV49" s="3">
        <f t="shared" si="51"/>
        <v>0</v>
      </c>
      <c r="BW49" s="3">
        <f t="shared" si="52"/>
        <v>0</v>
      </c>
      <c r="BX49" s="4"/>
      <c r="CB49" s="87">
        <v>0</v>
      </c>
      <c r="CC49" s="87">
        <v>0</v>
      </c>
      <c r="CD49" s="88">
        <v>4</v>
      </c>
      <c r="CE49" s="87">
        <v>0</v>
      </c>
      <c r="CF49" s="87">
        <v>0</v>
      </c>
      <c r="CG49" s="88">
        <v>11</v>
      </c>
      <c r="CH49" s="87">
        <v>0</v>
      </c>
      <c r="CI49" s="88">
        <v>2</v>
      </c>
      <c r="CJ49" s="87">
        <v>0</v>
      </c>
      <c r="CK49" s="87">
        <v>0</v>
      </c>
      <c r="CL49" s="89">
        <f t="shared" ref="CL49:CL109" si="54">SUM(CB49:CK49)</f>
        <v>17</v>
      </c>
    </row>
    <row r="50" spans="1:90" ht="21.75" customHeight="1" x14ac:dyDescent="0.25">
      <c r="A50" s="54">
        <v>31</v>
      </c>
      <c r="B50" s="20" t="s">
        <v>97</v>
      </c>
      <c r="C50" s="9" t="s">
        <v>98</v>
      </c>
      <c r="D50" s="105">
        <v>0.35138888888888892</v>
      </c>
      <c r="E50" s="105">
        <v>0.35138888888888892</v>
      </c>
      <c r="F50" s="105">
        <v>0.3520833333333333</v>
      </c>
      <c r="G50" s="105">
        <v>0.95833333333333337</v>
      </c>
      <c r="H50" s="105">
        <v>0.3527777777777778</v>
      </c>
      <c r="I50" s="105">
        <v>0.95833333333333337</v>
      </c>
      <c r="J50" s="121" t="s">
        <v>195</v>
      </c>
      <c r="K50" s="121" t="s">
        <v>195</v>
      </c>
      <c r="L50" s="105">
        <v>0.3520833333333333</v>
      </c>
      <c r="M50" s="105">
        <v>0.3520833333333333</v>
      </c>
      <c r="N50" s="107">
        <v>0.57986111111111105</v>
      </c>
      <c r="O50" s="114">
        <v>1</v>
      </c>
      <c r="P50" s="105">
        <v>0.35138888888888892</v>
      </c>
      <c r="Q50" s="113">
        <v>1</v>
      </c>
      <c r="R50" s="105">
        <v>0.3520833333333333</v>
      </c>
      <c r="S50" s="105">
        <v>0.96875</v>
      </c>
      <c r="T50" s="105">
        <v>0.35138888888888892</v>
      </c>
      <c r="U50" s="105">
        <v>0.93263888888888891</v>
      </c>
      <c r="V50" s="105">
        <v>0.34930555555555554</v>
      </c>
      <c r="W50" s="105">
        <v>0.95624999999999993</v>
      </c>
      <c r="X50" s="105">
        <v>0.35138888888888892</v>
      </c>
      <c r="Y50" s="113">
        <v>1</v>
      </c>
      <c r="Z50" s="121" t="s">
        <v>195</v>
      </c>
      <c r="AA50" s="121" t="s">
        <v>195</v>
      </c>
      <c r="AB50" s="107">
        <v>0.57708333333333328</v>
      </c>
      <c r="AC50" s="107">
        <v>5.5555555555555552E-2</v>
      </c>
      <c r="AD50" s="105">
        <v>0.34861111111111115</v>
      </c>
      <c r="AE50" s="105">
        <v>2.1527777777777781E-2</v>
      </c>
      <c r="AF50" s="105">
        <v>0.35000000000000003</v>
      </c>
      <c r="AG50" s="105">
        <v>0.94652777777777775</v>
      </c>
      <c r="AI50" s="18">
        <v>31</v>
      </c>
      <c r="AJ50" s="105">
        <v>0.3520833333333333</v>
      </c>
      <c r="AK50" s="105">
        <v>4.027777777777778E-2</v>
      </c>
      <c r="AL50" s="105">
        <v>0.3520833333333333</v>
      </c>
      <c r="AM50" s="105">
        <v>6.5972222222222224E-2</v>
      </c>
      <c r="AN50" s="105">
        <v>0.37291666666666662</v>
      </c>
      <c r="AO50" s="105">
        <v>6.1805555555555558E-2</v>
      </c>
      <c r="AP50" s="105">
        <v>0.37222222222222223</v>
      </c>
      <c r="AQ50" s="105">
        <v>4.7916666666666663E-2</v>
      </c>
      <c r="AR50" s="107">
        <v>0.57777777777777783</v>
      </c>
      <c r="AS50" s="107">
        <v>0.10486111111111111</v>
      </c>
      <c r="AT50" s="105">
        <v>0.375</v>
      </c>
      <c r="AU50" s="105">
        <v>0.85138888888888886</v>
      </c>
      <c r="AV50" s="105">
        <v>0.3743055555555555</v>
      </c>
      <c r="AW50" s="105">
        <v>0.3743055555555555</v>
      </c>
      <c r="AX50" s="105">
        <v>0.37291666666666662</v>
      </c>
      <c r="AY50" s="105">
        <v>8.4027777777777771E-2</v>
      </c>
      <c r="AZ50" s="105">
        <v>0.37222222222222223</v>
      </c>
      <c r="BA50" s="105">
        <v>7.6388888888888895E-2</v>
      </c>
      <c r="BB50" s="105">
        <v>0.37361111111111112</v>
      </c>
      <c r="BC50" s="105">
        <v>4.7916666666666663E-2</v>
      </c>
      <c r="BD50" s="105">
        <v>0.37361111111111112</v>
      </c>
      <c r="BE50" s="105">
        <v>4.7916666666666663E-2</v>
      </c>
      <c r="BF50" s="107">
        <v>0.57777777777777783</v>
      </c>
      <c r="BG50" s="107">
        <v>5.0694444444444452E-2</v>
      </c>
      <c r="BH50" s="105">
        <v>0.37152777777777773</v>
      </c>
      <c r="BI50" s="105">
        <v>6.25E-2</v>
      </c>
      <c r="BJ50" s="12">
        <f t="shared" si="40"/>
        <v>28</v>
      </c>
      <c r="BK50" s="112">
        <v>4</v>
      </c>
      <c r="BL50" s="2">
        <f t="shared" si="41"/>
        <v>26</v>
      </c>
      <c r="BM50" s="3">
        <f t="shared" si="42"/>
        <v>0</v>
      </c>
      <c r="BN50" s="3">
        <f t="shared" si="43"/>
        <v>0</v>
      </c>
      <c r="BO50" s="3">
        <f t="shared" si="44"/>
        <v>0</v>
      </c>
      <c r="BP50" s="3">
        <f t="shared" si="45"/>
        <v>0</v>
      </c>
      <c r="BQ50" s="3">
        <f t="shared" si="46"/>
        <v>0</v>
      </c>
      <c r="BR50" s="3">
        <f t="shared" si="47"/>
        <v>0</v>
      </c>
      <c r="BS50" s="3">
        <f t="shared" si="48"/>
        <v>2</v>
      </c>
      <c r="BT50" s="3">
        <f t="shared" si="49"/>
        <v>0</v>
      </c>
      <c r="BU50" s="3">
        <f t="shared" si="50"/>
        <v>0</v>
      </c>
      <c r="BV50" s="3">
        <f t="shared" si="51"/>
        <v>0</v>
      </c>
      <c r="BW50" s="3">
        <f t="shared" si="52"/>
        <v>0</v>
      </c>
      <c r="BX50" s="4"/>
      <c r="CB50" s="87">
        <v>0</v>
      </c>
      <c r="CC50" s="87">
        <v>0</v>
      </c>
      <c r="CD50" s="87">
        <v>0</v>
      </c>
      <c r="CE50" s="87">
        <v>0</v>
      </c>
      <c r="CF50" s="87">
        <v>0</v>
      </c>
      <c r="CG50" s="88">
        <v>5</v>
      </c>
      <c r="CH50" s="87">
        <v>0</v>
      </c>
      <c r="CI50" s="87">
        <v>0</v>
      </c>
      <c r="CJ50" s="87">
        <v>0</v>
      </c>
      <c r="CK50" s="87">
        <v>0</v>
      </c>
      <c r="CL50" s="89">
        <f t="shared" si="54"/>
        <v>5</v>
      </c>
    </row>
    <row r="51" spans="1:90" ht="21.75" customHeight="1" x14ac:dyDescent="0.25">
      <c r="A51" s="54">
        <v>32</v>
      </c>
      <c r="B51" s="20" t="s">
        <v>99</v>
      </c>
      <c r="C51" s="9" t="s">
        <v>100</v>
      </c>
      <c r="D51" s="105">
        <v>0.35069444444444442</v>
      </c>
      <c r="E51" s="105">
        <v>0.95138888888888884</v>
      </c>
      <c r="F51" s="105">
        <v>0.35347222222222219</v>
      </c>
      <c r="G51" s="105">
        <v>0.94444444444444453</v>
      </c>
      <c r="H51" s="105">
        <v>0.35069444444444442</v>
      </c>
      <c r="I51" s="105">
        <v>0.9</v>
      </c>
      <c r="J51" s="105">
        <v>0.35416666666666669</v>
      </c>
      <c r="K51" s="105">
        <v>0.93472222222222223</v>
      </c>
      <c r="L51" s="105">
        <v>0.35347222222222219</v>
      </c>
      <c r="M51" s="105">
        <v>0.95694444444444438</v>
      </c>
      <c r="N51" s="122" t="s">
        <v>15</v>
      </c>
      <c r="O51" s="122" t="s">
        <v>15</v>
      </c>
      <c r="P51" s="105">
        <v>0.35000000000000003</v>
      </c>
      <c r="Q51" s="105">
        <v>0.94236111111111109</v>
      </c>
      <c r="R51" s="105">
        <v>0.34930555555555554</v>
      </c>
      <c r="S51" s="105">
        <v>0.95694444444444438</v>
      </c>
      <c r="T51" s="105">
        <v>0.35069444444444442</v>
      </c>
      <c r="U51" s="113">
        <v>1</v>
      </c>
      <c r="V51" s="105">
        <v>0.34930555555555554</v>
      </c>
      <c r="W51" s="105">
        <v>0.92708333333333337</v>
      </c>
      <c r="X51" s="105">
        <v>0.35486111111111113</v>
      </c>
      <c r="Y51" s="105">
        <v>0.9472222222222223</v>
      </c>
      <c r="Z51" s="105">
        <v>0.35069444444444442</v>
      </c>
      <c r="AA51" s="105">
        <v>0.95416666666666661</v>
      </c>
      <c r="AB51" s="107">
        <v>0.58194444444444449</v>
      </c>
      <c r="AC51" s="114">
        <v>1</v>
      </c>
      <c r="AD51" s="105">
        <v>0.37222222222222223</v>
      </c>
      <c r="AE51" s="105">
        <v>0.90486111111111101</v>
      </c>
      <c r="AF51" s="105">
        <v>0.34583333333333338</v>
      </c>
      <c r="AG51" s="113">
        <v>1</v>
      </c>
      <c r="AI51" s="18">
        <v>32</v>
      </c>
      <c r="AJ51" s="105">
        <v>0.3520833333333333</v>
      </c>
      <c r="AK51" s="105">
        <v>0.99513888888888891</v>
      </c>
      <c r="AL51" s="105">
        <v>0.35069444444444442</v>
      </c>
      <c r="AM51" s="105">
        <v>3.4722222222222224E-2</v>
      </c>
      <c r="AN51" s="105">
        <v>0.37013888888888885</v>
      </c>
      <c r="AO51" s="105">
        <v>1.2499999999999999E-2</v>
      </c>
      <c r="AP51" s="105">
        <v>0.375</v>
      </c>
      <c r="AQ51" s="105">
        <v>2.0833333333333332E-2</v>
      </c>
      <c r="AR51" s="107">
        <v>0.5805555555555556</v>
      </c>
      <c r="AS51" s="107">
        <v>2.9861111111111113E-2</v>
      </c>
      <c r="AT51" s="105">
        <v>0.37291666666666662</v>
      </c>
      <c r="AU51" s="105">
        <v>3.7499999999999999E-2</v>
      </c>
      <c r="AV51" s="105">
        <v>0.36805555555555558</v>
      </c>
      <c r="AW51" s="113">
        <v>1</v>
      </c>
      <c r="AX51" s="105">
        <v>0.3743055555555555</v>
      </c>
      <c r="AY51" s="105">
        <v>5.2083333333333336E-2</v>
      </c>
      <c r="AZ51" s="105">
        <v>0.37013888888888885</v>
      </c>
      <c r="BA51" s="105">
        <v>3.8194444444444441E-2</v>
      </c>
      <c r="BB51" s="105">
        <v>0.36944444444444446</v>
      </c>
      <c r="BC51" s="105">
        <v>4.4444444444444446E-2</v>
      </c>
      <c r="BD51" s="105">
        <v>0.375</v>
      </c>
      <c r="BE51" s="105">
        <v>4.8611111111111112E-2</v>
      </c>
      <c r="BF51" s="107">
        <v>0.57916666666666672</v>
      </c>
      <c r="BG51" s="107">
        <v>5.8333333333333327E-2</v>
      </c>
      <c r="BH51" s="105">
        <v>0.36944444444444446</v>
      </c>
      <c r="BI51" s="105">
        <v>2.8472222222222222E-2</v>
      </c>
      <c r="BJ51" s="12">
        <f t="shared" si="40"/>
        <v>28</v>
      </c>
      <c r="BK51" s="112">
        <v>3</v>
      </c>
      <c r="BL51" s="2">
        <f t="shared" si="41"/>
        <v>27</v>
      </c>
      <c r="BM51" s="3">
        <f t="shared" si="42"/>
        <v>1</v>
      </c>
      <c r="BN51" s="3">
        <f t="shared" si="43"/>
        <v>0</v>
      </c>
      <c r="BO51" s="3">
        <f t="shared" si="44"/>
        <v>0</v>
      </c>
      <c r="BP51" s="3">
        <f t="shared" si="45"/>
        <v>0</v>
      </c>
      <c r="BQ51" s="3">
        <f t="shared" si="46"/>
        <v>0</v>
      </c>
      <c r="BR51" s="3">
        <f t="shared" si="47"/>
        <v>0</v>
      </c>
      <c r="BS51" s="3">
        <f t="shared" si="48"/>
        <v>0</v>
      </c>
      <c r="BT51" s="3">
        <f t="shared" si="49"/>
        <v>0</v>
      </c>
      <c r="BU51" s="3">
        <f t="shared" si="50"/>
        <v>0</v>
      </c>
      <c r="BV51" s="3">
        <f t="shared" si="51"/>
        <v>0</v>
      </c>
      <c r="BW51" s="3">
        <f t="shared" si="52"/>
        <v>0</v>
      </c>
      <c r="BX51" s="4"/>
      <c r="CB51" s="87">
        <v>0</v>
      </c>
      <c r="CC51" s="87">
        <v>0</v>
      </c>
      <c r="CD51" s="87">
        <v>0</v>
      </c>
      <c r="CE51" s="87">
        <v>0</v>
      </c>
      <c r="CF51" s="87">
        <v>0</v>
      </c>
      <c r="CG51" s="88">
        <v>1</v>
      </c>
      <c r="CH51" s="87">
        <v>0</v>
      </c>
      <c r="CI51" s="88">
        <v>19</v>
      </c>
      <c r="CJ51" s="87">
        <v>0</v>
      </c>
      <c r="CK51" s="87">
        <v>0</v>
      </c>
      <c r="CL51" s="89">
        <f t="shared" si="54"/>
        <v>20</v>
      </c>
    </row>
    <row r="52" spans="1:90" ht="23.25" customHeight="1" x14ac:dyDescent="0.25">
      <c r="A52" s="54">
        <v>33</v>
      </c>
      <c r="B52" s="20" t="s">
        <v>101</v>
      </c>
      <c r="C52" s="9" t="s">
        <v>102</v>
      </c>
      <c r="D52" s="105">
        <v>0.32500000000000001</v>
      </c>
      <c r="E52" s="105">
        <v>0.97152777777777777</v>
      </c>
      <c r="F52" s="105">
        <v>0.32013888888888892</v>
      </c>
      <c r="G52" s="105">
        <v>0.94444444444444453</v>
      </c>
      <c r="H52" s="105">
        <v>0.32361111111111113</v>
      </c>
      <c r="I52" s="105">
        <v>0.94930555555555562</v>
      </c>
      <c r="J52" s="105">
        <v>0.32847222222222222</v>
      </c>
      <c r="K52" s="105">
        <v>0.99097222222222225</v>
      </c>
      <c r="L52" s="105">
        <v>0.32430555555555557</v>
      </c>
      <c r="M52" s="105">
        <v>2.0833333333333333E-3</v>
      </c>
      <c r="N52" s="107">
        <v>0.56458333333333333</v>
      </c>
      <c r="O52" s="107">
        <v>0.95624999999999993</v>
      </c>
      <c r="P52" s="105">
        <v>0.3444444444444445</v>
      </c>
      <c r="Q52" s="113">
        <v>1</v>
      </c>
      <c r="R52" s="105">
        <v>0.35069444444444442</v>
      </c>
      <c r="S52" s="105">
        <v>2.0833333333333333E-3</v>
      </c>
      <c r="T52" s="105">
        <v>0.3430555555555555</v>
      </c>
      <c r="U52" s="105">
        <v>0.93888888888888899</v>
      </c>
      <c r="V52" s="105">
        <v>0.3444444444444445</v>
      </c>
      <c r="W52" s="105">
        <v>0.95694444444444438</v>
      </c>
      <c r="X52" s="105">
        <v>0.34236111111111112</v>
      </c>
      <c r="Y52" s="105">
        <v>0.99930555555555556</v>
      </c>
      <c r="Z52" s="105">
        <v>0.3430555555555555</v>
      </c>
      <c r="AA52" s="105">
        <v>3.472222222222222E-3</v>
      </c>
      <c r="AB52" s="107">
        <v>0.58124999999999993</v>
      </c>
      <c r="AC52" s="107">
        <v>5.5555555555555552E-2</v>
      </c>
      <c r="AD52" s="105">
        <v>0.35138888888888892</v>
      </c>
      <c r="AE52" s="105">
        <v>1.5277777777777777E-2</v>
      </c>
      <c r="AF52" s="105">
        <v>0.35416666666666669</v>
      </c>
      <c r="AG52" s="113">
        <v>1</v>
      </c>
      <c r="AI52" s="18">
        <v>33</v>
      </c>
      <c r="AJ52" s="105">
        <v>0.35486111111111113</v>
      </c>
      <c r="AK52" s="105">
        <v>1.5972222222222224E-2</v>
      </c>
      <c r="AL52" s="105">
        <v>0.35416666666666669</v>
      </c>
      <c r="AM52" s="105">
        <v>2.9861111111111113E-2</v>
      </c>
      <c r="AN52" s="105">
        <v>0.37361111111111112</v>
      </c>
      <c r="AO52" s="105">
        <v>4.7916666666666663E-2</v>
      </c>
      <c r="AP52" s="105">
        <v>0.37361111111111112</v>
      </c>
      <c r="AQ52" s="105">
        <v>4.7916666666666663E-2</v>
      </c>
      <c r="AR52" s="107">
        <v>0.58194444444444449</v>
      </c>
      <c r="AS52" s="107">
        <v>0.10625</v>
      </c>
      <c r="AT52" s="105">
        <v>0.38125000000000003</v>
      </c>
      <c r="AU52" s="105">
        <v>3.1944444444444449E-2</v>
      </c>
      <c r="AV52" s="105">
        <v>0.3743055555555555</v>
      </c>
      <c r="AW52" s="105">
        <v>0.8534722222222223</v>
      </c>
      <c r="AX52" s="105">
        <v>0.37361111111111112</v>
      </c>
      <c r="AY52" s="105">
        <v>0.8534722222222223</v>
      </c>
      <c r="AZ52" s="105">
        <v>0.37777777777777777</v>
      </c>
      <c r="BA52" s="105">
        <v>0.85625000000000007</v>
      </c>
      <c r="BB52" s="105">
        <v>0.38680555555555557</v>
      </c>
      <c r="BC52" s="105">
        <v>4.8611111111111112E-2</v>
      </c>
      <c r="BD52" s="105">
        <v>0.37847222222222227</v>
      </c>
      <c r="BE52" s="105">
        <v>4.3055555555555562E-2</v>
      </c>
      <c r="BF52" s="107">
        <v>0.58124999999999993</v>
      </c>
      <c r="BG52" s="107">
        <v>5.0694444444444452E-2</v>
      </c>
      <c r="BH52" s="105">
        <v>0.3743055555555555</v>
      </c>
      <c r="BI52" s="105">
        <v>5.486111111111111E-2</v>
      </c>
      <c r="BJ52" s="12">
        <f t="shared" si="40"/>
        <v>28</v>
      </c>
      <c r="BK52" s="112">
        <v>4</v>
      </c>
      <c r="BL52" s="2">
        <f t="shared" si="41"/>
        <v>28</v>
      </c>
      <c r="BM52" s="3">
        <f t="shared" si="42"/>
        <v>0</v>
      </c>
      <c r="BN52" s="3">
        <f t="shared" si="43"/>
        <v>0</v>
      </c>
      <c r="BO52" s="3">
        <f t="shared" si="44"/>
        <v>0</v>
      </c>
      <c r="BP52" s="3">
        <f t="shared" si="45"/>
        <v>0</v>
      </c>
      <c r="BQ52" s="3">
        <f t="shared" si="46"/>
        <v>0</v>
      </c>
      <c r="BR52" s="3">
        <f t="shared" si="47"/>
        <v>0</v>
      </c>
      <c r="BS52" s="3">
        <f t="shared" si="48"/>
        <v>0</v>
      </c>
      <c r="BT52" s="3">
        <f t="shared" si="49"/>
        <v>0</v>
      </c>
      <c r="BU52" s="3">
        <f t="shared" si="50"/>
        <v>0</v>
      </c>
      <c r="BV52" s="3">
        <f t="shared" si="51"/>
        <v>0</v>
      </c>
      <c r="BW52" s="3">
        <f t="shared" si="52"/>
        <v>0</v>
      </c>
      <c r="BX52" s="4"/>
      <c r="CB52" s="87">
        <v>0</v>
      </c>
      <c r="CC52" s="87">
        <v>0</v>
      </c>
      <c r="CD52" s="88">
        <v>80</v>
      </c>
      <c r="CE52" s="87">
        <v>0</v>
      </c>
      <c r="CF52" s="87">
        <v>0</v>
      </c>
      <c r="CG52" s="88">
        <v>11</v>
      </c>
      <c r="CH52" s="87">
        <v>0</v>
      </c>
      <c r="CI52" s="87">
        <v>0</v>
      </c>
      <c r="CJ52" s="87">
        <v>0</v>
      </c>
      <c r="CK52" s="87">
        <v>0</v>
      </c>
      <c r="CL52" s="89">
        <f t="shared" si="54"/>
        <v>91</v>
      </c>
    </row>
    <row r="53" spans="1:90" ht="21.75" customHeight="1" x14ac:dyDescent="0.25">
      <c r="A53" s="54">
        <v>34</v>
      </c>
      <c r="B53" s="20" t="s">
        <v>103</v>
      </c>
      <c r="C53" s="9" t="s">
        <v>104</v>
      </c>
      <c r="D53" s="105">
        <v>0.36388888888888887</v>
      </c>
      <c r="E53" s="113">
        <v>1</v>
      </c>
      <c r="F53" s="105">
        <v>0.34652777777777777</v>
      </c>
      <c r="G53" s="113">
        <v>1</v>
      </c>
      <c r="H53" s="105">
        <v>0.33888888888888885</v>
      </c>
      <c r="I53" s="105">
        <v>0.89583333333333337</v>
      </c>
      <c r="J53" s="105">
        <v>0.3354166666666667</v>
      </c>
      <c r="K53" s="113">
        <v>1</v>
      </c>
      <c r="L53" s="105">
        <v>0.35069444444444442</v>
      </c>
      <c r="M53" s="105">
        <v>0.93194444444444446</v>
      </c>
      <c r="N53" s="122" t="s">
        <v>15</v>
      </c>
      <c r="O53" s="122" t="s">
        <v>15</v>
      </c>
      <c r="P53" s="105">
        <v>0.33819444444444446</v>
      </c>
      <c r="Q53" s="113">
        <v>1</v>
      </c>
      <c r="R53" s="105">
        <v>0.33888888888888885</v>
      </c>
      <c r="S53" s="105">
        <v>0.93194444444444446</v>
      </c>
      <c r="T53" s="105">
        <v>0.33194444444444443</v>
      </c>
      <c r="U53" s="113">
        <v>1</v>
      </c>
      <c r="V53" s="105">
        <v>0.33888888888888885</v>
      </c>
      <c r="W53" s="113">
        <v>1</v>
      </c>
      <c r="X53" s="105">
        <v>0.32500000000000001</v>
      </c>
      <c r="Y53" s="113">
        <v>1</v>
      </c>
      <c r="Z53" s="105">
        <v>0.3347222222222222</v>
      </c>
      <c r="AA53" s="113">
        <v>1</v>
      </c>
      <c r="AB53" s="107">
        <v>0.58124999999999993</v>
      </c>
      <c r="AC53" s="114">
        <v>1</v>
      </c>
      <c r="AD53" s="105">
        <v>0.34861111111111115</v>
      </c>
      <c r="AE53" s="105">
        <v>1.3194444444444444E-2</v>
      </c>
      <c r="AF53" s="105">
        <v>0.36249999999999999</v>
      </c>
      <c r="AG53" s="105">
        <v>0.94513888888888886</v>
      </c>
      <c r="AI53" s="18">
        <v>34</v>
      </c>
      <c r="AJ53" s="105">
        <v>0.35486111111111113</v>
      </c>
      <c r="AK53" s="105">
        <v>0.99722222222222223</v>
      </c>
      <c r="AL53" s="105">
        <v>0.36180555555555555</v>
      </c>
      <c r="AM53" s="105">
        <v>9.0277777777777787E-3</v>
      </c>
      <c r="AN53" s="105">
        <v>0.37291666666666662</v>
      </c>
      <c r="AO53" s="105">
        <v>0.94930555555555562</v>
      </c>
      <c r="AP53" s="105">
        <v>0.36944444444444446</v>
      </c>
      <c r="AQ53" s="105">
        <v>0.9472222222222223</v>
      </c>
      <c r="AR53" s="107">
        <v>0.57986111111111105</v>
      </c>
      <c r="AS53" s="107">
        <v>0.98611111111111116</v>
      </c>
      <c r="AT53" s="105">
        <v>0.35138888888888892</v>
      </c>
      <c r="AU53" s="105">
        <v>0.96666666666666667</v>
      </c>
      <c r="AV53" s="105">
        <v>0.36458333333333331</v>
      </c>
      <c r="AW53" s="105">
        <v>0.98263888888888884</v>
      </c>
      <c r="AX53" s="105">
        <v>0.37083333333333335</v>
      </c>
      <c r="AY53" s="113">
        <v>1</v>
      </c>
      <c r="AZ53" s="105">
        <v>0.37222222222222223</v>
      </c>
      <c r="BA53" s="105">
        <v>0.99444444444444446</v>
      </c>
      <c r="BB53" s="105">
        <v>0.35833333333333334</v>
      </c>
      <c r="BC53" s="105">
        <v>0.97986111111111107</v>
      </c>
      <c r="BD53" s="105">
        <v>0.375</v>
      </c>
      <c r="BE53" s="105">
        <v>1.1805555555555555E-2</v>
      </c>
      <c r="BF53" s="107">
        <v>0.57986111111111105</v>
      </c>
      <c r="BG53" s="107">
        <v>0.95624999999999993</v>
      </c>
      <c r="BH53" s="105">
        <v>0.3527777777777778</v>
      </c>
      <c r="BI53" s="105">
        <v>0.98125000000000007</v>
      </c>
      <c r="BJ53" s="12">
        <f t="shared" si="40"/>
        <v>28</v>
      </c>
      <c r="BK53" s="112">
        <v>3</v>
      </c>
      <c r="BL53" s="2">
        <f t="shared" si="41"/>
        <v>27</v>
      </c>
      <c r="BM53" s="3">
        <f t="shared" si="42"/>
        <v>1</v>
      </c>
      <c r="BN53" s="3">
        <f t="shared" si="43"/>
        <v>0</v>
      </c>
      <c r="BO53" s="3">
        <f t="shared" si="44"/>
        <v>0</v>
      </c>
      <c r="BP53" s="3">
        <f t="shared" si="45"/>
        <v>0</v>
      </c>
      <c r="BQ53" s="3">
        <f t="shared" si="46"/>
        <v>0</v>
      </c>
      <c r="BR53" s="3">
        <f t="shared" si="47"/>
        <v>0</v>
      </c>
      <c r="BS53" s="3">
        <f t="shared" si="48"/>
        <v>0</v>
      </c>
      <c r="BT53" s="3">
        <f t="shared" si="49"/>
        <v>0</v>
      </c>
      <c r="BU53" s="3">
        <f t="shared" si="50"/>
        <v>0</v>
      </c>
      <c r="BV53" s="3">
        <f t="shared" si="51"/>
        <v>0</v>
      </c>
      <c r="BW53" s="3">
        <f t="shared" si="52"/>
        <v>0</v>
      </c>
      <c r="BX53" s="4"/>
      <c r="CB53" s="87">
        <v>0</v>
      </c>
      <c r="CC53" s="87">
        <v>0</v>
      </c>
      <c r="CD53" s="87">
        <v>0</v>
      </c>
      <c r="CE53" s="88">
        <v>15</v>
      </c>
      <c r="CF53" s="87">
        <v>0</v>
      </c>
      <c r="CG53" s="88">
        <v>4</v>
      </c>
      <c r="CH53" s="88">
        <v>2</v>
      </c>
      <c r="CI53" s="88">
        <v>1</v>
      </c>
      <c r="CJ53" s="87">
        <v>0</v>
      </c>
      <c r="CK53" s="87">
        <v>0</v>
      </c>
      <c r="CL53" s="89">
        <f t="shared" si="54"/>
        <v>22</v>
      </c>
    </row>
    <row r="54" spans="1:90" ht="21.75" customHeight="1" x14ac:dyDescent="0.25">
      <c r="A54" s="54">
        <v>35</v>
      </c>
      <c r="B54" s="20" t="s">
        <v>105</v>
      </c>
      <c r="C54" s="9" t="s">
        <v>106</v>
      </c>
      <c r="D54" s="105">
        <v>0.32916666666666666</v>
      </c>
      <c r="E54" s="113">
        <v>1</v>
      </c>
      <c r="F54" s="105">
        <v>0.33055555555555555</v>
      </c>
      <c r="G54" s="105">
        <v>0.96666666666666667</v>
      </c>
      <c r="H54" s="105">
        <v>0.40347222222222223</v>
      </c>
      <c r="I54" s="105">
        <v>0.96597222222222223</v>
      </c>
      <c r="J54" s="105">
        <v>0.3263888888888889</v>
      </c>
      <c r="K54" s="113">
        <v>1</v>
      </c>
      <c r="L54" s="105">
        <v>0.40833333333333338</v>
      </c>
      <c r="M54" s="105">
        <v>0.99583333333333324</v>
      </c>
      <c r="N54" s="107">
        <v>0.95763888888888893</v>
      </c>
      <c r="O54" s="114">
        <v>1</v>
      </c>
      <c r="P54" s="105">
        <v>0.43333333333333335</v>
      </c>
      <c r="Q54" s="105">
        <v>0.96319444444444446</v>
      </c>
      <c r="R54" s="105">
        <v>0.32916666666666666</v>
      </c>
      <c r="S54" s="105">
        <v>0.93888888888888899</v>
      </c>
      <c r="T54" s="105">
        <v>0.39861111111111108</v>
      </c>
      <c r="U54" s="105">
        <v>0.91875000000000007</v>
      </c>
      <c r="V54" s="105">
        <v>0.36944444444444446</v>
      </c>
      <c r="W54" s="113">
        <v>1</v>
      </c>
      <c r="X54" s="105">
        <v>0.35555555555555557</v>
      </c>
      <c r="Y54" s="105">
        <v>0.96319444444444446</v>
      </c>
      <c r="Z54" s="105">
        <v>0.36388888888888887</v>
      </c>
      <c r="AA54" s="113">
        <v>1</v>
      </c>
      <c r="AB54" s="107">
        <v>0.58472222222222225</v>
      </c>
      <c r="AC54" s="107">
        <v>0.94166666666666676</v>
      </c>
      <c r="AD54" s="105">
        <v>0.40486111111111112</v>
      </c>
      <c r="AE54" s="105">
        <v>1.3194444444444444E-2</v>
      </c>
      <c r="AF54" s="105">
        <v>0.3527777777777778</v>
      </c>
      <c r="AG54" s="105">
        <v>0.96805555555555556</v>
      </c>
      <c r="AI54" s="18">
        <v>35</v>
      </c>
      <c r="AJ54" s="105">
        <v>0.37152777777777773</v>
      </c>
      <c r="AK54" s="105">
        <v>1.9444444444444445E-2</v>
      </c>
      <c r="AL54" s="105">
        <v>0.35416666666666669</v>
      </c>
      <c r="AM54" s="105">
        <v>2.2222222222222223E-2</v>
      </c>
      <c r="AN54" s="113">
        <v>1</v>
      </c>
      <c r="AO54" s="113">
        <v>1</v>
      </c>
      <c r="AP54" s="105">
        <v>0.36805555555555558</v>
      </c>
      <c r="AQ54" s="105">
        <v>4.7222222222222221E-2</v>
      </c>
      <c r="AR54" s="107">
        <v>0.58194444444444449</v>
      </c>
      <c r="AS54" s="107">
        <v>3.125E-2</v>
      </c>
      <c r="AT54" s="105">
        <v>0.60347222222222219</v>
      </c>
      <c r="AU54" s="105">
        <v>3.8194444444444441E-2</v>
      </c>
      <c r="AV54" s="105">
        <v>0.36527777777777781</v>
      </c>
      <c r="AW54" s="113">
        <v>1</v>
      </c>
      <c r="AX54" s="105">
        <v>0.39583333333333331</v>
      </c>
      <c r="AY54" s="105">
        <v>2.6388888888888889E-2</v>
      </c>
      <c r="AZ54" s="105">
        <v>0.40486111111111112</v>
      </c>
      <c r="BA54" s="105">
        <v>2.361111111111111E-2</v>
      </c>
      <c r="BB54" s="105">
        <v>0.40277777777777773</v>
      </c>
      <c r="BC54" s="105">
        <v>4.0972222222222222E-2</v>
      </c>
      <c r="BD54" s="105">
        <v>0.4069444444444445</v>
      </c>
      <c r="BE54" s="105">
        <v>5.4166666666666669E-2</v>
      </c>
      <c r="BF54" s="107">
        <v>0.5805555555555556</v>
      </c>
      <c r="BG54" s="107">
        <v>5.347222222222222E-2</v>
      </c>
      <c r="BH54" s="113">
        <v>1</v>
      </c>
      <c r="BI54" s="113">
        <v>1</v>
      </c>
      <c r="BJ54" s="12">
        <f t="shared" si="40"/>
        <v>28</v>
      </c>
      <c r="BK54" s="112">
        <v>4</v>
      </c>
      <c r="BL54" s="2">
        <f t="shared" si="41"/>
        <v>28</v>
      </c>
      <c r="BM54" s="3">
        <f t="shared" si="42"/>
        <v>0</v>
      </c>
      <c r="BN54" s="3">
        <f t="shared" si="43"/>
        <v>0</v>
      </c>
      <c r="BO54" s="3">
        <f t="shared" si="44"/>
        <v>0</v>
      </c>
      <c r="BP54" s="3">
        <f t="shared" si="45"/>
        <v>0</v>
      </c>
      <c r="BQ54" s="3">
        <f t="shared" si="46"/>
        <v>0</v>
      </c>
      <c r="BR54" s="3">
        <f t="shared" si="47"/>
        <v>0</v>
      </c>
      <c r="BS54" s="3">
        <f t="shared" si="48"/>
        <v>0</v>
      </c>
      <c r="BT54" s="3">
        <f t="shared" si="49"/>
        <v>0</v>
      </c>
      <c r="BU54" s="3">
        <f t="shared" si="50"/>
        <v>0</v>
      </c>
      <c r="BV54" s="3">
        <f t="shared" si="51"/>
        <v>0</v>
      </c>
      <c r="BW54" s="3">
        <f t="shared" si="52"/>
        <v>0</v>
      </c>
      <c r="BX54" s="4"/>
      <c r="CB54" s="87">
        <v>0</v>
      </c>
      <c r="CC54" s="87">
        <v>0</v>
      </c>
      <c r="CD54" s="87">
        <v>0</v>
      </c>
      <c r="CE54" s="87">
        <v>0</v>
      </c>
      <c r="CF54" s="87">
        <v>0</v>
      </c>
      <c r="CG54" s="88">
        <v>1</v>
      </c>
      <c r="CH54" s="88">
        <v>0</v>
      </c>
      <c r="CI54" s="88">
        <v>3</v>
      </c>
      <c r="CJ54" s="87">
        <v>0</v>
      </c>
      <c r="CK54" s="87">
        <v>0</v>
      </c>
      <c r="CL54" s="89">
        <f t="shared" si="54"/>
        <v>4</v>
      </c>
    </row>
    <row r="55" spans="1:90" ht="21.75" customHeight="1" x14ac:dyDescent="0.25">
      <c r="A55" s="54">
        <v>36</v>
      </c>
      <c r="B55" s="20" t="s">
        <v>107</v>
      </c>
      <c r="C55" s="9" t="s">
        <v>108</v>
      </c>
      <c r="D55" s="105">
        <v>0.35972222222222222</v>
      </c>
      <c r="E55" s="105">
        <v>0.98055555555555562</v>
      </c>
      <c r="F55" s="105">
        <v>0.35625000000000001</v>
      </c>
      <c r="G55" s="105">
        <v>0.9506944444444444</v>
      </c>
      <c r="H55" s="105">
        <v>0.3527777777777778</v>
      </c>
      <c r="I55" s="105">
        <v>0.95833333333333337</v>
      </c>
      <c r="J55" s="105">
        <v>0.35486111111111113</v>
      </c>
      <c r="K55" s="105">
        <v>0.95694444444444438</v>
      </c>
      <c r="L55" s="105">
        <v>0.3743055555555555</v>
      </c>
      <c r="M55" s="105">
        <v>0.95763888888888893</v>
      </c>
      <c r="N55" s="122" t="s">
        <v>15</v>
      </c>
      <c r="O55" s="122" t="s">
        <v>15</v>
      </c>
      <c r="P55" s="105">
        <v>0.35416666666666669</v>
      </c>
      <c r="Q55" s="105">
        <v>0.96597222222222223</v>
      </c>
      <c r="R55" s="105">
        <v>0.35486111111111113</v>
      </c>
      <c r="S55" s="113">
        <v>1</v>
      </c>
      <c r="T55" s="105">
        <v>0.35347222222222219</v>
      </c>
      <c r="U55" s="105">
        <v>0.93958333333333333</v>
      </c>
      <c r="V55" s="105">
        <v>0.35416666666666669</v>
      </c>
      <c r="W55" s="105">
        <v>0.95833333333333337</v>
      </c>
      <c r="X55" s="105">
        <v>0.3520833333333333</v>
      </c>
      <c r="Y55" s="105">
        <v>0.95972222222222225</v>
      </c>
      <c r="Z55" s="105">
        <v>0.35486111111111113</v>
      </c>
      <c r="AA55" s="105">
        <v>0.96805555555555556</v>
      </c>
      <c r="AB55" s="107">
        <v>0.58333333333333337</v>
      </c>
      <c r="AC55" s="107">
        <v>0.99930555555555556</v>
      </c>
      <c r="AD55" s="105">
        <v>0.35416666666666669</v>
      </c>
      <c r="AE55" s="113">
        <v>1</v>
      </c>
      <c r="AF55" s="105">
        <v>0.34930555555555554</v>
      </c>
      <c r="AG55" s="105">
        <v>0.95694444444444438</v>
      </c>
      <c r="AI55" s="18">
        <v>36</v>
      </c>
      <c r="AJ55" s="105">
        <v>0.35694444444444445</v>
      </c>
      <c r="AK55" s="105">
        <v>1.5972222222222224E-2</v>
      </c>
      <c r="AL55" s="105">
        <v>0.36736111111111108</v>
      </c>
      <c r="AM55" s="113">
        <v>1</v>
      </c>
      <c r="AN55" s="105">
        <v>0.3743055555555555</v>
      </c>
      <c r="AO55" s="105">
        <v>4.7222222222222221E-2</v>
      </c>
      <c r="AP55" s="105">
        <v>0.3756944444444445</v>
      </c>
      <c r="AQ55" s="105">
        <v>4.9999999999999996E-2</v>
      </c>
      <c r="AR55" s="107">
        <v>0.58194444444444449</v>
      </c>
      <c r="AS55" s="107">
        <v>6.8749999999999992E-2</v>
      </c>
      <c r="AT55" s="105">
        <v>0.3743055555555555</v>
      </c>
      <c r="AU55" s="105">
        <v>0.85486111111111107</v>
      </c>
      <c r="AV55" s="105">
        <v>0.37916666666666665</v>
      </c>
      <c r="AW55" s="105">
        <v>0.85625000000000007</v>
      </c>
      <c r="AX55" s="105">
        <v>0.38125000000000003</v>
      </c>
      <c r="AY55" s="105">
        <v>6.0416666666666667E-2</v>
      </c>
      <c r="AZ55" s="105">
        <v>0.38055555555555554</v>
      </c>
      <c r="BA55" s="105">
        <v>9.1666666666666674E-2</v>
      </c>
      <c r="BB55" s="105">
        <v>0.37916666666666665</v>
      </c>
      <c r="BC55" s="105">
        <v>5.0694444444444452E-2</v>
      </c>
      <c r="BD55" s="105">
        <v>0.38125000000000003</v>
      </c>
      <c r="BE55" s="105">
        <v>4.3750000000000004E-2</v>
      </c>
      <c r="BF55" s="107">
        <v>0.58263888888888882</v>
      </c>
      <c r="BG55" s="107">
        <v>0.87152777777777779</v>
      </c>
      <c r="BH55" s="105">
        <v>0.4055555555555555</v>
      </c>
      <c r="BI55" s="105">
        <v>6.25E-2</v>
      </c>
      <c r="BJ55" s="12">
        <f t="shared" si="40"/>
        <v>28</v>
      </c>
      <c r="BK55" s="112">
        <v>3</v>
      </c>
      <c r="BL55" s="2">
        <f t="shared" si="41"/>
        <v>27</v>
      </c>
      <c r="BM55" s="3">
        <f t="shared" si="42"/>
        <v>1</v>
      </c>
      <c r="BN55" s="3">
        <f t="shared" si="43"/>
        <v>0</v>
      </c>
      <c r="BO55" s="3">
        <f t="shared" si="44"/>
        <v>0</v>
      </c>
      <c r="BP55" s="3">
        <f t="shared" si="45"/>
        <v>0</v>
      </c>
      <c r="BQ55" s="3">
        <f t="shared" si="46"/>
        <v>0</v>
      </c>
      <c r="BR55" s="3">
        <f t="shared" si="47"/>
        <v>0</v>
      </c>
      <c r="BS55" s="3">
        <f t="shared" si="48"/>
        <v>0</v>
      </c>
      <c r="BT55" s="3">
        <f t="shared" si="49"/>
        <v>0</v>
      </c>
      <c r="BU55" s="3">
        <f t="shared" si="50"/>
        <v>0</v>
      </c>
      <c r="BV55" s="3">
        <f t="shared" si="51"/>
        <v>0</v>
      </c>
      <c r="BW55" s="3">
        <f t="shared" si="52"/>
        <v>0</v>
      </c>
      <c r="BX55" s="4"/>
      <c r="CB55" s="87">
        <v>0</v>
      </c>
      <c r="CC55" s="87">
        <v>0</v>
      </c>
      <c r="CD55" s="87">
        <v>7</v>
      </c>
      <c r="CE55" s="87">
        <v>0</v>
      </c>
      <c r="CF55" s="87">
        <v>0</v>
      </c>
      <c r="CG55" s="87">
        <v>0</v>
      </c>
      <c r="CH55" s="88">
        <v>0</v>
      </c>
      <c r="CI55" s="88">
        <v>0</v>
      </c>
      <c r="CJ55" s="87">
        <v>0</v>
      </c>
      <c r="CK55" s="87">
        <v>0</v>
      </c>
      <c r="CL55" s="89">
        <f t="shared" si="54"/>
        <v>7</v>
      </c>
    </row>
    <row r="56" spans="1:90" ht="21.75" customHeight="1" x14ac:dyDescent="0.25">
      <c r="A56" s="54">
        <v>37</v>
      </c>
      <c r="B56" s="20" t="s">
        <v>109</v>
      </c>
      <c r="C56" s="9" t="s">
        <v>110</v>
      </c>
      <c r="D56" s="105">
        <v>0.3520833333333333</v>
      </c>
      <c r="E56" s="105">
        <v>0.9770833333333333</v>
      </c>
      <c r="F56" s="105">
        <v>0.34861111111111115</v>
      </c>
      <c r="G56" s="105">
        <v>0.95833333333333337</v>
      </c>
      <c r="H56" s="105">
        <v>0.35000000000000003</v>
      </c>
      <c r="I56" s="105">
        <v>0.95763888888888893</v>
      </c>
      <c r="J56" s="105">
        <v>0.35069444444444442</v>
      </c>
      <c r="K56" s="105">
        <v>0.9555555555555556</v>
      </c>
      <c r="L56" s="105">
        <v>0.34791666666666665</v>
      </c>
      <c r="M56" s="105">
        <v>0.97083333333333333</v>
      </c>
      <c r="N56" s="122" t="s">
        <v>15</v>
      </c>
      <c r="O56" s="122" t="s">
        <v>15</v>
      </c>
      <c r="P56" s="105">
        <v>0.3444444444444445</v>
      </c>
      <c r="Q56" s="105">
        <v>0.93680555555555556</v>
      </c>
      <c r="R56" s="105">
        <v>0.34791666666666665</v>
      </c>
      <c r="S56" s="105">
        <v>0.91875000000000007</v>
      </c>
      <c r="T56" s="105">
        <v>0.34722222222222227</v>
      </c>
      <c r="U56" s="105">
        <v>0.93680555555555556</v>
      </c>
      <c r="V56" s="105">
        <v>0.34861111111111115</v>
      </c>
      <c r="W56" s="105">
        <v>0.94374999999999998</v>
      </c>
      <c r="X56" s="105">
        <v>0.34930555555555554</v>
      </c>
      <c r="Y56" s="105">
        <v>0.93958333333333333</v>
      </c>
      <c r="Z56" s="105">
        <v>0.34791666666666665</v>
      </c>
      <c r="AA56" s="105">
        <v>0.94444444444444453</v>
      </c>
      <c r="AB56" s="107">
        <v>0.57708333333333328</v>
      </c>
      <c r="AC56" s="107">
        <v>0.93611111111111101</v>
      </c>
      <c r="AD56" s="105">
        <v>0.35000000000000003</v>
      </c>
      <c r="AE56" s="105">
        <v>1.0416666666666666E-2</v>
      </c>
      <c r="AF56" s="105">
        <v>0.34930555555555554</v>
      </c>
      <c r="AG56" s="105">
        <v>2.0833333333333333E-3</v>
      </c>
      <c r="AI56" s="18">
        <v>37</v>
      </c>
      <c r="AJ56" s="105">
        <v>0.35000000000000003</v>
      </c>
      <c r="AK56" s="105">
        <v>6.9444444444444447E-4</v>
      </c>
      <c r="AL56" s="105">
        <v>0.35138888888888892</v>
      </c>
      <c r="AM56" s="105">
        <v>3.4722222222222224E-2</v>
      </c>
      <c r="AN56" s="105">
        <v>0.37222222222222223</v>
      </c>
      <c r="AO56" s="105">
        <v>3.3333333333333333E-2</v>
      </c>
      <c r="AP56" s="105">
        <v>0.37083333333333335</v>
      </c>
      <c r="AQ56" s="105">
        <v>4.9999999999999996E-2</v>
      </c>
      <c r="AR56" s="107">
        <v>0.57916666666666672</v>
      </c>
      <c r="AS56" s="107">
        <v>3.0555555555555555E-2</v>
      </c>
      <c r="AT56" s="105">
        <v>0.36874999999999997</v>
      </c>
      <c r="AU56" s="105">
        <v>4.4444444444444446E-2</v>
      </c>
      <c r="AV56" s="105">
        <v>0.37013888888888885</v>
      </c>
      <c r="AW56" s="113">
        <v>1</v>
      </c>
      <c r="AX56" s="105">
        <v>0.37013888888888885</v>
      </c>
      <c r="AY56" s="105">
        <v>5.4166666666666669E-2</v>
      </c>
      <c r="AZ56" s="105">
        <v>0.37361111111111112</v>
      </c>
      <c r="BA56" s="105">
        <v>0.85138888888888886</v>
      </c>
      <c r="BB56" s="105">
        <v>0.3743055555555555</v>
      </c>
      <c r="BC56" s="105">
        <v>5.8333333333333327E-2</v>
      </c>
      <c r="BD56" s="105">
        <v>0.375</v>
      </c>
      <c r="BE56" s="105">
        <v>4.3750000000000004E-2</v>
      </c>
      <c r="BF56" s="107">
        <v>0.57916666666666672</v>
      </c>
      <c r="BG56" s="107">
        <v>4.4444444444444446E-2</v>
      </c>
      <c r="BH56" s="105">
        <v>0.3743055555555555</v>
      </c>
      <c r="BI56" s="105">
        <v>5.486111111111111E-2</v>
      </c>
      <c r="BJ56" s="12">
        <f t="shared" si="40"/>
        <v>28</v>
      </c>
      <c r="BK56" s="112">
        <v>3</v>
      </c>
      <c r="BL56" s="2">
        <f t="shared" si="41"/>
        <v>27</v>
      </c>
      <c r="BM56" s="3">
        <f t="shared" si="42"/>
        <v>1</v>
      </c>
      <c r="BN56" s="3">
        <f t="shared" si="43"/>
        <v>0</v>
      </c>
      <c r="BO56" s="3">
        <f t="shared" si="44"/>
        <v>0</v>
      </c>
      <c r="BP56" s="3">
        <f t="shared" si="45"/>
        <v>0</v>
      </c>
      <c r="BQ56" s="3">
        <f t="shared" si="46"/>
        <v>0</v>
      </c>
      <c r="BR56" s="3">
        <f t="shared" si="47"/>
        <v>0</v>
      </c>
      <c r="BS56" s="3">
        <f t="shared" si="48"/>
        <v>0</v>
      </c>
      <c r="BT56" s="3">
        <f t="shared" si="49"/>
        <v>0</v>
      </c>
      <c r="BU56" s="3">
        <f t="shared" si="50"/>
        <v>0</v>
      </c>
      <c r="BV56" s="3">
        <f t="shared" si="51"/>
        <v>0</v>
      </c>
      <c r="BW56" s="3">
        <f t="shared" si="52"/>
        <v>0</v>
      </c>
      <c r="BX56" s="4"/>
      <c r="CB56" s="87">
        <v>0</v>
      </c>
      <c r="CC56" s="87">
        <v>0</v>
      </c>
      <c r="CD56" s="87">
        <v>0</v>
      </c>
      <c r="CE56" s="87">
        <v>0</v>
      </c>
      <c r="CF56" s="87">
        <v>0</v>
      </c>
      <c r="CG56" s="88">
        <v>7</v>
      </c>
      <c r="CH56" s="88">
        <v>0</v>
      </c>
      <c r="CI56" s="88">
        <v>0</v>
      </c>
      <c r="CJ56" s="87">
        <v>0</v>
      </c>
      <c r="CK56" s="87">
        <v>0</v>
      </c>
      <c r="CL56" s="89">
        <f t="shared" si="54"/>
        <v>7</v>
      </c>
    </row>
    <row r="57" spans="1:90" ht="21.75" customHeight="1" x14ac:dyDescent="0.25">
      <c r="A57" s="54">
        <v>38</v>
      </c>
      <c r="B57" s="54" t="s">
        <v>111</v>
      </c>
      <c r="C57" s="9" t="s">
        <v>112</v>
      </c>
      <c r="D57" s="105">
        <v>0.35416666666666669</v>
      </c>
      <c r="E57" s="105">
        <v>0.97986111111111107</v>
      </c>
      <c r="F57" s="105">
        <v>0.3520833333333333</v>
      </c>
      <c r="G57" s="105">
        <v>0.9590277777777777</v>
      </c>
      <c r="H57" s="105">
        <v>0.35000000000000003</v>
      </c>
      <c r="I57" s="105">
        <v>0.95972222222222225</v>
      </c>
      <c r="J57" s="105">
        <v>0.3520833333333333</v>
      </c>
      <c r="K57" s="105">
        <v>0.96180555555555547</v>
      </c>
      <c r="L57" s="105">
        <v>0.35416666666666669</v>
      </c>
      <c r="M57" s="105">
        <v>0.96736111111111101</v>
      </c>
      <c r="N57" s="107">
        <v>0.57708333333333328</v>
      </c>
      <c r="O57" s="107">
        <v>0.96944444444444444</v>
      </c>
      <c r="P57" s="105">
        <v>0.3520833333333333</v>
      </c>
      <c r="Q57" s="105">
        <v>0.96250000000000002</v>
      </c>
      <c r="R57" s="105">
        <v>0.35347222222222219</v>
      </c>
      <c r="S57" s="105">
        <v>0.96944444444444444</v>
      </c>
      <c r="T57" s="105">
        <v>0.35069444444444442</v>
      </c>
      <c r="U57" s="105">
        <v>0.93819444444444444</v>
      </c>
      <c r="V57" s="105">
        <v>0.3520833333333333</v>
      </c>
      <c r="W57" s="105">
        <v>0.9590277777777777</v>
      </c>
      <c r="X57" s="105">
        <v>0.35347222222222219</v>
      </c>
      <c r="Y57" s="105">
        <v>0.96180555555555547</v>
      </c>
      <c r="Z57" s="105">
        <v>0.3527777777777778</v>
      </c>
      <c r="AA57" s="105">
        <v>0.9819444444444444</v>
      </c>
      <c r="AB57" s="107">
        <v>0.57916666666666672</v>
      </c>
      <c r="AC57" s="107">
        <v>0.98125000000000007</v>
      </c>
      <c r="AD57" s="105">
        <v>0.35347222222222219</v>
      </c>
      <c r="AE57" s="105">
        <v>2.2916666666666669E-2</v>
      </c>
      <c r="AF57" s="105">
        <v>0.3527777777777778</v>
      </c>
      <c r="AG57" s="105">
        <v>0.93194444444444446</v>
      </c>
      <c r="AI57" s="18">
        <v>38</v>
      </c>
      <c r="AJ57" s="105">
        <v>0.35347222222222219</v>
      </c>
      <c r="AK57" s="105">
        <v>3.472222222222222E-3</v>
      </c>
      <c r="AL57" s="105">
        <v>0.35138888888888892</v>
      </c>
      <c r="AM57" s="105">
        <v>1.6666666666666666E-2</v>
      </c>
      <c r="AN57" s="105">
        <v>0.37291666666666662</v>
      </c>
      <c r="AO57" s="105">
        <v>4.3055555555555562E-2</v>
      </c>
      <c r="AP57" s="105">
        <v>0.3743055555555555</v>
      </c>
      <c r="AQ57" s="105">
        <v>4.4444444444444446E-2</v>
      </c>
      <c r="AR57" s="107">
        <v>0.56180555555555556</v>
      </c>
      <c r="AS57" s="107">
        <v>0.10555555555555556</v>
      </c>
      <c r="AT57" s="105">
        <v>0.37361111111111112</v>
      </c>
      <c r="AU57" s="113">
        <v>1</v>
      </c>
      <c r="AV57" s="105">
        <v>0.37986111111111115</v>
      </c>
      <c r="AW57" s="105">
        <v>0.37986111111111115</v>
      </c>
      <c r="AX57" s="105">
        <v>0.37638888888888888</v>
      </c>
      <c r="AY57" s="105">
        <v>8.4722222222222213E-2</v>
      </c>
      <c r="AZ57" s="105">
        <v>0.37222222222222223</v>
      </c>
      <c r="BA57" s="105">
        <v>0.37222222222222223</v>
      </c>
      <c r="BB57" s="105">
        <v>0.38611111111111113</v>
      </c>
      <c r="BC57" s="105">
        <v>4.9999999999999996E-2</v>
      </c>
      <c r="BD57" s="105">
        <v>0.37916666666666665</v>
      </c>
      <c r="BE57" s="105">
        <v>4.3750000000000004E-2</v>
      </c>
      <c r="BF57" s="107">
        <v>0.58124999999999993</v>
      </c>
      <c r="BG57" s="107">
        <v>5.0694444444444452E-2</v>
      </c>
      <c r="BH57" s="105">
        <v>0.37638888888888888</v>
      </c>
      <c r="BI57" s="105">
        <v>6.805555555555555E-2</v>
      </c>
      <c r="BJ57" s="12">
        <f t="shared" si="40"/>
        <v>28</v>
      </c>
      <c r="BK57" s="112">
        <v>4</v>
      </c>
      <c r="BL57" s="2">
        <f t="shared" si="41"/>
        <v>28</v>
      </c>
      <c r="BM57" s="3">
        <f t="shared" si="42"/>
        <v>0</v>
      </c>
      <c r="BN57" s="3">
        <f t="shared" si="43"/>
        <v>0</v>
      </c>
      <c r="BO57" s="3">
        <f t="shared" si="44"/>
        <v>0</v>
      </c>
      <c r="BP57" s="3">
        <f t="shared" si="45"/>
        <v>0</v>
      </c>
      <c r="BQ57" s="3">
        <f t="shared" si="46"/>
        <v>0</v>
      </c>
      <c r="BR57" s="3">
        <f t="shared" si="47"/>
        <v>0</v>
      </c>
      <c r="BS57" s="3">
        <f t="shared" si="48"/>
        <v>0</v>
      </c>
      <c r="BT57" s="3">
        <f t="shared" si="49"/>
        <v>0</v>
      </c>
      <c r="BU57" s="3">
        <f t="shared" si="50"/>
        <v>0</v>
      </c>
      <c r="BV57" s="3">
        <f t="shared" si="51"/>
        <v>0</v>
      </c>
      <c r="BW57" s="3">
        <f t="shared" si="52"/>
        <v>0</v>
      </c>
      <c r="BX57" s="4"/>
      <c r="CB57" s="87">
        <v>0</v>
      </c>
      <c r="CC57" s="87">
        <v>0</v>
      </c>
      <c r="CD57" s="88">
        <v>14</v>
      </c>
      <c r="CE57" s="87">
        <v>0</v>
      </c>
      <c r="CF57" s="87">
        <v>0</v>
      </c>
      <c r="CG57" s="88">
        <v>1</v>
      </c>
      <c r="CH57" s="88">
        <v>0</v>
      </c>
      <c r="CI57" s="87">
        <v>0</v>
      </c>
      <c r="CJ57" s="87">
        <v>0</v>
      </c>
      <c r="CK57" s="87">
        <v>0</v>
      </c>
      <c r="CL57" s="89">
        <f t="shared" si="54"/>
        <v>15</v>
      </c>
    </row>
    <row r="58" spans="1:90" ht="21.75" customHeight="1" x14ac:dyDescent="0.25">
      <c r="A58" s="54">
        <v>39</v>
      </c>
      <c r="B58" s="20" t="s">
        <v>113</v>
      </c>
      <c r="C58" s="9" t="s">
        <v>114</v>
      </c>
      <c r="D58" s="105">
        <v>0.34930555555555554</v>
      </c>
      <c r="E58" s="105">
        <v>0.97916666666666663</v>
      </c>
      <c r="F58" s="105">
        <v>0.3430555555555555</v>
      </c>
      <c r="G58" s="105">
        <v>0.95833333333333337</v>
      </c>
      <c r="H58" s="121" t="s">
        <v>195</v>
      </c>
      <c r="I58" s="121" t="s">
        <v>195</v>
      </c>
      <c r="J58" s="105">
        <v>0.34097222222222223</v>
      </c>
      <c r="K58" s="105">
        <v>0.98611111111111116</v>
      </c>
      <c r="L58" s="105">
        <v>0.35000000000000003</v>
      </c>
      <c r="M58" s="105">
        <v>2.2222222222222223E-2</v>
      </c>
      <c r="N58" s="107">
        <v>0.57708333333333328</v>
      </c>
      <c r="O58" s="107">
        <v>0.95833333333333337</v>
      </c>
      <c r="P58" s="105">
        <v>0.34513888888888888</v>
      </c>
      <c r="Q58" s="105">
        <v>2.4999999999999998E-2</v>
      </c>
      <c r="R58" s="105">
        <v>0.34513888888888888</v>
      </c>
      <c r="S58" s="105">
        <v>0.96875</v>
      </c>
      <c r="T58" s="105">
        <v>0.34513888888888888</v>
      </c>
      <c r="U58" s="105">
        <v>0.93333333333333324</v>
      </c>
      <c r="V58" s="105">
        <v>0.34652777777777777</v>
      </c>
      <c r="W58" s="105">
        <v>0.95833333333333337</v>
      </c>
      <c r="X58" s="105">
        <v>0.35000000000000003</v>
      </c>
      <c r="Y58" s="105">
        <v>0.99930555555555556</v>
      </c>
      <c r="Z58" s="105">
        <v>0.34375</v>
      </c>
      <c r="AA58" s="105">
        <v>4.8611111111111112E-3</v>
      </c>
      <c r="AB58" s="107">
        <v>0.5805555555555556</v>
      </c>
      <c r="AC58" s="107">
        <v>5.486111111111111E-2</v>
      </c>
      <c r="AD58" s="105">
        <v>0.3520833333333333</v>
      </c>
      <c r="AE58" s="105">
        <v>4.1666666666666666E-3</v>
      </c>
      <c r="AF58" s="105">
        <v>0.35000000000000003</v>
      </c>
      <c r="AG58" s="105">
        <v>0.99583333333333324</v>
      </c>
      <c r="AI58" s="18">
        <v>39</v>
      </c>
      <c r="AJ58" s="105">
        <v>0.35069444444444442</v>
      </c>
      <c r="AK58" s="105">
        <v>4.1666666666666664E-2</v>
      </c>
      <c r="AL58" s="105">
        <v>0.35138888888888892</v>
      </c>
      <c r="AM58" s="105">
        <v>6.6666666666666666E-2</v>
      </c>
      <c r="AN58" s="105">
        <v>0.37222222222222223</v>
      </c>
      <c r="AO58" s="105">
        <v>4.8611111111111112E-2</v>
      </c>
      <c r="AP58" s="105">
        <v>0.37291666666666662</v>
      </c>
      <c r="AQ58" s="105">
        <v>4.9305555555555554E-2</v>
      </c>
      <c r="AR58" s="107">
        <v>0.57916666666666672</v>
      </c>
      <c r="AS58" s="107">
        <v>0.10555555555555556</v>
      </c>
      <c r="AT58" s="105">
        <v>0.37222222222222223</v>
      </c>
      <c r="AU58" s="105">
        <v>0.37222222222222223</v>
      </c>
      <c r="AV58" s="105">
        <v>0.37291666666666662</v>
      </c>
      <c r="AW58" s="105">
        <v>0.37291666666666662</v>
      </c>
      <c r="AX58" s="105">
        <v>0.37361111111111112</v>
      </c>
      <c r="AY58" s="105">
        <v>4.4444444444444446E-2</v>
      </c>
      <c r="AZ58" s="105">
        <v>0.37152777777777773</v>
      </c>
      <c r="BA58" s="105">
        <v>0.37152777777777773</v>
      </c>
      <c r="BB58" s="105">
        <v>0.37291666666666662</v>
      </c>
      <c r="BC58" s="105">
        <v>4.8611111111111112E-2</v>
      </c>
      <c r="BD58" s="105">
        <v>0.37361111111111112</v>
      </c>
      <c r="BE58" s="105">
        <v>4.3055555555555562E-2</v>
      </c>
      <c r="BF58" s="107">
        <v>0.57847222222222217</v>
      </c>
      <c r="BG58" s="107">
        <v>4.9999999999999996E-2</v>
      </c>
      <c r="BH58" s="105">
        <v>0.37222222222222223</v>
      </c>
      <c r="BI58" s="105">
        <v>7.013888888888889E-2</v>
      </c>
      <c r="BJ58" s="12">
        <f t="shared" si="40"/>
        <v>28</v>
      </c>
      <c r="BK58" s="112">
        <v>4</v>
      </c>
      <c r="BL58" s="2">
        <f t="shared" si="41"/>
        <v>27</v>
      </c>
      <c r="BM58" s="3">
        <f t="shared" si="42"/>
        <v>0</v>
      </c>
      <c r="BN58" s="3">
        <f t="shared" si="43"/>
        <v>0</v>
      </c>
      <c r="BO58" s="3">
        <f t="shared" si="44"/>
        <v>0</v>
      </c>
      <c r="BP58" s="3">
        <f t="shared" si="45"/>
        <v>0</v>
      </c>
      <c r="BQ58" s="3">
        <f t="shared" si="46"/>
        <v>0</v>
      </c>
      <c r="BR58" s="3">
        <f t="shared" si="47"/>
        <v>0</v>
      </c>
      <c r="BS58" s="3">
        <f t="shared" si="48"/>
        <v>1</v>
      </c>
      <c r="BT58" s="3">
        <f t="shared" si="49"/>
        <v>0</v>
      </c>
      <c r="BU58" s="3">
        <f t="shared" si="50"/>
        <v>0</v>
      </c>
      <c r="BV58" s="3">
        <f t="shared" si="51"/>
        <v>0</v>
      </c>
      <c r="BW58" s="3">
        <f t="shared" si="52"/>
        <v>0</v>
      </c>
      <c r="BX58" s="4"/>
      <c r="CB58" s="87">
        <v>0</v>
      </c>
      <c r="CC58" s="87">
        <v>0</v>
      </c>
      <c r="CD58" s="87">
        <v>0</v>
      </c>
      <c r="CE58" s="88">
        <v>8</v>
      </c>
      <c r="CF58" s="87">
        <v>0</v>
      </c>
      <c r="CG58" s="88">
        <v>3</v>
      </c>
      <c r="CH58" s="88">
        <v>0</v>
      </c>
      <c r="CI58" s="88">
        <v>4</v>
      </c>
      <c r="CJ58" s="87">
        <v>0</v>
      </c>
      <c r="CK58" s="87">
        <v>0</v>
      </c>
      <c r="CL58" s="89">
        <f t="shared" si="54"/>
        <v>15</v>
      </c>
    </row>
    <row r="59" spans="1:90" ht="21.75" customHeight="1" x14ac:dyDescent="0.25">
      <c r="A59" s="54">
        <v>40</v>
      </c>
      <c r="B59" s="20" t="s">
        <v>115</v>
      </c>
      <c r="C59" s="9" t="s">
        <v>116</v>
      </c>
      <c r="D59" s="105">
        <v>0.35486111111111113</v>
      </c>
      <c r="E59" s="113">
        <v>1</v>
      </c>
      <c r="F59" s="105">
        <v>0.41666666666666669</v>
      </c>
      <c r="G59" s="113">
        <v>1</v>
      </c>
      <c r="H59" s="105">
        <v>0.35347222222222219</v>
      </c>
      <c r="I59" s="105">
        <v>0.91736111111111107</v>
      </c>
      <c r="J59" s="105">
        <v>0.35138888888888892</v>
      </c>
      <c r="K59" s="105">
        <v>0.96180555555555547</v>
      </c>
      <c r="L59" s="105">
        <v>0.35416666666666669</v>
      </c>
      <c r="M59" s="105">
        <v>2.7777777777777776E-2</v>
      </c>
      <c r="N59" s="107">
        <v>0.57916666666666672</v>
      </c>
      <c r="O59" s="107">
        <v>0.93194444444444446</v>
      </c>
      <c r="P59" s="105">
        <v>0.34930555555555554</v>
      </c>
      <c r="Q59" s="105">
        <v>2.1527777777777781E-2</v>
      </c>
      <c r="R59" s="105">
        <v>0.35833333333333334</v>
      </c>
      <c r="S59" s="105">
        <v>0.95833333333333337</v>
      </c>
      <c r="T59" s="105">
        <v>0.35347222222222219</v>
      </c>
      <c r="U59" s="105">
        <v>0.93263888888888891</v>
      </c>
      <c r="V59" s="105">
        <v>0.3527777777777778</v>
      </c>
      <c r="W59" s="105">
        <v>0.95833333333333337</v>
      </c>
      <c r="X59" s="105">
        <v>0.35416666666666669</v>
      </c>
      <c r="Y59" s="105">
        <v>0.95000000000000007</v>
      </c>
      <c r="Z59" s="105">
        <v>0.3527777777777778</v>
      </c>
      <c r="AA59" s="105">
        <v>0.97986111111111107</v>
      </c>
      <c r="AB59" s="107">
        <v>0.57777777777777783</v>
      </c>
      <c r="AC59" s="107">
        <v>2.361111111111111E-2</v>
      </c>
      <c r="AD59" s="105">
        <v>0.3576388888888889</v>
      </c>
      <c r="AE59" s="105">
        <v>6.2499999999999995E-3</v>
      </c>
      <c r="AF59" s="105">
        <v>0.35555555555555557</v>
      </c>
      <c r="AG59" s="105">
        <v>0.95763888888888893</v>
      </c>
      <c r="AI59" s="18">
        <v>40</v>
      </c>
      <c r="AJ59" s="105">
        <v>0.3576388888888889</v>
      </c>
      <c r="AK59" s="105">
        <v>0.98472222222222217</v>
      </c>
      <c r="AL59" s="105">
        <v>0.35486111111111113</v>
      </c>
      <c r="AM59" s="105">
        <v>1.5972222222222224E-2</v>
      </c>
      <c r="AN59" s="105">
        <v>0.37916666666666665</v>
      </c>
      <c r="AO59" s="105">
        <v>3.6805555555555557E-2</v>
      </c>
      <c r="AP59" s="105">
        <v>0.37708333333333338</v>
      </c>
      <c r="AQ59" s="105">
        <v>4.3750000000000004E-2</v>
      </c>
      <c r="AR59" s="107">
        <v>0.56111111111111112</v>
      </c>
      <c r="AS59" s="107">
        <v>6.6666666666666666E-2</v>
      </c>
      <c r="AT59" s="105">
        <v>0.37638888888888888</v>
      </c>
      <c r="AU59" s="105">
        <v>4.3055555555555562E-2</v>
      </c>
      <c r="AV59" s="105">
        <v>0.38263888888888892</v>
      </c>
      <c r="AW59" s="105">
        <v>1.5972222222222224E-2</v>
      </c>
      <c r="AX59" s="105">
        <v>0.37916666666666665</v>
      </c>
      <c r="AY59" s="105">
        <v>7.5694444444444439E-2</v>
      </c>
      <c r="AZ59" s="105">
        <v>0.37777777777777777</v>
      </c>
      <c r="BA59" s="105">
        <v>8.6111111111111124E-2</v>
      </c>
      <c r="BB59" s="105">
        <v>0.38611111111111113</v>
      </c>
      <c r="BC59" s="105">
        <v>4.8611111111111112E-2</v>
      </c>
      <c r="BD59" s="105">
        <v>0.38263888888888892</v>
      </c>
      <c r="BE59" s="105">
        <v>4.4444444444444446E-2</v>
      </c>
      <c r="BF59" s="107">
        <v>0.58194444444444449</v>
      </c>
      <c r="BG59" s="107">
        <v>4.4444444444444446E-2</v>
      </c>
      <c r="BH59" s="105">
        <v>0.37847222222222227</v>
      </c>
      <c r="BI59" s="105">
        <v>7.013888888888889E-2</v>
      </c>
      <c r="BJ59" s="12">
        <f t="shared" si="40"/>
        <v>28</v>
      </c>
      <c r="BK59" s="112">
        <v>4</v>
      </c>
      <c r="BL59" s="2">
        <f t="shared" si="41"/>
        <v>28</v>
      </c>
      <c r="BM59" s="3">
        <f t="shared" si="42"/>
        <v>0</v>
      </c>
      <c r="BN59" s="3">
        <f t="shared" si="43"/>
        <v>0</v>
      </c>
      <c r="BO59" s="3">
        <f t="shared" si="44"/>
        <v>0</v>
      </c>
      <c r="BP59" s="3">
        <f t="shared" si="45"/>
        <v>0</v>
      </c>
      <c r="BQ59" s="3">
        <f t="shared" si="46"/>
        <v>0</v>
      </c>
      <c r="BR59" s="3">
        <f t="shared" si="47"/>
        <v>0</v>
      </c>
      <c r="BS59" s="3">
        <f t="shared" si="48"/>
        <v>0</v>
      </c>
      <c r="BT59" s="3">
        <f t="shared" si="49"/>
        <v>0</v>
      </c>
      <c r="BU59" s="3">
        <f t="shared" si="50"/>
        <v>0</v>
      </c>
      <c r="BV59" s="3">
        <f t="shared" si="51"/>
        <v>0</v>
      </c>
      <c r="BW59" s="3">
        <f t="shared" si="52"/>
        <v>0</v>
      </c>
      <c r="BX59" s="4"/>
      <c r="CB59" s="87">
        <v>0</v>
      </c>
      <c r="CC59" s="87">
        <v>0</v>
      </c>
      <c r="CD59" s="87">
        <v>0</v>
      </c>
      <c r="CE59" s="87">
        <v>0</v>
      </c>
      <c r="CF59" s="87">
        <v>0</v>
      </c>
      <c r="CG59" s="88">
        <v>1</v>
      </c>
      <c r="CH59" s="88">
        <v>0</v>
      </c>
      <c r="CI59" s="88">
        <v>0</v>
      </c>
      <c r="CJ59" s="87">
        <v>0</v>
      </c>
      <c r="CK59" s="87">
        <v>0</v>
      </c>
      <c r="CL59" s="89">
        <f t="shared" si="54"/>
        <v>1</v>
      </c>
    </row>
    <row r="60" spans="1:90" ht="21.75" customHeight="1" x14ac:dyDescent="0.25">
      <c r="A60" s="54">
        <v>41</v>
      </c>
      <c r="B60" s="20" t="s">
        <v>117</v>
      </c>
      <c r="C60" s="9" t="s">
        <v>204</v>
      </c>
      <c r="D60" s="105">
        <v>0.35347222222222219</v>
      </c>
      <c r="E60" s="105">
        <v>0.95972222222222225</v>
      </c>
      <c r="F60" s="105">
        <v>0.3527777777777778</v>
      </c>
      <c r="G60" s="105">
        <v>0.90833333333333333</v>
      </c>
      <c r="H60" s="105">
        <v>0.3527777777777778</v>
      </c>
      <c r="I60" s="105">
        <v>0.92847222222222225</v>
      </c>
      <c r="J60" s="105">
        <v>0.35486111111111113</v>
      </c>
      <c r="K60" s="105">
        <v>0.90972222222222221</v>
      </c>
      <c r="L60" s="105">
        <v>0.35347222222222219</v>
      </c>
      <c r="M60" s="105">
        <v>0.91666666666666663</v>
      </c>
      <c r="N60" s="122" t="s">
        <v>15</v>
      </c>
      <c r="O60" s="122" t="s">
        <v>15</v>
      </c>
      <c r="P60" s="105">
        <v>0.35347222222222219</v>
      </c>
      <c r="Q60" s="105">
        <v>0.93611111111111101</v>
      </c>
      <c r="R60" s="105">
        <v>0.3527777777777778</v>
      </c>
      <c r="S60" s="105">
        <v>0.96736111111111101</v>
      </c>
      <c r="T60" s="105">
        <v>0.35347222222222219</v>
      </c>
      <c r="U60" s="105">
        <v>0.89722222222222225</v>
      </c>
      <c r="V60" s="105">
        <v>0.3527777777777778</v>
      </c>
      <c r="W60" s="105">
        <v>0.9243055555555556</v>
      </c>
      <c r="X60" s="105">
        <v>0.35347222222222219</v>
      </c>
      <c r="Y60" s="105">
        <v>0.9902777777777777</v>
      </c>
      <c r="Z60" s="105">
        <v>0.3527777777777778</v>
      </c>
      <c r="AA60" s="105">
        <v>0.91736111111111107</v>
      </c>
      <c r="AB60" s="107">
        <v>0.58124999999999993</v>
      </c>
      <c r="AC60" s="107">
        <v>0.90416666666666667</v>
      </c>
      <c r="AD60" s="105">
        <v>0.35347222222222219</v>
      </c>
      <c r="AE60" s="105">
        <v>0.9277777777777777</v>
      </c>
      <c r="AF60" s="105">
        <v>0.35347222222222219</v>
      </c>
      <c r="AG60" s="105">
        <v>0.97083333333333333</v>
      </c>
      <c r="AI60" s="18">
        <v>41</v>
      </c>
      <c r="AJ60" s="105">
        <v>0.35347222222222219</v>
      </c>
      <c r="AK60" s="105">
        <v>0.9916666666666667</v>
      </c>
      <c r="AL60" s="105">
        <v>0.35347222222222219</v>
      </c>
      <c r="AM60" s="105">
        <v>4.3055555555555562E-2</v>
      </c>
      <c r="AN60" s="105">
        <v>0.37638888888888888</v>
      </c>
      <c r="AO60" s="105">
        <v>2.7777777777777776E-2</v>
      </c>
      <c r="AP60" s="105">
        <v>0.3756944444444445</v>
      </c>
      <c r="AQ60" s="105">
        <v>2.2916666666666669E-2</v>
      </c>
      <c r="AR60" s="107">
        <v>0.58124999999999993</v>
      </c>
      <c r="AS60" s="107">
        <v>2.4305555555555556E-2</v>
      </c>
      <c r="AT60" s="105">
        <v>0.37916666666666665</v>
      </c>
      <c r="AU60" s="105">
        <v>4.8611111111111112E-2</v>
      </c>
      <c r="AV60" s="105">
        <v>0.37916666666666665</v>
      </c>
      <c r="AW60" s="105">
        <v>2.4305555555555556E-2</v>
      </c>
      <c r="AX60" s="105">
        <v>0.37847222222222227</v>
      </c>
      <c r="AY60" s="105">
        <v>5.7638888888888885E-2</v>
      </c>
      <c r="AZ60" s="105">
        <v>0.37916666666666665</v>
      </c>
      <c r="BA60" s="105">
        <v>4.5833333333333337E-2</v>
      </c>
      <c r="BB60" s="105">
        <v>0.3833333333333333</v>
      </c>
      <c r="BC60" s="105">
        <v>7.2916666666666671E-2</v>
      </c>
      <c r="BD60" s="105">
        <v>0.38125000000000003</v>
      </c>
      <c r="BE60" s="105">
        <v>5.2777777777777778E-2</v>
      </c>
      <c r="BF60" s="107">
        <v>0.58194444444444449</v>
      </c>
      <c r="BG60" s="107">
        <v>5.0694444444444452E-2</v>
      </c>
      <c r="BH60" s="132" t="s">
        <v>23</v>
      </c>
      <c r="BI60" s="132" t="s">
        <v>23</v>
      </c>
      <c r="BJ60" s="12">
        <f t="shared" si="40"/>
        <v>27</v>
      </c>
      <c r="BK60" s="112">
        <v>3</v>
      </c>
      <c r="BL60" s="2">
        <f t="shared" si="41"/>
        <v>26</v>
      </c>
      <c r="BM60" s="3">
        <f t="shared" si="42"/>
        <v>1</v>
      </c>
      <c r="BN60" s="3">
        <f t="shared" si="43"/>
        <v>0</v>
      </c>
      <c r="BO60" s="3">
        <f t="shared" si="44"/>
        <v>0</v>
      </c>
      <c r="BP60" s="3">
        <f t="shared" si="45"/>
        <v>0</v>
      </c>
      <c r="BQ60" s="3">
        <f t="shared" si="46"/>
        <v>0</v>
      </c>
      <c r="BR60" s="3">
        <f t="shared" si="47"/>
        <v>0</v>
      </c>
      <c r="BS60" s="3">
        <f t="shared" si="48"/>
        <v>0</v>
      </c>
      <c r="BT60" s="3">
        <f t="shared" si="49"/>
        <v>0</v>
      </c>
      <c r="BU60" s="3">
        <f t="shared" si="50"/>
        <v>1</v>
      </c>
      <c r="BV60" s="3">
        <f t="shared" si="51"/>
        <v>0</v>
      </c>
      <c r="BW60" s="3">
        <f t="shared" si="52"/>
        <v>0</v>
      </c>
      <c r="BX60" s="4"/>
      <c r="CB60" s="87">
        <v>0</v>
      </c>
      <c r="CC60" s="87">
        <v>0</v>
      </c>
      <c r="CD60" s="87">
        <v>0</v>
      </c>
      <c r="CE60" s="87">
        <v>0</v>
      </c>
      <c r="CF60" s="87">
        <v>0</v>
      </c>
      <c r="CG60" s="88">
        <v>1</v>
      </c>
      <c r="CH60" s="88">
        <v>0</v>
      </c>
      <c r="CI60" s="88">
        <v>0</v>
      </c>
      <c r="CJ60" s="87">
        <v>0</v>
      </c>
      <c r="CK60" s="87">
        <v>0</v>
      </c>
      <c r="CL60" s="89">
        <f t="shared" si="54"/>
        <v>1</v>
      </c>
    </row>
    <row r="61" spans="1:90" ht="21.75" customHeight="1" x14ac:dyDescent="0.25">
      <c r="A61" s="54">
        <v>42</v>
      </c>
      <c r="B61" s="20" t="s">
        <v>118</v>
      </c>
      <c r="C61" s="9" t="s">
        <v>119</v>
      </c>
      <c r="D61" s="105">
        <v>0.35416666666666669</v>
      </c>
      <c r="E61" s="105">
        <v>0.97916666666666663</v>
      </c>
      <c r="F61" s="105">
        <v>0.35000000000000003</v>
      </c>
      <c r="G61" s="105">
        <v>0.95833333333333337</v>
      </c>
      <c r="H61" s="105">
        <v>0.35069444444444442</v>
      </c>
      <c r="I61" s="105">
        <v>0.95833333333333337</v>
      </c>
      <c r="J61" s="105">
        <v>0.3520833333333333</v>
      </c>
      <c r="K61" s="105">
        <v>0.98611111111111116</v>
      </c>
      <c r="L61" s="105">
        <v>0.3527777777777778</v>
      </c>
      <c r="M61" s="105">
        <v>2.0833333333333332E-2</v>
      </c>
      <c r="N61" s="107">
        <v>0.58124999999999993</v>
      </c>
      <c r="O61" s="107">
        <v>0.95833333333333337</v>
      </c>
      <c r="P61" s="105">
        <v>0.35138888888888892</v>
      </c>
      <c r="Q61" s="105">
        <v>0.97916666666666663</v>
      </c>
      <c r="R61" s="105">
        <v>0.3520833333333333</v>
      </c>
      <c r="S61" s="105">
        <v>0.96875</v>
      </c>
      <c r="T61" s="105">
        <v>0.34861111111111115</v>
      </c>
      <c r="U61" s="105">
        <v>0.93819444444444444</v>
      </c>
      <c r="V61" s="105">
        <v>0.35000000000000003</v>
      </c>
      <c r="W61" s="105">
        <v>0.95833333333333337</v>
      </c>
      <c r="X61" s="105">
        <v>0.3520833333333333</v>
      </c>
      <c r="Y61" s="105">
        <v>0.97916666666666663</v>
      </c>
      <c r="Z61" s="105">
        <v>0.3520833333333333</v>
      </c>
      <c r="AA61" s="105">
        <v>4.8611111111111112E-3</v>
      </c>
      <c r="AB61" s="107">
        <v>0.58124999999999993</v>
      </c>
      <c r="AC61" s="107">
        <v>5.5555555555555552E-2</v>
      </c>
      <c r="AD61" s="105">
        <v>0.35416666666666669</v>
      </c>
      <c r="AE61" s="105">
        <v>2.1527777777777781E-2</v>
      </c>
      <c r="AF61" s="105">
        <v>0.3520833333333333</v>
      </c>
      <c r="AG61" s="105">
        <v>0.96736111111111101</v>
      </c>
      <c r="AI61" s="18">
        <v>42</v>
      </c>
      <c r="AJ61" s="105">
        <v>0.35416666666666669</v>
      </c>
      <c r="AK61" s="105">
        <v>4.027777777777778E-2</v>
      </c>
      <c r="AL61" s="105">
        <v>0.35486111111111113</v>
      </c>
      <c r="AM61" s="105">
        <v>6.5277777777777782E-2</v>
      </c>
      <c r="AN61" s="105">
        <v>0.3756944444444445</v>
      </c>
      <c r="AO61" s="105">
        <v>4.7222222222222221E-2</v>
      </c>
      <c r="AP61" s="105">
        <v>0.3756944444444445</v>
      </c>
      <c r="AQ61" s="105">
        <v>4.8611111111111112E-2</v>
      </c>
      <c r="AR61" s="107">
        <v>0.57986111111111105</v>
      </c>
      <c r="AS61" s="107">
        <v>0.10486111111111111</v>
      </c>
      <c r="AT61" s="105">
        <v>0.37291666666666662</v>
      </c>
      <c r="AU61" s="105">
        <v>4.8611111111111112E-2</v>
      </c>
      <c r="AV61" s="105">
        <v>0.37916666666666665</v>
      </c>
      <c r="AW61" s="105">
        <v>6.5277777777777782E-2</v>
      </c>
      <c r="AX61" s="105">
        <v>0.37638888888888888</v>
      </c>
      <c r="AY61" s="105">
        <v>4.4444444444444446E-2</v>
      </c>
      <c r="AZ61" s="105">
        <v>0.37638888888888888</v>
      </c>
      <c r="BA61" s="105">
        <v>3.7499999999999999E-2</v>
      </c>
      <c r="BB61" s="105">
        <v>0.37361111111111112</v>
      </c>
      <c r="BC61" s="105">
        <v>4.7222222222222221E-2</v>
      </c>
      <c r="BD61" s="105">
        <v>0.37777777777777777</v>
      </c>
      <c r="BE61" s="105">
        <v>4.3055555555555562E-2</v>
      </c>
      <c r="BF61" s="107">
        <v>0.57916666666666672</v>
      </c>
      <c r="BG61" s="107">
        <v>4.9305555555555554E-2</v>
      </c>
      <c r="BH61" s="105">
        <v>0.37708333333333338</v>
      </c>
      <c r="BI61" s="105">
        <v>6.9444444444444434E-2</v>
      </c>
      <c r="BJ61" s="12">
        <f t="shared" si="40"/>
        <v>28</v>
      </c>
      <c r="BK61" s="112">
        <v>4</v>
      </c>
      <c r="BL61" s="2">
        <f t="shared" si="41"/>
        <v>28</v>
      </c>
      <c r="BM61" s="3">
        <f t="shared" si="42"/>
        <v>0</v>
      </c>
      <c r="BN61" s="3">
        <f t="shared" si="43"/>
        <v>0</v>
      </c>
      <c r="BO61" s="3">
        <f t="shared" si="44"/>
        <v>0</v>
      </c>
      <c r="BP61" s="3">
        <f t="shared" si="45"/>
        <v>0</v>
      </c>
      <c r="BQ61" s="3">
        <f t="shared" si="46"/>
        <v>0</v>
      </c>
      <c r="BR61" s="3">
        <f t="shared" si="47"/>
        <v>0</v>
      </c>
      <c r="BS61" s="3">
        <f t="shared" si="48"/>
        <v>0</v>
      </c>
      <c r="BT61" s="3">
        <f t="shared" si="49"/>
        <v>0</v>
      </c>
      <c r="BU61" s="3">
        <f t="shared" si="50"/>
        <v>0</v>
      </c>
      <c r="BV61" s="3">
        <f t="shared" si="51"/>
        <v>0</v>
      </c>
      <c r="BW61" s="3">
        <f t="shared" si="52"/>
        <v>0</v>
      </c>
      <c r="BX61" s="4"/>
      <c r="CB61" s="87">
        <v>0</v>
      </c>
      <c r="CC61" s="87">
        <v>0</v>
      </c>
      <c r="CD61" s="87">
        <v>0</v>
      </c>
      <c r="CE61" s="87">
        <v>0</v>
      </c>
      <c r="CF61" s="87">
        <v>0</v>
      </c>
      <c r="CG61" s="88">
        <v>1</v>
      </c>
      <c r="CH61" s="88">
        <v>0</v>
      </c>
      <c r="CI61" s="88">
        <v>2</v>
      </c>
      <c r="CJ61" s="87">
        <v>0</v>
      </c>
      <c r="CK61" s="87">
        <v>0</v>
      </c>
      <c r="CL61" s="89">
        <f t="shared" si="54"/>
        <v>3</v>
      </c>
    </row>
    <row r="62" spans="1:90" ht="21.75" customHeight="1" x14ac:dyDescent="0.25">
      <c r="A62" s="54">
        <v>43</v>
      </c>
      <c r="B62" s="20" t="s">
        <v>120</v>
      </c>
      <c r="C62" s="9" t="s">
        <v>203</v>
      </c>
      <c r="D62" s="105">
        <v>0.3527777777777778</v>
      </c>
      <c r="E62" s="105">
        <v>0.96805555555555556</v>
      </c>
      <c r="F62" s="105">
        <v>0.3527777777777778</v>
      </c>
      <c r="G62" s="105">
        <v>0.95416666666666661</v>
      </c>
      <c r="H62" s="105">
        <v>0.35347222222222219</v>
      </c>
      <c r="I62" s="105">
        <v>0.92847222222222225</v>
      </c>
      <c r="J62" s="105">
        <v>0.44791666666666669</v>
      </c>
      <c r="K62" s="105">
        <v>0.94791666666666663</v>
      </c>
      <c r="L62" s="105">
        <v>0.35138888888888892</v>
      </c>
      <c r="M62" s="105">
        <v>0.96736111111111101</v>
      </c>
      <c r="N62" s="122" t="s">
        <v>15</v>
      </c>
      <c r="O62" s="122" t="s">
        <v>15</v>
      </c>
      <c r="P62" s="105">
        <v>0.3527777777777778</v>
      </c>
      <c r="Q62" s="105">
        <v>0.95833333333333337</v>
      </c>
      <c r="R62" s="105">
        <v>0.3520833333333333</v>
      </c>
      <c r="S62" s="105">
        <v>0.94513888888888886</v>
      </c>
      <c r="T62" s="105">
        <v>0.35347222222222219</v>
      </c>
      <c r="U62" s="105">
        <v>0.93402777777777779</v>
      </c>
      <c r="V62" s="105">
        <v>0.34861111111111115</v>
      </c>
      <c r="W62" s="105">
        <v>0.93125000000000002</v>
      </c>
      <c r="X62" s="105">
        <v>0.35486111111111113</v>
      </c>
      <c r="Y62" s="105">
        <v>0.95277777777777783</v>
      </c>
      <c r="Z62" s="105">
        <v>0.3520833333333333</v>
      </c>
      <c r="AA62" s="105">
        <v>0.95833333333333337</v>
      </c>
      <c r="AB62" s="107">
        <v>0.57638888888888895</v>
      </c>
      <c r="AC62" s="107">
        <v>0.93402777777777779</v>
      </c>
      <c r="AD62" s="105">
        <v>0.34861111111111115</v>
      </c>
      <c r="AE62" s="105">
        <v>0.93194444444444446</v>
      </c>
      <c r="AF62" s="105">
        <v>0.36527777777777781</v>
      </c>
      <c r="AG62" s="105">
        <v>2.2222222222222223E-2</v>
      </c>
      <c r="AH62" s="131"/>
      <c r="AI62" s="18">
        <v>43</v>
      </c>
      <c r="AJ62" s="105">
        <v>0.35416666666666669</v>
      </c>
      <c r="AK62" s="105">
        <v>0.96666666666666667</v>
      </c>
      <c r="AL62" s="105">
        <v>0.35347222222222219</v>
      </c>
      <c r="AM62" s="105">
        <v>4.1666666666666666E-3</v>
      </c>
      <c r="AN62" s="105">
        <v>0.37013888888888885</v>
      </c>
      <c r="AO62" s="105">
        <v>1.4583333333333332E-2</v>
      </c>
      <c r="AP62" s="105">
        <v>0.37291666666666662</v>
      </c>
      <c r="AQ62" s="105">
        <v>5.5555555555555558E-3</v>
      </c>
      <c r="AR62" s="107">
        <v>0.58263888888888882</v>
      </c>
      <c r="AS62" s="107">
        <v>0.85277777777777775</v>
      </c>
      <c r="AT62" s="105">
        <v>0.37361111111111112</v>
      </c>
      <c r="AU62" s="105">
        <v>0.85555555555555562</v>
      </c>
      <c r="AV62" s="105">
        <v>0.37222222222222223</v>
      </c>
      <c r="AW62" s="105">
        <v>0.97916666666666663</v>
      </c>
      <c r="AX62" s="105">
        <v>0.84652777777777777</v>
      </c>
      <c r="AY62" s="105">
        <v>3.472222222222222E-3</v>
      </c>
      <c r="AZ62" s="105">
        <v>0.37291666666666662</v>
      </c>
      <c r="BA62" s="105">
        <v>0.97569444444444453</v>
      </c>
      <c r="BB62" s="105">
        <v>0.37361111111111112</v>
      </c>
      <c r="BC62" s="105">
        <v>5.2083333333333336E-2</v>
      </c>
      <c r="BD62" s="105">
        <v>0.37361111111111112</v>
      </c>
      <c r="BE62" s="105">
        <v>4.9999999999999996E-2</v>
      </c>
      <c r="BF62" s="107">
        <v>0.57916666666666672</v>
      </c>
      <c r="BG62" s="107">
        <v>5.2777777777777778E-2</v>
      </c>
      <c r="BH62" s="105">
        <v>0.37361111111111112</v>
      </c>
      <c r="BI62" s="105">
        <v>0.85625000000000007</v>
      </c>
      <c r="BJ62" s="12">
        <f t="shared" si="40"/>
        <v>28</v>
      </c>
      <c r="BK62" s="112">
        <v>3</v>
      </c>
      <c r="BL62" s="2">
        <f t="shared" si="41"/>
        <v>27</v>
      </c>
      <c r="BM62" s="3">
        <f t="shared" si="42"/>
        <v>1</v>
      </c>
      <c r="BN62" s="3">
        <f t="shared" si="43"/>
        <v>0</v>
      </c>
      <c r="BO62" s="3">
        <f t="shared" si="44"/>
        <v>0</v>
      </c>
      <c r="BP62" s="3">
        <f t="shared" si="45"/>
        <v>0</v>
      </c>
      <c r="BQ62" s="3">
        <f t="shared" si="46"/>
        <v>0</v>
      </c>
      <c r="BR62" s="3">
        <f t="shared" si="47"/>
        <v>0</v>
      </c>
      <c r="BS62" s="3">
        <f t="shared" si="48"/>
        <v>0</v>
      </c>
      <c r="BT62" s="3">
        <f t="shared" si="49"/>
        <v>0</v>
      </c>
      <c r="BU62" s="3">
        <f t="shared" si="50"/>
        <v>0</v>
      </c>
      <c r="BV62" s="3">
        <f t="shared" si="51"/>
        <v>0</v>
      </c>
      <c r="BW62" s="3">
        <f t="shared" si="52"/>
        <v>0</v>
      </c>
      <c r="BX62" s="4"/>
      <c r="CB62" s="87">
        <v>0</v>
      </c>
      <c r="CC62" s="87">
        <v>0</v>
      </c>
      <c r="CD62" s="87">
        <v>0</v>
      </c>
      <c r="CE62" s="87">
        <v>0</v>
      </c>
      <c r="CF62" s="87">
        <v>0</v>
      </c>
      <c r="CG62" s="87">
        <v>0</v>
      </c>
      <c r="CH62" s="88">
        <v>0</v>
      </c>
      <c r="CI62" s="88">
        <v>0</v>
      </c>
      <c r="CJ62" s="87">
        <v>0</v>
      </c>
      <c r="CK62" s="87">
        <v>0</v>
      </c>
      <c r="CL62" s="89">
        <f t="shared" si="54"/>
        <v>0</v>
      </c>
    </row>
    <row r="63" spans="1:90" ht="21.75" customHeight="1" x14ac:dyDescent="0.25">
      <c r="A63" s="54">
        <v>44</v>
      </c>
      <c r="B63" s="20" t="s">
        <v>121</v>
      </c>
      <c r="C63" s="9" t="s">
        <v>202</v>
      </c>
      <c r="D63" s="105" t="s">
        <v>18</v>
      </c>
      <c r="E63" s="105" t="s">
        <v>18</v>
      </c>
      <c r="F63" s="105" t="s">
        <v>18</v>
      </c>
      <c r="G63" s="105" t="s">
        <v>18</v>
      </c>
      <c r="H63" s="105" t="s">
        <v>18</v>
      </c>
      <c r="I63" s="105" t="s">
        <v>18</v>
      </c>
      <c r="J63" s="105" t="s">
        <v>18</v>
      </c>
      <c r="K63" s="105" t="s">
        <v>18</v>
      </c>
      <c r="L63" s="105" t="s">
        <v>18</v>
      </c>
      <c r="M63" s="105" t="s">
        <v>18</v>
      </c>
      <c r="N63" s="107" t="s">
        <v>18</v>
      </c>
      <c r="O63" s="107" t="s">
        <v>18</v>
      </c>
      <c r="P63" s="105" t="s">
        <v>18</v>
      </c>
      <c r="Q63" s="105" t="s">
        <v>18</v>
      </c>
      <c r="R63" s="105">
        <v>0.3444444444444445</v>
      </c>
      <c r="S63" s="105">
        <v>0.96666666666666667</v>
      </c>
      <c r="T63" s="105">
        <v>0.34861111111111115</v>
      </c>
      <c r="U63" s="105">
        <v>0.93402777777777779</v>
      </c>
      <c r="V63" s="105">
        <v>0.35000000000000003</v>
      </c>
      <c r="W63" s="105">
        <v>0.9472222222222223</v>
      </c>
      <c r="X63" s="105">
        <v>0.34513888888888888</v>
      </c>
      <c r="Y63" s="113">
        <v>1</v>
      </c>
      <c r="Z63" s="105">
        <v>0.3520833333333333</v>
      </c>
      <c r="AA63" s="105">
        <v>4.8611111111111112E-3</v>
      </c>
      <c r="AB63" s="107">
        <v>0.57916666666666672</v>
      </c>
      <c r="AC63" s="114">
        <v>1</v>
      </c>
      <c r="AD63" s="105">
        <v>0.35555555555555557</v>
      </c>
      <c r="AE63" s="105">
        <v>0.98749999999999993</v>
      </c>
      <c r="AF63" s="105">
        <v>0.35000000000000003</v>
      </c>
      <c r="AG63" s="105">
        <v>0.95138888888888884</v>
      </c>
      <c r="AH63" s="131"/>
      <c r="AI63" s="18">
        <v>44</v>
      </c>
      <c r="AJ63" s="105">
        <v>0.34861111111111115</v>
      </c>
      <c r="AK63" s="105">
        <v>0.98333333333333339</v>
      </c>
      <c r="AL63" s="105">
        <v>0.35138888888888892</v>
      </c>
      <c r="AM63" s="105">
        <v>6.0416666666666667E-2</v>
      </c>
      <c r="AN63" s="105">
        <v>0.37291666666666662</v>
      </c>
      <c r="AO63" s="105">
        <v>4.7916666666666663E-2</v>
      </c>
      <c r="AP63" s="105">
        <v>0.37222222222222223</v>
      </c>
      <c r="AQ63" s="105">
        <v>4.8611111111111112E-2</v>
      </c>
      <c r="AR63" s="107">
        <v>0.56041666666666667</v>
      </c>
      <c r="AS63" s="107">
        <v>0.10486111111111111</v>
      </c>
      <c r="AT63" s="105">
        <v>0.37361111111111112</v>
      </c>
      <c r="AU63" s="105">
        <v>4.2361111111111106E-2</v>
      </c>
      <c r="AV63" s="105">
        <v>0.37222222222222223</v>
      </c>
      <c r="AW63" s="105">
        <v>0.8534722222222223</v>
      </c>
      <c r="AX63" s="105">
        <v>0.37013888888888885</v>
      </c>
      <c r="AY63" s="105">
        <v>8.1944444444444445E-2</v>
      </c>
      <c r="AZ63" s="105">
        <v>0.37152777777777773</v>
      </c>
      <c r="BA63" s="105">
        <v>6.458333333333334E-2</v>
      </c>
      <c r="BB63" s="105">
        <v>0.37222222222222223</v>
      </c>
      <c r="BC63" s="105">
        <v>5.0694444444444452E-2</v>
      </c>
      <c r="BD63" s="105">
        <v>0.3743055555555555</v>
      </c>
      <c r="BE63" s="105">
        <v>4.1666666666666664E-2</v>
      </c>
      <c r="BF63" s="107">
        <v>0.58194444444444449</v>
      </c>
      <c r="BG63" s="107">
        <v>0.85277777777777775</v>
      </c>
      <c r="BH63" s="105">
        <v>0.37222222222222223</v>
      </c>
      <c r="BI63" s="105">
        <v>6.9444444444444434E-2</v>
      </c>
      <c r="BJ63" s="12">
        <f t="shared" si="40"/>
        <v>28</v>
      </c>
      <c r="BK63" s="112">
        <v>4</v>
      </c>
      <c r="BL63" s="2">
        <f t="shared" si="41"/>
        <v>21</v>
      </c>
      <c r="BM63" s="3">
        <f t="shared" si="42"/>
        <v>0</v>
      </c>
      <c r="BN63" s="3">
        <f t="shared" si="43"/>
        <v>0</v>
      </c>
      <c r="BO63" s="3">
        <f t="shared" si="44"/>
        <v>0</v>
      </c>
      <c r="BP63" s="3">
        <f t="shared" si="45"/>
        <v>7</v>
      </c>
      <c r="BQ63" s="3">
        <f t="shared" si="46"/>
        <v>0</v>
      </c>
      <c r="BR63" s="3">
        <f t="shared" si="47"/>
        <v>0</v>
      </c>
      <c r="BS63" s="3">
        <f t="shared" si="48"/>
        <v>0</v>
      </c>
      <c r="BT63" s="3">
        <f t="shared" si="49"/>
        <v>0</v>
      </c>
      <c r="BU63" s="3">
        <f t="shared" si="50"/>
        <v>0</v>
      </c>
      <c r="BV63" s="3">
        <f t="shared" si="51"/>
        <v>0</v>
      </c>
      <c r="BW63" s="3">
        <f t="shared" si="52"/>
        <v>0</v>
      </c>
      <c r="BX63" s="4" t="s">
        <v>269</v>
      </c>
      <c r="CB63" s="87"/>
      <c r="CC63" s="87"/>
      <c r="CD63" s="87"/>
      <c r="CE63" s="87"/>
      <c r="CF63" s="87"/>
      <c r="CG63" s="87"/>
      <c r="CH63" s="88"/>
      <c r="CI63" s="88"/>
      <c r="CJ63" s="87"/>
      <c r="CK63" s="87"/>
      <c r="CL63" s="89">
        <f>SUM(CB63:CK63)</f>
        <v>0</v>
      </c>
    </row>
    <row r="64" spans="1:90" ht="21.75" customHeight="1" x14ac:dyDescent="0.25">
      <c r="A64" s="54">
        <v>45</v>
      </c>
      <c r="B64" s="20" t="s">
        <v>124</v>
      </c>
      <c r="C64" s="9" t="s">
        <v>205</v>
      </c>
      <c r="D64" s="105">
        <v>0.35347222222222219</v>
      </c>
      <c r="E64" s="105">
        <v>0.96597222222222223</v>
      </c>
      <c r="F64" s="105">
        <v>0.35416666666666669</v>
      </c>
      <c r="G64" s="105">
        <v>0.94374999999999998</v>
      </c>
      <c r="H64" s="105">
        <v>0.35347222222222219</v>
      </c>
      <c r="I64" s="105">
        <v>0.94861111111111107</v>
      </c>
      <c r="J64" s="105">
        <v>0.35625000000000001</v>
      </c>
      <c r="K64" s="105">
        <v>0.96388888888888891</v>
      </c>
      <c r="L64" s="105">
        <v>0.35486111111111113</v>
      </c>
      <c r="M64" s="105">
        <v>0.96527777777777779</v>
      </c>
      <c r="N64" s="122" t="s">
        <v>15</v>
      </c>
      <c r="O64" s="122" t="s">
        <v>15</v>
      </c>
      <c r="P64" s="105">
        <v>0.3527777777777778</v>
      </c>
      <c r="Q64" s="105">
        <v>0.96527777777777779</v>
      </c>
      <c r="R64" s="105">
        <v>0.35416666666666669</v>
      </c>
      <c r="S64" s="105">
        <v>0.94444444444444453</v>
      </c>
      <c r="T64" s="105">
        <v>0.35347222222222219</v>
      </c>
      <c r="U64" s="105">
        <v>0.94513888888888886</v>
      </c>
      <c r="V64" s="105">
        <v>0.35347222222222219</v>
      </c>
      <c r="W64" s="105">
        <v>0.94652777777777775</v>
      </c>
      <c r="X64" s="105">
        <v>0.3527777777777778</v>
      </c>
      <c r="Y64" s="105">
        <v>0.95138888888888884</v>
      </c>
      <c r="Z64" s="105">
        <v>0.3527777777777778</v>
      </c>
      <c r="AA64" s="105">
        <v>0.96597222222222223</v>
      </c>
      <c r="AB64" s="107">
        <v>0.57847222222222217</v>
      </c>
      <c r="AC64" s="107">
        <v>0.94930555555555562</v>
      </c>
      <c r="AD64" s="105">
        <v>0.35347222222222219</v>
      </c>
      <c r="AE64" s="105">
        <v>0.9819444444444444</v>
      </c>
      <c r="AF64" s="105">
        <v>0.35416666666666669</v>
      </c>
      <c r="AG64" s="105">
        <v>0.95624999999999993</v>
      </c>
      <c r="AH64" s="120"/>
      <c r="AI64" s="18">
        <v>45</v>
      </c>
      <c r="AJ64" s="105">
        <v>0.35416666666666669</v>
      </c>
      <c r="AK64" s="105">
        <v>0.96180555555555547</v>
      </c>
      <c r="AL64" s="105">
        <v>0.35416666666666669</v>
      </c>
      <c r="AM64" s="113">
        <v>1</v>
      </c>
      <c r="AN64" s="105">
        <v>0.37708333333333338</v>
      </c>
      <c r="AO64" s="105">
        <v>0.99236111111111114</v>
      </c>
      <c r="AP64" s="105">
        <v>0.375</v>
      </c>
      <c r="AQ64" s="105">
        <v>5.0694444444444452E-2</v>
      </c>
      <c r="AR64" s="107">
        <v>0.57986111111111105</v>
      </c>
      <c r="AS64" s="107">
        <v>2.5694444444444447E-2</v>
      </c>
      <c r="AT64" s="105">
        <v>0.3743055555555555</v>
      </c>
      <c r="AU64" s="105">
        <v>4.1666666666666664E-2</v>
      </c>
      <c r="AV64" s="105">
        <v>0.375</v>
      </c>
      <c r="AW64" s="105">
        <v>0.85416666666666663</v>
      </c>
      <c r="AX64" s="105">
        <v>0.375</v>
      </c>
      <c r="AY64" s="105">
        <v>1.9444444444444445E-2</v>
      </c>
      <c r="AZ64" s="105">
        <v>0.37361111111111112</v>
      </c>
      <c r="BA64" s="105">
        <v>4.4444444444444446E-2</v>
      </c>
      <c r="BB64" s="105">
        <v>0.375</v>
      </c>
      <c r="BC64" s="105">
        <v>4.8611111111111112E-2</v>
      </c>
      <c r="BD64" s="105">
        <v>0.375</v>
      </c>
      <c r="BE64" s="105">
        <v>4.3750000000000004E-2</v>
      </c>
      <c r="BF64" s="107">
        <v>0.57986111111111105</v>
      </c>
      <c r="BG64" s="107">
        <v>5.0694444444444452E-2</v>
      </c>
      <c r="BH64" s="105">
        <v>0.3743055555555555</v>
      </c>
      <c r="BI64" s="105">
        <v>4.5833333333333337E-2</v>
      </c>
      <c r="BJ64" s="12">
        <f t="shared" si="40"/>
        <v>28</v>
      </c>
      <c r="BK64" s="112">
        <v>3</v>
      </c>
      <c r="BL64" s="2">
        <f t="shared" si="41"/>
        <v>27</v>
      </c>
      <c r="BM64" s="3">
        <f t="shared" si="42"/>
        <v>1</v>
      </c>
      <c r="BN64" s="3">
        <f t="shared" si="43"/>
        <v>0</v>
      </c>
      <c r="BO64" s="3">
        <f t="shared" si="44"/>
        <v>0</v>
      </c>
      <c r="BP64" s="3">
        <f t="shared" si="45"/>
        <v>0</v>
      </c>
      <c r="BQ64" s="3">
        <f t="shared" si="46"/>
        <v>0</v>
      </c>
      <c r="BR64" s="3">
        <f t="shared" si="47"/>
        <v>0</v>
      </c>
      <c r="BS64" s="3">
        <f t="shared" si="48"/>
        <v>0</v>
      </c>
      <c r="BT64" s="3">
        <f t="shared" si="49"/>
        <v>0</v>
      </c>
      <c r="BU64" s="3">
        <f t="shared" si="50"/>
        <v>0</v>
      </c>
      <c r="BV64" s="3">
        <f t="shared" si="51"/>
        <v>0</v>
      </c>
      <c r="BW64" s="3">
        <f t="shared" si="52"/>
        <v>0</v>
      </c>
      <c r="BX64" s="4"/>
      <c r="CB64" s="87">
        <v>0</v>
      </c>
      <c r="CC64" s="87">
        <v>0</v>
      </c>
      <c r="CD64" s="87">
        <v>0</v>
      </c>
      <c r="CE64" s="87">
        <v>0</v>
      </c>
      <c r="CF64" s="87">
        <v>0</v>
      </c>
      <c r="CG64" s="87">
        <v>0</v>
      </c>
      <c r="CH64" s="88">
        <v>0</v>
      </c>
      <c r="CI64" s="88">
        <v>0</v>
      </c>
      <c r="CJ64" s="87">
        <v>0</v>
      </c>
      <c r="CK64" s="87">
        <v>0</v>
      </c>
      <c r="CL64" s="89">
        <f t="shared" si="54"/>
        <v>0</v>
      </c>
    </row>
    <row r="65" spans="1:90" ht="21.75" customHeight="1" x14ac:dyDescent="0.25">
      <c r="A65" s="54">
        <v>46</v>
      </c>
      <c r="B65" s="20" t="s">
        <v>125</v>
      </c>
      <c r="C65" s="9" t="s">
        <v>126</v>
      </c>
      <c r="D65" s="105">
        <v>0.32430555555555557</v>
      </c>
      <c r="E65" s="105">
        <v>0.97916666666666663</v>
      </c>
      <c r="F65" s="105">
        <v>0.32777777777777778</v>
      </c>
      <c r="G65" s="105">
        <v>0.9590277777777777</v>
      </c>
      <c r="H65" s="105">
        <v>0.32777777777777778</v>
      </c>
      <c r="I65" s="105">
        <v>0.95208333333333339</v>
      </c>
      <c r="J65" s="105">
        <v>0.32500000000000001</v>
      </c>
      <c r="K65" s="105">
        <v>0.96388888888888891</v>
      </c>
      <c r="L65" s="105">
        <v>0.34930555555555554</v>
      </c>
      <c r="M65" s="105">
        <v>0.97291666666666676</v>
      </c>
      <c r="N65" s="107">
        <v>0.95208333333333339</v>
      </c>
      <c r="O65" s="114"/>
      <c r="P65" s="105">
        <v>0.32847222222222222</v>
      </c>
      <c r="Q65" s="105">
        <v>0.97013888888888899</v>
      </c>
      <c r="R65" s="105">
        <v>0.33958333333333335</v>
      </c>
      <c r="S65" s="105">
        <v>0.94652777777777775</v>
      </c>
      <c r="T65" s="105">
        <v>0.33055555555555555</v>
      </c>
      <c r="U65" s="105">
        <v>0.95624999999999993</v>
      </c>
      <c r="V65" s="105">
        <v>0.33958333333333335</v>
      </c>
      <c r="W65" s="105">
        <v>0.95347222222222217</v>
      </c>
      <c r="X65" s="105">
        <v>0.32083333333333336</v>
      </c>
      <c r="Y65" s="105">
        <v>0.95624999999999993</v>
      </c>
      <c r="Z65" s="105">
        <v>0.33194444444444443</v>
      </c>
      <c r="AA65" s="105">
        <v>0.97222222222222221</v>
      </c>
      <c r="AB65" s="107">
        <v>0.56388888888888888</v>
      </c>
      <c r="AC65" s="107">
        <v>0.95763888888888893</v>
      </c>
      <c r="AD65" s="105">
        <v>0.33333333333333331</v>
      </c>
      <c r="AE65" s="105">
        <v>0.9819444444444444</v>
      </c>
      <c r="AF65" s="105">
        <v>0.33888888888888885</v>
      </c>
      <c r="AG65" s="105">
        <v>0</v>
      </c>
      <c r="AI65" s="18">
        <v>46</v>
      </c>
      <c r="AJ65" s="105">
        <v>0.33263888888888887</v>
      </c>
      <c r="AK65" s="105">
        <v>0.96666666666666667</v>
      </c>
      <c r="AL65" s="105">
        <v>0.33333333333333331</v>
      </c>
      <c r="AM65" s="105">
        <v>1.1805555555555555E-2</v>
      </c>
      <c r="AN65" s="105">
        <v>0.3743055555555555</v>
      </c>
      <c r="AO65" s="105">
        <v>0.99722222222222223</v>
      </c>
      <c r="AP65" s="105">
        <v>0.3666666666666667</v>
      </c>
      <c r="AQ65" s="105">
        <v>9.0277777777777787E-3</v>
      </c>
      <c r="AR65" s="107">
        <v>0.5708333333333333</v>
      </c>
      <c r="AS65" s="107">
        <v>4.1666666666666666E-3</v>
      </c>
      <c r="AT65" s="105">
        <v>0.34861111111111115</v>
      </c>
      <c r="AU65" s="105">
        <v>3.472222222222222E-3</v>
      </c>
      <c r="AV65" s="105">
        <v>0.3576388888888889</v>
      </c>
      <c r="AW65" s="105">
        <v>0.84652777777777777</v>
      </c>
      <c r="AX65" s="105">
        <v>0.3527777777777778</v>
      </c>
      <c r="AY65" s="105">
        <v>2.7777777777777779E-3</v>
      </c>
      <c r="AZ65" s="105">
        <v>0.34930555555555554</v>
      </c>
      <c r="BA65" s="105">
        <v>3.472222222222222E-3</v>
      </c>
      <c r="BB65" s="105">
        <v>0.35416666666666669</v>
      </c>
      <c r="BC65" s="105">
        <v>8.3333333333333332E-3</v>
      </c>
      <c r="BD65" s="105">
        <v>0.37291666666666662</v>
      </c>
      <c r="BE65" s="105">
        <v>1.0416666666666666E-2</v>
      </c>
      <c r="BF65" s="107">
        <v>0.5708333333333333</v>
      </c>
      <c r="BG65" s="107">
        <v>3.6805555555555557E-2</v>
      </c>
      <c r="BH65" s="105">
        <v>0.34861111111111115</v>
      </c>
      <c r="BI65" s="105">
        <v>1.1805555555555555E-2</v>
      </c>
      <c r="BJ65" s="12">
        <f t="shared" si="40"/>
        <v>27.5</v>
      </c>
      <c r="BK65" s="112">
        <v>4</v>
      </c>
      <c r="BL65" s="2">
        <f t="shared" si="41"/>
        <v>27.5</v>
      </c>
      <c r="BM65" s="3">
        <f t="shared" si="42"/>
        <v>0</v>
      </c>
      <c r="BN65" s="3">
        <f t="shared" si="43"/>
        <v>0</v>
      </c>
      <c r="BO65" s="3">
        <f t="shared" si="44"/>
        <v>0</v>
      </c>
      <c r="BP65" s="3">
        <f t="shared" si="45"/>
        <v>0</v>
      </c>
      <c r="BQ65" s="3">
        <f t="shared" si="46"/>
        <v>0</v>
      </c>
      <c r="BR65" s="3">
        <f t="shared" si="47"/>
        <v>0</v>
      </c>
      <c r="BS65" s="3">
        <f t="shared" si="48"/>
        <v>0</v>
      </c>
      <c r="BT65" s="3">
        <f t="shared" si="49"/>
        <v>0</v>
      </c>
      <c r="BU65" s="3">
        <f t="shared" si="50"/>
        <v>0</v>
      </c>
      <c r="BV65" s="3">
        <f t="shared" si="51"/>
        <v>0</v>
      </c>
      <c r="BW65" s="3">
        <f t="shared" si="52"/>
        <v>0</v>
      </c>
      <c r="BX65" s="4"/>
      <c r="CB65" s="87">
        <v>0</v>
      </c>
      <c r="CC65" s="87">
        <v>0</v>
      </c>
      <c r="CD65" s="87">
        <v>0</v>
      </c>
      <c r="CE65" s="87">
        <v>0</v>
      </c>
      <c r="CF65" s="87">
        <v>0</v>
      </c>
      <c r="CG65" s="87">
        <v>0</v>
      </c>
      <c r="CH65" s="88">
        <v>0</v>
      </c>
      <c r="CI65" s="88">
        <v>0</v>
      </c>
      <c r="CJ65" s="87">
        <v>0</v>
      </c>
      <c r="CK65" s="87">
        <v>0</v>
      </c>
      <c r="CL65" s="89">
        <f t="shared" si="54"/>
        <v>0</v>
      </c>
    </row>
    <row r="66" spans="1:90" ht="21.75" customHeight="1" x14ac:dyDescent="0.25">
      <c r="A66" s="54">
        <v>47</v>
      </c>
      <c r="B66" s="20" t="s">
        <v>127</v>
      </c>
      <c r="C66" s="9" t="s">
        <v>267</v>
      </c>
      <c r="D66" s="105">
        <v>0.35069444444444442</v>
      </c>
      <c r="E66" s="105">
        <v>0.97986111111111107</v>
      </c>
      <c r="F66" s="105">
        <v>0.35000000000000003</v>
      </c>
      <c r="G66" s="105">
        <v>0.94861111111111107</v>
      </c>
      <c r="H66" s="105">
        <v>0.35000000000000003</v>
      </c>
      <c r="I66" s="105">
        <v>2.0833333333333333E-3</v>
      </c>
      <c r="J66" s="105">
        <v>0.35138888888888892</v>
      </c>
      <c r="K66" s="105">
        <v>0.95972222222222225</v>
      </c>
      <c r="L66" s="105">
        <v>0.35138888888888892</v>
      </c>
      <c r="M66" s="105">
        <v>0.9604166666666667</v>
      </c>
      <c r="N66" s="122" t="s">
        <v>15</v>
      </c>
      <c r="O66" s="122" t="s">
        <v>15</v>
      </c>
      <c r="P66" s="105">
        <v>0.35069444444444442</v>
      </c>
      <c r="Q66" s="105">
        <v>0.96458333333333324</v>
      </c>
      <c r="R66" s="105">
        <v>0.35000000000000003</v>
      </c>
      <c r="S66" s="105">
        <v>0.95972222222222225</v>
      </c>
      <c r="T66" s="105">
        <v>0.35000000000000003</v>
      </c>
      <c r="U66" s="105">
        <v>0.93888888888888899</v>
      </c>
      <c r="V66" s="105">
        <v>0.3520833333333333</v>
      </c>
      <c r="W66" s="105">
        <v>0.9604166666666667</v>
      </c>
      <c r="X66" s="105">
        <v>0.35069444444444442</v>
      </c>
      <c r="Y66" s="105">
        <v>0</v>
      </c>
      <c r="Z66" s="105">
        <v>0.3520833333333333</v>
      </c>
      <c r="AA66" s="105">
        <v>0.96736111111111101</v>
      </c>
      <c r="AB66" s="107">
        <v>0.57916666666666672</v>
      </c>
      <c r="AC66" s="107">
        <v>0.97291666666666676</v>
      </c>
      <c r="AD66" s="105">
        <v>0.35486111111111113</v>
      </c>
      <c r="AE66" s="105">
        <v>0.98402777777777783</v>
      </c>
      <c r="AF66" s="105">
        <v>0.35833333333333334</v>
      </c>
      <c r="AG66" s="105">
        <v>0.9590277777777777</v>
      </c>
      <c r="AI66" s="18">
        <v>47</v>
      </c>
      <c r="AJ66" s="105">
        <v>0.3520833333333333</v>
      </c>
      <c r="AK66" s="105">
        <v>0.98749999999999993</v>
      </c>
      <c r="AL66" s="105">
        <v>0.3520833333333333</v>
      </c>
      <c r="AM66" s="105">
        <v>1.3888888888888888E-2</v>
      </c>
      <c r="AN66" s="105">
        <v>0.375</v>
      </c>
      <c r="AO66" s="105">
        <v>4.3750000000000004E-2</v>
      </c>
      <c r="AP66" s="105">
        <v>0.3743055555555555</v>
      </c>
      <c r="AQ66" s="105">
        <v>4.9305555555555554E-2</v>
      </c>
      <c r="AR66" s="107">
        <v>0.58333333333333337</v>
      </c>
      <c r="AS66" s="107">
        <v>1.3888888888888889E-3</v>
      </c>
      <c r="AT66" s="105">
        <v>0.375</v>
      </c>
      <c r="AU66" s="105">
        <v>2.7083333333333334E-2</v>
      </c>
      <c r="AV66" s="105">
        <v>0.37291666666666662</v>
      </c>
      <c r="AW66" s="105">
        <v>4.3750000000000004E-2</v>
      </c>
      <c r="AX66" s="105">
        <v>0.37361111111111112</v>
      </c>
      <c r="AY66" s="105">
        <v>3.0555555555555555E-2</v>
      </c>
      <c r="AZ66" s="105">
        <v>0.3743055555555555</v>
      </c>
      <c r="BA66" s="105">
        <v>5.0694444444444452E-2</v>
      </c>
      <c r="BB66" s="105">
        <v>0.375</v>
      </c>
      <c r="BC66" s="105">
        <v>5.2083333333333336E-2</v>
      </c>
      <c r="BD66" s="105">
        <v>0.3743055555555555</v>
      </c>
      <c r="BE66" s="105">
        <v>4.2361111111111106E-2</v>
      </c>
      <c r="BF66" s="107">
        <v>0.58124999999999993</v>
      </c>
      <c r="BG66" s="107">
        <v>5.347222222222222E-2</v>
      </c>
      <c r="BH66" s="105">
        <v>0.375</v>
      </c>
      <c r="BI66" s="105">
        <v>5.0694444444444452E-2</v>
      </c>
      <c r="BJ66" s="12">
        <f t="shared" si="40"/>
        <v>28</v>
      </c>
      <c r="BK66" s="112">
        <v>3</v>
      </c>
      <c r="BL66" s="2">
        <f t="shared" si="41"/>
        <v>27</v>
      </c>
      <c r="BM66" s="3">
        <f t="shared" si="42"/>
        <v>1</v>
      </c>
      <c r="BN66" s="3">
        <f t="shared" si="43"/>
        <v>0</v>
      </c>
      <c r="BO66" s="3">
        <f t="shared" si="44"/>
        <v>0</v>
      </c>
      <c r="BP66" s="3">
        <f t="shared" si="45"/>
        <v>0</v>
      </c>
      <c r="BQ66" s="3">
        <f t="shared" si="46"/>
        <v>0</v>
      </c>
      <c r="BR66" s="3">
        <f t="shared" si="47"/>
        <v>0</v>
      </c>
      <c r="BS66" s="3">
        <f t="shared" si="48"/>
        <v>0</v>
      </c>
      <c r="BT66" s="3">
        <f t="shared" si="49"/>
        <v>0</v>
      </c>
      <c r="BU66" s="3">
        <f t="shared" si="50"/>
        <v>0</v>
      </c>
      <c r="BV66" s="3">
        <f t="shared" si="51"/>
        <v>0</v>
      </c>
      <c r="BW66" s="3">
        <f t="shared" si="52"/>
        <v>0</v>
      </c>
      <c r="BX66" s="4"/>
      <c r="CB66" s="87">
        <v>0</v>
      </c>
      <c r="CC66" s="87">
        <v>0</v>
      </c>
      <c r="CD66" s="87">
        <v>0</v>
      </c>
      <c r="CE66" s="87">
        <v>0</v>
      </c>
      <c r="CF66" s="87">
        <v>0</v>
      </c>
      <c r="CG66" s="87">
        <v>0</v>
      </c>
      <c r="CH66" s="88">
        <v>0</v>
      </c>
      <c r="CI66" s="88">
        <v>0</v>
      </c>
      <c r="CJ66" s="87">
        <v>0</v>
      </c>
      <c r="CK66" s="87">
        <v>0</v>
      </c>
      <c r="CL66" s="89">
        <f t="shared" si="54"/>
        <v>0</v>
      </c>
    </row>
    <row r="67" spans="1:90" ht="21.75" customHeight="1" x14ac:dyDescent="0.25">
      <c r="A67" s="54">
        <v>48</v>
      </c>
      <c r="B67" s="20" t="s">
        <v>128</v>
      </c>
      <c r="C67" s="9" t="s">
        <v>268</v>
      </c>
      <c r="D67" s="105">
        <v>0.3520833333333333</v>
      </c>
      <c r="E67" s="105">
        <v>0.95972222222222225</v>
      </c>
      <c r="F67" s="105">
        <v>0.3520833333333333</v>
      </c>
      <c r="G67" s="105">
        <v>0.95486111111111116</v>
      </c>
      <c r="H67" s="105">
        <v>0.35000000000000003</v>
      </c>
      <c r="I67" s="105">
        <v>0.96180555555555547</v>
      </c>
      <c r="J67" s="105">
        <v>0.35347222222222219</v>
      </c>
      <c r="K67" s="105">
        <v>0.96527777777777779</v>
      </c>
      <c r="L67" s="105">
        <v>0.35347222222222219</v>
      </c>
      <c r="M67" s="105">
        <v>0.96250000000000002</v>
      </c>
      <c r="N67" s="122" t="s">
        <v>15</v>
      </c>
      <c r="O67" s="122" t="s">
        <v>15</v>
      </c>
      <c r="P67" s="105">
        <v>0.3527777777777778</v>
      </c>
      <c r="Q67" s="105">
        <v>0.9458333333333333</v>
      </c>
      <c r="R67" s="105">
        <v>0.35347222222222219</v>
      </c>
      <c r="S67" s="105">
        <v>0.95972222222222225</v>
      </c>
      <c r="T67" s="105">
        <v>0.3520833333333333</v>
      </c>
      <c r="U67" s="105">
        <v>0.94097222222222221</v>
      </c>
      <c r="V67" s="105">
        <v>0.35347222222222219</v>
      </c>
      <c r="W67" s="105">
        <v>0.95972222222222225</v>
      </c>
      <c r="X67" s="105">
        <v>0.35000000000000003</v>
      </c>
      <c r="Y67" s="105">
        <v>0.9590277777777777</v>
      </c>
      <c r="Z67" s="105">
        <v>0.3520833333333333</v>
      </c>
      <c r="AA67" s="105">
        <v>0.96319444444444446</v>
      </c>
      <c r="AB67" s="107">
        <v>0.57708333333333328</v>
      </c>
      <c r="AC67" s="107">
        <v>0.96666666666666667</v>
      </c>
      <c r="AD67" s="105">
        <v>0.35347222222222219</v>
      </c>
      <c r="AE67" s="105">
        <v>0.97013888888888899</v>
      </c>
      <c r="AF67" s="105">
        <v>0.35486111111111113</v>
      </c>
      <c r="AG67" s="105">
        <v>0.9604166666666667</v>
      </c>
      <c r="AI67" s="18">
        <v>48</v>
      </c>
      <c r="AJ67" s="105">
        <v>0.35416666666666669</v>
      </c>
      <c r="AK67" s="105">
        <v>0.98888888888888893</v>
      </c>
      <c r="AL67" s="105">
        <v>0.3527777777777778</v>
      </c>
      <c r="AM67" s="105">
        <v>2.0833333333333333E-3</v>
      </c>
      <c r="AN67" s="105">
        <v>0.3743055555555555</v>
      </c>
      <c r="AO67" s="105">
        <v>4.3750000000000004E-2</v>
      </c>
      <c r="AP67" s="105">
        <v>0.37291666666666662</v>
      </c>
      <c r="AQ67" s="105">
        <v>4.5138888888888888E-2</v>
      </c>
      <c r="AR67" s="107">
        <v>0.58124999999999993</v>
      </c>
      <c r="AS67" s="107">
        <v>1.0416666666666666E-2</v>
      </c>
      <c r="AT67" s="105">
        <v>0.3743055555555555</v>
      </c>
      <c r="AU67" s="105">
        <v>2.9166666666666664E-2</v>
      </c>
      <c r="AV67" s="105">
        <v>0.37291666666666662</v>
      </c>
      <c r="AW67" s="105">
        <v>4.3750000000000004E-2</v>
      </c>
      <c r="AX67" s="105">
        <v>0.375</v>
      </c>
      <c r="AY67" s="105">
        <v>6.7361111111111108E-2</v>
      </c>
      <c r="AZ67" s="105">
        <v>0.37291666666666662</v>
      </c>
      <c r="BA67" s="105">
        <v>8.3333333333333329E-2</v>
      </c>
      <c r="BB67" s="105">
        <v>0.37361111111111112</v>
      </c>
      <c r="BC67" s="105">
        <v>5.0694444444444452E-2</v>
      </c>
      <c r="BD67" s="105">
        <v>0.37291666666666662</v>
      </c>
      <c r="BE67" s="105">
        <v>5.4166666666666669E-2</v>
      </c>
      <c r="BF67" s="107">
        <v>0.56111111111111112</v>
      </c>
      <c r="BG67" s="107">
        <v>5.8333333333333327E-2</v>
      </c>
      <c r="BH67" s="105">
        <v>0.37361111111111112</v>
      </c>
      <c r="BI67" s="105">
        <v>6.6666666666666666E-2</v>
      </c>
      <c r="BJ67" s="12">
        <f t="shared" si="40"/>
        <v>28</v>
      </c>
      <c r="BK67" s="112">
        <v>3</v>
      </c>
      <c r="BL67" s="2">
        <f t="shared" si="41"/>
        <v>27</v>
      </c>
      <c r="BM67" s="3">
        <f t="shared" si="42"/>
        <v>1</v>
      </c>
      <c r="BN67" s="3">
        <f t="shared" si="43"/>
        <v>0</v>
      </c>
      <c r="BO67" s="3">
        <f t="shared" si="44"/>
        <v>0</v>
      </c>
      <c r="BP67" s="3">
        <f t="shared" si="45"/>
        <v>0</v>
      </c>
      <c r="BQ67" s="3">
        <f t="shared" si="46"/>
        <v>0</v>
      </c>
      <c r="BR67" s="3">
        <f t="shared" si="47"/>
        <v>0</v>
      </c>
      <c r="BS67" s="3">
        <f t="shared" si="48"/>
        <v>0</v>
      </c>
      <c r="BT67" s="3">
        <f t="shared" si="49"/>
        <v>0</v>
      </c>
      <c r="BU67" s="3">
        <f t="shared" si="50"/>
        <v>0</v>
      </c>
      <c r="BV67" s="3">
        <f t="shared" si="51"/>
        <v>0</v>
      </c>
      <c r="BW67" s="3">
        <f t="shared" si="52"/>
        <v>0</v>
      </c>
      <c r="BX67" s="4"/>
      <c r="CB67" s="87">
        <v>0</v>
      </c>
      <c r="CC67" s="87">
        <v>0</v>
      </c>
      <c r="CD67" s="87">
        <v>0</v>
      </c>
      <c r="CE67" s="87">
        <v>0</v>
      </c>
      <c r="CF67" s="87">
        <v>0</v>
      </c>
      <c r="CG67" s="87">
        <v>0</v>
      </c>
      <c r="CH67" s="88">
        <v>0</v>
      </c>
      <c r="CI67" s="88">
        <v>0</v>
      </c>
      <c r="CJ67" s="87">
        <v>0</v>
      </c>
      <c r="CK67" s="87">
        <v>0</v>
      </c>
      <c r="CL67" s="89">
        <f t="shared" si="54"/>
        <v>0</v>
      </c>
    </row>
    <row r="68" spans="1:90" ht="21.75" customHeight="1" x14ac:dyDescent="0.25">
      <c r="A68" s="54">
        <v>49</v>
      </c>
      <c r="B68" s="20" t="s">
        <v>129</v>
      </c>
      <c r="C68" s="9" t="s">
        <v>130</v>
      </c>
      <c r="D68" s="105">
        <v>0.34722222222222227</v>
      </c>
      <c r="E68" s="105">
        <v>0.97777777777777775</v>
      </c>
      <c r="F68" s="105">
        <v>0.34791666666666665</v>
      </c>
      <c r="G68" s="105">
        <v>0.95972222222222225</v>
      </c>
      <c r="H68" s="105">
        <v>0.34861111111111115</v>
      </c>
      <c r="I68" s="105">
        <v>0.95972222222222225</v>
      </c>
      <c r="J68" s="105">
        <v>0.3611111111111111</v>
      </c>
      <c r="K68" s="105">
        <v>0.95694444444444438</v>
      </c>
      <c r="L68" s="105">
        <v>0.34722222222222227</v>
      </c>
      <c r="M68" s="105">
        <v>0.95833333333333337</v>
      </c>
      <c r="N68" s="107">
        <v>0.57777777777777783</v>
      </c>
      <c r="O68" s="107">
        <v>0.94374999999999998</v>
      </c>
      <c r="P68" s="105">
        <v>0.34722222222222227</v>
      </c>
      <c r="Q68" s="105">
        <v>0.96111111111111114</v>
      </c>
      <c r="R68" s="105">
        <v>0.34375</v>
      </c>
      <c r="S68" s="105">
        <v>0.94444444444444453</v>
      </c>
      <c r="T68" s="105">
        <v>0.35069444444444442</v>
      </c>
      <c r="U68" s="105">
        <v>0.94027777777777777</v>
      </c>
      <c r="V68" s="105">
        <v>0.34722222222222227</v>
      </c>
      <c r="W68" s="105">
        <v>0.95833333333333337</v>
      </c>
      <c r="X68" s="105">
        <v>0.34652777777777777</v>
      </c>
      <c r="Y68" s="105">
        <v>0.9604166666666667</v>
      </c>
      <c r="Z68" s="105">
        <v>0.34861111111111115</v>
      </c>
      <c r="AA68" s="105">
        <v>0.97499999999999998</v>
      </c>
      <c r="AB68" s="107">
        <v>0.57638888888888895</v>
      </c>
      <c r="AC68" s="107">
        <v>0.96250000000000002</v>
      </c>
      <c r="AD68" s="105">
        <v>0.34722222222222227</v>
      </c>
      <c r="AE68" s="105">
        <v>2.8472222222222222E-2</v>
      </c>
      <c r="AF68" s="105">
        <v>0.34027777777777773</v>
      </c>
      <c r="AG68" s="105">
        <v>0.99305555555555547</v>
      </c>
      <c r="AI68" s="18">
        <v>49</v>
      </c>
      <c r="AJ68" s="105">
        <v>0.35069444444444442</v>
      </c>
      <c r="AK68" s="105">
        <v>3.3333333333333333E-2</v>
      </c>
      <c r="AL68" s="105">
        <v>0.34513888888888888</v>
      </c>
      <c r="AM68" s="105">
        <v>4.4444444444444446E-2</v>
      </c>
      <c r="AN68" s="105">
        <v>0.37083333333333335</v>
      </c>
      <c r="AO68" s="105">
        <v>5.1388888888888894E-2</v>
      </c>
      <c r="AP68" s="105">
        <v>0.36805555555555558</v>
      </c>
      <c r="AQ68" s="105">
        <v>4.7222222222222221E-2</v>
      </c>
      <c r="AR68" s="107">
        <v>0.57777777777777783</v>
      </c>
      <c r="AS68" s="107">
        <v>6.8749999999999992E-2</v>
      </c>
      <c r="AT68" s="105">
        <v>0.37083333333333335</v>
      </c>
      <c r="AU68" s="105">
        <v>4.4444444444444446E-2</v>
      </c>
      <c r="AV68" s="105">
        <v>0.36805555555555558</v>
      </c>
      <c r="AW68" s="105">
        <v>0.85069444444444453</v>
      </c>
      <c r="AX68" s="105">
        <v>0.37152777777777773</v>
      </c>
      <c r="AY68" s="105">
        <v>5.9027777777777783E-2</v>
      </c>
      <c r="AZ68" s="105">
        <v>0.37222222222222223</v>
      </c>
      <c r="BA68" s="105">
        <v>5.0694444444444452E-2</v>
      </c>
      <c r="BB68" s="105">
        <v>0.37083333333333335</v>
      </c>
      <c r="BC68" s="105">
        <v>4.9305555555555554E-2</v>
      </c>
      <c r="BD68" s="105">
        <v>0.37013888888888885</v>
      </c>
      <c r="BE68" s="105">
        <v>4.2361111111111106E-2</v>
      </c>
      <c r="BF68" s="107">
        <v>0.57500000000000007</v>
      </c>
      <c r="BG68" s="107">
        <v>5.347222222222222E-2</v>
      </c>
      <c r="BH68" s="105">
        <v>0.37083333333333335</v>
      </c>
      <c r="BI68" s="105">
        <v>4.9999999999999996E-2</v>
      </c>
      <c r="BJ68" s="12">
        <f t="shared" si="40"/>
        <v>28</v>
      </c>
      <c r="BK68" s="112">
        <v>4</v>
      </c>
      <c r="BL68" s="2">
        <f t="shared" si="41"/>
        <v>28</v>
      </c>
      <c r="BM68" s="3">
        <f t="shared" si="42"/>
        <v>0</v>
      </c>
      <c r="BN68" s="3">
        <f t="shared" si="43"/>
        <v>0</v>
      </c>
      <c r="BO68" s="3">
        <f t="shared" si="44"/>
        <v>0</v>
      </c>
      <c r="BP68" s="3">
        <f t="shared" si="45"/>
        <v>0</v>
      </c>
      <c r="BQ68" s="3">
        <f t="shared" si="46"/>
        <v>0</v>
      </c>
      <c r="BR68" s="3">
        <f t="shared" si="47"/>
        <v>0</v>
      </c>
      <c r="BS68" s="3">
        <f t="shared" si="48"/>
        <v>0</v>
      </c>
      <c r="BT68" s="3">
        <f t="shared" si="49"/>
        <v>0</v>
      </c>
      <c r="BU68" s="3">
        <f t="shared" si="50"/>
        <v>0</v>
      </c>
      <c r="BV68" s="3">
        <f t="shared" si="51"/>
        <v>0</v>
      </c>
      <c r="BW68" s="3">
        <f t="shared" si="52"/>
        <v>0</v>
      </c>
      <c r="BX68" s="4"/>
      <c r="CB68" s="87">
        <v>0</v>
      </c>
      <c r="CC68" s="87">
        <v>0</v>
      </c>
      <c r="CD68" s="87">
        <v>0</v>
      </c>
      <c r="CE68" s="87">
        <v>0</v>
      </c>
      <c r="CF68" s="87">
        <v>0</v>
      </c>
      <c r="CG68" s="87">
        <v>7</v>
      </c>
      <c r="CH68" s="88">
        <v>0</v>
      </c>
      <c r="CI68" s="88">
        <v>4</v>
      </c>
      <c r="CJ68" s="87">
        <v>0</v>
      </c>
      <c r="CK68" s="87">
        <v>0</v>
      </c>
      <c r="CL68" s="89">
        <f t="shared" si="54"/>
        <v>11</v>
      </c>
    </row>
    <row r="69" spans="1:90" ht="21.75" customHeight="1" x14ac:dyDescent="0.25">
      <c r="A69" s="54">
        <v>50</v>
      </c>
      <c r="B69" s="82" t="s">
        <v>217</v>
      </c>
      <c r="C69" s="81" t="s">
        <v>216</v>
      </c>
      <c r="D69" s="105">
        <v>0.35138888888888892</v>
      </c>
      <c r="E69" s="105">
        <v>0.96111111111111114</v>
      </c>
      <c r="F69" s="105">
        <v>0.3527777777777778</v>
      </c>
      <c r="G69" s="105">
        <v>0.91666666666666663</v>
      </c>
      <c r="H69" s="105">
        <v>0.35347222222222219</v>
      </c>
      <c r="I69" s="105">
        <v>0.92013888888888884</v>
      </c>
      <c r="J69" s="105">
        <v>0.35000000000000003</v>
      </c>
      <c r="K69" s="105">
        <v>0.93194444444444446</v>
      </c>
      <c r="L69" s="105">
        <v>0.3520833333333333</v>
      </c>
      <c r="M69" s="105">
        <v>0.90486111111111101</v>
      </c>
      <c r="N69" s="107">
        <v>0.56874999999999998</v>
      </c>
      <c r="O69" s="107">
        <v>0.94513888888888886</v>
      </c>
      <c r="P69" s="105">
        <v>0.3520833333333333</v>
      </c>
      <c r="Q69" s="105">
        <v>0.9145833333333333</v>
      </c>
      <c r="R69" s="105">
        <v>0.35000000000000003</v>
      </c>
      <c r="S69" s="105">
        <v>0.96736111111111101</v>
      </c>
      <c r="T69" s="105">
        <v>0.3520833333333333</v>
      </c>
      <c r="U69" s="105">
        <v>0.90833333333333333</v>
      </c>
      <c r="V69" s="105">
        <v>0.35069444444444442</v>
      </c>
      <c r="W69" s="105">
        <v>0.9277777777777777</v>
      </c>
      <c r="X69" s="105">
        <v>0.35555555555555557</v>
      </c>
      <c r="Y69" s="105">
        <v>0.99305555555555547</v>
      </c>
      <c r="Z69" s="105">
        <v>0.36527777777777781</v>
      </c>
      <c r="AA69" s="105">
        <v>0.91666666666666663</v>
      </c>
      <c r="AB69" s="107">
        <v>0.57638888888888895</v>
      </c>
      <c r="AC69" s="107">
        <v>0.90416666666666667</v>
      </c>
      <c r="AD69" s="105">
        <v>0.35138888888888892</v>
      </c>
      <c r="AE69" s="113">
        <v>1</v>
      </c>
      <c r="AF69" s="105">
        <v>0.35000000000000003</v>
      </c>
      <c r="AG69" s="113">
        <v>1</v>
      </c>
      <c r="AI69" s="18">
        <v>50</v>
      </c>
      <c r="AJ69" s="105">
        <v>0.34930555555555554</v>
      </c>
      <c r="AK69" s="105">
        <v>0.9868055555555556</v>
      </c>
      <c r="AL69" s="105">
        <v>0.35069444444444442</v>
      </c>
      <c r="AM69" s="105">
        <v>6.9444444444444441E-3</v>
      </c>
      <c r="AN69" s="105">
        <v>0.375</v>
      </c>
      <c r="AO69" s="105">
        <v>2.013888888888889E-2</v>
      </c>
      <c r="AP69" s="105">
        <v>0.37291666666666662</v>
      </c>
      <c r="AQ69" s="105">
        <v>2.2916666666666669E-2</v>
      </c>
      <c r="AR69" s="107">
        <v>0.57500000000000007</v>
      </c>
      <c r="AS69" s="107">
        <v>2.8472222222222222E-2</v>
      </c>
      <c r="AT69" s="105">
        <v>0.37222222222222223</v>
      </c>
      <c r="AU69" s="105">
        <v>3.2638888888888891E-2</v>
      </c>
      <c r="AV69" s="105">
        <v>0.37083333333333335</v>
      </c>
      <c r="AW69" s="105">
        <v>6.9444444444444441E-3</v>
      </c>
      <c r="AX69" s="132" t="s">
        <v>23</v>
      </c>
      <c r="AY69" s="132" t="s">
        <v>23</v>
      </c>
      <c r="AZ69" s="105">
        <v>0.37361111111111112</v>
      </c>
      <c r="BA69" s="105">
        <v>4.6527777777777779E-2</v>
      </c>
      <c r="BB69" s="105">
        <v>0.3659722222222222</v>
      </c>
      <c r="BC69" s="105">
        <v>6.5277777777777782E-2</v>
      </c>
      <c r="BD69" s="105">
        <v>0.37013888888888885</v>
      </c>
      <c r="BE69" s="105">
        <v>2.0833333333333332E-2</v>
      </c>
      <c r="BF69" s="107">
        <v>0.57500000000000007</v>
      </c>
      <c r="BG69" s="107">
        <v>4.4444444444444446E-2</v>
      </c>
      <c r="BH69" s="105">
        <v>0.37152777777777773</v>
      </c>
      <c r="BI69" s="105">
        <v>4.8611111111111112E-2</v>
      </c>
      <c r="BJ69" s="12">
        <f t="shared" si="40"/>
        <v>27</v>
      </c>
      <c r="BK69" s="112">
        <v>4</v>
      </c>
      <c r="BL69" s="2">
        <f t="shared" si="41"/>
        <v>27</v>
      </c>
      <c r="BM69" s="3">
        <f t="shared" si="42"/>
        <v>0</v>
      </c>
      <c r="BN69" s="3">
        <f t="shared" si="43"/>
        <v>0</v>
      </c>
      <c r="BO69" s="3">
        <f t="shared" si="44"/>
        <v>0</v>
      </c>
      <c r="BP69" s="3">
        <f t="shared" si="45"/>
        <v>0</v>
      </c>
      <c r="BQ69" s="3">
        <f t="shared" si="46"/>
        <v>0</v>
      </c>
      <c r="BR69" s="3">
        <f t="shared" si="47"/>
        <v>0</v>
      </c>
      <c r="BS69" s="3">
        <f t="shared" si="48"/>
        <v>0</v>
      </c>
      <c r="BT69" s="3">
        <f t="shared" si="49"/>
        <v>0</v>
      </c>
      <c r="BU69" s="3">
        <f t="shared" si="50"/>
        <v>1</v>
      </c>
      <c r="BV69" s="3">
        <f t="shared" si="51"/>
        <v>0</v>
      </c>
      <c r="BW69" s="3">
        <f t="shared" si="52"/>
        <v>0</v>
      </c>
      <c r="BX69" s="4"/>
      <c r="CB69" s="87">
        <v>0</v>
      </c>
      <c r="CC69" s="87">
        <v>0</v>
      </c>
      <c r="CD69" s="87">
        <v>0</v>
      </c>
      <c r="CE69" s="87">
        <v>0</v>
      </c>
      <c r="CF69" s="87">
        <v>0</v>
      </c>
      <c r="CG69" s="88">
        <v>3</v>
      </c>
      <c r="CH69" s="88">
        <v>1</v>
      </c>
      <c r="CI69" s="88">
        <v>1</v>
      </c>
      <c r="CJ69" s="87">
        <v>0</v>
      </c>
      <c r="CK69" s="87">
        <v>0</v>
      </c>
      <c r="CL69" s="89">
        <f t="shared" si="54"/>
        <v>5</v>
      </c>
    </row>
    <row r="70" spans="1:90" ht="21.75" customHeight="1" x14ac:dyDescent="0.25">
      <c r="A70" s="54">
        <v>51</v>
      </c>
      <c r="B70" s="20" t="s">
        <v>131</v>
      </c>
      <c r="C70" s="9" t="s">
        <v>132</v>
      </c>
      <c r="D70" s="105">
        <v>0.33333333333333331</v>
      </c>
      <c r="E70" s="105">
        <v>0.96458333333333324</v>
      </c>
      <c r="F70" s="105">
        <v>0.33680555555555558</v>
      </c>
      <c r="G70" s="105">
        <v>0.93055555555555547</v>
      </c>
      <c r="H70" s="105">
        <v>0.3354166666666667</v>
      </c>
      <c r="I70" s="105">
        <v>0.95277777777777783</v>
      </c>
      <c r="J70" s="105">
        <v>0.3347222222222222</v>
      </c>
      <c r="K70" s="105">
        <v>0.9868055555555556</v>
      </c>
      <c r="L70" s="105">
        <v>0.33680555555555558</v>
      </c>
      <c r="M70" s="105">
        <v>4.1666666666666666E-3</v>
      </c>
      <c r="N70" s="122" t="s">
        <v>15</v>
      </c>
      <c r="O70" s="122" t="s">
        <v>15</v>
      </c>
      <c r="P70" s="105">
        <v>0.3347222222222222</v>
      </c>
      <c r="Q70" s="105">
        <v>0.94374999999999998</v>
      </c>
      <c r="R70" s="105">
        <v>0.33749999999999997</v>
      </c>
      <c r="S70" s="105">
        <v>0.95972222222222225</v>
      </c>
      <c r="T70" s="105">
        <v>0.34236111111111112</v>
      </c>
      <c r="U70" s="105">
        <v>0.93680555555555556</v>
      </c>
      <c r="V70" s="105">
        <v>0.33749999999999997</v>
      </c>
      <c r="W70" s="105">
        <v>0.9604166666666667</v>
      </c>
      <c r="X70" s="105">
        <v>0.3354166666666667</v>
      </c>
      <c r="Y70" s="113">
        <v>1</v>
      </c>
      <c r="Z70" s="105">
        <v>0.3347222222222222</v>
      </c>
      <c r="AA70" s="105">
        <v>0.98888888888888893</v>
      </c>
      <c r="AB70" s="107">
        <v>0.58194444444444449</v>
      </c>
      <c r="AC70" s="107">
        <v>0.96250000000000002</v>
      </c>
      <c r="AD70" s="105">
        <v>0.34375</v>
      </c>
      <c r="AE70" s="105">
        <v>0.9604166666666667</v>
      </c>
      <c r="AF70" s="105">
        <v>0.33749999999999997</v>
      </c>
      <c r="AG70" s="105">
        <v>0</v>
      </c>
      <c r="AI70" s="18">
        <v>51</v>
      </c>
      <c r="AJ70" s="105">
        <v>0.34375</v>
      </c>
      <c r="AK70" s="105">
        <v>1.6666666666666666E-2</v>
      </c>
      <c r="AL70" s="105">
        <v>0.34027777777777773</v>
      </c>
      <c r="AM70" s="105">
        <v>6.6666666666666666E-2</v>
      </c>
      <c r="AN70" s="105">
        <v>0.36944444444444446</v>
      </c>
      <c r="AO70" s="105">
        <v>2.2222222222222223E-2</v>
      </c>
      <c r="AP70" s="105">
        <v>0.37083333333333335</v>
      </c>
      <c r="AQ70" s="105">
        <v>4.7916666666666663E-2</v>
      </c>
      <c r="AR70" s="107">
        <v>0.56388888888888888</v>
      </c>
      <c r="AS70" s="107">
        <v>9.3055555555555558E-2</v>
      </c>
      <c r="AT70" s="105">
        <v>0.375</v>
      </c>
      <c r="AU70" s="105">
        <v>4.2361111111111106E-2</v>
      </c>
      <c r="AV70" s="105">
        <v>0.3743055555555555</v>
      </c>
      <c r="AW70" s="105">
        <v>0.84722222222222221</v>
      </c>
      <c r="AX70" s="105">
        <v>0.3743055555555555</v>
      </c>
      <c r="AY70" s="105">
        <v>8.6805555555555566E-2</v>
      </c>
      <c r="AZ70" s="105">
        <v>0.37291666666666662</v>
      </c>
      <c r="BA70" s="105">
        <v>9.2361111111111116E-2</v>
      </c>
      <c r="BB70" s="105">
        <v>0.37152777777777773</v>
      </c>
      <c r="BC70" s="105">
        <v>4.9305555555555554E-2</v>
      </c>
      <c r="BD70" s="105">
        <v>0.37083333333333335</v>
      </c>
      <c r="BE70" s="105">
        <v>4.3750000000000004E-2</v>
      </c>
      <c r="BF70" s="107">
        <v>0.56666666666666665</v>
      </c>
      <c r="BG70" s="107">
        <v>5.1388888888888894E-2</v>
      </c>
      <c r="BH70" s="105">
        <v>0.3666666666666667</v>
      </c>
      <c r="BI70" s="105">
        <v>6.7361111111111108E-2</v>
      </c>
      <c r="BJ70" s="12">
        <f t="shared" si="40"/>
        <v>28</v>
      </c>
      <c r="BK70" s="112">
        <v>3</v>
      </c>
      <c r="BL70" s="2">
        <f t="shared" si="41"/>
        <v>27</v>
      </c>
      <c r="BM70" s="3">
        <f t="shared" si="42"/>
        <v>1</v>
      </c>
      <c r="BN70" s="3">
        <f t="shared" si="43"/>
        <v>0</v>
      </c>
      <c r="BO70" s="3">
        <f t="shared" si="44"/>
        <v>0</v>
      </c>
      <c r="BP70" s="3">
        <f t="shared" si="45"/>
        <v>0</v>
      </c>
      <c r="BQ70" s="3">
        <f t="shared" si="46"/>
        <v>0</v>
      </c>
      <c r="BR70" s="3">
        <f t="shared" si="47"/>
        <v>0</v>
      </c>
      <c r="BS70" s="3">
        <f t="shared" si="48"/>
        <v>0</v>
      </c>
      <c r="BT70" s="3">
        <f t="shared" si="49"/>
        <v>0</v>
      </c>
      <c r="BU70" s="3">
        <f t="shared" si="50"/>
        <v>0</v>
      </c>
      <c r="BV70" s="3">
        <f t="shared" si="51"/>
        <v>0</v>
      </c>
      <c r="BW70" s="3">
        <f t="shared" si="52"/>
        <v>0</v>
      </c>
      <c r="BX70" s="4"/>
      <c r="CB70" s="87">
        <v>0</v>
      </c>
      <c r="CC70" s="87">
        <v>0</v>
      </c>
      <c r="CD70" s="87">
        <v>0</v>
      </c>
      <c r="CE70" s="87">
        <v>0</v>
      </c>
      <c r="CF70" s="87">
        <v>0</v>
      </c>
      <c r="CG70" s="88">
        <v>11</v>
      </c>
      <c r="CH70" s="87">
        <v>0</v>
      </c>
      <c r="CI70" s="87">
        <v>0</v>
      </c>
      <c r="CJ70" s="87">
        <v>0</v>
      </c>
      <c r="CK70" s="87">
        <v>0</v>
      </c>
      <c r="CL70" s="89">
        <f t="shared" si="54"/>
        <v>11</v>
      </c>
    </row>
    <row r="71" spans="1:90" ht="21.75" customHeight="1" x14ac:dyDescent="0.25">
      <c r="A71" s="54">
        <v>52</v>
      </c>
      <c r="B71" s="20" t="s">
        <v>133</v>
      </c>
      <c r="C71" s="9" t="s">
        <v>134</v>
      </c>
      <c r="D71" s="105">
        <v>0.35069444444444442</v>
      </c>
      <c r="E71" s="105">
        <v>0.97986111111111107</v>
      </c>
      <c r="F71" s="105">
        <v>0.35138888888888892</v>
      </c>
      <c r="G71" s="105">
        <v>0.95833333333333337</v>
      </c>
      <c r="H71" s="105">
        <v>0.34930555555555554</v>
      </c>
      <c r="I71" s="105">
        <v>0.95763888888888893</v>
      </c>
      <c r="J71" s="105">
        <v>0.3520833333333333</v>
      </c>
      <c r="K71" s="105">
        <v>0.98611111111111116</v>
      </c>
      <c r="L71" s="105">
        <v>0.3520833333333333</v>
      </c>
      <c r="M71" s="105">
        <v>2.1527777777777781E-2</v>
      </c>
      <c r="N71" s="107">
        <v>0.58124999999999993</v>
      </c>
      <c r="O71" s="107">
        <v>0.95277777777777783</v>
      </c>
      <c r="P71" s="105">
        <v>0.35000000000000003</v>
      </c>
      <c r="Q71" s="105">
        <v>0.97638888888888886</v>
      </c>
      <c r="R71" s="105">
        <v>0.35138888888888892</v>
      </c>
      <c r="S71" s="105">
        <v>0.96805555555555556</v>
      </c>
      <c r="T71" s="105">
        <v>0.34930555555555554</v>
      </c>
      <c r="U71" s="105">
        <v>0.93263888888888891</v>
      </c>
      <c r="V71" s="105">
        <v>0.35069444444444442</v>
      </c>
      <c r="W71" s="105">
        <v>0.95833333333333337</v>
      </c>
      <c r="X71" s="105">
        <v>0.34791666666666665</v>
      </c>
      <c r="Y71" s="105">
        <v>0</v>
      </c>
      <c r="Z71" s="105">
        <v>0.35000000000000003</v>
      </c>
      <c r="AA71" s="105">
        <v>2.7777777777777779E-3</v>
      </c>
      <c r="AB71" s="107">
        <v>0.58194444444444449</v>
      </c>
      <c r="AC71" s="107">
        <v>5.2777777777777778E-2</v>
      </c>
      <c r="AD71" s="105">
        <v>0.34861111111111115</v>
      </c>
      <c r="AE71" s="105">
        <v>2.4999999999999998E-2</v>
      </c>
      <c r="AF71" s="105">
        <v>0.34861111111111115</v>
      </c>
      <c r="AG71" s="105">
        <v>0.99375000000000002</v>
      </c>
      <c r="AI71" s="18">
        <v>52</v>
      </c>
      <c r="AJ71" s="105">
        <v>0.35138888888888892</v>
      </c>
      <c r="AK71" s="105">
        <v>4.1666666666666664E-2</v>
      </c>
      <c r="AL71" s="105">
        <v>0.3520833333333333</v>
      </c>
      <c r="AM71" s="105">
        <v>6.5972222222222224E-2</v>
      </c>
      <c r="AN71" s="105">
        <v>0.37708333333333338</v>
      </c>
      <c r="AO71" s="105">
        <v>4.7222222222222221E-2</v>
      </c>
      <c r="AP71" s="105">
        <v>0.37361111111111112</v>
      </c>
      <c r="AQ71" s="105">
        <v>4.7916666666666663E-2</v>
      </c>
      <c r="AR71" s="107">
        <v>0.58263888888888882</v>
      </c>
      <c r="AS71" s="107">
        <v>0.58263888888888882</v>
      </c>
      <c r="AT71" s="105">
        <v>0.37638888888888888</v>
      </c>
      <c r="AU71" s="105">
        <v>4.7916666666666663E-2</v>
      </c>
      <c r="AV71" s="105">
        <v>0.375</v>
      </c>
      <c r="AW71" s="105">
        <v>4.7916666666666663E-2</v>
      </c>
      <c r="AX71" s="105">
        <v>0.40416666666666662</v>
      </c>
      <c r="AY71" s="105">
        <v>7.8472222222222221E-2</v>
      </c>
      <c r="AZ71" s="105">
        <v>0.38680555555555557</v>
      </c>
      <c r="BA71" s="105">
        <v>4.1666666666666664E-2</v>
      </c>
      <c r="BB71" s="105">
        <v>0.375</v>
      </c>
      <c r="BC71" s="105">
        <v>4.8611111111111112E-2</v>
      </c>
      <c r="BD71" s="105">
        <v>0.3743055555555555</v>
      </c>
      <c r="BE71" s="105">
        <v>4.3055555555555562E-2</v>
      </c>
      <c r="BF71" s="107">
        <v>0.58124999999999993</v>
      </c>
      <c r="BG71" s="107">
        <v>5.1388888888888894E-2</v>
      </c>
      <c r="BH71" s="105">
        <v>0.3743055555555555</v>
      </c>
      <c r="BI71" s="105">
        <v>6.805555555555555E-2</v>
      </c>
      <c r="BJ71" s="12">
        <f t="shared" si="40"/>
        <v>28</v>
      </c>
      <c r="BK71" s="112">
        <v>4</v>
      </c>
      <c r="BL71" s="2">
        <f t="shared" si="41"/>
        <v>28</v>
      </c>
      <c r="BM71" s="3">
        <f t="shared" si="42"/>
        <v>0</v>
      </c>
      <c r="BN71" s="3">
        <f t="shared" si="43"/>
        <v>0</v>
      </c>
      <c r="BO71" s="3">
        <f t="shared" si="44"/>
        <v>0</v>
      </c>
      <c r="BP71" s="3">
        <f t="shared" si="45"/>
        <v>0</v>
      </c>
      <c r="BQ71" s="3">
        <f t="shared" si="46"/>
        <v>0</v>
      </c>
      <c r="BR71" s="3">
        <f t="shared" si="47"/>
        <v>0</v>
      </c>
      <c r="BS71" s="3">
        <f t="shared" si="48"/>
        <v>0</v>
      </c>
      <c r="BT71" s="3">
        <f t="shared" si="49"/>
        <v>0</v>
      </c>
      <c r="BU71" s="3">
        <f t="shared" si="50"/>
        <v>0</v>
      </c>
      <c r="BV71" s="3">
        <f t="shared" si="51"/>
        <v>0</v>
      </c>
      <c r="BW71" s="3">
        <f t="shared" si="52"/>
        <v>0</v>
      </c>
      <c r="BX71" s="4"/>
      <c r="CB71" s="87">
        <v>0</v>
      </c>
      <c r="CC71" s="87">
        <v>0</v>
      </c>
      <c r="CD71" s="87">
        <v>0</v>
      </c>
      <c r="CE71" s="87">
        <v>0</v>
      </c>
      <c r="CF71" s="87">
        <v>0</v>
      </c>
      <c r="CG71" s="88">
        <v>1</v>
      </c>
      <c r="CH71" s="88">
        <v>1</v>
      </c>
      <c r="CI71" s="87">
        <v>0</v>
      </c>
      <c r="CJ71" s="87">
        <v>0</v>
      </c>
      <c r="CK71" s="87">
        <v>0</v>
      </c>
      <c r="CL71" s="89">
        <f t="shared" si="54"/>
        <v>2</v>
      </c>
    </row>
    <row r="72" spans="1:90" ht="21.75" customHeight="1" x14ac:dyDescent="0.25">
      <c r="A72" s="54">
        <v>53</v>
      </c>
      <c r="B72" s="20" t="s">
        <v>135</v>
      </c>
      <c r="C72" s="9" t="s">
        <v>136</v>
      </c>
      <c r="D72" s="105">
        <v>0.35138888888888892</v>
      </c>
      <c r="E72" s="105">
        <v>0.96111111111111114</v>
      </c>
      <c r="F72" s="105">
        <v>0.34930555555555554</v>
      </c>
      <c r="G72" s="105">
        <v>0.90555555555555556</v>
      </c>
      <c r="H72" s="105">
        <v>0.35138888888888892</v>
      </c>
      <c r="I72" s="105">
        <v>0.92847222222222225</v>
      </c>
      <c r="J72" s="105">
        <v>0.36388888888888887</v>
      </c>
      <c r="K72" s="105">
        <v>0.90069444444444446</v>
      </c>
      <c r="L72" s="105">
        <v>0.34722222222222227</v>
      </c>
      <c r="M72" s="105">
        <v>0.89583333333333337</v>
      </c>
      <c r="N72" s="122" t="s">
        <v>15</v>
      </c>
      <c r="O72" s="122" t="s">
        <v>15</v>
      </c>
      <c r="P72" s="105">
        <v>0.35138888888888892</v>
      </c>
      <c r="Q72" s="105">
        <v>0.93333333333333324</v>
      </c>
      <c r="R72" s="105">
        <v>0.35625000000000001</v>
      </c>
      <c r="S72" s="105">
        <v>0.96736111111111101</v>
      </c>
      <c r="T72" s="105">
        <v>0.35416666666666669</v>
      </c>
      <c r="U72" s="105">
        <v>0.89583333333333337</v>
      </c>
      <c r="V72" s="105">
        <v>0.35625000000000001</v>
      </c>
      <c r="W72" s="113">
        <v>1</v>
      </c>
      <c r="X72" s="105">
        <v>0.35069444444444442</v>
      </c>
      <c r="Y72" s="105">
        <v>0.99375000000000002</v>
      </c>
      <c r="Z72" s="105">
        <v>0.35069444444444442</v>
      </c>
      <c r="AA72" s="105">
        <v>0.91736111111111107</v>
      </c>
      <c r="AB72" s="107">
        <v>0.5805555555555556</v>
      </c>
      <c r="AC72" s="107">
        <v>0.90416666666666667</v>
      </c>
      <c r="AD72" s="105">
        <v>0.35555555555555557</v>
      </c>
      <c r="AE72" s="105">
        <v>0.9243055555555556</v>
      </c>
      <c r="AF72" s="105">
        <v>0.35069444444444442</v>
      </c>
      <c r="AG72" s="105">
        <v>0.95624999999999993</v>
      </c>
      <c r="AI72" s="18">
        <v>53</v>
      </c>
      <c r="AJ72" s="105">
        <v>0.35694444444444445</v>
      </c>
      <c r="AK72" s="105">
        <v>0.98819444444444438</v>
      </c>
      <c r="AL72" s="105">
        <v>0.35902777777777778</v>
      </c>
      <c r="AM72" s="105">
        <v>4.3055555555555562E-2</v>
      </c>
      <c r="AN72" s="105">
        <v>0.37847222222222227</v>
      </c>
      <c r="AO72" s="105">
        <v>2.7777777777777776E-2</v>
      </c>
      <c r="AP72" s="105">
        <v>0.3743055555555555</v>
      </c>
      <c r="AQ72" s="105">
        <v>2.2222222222222223E-2</v>
      </c>
      <c r="AR72" s="107">
        <v>0.58333333333333337</v>
      </c>
      <c r="AS72" s="107">
        <v>3.1944444444444449E-2</v>
      </c>
      <c r="AT72" s="105">
        <v>0.3756944444444445</v>
      </c>
      <c r="AU72" s="105">
        <v>4.9305555555555554E-2</v>
      </c>
      <c r="AV72" s="105">
        <v>0.37361111111111112</v>
      </c>
      <c r="AW72" s="105">
        <v>0.85069444444444453</v>
      </c>
      <c r="AX72" s="105">
        <v>0.3743055555555555</v>
      </c>
      <c r="AY72" s="105">
        <v>4.9999999999999996E-2</v>
      </c>
      <c r="AZ72" s="105">
        <v>0.375</v>
      </c>
      <c r="BA72" s="105">
        <v>1</v>
      </c>
      <c r="BB72" s="105">
        <v>0.375</v>
      </c>
      <c r="BC72" s="105">
        <v>7.0833333333333331E-2</v>
      </c>
      <c r="BD72" s="105">
        <v>0.375</v>
      </c>
      <c r="BE72" s="105">
        <v>4.1666666666666664E-2</v>
      </c>
      <c r="BF72" s="107">
        <v>0.57916666666666672</v>
      </c>
      <c r="BG72" s="107">
        <v>4.4444444444444446E-2</v>
      </c>
      <c r="BH72" s="105">
        <v>0.375</v>
      </c>
      <c r="BI72" s="105">
        <v>5.9722222222222225E-2</v>
      </c>
      <c r="BJ72" s="12">
        <f t="shared" si="40"/>
        <v>28</v>
      </c>
      <c r="BK72" s="112">
        <v>3</v>
      </c>
      <c r="BL72" s="2">
        <f t="shared" si="41"/>
        <v>27</v>
      </c>
      <c r="BM72" s="3">
        <f t="shared" si="42"/>
        <v>1</v>
      </c>
      <c r="BN72" s="3">
        <f t="shared" si="43"/>
        <v>0</v>
      </c>
      <c r="BO72" s="3">
        <f t="shared" si="44"/>
        <v>0</v>
      </c>
      <c r="BP72" s="3">
        <f t="shared" si="45"/>
        <v>0</v>
      </c>
      <c r="BQ72" s="3">
        <f t="shared" si="46"/>
        <v>0</v>
      </c>
      <c r="BR72" s="3">
        <f t="shared" si="47"/>
        <v>0</v>
      </c>
      <c r="BS72" s="3">
        <f t="shared" si="48"/>
        <v>0</v>
      </c>
      <c r="BT72" s="3">
        <f t="shared" si="49"/>
        <v>0</v>
      </c>
      <c r="BU72" s="3">
        <f t="shared" si="50"/>
        <v>0</v>
      </c>
      <c r="BV72" s="3">
        <f t="shared" si="51"/>
        <v>0</v>
      </c>
      <c r="BW72" s="3">
        <f t="shared" si="52"/>
        <v>0</v>
      </c>
      <c r="BX72" s="4"/>
      <c r="CB72" s="87">
        <v>0</v>
      </c>
      <c r="CC72" s="87">
        <v>0</v>
      </c>
      <c r="CD72" s="87">
        <v>0</v>
      </c>
      <c r="CE72" s="87">
        <v>0</v>
      </c>
      <c r="CF72" s="87">
        <v>0</v>
      </c>
      <c r="CG72" s="88">
        <v>1</v>
      </c>
      <c r="CH72" s="87">
        <v>0</v>
      </c>
      <c r="CI72" s="87">
        <v>0</v>
      </c>
      <c r="CJ72" s="87">
        <v>0</v>
      </c>
      <c r="CK72" s="87">
        <v>0</v>
      </c>
      <c r="CL72" s="89">
        <f t="shared" si="54"/>
        <v>1</v>
      </c>
    </row>
    <row r="73" spans="1:90" ht="21.75" customHeight="1" x14ac:dyDescent="0.25">
      <c r="A73" s="54">
        <v>54</v>
      </c>
      <c r="B73" s="20" t="s">
        <v>137</v>
      </c>
      <c r="C73" s="9" t="s">
        <v>201</v>
      </c>
      <c r="D73" s="105">
        <v>0.34375</v>
      </c>
      <c r="E73" s="105">
        <v>0.95208333333333339</v>
      </c>
      <c r="F73" s="105">
        <v>0.3444444444444445</v>
      </c>
      <c r="G73" s="105">
        <v>0.95416666666666661</v>
      </c>
      <c r="H73" s="105">
        <v>0.34513888888888888</v>
      </c>
      <c r="I73" s="105">
        <v>0.95138888888888884</v>
      </c>
      <c r="J73" s="105">
        <v>0.3444444444444445</v>
      </c>
      <c r="K73" s="105">
        <v>0.94097222222222221</v>
      </c>
      <c r="L73" s="105">
        <v>0.3430555555555555</v>
      </c>
      <c r="M73" s="105">
        <v>0.95972222222222225</v>
      </c>
      <c r="N73" s="122" t="s">
        <v>15</v>
      </c>
      <c r="O73" s="122" t="s">
        <v>15</v>
      </c>
      <c r="P73" s="105">
        <v>0.34166666666666662</v>
      </c>
      <c r="Q73" s="105">
        <v>0.96319444444444446</v>
      </c>
      <c r="R73" s="105">
        <v>0.34236111111111112</v>
      </c>
      <c r="S73" s="105">
        <v>0.95763888888888893</v>
      </c>
      <c r="T73" s="105">
        <v>0.3444444444444445</v>
      </c>
      <c r="U73" s="105">
        <v>0.95624999999999993</v>
      </c>
      <c r="V73" s="105">
        <v>0.34236111111111112</v>
      </c>
      <c r="W73" s="105">
        <v>0.95347222222222217</v>
      </c>
      <c r="X73" s="105">
        <v>0.34513888888888888</v>
      </c>
      <c r="Y73" s="105">
        <v>0.95624999999999993</v>
      </c>
      <c r="Z73" s="105">
        <v>0.34513888888888888</v>
      </c>
      <c r="AA73" s="105">
        <v>0.96666666666666667</v>
      </c>
      <c r="AB73" s="107">
        <v>0.57847222222222217</v>
      </c>
      <c r="AC73" s="107">
        <v>0.94513888888888886</v>
      </c>
      <c r="AD73" s="105">
        <v>0.3444444444444445</v>
      </c>
      <c r="AE73" s="105">
        <v>0.96319444444444446</v>
      </c>
      <c r="AF73" s="105">
        <v>0.34513888888888888</v>
      </c>
      <c r="AG73" s="105">
        <v>0.89444444444444438</v>
      </c>
      <c r="AI73" s="18">
        <v>54</v>
      </c>
      <c r="AJ73" s="105">
        <v>0.3444444444444445</v>
      </c>
      <c r="AK73" s="105">
        <v>0.96319444444444446</v>
      </c>
      <c r="AL73" s="105">
        <v>0.3444444444444445</v>
      </c>
      <c r="AM73" s="105">
        <v>1.2499999999999999E-2</v>
      </c>
      <c r="AN73" s="105">
        <v>0.37083333333333335</v>
      </c>
      <c r="AO73" s="105">
        <v>0.99861111111111101</v>
      </c>
      <c r="AP73" s="105">
        <v>0.37083333333333335</v>
      </c>
      <c r="AQ73" s="105">
        <v>4.1666666666666666E-3</v>
      </c>
      <c r="AR73" s="107">
        <v>0.57916666666666672</v>
      </c>
      <c r="AS73" s="107">
        <v>0.99305555555555547</v>
      </c>
      <c r="AT73" s="105">
        <v>0.36874999999999997</v>
      </c>
      <c r="AU73" s="105">
        <v>0.9916666666666667</v>
      </c>
      <c r="AV73" s="105">
        <v>0.37083333333333335</v>
      </c>
      <c r="AW73" s="105">
        <v>0.84791666666666676</v>
      </c>
      <c r="AX73" s="105">
        <v>0.37013888888888885</v>
      </c>
      <c r="AY73" s="105">
        <v>0.99236111111111114</v>
      </c>
      <c r="AZ73" s="105">
        <v>0.37083333333333335</v>
      </c>
      <c r="BA73" s="105">
        <v>0.85</v>
      </c>
      <c r="BB73" s="105">
        <v>0.37083333333333335</v>
      </c>
      <c r="BC73" s="105">
        <v>6.2499999999999995E-3</v>
      </c>
      <c r="BD73" s="105">
        <v>0.37152777777777773</v>
      </c>
      <c r="BE73" s="105">
        <v>4.1666666666666666E-3</v>
      </c>
      <c r="BF73" s="107">
        <v>0.57777777777777783</v>
      </c>
      <c r="BG73" s="107">
        <v>0.99097222222222225</v>
      </c>
      <c r="BH73" s="105">
        <v>0.37152777777777773</v>
      </c>
      <c r="BI73" s="105">
        <v>2.7777777777777779E-3</v>
      </c>
      <c r="BJ73" s="12">
        <f t="shared" si="40"/>
        <v>28</v>
      </c>
      <c r="BK73" s="112">
        <v>3</v>
      </c>
      <c r="BL73" s="2">
        <f t="shared" si="41"/>
        <v>27</v>
      </c>
      <c r="BM73" s="3">
        <f t="shared" si="42"/>
        <v>1</v>
      </c>
      <c r="BN73" s="3">
        <f t="shared" si="43"/>
        <v>0</v>
      </c>
      <c r="BO73" s="3">
        <f t="shared" si="44"/>
        <v>0</v>
      </c>
      <c r="BP73" s="3">
        <f t="shared" si="45"/>
        <v>0</v>
      </c>
      <c r="BQ73" s="3">
        <f t="shared" si="46"/>
        <v>0</v>
      </c>
      <c r="BR73" s="3">
        <f t="shared" si="47"/>
        <v>0</v>
      </c>
      <c r="BS73" s="3">
        <f t="shared" si="48"/>
        <v>0</v>
      </c>
      <c r="BT73" s="3">
        <f t="shared" si="49"/>
        <v>0</v>
      </c>
      <c r="BU73" s="3">
        <f t="shared" si="50"/>
        <v>0</v>
      </c>
      <c r="BV73" s="3">
        <f t="shared" si="51"/>
        <v>0</v>
      </c>
      <c r="BW73" s="3">
        <f t="shared" si="52"/>
        <v>0</v>
      </c>
      <c r="BX73" s="4"/>
      <c r="CB73" s="87">
        <v>0</v>
      </c>
      <c r="CC73" s="87">
        <v>0</v>
      </c>
      <c r="CD73" s="87">
        <v>0</v>
      </c>
      <c r="CE73" s="87">
        <v>0</v>
      </c>
      <c r="CF73" s="87">
        <v>0</v>
      </c>
      <c r="CG73" s="88">
        <v>3</v>
      </c>
      <c r="CH73" s="88">
        <v>1</v>
      </c>
      <c r="CI73" s="87">
        <v>0</v>
      </c>
      <c r="CJ73" s="87">
        <v>0</v>
      </c>
      <c r="CK73" s="87">
        <v>0</v>
      </c>
      <c r="CL73" s="89">
        <f t="shared" si="54"/>
        <v>4</v>
      </c>
    </row>
    <row r="74" spans="1:90" ht="21.75" customHeight="1" x14ac:dyDescent="0.25">
      <c r="A74" s="54">
        <v>55</v>
      </c>
      <c r="B74" s="20" t="s">
        <v>138</v>
      </c>
      <c r="C74" s="9" t="s">
        <v>206</v>
      </c>
      <c r="D74" s="105">
        <v>0.34861111111111115</v>
      </c>
      <c r="E74" s="105">
        <v>0.9194444444444444</v>
      </c>
      <c r="F74" s="105">
        <v>0.34375</v>
      </c>
      <c r="G74" s="105">
        <v>0.90555555555555556</v>
      </c>
      <c r="H74" s="105">
        <v>0.34791666666666665</v>
      </c>
      <c r="I74" s="105">
        <v>0.9194444444444444</v>
      </c>
      <c r="J74" s="105">
        <v>0.90069444444444446</v>
      </c>
      <c r="K74" s="113">
        <v>1</v>
      </c>
      <c r="L74" s="105">
        <v>0.34791666666666665</v>
      </c>
      <c r="M74" s="105">
        <v>0.89583333333333337</v>
      </c>
      <c r="N74" s="122" t="s">
        <v>15</v>
      </c>
      <c r="O74" s="122" t="s">
        <v>15</v>
      </c>
      <c r="P74" s="105">
        <v>0.34375</v>
      </c>
      <c r="Q74" s="105">
        <v>0.9194444444444444</v>
      </c>
      <c r="R74" s="105">
        <v>0.34652777777777777</v>
      </c>
      <c r="S74" s="105">
        <v>0.89861111111111114</v>
      </c>
      <c r="T74" s="105">
        <v>0.34722222222222227</v>
      </c>
      <c r="U74" s="105">
        <v>0.89583333333333337</v>
      </c>
      <c r="V74" s="105">
        <v>0.34861111111111115</v>
      </c>
      <c r="W74" s="105">
        <v>0.89722222222222225</v>
      </c>
      <c r="X74" s="105">
        <v>0.35069444444444442</v>
      </c>
      <c r="Y74" s="105">
        <v>0.89444444444444438</v>
      </c>
      <c r="Z74" s="105">
        <v>0.34791666666666665</v>
      </c>
      <c r="AA74" s="105">
        <v>0.90208333333333324</v>
      </c>
      <c r="AB74" s="107">
        <v>0.57916666666666672</v>
      </c>
      <c r="AC74" s="107">
        <v>0.88263888888888886</v>
      </c>
      <c r="AD74" s="105">
        <v>0.34722222222222227</v>
      </c>
      <c r="AE74" s="105">
        <v>0.90555555555555556</v>
      </c>
      <c r="AF74" s="105">
        <v>0.34722222222222227</v>
      </c>
      <c r="AG74" s="105">
        <v>0.96666666666666667</v>
      </c>
      <c r="AI74" s="18">
        <v>55</v>
      </c>
      <c r="AJ74" s="105">
        <v>0.34861111111111115</v>
      </c>
      <c r="AK74" s="105">
        <v>0.92499999999999993</v>
      </c>
      <c r="AL74" s="105">
        <v>0.34930555555555554</v>
      </c>
      <c r="AM74" s="105">
        <v>2.4305555555555556E-2</v>
      </c>
      <c r="AN74" s="105">
        <v>0.37361111111111112</v>
      </c>
      <c r="AO74" s="105">
        <v>2.7083333333333334E-2</v>
      </c>
      <c r="AP74" s="105">
        <v>0.3666666666666667</v>
      </c>
      <c r="AQ74" s="105">
        <v>2.2222222222222223E-2</v>
      </c>
      <c r="AR74" s="107">
        <v>0.57986111111111105</v>
      </c>
      <c r="AS74" s="107">
        <v>4.1666666666666666E-3</v>
      </c>
      <c r="AT74" s="105">
        <v>0.37013888888888885</v>
      </c>
      <c r="AU74" s="105">
        <v>1.9444444444444445E-2</v>
      </c>
      <c r="AV74" s="105">
        <v>0.37361111111111112</v>
      </c>
      <c r="AW74" s="105">
        <v>0.84930555555555554</v>
      </c>
      <c r="AX74" s="105">
        <v>0.37222222222222223</v>
      </c>
      <c r="AY74" s="105">
        <v>1.5972222222222224E-2</v>
      </c>
      <c r="AZ74" s="105">
        <v>0.37291666666666662</v>
      </c>
      <c r="BA74" s="105">
        <v>7.6388888888888886E-3</v>
      </c>
      <c r="BB74" s="105">
        <v>0.37152777777777773</v>
      </c>
      <c r="BC74" s="105">
        <v>1.2499999999999999E-2</v>
      </c>
      <c r="BD74" s="105">
        <v>0.3743055555555555</v>
      </c>
      <c r="BE74" s="105">
        <v>2.013888888888889E-2</v>
      </c>
      <c r="BF74" s="107">
        <v>0.57847222222222217</v>
      </c>
      <c r="BG74" s="107">
        <v>0.99305555555555547</v>
      </c>
      <c r="BH74" s="105">
        <v>0.3743055555555555</v>
      </c>
      <c r="BI74" s="105">
        <v>4.8611111111111112E-3</v>
      </c>
      <c r="BJ74" s="12">
        <f t="shared" si="40"/>
        <v>28</v>
      </c>
      <c r="BK74" s="112">
        <v>3</v>
      </c>
      <c r="BL74" s="2">
        <f t="shared" si="41"/>
        <v>27</v>
      </c>
      <c r="BM74" s="3">
        <f t="shared" si="42"/>
        <v>1</v>
      </c>
      <c r="BN74" s="3">
        <f t="shared" si="43"/>
        <v>0</v>
      </c>
      <c r="BO74" s="3">
        <f t="shared" si="44"/>
        <v>0</v>
      </c>
      <c r="BP74" s="3">
        <f t="shared" si="45"/>
        <v>0</v>
      </c>
      <c r="BQ74" s="3">
        <f t="shared" si="46"/>
        <v>0</v>
      </c>
      <c r="BR74" s="3">
        <f t="shared" si="47"/>
        <v>0</v>
      </c>
      <c r="BS74" s="3">
        <f t="shared" si="48"/>
        <v>0</v>
      </c>
      <c r="BT74" s="3">
        <f t="shared" si="49"/>
        <v>0</v>
      </c>
      <c r="BU74" s="3">
        <f t="shared" si="50"/>
        <v>0</v>
      </c>
      <c r="BV74" s="3">
        <f t="shared" si="51"/>
        <v>0</v>
      </c>
      <c r="BW74" s="3">
        <f t="shared" si="52"/>
        <v>0</v>
      </c>
      <c r="BX74" s="4"/>
      <c r="CB74" s="87">
        <v>0</v>
      </c>
      <c r="CC74" s="87">
        <v>0</v>
      </c>
      <c r="CD74" s="87">
        <v>0</v>
      </c>
      <c r="CE74" s="87">
        <v>0</v>
      </c>
      <c r="CF74" s="87">
        <v>0</v>
      </c>
      <c r="CG74" s="88">
        <v>1</v>
      </c>
      <c r="CH74" s="87">
        <v>0</v>
      </c>
      <c r="CI74" s="87">
        <v>0</v>
      </c>
      <c r="CJ74" s="87">
        <v>0</v>
      </c>
      <c r="CK74" s="87">
        <v>0</v>
      </c>
      <c r="CL74" s="89">
        <f t="shared" si="54"/>
        <v>1</v>
      </c>
    </row>
    <row r="75" spans="1:90" ht="21.75" customHeight="1" x14ac:dyDescent="0.25">
      <c r="A75" s="54">
        <v>56</v>
      </c>
      <c r="B75" s="20" t="s">
        <v>139</v>
      </c>
      <c r="C75" s="9" t="s">
        <v>207</v>
      </c>
      <c r="D75" s="105">
        <v>0.35000000000000003</v>
      </c>
      <c r="E75" s="105">
        <v>0.96111111111111114</v>
      </c>
      <c r="F75" s="105">
        <v>0.35069444444444442</v>
      </c>
      <c r="G75" s="105">
        <v>0.9506944444444444</v>
      </c>
      <c r="H75" s="105">
        <v>0.35069444444444442</v>
      </c>
      <c r="I75" s="105">
        <v>0.95624999999999993</v>
      </c>
      <c r="J75" s="105">
        <v>0.35694444444444445</v>
      </c>
      <c r="K75" s="105">
        <v>0.95000000000000007</v>
      </c>
      <c r="L75" s="105">
        <v>0.35138888888888892</v>
      </c>
      <c r="M75" s="105">
        <v>0.97291666666666676</v>
      </c>
      <c r="N75" s="107">
        <v>0.5756944444444444</v>
      </c>
      <c r="O75" s="107">
        <v>0.95972222222222225</v>
      </c>
      <c r="P75" s="105">
        <v>0.35000000000000003</v>
      </c>
      <c r="Q75" s="105">
        <v>0.96875</v>
      </c>
      <c r="R75" s="105">
        <v>0.34791666666666665</v>
      </c>
      <c r="S75" s="105">
        <v>0.95486111111111116</v>
      </c>
      <c r="T75" s="105">
        <v>0.35138888888888892</v>
      </c>
      <c r="U75" s="105">
        <v>0.95416666666666661</v>
      </c>
      <c r="V75" s="105">
        <v>0.35069444444444442</v>
      </c>
      <c r="W75" s="105">
        <v>0.9506944444444444</v>
      </c>
      <c r="X75" s="105">
        <v>0.3520833333333333</v>
      </c>
      <c r="Y75" s="105">
        <v>0.95138888888888884</v>
      </c>
      <c r="Z75" s="105">
        <v>0.34930555555555554</v>
      </c>
      <c r="AA75" s="105">
        <v>0.97638888888888886</v>
      </c>
      <c r="AB75" s="107">
        <v>0.56944444444444442</v>
      </c>
      <c r="AC75" s="107">
        <v>0.95347222222222217</v>
      </c>
      <c r="AD75" s="105">
        <v>0.3520833333333333</v>
      </c>
      <c r="AE75" s="105">
        <v>0.97291666666666676</v>
      </c>
      <c r="AF75" s="105">
        <v>0.3520833333333333</v>
      </c>
      <c r="AG75" s="105">
        <v>0.96388888888888891</v>
      </c>
      <c r="AI75" s="18">
        <v>56</v>
      </c>
      <c r="AJ75" s="105">
        <v>0.3527777777777778</v>
      </c>
      <c r="AK75" s="105">
        <v>0.96805555555555556</v>
      </c>
      <c r="AL75" s="105">
        <v>0.35347222222222219</v>
      </c>
      <c r="AM75" s="105">
        <v>1.3888888888888888E-2</v>
      </c>
      <c r="AN75" s="105">
        <v>0.36944444444444446</v>
      </c>
      <c r="AO75" s="105">
        <v>0.99791666666666667</v>
      </c>
      <c r="AP75" s="105">
        <v>0.37013888888888885</v>
      </c>
      <c r="AQ75" s="105">
        <v>0.99930555555555556</v>
      </c>
      <c r="AR75" s="107">
        <v>0.5756944444444444</v>
      </c>
      <c r="AS75" s="107">
        <v>1.5972222222222224E-2</v>
      </c>
      <c r="AT75" s="105">
        <v>0.37222222222222223</v>
      </c>
      <c r="AU75" s="105">
        <v>9.7222222222222224E-3</v>
      </c>
      <c r="AV75" s="105">
        <v>0.37152777777777773</v>
      </c>
      <c r="AW75" s="105">
        <v>0.8534722222222223</v>
      </c>
      <c r="AX75" s="105">
        <v>0.37291666666666662</v>
      </c>
      <c r="AY75" s="105">
        <v>2.7083333333333334E-2</v>
      </c>
      <c r="AZ75" s="105">
        <v>0.37361111111111112</v>
      </c>
      <c r="BA75" s="105">
        <v>1.6666666666666666E-2</v>
      </c>
      <c r="BB75" s="105">
        <v>0.3743055555555555</v>
      </c>
      <c r="BC75" s="105">
        <v>4.7916666666666663E-2</v>
      </c>
      <c r="BD75" s="105">
        <v>0.37361111111111112</v>
      </c>
      <c r="BE75" s="105">
        <v>0.85277777777777775</v>
      </c>
      <c r="BF75" s="107">
        <v>0.57430555555555551</v>
      </c>
      <c r="BG75" s="107">
        <v>4.8611111111111112E-2</v>
      </c>
      <c r="BH75" s="105">
        <v>0.37361111111111112</v>
      </c>
      <c r="BI75" s="105">
        <v>7.7083333333333337E-2</v>
      </c>
      <c r="BJ75" s="12">
        <f t="shared" si="40"/>
        <v>28</v>
      </c>
      <c r="BK75" s="112">
        <v>4</v>
      </c>
      <c r="BL75" s="2">
        <f t="shared" si="41"/>
        <v>28</v>
      </c>
      <c r="BM75" s="3">
        <f t="shared" si="42"/>
        <v>0</v>
      </c>
      <c r="BN75" s="3">
        <f t="shared" si="43"/>
        <v>0</v>
      </c>
      <c r="BO75" s="3">
        <f t="shared" si="44"/>
        <v>0</v>
      </c>
      <c r="BP75" s="3">
        <f t="shared" si="45"/>
        <v>0</v>
      </c>
      <c r="BQ75" s="3">
        <f t="shared" si="46"/>
        <v>0</v>
      </c>
      <c r="BR75" s="3">
        <f t="shared" si="47"/>
        <v>0</v>
      </c>
      <c r="BS75" s="3">
        <f t="shared" si="48"/>
        <v>0</v>
      </c>
      <c r="BT75" s="3">
        <f t="shared" si="49"/>
        <v>0</v>
      </c>
      <c r="BU75" s="3">
        <f t="shared" si="50"/>
        <v>0</v>
      </c>
      <c r="BV75" s="3">
        <f t="shared" si="51"/>
        <v>0</v>
      </c>
      <c r="BW75" s="3">
        <f t="shared" si="52"/>
        <v>0</v>
      </c>
      <c r="BX75" s="4"/>
      <c r="CB75" s="87">
        <v>0</v>
      </c>
      <c r="CC75" s="87">
        <v>0</v>
      </c>
      <c r="CD75" s="87">
        <v>0</v>
      </c>
      <c r="CE75" s="87">
        <v>0</v>
      </c>
      <c r="CF75" s="87">
        <v>0</v>
      </c>
      <c r="CG75" s="88">
        <v>1</v>
      </c>
      <c r="CH75" s="87">
        <v>0</v>
      </c>
      <c r="CI75" s="87">
        <v>0</v>
      </c>
      <c r="CJ75" s="87">
        <v>0</v>
      </c>
      <c r="CK75" s="87">
        <v>0</v>
      </c>
      <c r="CL75" s="89">
        <f t="shared" si="54"/>
        <v>1</v>
      </c>
    </row>
    <row r="76" spans="1:90" ht="21.75" customHeight="1" x14ac:dyDescent="0.25">
      <c r="A76" s="54">
        <v>57</v>
      </c>
      <c r="B76" s="20" t="s">
        <v>140</v>
      </c>
      <c r="C76" s="9" t="s">
        <v>141</v>
      </c>
      <c r="D76" s="105">
        <v>0.42222222222222222</v>
      </c>
      <c r="E76" s="105">
        <v>0.98055555555555562</v>
      </c>
      <c r="F76" s="121" t="s">
        <v>195</v>
      </c>
      <c r="G76" s="121" t="s">
        <v>195</v>
      </c>
      <c r="H76" s="105">
        <v>0.3527777777777778</v>
      </c>
      <c r="I76" s="105">
        <v>0.98333333333333339</v>
      </c>
      <c r="J76" s="105">
        <v>0.9868055555555556</v>
      </c>
      <c r="K76" s="113">
        <v>1</v>
      </c>
      <c r="L76" s="105">
        <v>0.35347222222222219</v>
      </c>
      <c r="M76" s="105">
        <v>2.0833333333333332E-2</v>
      </c>
      <c r="N76" s="107">
        <v>0.58124999999999993</v>
      </c>
      <c r="O76" s="107">
        <v>0.95694444444444438</v>
      </c>
      <c r="P76" s="105">
        <v>0.35416666666666669</v>
      </c>
      <c r="Q76" s="105">
        <v>1.3888888888888888E-2</v>
      </c>
      <c r="R76" s="105">
        <v>0.3527777777777778</v>
      </c>
      <c r="S76" s="113">
        <v>1</v>
      </c>
      <c r="T76" s="105">
        <v>0.3527777777777778</v>
      </c>
      <c r="U76" s="105">
        <v>0.93402777777777779</v>
      </c>
      <c r="V76" s="105">
        <v>0.35347222222222219</v>
      </c>
      <c r="W76" s="105">
        <v>0.9590277777777777</v>
      </c>
      <c r="X76" s="105">
        <v>0.35347222222222219</v>
      </c>
      <c r="Y76" s="105">
        <v>0.99930555555555556</v>
      </c>
      <c r="Z76" s="105">
        <v>0.3576388888888889</v>
      </c>
      <c r="AA76" s="105">
        <v>2.0833333333333333E-3</v>
      </c>
      <c r="AB76" s="107">
        <v>0.5805555555555556</v>
      </c>
      <c r="AC76" s="107">
        <v>5.4166666666666669E-2</v>
      </c>
      <c r="AD76" s="105">
        <v>0.38541666666666669</v>
      </c>
      <c r="AE76" s="105">
        <v>2.2916666666666669E-2</v>
      </c>
      <c r="AF76" s="105">
        <v>0.35486111111111113</v>
      </c>
      <c r="AG76" s="105">
        <v>0.99513888888888891</v>
      </c>
      <c r="AI76" s="18">
        <v>57</v>
      </c>
      <c r="AJ76" s="105">
        <v>0.38958333333333334</v>
      </c>
      <c r="AK76" s="105">
        <v>4.027777777777778E-2</v>
      </c>
      <c r="AL76" s="105">
        <v>0.37083333333333335</v>
      </c>
      <c r="AM76" s="105">
        <v>6.5277777777777782E-2</v>
      </c>
      <c r="AN76" s="105">
        <v>0.37291666666666662</v>
      </c>
      <c r="AO76" s="105">
        <v>4.8611111111111112E-2</v>
      </c>
      <c r="AP76" s="105">
        <v>0.37777777777777777</v>
      </c>
      <c r="AQ76" s="105">
        <v>4.9305555555555554E-2</v>
      </c>
      <c r="AR76" s="107">
        <v>0.58194444444444449</v>
      </c>
      <c r="AS76" s="107">
        <v>0.10555555555555556</v>
      </c>
      <c r="AT76" s="105">
        <v>0.37916666666666665</v>
      </c>
      <c r="AU76" s="105">
        <v>4.5138888888888888E-2</v>
      </c>
      <c r="AV76" s="105">
        <v>0.37361111111111112</v>
      </c>
      <c r="AW76" s="105">
        <v>0.71250000000000002</v>
      </c>
      <c r="AX76" s="105">
        <v>0.38611111111111113</v>
      </c>
      <c r="AY76" s="105">
        <v>8.819444444444445E-2</v>
      </c>
      <c r="AZ76" s="105">
        <v>0.38472222222222219</v>
      </c>
      <c r="BA76" s="105">
        <v>9.375E-2</v>
      </c>
      <c r="BB76" s="105">
        <v>0.38125000000000003</v>
      </c>
      <c r="BC76" s="105">
        <v>4.7916666666666663E-2</v>
      </c>
      <c r="BD76" s="105">
        <v>0.38055555555555554</v>
      </c>
      <c r="BE76" s="105">
        <v>4.5138888888888888E-2</v>
      </c>
      <c r="BF76" s="107">
        <v>0.58124999999999993</v>
      </c>
      <c r="BG76" s="107">
        <v>5.2083333333333336E-2</v>
      </c>
      <c r="BH76" s="105">
        <v>0.37708333333333338</v>
      </c>
      <c r="BI76" s="105">
        <v>7.013888888888889E-2</v>
      </c>
      <c r="BJ76" s="12">
        <f t="shared" si="40"/>
        <v>28</v>
      </c>
      <c r="BK76" s="112">
        <v>4</v>
      </c>
      <c r="BL76" s="2">
        <f t="shared" si="41"/>
        <v>27</v>
      </c>
      <c r="BM76" s="3">
        <f t="shared" si="42"/>
        <v>0</v>
      </c>
      <c r="BN76" s="3">
        <f t="shared" si="43"/>
        <v>0</v>
      </c>
      <c r="BO76" s="3">
        <f t="shared" si="44"/>
        <v>0</v>
      </c>
      <c r="BP76" s="3">
        <f t="shared" si="45"/>
        <v>0</v>
      </c>
      <c r="BQ76" s="3">
        <f t="shared" si="46"/>
        <v>0</v>
      </c>
      <c r="BR76" s="3">
        <f t="shared" si="47"/>
        <v>0</v>
      </c>
      <c r="BS76" s="3">
        <f t="shared" si="48"/>
        <v>1</v>
      </c>
      <c r="BT76" s="3">
        <f t="shared" si="49"/>
        <v>0</v>
      </c>
      <c r="BU76" s="3">
        <f t="shared" si="50"/>
        <v>0</v>
      </c>
      <c r="BV76" s="3">
        <f t="shared" si="51"/>
        <v>0</v>
      </c>
      <c r="BW76" s="3">
        <f t="shared" si="52"/>
        <v>0</v>
      </c>
      <c r="BX76" s="4"/>
      <c r="CB76" s="87">
        <v>0</v>
      </c>
      <c r="CC76" s="87">
        <v>0</v>
      </c>
      <c r="CD76" s="87">
        <v>0</v>
      </c>
      <c r="CE76" s="87">
        <v>0</v>
      </c>
      <c r="CF76" s="87">
        <v>0</v>
      </c>
      <c r="CG76" s="88">
        <v>3</v>
      </c>
      <c r="CH76" s="87">
        <v>0</v>
      </c>
      <c r="CI76" s="88">
        <v>4</v>
      </c>
      <c r="CJ76" s="87">
        <v>0</v>
      </c>
      <c r="CK76" s="87">
        <v>0</v>
      </c>
      <c r="CL76" s="89">
        <f t="shared" si="54"/>
        <v>7</v>
      </c>
    </row>
    <row r="77" spans="1:90" ht="21.75" customHeight="1" x14ac:dyDescent="0.25">
      <c r="A77" s="54">
        <v>58</v>
      </c>
      <c r="B77" s="20" t="s">
        <v>142</v>
      </c>
      <c r="C77" s="9" t="s">
        <v>143</v>
      </c>
      <c r="D77" s="105">
        <v>0.35416666666666669</v>
      </c>
      <c r="E77" s="105">
        <v>0.97916666666666663</v>
      </c>
      <c r="F77" s="105">
        <v>0.35416666666666669</v>
      </c>
      <c r="G77" s="105">
        <v>0.9590277777777777</v>
      </c>
      <c r="H77" s="105">
        <v>0.35416666666666669</v>
      </c>
      <c r="I77" s="105">
        <v>0.95208333333333339</v>
      </c>
      <c r="J77" s="105">
        <v>0.37083333333333335</v>
      </c>
      <c r="K77" s="105">
        <v>0.95486111111111116</v>
      </c>
      <c r="L77" s="105">
        <v>0.3527777777777778</v>
      </c>
      <c r="M77" s="105">
        <v>0.97361111111111109</v>
      </c>
      <c r="N77" s="122" t="s">
        <v>15</v>
      </c>
      <c r="O77" s="122" t="s">
        <v>15</v>
      </c>
      <c r="P77" s="105">
        <v>0.3527777777777778</v>
      </c>
      <c r="Q77" s="105">
        <v>0.97013888888888899</v>
      </c>
      <c r="R77" s="105">
        <v>0.3527777777777778</v>
      </c>
      <c r="S77" s="105">
        <v>0.94652777777777775</v>
      </c>
      <c r="T77" s="105">
        <v>0.35416666666666669</v>
      </c>
      <c r="U77" s="105">
        <v>0.95624999999999993</v>
      </c>
      <c r="V77" s="105">
        <v>0.3520833333333333</v>
      </c>
      <c r="W77" s="105">
        <v>0.95347222222222217</v>
      </c>
      <c r="X77" s="105">
        <v>0.35347222222222219</v>
      </c>
      <c r="Y77" s="105">
        <v>0.95624999999999993</v>
      </c>
      <c r="Z77" s="105">
        <v>0.3520833333333333</v>
      </c>
      <c r="AA77" s="105">
        <v>0.97222222222222221</v>
      </c>
      <c r="AB77" s="107">
        <v>0.58333333333333337</v>
      </c>
      <c r="AC77" s="107">
        <v>0.95763888888888893</v>
      </c>
      <c r="AD77" s="105">
        <v>0.35069444444444442</v>
      </c>
      <c r="AE77" s="105">
        <v>0.98333333333333339</v>
      </c>
      <c r="AF77" s="105">
        <v>0.35138888888888892</v>
      </c>
      <c r="AG77" s="105">
        <v>0</v>
      </c>
      <c r="AI77" s="18">
        <v>58</v>
      </c>
      <c r="AJ77" s="105">
        <v>0.35347222222222219</v>
      </c>
      <c r="AK77" s="105">
        <v>0.96666666666666667</v>
      </c>
      <c r="AL77" s="105">
        <v>0.35347222222222219</v>
      </c>
      <c r="AM77" s="105">
        <v>1.1805555555555555E-2</v>
      </c>
      <c r="AN77" s="105">
        <v>0.3743055555555555</v>
      </c>
      <c r="AO77" s="105">
        <v>0.99791666666666667</v>
      </c>
      <c r="AP77" s="105">
        <v>0.37361111111111112</v>
      </c>
      <c r="AQ77" s="105">
        <v>4.1666666666666666E-3</v>
      </c>
      <c r="AR77" s="107">
        <v>0.57986111111111105</v>
      </c>
      <c r="AS77" s="107">
        <v>0.99583333333333324</v>
      </c>
      <c r="AT77" s="105">
        <v>0.37361111111111112</v>
      </c>
      <c r="AU77" s="105">
        <v>0.99930555555555556</v>
      </c>
      <c r="AV77" s="105">
        <v>0.375</v>
      </c>
      <c r="AW77" s="105">
        <v>0.8520833333333333</v>
      </c>
      <c r="AX77" s="105">
        <v>0.37222222222222223</v>
      </c>
      <c r="AY77" s="105">
        <v>0.99652777777777779</v>
      </c>
      <c r="AZ77" s="105">
        <v>0.37291666666666662</v>
      </c>
      <c r="BA77" s="105">
        <v>0.99930555555555556</v>
      </c>
      <c r="BB77" s="105">
        <v>0.37291666666666662</v>
      </c>
      <c r="BC77" s="105">
        <v>8.3333333333333332E-3</v>
      </c>
      <c r="BD77" s="105">
        <v>0.3743055555555555</v>
      </c>
      <c r="BE77" s="105">
        <v>7.6388888888888886E-3</v>
      </c>
      <c r="BF77" s="107">
        <v>0.57986111111111105</v>
      </c>
      <c r="BG77" s="107">
        <v>0.99722222222222223</v>
      </c>
      <c r="BH77" s="105">
        <v>0.3743055555555555</v>
      </c>
      <c r="BI77" s="105">
        <v>3.6111111111111115E-2</v>
      </c>
      <c r="BJ77" s="12">
        <f t="shared" si="40"/>
        <v>28</v>
      </c>
      <c r="BK77" s="112">
        <v>3</v>
      </c>
      <c r="BL77" s="2">
        <f t="shared" si="41"/>
        <v>27</v>
      </c>
      <c r="BM77" s="3">
        <f t="shared" si="42"/>
        <v>1</v>
      </c>
      <c r="BN77" s="3">
        <f t="shared" si="43"/>
        <v>0</v>
      </c>
      <c r="BO77" s="3">
        <f t="shared" si="44"/>
        <v>0</v>
      </c>
      <c r="BP77" s="3">
        <f t="shared" si="45"/>
        <v>0</v>
      </c>
      <c r="BQ77" s="3">
        <f t="shared" si="46"/>
        <v>0</v>
      </c>
      <c r="BR77" s="3">
        <f t="shared" si="47"/>
        <v>0</v>
      </c>
      <c r="BS77" s="3">
        <f t="shared" si="48"/>
        <v>0</v>
      </c>
      <c r="BT77" s="3">
        <f t="shared" si="49"/>
        <v>0</v>
      </c>
      <c r="BU77" s="3">
        <f t="shared" si="50"/>
        <v>0</v>
      </c>
      <c r="BV77" s="3">
        <f t="shared" si="51"/>
        <v>0</v>
      </c>
      <c r="BW77" s="3">
        <f t="shared" si="52"/>
        <v>0</v>
      </c>
      <c r="BX77" s="4"/>
      <c r="CB77" s="87">
        <v>0</v>
      </c>
      <c r="CC77" s="87">
        <v>0</v>
      </c>
      <c r="CD77" s="87">
        <v>0</v>
      </c>
      <c r="CE77" s="87">
        <v>0</v>
      </c>
      <c r="CF77" s="87">
        <v>0</v>
      </c>
      <c r="CG77" s="87">
        <v>2</v>
      </c>
      <c r="CH77" s="87">
        <v>0</v>
      </c>
      <c r="CI77" s="88">
        <v>1</v>
      </c>
      <c r="CJ77" s="87">
        <v>0</v>
      </c>
      <c r="CK77" s="87">
        <v>0</v>
      </c>
      <c r="CL77" s="89">
        <f t="shared" si="54"/>
        <v>3</v>
      </c>
    </row>
    <row r="78" spans="1:90" ht="21.75" customHeight="1" x14ac:dyDescent="0.25">
      <c r="A78" s="54">
        <v>59</v>
      </c>
      <c r="B78" s="20" t="s">
        <v>144</v>
      </c>
      <c r="C78" s="9" t="s">
        <v>272</v>
      </c>
      <c r="D78" s="105">
        <v>0.35416666666666669</v>
      </c>
      <c r="E78" s="105">
        <v>0.98055555555555562</v>
      </c>
      <c r="F78" s="105">
        <v>0.3527777777777778</v>
      </c>
      <c r="G78" s="105">
        <v>0.95833333333333337</v>
      </c>
      <c r="H78" s="105">
        <v>0.35347222222222219</v>
      </c>
      <c r="I78" s="105">
        <v>6.9444444444444447E-4</v>
      </c>
      <c r="J78" s="105">
        <v>0.37222222222222223</v>
      </c>
      <c r="K78" s="105">
        <v>0.98611111111111116</v>
      </c>
      <c r="L78" s="105">
        <v>0.34791666666666665</v>
      </c>
      <c r="M78" s="105">
        <v>0</v>
      </c>
      <c r="N78" s="107">
        <v>0.58194444444444449</v>
      </c>
      <c r="O78" s="107">
        <v>0.95277777777777783</v>
      </c>
      <c r="P78" s="105">
        <v>0.3520833333333333</v>
      </c>
      <c r="Q78" s="113">
        <v>1</v>
      </c>
      <c r="R78" s="105">
        <v>0.35138888888888892</v>
      </c>
      <c r="S78" s="113">
        <v>1</v>
      </c>
      <c r="T78" s="105">
        <v>0.35347222222222219</v>
      </c>
      <c r="U78" s="105">
        <v>0.93402777777777779</v>
      </c>
      <c r="V78" s="105">
        <v>0.35416666666666669</v>
      </c>
      <c r="W78" s="105">
        <v>0.9590277777777777</v>
      </c>
      <c r="X78" s="105">
        <v>0.34652777777777777</v>
      </c>
      <c r="Y78" s="105">
        <v>0</v>
      </c>
      <c r="Z78" s="105">
        <v>0.3527777777777778</v>
      </c>
      <c r="AA78" s="105">
        <v>6.9444444444444447E-4</v>
      </c>
      <c r="AB78" s="107">
        <v>0.58263888888888882</v>
      </c>
      <c r="AC78" s="107">
        <v>5.4166666666666669E-2</v>
      </c>
      <c r="AD78" s="105">
        <v>0.36180555555555555</v>
      </c>
      <c r="AE78" s="105">
        <v>2.361111111111111E-2</v>
      </c>
      <c r="AF78" s="105">
        <v>0.35555555555555557</v>
      </c>
      <c r="AG78" s="105">
        <v>8.3333333333333332E-3</v>
      </c>
      <c r="AI78" s="18">
        <v>59</v>
      </c>
      <c r="AJ78" s="105">
        <v>0.3576388888888889</v>
      </c>
      <c r="AK78" s="105">
        <v>4.1666666666666664E-2</v>
      </c>
      <c r="AL78" s="105">
        <v>0.35694444444444445</v>
      </c>
      <c r="AM78" s="105">
        <v>6.5972222222222224E-2</v>
      </c>
      <c r="AN78" s="105">
        <v>0.37638888888888888</v>
      </c>
      <c r="AO78" s="105">
        <v>4.8611111111111112E-2</v>
      </c>
      <c r="AP78" s="105">
        <v>0.3756944444444445</v>
      </c>
      <c r="AQ78" s="105">
        <v>4.9305555555555554E-2</v>
      </c>
      <c r="AR78" s="107">
        <v>0.58194444444444449</v>
      </c>
      <c r="AS78" s="107">
        <v>0.10625</v>
      </c>
      <c r="AT78" s="105">
        <v>0.3833333333333333</v>
      </c>
      <c r="AU78" s="105">
        <v>4.1666666666666664E-2</v>
      </c>
      <c r="AV78" s="105">
        <v>0.3743055555555555</v>
      </c>
      <c r="AW78" s="105">
        <v>0.85486111111111107</v>
      </c>
      <c r="AX78" s="105">
        <v>0.39374999999999999</v>
      </c>
      <c r="AY78" s="105">
        <v>0.85416666666666663</v>
      </c>
      <c r="AZ78" s="105">
        <v>0.37777777777777777</v>
      </c>
      <c r="BA78" s="105">
        <v>9.375E-2</v>
      </c>
      <c r="BB78" s="105">
        <v>0.37986111111111115</v>
      </c>
      <c r="BC78" s="105">
        <v>4.9999999999999996E-2</v>
      </c>
      <c r="BD78" s="105">
        <v>0.3743055555555555</v>
      </c>
      <c r="BE78" s="105">
        <v>4.3750000000000004E-2</v>
      </c>
      <c r="BF78" s="107">
        <v>0.58194444444444449</v>
      </c>
      <c r="BG78" s="107">
        <v>5.2083333333333336E-2</v>
      </c>
      <c r="BH78" s="105">
        <v>0.3756944444444445</v>
      </c>
      <c r="BI78" s="105">
        <v>7.013888888888889E-2</v>
      </c>
      <c r="BJ78" s="12">
        <f t="shared" si="40"/>
        <v>28</v>
      </c>
      <c r="BK78" s="112">
        <v>4</v>
      </c>
      <c r="BL78" s="2">
        <f t="shared" si="41"/>
        <v>28</v>
      </c>
      <c r="BM78" s="3">
        <f t="shared" si="42"/>
        <v>0</v>
      </c>
      <c r="BN78" s="3">
        <f t="shared" si="43"/>
        <v>0</v>
      </c>
      <c r="BO78" s="3">
        <f t="shared" si="44"/>
        <v>0</v>
      </c>
      <c r="BP78" s="3">
        <f t="shared" si="45"/>
        <v>0</v>
      </c>
      <c r="BQ78" s="3">
        <f t="shared" si="46"/>
        <v>0</v>
      </c>
      <c r="BR78" s="3">
        <f t="shared" si="47"/>
        <v>0</v>
      </c>
      <c r="BS78" s="3">
        <f t="shared" si="48"/>
        <v>0</v>
      </c>
      <c r="BT78" s="3">
        <f t="shared" si="49"/>
        <v>0</v>
      </c>
      <c r="BU78" s="3">
        <f t="shared" si="50"/>
        <v>0</v>
      </c>
      <c r="BV78" s="3">
        <f t="shared" si="51"/>
        <v>0</v>
      </c>
      <c r="BW78" s="3">
        <f t="shared" si="52"/>
        <v>0</v>
      </c>
      <c r="BX78" s="4"/>
      <c r="CB78" s="87">
        <v>0</v>
      </c>
      <c r="CC78" s="87">
        <v>0</v>
      </c>
      <c r="CD78" s="87">
        <v>0</v>
      </c>
      <c r="CE78" s="88">
        <v>8</v>
      </c>
      <c r="CF78" s="87">
        <v>0</v>
      </c>
      <c r="CG78" s="88">
        <v>4</v>
      </c>
      <c r="CH78" s="87">
        <v>0</v>
      </c>
      <c r="CI78" s="87">
        <v>0</v>
      </c>
      <c r="CJ78" s="87">
        <v>0</v>
      </c>
      <c r="CK78" s="87">
        <v>0</v>
      </c>
      <c r="CL78" s="89">
        <f t="shared" si="54"/>
        <v>12</v>
      </c>
    </row>
    <row r="79" spans="1:90" ht="21.75" customHeight="1" x14ac:dyDescent="0.25">
      <c r="A79" s="54">
        <v>60</v>
      </c>
      <c r="B79" s="20" t="s">
        <v>145</v>
      </c>
      <c r="C79" s="9" t="s">
        <v>146</v>
      </c>
      <c r="D79" s="105">
        <v>0.39305555555555555</v>
      </c>
      <c r="E79" s="113">
        <v>1</v>
      </c>
      <c r="F79" s="105">
        <v>0.34652777777777777</v>
      </c>
      <c r="G79" s="105">
        <v>0.95624999999999993</v>
      </c>
      <c r="H79" s="105">
        <v>0.35069444444444442</v>
      </c>
      <c r="I79" s="105">
        <v>1.3888888888888889E-3</v>
      </c>
      <c r="J79" s="105">
        <v>0.37222222222222223</v>
      </c>
      <c r="K79" s="105">
        <v>0.9770833333333333</v>
      </c>
      <c r="L79" s="105">
        <v>0.35347222222222219</v>
      </c>
      <c r="M79" s="105">
        <v>2.0833333333333332E-2</v>
      </c>
      <c r="N79" s="122" t="s">
        <v>15</v>
      </c>
      <c r="O79" s="122" t="s">
        <v>15</v>
      </c>
      <c r="P79" s="105">
        <v>0.35138888888888892</v>
      </c>
      <c r="Q79" s="105">
        <v>2.4999999999999998E-2</v>
      </c>
      <c r="R79" s="105">
        <v>0.34791666666666665</v>
      </c>
      <c r="S79" s="105">
        <v>0.96875</v>
      </c>
      <c r="T79" s="105">
        <v>0.3527777777777778</v>
      </c>
      <c r="U79" s="105">
        <v>0.93333333333333324</v>
      </c>
      <c r="V79" s="105">
        <v>0.3527777777777778</v>
      </c>
      <c r="W79" s="105">
        <v>0.96111111111111114</v>
      </c>
      <c r="X79" s="105">
        <v>0.34097222222222223</v>
      </c>
      <c r="Y79" s="105">
        <v>0</v>
      </c>
      <c r="Z79" s="105">
        <v>0.35138888888888892</v>
      </c>
      <c r="AA79" s="105">
        <v>0.99305555555555547</v>
      </c>
      <c r="AB79" s="107">
        <v>0.5805555555555556</v>
      </c>
      <c r="AC79" s="107">
        <v>5.4166666666666669E-2</v>
      </c>
      <c r="AD79" s="105">
        <v>0.3520833333333333</v>
      </c>
      <c r="AE79" s="105">
        <v>2.2916666666666669E-2</v>
      </c>
      <c r="AF79" s="105">
        <v>0.34861111111111115</v>
      </c>
      <c r="AG79" s="105">
        <v>0.9472222222222223</v>
      </c>
      <c r="AI79" s="18">
        <v>60</v>
      </c>
      <c r="AJ79" s="105">
        <v>0.35138888888888892</v>
      </c>
      <c r="AK79" s="105">
        <v>4.1666666666666664E-2</v>
      </c>
      <c r="AL79" s="105">
        <v>0.35347222222222219</v>
      </c>
      <c r="AM79" s="105">
        <v>6.5277777777777782E-2</v>
      </c>
      <c r="AN79" s="105">
        <v>0.3756944444444445</v>
      </c>
      <c r="AO79" s="105">
        <v>4.8611111111111112E-2</v>
      </c>
      <c r="AP79" s="105">
        <v>0.37222222222222223</v>
      </c>
      <c r="AQ79" s="105">
        <v>4.8611111111111112E-2</v>
      </c>
      <c r="AR79" s="107">
        <v>0.57847222222222217</v>
      </c>
      <c r="AS79" s="107">
        <v>0.10555555555555556</v>
      </c>
      <c r="AT79" s="105">
        <v>0.3743055555555555</v>
      </c>
      <c r="AU79" s="105">
        <v>4.4444444444444446E-2</v>
      </c>
      <c r="AV79" s="105">
        <v>0.37222222222222223</v>
      </c>
      <c r="AW79" s="105">
        <v>0.85069444444444453</v>
      </c>
      <c r="AX79" s="105">
        <v>0.37291666666666662</v>
      </c>
      <c r="AY79" s="105">
        <v>0.85486111111111107</v>
      </c>
      <c r="AZ79" s="105">
        <v>0.375</v>
      </c>
      <c r="BA79" s="105">
        <v>9.375E-2</v>
      </c>
      <c r="BB79" s="105">
        <v>0.37361111111111112</v>
      </c>
      <c r="BC79" s="105">
        <v>4.7222222222222221E-2</v>
      </c>
      <c r="BD79" s="105">
        <v>0.37638888888888888</v>
      </c>
      <c r="BE79" s="105">
        <v>4.3055555555555562E-2</v>
      </c>
      <c r="BF79" s="107">
        <v>0.57986111111111105</v>
      </c>
      <c r="BG79" s="107">
        <v>5.2083333333333336E-2</v>
      </c>
      <c r="BH79" s="105">
        <v>0.3743055555555555</v>
      </c>
      <c r="BI79" s="105">
        <v>7.013888888888889E-2</v>
      </c>
      <c r="BJ79" s="12">
        <f t="shared" si="40"/>
        <v>28</v>
      </c>
      <c r="BK79" s="112">
        <v>3</v>
      </c>
      <c r="BL79" s="2">
        <f t="shared" si="41"/>
        <v>27</v>
      </c>
      <c r="BM79" s="3">
        <f t="shared" si="42"/>
        <v>1</v>
      </c>
      <c r="BN79" s="3">
        <f t="shared" si="43"/>
        <v>0</v>
      </c>
      <c r="BO79" s="3">
        <f t="shared" si="44"/>
        <v>0</v>
      </c>
      <c r="BP79" s="3">
        <f t="shared" si="45"/>
        <v>0</v>
      </c>
      <c r="BQ79" s="3">
        <f t="shared" si="46"/>
        <v>0</v>
      </c>
      <c r="BR79" s="3">
        <f t="shared" si="47"/>
        <v>0</v>
      </c>
      <c r="BS79" s="3">
        <f t="shared" si="48"/>
        <v>0</v>
      </c>
      <c r="BT79" s="3">
        <f t="shared" si="49"/>
        <v>0</v>
      </c>
      <c r="BU79" s="3">
        <f t="shared" si="50"/>
        <v>0</v>
      </c>
      <c r="BV79" s="3">
        <f t="shared" si="51"/>
        <v>0</v>
      </c>
      <c r="BW79" s="3">
        <f t="shared" si="52"/>
        <v>0</v>
      </c>
      <c r="BX79" s="4"/>
      <c r="CB79" s="87">
        <v>0</v>
      </c>
      <c r="CC79" s="87">
        <v>0</v>
      </c>
      <c r="CD79" s="87">
        <v>0</v>
      </c>
      <c r="CE79" s="87">
        <v>0</v>
      </c>
      <c r="CF79" s="87">
        <v>0</v>
      </c>
      <c r="CG79" s="87">
        <v>0</v>
      </c>
      <c r="CH79" s="87">
        <v>0</v>
      </c>
      <c r="CI79" s="87">
        <v>0</v>
      </c>
      <c r="CJ79" s="87">
        <v>0</v>
      </c>
      <c r="CK79" s="87">
        <v>0</v>
      </c>
      <c r="CL79" s="89">
        <f t="shared" si="54"/>
        <v>0</v>
      </c>
    </row>
    <row r="80" spans="1:90" ht="21.75" customHeight="1" x14ac:dyDescent="0.25">
      <c r="A80" s="54">
        <v>61</v>
      </c>
      <c r="B80" s="20" t="s">
        <v>147</v>
      </c>
      <c r="C80" s="9" t="s">
        <v>148</v>
      </c>
      <c r="D80" s="105">
        <v>0.40972222222222227</v>
      </c>
      <c r="E80" s="105">
        <v>0.96319444444444446</v>
      </c>
      <c r="F80" s="105">
        <v>0.49236111111111108</v>
      </c>
      <c r="G80" s="113">
        <v>1</v>
      </c>
      <c r="H80" s="105">
        <v>0.42499999999999999</v>
      </c>
      <c r="I80" s="113">
        <v>1</v>
      </c>
      <c r="J80" s="105">
        <v>0.43194444444444446</v>
      </c>
      <c r="K80" s="105">
        <v>0.91875000000000007</v>
      </c>
      <c r="L80" s="105">
        <v>0.34652777777777777</v>
      </c>
      <c r="M80" s="105">
        <v>0.94791666666666663</v>
      </c>
      <c r="N80" s="107">
        <v>0.57430555555555551</v>
      </c>
      <c r="O80" s="107">
        <v>0.95277777777777783</v>
      </c>
      <c r="P80" s="105">
        <v>0.34861111111111115</v>
      </c>
      <c r="Q80" s="113">
        <v>1</v>
      </c>
      <c r="R80" s="105">
        <v>0.91527777777777775</v>
      </c>
      <c r="S80" s="113">
        <v>1</v>
      </c>
      <c r="T80" s="105">
        <v>0.41666666666666669</v>
      </c>
      <c r="U80" s="113">
        <v>1</v>
      </c>
      <c r="V80" s="105">
        <v>0.4458333333333333</v>
      </c>
      <c r="W80" s="105">
        <v>0.9291666666666667</v>
      </c>
      <c r="X80" s="105">
        <v>0.44513888888888892</v>
      </c>
      <c r="Y80" s="105">
        <v>0.91805555555555562</v>
      </c>
      <c r="Z80" s="105">
        <v>0.44444444444444442</v>
      </c>
      <c r="AA80" s="113">
        <v>1</v>
      </c>
      <c r="AB80" s="107">
        <v>0.5708333333333333</v>
      </c>
      <c r="AC80" s="107">
        <v>0.94027777777777777</v>
      </c>
      <c r="AD80" s="105">
        <v>0.34652777777777777</v>
      </c>
      <c r="AE80" s="105">
        <v>0</v>
      </c>
      <c r="AF80" s="113">
        <v>1</v>
      </c>
      <c r="AG80" s="105">
        <v>2.0833333333333333E-3</v>
      </c>
      <c r="AI80" s="18">
        <v>61</v>
      </c>
      <c r="AJ80" s="105">
        <v>0.4236111111111111</v>
      </c>
      <c r="AK80" s="105">
        <v>0.9770833333333333</v>
      </c>
      <c r="AL80" s="105">
        <v>0.43263888888888885</v>
      </c>
      <c r="AM80" s="113">
        <v>1</v>
      </c>
      <c r="AN80" s="105">
        <v>0.42083333333333334</v>
      </c>
      <c r="AO80" s="105">
        <v>0.9770833333333333</v>
      </c>
      <c r="AP80" s="105">
        <v>0.44027777777777777</v>
      </c>
      <c r="AQ80" s="105">
        <v>0.9784722222222223</v>
      </c>
      <c r="AR80" s="107">
        <v>0.57986111111111105</v>
      </c>
      <c r="AS80" s="107">
        <v>0.9770833333333333</v>
      </c>
      <c r="AT80" s="105">
        <v>0.42430555555555555</v>
      </c>
      <c r="AU80" s="105">
        <v>0.9770833333333333</v>
      </c>
      <c r="AV80" s="105">
        <v>0.39999999999999997</v>
      </c>
      <c r="AW80" s="105">
        <v>0.9770833333333333</v>
      </c>
      <c r="AX80" s="105">
        <v>0.54791666666666672</v>
      </c>
      <c r="AY80" s="113">
        <v>1</v>
      </c>
      <c r="AZ80" s="105">
        <v>0.39305555555555555</v>
      </c>
      <c r="BA80" s="113">
        <v>1</v>
      </c>
      <c r="BB80" s="105">
        <v>0.41666666666666669</v>
      </c>
      <c r="BC80" s="113">
        <v>1</v>
      </c>
      <c r="BD80" s="105">
        <v>0.5625</v>
      </c>
      <c r="BE80" s="113">
        <v>1</v>
      </c>
      <c r="BF80" s="107">
        <v>0.56666666666666665</v>
      </c>
      <c r="BG80" s="114">
        <v>1</v>
      </c>
      <c r="BH80" s="105">
        <v>0.38055555555555554</v>
      </c>
      <c r="BI80" s="113">
        <v>1</v>
      </c>
      <c r="BJ80" s="12">
        <f t="shared" si="40"/>
        <v>28</v>
      </c>
      <c r="BK80" s="112">
        <v>4</v>
      </c>
      <c r="BL80" s="2">
        <f t="shared" si="41"/>
        <v>28</v>
      </c>
      <c r="BM80" s="3">
        <f t="shared" si="42"/>
        <v>0</v>
      </c>
      <c r="BN80" s="3">
        <f t="shared" si="43"/>
        <v>0</v>
      </c>
      <c r="BO80" s="3">
        <f t="shared" si="44"/>
        <v>0</v>
      </c>
      <c r="BP80" s="3">
        <f t="shared" si="45"/>
        <v>0</v>
      </c>
      <c r="BQ80" s="3">
        <f t="shared" si="46"/>
        <v>0</v>
      </c>
      <c r="BR80" s="3">
        <f t="shared" si="47"/>
        <v>0</v>
      </c>
      <c r="BS80" s="3">
        <f t="shared" si="48"/>
        <v>0</v>
      </c>
      <c r="BT80" s="3">
        <f t="shared" si="49"/>
        <v>0</v>
      </c>
      <c r="BU80" s="3">
        <f t="shared" si="50"/>
        <v>0</v>
      </c>
      <c r="BV80" s="3">
        <f t="shared" si="51"/>
        <v>0</v>
      </c>
      <c r="BW80" s="3">
        <f t="shared" si="52"/>
        <v>0</v>
      </c>
      <c r="BX80" s="4"/>
      <c r="CB80" s="87">
        <v>0</v>
      </c>
      <c r="CC80" s="87">
        <v>0</v>
      </c>
      <c r="CD80" s="87">
        <v>0</v>
      </c>
      <c r="CE80" s="87">
        <v>0</v>
      </c>
      <c r="CF80" s="87">
        <v>0</v>
      </c>
      <c r="CG80" s="88">
        <v>3</v>
      </c>
      <c r="CH80" s="87">
        <v>0</v>
      </c>
      <c r="CI80" s="87">
        <v>0</v>
      </c>
      <c r="CJ80" s="87">
        <v>0</v>
      </c>
      <c r="CK80" s="87">
        <v>0</v>
      </c>
      <c r="CL80" s="89">
        <f t="shared" si="54"/>
        <v>3</v>
      </c>
    </row>
    <row r="81" spans="1:90" ht="21.75" customHeight="1" x14ac:dyDescent="0.25">
      <c r="A81" s="54">
        <v>62</v>
      </c>
      <c r="B81" s="20" t="s">
        <v>200</v>
      </c>
      <c r="C81" s="9" t="s">
        <v>199</v>
      </c>
      <c r="D81" s="105">
        <v>0.35555555555555557</v>
      </c>
      <c r="E81" s="105">
        <v>0.93680555555555556</v>
      </c>
      <c r="F81" s="105">
        <v>0.35416666666666669</v>
      </c>
      <c r="G81" s="105">
        <v>0.95138888888888884</v>
      </c>
      <c r="H81" s="105">
        <v>0.35486111111111113</v>
      </c>
      <c r="I81" s="105">
        <v>0.93125000000000002</v>
      </c>
      <c r="J81" s="105">
        <v>0.35555555555555557</v>
      </c>
      <c r="K81" s="105">
        <v>0.92986111111111114</v>
      </c>
      <c r="L81" s="105">
        <v>0.35486111111111113</v>
      </c>
      <c r="M81" s="105">
        <v>0.91527777777777775</v>
      </c>
      <c r="N81" s="107">
        <v>0.57708333333333328</v>
      </c>
      <c r="O81" s="107">
        <v>0.95208333333333339</v>
      </c>
      <c r="P81" s="105">
        <v>0.36180555555555555</v>
      </c>
      <c r="Q81" s="105">
        <v>0.92569444444444438</v>
      </c>
      <c r="R81" s="105">
        <v>0.3520833333333333</v>
      </c>
      <c r="S81" s="105">
        <v>0.90972222222222221</v>
      </c>
      <c r="T81" s="105">
        <v>0.35486111111111113</v>
      </c>
      <c r="U81" s="105">
        <v>0.92361111111111116</v>
      </c>
      <c r="V81" s="105">
        <v>0.92638888888888893</v>
      </c>
      <c r="W81" s="105">
        <v>0.92638888888888893</v>
      </c>
      <c r="X81" s="105">
        <v>0.3520833333333333</v>
      </c>
      <c r="Y81" s="105">
        <v>0.93680555555555556</v>
      </c>
      <c r="Z81" s="105">
        <v>0.35486111111111113</v>
      </c>
      <c r="AA81" s="105">
        <v>0.91666666666666663</v>
      </c>
      <c r="AB81" s="107">
        <v>0.57916666666666672</v>
      </c>
      <c r="AC81" s="114">
        <v>1</v>
      </c>
      <c r="AD81" s="105">
        <v>0.35555555555555557</v>
      </c>
      <c r="AE81" s="105">
        <v>1.2499999999999999E-2</v>
      </c>
      <c r="AF81" s="105">
        <v>0.35347222222222219</v>
      </c>
      <c r="AG81" s="105">
        <v>0.97222222222222221</v>
      </c>
      <c r="AI81" s="18">
        <v>62</v>
      </c>
      <c r="AJ81" s="105">
        <v>0.35486111111111113</v>
      </c>
      <c r="AK81" s="105">
        <v>1.3888888888888889E-3</v>
      </c>
      <c r="AL81" s="105">
        <v>0.35486111111111113</v>
      </c>
      <c r="AM81" s="105">
        <v>4.5833333333333337E-2</v>
      </c>
      <c r="AN81" s="105">
        <v>0.37638888888888888</v>
      </c>
      <c r="AO81" s="105">
        <v>2.2916666666666669E-2</v>
      </c>
      <c r="AP81" s="105">
        <v>0.38472222222222219</v>
      </c>
      <c r="AQ81" s="105">
        <v>1.3888888888888889E-3</v>
      </c>
      <c r="AR81" s="107">
        <v>0.56180555555555556</v>
      </c>
      <c r="AS81" s="107">
        <v>4.3055555555555562E-2</v>
      </c>
      <c r="AT81" s="105">
        <v>0.37152777777777773</v>
      </c>
      <c r="AU81" s="105">
        <v>4.5138888888888888E-2</v>
      </c>
      <c r="AV81" s="105">
        <v>0.3743055555555555</v>
      </c>
      <c r="AW81" s="105">
        <v>1.3888888888888889E-3</v>
      </c>
      <c r="AX81" s="105">
        <v>0.3743055555555555</v>
      </c>
      <c r="AY81" s="105">
        <v>5.486111111111111E-2</v>
      </c>
      <c r="AZ81" s="105">
        <v>0.3743055555555555</v>
      </c>
      <c r="BA81" s="105">
        <v>0.85486111111111107</v>
      </c>
      <c r="BB81" s="105">
        <v>0.37361111111111112</v>
      </c>
      <c r="BC81" s="105">
        <v>5.7638888888888885E-2</v>
      </c>
      <c r="BD81" s="105">
        <v>0.3756944444444445</v>
      </c>
      <c r="BE81" s="105">
        <v>4.2361111111111106E-2</v>
      </c>
      <c r="BF81" s="107">
        <v>0.56111111111111112</v>
      </c>
      <c r="BG81" s="107">
        <v>4.5138888888888888E-2</v>
      </c>
      <c r="BH81" s="105">
        <v>0.375</v>
      </c>
      <c r="BI81" s="105">
        <v>5.6944444444444443E-2</v>
      </c>
      <c r="BJ81" s="12">
        <f t="shared" si="40"/>
        <v>28</v>
      </c>
      <c r="BK81" s="112">
        <v>4</v>
      </c>
      <c r="BL81" s="2">
        <f t="shared" si="41"/>
        <v>28</v>
      </c>
      <c r="BM81" s="3">
        <f t="shared" si="42"/>
        <v>0</v>
      </c>
      <c r="BN81" s="3">
        <f t="shared" si="43"/>
        <v>0</v>
      </c>
      <c r="BO81" s="3">
        <f t="shared" si="44"/>
        <v>0</v>
      </c>
      <c r="BP81" s="3">
        <f t="shared" si="45"/>
        <v>0</v>
      </c>
      <c r="BQ81" s="3">
        <f t="shared" si="46"/>
        <v>0</v>
      </c>
      <c r="BR81" s="3">
        <f t="shared" si="47"/>
        <v>0</v>
      </c>
      <c r="BS81" s="3">
        <f t="shared" si="48"/>
        <v>0</v>
      </c>
      <c r="BT81" s="3">
        <f t="shared" si="49"/>
        <v>0</v>
      </c>
      <c r="BU81" s="3">
        <f t="shared" si="50"/>
        <v>0</v>
      </c>
      <c r="BV81" s="3">
        <f t="shared" si="51"/>
        <v>0</v>
      </c>
      <c r="BW81" s="3">
        <f t="shared" si="52"/>
        <v>0</v>
      </c>
      <c r="BX81" s="4"/>
      <c r="CB81" s="87">
        <v>0</v>
      </c>
      <c r="CC81" s="87">
        <v>0</v>
      </c>
      <c r="CD81" s="87">
        <v>0</v>
      </c>
      <c r="CE81" s="87">
        <v>0</v>
      </c>
      <c r="CF81" s="87">
        <v>0</v>
      </c>
      <c r="CG81" s="87">
        <v>0</v>
      </c>
      <c r="CH81" s="87">
        <v>0</v>
      </c>
      <c r="CI81" s="87">
        <v>0</v>
      </c>
      <c r="CJ81" s="87">
        <v>0</v>
      </c>
      <c r="CK81" s="87">
        <v>0</v>
      </c>
      <c r="CL81" s="89">
        <f t="shared" si="54"/>
        <v>0</v>
      </c>
    </row>
    <row r="82" spans="1:90" ht="21.75" customHeight="1" x14ac:dyDescent="0.25">
      <c r="A82" s="54">
        <v>63</v>
      </c>
      <c r="B82" s="20" t="s">
        <v>149</v>
      </c>
      <c r="C82" s="9" t="s">
        <v>150</v>
      </c>
      <c r="D82" s="121" t="s">
        <v>24</v>
      </c>
      <c r="E82" s="121" t="s">
        <v>24</v>
      </c>
      <c r="F82" s="121" t="s">
        <v>24</v>
      </c>
      <c r="G82" s="121" t="s">
        <v>24</v>
      </c>
      <c r="H82" s="121" t="s">
        <v>24</v>
      </c>
      <c r="I82" s="121" t="s">
        <v>24</v>
      </c>
      <c r="J82" s="121" t="s">
        <v>24</v>
      </c>
      <c r="K82" s="121" t="s">
        <v>24</v>
      </c>
      <c r="L82" s="121" t="s">
        <v>24</v>
      </c>
      <c r="M82" s="121" t="s">
        <v>24</v>
      </c>
      <c r="N82" s="121" t="s">
        <v>24</v>
      </c>
      <c r="O82" s="121" t="s">
        <v>24</v>
      </c>
      <c r="P82" s="121" t="s">
        <v>24</v>
      </c>
      <c r="Q82" s="121" t="s">
        <v>24</v>
      </c>
      <c r="R82" s="121" t="s">
        <v>24</v>
      </c>
      <c r="S82" s="121" t="s">
        <v>24</v>
      </c>
      <c r="T82" s="121" t="s">
        <v>24</v>
      </c>
      <c r="U82" s="121" t="s">
        <v>24</v>
      </c>
      <c r="V82" s="105">
        <v>0.34375</v>
      </c>
      <c r="W82" s="105">
        <v>0.95347222222222217</v>
      </c>
      <c r="X82" s="105">
        <v>0.3527777777777778</v>
      </c>
      <c r="Y82" s="105">
        <v>0.95763888888888893</v>
      </c>
      <c r="Z82" s="105">
        <v>0.34722222222222227</v>
      </c>
      <c r="AA82" s="105">
        <v>0.97083333333333333</v>
      </c>
      <c r="AB82" s="107">
        <v>0.57222222222222219</v>
      </c>
      <c r="AC82" s="107">
        <v>0.95763888888888893</v>
      </c>
      <c r="AD82" s="105">
        <v>0.3520833333333333</v>
      </c>
      <c r="AE82" s="105">
        <v>0.9819444444444444</v>
      </c>
      <c r="AF82" s="105">
        <v>0.3527777777777778</v>
      </c>
      <c r="AG82" s="105">
        <v>0.94513888888888886</v>
      </c>
      <c r="AI82" s="18">
        <v>63</v>
      </c>
      <c r="AJ82" s="105">
        <v>0.3520833333333333</v>
      </c>
      <c r="AK82" s="105">
        <v>0.96597222222222223</v>
      </c>
      <c r="AL82" s="105">
        <v>0.3520833333333333</v>
      </c>
      <c r="AM82" s="105">
        <v>0.58750000000000002</v>
      </c>
      <c r="AN82" s="105">
        <v>0.3756944444444445</v>
      </c>
      <c r="AO82" s="105">
        <v>0.9916666666666667</v>
      </c>
      <c r="AP82" s="105">
        <v>0.3743055555555555</v>
      </c>
      <c r="AQ82" s="105">
        <v>7.6388888888888886E-3</v>
      </c>
      <c r="AR82" s="107">
        <v>0.57986111111111105</v>
      </c>
      <c r="AS82" s="107">
        <v>4.1666666666666664E-2</v>
      </c>
      <c r="AT82" s="105">
        <v>0.37083333333333335</v>
      </c>
      <c r="AU82" s="105">
        <v>4.3055555555555562E-2</v>
      </c>
      <c r="AV82" s="105">
        <v>0.37361111111111112</v>
      </c>
      <c r="AW82" s="105">
        <v>0.86111111111111116</v>
      </c>
      <c r="AX82" s="105">
        <v>0.37083333333333335</v>
      </c>
      <c r="AY82" s="105">
        <v>2.2916666666666669E-2</v>
      </c>
      <c r="AZ82" s="105">
        <v>0.37083333333333335</v>
      </c>
      <c r="BA82" s="105">
        <v>5.6250000000000001E-2</v>
      </c>
      <c r="BB82" s="105">
        <v>0.37083333333333335</v>
      </c>
      <c r="BC82" s="105">
        <v>4.7916666666666663E-2</v>
      </c>
      <c r="BD82" s="105">
        <v>0.37361111111111112</v>
      </c>
      <c r="BE82" s="105">
        <v>0.85</v>
      </c>
      <c r="BF82" s="107">
        <v>0.56736111111111109</v>
      </c>
      <c r="BG82" s="107">
        <v>5.0694444444444452E-2</v>
      </c>
      <c r="BH82" s="105">
        <v>0.37083333333333335</v>
      </c>
      <c r="BI82" s="105">
        <v>5.7638888888888885E-2</v>
      </c>
      <c r="BJ82" s="12">
        <f t="shared" si="40"/>
        <v>19</v>
      </c>
      <c r="BK82" s="112">
        <v>3</v>
      </c>
      <c r="BL82" s="2">
        <f t="shared" si="41"/>
        <v>19</v>
      </c>
      <c r="BM82" s="3">
        <f t="shared" si="42"/>
        <v>0</v>
      </c>
      <c r="BN82" s="3">
        <f t="shared" si="43"/>
        <v>0</v>
      </c>
      <c r="BO82" s="3">
        <f t="shared" si="44"/>
        <v>0</v>
      </c>
      <c r="BP82" s="3">
        <f t="shared" si="45"/>
        <v>0</v>
      </c>
      <c r="BQ82" s="3">
        <f t="shared" si="46"/>
        <v>0</v>
      </c>
      <c r="BR82" s="3">
        <f t="shared" si="47"/>
        <v>0</v>
      </c>
      <c r="BS82" s="3">
        <f t="shared" si="48"/>
        <v>0</v>
      </c>
      <c r="BT82" s="3">
        <f t="shared" si="49"/>
        <v>0</v>
      </c>
      <c r="BU82" s="3">
        <f t="shared" si="50"/>
        <v>0</v>
      </c>
      <c r="BV82" s="3">
        <f t="shared" si="51"/>
        <v>9</v>
      </c>
      <c r="BW82" s="3">
        <f t="shared" si="52"/>
        <v>0</v>
      </c>
      <c r="BX82" s="4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9">
        <f>SUM(CB82:CK82)</f>
        <v>0</v>
      </c>
    </row>
    <row r="83" spans="1:90" ht="21.75" customHeight="1" x14ac:dyDescent="0.25">
      <c r="A83" s="54">
        <v>64</v>
      </c>
      <c r="B83" s="20" t="s">
        <v>151</v>
      </c>
      <c r="C83" s="9" t="s">
        <v>152</v>
      </c>
      <c r="D83" s="105">
        <v>0.34652777777777777</v>
      </c>
      <c r="E83" s="105">
        <v>0.97222222222222221</v>
      </c>
      <c r="F83" s="105">
        <v>0.34652777777777777</v>
      </c>
      <c r="G83" s="105">
        <v>0.9506944444444444</v>
      </c>
      <c r="H83" s="105">
        <v>0.34722222222222227</v>
      </c>
      <c r="I83" s="105">
        <v>0.95833333333333337</v>
      </c>
      <c r="J83" s="125">
        <v>1</v>
      </c>
      <c r="K83" s="105">
        <v>0.96527777777777779</v>
      </c>
      <c r="L83" s="105">
        <v>0.34652777777777777</v>
      </c>
      <c r="M83" s="105">
        <v>0.99236111111111114</v>
      </c>
      <c r="N83" s="107">
        <v>0.57013888888888886</v>
      </c>
      <c r="O83" s="107">
        <v>0.94305555555555554</v>
      </c>
      <c r="P83" s="105">
        <v>0.34166666666666662</v>
      </c>
      <c r="Q83" s="105">
        <v>0.95972222222222225</v>
      </c>
      <c r="R83" s="105">
        <v>0.34583333333333338</v>
      </c>
      <c r="S83" s="105">
        <v>0.96736111111111101</v>
      </c>
      <c r="T83" s="105">
        <v>0.34722222222222227</v>
      </c>
      <c r="U83" s="105">
        <v>0.93680555555555556</v>
      </c>
      <c r="V83" s="105">
        <v>0.34722222222222227</v>
      </c>
      <c r="W83" s="105">
        <v>0.96180555555555547</v>
      </c>
      <c r="X83" s="105">
        <v>0.34652777777777777</v>
      </c>
      <c r="Y83" s="105">
        <v>0.99444444444444446</v>
      </c>
      <c r="Z83" s="105">
        <v>0.34722222222222227</v>
      </c>
      <c r="AA83" s="105">
        <v>0.96666666666666667</v>
      </c>
      <c r="AB83" s="107">
        <v>0.57152777777777775</v>
      </c>
      <c r="AC83" s="107">
        <v>0.96666666666666667</v>
      </c>
      <c r="AD83" s="105">
        <v>0.34722222222222227</v>
      </c>
      <c r="AE83" s="113">
        <v>1</v>
      </c>
      <c r="AF83" s="105">
        <v>0.34722222222222227</v>
      </c>
      <c r="AG83" s="105">
        <v>2.2916666666666669E-2</v>
      </c>
      <c r="AI83" s="18">
        <v>64</v>
      </c>
      <c r="AJ83" s="105">
        <v>0.34652777777777777</v>
      </c>
      <c r="AK83" s="105">
        <v>0.98888888888888893</v>
      </c>
      <c r="AL83" s="105">
        <v>0.34722222222222227</v>
      </c>
      <c r="AM83" s="105">
        <v>4.3055555555555562E-2</v>
      </c>
      <c r="AN83" s="105">
        <v>0.36805555555555558</v>
      </c>
      <c r="AO83" s="105">
        <v>4.6527777777777779E-2</v>
      </c>
      <c r="AP83" s="105">
        <v>0.36944444444444446</v>
      </c>
      <c r="AQ83" s="105">
        <v>3.6111111111111115E-2</v>
      </c>
      <c r="AR83" s="107">
        <v>0.57361111111111118</v>
      </c>
      <c r="AS83" s="107">
        <v>4.3750000000000004E-2</v>
      </c>
      <c r="AT83" s="105">
        <v>0.36805555555555558</v>
      </c>
      <c r="AU83" s="105">
        <v>4.6527777777777779E-2</v>
      </c>
      <c r="AV83" s="105">
        <v>0.36736111111111108</v>
      </c>
      <c r="AW83" s="105">
        <v>4.3055555555555562E-2</v>
      </c>
      <c r="AX83" s="105">
        <v>0.36736111111111108</v>
      </c>
      <c r="AY83" s="105">
        <v>4.9999999999999996E-2</v>
      </c>
      <c r="AZ83" s="105">
        <v>0.36805555555555558</v>
      </c>
      <c r="BA83" s="105">
        <v>4.5138888888888888E-2</v>
      </c>
      <c r="BB83" s="105">
        <v>0.36805555555555558</v>
      </c>
      <c r="BC83" s="105">
        <v>6.5972222222222224E-2</v>
      </c>
      <c r="BD83" s="105">
        <v>0.36874999999999997</v>
      </c>
      <c r="BE83" s="113">
        <v>1</v>
      </c>
      <c r="BF83" s="107">
        <v>0.56805555555555554</v>
      </c>
      <c r="BG83" s="107">
        <v>5.2777777777777778E-2</v>
      </c>
      <c r="BH83" s="105">
        <v>0.36805555555555558</v>
      </c>
      <c r="BI83" s="105">
        <v>5.9027777777777783E-2</v>
      </c>
      <c r="BJ83" s="12">
        <f t="shared" si="40"/>
        <v>28</v>
      </c>
      <c r="BK83" s="112">
        <v>4</v>
      </c>
      <c r="BL83" s="2">
        <f t="shared" si="41"/>
        <v>28</v>
      </c>
      <c r="BM83" s="3">
        <f t="shared" si="42"/>
        <v>0</v>
      </c>
      <c r="BN83" s="3">
        <f t="shared" si="43"/>
        <v>0</v>
      </c>
      <c r="BO83" s="3">
        <f t="shared" si="44"/>
        <v>0</v>
      </c>
      <c r="BP83" s="3">
        <f t="shared" si="45"/>
        <v>0</v>
      </c>
      <c r="BQ83" s="3">
        <f t="shared" si="46"/>
        <v>0</v>
      </c>
      <c r="BR83" s="3">
        <f t="shared" si="47"/>
        <v>0</v>
      </c>
      <c r="BS83" s="3">
        <f t="shared" si="48"/>
        <v>0</v>
      </c>
      <c r="BT83" s="3">
        <f t="shared" si="49"/>
        <v>0</v>
      </c>
      <c r="BU83" s="3">
        <f t="shared" si="50"/>
        <v>0</v>
      </c>
      <c r="BV83" s="3">
        <f t="shared" si="51"/>
        <v>0</v>
      </c>
      <c r="BW83" s="3">
        <f t="shared" si="52"/>
        <v>0</v>
      </c>
      <c r="BX83" s="4"/>
      <c r="CB83" s="87">
        <v>0</v>
      </c>
      <c r="CC83" s="87">
        <v>0</v>
      </c>
      <c r="CD83" s="87">
        <v>0</v>
      </c>
      <c r="CE83" s="87">
        <v>0</v>
      </c>
      <c r="CF83" s="87">
        <v>0</v>
      </c>
      <c r="CG83" s="88">
        <v>1</v>
      </c>
      <c r="CH83" s="87">
        <v>0</v>
      </c>
      <c r="CI83" s="87">
        <v>0</v>
      </c>
      <c r="CJ83" s="87">
        <v>0</v>
      </c>
      <c r="CK83" s="87">
        <v>0</v>
      </c>
      <c r="CL83" s="89">
        <f t="shared" si="54"/>
        <v>1</v>
      </c>
    </row>
    <row r="84" spans="1:90" ht="21.75" customHeight="1" x14ac:dyDescent="0.25">
      <c r="A84" s="54">
        <v>65</v>
      </c>
      <c r="B84" s="20" t="s">
        <v>153</v>
      </c>
      <c r="C84" s="9" t="s">
        <v>154</v>
      </c>
      <c r="D84" s="105">
        <v>0.35486111111111113</v>
      </c>
      <c r="E84" s="105">
        <v>0.91875000000000007</v>
      </c>
      <c r="F84" s="105">
        <v>0.33124999999999999</v>
      </c>
      <c r="G84" s="105">
        <v>0.9590277777777777</v>
      </c>
      <c r="H84" s="105">
        <v>0.35416666666666669</v>
      </c>
      <c r="I84" s="105">
        <v>0.95833333333333337</v>
      </c>
      <c r="J84" s="105">
        <v>0.35555555555555557</v>
      </c>
      <c r="K84" s="105">
        <v>0.95833333333333337</v>
      </c>
      <c r="L84" s="105">
        <v>0.35347222222222219</v>
      </c>
      <c r="M84" s="105">
        <v>0.99444444444444446</v>
      </c>
      <c r="N84" s="122" t="s">
        <v>15</v>
      </c>
      <c r="O84" s="122" t="s">
        <v>15</v>
      </c>
      <c r="P84" s="105">
        <v>0.33055555555555555</v>
      </c>
      <c r="Q84" s="105">
        <v>0.91736111111111107</v>
      </c>
      <c r="R84" s="105">
        <v>0.3298611111111111</v>
      </c>
      <c r="S84" s="105">
        <v>0.9194444444444444</v>
      </c>
      <c r="T84" s="105">
        <v>0.33263888888888887</v>
      </c>
      <c r="U84" s="105">
        <v>0.93263888888888891</v>
      </c>
      <c r="V84" s="105">
        <v>0.3527777777777778</v>
      </c>
      <c r="W84" s="105">
        <v>0.92638888888888893</v>
      </c>
      <c r="X84" s="105">
        <v>0.33194444444444443</v>
      </c>
      <c r="Y84" s="105">
        <v>0.91666666666666663</v>
      </c>
      <c r="Z84" s="105">
        <v>0.32916666666666666</v>
      </c>
      <c r="AA84" s="105">
        <v>0.96388888888888891</v>
      </c>
      <c r="AB84" s="107">
        <v>0.56944444444444442</v>
      </c>
      <c r="AC84" s="107">
        <v>0.97569444444444453</v>
      </c>
      <c r="AD84" s="105">
        <v>0.35416666666666669</v>
      </c>
      <c r="AE84" s="113">
        <v>1</v>
      </c>
      <c r="AF84" s="121" t="s">
        <v>195</v>
      </c>
      <c r="AG84" s="121" t="s">
        <v>195</v>
      </c>
      <c r="AH84" s="120"/>
      <c r="AI84" s="18">
        <v>65</v>
      </c>
      <c r="AJ84" s="105">
        <v>0.35347222222222219</v>
      </c>
      <c r="AK84" s="105">
        <v>0.9784722222222223</v>
      </c>
      <c r="AL84" s="105">
        <v>0.35416666666666669</v>
      </c>
      <c r="AM84" s="105">
        <v>1.6666666666666666E-2</v>
      </c>
      <c r="AN84" s="105">
        <v>0.3756944444444445</v>
      </c>
      <c r="AO84" s="105">
        <v>4.3055555555555562E-2</v>
      </c>
      <c r="AP84" s="105">
        <v>0.375</v>
      </c>
      <c r="AQ84" s="105">
        <v>4.9305555555555554E-2</v>
      </c>
      <c r="AR84" s="107">
        <v>0.63680555555555551</v>
      </c>
      <c r="AS84" s="107">
        <v>7.0833333333333331E-2</v>
      </c>
      <c r="AT84" s="105">
        <v>0.375</v>
      </c>
      <c r="AU84" s="105">
        <v>4.3055555555555562E-2</v>
      </c>
      <c r="AV84" s="105">
        <v>0.3756944444444445</v>
      </c>
      <c r="AW84" s="105">
        <v>7.0833333333333331E-2</v>
      </c>
      <c r="AX84" s="105">
        <v>0.375</v>
      </c>
      <c r="AY84" s="105">
        <v>7.9861111111111105E-2</v>
      </c>
      <c r="AZ84" s="105">
        <v>0.375</v>
      </c>
      <c r="BA84" s="105">
        <v>8.4027777777777771E-2</v>
      </c>
      <c r="BB84" s="105">
        <v>0.3756944444444445</v>
      </c>
      <c r="BC84" s="105">
        <v>4.9999999999999996E-2</v>
      </c>
      <c r="BD84" s="105">
        <v>0.37708333333333338</v>
      </c>
      <c r="BE84" s="105">
        <v>4.9999999999999996E-2</v>
      </c>
      <c r="BF84" s="107">
        <v>0.58194444444444449</v>
      </c>
      <c r="BG84" s="107">
        <v>0.85069444444444453</v>
      </c>
      <c r="BH84" s="105">
        <v>0.3756944444444445</v>
      </c>
      <c r="BI84" s="105">
        <v>7.013888888888889E-2</v>
      </c>
      <c r="BJ84" s="12">
        <f t="shared" si="40"/>
        <v>28</v>
      </c>
      <c r="BK84" s="112">
        <v>3</v>
      </c>
      <c r="BL84" s="2">
        <f t="shared" si="41"/>
        <v>26</v>
      </c>
      <c r="BM84" s="3">
        <f t="shared" si="42"/>
        <v>1</v>
      </c>
      <c r="BN84" s="3">
        <f t="shared" si="43"/>
        <v>0</v>
      </c>
      <c r="BO84" s="3">
        <f t="shared" si="44"/>
        <v>0</v>
      </c>
      <c r="BP84" s="3">
        <f t="shared" si="45"/>
        <v>0</v>
      </c>
      <c r="BQ84" s="3">
        <f t="shared" si="46"/>
        <v>0</v>
      </c>
      <c r="BR84" s="3">
        <f t="shared" si="47"/>
        <v>0</v>
      </c>
      <c r="BS84" s="3">
        <f t="shared" si="48"/>
        <v>1</v>
      </c>
      <c r="BT84" s="3">
        <f t="shared" si="49"/>
        <v>0</v>
      </c>
      <c r="BU84" s="3">
        <f t="shared" si="50"/>
        <v>0</v>
      </c>
      <c r="BV84" s="3">
        <f t="shared" si="51"/>
        <v>0</v>
      </c>
      <c r="BW84" s="3">
        <f t="shared" si="52"/>
        <v>0</v>
      </c>
      <c r="BX84" s="4"/>
      <c r="CB84" s="87">
        <v>0</v>
      </c>
      <c r="CC84" s="87">
        <v>0</v>
      </c>
      <c r="CD84" s="87">
        <v>0</v>
      </c>
      <c r="CE84" s="87">
        <v>0</v>
      </c>
      <c r="CF84" s="87">
        <v>0</v>
      </c>
      <c r="CG84" s="88">
        <v>6</v>
      </c>
      <c r="CH84" s="87">
        <v>0</v>
      </c>
      <c r="CI84" s="87">
        <v>0</v>
      </c>
      <c r="CJ84" s="87">
        <v>0</v>
      </c>
      <c r="CK84" s="87">
        <v>0</v>
      </c>
      <c r="CL84" s="89">
        <f t="shared" si="54"/>
        <v>6</v>
      </c>
    </row>
    <row r="85" spans="1:90" ht="21.75" customHeight="1" x14ac:dyDescent="0.25">
      <c r="A85" s="54">
        <v>66</v>
      </c>
      <c r="B85" s="20" t="s">
        <v>155</v>
      </c>
      <c r="C85" s="9" t="s">
        <v>156</v>
      </c>
      <c r="D85" s="105">
        <v>0.3520833333333333</v>
      </c>
      <c r="E85" s="113">
        <v>1</v>
      </c>
      <c r="F85" s="105">
        <v>0.35069444444444442</v>
      </c>
      <c r="G85" s="105">
        <v>0.9458333333333333</v>
      </c>
      <c r="H85" s="105">
        <v>0.35069444444444442</v>
      </c>
      <c r="I85" s="105">
        <v>0.95833333333333337</v>
      </c>
      <c r="J85" s="113">
        <v>1</v>
      </c>
      <c r="K85" s="113">
        <v>1</v>
      </c>
      <c r="L85" s="105">
        <v>0.34930555555555554</v>
      </c>
      <c r="M85" s="113">
        <v>1</v>
      </c>
      <c r="N85" s="107">
        <v>0.57777777777777783</v>
      </c>
      <c r="O85" s="107">
        <v>0.9506944444444444</v>
      </c>
      <c r="P85" s="105">
        <v>0.40277777777777773</v>
      </c>
      <c r="Q85" s="105">
        <v>0.97499999999999998</v>
      </c>
      <c r="R85" s="105">
        <v>0.3520833333333333</v>
      </c>
      <c r="S85" s="105">
        <v>0.94236111111111109</v>
      </c>
      <c r="T85" s="105">
        <v>0.35138888888888892</v>
      </c>
      <c r="U85" s="105">
        <v>0.94791666666666663</v>
      </c>
      <c r="V85" s="105">
        <v>0.3527777777777778</v>
      </c>
      <c r="W85" s="105">
        <v>0.94861111111111107</v>
      </c>
      <c r="X85" s="105">
        <v>0.35069444444444442</v>
      </c>
      <c r="Y85" s="105">
        <v>0.95694444444444438</v>
      </c>
      <c r="Z85" s="105">
        <v>0.35138888888888892</v>
      </c>
      <c r="AA85" s="105">
        <v>0.99513888888888891</v>
      </c>
      <c r="AB85" s="107">
        <v>0.56944444444444442</v>
      </c>
      <c r="AC85" s="107">
        <v>0.96666666666666667</v>
      </c>
      <c r="AD85" s="105">
        <v>0.34861111111111115</v>
      </c>
      <c r="AE85" s="105">
        <v>0.94513888888888886</v>
      </c>
      <c r="AF85" s="105">
        <v>0.3527777777777778</v>
      </c>
      <c r="AG85" s="105">
        <v>0.94861111111111107</v>
      </c>
      <c r="AI85" s="18">
        <v>66</v>
      </c>
      <c r="AJ85" s="105">
        <v>0.35416666666666669</v>
      </c>
      <c r="AK85" s="105">
        <v>1.5972222222222224E-2</v>
      </c>
      <c r="AL85" s="105">
        <v>0.36249999999999999</v>
      </c>
      <c r="AM85" s="105">
        <v>1.3888888888888889E-3</v>
      </c>
      <c r="AN85" s="105">
        <v>0.14097222222222222</v>
      </c>
      <c r="AO85" s="105">
        <v>0.9770833333333333</v>
      </c>
      <c r="AP85" s="105">
        <v>0.37361111111111112</v>
      </c>
      <c r="AQ85" s="105">
        <v>2.5694444444444447E-2</v>
      </c>
      <c r="AR85" s="107">
        <v>0.56805555555555554</v>
      </c>
      <c r="AS85" s="107">
        <v>4.0972222222222222E-2</v>
      </c>
      <c r="AT85" s="121" t="s">
        <v>195</v>
      </c>
      <c r="AU85" s="121" t="s">
        <v>195</v>
      </c>
      <c r="AV85" s="105">
        <v>0.37083333333333335</v>
      </c>
      <c r="AW85" s="105">
        <v>0.14097222222222222</v>
      </c>
      <c r="AX85" s="105">
        <v>0.37083333333333335</v>
      </c>
      <c r="AY85" s="105">
        <v>1.8055555555555557E-2</v>
      </c>
      <c r="AZ85" s="105">
        <v>0.36874999999999997</v>
      </c>
      <c r="BA85" s="105">
        <v>6.458333333333334E-2</v>
      </c>
      <c r="BB85" s="105">
        <v>0.37152777777777773</v>
      </c>
      <c r="BC85" s="113">
        <v>1</v>
      </c>
      <c r="BD85" s="105">
        <v>0.36874999999999997</v>
      </c>
      <c r="BE85" s="105">
        <v>0.84861111111111109</v>
      </c>
      <c r="BF85" s="107">
        <v>0.5708333333333333</v>
      </c>
      <c r="BG85" s="114">
        <v>1</v>
      </c>
      <c r="BH85" s="105">
        <v>0.44236111111111115</v>
      </c>
      <c r="BI85" s="105">
        <v>6.1111111111111116E-2</v>
      </c>
      <c r="BJ85" s="12">
        <f t="shared" si="40"/>
        <v>28</v>
      </c>
      <c r="BK85" s="112">
        <v>4</v>
      </c>
      <c r="BL85" s="2">
        <f t="shared" si="41"/>
        <v>27</v>
      </c>
      <c r="BM85" s="3">
        <f t="shared" si="42"/>
        <v>0</v>
      </c>
      <c r="BN85" s="3">
        <f t="shared" si="43"/>
        <v>0</v>
      </c>
      <c r="BO85" s="3">
        <f t="shared" si="44"/>
        <v>0</v>
      </c>
      <c r="BP85" s="3">
        <f t="shared" si="45"/>
        <v>0</v>
      </c>
      <c r="BQ85" s="3">
        <f t="shared" si="46"/>
        <v>0</v>
      </c>
      <c r="BR85" s="3">
        <f t="shared" si="47"/>
        <v>0</v>
      </c>
      <c r="BS85" s="3">
        <f t="shared" si="48"/>
        <v>1</v>
      </c>
      <c r="BT85" s="3">
        <f t="shared" si="49"/>
        <v>0</v>
      </c>
      <c r="BU85" s="3">
        <f t="shared" si="50"/>
        <v>0</v>
      </c>
      <c r="BV85" s="3">
        <f t="shared" si="51"/>
        <v>0</v>
      </c>
      <c r="BW85" s="3">
        <f t="shared" si="52"/>
        <v>0</v>
      </c>
      <c r="BX85" s="4"/>
      <c r="CB85" s="87">
        <v>0</v>
      </c>
      <c r="CC85" s="87">
        <v>0</v>
      </c>
      <c r="CD85" s="87">
        <v>0</v>
      </c>
      <c r="CE85" s="87">
        <v>0</v>
      </c>
      <c r="CF85" s="87">
        <v>0</v>
      </c>
      <c r="CG85" s="87">
        <v>0</v>
      </c>
      <c r="CH85" s="87">
        <v>0</v>
      </c>
      <c r="CI85" s="87">
        <v>0</v>
      </c>
      <c r="CJ85" s="87">
        <v>0</v>
      </c>
      <c r="CK85" s="87">
        <v>0</v>
      </c>
      <c r="CL85" s="89">
        <f t="shared" si="54"/>
        <v>0</v>
      </c>
    </row>
    <row r="86" spans="1:90" ht="21.75" customHeight="1" x14ac:dyDescent="0.25">
      <c r="A86" s="54">
        <v>67</v>
      </c>
      <c r="B86" s="20" t="s">
        <v>157</v>
      </c>
      <c r="C86" s="9" t="s">
        <v>158</v>
      </c>
      <c r="D86" s="105">
        <v>0.39444444444444443</v>
      </c>
      <c r="E86" s="105">
        <v>0.97986111111111107</v>
      </c>
      <c r="F86" s="105">
        <v>0.3520833333333333</v>
      </c>
      <c r="G86" s="105">
        <v>0.95833333333333337</v>
      </c>
      <c r="H86" s="105">
        <v>0.35347222222222219</v>
      </c>
      <c r="I86" s="105">
        <v>6.9444444444444447E-4</v>
      </c>
      <c r="J86" s="105">
        <v>0.37222222222222223</v>
      </c>
      <c r="K86" s="105">
        <v>0.98611111111111116</v>
      </c>
      <c r="L86" s="105">
        <v>0.3527777777777778</v>
      </c>
      <c r="M86" s="105">
        <v>2.0833333333333332E-2</v>
      </c>
      <c r="N86" s="122" t="s">
        <v>15</v>
      </c>
      <c r="O86" s="122" t="s">
        <v>15</v>
      </c>
      <c r="P86" s="105">
        <v>0.34930555555555554</v>
      </c>
      <c r="Q86" s="113">
        <v>1</v>
      </c>
      <c r="R86" s="105">
        <v>0.35416666666666669</v>
      </c>
      <c r="S86" s="113">
        <v>1</v>
      </c>
      <c r="T86" s="105">
        <v>0.34861111111111115</v>
      </c>
      <c r="U86" s="105">
        <v>0.93333333333333324</v>
      </c>
      <c r="V86" s="105">
        <v>0.35069444444444442</v>
      </c>
      <c r="W86" s="105">
        <v>0.95833333333333337</v>
      </c>
      <c r="X86" s="105">
        <v>0.3527777777777778</v>
      </c>
      <c r="Y86" s="113">
        <v>1</v>
      </c>
      <c r="Z86" s="105">
        <v>0.35416666666666669</v>
      </c>
      <c r="AA86" s="105">
        <v>0</v>
      </c>
      <c r="AB86" s="107">
        <v>0.57847222222222217</v>
      </c>
      <c r="AC86" s="107">
        <v>5.4166666666666669E-2</v>
      </c>
      <c r="AD86" s="105">
        <v>0.35555555555555557</v>
      </c>
      <c r="AE86" s="105">
        <v>2.2916666666666669E-2</v>
      </c>
      <c r="AF86" s="105">
        <v>0.35347222222222219</v>
      </c>
      <c r="AG86" s="105">
        <v>0.96111111111111114</v>
      </c>
      <c r="AI86" s="18">
        <v>67</v>
      </c>
      <c r="AJ86" s="105">
        <v>0.34166666666666662</v>
      </c>
      <c r="AK86" s="105">
        <v>4.1666666666666664E-2</v>
      </c>
      <c r="AL86" s="105">
        <v>0.35486111111111113</v>
      </c>
      <c r="AM86" s="105">
        <v>6.5277777777777782E-2</v>
      </c>
      <c r="AN86" s="105">
        <v>0.3756944444444445</v>
      </c>
      <c r="AO86" s="105">
        <v>4.8611111111111112E-2</v>
      </c>
      <c r="AP86" s="105">
        <v>0.3743055555555555</v>
      </c>
      <c r="AQ86" s="105">
        <v>4.8611111111111112E-2</v>
      </c>
      <c r="AR86" s="107">
        <v>0.57847222222222217</v>
      </c>
      <c r="AS86" s="107">
        <v>0.10555555555555556</v>
      </c>
      <c r="AT86" s="105">
        <v>0.37152777777777773</v>
      </c>
      <c r="AU86" s="105">
        <v>4.1666666666666664E-2</v>
      </c>
      <c r="AV86" s="105">
        <v>0.37638888888888888</v>
      </c>
      <c r="AW86" s="105">
        <v>0.37638888888888888</v>
      </c>
      <c r="AX86" s="105">
        <v>0.3743055555555555</v>
      </c>
      <c r="AY86" s="105">
        <v>8.819444444444445E-2</v>
      </c>
      <c r="AZ86" s="105">
        <v>0.37847222222222227</v>
      </c>
      <c r="BA86" s="105">
        <v>3.7499999999999999E-2</v>
      </c>
      <c r="BB86" s="105">
        <v>0.3756944444444445</v>
      </c>
      <c r="BC86" s="105">
        <v>4.7916666666666663E-2</v>
      </c>
      <c r="BD86" s="105">
        <v>0.37916666666666665</v>
      </c>
      <c r="BE86" s="105">
        <v>4.3055555555555562E-2</v>
      </c>
      <c r="BF86" s="107">
        <v>0.57916666666666672</v>
      </c>
      <c r="BG86" s="107">
        <v>5.2083333333333336E-2</v>
      </c>
      <c r="BH86" s="105">
        <v>0.37986111111111115</v>
      </c>
      <c r="BI86" s="105">
        <v>7.3611111111111113E-2</v>
      </c>
      <c r="BJ86" s="12">
        <f t="shared" si="40"/>
        <v>28</v>
      </c>
      <c r="BK86" s="112">
        <v>3</v>
      </c>
      <c r="BL86" s="2">
        <f t="shared" si="41"/>
        <v>27</v>
      </c>
      <c r="BM86" s="3">
        <f t="shared" si="42"/>
        <v>1</v>
      </c>
      <c r="BN86" s="3">
        <f t="shared" si="43"/>
        <v>0</v>
      </c>
      <c r="BO86" s="3">
        <f t="shared" si="44"/>
        <v>0</v>
      </c>
      <c r="BP86" s="3">
        <f t="shared" si="45"/>
        <v>0</v>
      </c>
      <c r="BQ86" s="3">
        <f t="shared" si="46"/>
        <v>0</v>
      </c>
      <c r="BR86" s="3">
        <f t="shared" si="47"/>
        <v>0</v>
      </c>
      <c r="BS86" s="3">
        <f t="shared" si="48"/>
        <v>0</v>
      </c>
      <c r="BT86" s="3">
        <f t="shared" si="49"/>
        <v>0</v>
      </c>
      <c r="BU86" s="3">
        <f t="shared" si="50"/>
        <v>0</v>
      </c>
      <c r="BV86" s="3">
        <f t="shared" si="51"/>
        <v>0</v>
      </c>
      <c r="BW86" s="3">
        <f t="shared" si="52"/>
        <v>0</v>
      </c>
      <c r="BX86" s="4"/>
      <c r="CB86" s="87">
        <v>0</v>
      </c>
      <c r="CC86" s="87">
        <v>0</v>
      </c>
      <c r="CD86" s="87">
        <v>0</v>
      </c>
      <c r="CE86" s="87">
        <v>0</v>
      </c>
      <c r="CF86" s="87">
        <v>0</v>
      </c>
      <c r="CG86" s="88">
        <v>2</v>
      </c>
      <c r="CH86" s="87">
        <v>0</v>
      </c>
      <c r="CI86" s="87">
        <v>0</v>
      </c>
      <c r="CJ86" s="87">
        <v>0</v>
      </c>
      <c r="CK86" s="87">
        <v>0</v>
      </c>
      <c r="CL86" s="89">
        <f t="shared" si="54"/>
        <v>2</v>
      </c>
    </row>
    <row r="87" spans="1:90" ht="21.75" customHeight="1" x14ac:dyDescent="0.25">
      <c r="A87" s="54">
        <v>68</v>
      </c>
      <c r="B87" s="20" t="s">
        <v>159</v>
      </c>
      <c r="C87" s="9" t="s">
        <v>160</v>
      </c>
      <c r="D87" s="105">
        <v>0.35555555555555557</v>
      </c>
      <c r="E87" s="105">
        <v>0.98888888888888893</v>
      </c>
      <c r="F87" s="105">
        <v>0.35347222222222219</v>
      </c>
      <c r="G87" s="105">
        <v>0.97083333333333333</v>
      </c>
      <c r="H87" s="105">
        <v>0.35555555555555557</v>
      </c>
      <c r="I87" s="105">
        <v>0.97916666666666663</v>
      </c>
      <c r="J87" s="105">
        <v>0.36736111111111108</v>
      </c>
      <c r="K87" s="105">
        <v>0.9868055555555556</v>
      </c>
      <c r="L87" s="105">
        <v>0.35416666666666669</v>
      </c>
      <c r="M87" s="105">
        <v>2.6388888888888889E-2</v>
      </c>
      <c r="N87" s="107">
        <v>0.57916666666666672</v>
      </c>
      <c r="O87" s="107">
        <v>0.97499999999999998</v>
      </c>
      <c r="P87" s="105">
        <v>0.39513888888888887</v>
      </c>
      <c r="Q87" s="105">
        <v>2.5694444444444447E-2</v>
      </c>
      <c r="R87" s="105">
        <v>0.35486111111111113</v>
      </c>
      <c r="S87" s="105">
        <v>0.96944444444444444</v>
      </c>
      <c r="T87" s="105">
        <v>0.35416666666666669</v>
      </c>
      <c r="U87" s="105">
        <v>0.96319444444444446</v>
      </c>
      <c r="V87" s="105">
        <v>0.35416666666666669</v>
      </c>
      <c r="W87" s="105">
        <v>0.96180555555555547</v>
      </c>
      <c r="X87" s="105">
        <v>0.35347222222222219</v>
      </c>
      <c r="Y87" s="105">
        <v>2.7777777777777779E-3</v>
      </c>
      <c r="Z87" s="105">
        <v>0.35347222222222219</v>
      </c>
      <c r="AA87" s="105">
        <v>8.3333333333333332E-3</v>
      </c>
      <c r="AB87" s="107">
        <v>0.58194444444444449</v>
      </c>
      <c r="AC87" s="107">
        <v>5.486111111111111E-2</v>
      </c>
      <c r="AD87" s="105">
        <v>0.35416666666666669</v>
      </c>
      <c r="AE87" s="105">
        <v>2.1527777777777781E-2</v>
      </c>
      <c r="AF87" s="105">
        <v>0.3527777777777778</v>
      </c>
      <c r="AG87" s="105">
        <v>0.94861111111111107</v>
      </c>
      <c r="AI87" s="18">
        <v>68</v>
      </c>
      <c r="AJ87" s="105">
        <v>0.35416666666666669</v>
      </c>
      <c r="AK87" s="105">
        <v>4.3055555555555562E-2</v>
      </c>
      <c r="AL87" s="105">
        <v>0.35347222222222219</v>
      </c>
      <c r="AM87" s="105">
        <v>7.6388888888888895E-2</v>
      </c>
      <c r="AN87" s="105">
        <v>0.37222222222222223</v>
      </c>
      <c r="AO87" s="105">
        <v>6.3888888888888884E-2</v>
      </c>
      <c r="AP87" s="105">
        <v>0.37291666666666662</v>
      </c>
      <c r="AQ87" s="105">
        <v>5.0694444444444452E-2</v>
      </c>
      <c r="AR87" s="107">
        <v>0.58124999999999993</v>
      </c>
      <c r="AS87" s="107">
        <v>0.10833333333333334</v>
      </c>
      <c r="AT87" s="105">
        <v>0.37361111111111112</v>
      </c>
      <c r="AU87" s="105">
        <v>4.7222222222222221E-2</v>
      </c>
      <c r="AV87" s="105">
        <v>0.375</v>
      </c>
      <c r="AW87" s="105">
        <v>0.8534722222222223</v>
      </c>
      <c r="AX87" s="105">
        <v>0.41666666666666669</v>
      </c>
      <c r="AY87" s="105">
        <v>8.6805555555555566E-2</v>
      </c>
      <c r="AZ87" s="105">
        <v>0.3756944444444445</v>
      </c>
      <c r="BA87" s="105">
        <v>9.5138888888888884E-2</v>
      </c>
      <c r="BB87" s="105">
        <v>0.3743055555555555</v>
      </c>
      <c r="BC87" s="105">
        <v>5.6944444444444443E-2</v>
      </c>
      <c r="BD87" s="105">
        <v>0.37361111111111112</v>
      </c>
      <c r="BE87" s="105">
        <v>4.5138888888888888E-2</v>
      </c>
      <c r="BF87" s="107">
        <v>0.58263888888888882</v>
      </c>
      <c r="BG87" s="107">
        <v>5.5555555555555552E-2</v>
      </c>
      <c r="BH87" s="105">
        <v>0.37361111111111112</v>
      </c>
      <c r="BI87" s="105">
        <v>7.3611111111111113E-2</v>
      </c>
      <c r="BJ87" s="12">
        <f t="shared" si="40"/>
        <v>28</v>
      </c>
      <c r="BK87" s="112">
        <v>4</v>
      </c>
      <c r="BL87" s="2">
        <f t="shared" si="41"/>
        <v>28</v>
      </c>
      <c r="BM87" s="3">
        <f t="shared" si="42"/>
        <v>0</v>
      </c>
      <c r="BN87" s="3">
        <f t="shared" si="43"/>
        <v>0</v>
      </c>
      <c r="BO87" s="3">
        <f t="shared" si="44"/>
        <v>0</v>
      </c>
      <c r="BP87" s="3">
        <f t="shared" si="45"/>
        <v>0</v>
      </c>
      <c r="BQ87" s="3">
        <f t="shared" si="46"/>
        <v>0</v>
      </c>
      <c r="BR87" s="3">
        <f t="shared" si="47"/>
        <v>0</v>
      </c>
      <c r="BS87" s="3">
        <f t="shared" si="48"/>
        <v>0</v>
      </c>
      <c r="BT87" s="3">
        <f t="shared" si="49"/>
        <v>0</v>
      </c>
      <c r="BU87" s="3">
        <f t="shared" si="50"/>
        <v>0</v>
      </c>
      <c r="BV87" s="3">
        <f t="shared" si="51"/>
        <v>0</v>
      </c>
      <c r="BW87" s="3">
        <f t="shared" si="52"/>
        <v>0</v>
      </c>
      <c r="BX87" s="4"/>
      <c r="CB87" s="87">
        <v>0</v>
      </c>
      <c r="CC87" s="87">
        <v>0</v>
      </c>
      <c r="CD87" s="87">
        <v>0</v>
      </c>
      <c r="CE87" s="87">
        <v>0</v>
      </c>
      <c r="CF87" s="87">
        <v>0</v>
      </c>
      <c r="CG87" s="87">
        <v>0</v>
      </c>
      <c r="CH87" s="87">
        <v>0</v>
      </c>
      <c r="CI87" s="87">
        <v>0</v>
      </c>
      <c r="CJ87" s="87">
        <v>0</v>
      </c>
      <c r="CK87" s="87">
        <v>0</v>
      </c>
      <c r="CL87" s="89">
        <f t="shared" si="54"/>
        <v>0</v>
      </c>
    </row>
    <row r="88" spans="1:90" ht="21.75" customHeight="1" x14ac:dyDescent="0.25">
      <c r="A88" s="54">
        <v>69</v>
      </c>
      <c r="B88" s="20" t="s">
        <v>161</v>
      </c>
      <c r="C88" s="9" t="s">
        <v>162</v>
      </c>
      <c r="D88" s="105">
        <v>0.4145833333333333</v>
      </c>
      <c r="E88" s="105">
        <v>0.95208333333333339</v>
      </c>
      <c r="F88" s="105">
        <v>0.41597222222222219</v>
      </c>
      <c r="G88" s="105">
        <v>0.95694444444444438</v>
      </c>
      <c r="H88" s="105">
        <v>0.41666666666666669</v>
      </c>
      <c r="I88" s="105">
        <v>0.9555555555555556</v>
      </c>
      <c r="J88" s="105">
        <v>0.41180555555555554</v>
      </c>
      <c r="K88" s="105">
        <v>0.96666666666666667</v>
      </c>
      <c r="L88" s="105">
        <v>0.42222222222222222</v>
      </c>
      <c r="M88" s="105">
        <v>0.95486111111111116</v>
      </c>
      <c r="N88" s="107">
        <v>0.56944444444444442</v>
      </c>
      <c r="O88" s="107">
        <v>0.88958333333333339</v>
      </c>
      <c r="P88" s="105">
        <v>0.41944444444444445</v>
      </c>
      <c r="Q88" s="105">
        <v>0.95763888888888893</v>
      </c>
      <c r="R88" s="105">
        <v>0.40763888888888888</v>
      </c>
      <c r="S88" s="105">
        <v>0.95277777777777783</v>
      </c>
      <c r="T88" s="105">
        <v>0.4201388888888889</v>
      </c>
      <c r="U88" s="105">
        <v>0.95624999999999993</v>
      </c>
      <c r="V88" s="105">
        <v>0.4284722222222222</v>
      </c>
      <c r="W88" s="105">
        <v>0.95416666666666661</v>
      </c>
      <c r="X88" s="105">
        <v>0.41319444444444442</v>
      </c>
      <c r="Y88" s="105">
        <v>0.9506944444444444</v>
      </c>
      <c r="Z88" s="105">
        <v>0.42222222222222222</v>
      </c>
      <c r="AA88" s="105">
        <v>0.9472222222222223</v>
      </c>
      <c r="AB88" s="107">
        <v>0.57222222222222219</v>
      </c>
      <c r="AC88" s="107">
        <v>0.90138888888888891</v>
      </c>
      <c r="AD88" s="105">
        <v>0.4236111111111111</v>
      </c>
      <c r="AE88" s="105">
        <v>0.96805555555555556</v>
      </c>
      <c r="AF88" s="105">
        <v>0.41597222222222219</v>
      </c>
      <c r="AG88" s="105">
        <v>0.95347222222222217</v>
      </c>
      <c r="AI88" s="18">
        <v>69</v>
      </c>
      <c r="AJ88" s="105">
        <v>0.42083333333333334</v>
      </c>
      <c r="AK88" s="105">
        <v>0.9458333333333333</v>
      </c>
      <c r="AL88" s="105">
        <v>0.42083333333333334</v>
      </c>
      <c r="AM88" s="105">
        <v>0.9902777777777777</v>
      </c>
      <c r="AN88" s="105">
        <v>0.4381944444444445</v>
      </c>
      <c r="AO88" s="105">
        <v>0.9868055555555556</v>
      </c>
      <c r="AP88" s="105">
        <v>0.43541666666666662</v>
      </c>
      <c r="AQ88" s="105">
        <v>0.98958333333333337</v>
      </c>
      <c r="AR88" s="107">
        <v>0.58333333333333337</v>
      </c>
      <c r="AS88" s="107">
        <v>0.95208333333333339</v>
      </c>
      <c r="AT88" s="105">
        <v>0.42708333333333331</v>
      </c>
      <c r="AU88" s="105">
        <v>0.98888888888888893</v>
      </c>
      <c r="AV88" s="105">
        <v>0.4368055555555555</v>
      </c>
      <c r="AW88" s="105">
        <v>0.99722222222222223</v>
      </c>
      <c r="AX88" s="105">
        <v>0.43263888888888885</v>
      </c>
      <c r="AY88" s="105">
        <v>0.98472222222222217</v>
      </c>
      <c r="AZ88" s="105">
        <v>0.4458333333333333</v>
      </c>
      <c r="BA88" s="105">
        <v>2.0833333333333333E-3</v>
      </c>
      <c r="BB88" s="105">
        <v>0.46388888888888885</v>
      </c>
      <c r="BC88" s="105">
        <v>0.98888888888888893</v>
      </c>
      <c r="BD88" s="105">
        <v>0.45763888888888887</v>
      </c>
      <c r="BE88" s="105">
        <v>0.99722222222222223</v>
      </c>
      <c r="BF88" s="107">
        <v>0.5708333333333333</v>
      </c>
      <c r="BG88" s="107">
        <v>0.96597222222222223</v>
      </c>
      <c r="BH88" s="105">
        <v>0.47222222222222227</v>
      </c>
      <c r="BI88" s="105">
        <v>0</v>
      </c>
      <c r="BJ88" s="12">
        <f t="shared" si="40"/>
        <v>28</v>
      </c>
      <c r="BK88" s="112">
        <v>4</v>
      </c>
      <c r="BL88" s="2">
        <f t="shared" si="41"/>
        <v>28</v>
      </c>
      <c r="BM88" s="3">
        <f t="shared" si="42"/>
        <v>0</v>
      </c>
      <c r="BN88" s="3">
        <f t="shared" si="43"/>
        <v>0</v>
      </c>
      <c r="BO88" s="3">
        <f t="shared" si="44"/>
        <v>0</v>
      </c>
      <c r="BP88" s="3">
        <f t="shared" si="45"/>
        <v>0</v>
      </c>
      <c r="BQ88" s="3">
        <f t="shared" si="46"/>
        <v>0</v>
      </c>
      <c r="BR88" s="3">
        <f t="shared" si="47"/>
        <v>0</v>
      </c>
      <c r="BS88" s="3">
        <f t="shared" si="48"/>
        <v>0</v>
      </c>
      <c r="BT88" s="3">
        <f t="shared" si="49"/>
        <v>0</v>
      </c>
      <c r="BU88" s="3">
        <f t="shared" si="50"/>
        <v>0</v>
      </c>
      <c r="BV88" s="3">
        <f t="shared" si="51"/>
        <v>0</v>
      </c>
      <c r="BW88" s="3">
        <f t="shared" si="52"/>
        <v>0</v>
      </c>
      <c r="BX88" s="4"/>
      <c r="CB88" s="87">
        <v>0</v>
      </c>
      <c r="CC88" s="87">
        <v>0</v>
      </c>
      <c r="CD88" s="87">
        <v>0</v>
      </c>
      <c r="CE88" s="87">
        <v>0</v>
      </c>
      <c r="CF88" s="87">
        <v>0</v>
      </c>
      <c r="CG88" s="87">
        <v>0</v>
      </c>
      <c r="CH88" s="87">
        <v>0</v>
      </c>
      <c r="CI88" s="87">
        <v>0</v>
      </c>
      <c r="CJ88" s="87">
        <v>0</v>
      </c>
      <c r="CK88" s="87">
        <v>0</v>
      </c>
      <c r="CL88" s="89">
        <f t="shared" si="54"/>
        <v>0</v>
      </c>
    </row>
    <row r="89" spans="1:90" ht="21.75" customHeight="1" x14ac:dyDescent="0.25">
      <c r="A89" s="54">
        <v>70</v>
      </c>
      <c r="B89" s="20" t="s">
        <v>163</v>
      </c>
      <c r="C89" s="9" t="s">
        <v>164</v>
      </c>
      <c r="D89" s="105">
        <v>0.34375</v>
      </c>
      <c r="E89" s="105">
        <v>0.97916666666666663</v>
      </c>
      <c r="F89" s="105">
        <v>0.34513888888888888</v>
      </c>
      <c r="G89" s="105">
        <v>0.95833333333333337</v>
      </c>
      <c r="H89" s="105">
        <v>0.3444444444444445</v>
      </c>
      <c r="I89" s="105">
        <v>0.95833333333333337</v>
      </c>
      <c r="J89" s="105">
        <v>0.34513888888888888</v>
      </c>
      <c r="K89" s="105">
        <v>0.98611111111111116</v>
      </c>
      <c r="L89" s="105">
        <v>0.34375</v>
      </c>
      <c r="M89" s="105">
        <v>2.1527777777777781E-2</v>
      </c>
      <c r="N89" s="122" t="s">
        <v>15</v>
      </c>
      <c r="O89" s="122" t="s">
        <v>15</v>
      </c>
      <c r="P89" s="105">
        <v>0.3444444444444445</v>
      </c>
      <c r="Q89" s="105">
        <v>0.9770833333333333</v>
      </c>
      <c r="R89" s="105">
        <v>0.3444444444444445</v>
      </c>
      <c r="S89" s="105">
        <v>0.92083333333333339</v>
      </c>
      <c r="T89" s="105">
        <v>0.34375</v>
      </c>
      <c r="U89" s="105">
        <v>0.93402777777777779</v>
      </c>
      <c r="V89" s="105">
        <v>0.34236111111111112</v>
      </c>
      <c r="W89" s="105">
        <v>0.96111111111111114</v>
      </c>
      <c r="X89" s="105">
        <v>0.34375</v>
      </c>
      <c r="Y89" s="105">
        <v>0.98055555555555562</v>
      </c>
      <c r="Z89" s="105">
        <v>0.34375</v>
      </c>
      <c r="AA89" s="105">
        <v>2.0833333333333333E-3</v>
      </c>
      <c r="AB89" s="107">
        <v>0.57708333333333328</v>
      </c>
      <c r="AC89" s="107">
        <v>5.4166666666666669E-2</v>
      </c>
      <c r="AD89" s="105">
        <v>0.34652777777777777</v>
      </c>
      <c r="AE89" s="105">
        <v>2.2916666666666669E-2</v>
      </c>
      <c r="AF89" s="105">
        <v>0.3444444444444445</v>
      </c>
      <c r="AG89" s="105">
        <v>0.92013888888888884</v>
      </c>
      <c r="AI89" s="18">
        <v>70</v>
      </c>
      <c r="AJ89" s="105">
        <v>0.34513888888888888</v>
      </c>
      <c r="AK89" s="105">
        <v>4.1666666666666664E-2</v>
      </c>
      <c r="AL89" s="105">
        <v>0.3430555555555555</v>
      </c>
      <c r="AM89" s="105">
        <v>6.6666666666666666E-2</v>
      </c>
      <c r="AN89" s="105">
        <v>0.37083333333333335</v>
      </c>
      <c r="AO89" s="105">
        <v>4.8611111111111112E-2</v>
      </c>
      <c r="AP89" s="105">
        <v>0.36874999999999997</v>
      </c>
      <c r="AQ89" s="105">
        <v>4.9999999999999996E-2</v>
      </c>
      <c r="AR89" s="107">
        <v>0.57777777777777783</v>
      </c>
      <c r="AS89" s="107">
        <v>0.10625</v>
      </c>
      <c r="AT89" s="105">
        <v>0.37152777777777773</v>
      </c>
      <c r="AU89" s="105">
        <v>0.84791666666666676</v>
      </c>
      <c r="AV89" s="105">
        <v>0.37361111111111112</v>
      </c>
      <c r="AW89" s="105">
        <v>0.8520833333333333</v>
      </c>
      <c r="AX89" s="105">
        <v>0.37361111111111112</v>
      </c>
      <c r="AY89" s="105">
        <v>8.7500000000000008E-2</v>
      </c>
      <c r="AZ89" s="105">
        <v>0.36874999999999997</v>
      </c>
      <c r="BA89" s="105">
        <v>3.7499999999999999E-2</v>
      </c>
      <c r="BB89" s="105">
        <v>0.37083333333333335</v>
      </c>
      <c r="BC89" s="105">
        <v>4.8611111111111112E-2</v>
      </c>
      <c r="BD89" s="105">
        <v>0.37083333333333335</v>
      </c>
      <c r="BE89" s="105">
        <v>4.4444444444444446E-2</v>
      </c>
      <c r="BF89" s="107">
        <v>0.58194444444444449</v>
      </c>
      <c r="BG89" s="107">
        <v>5.1388888888888894E-2</v>
      </c>
      <c r="BH89" s="105">
        <v>0.37291666666666662</v>
      </c>
      <c r="BI89" s="105">
        <v>7.013888888888889E-2</v>
      </c>
      <c r="BJ89" s="12">
        <f t="shared" si="40"/>
        <v>28</v>
      </c>
      <c r="BK89" s="112">
        <v>3</v>
      </c>
      <c r="BL89" s="2">
        <f t="shared" si="41"/>
        <v>27</v>
      </c>
      <c r="BM89" s="3">
        <f t="shared" si="42"/>
        <v>1</v>
      </c>
      <c r="BN89" s="3">
        <f t="shared" si="43"/>
        <v>0</v>
      </c>
      <c r="BO89" s="3">
        <f t="shared" si="44"/>
        <v>0</v>
      </c>
      <c r="BP89" s="3">
        <f t="shared" si="45"/>
        <v>0</v>
      </c>
      <c r="BQ89" s="3">
        <f t="shared" si="46"/>
        <v>0</v>
      </c>
      <c r="BR89" s="3">
        <f t="shared" si="47"/>
        <v>0</v>
      </c>
      <c r="BS89" s="3">
        <f t="shared" si="48"/>
        <v>0</v>
      </c>
      <c r="BT89" s="3">
        <f t="shared" si="49"/>
        <v>0</v>
      </c>
      <c r="BU89" s="3">
        <f t="shared" si="50"/>
        <v>0</v>
      </c>
      <c r="BV89" s="3">
        <f t="shared" si="51"/>
        <v>0</v>
      </c>
      <c r="BW89" s="3">
        <f t="shared" si="52"/>
        <v>0</v>
      </c>
      <c r="BX89" s="4"/>
      <c r="CB89" s="87">
        <v>0</v>
      </c>
      <c r="CC89" s="87">
        <v>0</v>
      </c>
      <c r="CD89" s="87">
        <v>0</v>
      </c>
      <c r="CE89" s="87">
        <v>0</v>
      </c>
      <c r="CF89" s="87">
        <v>0</v>
      </c>
      <c r="CG89" s="87">
        <v>0</v>
      </c>
      <c r="CH89" s="87">
        <v>0</v>
      </c>
      <c r="CI89" s="87">
        <v>0</v>
      </c>
      <c r="CJ89" s="87">
        <v>0</v>
      </c>
      <c r="CK89" s="87">
        <v>0</v>
      </c>
      <c r="CL89" s="89">
        <f t="shared" si="54"/>
        <v>0</v>
      </c>
    </row>
    <row r="90" spans="1:90" ht="21.75" customHeight="1" x14ac:dyDescent="0.25">
      <c r="A90" s="54">
        <v>71</v>
      </c>
      <c r="B90" s="20" t="s">
        <v>165</v>
      </c>
      <c r="C90" s="9" t="s">
        <v>166</v>
      </c>
      <c r="D90" s="105">
        <v>0.35416666666666669</v>
      </c>
      <c r="E90" s="105">
        <v>0.97916666666666663</v>
      </c>
      <c r="F90" s="105">
        <v>0.35416666666666669</v>
      </c>
      <c r="G90" s="105">
        <v>0.9590277777777777</v>
      </c>
      <c r="H90" s="105">
        <v>0.35416666666666669</v>
      </c>
      <c r="I90" s="105">
        <v>0.95277777777777783</v>
      </c>
      <c r="J90" s="105">
        <v>0.36944444444444446</v>
      </c>
      <c r="K90" s="105">
        <v>0.95486111111111116</v>
      </c>
      <c r="L90" s="105">
        <v>0.3527777777777778</v>
      </c>
      <c r="M90" s="105">
        <v>0.97361111111111109</v>
      </c>
      <c r="N90" s="122" t="s">
        <v>15</v>
      </c>
      <c r="O90" s="122" t="s">
        <v>15</v>
      </c>
      <c r="P90" s="105">
        <v>0.3527777777777778</v>
      </c>
      <c r="Q90" s="105">
        <v>0.97013888888888899</v>
      </c>
      <c r="R90" s="105">
        <v>0.3527777777777778</v>
      </c>
      <c r="S90" s="105">
        <v>0.94652777777777775</v>
      </c>
      <c r="T90" s="105">
        <v>0.35416666666666669</v>
      </c>
      <c r="U90" s="105">
        <v>0.95624999999999993</v>
      </c>
      <c r="V90" s="105">
        <v>0.3520833333333333</v>
      </c>
      <c r="W90" s="105">
        <v>0.95347222222222217</v>
      </c>
      <c r="X90" s="105">
        <v>0.3527777777777778</v>
      </c>
      <c r="Y90" s="105">
        <v>0.95624999999999993</v>
      </c>
      <c r="Z90" s="105">
        <v>0.3520833333333333</v>
      </c>
      <c r="AA90" s="105">
        <v>0.97222222222222221</v>
      </c>
      <c r="AB90" s="107">
        <v>0.58333333333333337</v>
      </c>
      <c r="AC90" s="107">
        <v>0.95833333333333337</v>
      </c>
      <c r="AD90" s="105">
        <v>0.35069444444444442</v>
      </c>
      <c r="AE90" s="105">
        <v>0.98333333333333339</v>
      </c>
      <c r="AF90" s="105">
        <v>0.35138888888888892</v>
      </c>
      <c r="AG90" s="105">
        <v>0.94861111111111107</v>
      </c>
      <c r="AI90" s="18">
        <v>71</v>
      </c>
      <c r="AJ90" s="105">
        <v>0.35347222222222219</v>
      </c>
      <c r="AK90" s="105">
        <v>0.96666666666666667</v>
      </c>
      <c r="AL90" s="105">
        <v>0.35347222222222219</v>
      </c>
      <c r="AM90" s="105">
        <v>1.1805555555555555E-2</v>
      </c>
      <c r="AN90" s="105">
        <v>0.3743055555555555</v>
      </c>
      <c r="AO90" s="105">
        <v>0.99791666666666667</v>
      </c>
      <c r="AP90" s="105">
        <v>0.37361111111111112</v>
      </c>
      <c r="AQ90" s="105">
        <v>4.1666666666666666E-3</v>
      </c>
      <c r="AR90" s="107">
        <v>0.57986111111111105</v>
      </c>
      <c r="AS90" s="107">
        <v>0.99652777777777779</v>
      </c>
      <c r="AT90" s="105">
        <v>0.37361111111111112</v>
      </c>
      <c r="AU90" s="105">
        <v>0.99930555555555556</v>
      </c>
      <c r="AV90" s="105">
        <v>0.375</v>
      </c>
      <c r="AW90" s="105">
        <v>0.8520833333333333</v>
      </c>
      <c r="AX90" s="105">
        <v>0.37222222222222223</v>
      </c>
      <c r="AY90" s="105">
        <v>0.99652777777777779</v>
      </c>
      <c r="AZ90" s="105">
        <v>0.37291666666666662</v>
      </c>
      <c r="BA90" s="105">
        <v>0.99930555555555556</v>
      </c>
      <c r="BB90" s="105">
        <v>0.37291666666666662</v>
      </c>
      <c r="BC90" s="105">
        <v>8.3333333333333332E-3</v>
      </c>
      <c r="BD90" s="105">
        <v>0.3743055555555555</v>
      </c>
      <c r="BE90" s="105">
        <v>6.9444444444444441E-3</v>
      </c>
      <c r="BF90" s="107">
        <v>0.57986111111111105</v>
      </c>
      <c r="BG90" s="107">
        <v>0.99722222222222223</v>
      </c>
      <c r="BH90" s="105">
        <v>0.3743055555555555</v>
      </c>
      <c r="BI90" s="105">
        <v>3.6111111111111115E-2</v>
      </c>
      <c r="BJ90" s="12">
        <f t="shared" si="40"/>
        <v>28</v>
      </c>
      <c r="BK90" s="112">
        <v>3</v>
      </c>
      <c r="BL90" s="2">
        <f t="shared" si="41"/>
        <v>27</v>
      </c>
      <c r="BM90" s="3">
        <f t="shared" si="42"/>
        <v>1</v>
      </c>
      <c r="BN90" s="3">
        <f t="shared" si="43"/>
        <v>0</v>
      </c>
      <c r="BO90" s="3">
        <f t="shared" si="44"/>
        <v>0</v>
      </c>
      <c r="BP90" s="3">
        <f t="shared" si="45"/>
        <v>0</v>
      </c>
      <c r="BQ90" s="3">
        <f t="shared" si="46"/>
        <v>0</v>
      </c>
      <c r="BR90" s="3">
        <f t="shared" si="47"/>
        <v>0</v>
      </c>
      <c r="BS90" s="3">
        <f t="shared" si="48"/>
        <v>0</v>
      </c>
      <c r="BT90" s="3">
        <f t="shared" si="49"/>
        <v>0</v>
      </c>
      <c r="BU90" s="3">
        <f t="shared" si="50"/>
        <v>0</v>
      </c>
      <c r="BV90" s="3">
        <f t="shared" si="51"/>
        <v>0</v>
      </c>
      <c r="BW90" s="3">
        <f t="shared" si="52"/>
        <v>0</v>
      </c>
      <c r="BX90" s="4"/>
      <c r="CB90" s="87">
        <v>0</v>
      </c>
      <c r="CC90" s="87">
        <v>0</v>
      </c>
      <c r="CD90" s="87">
        <v>0</v>
      </c>
      <c r="CE90" s="87">
        <v>0</v>
      </c>
      <c r="CF90" s="87">
        <v>0</v>
      </c>
      <c r="CG90" s="87">
        <v>0</v>
      </c>
      <c r="CH90" s="87">
        <v>0</v>
      </c>
      <c r="CI90" s="87">
        <v>0</v>
      </c>
      <c r="CJ90" s="87">
        <v>0</v>
      </c>
      <c r="CK90" s="87">
        <v>0</v>
      </c>
      <c r="CL90" s="89">
        <f t="shared" si="54"/>
        <v>0</v>
      </c>
    </row>
    <row r="91" spans="1:90" ht="21.75" customHeight="1" x14ac:dyDescent="0.25">
      <c r="A91" s="54">
        <v>72</v>
      </c>
      <c r="B91" s="20" t="s">
        <v>167</v>
      </c>
      <c r="C91" s="9" t="s">
        <v>168</v>
      </c>
      <c r="D91" s="105">
        <v>0.35000000000000003</v>
      </c>
      <c r="E91" s="105">
        <v>0.96597222222222223</v>
      </c>
      <c r="F91" s="105">
        <v>0.35138888888888892</v>
      </c>
      <c r="G91" s="105">
        <v>0.94791666666666663</v>
      </c>
      <c r="H91" s="105">
        <v>0.35069444444444442</v>
      </c>
      <c r="I91" s="105">
        <v>0.94930555555555562</v>
      </c>
      <c r="J91" s="105">
        <v>0.37013888888888885</v>
      </c>
      <c r="K91" s="105">
        <v>0.96458333333333324</v>
      </c>
      <c r="L91" s="105">
        <v>0.35069444444444442</v>
      </c>
      <c r="M91" s="105">
        <v>0.96666666666666667</v>
      </c>
      <c r="N91" s="107">
        <v>0.5805555555555556</v>
      </c>
      <c r="O91" s="107">
        <v>0.95416666666666661</v>
      </c>
      <c r="P91" s="105">
        <v>0.35000000000000003</v>
      </c>
      <c r="Q91" s="105">
        <v>0.96875</v>
      </c>
      <c r="R91" s="105">
        <v>0.35069444444444442</v>
      </c>
      <c r="S91" s="105">
        <v>0.94930555555555562</v>
      </c>
      <c r="T91" s="105">
        <v>0.35069444444444442</v>
      </c>
      <c r="U91" s="105">
        <v>0.94374999999999998</v>
      </c>
      <c r="V91" s="105">
        <v>0.35000000000000003</v>
      </c>
      <c r="W91" s="105">
        <v>0.94861111111111107</v>
      </c>
      <c r="X91" s="105">
        <v>0.35138888888888892</v>
      </c>
      <c r="Y91" s="105">
        <v>0.95000000000000007</v>
      </c>
      <c r="Z91" s="105">
        <v>0.35000000000000003</v>
      </c>
      <c r="AA91" s="105">
        <v>0.96597222222222223</v>
      </c>
      <c r="AB91" s="107">
        <v>0.57986111111111105</v>
      </c>
      <c r="AC91" s="107">
        <v>0.9472222222222223</v>
      </c>
      <c r="AD91" s="105">
        <v>0.35069444444444442</v>
      </c>
      <c r="AE91" s="105">
        <v>0.98125000000000007</v>
      </c>
      <c r="AF91" s="105">
        <v>0.35069444444444442</v>
      </c>
      <c r="AG91" s="105">
        <v>0.90972222222222221</v>
      </c>
      <c r="AI91" s="18">
        <v>72</v>
      </c>
      <c r="AJ91" s="105">
        <v>0.35138888888888892</v>
      </c>
      <c r="AK91" s="105">
        <v>0.96388888888888891</v>
      </c>
      <c r="AL91" s="105">
        <v>0.35000000000000003</v>
      </c>
      <c r="AM91" s="105">
        <v>0.82847222222222217</v>
      </c>
      <c r="AN91" s="105">
        <v>0.37291666666666662</v>
      </c>
      <c r="AO91" s="105">
        <v>0.9902777777777777</v>
      </c>
      <c r="AP91" s="105">
        <v>0.37291666666666662</v>
      </c>
      <c r="AQ91" s="105">
        <v>5.2777777777777778E-2</v>
      </c>
      <c r="AR91" s="107">
        <v>0.57708333333333328</v>
      </c>
      <c r="AS91" s="107">
        <v>2.9861111111111113E-2</v>
      </c>
      <c r="AT91" s="105">
        <v>0.37222222222222223</v>
      </c>
      <c r="AU91" s="105">
        <v>4.3055555555555562E-2</v>
      </c>
      <c r="AV91" s="105">
        <v>0.37152777777777773</v>
      </c>
      <c r="AW91" s="105">
        <v>0.85069444444444453</v>
      </c>
      <c r="AX91" s="105">
        <v>0.37083333333333335</v>
      </c>
      <c r="AY91" s="105">
        <v>4.3055555555555562E-2</v>
      </c>
      <c r="AZ91" s="105">
        <v>0.37083333333333335</v>
      </c>
      <c r="BA91" s="105">
        <v>4.4444444444444446E-2</v>
      </c>
      <c r="BB91" s="105">
        <v>0.37222222222222223</v>
      </c>
      <c r="BC91" s="105">
        <v>5.0694444444444452E-2</v>
      </c>
      <c r="BD91" s="105">
        <v>0.37083333333333335</v>
      </c>
      <c r="BE91" s="105">
        <v>4.3750000000000004E-2</v>
      </c>
      <c r="BF91" s="107">
        <v>0.57916666666666672</v>
      </c>
      <c r="BG91" s="107">
        <v>5.2777777777777778E-2</v>
      </c>
      <c r="BH91" s="105">
        <v>0.37152777777777773</v>
      </c>
      <c r="BI91" s="105">
        <v>4.6527777777777779E-2</v>
      </c>
      <c r="BJ91" s="12">
        <f t="shared" si="40"/>
        <v>28</v>
      </c>
      <c r="BK91" s="112">
        <v>4</v>
      </c>
      <c r="BL91" s="2">
        <f t="shared" si="41"/>
        <v>28</v>
      </c>
      <c r="BM91" s="3">
        <f t="shared" si="42"/>
        <v>0</v>
      </c>
      <c r="BN91" s="3">
        <f t="shared" si="43"/>
        <v>0</v>
      </c>
      <c r="BO91" s="3">
        <f t="shared" si="44"/>
        <v>0</v>
      </c>
      <c r="BP91" s="3">
        <f t="shared" si="45"/>
        <v>0</v>
      </c>
      <c r="BQ91" s="3">
        <f t="shared" si="46"/>
        <v>0</v>
      </c>
      <c r="BR91" s="3">
        <f t="shared" si="47"/>
        <v>0</v>
      </c>
      <c r="BS91" s="3">
        <f t="shared" si="48"/>
        <v>0</v>
      </c>
      <c r="BT91" s="3">
        <f t="shared" si="49"/>
        <v>0</v>
      </c>
      <c r="BU91" s="3">
        <f t="shared" si="50"/>
        <v>0</v>
      </c>
      <c r="BV91" s="3">
        <f t="shared" si="51"/>
        <v>0</v>
      </c>
      <c r="BW91" s="3">
        <f t="shared" si="52"/>
        <v>0</v>
      </c>
      <c r="BX91" s="4"/>
      <c r="CB91" s="87">
        <v>0</v>
      </c>
      <c r="CC91" s="87">
        <v>0</v>
      </c>
      <c r="CD91" s="87">
        <v>0</v>
      </c>
      <c r="CE91" s="87">
        <v>0</v>
      </c>
      <c r="CF91" s="87">
        <v>0</v>
      </c>
      <c r="CG91" s="87">
        <v>0</v>
      </c>
      <c r="CH91" s="87">
        <v>0</v>
      </c>
      <c r="CI91" s="87">
        <v>0</v>
      </c>
      <c r="CJ91" s="87">
        <v>0</v>
      </c>
      <c r="CK91" s="87">
        <v>0</v>
      </c>
      <c r="CL91" s="89">
        <f t="shared" si="54"/>
        <v>0</v>
      </c>
    </row>
    <row r="92" spans="1:90" ht="21.75" customHeight="1" x14ac:dyDescent="0.25">
      <c r="A92" s="54">
        <v>73</v>
      </c>
      <c r="B92" s="20" t="s">
        <v>169</v>
      </c>
      <c r="C92" s="9" t="s">
        <v>170</v>
      </c>
      <c r="D92" s="105">
        <v>0.34583333333333338</v>
      </c>
      <c r="E92" s="105">
        <v>0.97986111111111107</v>
      </c>
      <c r="F92" s="105">
        <v>0.34583333333333338</v>
      </c>
      <c r="G92" s="105">
        <v>0.94861111111111107</v>
      </c>
      <c r="H92" s="105">
        <v>0.3527777777777778</v>
      </c>
      <c r="I92" s="113">
        <v>1</v>
      </c>
      <c r="J92" s="105">
        <v>0.3444444444444445</v>
      </c>
      <c r="K92" s="105">
        <v>0.97222222222222221</v>
      </c>
      <c r="L92" s="105">
        <v>0.34652777777777777</v>
      </c>
      <c r="M92" s="105">
        <v>0.96180555555555547</v>
      </c>
      <c r="N92" s="122" t="s">
        <v>15</v>
      </c>
      <c r="O92" s="122" t="s">
        <v>15</v>
      </c>
      <c r="P92" s="105">
        <v>0.34652777777777777</v>
      </c>
      <c r="Q92" s="105">
        <v>0.96458333333333324</v>
      </c>
      <c r="R92" s="105">
        <v>0.34722222222222227</v>
      </c>
      <c r="S92" s="105">
        <v>0.96180555555555547</v>
      </c>
      <c r="T92" s="105">
        <v>0.34722222222222227</v>
      </c>
      <c r="U92" s="105">
        <v>0.93819444444444444</v>
      </c>
      <c r="V92" s="105">
        <v>0.34652777777777777</v>
      </c>
      <c r="W92" s="105">
        <v>0.96111111111111114</v>
      </c>
      <c r="X92" s="105">
        <v>0.34583333333333338</v>
      </c>
      <c r="Y92" s="105">
        <v>0</v>
      </c>
      <c r="Z92" s="105">
        <v>0.34583333333333338</v>
      </c>
      <c r="AA92" s="105">
        <v>0.96250000000000002</v>
      </c>
      <c r="AB92" s="107">
        <v>0.57986111111111105</v>
      </c>
      <c r="AC92" s="107">
        <v>0.97638888888888886</v>
      </c>
      <c r="AD92" s="105">
        <v>0.34722222222222227</v>
      </c>
      <c r="AE92" s="105">
        <v>0.98402777777777783</v>
      </c>
      <c r="AF92" s="105">
        <v>0.34513888888888888</v>
      </c>
      <c r="AG92" s="105">
        <v>0.94861111111111107</v>
      </c>
      <c r="AI92" s="18">
        <v>73</v>
      </c>
      <c r="AJ92" s="105">
        <v>0.34652777777777777</v>
      </c>
      <c r="AK92" s="105">
        <v>0.98749999999999993</v>
      </c>
      <c r="AL92" s="105">
        <v>0.34722222222222227</v>
      </c>
      <c r="AM92" s="105">
        <v>1.2499999999999999E-2</v>
      </c>
      <c r="AN92" s="105">
        <v>0.37083333333333335</v>
      </c>
      <c r="AO92" s="105">
        <v>4.5138888888888888E-2</v>
      </c>
      <c r="AP92" s="105">
        <v>0.37013888888888885</v>
      </c>
      <c r="AQ92" s="105">
        <v>4.9999999999999996E-2</v>
      </c>
      <c r="AR92" s="107">
        <v>0.5805555555555556</v>
      </c>
      <c r="AS92" s="107">
        <v>0</v>
      </c>
      <c r="AT92" s="105">
        <v>0.37013888888888885</v>
      </c>
      <c r="AU92" s="105">
        <v>2.7777777777777776E-2</v>
      </c>
      <c r="AV92" s="105">
        <v>0.37291666666666662</v>
      </c>
      <c r="AW92" s="105">
        <v>1</v>
      </c>
      <c r="AX92" s="105">
        <v>0.37222222222222223</v>
      </c>
      <c r="AY92" s="105">
        <v>3.0555555555555555E-2</v>
      </c>
      <c r="AZ92" s="105">
        <v>0.375</v>
      </c>
      <c r="BA92" s="105">
        <v>4.7222222222222221E-2</v>
      </c>
      <c r="BB92" s="105">
        <v>0.37222222222222223</v>
      </c>
      <c r="BC92" s="105">
        <v>5.2083333333333336E-2</v>
      </c>
      <c r="BD92" s="105">
        <v>0.37361111111111112</v>
      </c>
      <c r="BE92" s="105">
        <v>4.2361111111111106E-2</v>
      </c>
      <c r="BF92" s="107">
        <v>0.57916666666666672</v>
      </c>
      <c r="BG92" s="107">
        <v>5.0694444444444452E-2</v>
      </c>
      <c r="BH92" s="105">
        <v>0.37222222222222223</v>
      </c>
      <c r="BI92" s="105">
        <v>4.3750000000000004E-2</v>
      </c>
      <c r="BJ92" s="12">
        <f t="shared" si="40"/>
        <v>28</v>
      </c>
      <c r="BK92" s="112">
        <v>3</v>
      </c>
      <c r="BL92" s="2">
        <f t="shared" si="41"/>
        <v>27</v>
      </c>
      <c r="BM92" s="3">
        <f t="shared" si="42"/>
        <v>1</v>
      </c>
      <c r="BN92" s="3">
        <f t="shared" si="43"/>
        <v>0</v>
      </c>
      <c r="BO92" s="3">
        <f t="shared" si="44"/>
        <v>0</v>
      </c>
      <c r="BP92" s="3">
        <f t="shared" si="45"/>
        <v>0</v>
      </c>
      <c r="BQ92" s="3">
        <f t="shared" si="46"/>
        <v>0</v>
      </c>
      <c r="BR92" s="3">
        <f t="shared" si="47"/>
        <v>0</v>
      </c>
      <c r="BS92" s="3">
        <f t="shared" si="48"/>
        <v>0</v>
      </c>
      <c r="BT92" s="3">
        <f t="shared" si="49"/>
        <v>0</v>
      </c>
      <c r="BU92" s="3">
        <f t="shared" si="50"/>
        <v>0</v>
      </c>
      <c r="BV92" s="3">
        <f t="shared" si="51"/>
        <v>0</v>
      </c>
      <c r="BW92" s="3">
        <f t="shared" si="52"/>
        <v>0</v>
      </c>
      <c r="BX92" s="4"/>
      <c r="CB92" s="87">
        <v>0</v>
      </c>
      <c r="CC92" s="87">
        <v>0</v>
      </c>
      <c r="CD92" s="87">
        <v>0</v>
      </c>
      <c r="CE92" s="87">
        <v>0</v>
      </c>
      <c r="CF92" s="87">
        <v>0</v>
      </c>
      <c r="CG92" s="87">
        <v>0</v>
      </c>
      <c r="CH92" s="87">
        <v>0</v>
      </c>
      <c r="CI92" s="87">
        <v>0</v>
      </c>
      <c r="CJ92" s="87">
        <v>0</v>
      </c>
      <c r="CK92" s="87">
        <v>0</v>
      </c>
      <c r="CL92" s="89">
        <f t="shared" si="54"/>
        <v>0</v>
      </c>
    </row>
    <row r="93" spans="1:90" ht="21.75" customHeight="1" x14ac:dyDescent="0.25">
      <c r="A93" s="54">
        <v>74</v>
      </c>
      <c r="B93" s="20" t="s">
        <v>171</v>
      </c>
      <c r="C93" s="9" t="s">
        <v>273</v>
      </c>
      <c r="D93" s="105">
        <v>0.3520833333333333</v>
      </c>
      <c r="E93" s="105">
        <v>0.96319444444444446</v>
      </c>
      <c r="F93" s="105">
        <v>0.34791666666666665</v>
      </c>
      <c r="G93" s="105">
        <v>0.95416666666666661</v>
      </c>
      <c r="H93" s="105">
        <v>0.35069444444444442</v>
      </c>
      <c r="I93" s="105">
        <v>0.95208333333333339</v>
      </c>
      <c r="J93" s="105">
        <v>0.36736111111111108</v>
      </c>
      <c r="K93" s="105">
        <v>0.96388888888888891</v>
      </c>
      <c r="L93" s="105">
        <v>0.3520833333333333</v>
      </c>
      <c r="M93" s="105">
        <v>0.96527777777777779</v>
      </c>
      <c r="N93" s="122" t="s">
        <v>15</v>
      </c>
      <c r="O93" s="122" t="s">
        <v>15</v>
      </c>
      <c r="P93" s="105">
        <v>0.34930555555555554</v>
      </c>
      <c r="Q93" s="105">
        <v>0.96527777777777779</v>
      </c>
      <c r="R93" s="105">
        <v>0.3527777777777778</v>
      </c>
      <c r="S93" s="105">
        <v>0.94513888888888886</v>
      </c>
      <c r="T93" s="105">
        <v>0.35138888888888892</v>
      </c>
      <c r="U93" s="105">
        <v>0.94861111111111107</v>
      </c>
      <c r="V93" s="105">
        <v>0.3520833333333333</v>
      </c>
      <c r="W93" s="105">
        <v>0.94861111111111107</v>
      </c>
      <c r="X93" s="105">
        <v>0.3520833333333333</v>
      </c>
      <c r="Y93" s="105">
        <v>0.9506944444444444</v>
      </c>
      <c r="Z93" s="105">
        <v>0.35138888888888892</v>
      </c>
      <c r="AA93" s="105">
        <v>0.96805555555555556</v>
      </c>
      <c r="AB93" s="107">
        <v>0.58194444444444449</v>
      </c>
      <c r="AC93" s="107">
        <v>0.9472222222222223</v>
      </c>
      <c r="AD93" s="105">
        <v>0.35069444444444442</v>
      </c>
      <c r="AE93" s="105">
        <v>0.9819444444444444</v>
      </c>
      <c r="AF93" s="105">
        <v>0.3527777777777778</v>
      </c>
      <c r="AG93" s="105">
        <v>0.96875</v>
      </c>
      <c r="AI93" s="18">
        <v>74</v>
      </c>
      <c r="AJ93" s="105">
        <v>0.3520833333333333</v>
      </c>
      <c r="AK93" s="105">
        <v>0.95972222222222225</v>
      </c>
      <c r="AL93" s="105">
        <v>0.3527777777777778</v>
      </c>
      <c r="AM93" s="105">
        <v>1</v>
      </c>
      <c r="AN93" s="105">
        <v>0.37847222222222227</v>
      </c>
      <c r="AO93" s="105">
        <v>0.99652777777777779</v>
      </c>
      <c r="AP93" s="105">
        <v>0.375</v>
      </c>
      <c r="AQ93" s="105">
        <v>5.2777777777777778E-2</v>
      </c>
      <c r="AR93" s="107">
        <v>0.5805555555555556</v>
      </c>
      <c r="AS93" s="107">
        <v>2.6388888888888889E-2</v>
      </c>
      <c r="AT93" s="105">
        <v>0.3659722222222222</v>
      </c>
      <c r="AU93" s="105">
        <v>4.1666666666666664E-2</v>
      </c>
      <c r="AV93" s="105">
        <v>0.375</v>
      </c>
      <c r="AW93" s="105">
        <v>0.375</v>
      </c>
      <c r="AX93" s="105">
        <v>0.375</v>
      </c>
      <c r="AY93" s="105">
        <v>1.9444444444444445E-2</v>
      </c>
      <c r="AZ93" s="105">
        <v>0.37361111111111112</v>
      </c>
      <c r="BA93" s="105">
        <v>4.4444444444444446E-2</v>
      </c>
      <c r="BB93" s="105">
        <v>0.375</v>
      </c>
      <c r="BC93" s="105">
        <v>4.8611111111111112E-2</v>
      </c>
      <c r="BD93" s="105">
        <v>0.375</v>
      </c>
      <c r="BE93" s="105">
        <v>4.4444444444444446E-2</v>
      </c>
      <c r="BF93" s="107">
        <v>0.58194444444444449</v>
      </c>
      <c r="BG93" s="107">
        <v>3.472222222222222E-3</v>
      </c>
      <c r="BH93" s="105">
        <v>0.35000000000000003</v>
      </c>
      <c r="BI93" s="105">
        <v>4.5833333333333337E-2</v>
      </c>
      <c r="BJ93" s="12">
        <f t="shared" si="40"/>
        <v>28</v>
      </c>
      <c r="BK93" s="112">
        <v>3</v>
      </c>
      <c r="BL93" s="2">
        <f t="shared" si="41"/>
        <v>27</v>
      </c>
      <c r="BM93" s="3">
        <f t="shared" si="42"/>
        <v>1</v>
      </c>
      <c r="BN93" s="3">
        <f t="shared" si="43"/>
        <v>0</v>
      </c>
      <c r="BO93" s="3">
        <f t="shared" si="44"/>
        <v>0</v>
      </c>
      <c r="BP93" s="3">
        <f t="shared" si="45"/>
        <v>0</v>
      </c>
      <c r="BQ93" s="3">
        <f t="shared" si="46"/>
        <v>0</v>
      </c>
      <c r="BR93" s="3">
        <f t="shared" si="47"/>
        <v>0</v>
      </c>
      <c r="BS93" s="3">
        <f t="shared" si="48"/>
        <v>0</v>
      </c>
      <c r="BT93" s="3">
        <f t="shared" si="49"/>
        <v>0</v>
      </c>
      <c r="BU93" s="3">
        <f t="shared" si="50"/>
        <v>0</v>
      </c>
      <c r="BV93" s="3">
        <f t="shared" si="51"/>
        <v>0</v>
      </c>
      <c r="BW93" s="3">
        <f t="shared" si="52"/>
        <v>0</v>
      </c>
      <c r="BX93" s="4"/>
      <c r="CB93" s="87">
        <v>0</v>
      </c>
      <c r="CC93" s="87">
        <v>0</v>
      </c>
      <c r="CD93" s="87">
        <v>0</v>
      </c>
      <c r="CE93" s="87">
        <v>0</v>
      </c>
      <c r="CF93" s="87">
        <v>0</v>
      </c>
      <c r="CG93" s="88">
        <v>14</v>
      </c>
      <c r="CH93" s="88">
        <v>1</v>
      </c>
      <c r="CI93" s="87">
        <v>0</v>
      </c>
      <c r="CJ93" s="87">
        <v>0</v>
      </c>
      <c r="CK93" s="87">
        <v>0</v>
      </c>
      <c r="CL93" s="89">
        <f t="shared" si="54"/>
        <v>15</v>
      </c>
    </row>
    <row r="94" spans="1:90" ht="21.75" customHeight="1" x14ac:dyDescent="0.25">
      <c r="A94" s="54">
        <v>75</v>
      </c>
      <c r="B94" s="20" t="s">
        <v>172</v>
      </c>
      <c r="C94" s="9" t="s">
        <v>173</v>
      </c>
      <c r="D94" s="105">
        <v>0.3527777777777778</v>
      </c>
      <c r="E94" s="105">
        <v>0.95694444444444438</v>
      </c>
      <c r="F94" s="105">
        <v>0.35138888888888892</v>
      </c>
      <c r="G94" s="113">
        <v>1</v>
      </c>
      <c r="H94" s="105">
        <v>0.51527777777777783</v>
      </c>
      <c r="I94" s="105">
        <v>0.96805555555555556</v>
      </c>
      <c r="J94" s="105">
        <v>0.35902777777777778</v>
      </c>
      <c r="K94" s="105">
        <v>0.95833333333333337</v>
      </c>
      <c r="L94" s="105">
        <v>0.34722222222222227</v>
      </c>
      <c r="M94" s="105">
        <v>0.9868055555555556</v>
      </c>
      <c r="N94" s="107">
        <v>0.84166666666666667</v>
      </c>
      <c r="O94" s="107">
        <v>0.96180555555555547</v>
      </c>
      <c r="P94" s="105">
        <v>0.34930555555555554</v>
      </c>
      <c r="Q94" s="105">
        <v>0.96458333333333324</v>
      </c>
      <c r="R94" s="105">
        <v>0.34930555555555554</v>
      </c>
      <c r="S94" s="105">
        <v>0.9555555555555556</v>
      </c>
      <c r="T94" s="105">
        <v>0.3520833333333333</v>
      </c>
      <c r="U94" s="105">
        <v>0.9555555555555556</v>
      </c>
      <c r="V94" s="105">
        <v>0.35069444444444442</v>
      </c>
      <c r="W94" s="105">
        <v>0.95347222222222217</v>
      </c>
      <c r="X94" s="105">
        <v>0.3527777777777778</v>
      </c>
      <c r="Y94" s="113">
        <v>1</v>
      </c>
      <c r="Z94" s="105">
        <v>0.3527777777777778</v>
      </c>
      <c r="AA94" s="105">
        <v>0.9770833333333333</v>
      </c>
      <c r="AB94" s="107">
        <v>0.58333333333333337</v>
      </c>
      <c r="AC94" s="107">
        <v>0.9555555555555556</v>
      </c>
      <c r="AD94" s="105">
        <v>0.3611111111111111</v>
      </c>
      <c r="AE94" s="105">
        <v>0.97569444444444453</v>
      </c>
      <c r="AF94" s="105">
        <v>0.35694444444444445</v>
      </c>
      <c r="AG94" s="105">
        <v>0.93819444444444444</v>
      </c>
      <c r="AH94" s="120"/>
      <c r="AI94" s="18">
        <v>75</v>
      </c>
      <c r="AJ94" s="105">
        <v>0.35555555555555557</v>
      </c>
      <c r="AK94" s="105">
        <v>0.97569444444444453</v>
      </c>
      <c r="AL94" s="105">
        <v>0.36041666666666666</v>
      </c>
      <c r="AM94" s="105">
        <v>1.5277777777777777E-2</v>
      </c>
      <c r="AN94" s="105">
        <v>0.37777777777777777</v>
      </c>
      <c r="AO94" s="105">
        <v>3.472222222222222E-3</v>
      </c>
      <c r="AP94" s="105">
        <v>0.375</v>
      </c>
      <c r="AQ94" s="105">
        <v>2.7777777777777779E-3</v>
      </c>
      <c r="AR94" s="107">
        <v>0.58333333333333337</v>
      </c>
      <c r="AS94" s="107">
        <v>1.3194444444444444E-2</v>
      </c>
      <c r="AT94" s="105">
        <v>0.37986111111111115</v>
      </c>
      <c r="AU94" s="105">
        <v>6.2499999999999995E-3</v>
      </c>
      <c r="AV94" s="105">
        <v>0.37916666666666665</v>
      </c>
      <c r="AW94" s="105">
        <v>2.7777777777777779E-3</v>
      </c>
      <c r="AX94" s="105">
        <v>0.375</v>
      </c>
      <c r="AY94" s="105">
        <v>9.0277777777777787E-3</v>
      </c>
      <c r="AZ94" s="105">
        <v>0.37638888888888888</v>
      </c>
      <c r="BA94" s="105">
        <v>1.5972222222222224E-2</v>
      </c>
      <c r="BB94" s="105">
        <v>0.37708333333333338</v>
      </c>
      <c r="BC94" s="105">
        <v>2.1527777777777781E-2</v>
      </c>
      <c r="BD94" s="105">
        <v>0.37638888888888888</v>
      </c>
      <c r="BE94" s="105">
        <v>4.027777777777778E-2</v>
      </c>
      <c r="BF94" s="107">
        <v>0.58402777777777781</v>
      </c>
      <c r="BG94" s="107">
        <v>4.8611111111111112E-2</v>
      </c>
      <c r="BH94" s="105">
        <v>0.3756944444444445</v>
      </c>
      <c r="BI94" s="105">
        <v>7.9166666666666663E-2</v>
      </c>
      <c r="BJ94" s="12">
        <f t="shared" si="40"/>
        <v>28</v>
      </c>
      <c r="BK94" s="112">
        <v>4</v>
      </c>
      <c r="BL94" s="2">
        <f>COUNT(D94:AG94)/2+COUNT(AJ94:BI94)/2</f>
        <v>28</v>
      </c>
      <c r="BM94" s="3">
        <f>COUNTIF(D94:BI94,"OFF")/2</f>
        <v>0</v>
      </c>
      <c r="BN94" s="3">
        <f>COUNTIF(D94:BI94,"MC")/2</f>
        <v>0</v>
      </c>
      <c r="BO94" s="3">
        <f>COUNTIF(D94:BI94,"EL")/2</f>
        <v>0</v>
      </c>
      <c r="BP94" s="3">
        <f>COUNTIF(D94:BI94,"AL")/2</f>
        <v>0</v>
      </c>
      <c r="BQ94" s="3">
        <f>COUNTIF(D94:BI94,"SUS")/2</f>
        <v>0</v>
      </c>
      <c r="BR94" s="3">
        <f>COUNTIF(D94:BI94,"FL")/2</f>
        <v>0</v>
      </c>
      <c r="BS94" s="3">
        <f>COUNTIF(D94:BI94,"SICK")/2</f>
        <v>0</v>
      </c>
      <c r="BT94" s="3">
        <f>COUNTIF(D94:BI94,"HD")/2</f>
        <v>0</v>
      </c>
      <c r="BU94" s="3">
        <f>COUNTIF(D94:BI94,"AB")/2</f>
        <v>0</v>
      </c>
      <c r="BV94" s="3">
        <f>COUNTIF(D94:BI94,"NL")/2</f>
        <v>0</v>
      </c>
      <c r="BW94" s="3">
        <f>COUNTIF(D94:BI94,"SP")/2</f>
        <v>0</v>
      </c>
      <c r="BX94" s="4"/>
      <c r="CB94" s="87">
        <v>0</v>
      </c>
      <c r="CC94" s="87">
        <v>0</v>
      </c>
      <c r="CD94" s="87">
        <v>0</v>
      </c>
      <c r="CE94" s="87">
        <v>0</v>
      </c>
      <c r="CF94" s="87">
        <v>0</v>
      </c>
      <c r="CG94" s="87">
        <v>2</v>
      </c>
      <c r="CH94" s="87">
        <v>0</v>
      </c>
      <c r="CI94" s="88">
        <v>1</v>
      </c>
      <c r="CJ94" s="87">
        <v>0</v>
      </c>
      <c r="CK94" s="87">
        <v>0</v>
      </c>
      <c r="CL94" s="89">
        <f t="shared" si="54"/>
        <v>3</v>
      </c>
    </row>
    <row r="95" spans="1:90" ht="21.75" customHeight="1" x14ac:dyDescent="0.25">
      <c r="A95" s="54">
        <v>76</v>
      </c>
      <c r="B95" s="20" t="s">
        <v>174</v>
      </c>
      <c r="C95" s="9" t="s">
        <v>175</v>
      </c>
      <c r="D95" s="105">
        <v>0.3520833333333333</v>
      </c>
      <c r="E95" s="105">
        <v>0.91527777777777775</v>
      </c>
      <c r="F95" s="105">
        <v>0.34930555555555554</v>
      </c>
      <c r="G95" s="105">
        <v>0.91319444444444453</v>
      </c>
      <c r="H95" s="105">
        <v>0.35347222222222219</v>
      </c>
      <c r="I95" s="105">
        <v>0.94374999999999998</v>
      </c>
      <c r="J95" s="105">
        <v>0.90972222222222221</v>
      </c>
      <c r="K95" s="113">
        <v>1</v>
      </c>
      <c r="L95" s="105">
        <v>0.3527777777777778</v>
      </c>
      <c r="M95" s="113">
        <v>1</v>
      </c>
      <c r="N95" s="107">
        <v>0.57986111111111105</v>
      </c>
      <c r="O95" s="107">
        <v>0.94513888888888886</v>
      </c>
      <c r="P95" s="105">
        <v>0.35347222222222219</v>
      </c>
      <c r="Q95" s="105">
        <v>0.92013888888888884</v>
      </c>
      <c r="R95" s="105">
        <v>0.3520833333333333</v>
      </c>
      <c r="S95" s="105">
        <v>0.96805555555555556</v>
      </c>
      <c r="T95" s="105">
        <v>0.34861111111111115</v>
      </c>
      <c r="U95" s="105">
        <v>0.90555555555555556</v>
      </c>
      <c r="V95" s="105">
        <v>0.3527777777777778</v>
      </c>
      <c r="W95" s="105">
        <v>0.92013888888888884</v>
      </c>
      <c r="X95" s="105">
        <v>0.35347222222222219</v>
      </c>
      <c r="Y95" s="105">
        <v>0.99305555555555547</v>
      </c>
      <c r="Z95" s="105">
        <v>0.3527777777777778</v>
      </c>
      <c r="AA95" s="105">
        <v>0.92152777777777783</v>
      </c>
      <c r="AB95" s="107">
        <v>0.58124999999999993</v>
      </c>
      <c r="AC95" s="107">
        <v>0.91388888888888886</v>
      </c>
      <c r="AD95" s="105">
        <v>0.3520833333333333</v>
      </c>
      <c r="AE95" s="105">
        <v>0.97986111111111107</v>
      </c>
      <c r="AF95" s="105">
        <v>0.3527777777777778</v>
      </c>
      <c r="AG95" s="105">
        <v>0.95000000000000007</v>
      </c>
      <c r="AI95" s="18">
        <v>76</v>
      </c>
      <c r="AJ95" s="105">
        <v>0.3520833333333333</v>
      </c>
      <c r="AK95" s="105">
        <v>0.98749999999999993</v>
      </c>
      <c r="AL95" s="105">
        <v>0.3520833333333333</v>
      </c>
      <c r="AM95" s="105">
        <v>3.472222222222222E-3</v>
      </c>
      <c r="AN95" s="105">
        <v>0.3743055555555555</v>
      </c>
      <c r="AO95" s="105">
        <v>2.7777777777777776E-2</v>
      </c>
      <c r="AP95" s="105">
        <v>0.37291666666666662</v>
      </c>
      <c r="AQ95" s="105">
        <v>2.2916666666666669E-2</v>
      </c>
      <c r="AR95" s="107">
        <v>0.57986111111111105</v>
      </c>
      <c r="AS95" s="107">
        <v>2.8472222222222222E-2</v>
      </c>
      <c r="AT95" s="105">
        <v>0.37291666666666662</v>
      </c>
      <c r="AU95" s="105">
        <v>4.4444444444444446E-2</v>
      </c>
      <c r="AV95" s="105">
        <v>0.37291666666666662</v>
      </c>
      <c r="AW95" s="105">
        <v>4.4444444444444446E-2</v>
      </c>
      <c r="AX95" s="105">
        <v>0.37291666666666662</v>
      </c>
      <c r="AY95" s="105">
        <v>6.5277777777777782E-2</v>
      </c>
      <c r="AZ95" s="105">
        <v>0.36944444444444446</v>
      </c>
      <c r="BA95" s="105">
        <v>5.7638888888888885E-2</v>
      </c>
      <c r="BB95" s="105">
        <v>0.37152777777777773</v>
      </c>
      <c r="BC95" s="105">
        <v>6.5972222222222224E-2</v>
      </c>
      <c r="BD95" s="105">
        <v>0.36944444444444446</v>
      </c>
      <c r="BE95" s="105">
        <v>4.3055555555555562E-2</v>
      </c>
      <c r="BF95" s="107">
        <v>0.57708333333333328</v>
      </c>
      <c r="BG95" s="107">
        <v>5.4166666666666669E-2</v>
      </c>
      <c r="BH95" s="105">
        <v>0.36944444444444446</v>
      </c>
      <c r="BI95" s="105">
        <v>5.9027777777777783E-2</v>
      </c>
      <c r="BJ95" s="12">
        <f t="shared" si="40"/>
        <v>28</v>
      </c>
      <c r="BK95" s="112">
        <v>4</v>
      </c>
      <c r="BL95" s="2">
        <f t="shared" si="41"/>
        <v>28</v>
      </c>
      <c r="BM95" s="3">
        <f t="shared" si="42"/>
        <v>0</v>
      </c>
      <c r="BN95" s="3">
        <f t="shared" si="43"/>
        <v>0</v>
      </c>
      <c r="BO95" s="3">
        <f t="shared" si="44"/>
        <v>0</v>
      </c>
      <c r="BP95" s="3">
        <f t="shared" si="45"/>
        <v>0</v>
      </c>
      <c r="BQ95" s="3">
        <f t="shared" si="46"/>
        <v>0</v>
      </c>
      <c r="BR95" s="3">
        <f t="shared" si="47"/>
        <v>0</v>
      </c>
      <c r="BS95" s="3">
        <f t="shared" si="48"/>
        <v>0</v>
      </c>
      <c r="BT95" s="3">
        <f t="shared" si="49"/>
        <v>0</v>
      </c>
      <c r="BU95" s="3">
        <f t="shared" si="50"/>
        <v>0</v>
      </c>
      <c r="BV95" s="3">
        <f t="shared" si="51"/>
        <v>0</v>
      </c>
      <c r="BW95" s="3">
        <f t="shared" si="52"/>
        <v>0</v>
      </c>
      <c r="BX95" s="4"/>
      <c r="CB95" s="87">
        <v>0</v>
      </c>
      <c r="CC95" s="87">
        <v>0</v>
      </c>
      <c r="CD95" s="87">
        <v>0</v>
      </c>
      <c r="CE95" s="87">
        <v>0</v>
      </c>
      <c r="CF95" s="87">
        <v>0</v>
      </c>
      <c r="CG95" s="87">
        <v>0</v>
      </c>
      <c r="CH95" s="87">
        <v>0</v>
      </c>
      <c r="CI95" s="87">
        <v>0</v>
      </c>
      <c r="CJ95" s="87">
        <v>0</v>
      </c>
      <c r="CK95" s="87">
        <v>0</v>
      </c>
      <c r="CL95" s="89">
        <f t="shared" si="54"/>
        <v>0</v>
      </c>
    </row>
    <row r="96" spans="1:90" ht="21.75" customHeight="1" x14ac:dyDescent="0.25">
      <c r="A96" s="54">
        <v>77</v>
      </c>
      <c r="B96" s="20" t="s">
        <v>176</v>
      </c>
      <c r="C96" s="9" t="s">
        <v>177</v>
      </c>
      <c r="D96" s="105">
        <v>0.35486111111111113</v>
      </c>
      <c r="E96" s="105">
        <v>0.98055555555555562</v>
      </c>
      <c r="F96" s="105">
        <v>0.3527777777777778</v>
      </c>
      <c r="G96" s="105">
        <v>0.94652777777777775</v>
      </c>
      <c r="H96" s="105">
        <v>0.3527777777777778</v>
      </c>
      <c r="I96" s="105">
        <v>0.96319444444444446</v>
      </c>
      <c r="J96" s="105">
        <v>0.3659722222222222</v>
      </c>
      <c r="K96" s="105">
        <v>0.93819444444444444</v>
      </c>
      <c r="L96" s="105">
        <v>0.35416666666666669</v>
      </c>
      <c r="M96" s="105">
        <v>0.9590277777777777</v>
      </c>
      <c r="N96" s="107">
        <v>0.60763888888888895</v>
      </c>
      <c r="O96" s="107">
        <v>0.94374999999999998</v>
      </c>
      <c r="P96" s="105">
        <v>0.35138888888888892</v>
      </c>
      <c r="Q96" s="105">
        <v>0.97083333333333333</v>
      </c>
      <c r="R96" s="105">
        <v>0.35416666666666669</v>
      </c>
      <c r="S96" s="113">
        <v>1</v>
      </c>
      <c r="T96" s="105">
        <v>0.35416666666666669</v>
      </c>
      <c r="U96" s="105">
        <v>0.93541666666666667</v>
      </c>
      <c r="V96" s="105">
        <v>0.35694444444444445</v>
      </c>
      <c r="W96" s="105">
        <v>0.94861111111111107</v>
      </c>
      <c r="X96" s="105">
        <v>0.35555555555555557</v>
      </c>
      <c r="Y96" s="105">
        <v>0.99305555555555547</v>
      </c>
      <c r="Z96" s="105">
        <v>0.35416666666666669</v>
      </c>
      <c r="AA96" s="105">
        <v>0.95486111111111116</v>
      </c>
      <c r="AB96" s="107">
        <v>0.57152777777777775</v>
      </c>
      <c r="AC96" s="107">
        <v>0.94791666666666663</v>
      </c>
      <c r="AD96" s="105">
        <v>0.35416666666666669</v>
      </c>
      <c r="AE96" s="105">
        <v>0.95416666666666661</v>
      </c>
      <c r="AF96" s="105">
        <v>0.35416666666666669</v>
      </c>
      <c r="AG96" s="105">
        <v>0.95833333333333337</v>
      </c>
      <c r="AI96" s="18">
        <v>77</v>
      </c>
      <c r="AJ96" s="105">
        <v>0.35347222222222219</v>
      </c>
      <c r="AK96" s="105">
        <v>0.96597222222222223</v>
      </c>
      <c r="AL96" s="105">
        <v>0.35347222222222219</v>
      </c>
      <c r="AM96" s="105">
        <v>5.5555555555555558E-3</v>
      </c>
      <c r="AN96" s="105">
        <v>0.3756944444444445</v>
      </c>
      <c r="AO96" s="105">
        <v>0.99861111111111101</v>
      </c>
      <c r="AP96" s="105">
        <v>0.3666666666666667</v>
      </c>
      <c r="AQ96" s="105">
        <v>5.2083333333333336E-2</v>
      </c>
      <c r="AR96" s="107">
        <v>0.57986111111111105</v>
      </c>
      <c r="AS96" s="107">
        <v>1.1805555555555555E-2</v>
      </c>
      <c r="AT96" s="105">
        <v>0.3527777777777778</v>
      </c>
      <c r="AU96" s="105">
        <v>4.3750000000000004E-2</v>
      </c>
      <c r="AV96" s="105">
        <v>0.35000000000000003</v>
      </c>
      <c r="AW96" s="105">
        <v>0.35000000000000003</v>
      </c>
      <c r="AX96" s="105">
        <v>0.35069444444444442</v>
      </c>
      <c r="AY96" s="105">
        <v>4.7222222222222221E-2</v>
      </c>
      <c r="AZ96" s="105">
        <v>0.35833333333333334</v>
      </c>
      <c r="BA96" s="105">
        <v>4.6527777777777779E-2</v>
      </c>
      <c r="BB96" s="105">
        <v>0.34930555555555554</v>
      </c>
      <c r="BC96" s="105">
        <v>1.5972222222222224E-2</v>
      </c>
      <c r="BD96" s="105">
        <v>0.36319444444444443</v>
      </c>
      <c r="BE96" s="105">
        <v>4.4444444444444446E-2</v>
      </c>
      <c r="BF96" s="107">
        <v>0.57777777777777783</v>
      </c>
      <c r="BG96" s="107">
        <v>5.1388888888888894E-2</v>
      </c>
      <c r="BH96" s="105">
        <v>0.35347222222222219</v>
      </c>
      <c r="BI96" s="105">
        <v>5.486111111111111E-2</v>
      </c>
      <c r="BJ96" s="12">
        <f t="shared" si="40"/>
        <v>28</v>
      </c>
      <c r="BK96" s="112">
        <v>4</v>
      </c>
      <c r="BL96" s="2">
        <f t="shared" si="41"/>
        <v>28</v>
      </c>
      <c r="BM96" s="3">
        <f t="shared" si="42"/>
        <v>0</v>
      </c>
      <c r="BN96" s="3">
        <f t="shared" si="43"/>
        <v>0</v>
      </c>
      <c r="BO96" s="3">
        <f t="shared" si="44"/>
        <v>0</v>
      </c>
      <c r="BP96" s="3">
        <f t="shared" si="45"/>
        <v>0</v>
      </c>
      <c r="BQ96" s="3">
        <f t="shared" si="46"/>
        <v>0</v>
      </c>
      <c r="BR96" s="3">
        <f t="shared" si="47"/>
        <v>0</v>
      </c>
      <c r="BS96" s="3">
        <f t="shared" si="48"/>
        <v>0</v>
      </c>
      <c r="BT96" s="3">
        <f t="shared" si="49"/>
        <v>0</v>
      </c>
      <c r="BU96" s="3">
        <f t="shared" si="50"/>
        <v>0</v>
      </c>
      <c r="BV96" s="3">
        <f t="shared" si="51"/>
        <v>0</v>
      </c>
      <c r="BW96" s="3">
        <f t="shared" si="52"/>
        <v>0</v>
      </c>
      <c r="BX96" s="134" t="s">
        <v>276</v>
      </c>
      <c r="CB96" s="87">
        <v>0</v>
      </c>
      <c r="CC96" s="87">
        <v>0</v>
      </c>
      <c r="CD96" s="87">
        <v>0</v>
      </c>
      <c r="CE96" s="87">
        <v>0</v>
      </c>
      <c r="CF96" s="87">
        <v>0</v>
      </c>
      <c r="CG96" s="87">
        <v>0</v>
      </c>
      <c r="CH96" s="87">
        <v>0</v>
      </c>
      <c r="CI96" s="87">
        <v>0</v>
      </c>
      <c r="CJ96" s="87">
        <v>0</v>
      </c>
      <c r="CK96" s="87">
        <v>0</v>
      </c>
      <c r="CL96" s="89">
        <f t="shared" si="54"/>
        <v>0</v>
      </c>
    </row>
    <row r="97" spans="1:90" ht="21.75" customHeight="1" x14ac:dyDescent="0.25">
      <c r="A97" s="54">
        <v>78</v>
      </c>
      <c r="B97" s="20" t="s">
        <v>178</v>
      </c>
      <c r="C97" s="9" t="s">
        <v>274</v>
      </c>
      <c r="D97" s="105">
        <v>0.35138888888888892</v>
      </c>
      <c r="E97" s="105">
        <v>0.98055555555555562</v>
      </c>
      <c r="F97" s="105">
        <v>0.35069444444444442</v>
      </c>
      <c r="G97" s="105">
        <v>0.90555555555555556</v>
      </c>
      <c r="H97" s="105">
        <v>0.35000000000000003</v>
      </c>
      <c r="I97" s="105">
        <v>0.92847222222222225</v>
      </c>
      <c r="J97" s="105">
        <v>0.90069444444444446</v>
      </c>
      <c r="K97" s="113">
        <v>1</v>
      </c>
      <c r="L97" s="105">
        <v>0.35138888888888892</v>
      </c>
      <c r="M97" s="105">
        <v>0.89583333333333337</v>
      </c>
      <c r="N97" s="122" t="s">
        <v>15</v>
      </c>
      <c r="O97" s="122" t="s">
        <v>15</v>
      </c>
      <c r="P97" s="105">
        <v>0.35000000000000003</v>
      </c>
      <c r="Q97" s="105">
        <v>0.9194444444444444</v>
      </c>
      <c r="R97" s="105">
        <v>0.35138888888888892</v>
      </c>
      <c r="S97" s="105">
        <v>0.96736111111111101</v>
      </c>
      <c r="T97" s="105">
        <v>0.35138888888888892</v>
      </c>
      <c r="U97" s="105">
        <v>0.8965277777777777</v>
      </c>
      <c r="V97" s="105">
        <v>0.34930555555555554</v>
      </c>
      <c r="W97" s="105">
        <v>0.90972222222222221</v>
      </c>
      <c r="X97" s="105">
        <v>0.3520833333333333</v>
      </c>
      <c r="Y97" s="105">
        <v>0.99375000000000002</v>
      </c>
      <c r="Z97" s="105">
        <v>0.3520833333333333</v>
      </c>
      <c r="AA97" s="105">
        <v>0.91666666666666663</v>
      </c>
      <c r="AB97" s="107">
        <v>0.57638888888888895</v>
      </c>
      <c r="AC97" s="107">
        <v>0.90416666666666667</v>
      </c>
      <c r="AD97" s="105">
        <v>0.3520833333333333</v>
      </c>
      <c r="AE97" s="105">
        <v>0.9243055555555556</v>
      </c>
      <c r="AF97" s="105">
        <v>0.35069444444444442</v>
      </c>
      <c r="AG97" s="105">
        <v>0.94097222222222221</v>
      </c>
      <c r="AI97" s="18">
        <v>78</v>
      </c>
      <c r="AJ97" s="105">
        <v>0.3520833333333333</v>
      </c>
      <c r="AK97" s="105">
        <v>0.98888888888888893</v>
      </c>
      <c r="AL97" s="105">
        <v>0.35138888888888892</v>
      </c>
      <c r="AM97" s="105">
        <v>6.2499999999999995E-3</v>
      </c>
      <c r="AN97" s="105">
        <v>0.37222222222222223</v>
      </c>
      <c r="AO97" s="105">
        <v>2.7777777777777776E-2</v>
      </c>
      <c r="AP97" s="105">
        <v>0.37291666666666662</v>
      </c>
      <c r="AQ97" s="105">
        <v>2.2222222222222223E-2</v>
      </c>
      <c r="AR97" s="107">
        <v>0.5756944444444444</v>
      </c>
      <c r="AS97" s="107">
        <v>3.2638888888888891E-2</v>
      </c>
      <c r="AT97" s="105">
        <v>0.37083333333333335</v>
      </c>
      <c r="AU97" s="105">
        <v>2.8472222222222222E-2</v>
      </c>
      <c r="AV97" s="105">
        <v>0.37222222222222223</v>
      </c>
      <c r="AW97" s="105">
        <v>4.4444444444444446E-2</v>
      </c>
      <c r="AX97" s="105">
        <v>0.37291666666666662</v>
      </c>
      <c r="AY97" s="105">
        <v>5.6250000000000001E-2</v>
      </c>
      <c r="AZ97" s="105">
        <v>0.37222222222222223</v>
      </c>
      <c r="BA97" s="105">
        <v>4.5138888888888888E-2</v>
      </c>
      <c r="BB97" s="105">
        <v>0.37222222222222223</v>
      </c>
      <c r="BC97" s="105">
        <v>7.0833333333333331E-2</v>
      </c>
      <c r="BD97" s="105">
        <v>0.37291666666666662</v>
      </c>
      <c r="BE97" s="105">
        <v>2.0833333333333332E-2</v>
      </c>
      <c r="BF97" s="107">
        <v>0.57430555555555551</v>
      </c>
      <c r="BG97" s="107">
        <v>4.4444444444444446E-2</v>
      </c>
      <c r="BH97" s="105">
        <v>0.37222222222222223</v>
      </c>
      <c r="BI97" s="105">
        <v>5.9027777777777783E-2</v>
      </c>
      <c r="BJ97" s="12">
        <f t="shared" si="40"/>
        <v>28</v>
      </c>
      <c r="BK97" s="112">
        <v>3</v>
      </c>
      <c r="BL97" s="2">
        <f t="shared" si="41"/>
        <v>27</v>
      </c>
      <c r="BM97" s="3">
        <f t="shared" si="42"/>
        <v>1</v>
      </c>
      <c r="BN97" s="3">
        <f t="shared" si="43"/>
        <v>0</v>
      </c>
      <c r="BO97" s="3">
        <f t="shared" si="44"/>
        <v>0</v>
      </c>
      <c r="BP97" s="3">
        <f t="shared" si="45"/>
        <v>0</v>
      </c>
      <c r="BQ97" s="3">
        <f t="shared" si="46"/>
        <v>0</v>
      </c>
      <c r="BR97" s="3">
        <f t="shared" si="47"/>
        <v>0</v>
      </c>
      <c r="BS97" s="3">
        <f t="shared" si="48"/>
        <v>0</v>
      </c>
      <c r="BT97" s="3">
        <f t="shared" si="49"/>
        <v>0</v>
      </c>
      <c r="BU97" s="3">
        <f t="shared" si="50"/>
        <v>0</v>
      </c>
      <c r="BV97" s="3">
        <f t="shared" si="51"/>
        <v>0</v>
      </c>
      <c r="BW97" s="3">
        <f t="shared" si="52"/>
        <v>0</v>
      </c>
      <c r="BX97" s="4"/>
      <c r="CB97" s="87">
        <v>0</v>
      </c>
      <c r="CC97" s="87">
        <v>0</v>
      </c>
      <c r="CD97" s="87">
        <v>0</v>
      </c>
      <c r="CE97" s="87">
        <v>0</v>
      </c>
      <c r="CF97" s="87">
        <v>0</v>
      </c>
      <c r="CG97" s="87">
        <v>1</v>
      </c>
      <c r="CH97" s="87">
        <v>0</v>
      </c>
      <c r="CI97" s="87">
        <v>0</v>
      </c>
      <c r="CJ97" s="87">
        <v>0</v>
      </c>
      <c r="CK97" s="87">
        <v>0</v>
      </c>
      <c r="CL97" s="89">
        <f t="shared" si="54"/>
        <v>1</v>
      </c>
    </row>
    <row r="98" spans="1:90" ht="21.75" customHeight="1" x14ac:dyDescent="0.25">
      <c r="A98" s="54">
        <v>79</v>
      </c>
      <c r="B98" s="20" t="s">
        <v>179</v>
      </c>
      <c r="C98" s="9" t="s">
        <v>180</v>
      </c>
      <c r="D98" s="105">
        <v>0.32430555555555557</v>
      </c>
      <c r="E98" s="105">
        <v>0.96111111111111114</v>
      </c>
      <c r="F98" s="105">
        <v>0.32708333333333334</v>
      </c>
      <c r="G98" s="105">
        <v>0.9458333333333333</v>
      </c>
      <c r="H98" s="105">
        <v>0.32361111111111113</v>
      </c>
      <c r="I98" s="105">
        <v>0.94930555555555562</v>
      </c>
      <c r="J98" s="105">
        <v>0.32361111111111113</v>
      </c>
      <c r="K98" s="105">
        <v>0.96319444444444446</v>
      </c>
      <c r="L98" s="105">
        <v>0.32291666666666669</v>
      </c>
      <c r="M98" s="105">
        <v>0.96458333333333324</v>
      </c>
      <c r="N98" s="122" t="s">
        <v>15</v>
      </c>
      <c r="O98" s="122" t="s">
        <v>15</v>
      </c>
      <c r="P98" s="105">
        <v>0.32777777777777778</v>
      </c>
      <c r="Q98" s="105">
        <v>0.96527777777777779</v>
      </c>
      <c r="R98" s="105">
        <v>0.32083333333333336</v>
      </c>
      <c r="S98" s="105">
        <v>0.94374999999999998</v>
      </c>
      <c r="T98" s="105">
        <v>0.32430555555555557</v>
      </c>
      <c r="U98" s="105">
        <v>0.9458333333333333</v>
      </c>
      <c r="V98" s="105">
        <v>0.33749999999999997</v>
      </c>
      <c r="W98" s="105">
        <v>0.94861111111111107</v>
      </c>
      <c r="X98" s="105">
        <v>0.32083333333333336</v>
      </c>
      <c r="Y98" s="105">
        <v>0.95000000000000007</v>
      </c>
      <c r="Z98" s="105">
        <v>0.32291666666666669</v>
      </c>
      <c r="AA98" s="105">
        <v>0.96527777777777779</v>
      </c>
      <c r="AB98" s="107">
        <v>0.57708333333333328</v>
      </c>
      <c r="AC98" s="107">
        <v>0.9472222222222223</v>
      </c>
      <c r="AD98" s="105">
        <v>0.32916666666666666</v>
      </c>
      <c r="AE98" s="105">
        <v>0.98055555555555562</v>
      </c>
      <c r="AF98" s="105">
        <v>0.3298611111111111</v>
      </c>
      <c r="AG98" s="105">
        <v>0.96527777777777779</v>
      </c>
      <c r="AH98" s="120"/>
      <c r="AI98" s="18">
        <v>79</v>
      </c>
      <c r="AJ98" s="105">
        <v>0.32916666666666666</v>
      </c>
      <c r="AK98" s="105">
        <v>0.96180555555555547</v>
      </c>
      <c r="AL98" s="105">
        <v>0.3263888888888889</v>
      </c>
      <c r="AM98" s="105">
        <v>0.84166666666666667</v>
      </c>
      <c r="AN98" s="105">
        <v>0.37013888888888885</v>
      </c>
      <c r="AO98" s="105">
        <v>0.9902777777777777</v>
      </c>
      <c r="AP98" s="105">
        <v>0.3666666666666667</v>
      </c>
      <c r="AQ98" s="105">
        <v>5.0694444444444452E-2</v>
      </c>
      <c r="AR98" s="107">
        <v>0.57708333333333328</v>
      </c>
      <c r="AS98" s="107">
        <v>2.4999999999999998E-2</v>
      </c>
      <c r="AT98" s="105">
        <v>0.3520833333333333</v>
      </c>
      <c r="AU98" s="105">
        <v>4.1666666666666664E-2</v>
      </c>
      <c r="AV98" s="105">
        <v>0.35972222222222222</v>
      </c>
      <c r="AW98" s="105">
        <v>0.85277777777777775</v>
      </c>
      <c r="AX98" s="105">
        <v>0.35416666666666669</v>
      </c>
      <c r="AY98" s="105">
        <v>0.99930555555555556</v>
      </c>
      <c r="AZ98" s="105">
        <v>0.35069444444444442</v>
      </c>
      <c r="BA98" s="105">
        <v>2.0833333333333333E-3</v>
      </c>
      <c r="BB98" s="105">
        <v>0.36874999999999997</v>
      </c>
      <c r="BC98" s="105">
        <v>8.3333333333333332E-3</v>
      </c>
      <c r="BD98" s="105">
        <v>0.35138888888888892</v>
      </c>
      <c r="BE98" s="105">
        <v>4.3750000000000004E-2</v>
      </c>
      <c r="BF98" s="107">
        <v>0.57638888888888895</v>
      </c>
      <c r="BG98" s="107">
        <v>3.472222222222222E-3</v>
      </c>
      <c r="BH98" s="105">
        <v>0.34930555555555554</v>
      </c>
      <c r="BI98" s="105">
        <v>2.2916666666666669E-2</v>
      </c>
      <c r="BJ98" s="12">
        <f t="shared" si="40"/>
        <v>28</v>
      </c>
      <c r="BK98" s="112">
        <v>3</v>
      </c>
      <c r="BL98" s="2">
        <f t="shared" si="41"/>
        <v>27</v>
      </c>
      <c r="BM98" s="3">
        <f t="shared" si="42"/>
        <v>1</v>
      </c>
      <c r="BN98" s="3">
        <f t="shared" si="43"/>
        <v>0</v>
      </c>
      <c r="BO98" s="3">
        <f t="shared" si="44"/>
        <v>0</v>
      </c>
      <c r="BP98" s="3">
        <f t="shared" si="45"/>
        <v>0</v>
      </c>
      <c r="BQ98" s="3">
        <f t="shared" si="46"/>
        <v>0</v>
      </c>
      <c r="BR98" s="3">
        <f t="shared" si="47"/>
        <v>0</v>
      </c>
      <c r="BS98" s="3">
        <f t="shared" si="48"/>
        <v>0</v>
      </c>
      <c r="BT98" s="3">
        <f t="shared" si="49"/>
        <v>0</v>
      </c>
      <c r="BU98" s="3">
        <f t="shared" si="50"/>
        <v>0</v>
      </c>
      <c r="BV98" s="3">
        <f t="shared" si="51"/>
        <v>0</v>
      </c>
      <c r="BW98" s="3">
        <f t="shared" si="52"/>
        <v>0</v>
      </c>
      <c r="BX98" s="4"/>
      <c r="CB98" s="87">
        <v>0</v>
      </c>
      <c r="CC98" s="87">
        <v>0</v>
      </c>
      <c r="CD98" s="87">
        <v>0</v>
      </c>
      <c r="CE98" s="87">
        <v>0</v>
      </c>
      <c r="CF98" s="87">
        <v>0</v>
      </c>
      <c r="CG98" s="88">
        <v>1</v>
      </c>
      <c r="CH98" s="87">
        <v>0</v>
      </c>
      <c r="CI98" s="87">
        <v>0</v>
      </c>
      <c r="CJ98" s="87">
        <v>0</v>
      </c>
      <c r="CK98" s="87">
        <v>0</v>
      </c>
      <c r="CL98" s="89">
        <f t="shared" si="54"/>
        <v>1</v>
      </c>
    </row>
    <row r="99" spans="1:90" ht="21.75" customHeight="1" x14ac:dyDescent="0.25">
      <c r="A99" s="54">
        <v>80</v>
      </c>
      <c r="B99" s="20" t="s">
        <v>181</v>
      </c>
      <c r="C99" s="9" t="s">
        <v>182</v>
      </c>
      <c r="D99" s="105">
        <v>0.3659722222222222</v>
      </c>
      <c r="E99" s="105">
        <v>0.98958333333333337</v>
      </c>
      <c r="F99" s="105">
        <v>0.34652777777777777</v>
      </c>
      <c r="G99" s="105">
        <v>0.97083333333333333</v>
      </c>
      <c r="H99" s="105">
        <v>0.3527777777777778</v>
      </c>
      <c r="I99" s="105">
        <v>0.99305555555555547</v>
      </c>
      <c r="J99" s="105">
        <v>0.3659722222222222</v>
      </c>
      <c r="K99" s="105">
        <v>0.98749999999999993</v>
      </c>
      <c r="L99" s="105">
        <v>0.36527777777777781</v>
      </c>
      <c r="M99" s="105">
        <v>2.4305555555555556E-2</v>
      </c>
      <c r="N99" s="122" t="s">
        <v>15</v>
      </c>
      <c r="O99" s="122" t="s">
        <v>15</v>
      </c>
      <c r="P99" s="105">
        <v>0.34791666666666665</v>
      </c>
      <c r="Q99" s="105">
        <v>0.98263888888888884</v>
      </c>
      <c r="R99" s="105">
        <v>0.35486111111111113</v>
      </c>
      <c r="S99" s="105">
        <v>0.97013888888888899</v>
      </c>
      <c r="T99" s="105">
        <v>0.3527777777777778</v>
      </c>
      <c r="U99" s="113">
        <v>1</v>
      </c>
      <c r="V99" s="105">
        <v>0.3527777777777778</v>
      </c>
      <c r="W99" s="105">
        <v>0.96875</v>
      </c>
      <c r="X99" s="105">
        <v>0.35138888888888892</v>
      </c>
      <c r="Y99" s="105">
        <v>3.472222222222222E-3</v>
      </c>
      <c r="Z99" s="105">
        <v>0.35138888888888892</v>
      </c>
      <c r="AA99" s="105">
        <v>8.3333333333333332E-3</v>
      </c>
      <c r="AB99" s="107">
        <v>0.58194444444444449</v>
      </c>
      <c r="AC99" s="107">
        <v>5.5555555555555552E-2</v>
      </c>
      <c r="AD99" s="105">
        <v>0.34722222222222227</v>
      </c>
      <c r="AE99" s="105">
        <v>2.361111111111111E-2</v>
      </c>
      <c r="AF99" s="105">
        <v>0.35347222222222219</v>
      </c>
      <c r="AG99" s="113">
        <v>1</v>
      </c>
      <c r="AI99" s="18">
        <v>80</v>
      </c>
      <c r="AJ99" s="105">
        <v>0.34583333333333338</v>
      </c>
      <c r="AK99" s="105">
        <v>4.3750000000000004E-2</v>
      </c>
      <c r="AL99" s="105">
        <v>0.34861111111111115</v>
      </c>
      <c r="AM99" s="105">
        <v>7.6388888888888895E-2</v>
      </c>
      <c r="AN99" s="105">
        <v>0.37291666666666662</v>
      </c>
      <c r="AO99" s="105">
        <v>6.458333333333334E-2</v>
      </c>
      <c r="AP99" s="105">
        <v>0.37847222222222227</v>
      </c>
      <c r="AQ99" s="105">
        <v>5.2083333333333336E-2</v>
      </c>
      <c r="AR99" s="107">
        <v>0.58263888888888882</v>
      </c>
      <c r="AS99" s="107">
        <v>0.10833333333333334</v>
      </c>
      <c r="AT99" s="105">
        <v>0.37847222222222227</v>
      </c>
      <c r="AU99" s="105">
        <v>4.3055555555555562E-2</v>
      </c>
      <c r="AV99" s="105">
        <v>0.37916666666666665</v>
      </c>
      <c r="AW99" s="105">
        <v>0.8569444444444444</v>
      </c>
      <c r="AX99" s="105">
        <v>0.3756944444444445</v>
      </c>
      <c r="AY99" s="105">
        <v>8.6111111111111124E-2</v>
      </c>
      <c r="AZ99" s="105">
        <v>0.37361111111111112</v>
      </c>
      <c r="BA99" s="105">
        <v>9.5833333333333326E-2</v>
      </c>
      <c r="BB99" s="105">
        <v>0.3833333333333333</v>
      </c>
      <c r="BC99" s="105">
        <v>5.6944444444444443E-2</v>
      </c>
      <c r="BD99" s="105">
        <v>0.37638888888888888</v>
      </c>
      <c r="BE99" s="105">
        <v>5.486111111111111E-2</v>
      </c>
      <c r="BF99" s="107">
        <v>0.58333333333333337</v>
      </c>
      <c r="BG99" s="107">
        <v>5.2083333333333336E-2</v>
      </c>
      <c r="BH99" s="105">
        <v>0.38541666666666669</v>
      </c>
      <c r="BI99" s="105">
        <v>7.4305555555555555E-2</v>
      </c>
      <c r="BJ99" s="12">
        <f t="shared" si="40"/>
        <v>28</v>
      </c>
      <c r="BK99" s="112">
        <v>3</v>
      </c>
      <c r="BL99" s="2">
        <f t="shared" si="41"/>
        <v>27</v>
      </c>
      <c r="BM99" s="3">
        <f t="shared" si="42"/>
        <v>1</v>
      </c>
      <c r="BN99" s="3">
        <f t="shared" si="43"/>
        <v>0</v>
      </c>
      <c r="BO99" s="3">
        <f t="shared" si="44"/>
        <v>0</v>
      </c>
      <c r="BP99" s="3">
        <f t="shared" si="45"/>
        <v>0</v>
      </c>
      <c r="BQ99" s="3">
        <f t="shared" si="46"/>
        <v>0</v>
      </c>
      <c r="BR99" s="3">
        <f t="shared" si="47"/>
        <v>0</v>
      </c>
      <c r="BS99" s="3">
        <f t="shared" si="48"/>
        <v>0</v>
      </c>
      <c r="BT99" s="3">
        <f t="shared" si="49"/>
        <v>0</v>
      </c>
      <c r="BU99" s="3">
        <f t="shared" si="50"/>
        <v>0</v>
      </c>
      <c r="BV99" s="3">
        <f t="shared" si="51"/>
        <v>0</v>
      </c>
      <c r="BW99" s="3">
        <f t="shared" si="52"/>
        <v>0</v>
      </c>
      <c r="BX99" s="4"/>
      <c r="CB99" s="87">
        <v>0</v>
      </c>
      <c r="CC99" s="87">
        <v>0</v>
      </c>
      <c r="CD99" s="87">
        <v>0</v>
      </c>
      <c r="CE99" s="87">
        <v>0</v>
      </c>
      <c r="CF99" s="87">
        <v>0</v>
      </c>
      <c r="CG99" s="87">
        <v>1</v>
      </c>
      <c r="CH99" s="87">
        <v>0</v>
      </c>
      <c r="CI99" s="87">
        <v>0</v>
      </c>
      <c r="CJ99" s="87">
        <v>0</v>
      </c>
      <c r="CK99" s="87">
        <v>0</v>
      </c>
      <c r="CL99" s="89">
        <f t="shared" si="54"/>
        <v>1</v>
      </c>
    </row>
    <row r="100" spans="1:90" ht="21.75" customHeight="1" x14ac:dyDescent="0.25">
      <c r="A100" s="54">
        <v>81</v>
      </c>
      <c r="B100" s="20" t="s">
        <v>183</v>
      </c>
      <c r="C100" s="9" t="s">
        <v>184</v>
      </c>
      <c r="D100" s="105">
        <v>0.34166666666666662</v>
      </c>
      <c r="E100" s="105">
        <v>0.96111111111111114</v>
      </c>
      <c r="F100" s="105">
        <v>0.3430555555555555</v>
      </c>
      <c r="G100" s="105">
        <v>0.89513888888888893</v>
      </c>
      <c r="H100" s="105">
        <v>0.34375</v>
      </c>
      <c r="I100" s="105">
        <v>0.93888888888888899</v>
      </c>
      <c r="J100" s="105">
        <v>0.35694444444444445</v>
      </c>
      <c r="K100" s="113">
        <v>1</v>
      </c>
      <c r="L100" s="105">
        <v>0.34583333333333338</v>
      </c>
      <c r="M100" s="105">
        <v>0.96319444444444446</v>
      </c>
      <c r="N100" s="107">
        <v>0.57708333333333328</v>
      </c>
      <c r="O100" s="107">
        <v>0.93402777777777779</v>
      </c>
      <c r="P100" s="105">
        <v>0.34097222222222223</v>
      </c>
      <c r="Q100" s="105">
        <v>0.93819444444444444</v>
      </c>
      <c r="R100" s="105">
        <v>0.34097222222222223</v>
      </c>
      <c r="S100" s="105">
        <v>0.95763888888888893</v>
      </c>
      <c r="T100" s="105">
        <v>0.33819444444444446</v>
      </c>
      <c r="U100" s="105">
        <v>0.93680555555555556</v>
      </c>
      <c r="V100" s="105">
        <v>0.33958333333333335</v>
      </c>
      <c r="W100" s="105">
        <v>0.93819444444444444</v>
      </c>
      <c r="X100" s="105">
        <v>0.34097222222222223</v>
      </c>
      <c r="Y100" s="105">
        <v>0.93819444444444444</v>
      </c>
      <c r="Z100" s="105">
        <v>0.33888888888888885</v>
      </c>
      <c r="AA100" s="105">
        <v>0.94513888888888886</v>
      </c>
      <c r="AB100" s="107">
        <v>0.57291666666666663</v>
      </c>
      <c r="AC100" s="107">
        <v>0.94930555555555562</v>
      </c>
      <c r="AD100" s="105">
        <v>0.33611111111111108</v>
      </c>
      <c r="AE100" s="105">
        <v>0.9770833333333333</v>
      </c>
      <c r="AF100" s="105">
        <v>0.34583333333333338</v>
      </c>
      <c r="AG100" s="105">
        <v>0.91875000000000007</v>
      </c>
      <c r="AI100" s="18">
        <v>81</v>
      </c>
      <c r="AJ100" s="105">
        <v>0.34236111111111112</v>
      </c>
      <c r="AK100" s="105">
        <v>0.99930555555555556</v>
      </c>
      <c r="AL100" s="105">
        <v>0.35000000000000003</v>
      </c>
      <c r="AM100" s="105">
        <v>2.6388888888888889E-2</v>
      </c>
      <c r="AN100" s="105">
        <v>0.37291666666666662</v>
      </c>
      <c r="AO100" s="105">
        <v>1.2499999999999999E-2</v>
      </c>
      <c r="AP100" s="105">
        <v>0.37222222222222223</v>
      </c>
      <c r="AQ100" s="105">
        <v>5.1388888888888894E-2</v>
      </c>
      <c r="AR100" s="107">
        <v>0.57777777777777783</v>
      </c>
      <c r="AS100" s="107">
        <v>2.6388888888888889E-2</v>
      </c>
      <c r="AT100" s="105">
        <v>0.36805555555555558</v>
      </c>
      <c r="AU100" s="105">
        <v>3.7499999999999999E-2</v>
      </c>
      <c r="AV100" s="105">
        <v>0.37986111111111115</v>
      </c>
      <c r="AW100" s="105">
        <v>1.3888888888888889E-3</v>
      </c>
      <c r="AX100" s="105">
        <v>0.36944444444444446</v>
      </c>
      <c r="AY100" s="105">
        <v>4.5833333333333337E-2</v>
      </c>
      <c r="AZ100" s="105">
        <v>0.37222222222222223</v>
      </c>
      <c r="BA100" s="105">
        <v>0.85</v>
      </c>
      <c r="BB100" s="105">
        <v>0.36944444444444446</v>
      </c>
      <c r="BC100" s="105">
        <v>6.25E-2</v>
      </c>
      <c r="BD100" s="105">
        <v>0.37291666666666662</v>
      </c>
      <c r="BE100" s="105">
        <v>3.4027777777777775E-2</v>
      </c>
      <c r="BF100" s="107">
        <v>0.57986111111111105</v>
      </c>
      <c r="BG100" s="107">
        <v>4.5138888888888888E-2</v>
      </c>
      <c r="BH100" s="105">
        <v>0.37361111111111112</v>
      </c>
      <c r="BI100" s="105">
        <v>3.7499999999999999E-2</v>
      </c>
      <c r="BJ100" s="12">
        <f t="shared" si="40"/>
        <v>28</v>
      </c>
      <c r="BK100" s="112">
        <v>4</v>
      </c>
      <c r="BL100" s="2">
        <f t="shared" si="41"/>
        <v>28</v>
      </c>
      <c r="BM100" s="3">
        <f t="shared" si="42"/>
        <v>0</v>
      </c>
      <c r="BN100" s="3">
        <f t="shared" si="43"/>
        <v>0</v>
      </c>
      <c r="BO100" s="3">
        <f t="shared" si="44"/>
        <v>0</v>
      </c>
      <c r="BP100" s="3">
        <f t="shared" si="45"/>
        <v>0</v>
      </c>
      <c r="BQ100" s="3">
        <f t="shared" si="46"/>
        <v>0</v>
      </c>
      <c r="BR100" s="3">
        <f t="shared" si="47"/>
        <v>0</v>
      </c>
      <c r="BS100" s="3">
        <f t="shared" si="48"/>
        <v>0</v>
      </c>
      <c r="BT100" s="3">
        <f t="shared" si="49"/>
        <v>0</v>
      </c>
      <c r="BU100" s="3">
        <f t="shared" si="50"/>
        <v>0</v>
      </c>
      <c r="BV100" s="3">
        <f t="shared" si="51"/>
        <v>0</v>
      </c>
      <c r="BW100" s="3">
        <f t="shared" si="52"/>
        <v>0</v>
      </c>
      <c r="BX100" s="4"/>
      <c r="CB100" s="87">
        <v>0</v>
      </c>
      <c r="CC100" s="87">
        <v>0</v>
      </c>
      <c r="CD100" s="87">
        <v>0</v>
      </c>
      <c r="CE100" s="87">
        <v>0</v>
      </c>
      <c r="CF100" s="87">
        <v>0</v>
      </c>
      <c r="CG100" s="88">
        <v>9</v>
      </c>
      <c r="CH100" s="87">
        <v>0</v>
      </c>
      <c r="CI100" s="87">
        <v>0</v>
      </c>
      <c r="CJ100" s="87">
        <v>0</v>
      </c>
      <c r="CK100" s="87">
        <v>0</v>
      </c>
      <c r="CL100" s="89">
        <f t="shared" si="54"/>
        <v>9</v>
      </c>
    </row>
    <row r="101" spans="1:90" ht="22.5" customHeight="1" x14ac:dyDescent="0.25">
      <c r="A101" s="54">
        <v>82</v>
      </c>
      <c r="B101" s="20" t="s">
        <v>185</v>
      </c>
      <c r="C101" s="71" t="s">
        <v>275</v>
      </c>
      <c r="D101" s="105">
        <v>0.34930555555555554</v>
      </c>
      <c r="E101" s="105">
        <v>0.9555555555555556</v>
      </c>
      <c r="F101" s="105">
        <v>0.35069444444444442</v>
      </c>
      <c r="G101" s="113">
        <v>1</v>
      </c>
      <c r="H101" s="105">
        <v>0.34930555555555554</v>
      </c>
      <c r="I101" s="105">
        <v>0.95833333333333337</v>
      </c>
      <c r="J101" s="105">
        <v>0.35000000000000003</v>
      </c>
      <c r="K101" s="105">
        <v>0.95138888888888884</v>
      </c>
      <c r="L101" s="105">
        <v>0.35000000000000003</v>
      </c>
      <c r="M101" s="105">
        <v>0.97291666666666676</v>
      </c>
      <c r="N101" s="122" t="s">
        <v>15</v>
      </c>
      <c r="O101" s="122" t="s">
        <v>15</v>
      </c>
      <c r="P101" s="105">
        <v>0.34930555555555554</v>
      </c>
      <c r="Q101" s="105">
        <v>0.97083333333333333</v>
      </c>
      <c r="R101" s="105">
        <v>0.35138888888888892</v>
      </c>
      <c r="S101" s="113">
        <v>1</v>
      </c>
      <c r="T101" s="121" t="s">
        <v>195</v>
      </c>
      <c r="U101" s="121" t="s">
        <v>195</v>
      </c>
      <c r="V101" s="105">
        <v>0.34652777777777777</v>
      </c>
      <c r="W101" s="105">
        <v>0.95000000000000007</v>
      </c>
      <c r="X101" s="105">
        <v>0.34652777777777777</v>
      </c>
      <c r="Y101" s="105">
        <v>0.95138888888888884</v>
      </c>
      <c r="Z101" s="105">
        <v>0.34861111111111115</v>
      </c>
      <c r="AA101" s="105">
        <v>0.97013888888888899</v>
      </c>
      <c r="AB101" s="107">
        <v>0.61388888888888882</v>
      </c>
      <c r="AC101" s="107">
        <v>0.95347222222222217</v>
      </c>
      <c r="AD101" s="105">
        <v>0.36041666666666666</v>
      </c>
      <c r="AE101" s="113">
        <v>1</v>
      </c>
      <c r="AF101" s="105">
        <v>0.35625000000000001</v>
      </c>
      <c r="AG101" s="105">
        <v>0.94097222222222221</v>
      </c>
      <c r="AI101" s="18">
        <v>82</v>
      </c>
      <c r="AJ101" s="105">
        <v>0.35833333333333334</v>
      </c>
      <c r="AK101" s="105">
        <v>0.96666666666666667</v>
      </c>
      <c r="AL101" s="105">
        <v>0.35486111111111113</v>
      </c>
      <c r="AM101" s="105">
        <v>1.5277777777777777E-2</v>
      </c>
      <c r="AN101" s="105">
        <v>0.37708333333333338</v>
      </c>
      <c r="AO101" s="105">
        <v>2.0833333333333333E-3</v>
      </c>
      <c r="AP101" s="105">
        <v>0.3743055555555555</v>
      </c>
      <c r="AQ101" s="105">
        <v>1.3888888888888889E-3</v>
      </c>
      <c r="AR101" s="107">
        <v>0.58333333333333337</v>
      </c>
      <c r="AS101" s="107">
        <v>1.6666666666666666E-2</v>
      </c>
      <c r="AT101" s="105">
        <v>0.37916666666666665</v>
      </c>
      <c r="AU101" s="105">
        <v>9.7222222222222224E-3</v>
      </c>
      <c r="AV101" s="105">
        <v>0.37916666666666665</v>
      </c>
      <c r="AW101" s="105">
        <v>1</v>
      </c>
      <c r="AX101" s="105">
        <v>0.3743055555555555</v>
      </c>
      <c r="AY101" s="105">
        <v>2.6388888888888889E-2</v>
      </c>
      <c r="AZ101" s="105">
        <v>0.37847222222222227</v>
      </c>
      <c r="BA101" s="105">
        <v>0.85416666666666663</v>
      </c>
      <c r="BB101" s="105">
        <v>0.37847222222222227</v>
      </c>
      <c r="BC101" s="105">
        <v>4.8611111111111112E-2</v>
      </c>
      <c r="BD101" s="105">
        <v>0.3743055555555555</v>
      </c>
      <c r="BE101" s="105">
        <v>4.1666666666666664E-2</v>
      </c>
      <c r="BF101" s="107">
        <v>0.58402777777777781</v>
      </c>
      <c r="BG101" s="107">
        <v>4.6527777777777779E-2</v>
      </c>
      <c r="BH101" s="105">
        <v>0.37708333333333338</v>
      </c>
      <c r="BI101" s="105">
        <v>7.9166666666666663E-2</v>
      </c>
      <c r="BJ101" s="12">
        <f t="shared" si="40"/>
        <v>28</v>
      </c>
      <c r="BK101" s="112">
        <v>3</v>
      </c>
      <c r="BL101" s="2">
        <f t="shared" si="41"/>
        <v>26</v>
      </c>
      <c r="BM101" s="3">
        <f t="shared" si="42"/>
        <v>1</v>
      </c>
      <c r="BN101" s="3">
        <f t="shared" si="43"/>
        <v>0</v>
      </c>
      <c r="BO101" s="3">
        <f t="shared" si="44"/>
        <v>0</v>
      </c>
      <c r="BP101" s="3">
        <f t="shared" si="45"/>
        <v>0</v>
      </c>
      <c r="BQ101" s="3">
        <f t="shared" si="46"/>
        <v>0</v>
      </c>
      <c r="BR101" s="3">
        <f t="shared" si="47"/>
        <v>0</v>
      </c>
      <c r="BS101" s="3">
        <f t="shared" si="48"/>
        <v>1</v>
      </c>
      <c r="BT101" s="3">
        <f t="shared" si="49"/>
        <v>0</v>
      </c>
      <c r="BU101" s="3">
        <f t="shared" si="50"/>
        <v>0</v>
      </c>
      <c r="BV101" s="3">
        <f t="shared" si="51"/>
        <v>0</v>
      </c>
      <c r="BW101" s="3">
        <f t="shared" si="52"/>
        <v>0</v>
      </c>
      <c r="BX101" s="4"/>
      <c r="CB101" s="87">
        <v>0</v>
      </c>
      <c r="CC101" s="87">
        <v>0</v>
      </c>
      <c r="CD101" s="87">
        <v>0</v>
      </c>
      <c r="CE101" s="87">
        <v>0</v>
      </c>
      <c r="CF101" s="87">
        <v>0</v>
      </c>
      <c r="CG101" s="88">
        <v>1</v>
      </c>
      <c r="CH101" s="87">
        <v>0</v>
      </c>
      <c r="CI101" s="87">
        <v>0</v>
      </c>
      <c r="CJ101" s="87">
        <v>0</v>
      </c>
      <c r="CK101" s="87">
        <v>0</v>
      </c>
      <c r="CL101" s="89">
        <f t="shared" si="54"/>
        <v>1</v>
      </c>
    </row>
    <row r="102" spans="1:90" ht="21.75" customHeight="1" x14ac:dyDescent="0.25">
      <c r="A102" s="54">
        <v>83</v>
      </c>
      <c r="B102" s="20" t="s">
        <v>186</v>
      </c>
      <c r="C102" s="74" t="s">
        <v>187</v>
      </c>
      <c r="D102" s="105">
        <v>0.34027777777777773</v>
      </c>
      <c r="E102" s="105">
        <v>0.96458333333333324</v>
      </c>
      <c r="F102" s="105">
        <v>0.35138888888888892</v>
      </c>
      <c r="G102" s="105">
        <v>0.95763888888888893</v>
      </c>
      <c r="H102" s="105">
        <v>0.35000000000000003</v>
      </c>
      <c r="I102" s="105">
        <v>0.99375000000000002</v>
      </c>
      <c r="J102" s="105">
        <v>0.3430555555555555</v>
      </c>
      <c r="K102" s="105">
        <v>0.9590277777777777</v>
      </c>
      <c r="L102" s="105">
        <v>0.35138888888888892</v>
      </c>
      <c r="M102" s="105">
        <v>0.9590277777777777</v>
      </c>
      <c r="N102" s="122" t="s">
        <v>15</v>
      </c>
      <c r="O102" s="122" t="s">
        <v>15</v>
      </c>
      <c r="P102" s="105">
        <v>0.35347222222222219</v>
      </c>
      <c r="Q102" s="105">
        <v>0.95833333333333337</v>
      </c>
      <c r="R102" s="105">
        <v>0.34375</v>
      </c>
      <c r="S102" s="105">
        <v>0.95833333333333337</v>
      </c>
      <c r="T102" s="105">
        <v>0.34861111111111115</v>
      </c>
      <c r="U102" s="105">
        <v>0.93611111111111101</v>
      </c>
      <c r="V102" s="105">
        <v>0.32847222222222222</v>
      </c>
      <c r="W102" s="105">
        <v>0.95833333333333337</v>
      </c>
      <c r="X102" s="105">
        <v>0.33680555555555558</v>
      </c>
      <c r="Y102" s="105">
        <v>0.9604166666666667</v>
      </c>
      <c r="Z102" s="105">
        <v>0.3527777777777778</v>
      </c>
      <c r="AA102" s="105">
        <v>0.96736111111111101</v>
      </c>
      <c r="AB102" s="107">
        <v>0.97152777777777777</v>
      </c>
      <c r="AC102" s="114">
        <v>1</v>
      </c>
      <c r="AD102" s="105">
        <v>0.42222222222222222</v>
      </c>
      <c r="AE102" s="105">
        <v>0.92152777777777783</v>
      </c>
      <c r="AF102" s="113">
        <v>1</v>
      </c>
      <c r="AG102" s="105">
        <v>0.95000000000000007</v>
      </c>
      <c r="AI102" s="18">
        <v>83</v>
      </c>
      <c r="AJ102" s="105">
        <v>0.4236111111111111</v>
      </c>
      <c r="AK102" s="105">
        <v>0.96250000000000002</v>
      </c>
      <c r="AL102" s="105">
        <v>0.35347222222222219</v>
      </c>
      <c r="AM102" s="105">
        <v>1.0416666666666666E-2</v>
      </c>
      <c r="AN102" s="105">
        <v>0.37013888888888885</v>
      </c>
      <c r="AO102" s="105">
        <v>4.8611111111111112E-2</v>
      </c>
      <c r="AP102" s="105">
        <v>0.36944444444444446</v>
      </c>
      <c r="AQ102" s="105">
        <v>4.7916666666666663E-2</v>
      </c>
      <c r="AR102" s="107">
        <v>0.58472222222222225</v>
      </c>
      <c r="AS102" s="107">
        <v>0.10555555555555556</v>
      </c>
      <c r="AT102" s="105">
        <v>0.37222222222222223</v>
      </c>
      <c r="AU102" s="105">
        <v>4.2361111111111106E-2</v>
      </c>
      <c r="AV102" s="105">
        <v>0.375</v>
      </c>
      <c r="AW102" s="105">
        <v>0.8520833333333333</v>
      </c>
      <c r="AX102" s="105">
        <v>0.37291666666666662</v>
      </c>
      <c r="AY102" s="105">
        <v>8.8888888888888892E-2</v>
      </c>
      <c r="AZ102" s="105">
        <v>0.37222222222222223</v>
      </c>
      <c r="BA102" s="105">
        <v>8.3333333333333329E-2</v>
      </c>
      <c r="BB102" s="105">
        <v>0.37291666666666662</v>
      </c>
      <c r="BC102" s="105">
        <v>4.8611111111111112E-2</v>
      </c>
      <c r="BD102" s="105">
        <v>0.3743055555555555</v>
      </c>
      <c r="BE102" s="105">
        <v>4.1666666666666664E-2</v>
      </c>
      <c r="BF102" s="107">
        <v>0.57986111111111105</v>
      </c>
      <c r="BG102" s="107">
        <v>4.1666666666666664E-2</v>
      </c>
      <c r="BH102" s="105">
        <v>0.3756944444444445</v>
      </c>
      <c r="BI102" s="105">
        <v>6.9444444444444434E-2</v>
      </c>
      <c r="BJ102" s="12">
        <f t="shared" si="40"/>
        <v>28</v>
      </c>
      <c r="BK102" s="112">
        <v>3</v>
      </c>
      <c r="BL102" s="2">
        <f t="shared" si="41"/>
        <v>27</v>
      </c>
      <c r="BM102" s="3">
        <f t="shared" si="42"/>
        <v>1</v>
      </c>
      <c r="BN102" s="3">
        <f t="shared" si="43"/>
        <v>0</v>
      </c>
      <c r="BO102" s="3">
        <f t="shared" si="44"/>
        <v>0</v>
      </c>
      <c r="BP102" s="3">
        <f t="shared" si="45"/>
        <v>0</v>
      </c>
      <c r="BQ102" s="3">
        <f t="shared" si="46"/>
        <v>0</v>
      </c>
      <c r="BR102" s="3">
        <f t="shared" si="47"/>
        <v>0</v>
      </c>
      <c r="BS102" s="3">
        <f t="shared" si="48"/>
        <v>0</v>
      </c>
      <c r="BT102" s="3">
        <f t="shared" si="49"/>
        <v>0</v>
      </c>
      <c r="BU102" s="3">
        <f t="shared" si="50"/>
        <v>0</v>
      </c>
      <c r="BV102" s="3">
        <f t="shared" si="51"/>
        <v>0</v>
      </c>
      <c r="BW102" s="3">
        <f t="shared" si="52"/>
        <v>0</v>
      </c>
      <c r="BX102" s="4"/>
      <c r="CB102" s="87">
        <v>0</v>
      </c>
      <c r="CC102" s="87">
        <v>0</v>
      </c>
      <c r="CD102" s="87">
        <v>0</v>
      </c>
      <c r="CE102" s="87">
        <v>0</v>
      </c>
      <c r="CF102" s="87">
        <v>0</v>
      </c>
      <c r="CG102" s="87">
        <v>0</v>
      </c>
      <c r="CH102" s="87">
        <v>0</v>
      </c>
      <c r="CI102" s="87">
        <v>0</v>
      </c>
      <c r="CJ102" s="87">
        <v>0</v>
      </c>
      <c r="CK102" s="87">
        <v>0</v>
      </c>
      <c r="CL102" s="89">
        <f t="shared" si="54"/>
        <v>0</v>
      </c>
    </row>
    <row r="103" spans="1:90" ht="21.75" customHeight="1" x14ac:dyDescent="0.25">
      <c r="A103" s="54">
        <v>84</v>
      </c>
      <c r="B103" s="20" t="s">
        <v>188</v>
      </c>
      <c r="C103" s="71" t="s">
        <v>189</v>
      </c>
      <c r="D103" s="105">
        <v>0.34722222222222227</v>
      </c>
      <c r="E103" s="105">
        <v>0.95972222222222225</v>
      </c>
      <c r="F103" s="105">
        <v>0.34791666666666665</v>
      </c>
      <c r="G103" s="105">
        <v>0.92222222222222217</v>
      </c>
      <c r="H103" s="105">
        <v>0.34652777777777777</v>
      </c>
      <c r="I103" s="105">
        <v>0.9243055555555556</v>
      </c>
      <c r="J103" s="105">
        <v>0.9194444444444444</v>
      </c>
      <c r="K103" s="113">
        <v>1</v>
      </c>
      <c r="L103" s="105">
        <v>0.3444444444444445</v>
      </c>
      <c r="M103" s="105">
        <v>0.97083333333333333</v>
      </c>
      <c r="N103" s="107">
        <v>0.57708333333333328</v>
      </c>
      <c r="O103" s="107">
        <v>0.92361111111111116</v>
      </c>
      <c r="P103" s="105">
        <v>0.34513888888888888</v>
      </c>
      <c r="Q103" s="105">
        <v>0.92986111111111114</v>
      </c>
      <c r="R103" s="105">
        <v>0.34791666666666665</v>
      </c>
      <c r="S103" s="105">
        <v>0.91875000000000007</v>
      </c>
      <c r="T103" s="105">
        <v>0.34791666666666665</v>
      </c>
      <c r="U103" s="105">
        <v>0.9243055555555556</v>
      </c>
      <c r="V103" s="105">
        <v>0.34722222222222227</v>
      </c>
      <c r="W103" s="105">
        <v>0.94097222222222221</v>
      </c>
      <c r="X103" s="105">
        <v>0.34791666666666665</v>
      </c>
      <c r="Y103" s="105">
        <v>0.92569444444444438</v>
      </c>
      <c r="Z103" s="105">
        <v>0.34652777777777777</v>
      </c>
      <c r="AA103" s="105">
        <v>0.93472222222222223</v>
      </c>
      <c r="AB103" s="107">
        <v>0.57500000000000007</v>
      </c>
      <c r="AC103" s="107">
        <v>0.9590277777777777</v>
      </c>
      <c r="AD103" s="105">
        <v>0.34861111111111115</v>
      </c>
      <c r="AE103" s="105">
        <v>1.0416666666666666E-2</v>
      </c>
      <c r="AF103" s="105">
        <v>0.34722222222222227</v>
      </c>
      <c r="AG103" s="105">
        <v>0.94236111111111109</v>
      </c>
      <c r="AI103" s="18">
        <v>84</v>
      </c>
      <c r="AJ103" s="105">
        <v>0.34722222222222227</v>
      </c>
      <c r="AK103" s="105">
        <v>1.3888888888888889E-3</v>
      </c>
      <c r="AL103" s="105">
        <v>0.34583333333333338</v>
      </c>
      <c r="AM103" s="105">
        <v>4.5833333333333337E-2</v>
      </c>
      <c r="AN103" s="105">
        <v>0.37083333333333335</v>
      </c>
      <c r="AO103" s="105">
        <v>2.361111111111111E-2</v>
      </c>
      <c r="AP103" s="105">
        <v>0.37083333333333335</v>
      </c>
      <c r="AQ103" s="105">
        <v>5.0694444444444452E-2</v>
      </c>
      <c r="AR103" s="107">
        <v>0.57916666666666672</v>
      </c>
      <c r="AS103" s="107">
        <v>4.2361111111111106E-2</v>
      </c>
      <c r="AT103" s="105">
        <v>0.37152777777777773</v>
      </c>
      <c r="AU103" s="105">
        <v>4.7222222222222221E-2</v>
      </c>
      <c r="AV103" s="105">
        <v>0.37222222222222223</v>
      </c>
      <c r="AW103" s="105">
        <v>0.85</v>
      </c>
      <c r="AX103" s="105">
        <v>0.37291666666666662</v>
      </c>
      <c r="AY103" s="105">
        <v>5.0694444444444452E-2</v>
      </c>
      <c r="AZ103" s="105">
        <v>0.37361111111111112</v>
      </c>
      <c r="BA103" s="105">
        <v>3.472222222222222E-3</v>
      </c>
      <c r="BB103" s="105">
        <v>0.37291666666666662</v>
      </c>
      <c r="BC103" s="105">
        <v>5.8333333333333327E-2</v>
      </c>
      <c r="BD103" s="105">
        <v>0.35486111111111113</v>
      </c>
      <c r="BE103" s="105">
        <v>4.2361111111111106E-2</v>
      </c>
      <c r="BF103" s="107">
        <v>0.57222222222222219</v>
      </c>
      <c r="BG103" s="107">
        <v>4.5138888888888888E-2</v>
      </c>
      <c r="BH103" s="105">
        <v>0.35625000000000001</v>
      </c>
      <c r="BI103" s="105">
        <v>5.7638888888888885E-2</v>
      </c>
      <c r="BJ103" s="12">
        <f t="shared" si="40"/>
        <v>28</v>
      </c>
      <c r="BK103" s="112">
        <v>4</v>
      </c>
      <c r="BL103" s="2">
        <f t="shared" si="41"/>
        <v>28</v>
      </c>
      <c r="BM103" s="3">
        <f t="shared" si="42"/>
        <v>0</v>
      </c>
      <c r="BN103" s="3">
        <f t="shared" si="43"/>
        <v>0</v>
      </c>
      <c r="BO103" s="3">
        <f t="shared" si="44"/>
        <v>0</v>
      </c>
      <c r="BP103" s="3">
        <f t="shared" si="45"/>
        <v>0</v>
      </c>
      <c r="BQ103" s="3">
        <f t="shared" si="46"/>
        <v>0</v>
      </c>
      <c r="BR103" s="3">
        <f t="shared" si="47"/>
        <v>0</v>
      </c>
      <c r="BS103" s="3">
        <f t="shared" si="48"/>
        <v>0</v>
      </c>
      <c r="BT103" s="3">
        <f t="shared" si="49"/>
        <v>0</v>
      </c>
      <c r="BU103" s="3">
        <f t="shared" si="50"/>
        <v>0</v>
      </c>
      <c r="BV103" s="3">
        <f t="shared" si="51"/>
        <v>0</v>
      </c>
      <c r="BW103" s="3">
        <f t="shared" si="52"/>
        <v>0</v>
      </c>
      <c r="BX103" s="4"/>
      <c r="CB103" s="87">
        <v>0</v>
      </c>
      <c r="CC103" s="87">
        <v>0</v>
      </c>
      <c r="CD103" s="87">
        <v>0</v>
      </c>
      <c r="CE103" s="87">
        <v>0</v>
      </c>
      <c r="CF103" s="87">
        <v>0</v>
      </c>
      <c r="CG103" s="87">
        <v>2</v>
      </c>
      <c r="CH103" s="87">
        <v>0</v>
      </c>
      <c r="CI103" s="87">
        <v>0</v>
      </c>
      <c r="CJ103" s="87">
        <v>0</v>
      </c>
      <c r="CK103" s="87">
        <v>0</v>
      </c>
      <c r="CL103" s="89">
        <f t="shared" si="54"/>
        <v>2</v>
      </c>
    </row>
    <row r="104" spans="1:90" ht="21.75" customHeight="1" x14ac:dyDescent="0.25">
      <c r="A104" s="54">
        <v>85</v>
      </c>
      <c r="B104" s="78" t="s">
        <v>192</v>
      </c>
      <c r="C104" s="79" t="s">
        <v>193</v>
      </c>
      <c r="D104" s="105">
        <v>0.96111111111111114</v>
      </c>
      <c r="E104" s="113">
        <v>1</v>
      </c>
      <c r="F104" s="105">
        <v>0.33749999999999997</v>
      </c>
      <c r="G104" s="105">
        <v>0.9506944444444444</v>
      </c>
      <c r="H104" s="105">
        <v>0.33749999999999997</v>
      </c>
      <c r="I104" s="113">
        <v>1</v>
      </c>
      <c r="J104" s="105">
        <v>0.33819444444444446</v>
      </c>
      <c r="K104" s="105">
        <v>0.95000000000000007</v>
      </c>
      <c r="L104" s="105">
        <v>0.33958333333333335</v>
      </c>
      <c r="M104" s="113">
        <v>1</v>
      </c>
      <c r="N104" s="107">
        <v>0.57361111111111118</v>
      </c>
      <c r="O104" s="107">
        <v>0.9555555555555556</v>
      </c>
      <c r="P104" s="105">
        <v>0.35416666666666669</v>
      </c>
      <c r="Q104" s="105">
        <v>0.96944444444444444</v>
      </c>
      <c r="R104" s="105">
        <v>0.34027777777777773</v>
      </c>
      <c r="S104" s="105">
        <v>0.95000000000000007</v>
      </c>
      <c r="T104" s="105">
        <v>0.33958333333333335</v>
      </c>
      <c r="U104" s="105">
        <v>0.95277777777777783</v>
      </c>
      <c r="V104" s="105">
        <v>0.34027777777777773</v>
      </c>
      <c r="W104" s="113">
        <v>1</v>
      </c>
      <c r="X104" s="105">
        <v>0.35347222222222219</v>
      </c>
      <c r="Y104" s="105">
        <v>0.95138888888888884</v>
      </c>
      <c r="Z104" s="105">
        <v>0.35347222222222219</v>
      </c>
      <c r="AA104" s="113">
        <v>1</v>
      </c>
      <c r="AB104" s="107">
        <v>0.58333333333333337</v>
      </c>
      <c r="AC104" s="114">
        <v>1</v>
      </c>
      <c r="AD104" s="105">
        <v>0.36041666666666666</v>
      </c>
      <c r="AE104" s="113">
        <v>1</v>
      </c>
      <c r="AF104" s="113">
        <v>1</v>
      </c>
      <c r="AG104" s="113">
        <v>1</v>
      </c>
      <c r="AI104" s="18">
        <v>85</v>
      </c>
      <c r="AJ104" s="105">
        <v>0.4145833333333333</v>
      </c>
      <c r="AK104" s="105">
        <v>2.7777777777777779E-3</v>
      </c>
      <c r="AL104" s="105">
        <v>0.38055555555555554</v>
      </c>
      <c r="AM104" s="105">
        <v>1.1111111111111112E-2</v>
      </c>
      <c r="AN104" s="105">
        <v>0.38055555555555554</v>
      </c>
      <c r="AO104" s="105">
        <v>8.3333333333333332E-3</v>
      </c>
      <c r="AP104" s="105">
        <v>0.4145833333333333</v>
      </c>
      <c r="AQ104" s="105">
        <v>2.7777777777777779E-3</v>
      </c>
      <c r="AR104" s="107">
        <v>0.58194444444444449</v>
      </c>
      <c r="AS104" s="107">
        <v>1</v>
      </c>
      <c r="AT104" s="105">
        <v>0.38055555555555554</v>
      </c>
      <c r="AU104" s="105">
        <v>1.1111111111111112E-2</v>
      </c>
      <c r="AV104" s="105">
        <v>0.37916666666666665</v>
      </c>
      <c r="AW104" s="105">
        <v>1</v>
      </c>
      <c r="AX104" s="105">
        <v>0.37708333333333338</v>
      </c>
      <c r="AY104" s="105">
        <v>0.85625000000000007</v>
      </c>
      <c r="AZ104" s="105">
        <v>0.3756944444444445</v>
      </c>
      <c r="BA104" s="105">
        <v>1.4583333333333332E-2</v>
      </c>
      <c r="BB104" s="105">
        <v>0.375</v>
      </c>
      <c r="BC104" s="105">
        <v>1.6666666666666666E-2</v>
      </c>
      <c r="BD104" s="105">
        <v>0.3756944444444445</v>
      </c>
      <c r="BE104" s="105">
        <v>4.0972222222222222E-2</v>
      </c>
      <c r="BF104" s="107">
        <v>0.58124999999999993</v>
      </c>
      <c r="BG104" s="107">
        <v>0.85416666666666663</v>
      </c>
      <c r="BH104" s="105">
        <v>0.3743055555555555</v>
      </c>
      <c r="BI104" s="105">
        <v>7.7777777777777779E-2</v>
      </c>
      <c r="BJ104" s="12">
        <f t="shared" si="40"/>
        <v>28</v>
      </c>
      <c r="BK104" s="112">
        <v>4</v>
      </c>
      <c r="BL104" s="2">
        <f t="shared" si="41"/>
        <v>28</v>
      </c>
      <c r="BM104" s="3">
        <f t="shared" si="42"/>
        <v>0</v>
      </c>
      <c r="BN104" s="3">
        <f t="shared" si="43"/>
        <v>0</v>
      </c>
      <c r="BO104" s="3">
        <f t="shared" si="44"/>
        <v>0</v>
      </c>
      <c r="BP104" s="3">
        <f t="shared" si="45"/>
        <v>0</v>
      </c>
      <c r="BQ104" s="3">
        <f t="shared" si="46"/>
        <v>0</v>
      </c>
      <c r="BR104" s="3">
        <f t="shared" si="47"/>
        <v>0</v>
      </c>
      <c r="BS104" s="3">
        <f t="shared" si="48"/>
        <v>0</v>
      </c>
      <c r="BT104" s="3">
        <f t="shared" si="49"/>
        <v>0</v>
      </c>
      <c r="BU104" s="3">
        <f t="shared" si="50"/>
        <v>0</v>
      </c>
      <c r="BV104" s="3">
        <f t="shared" si="51"/>
        <v>0</v>
      </c>
      <c r="BW104" s="3">
        <f t="shared" si="52"/>
        <v>0</v>
      </c>
      <c r="BX104" s="4"/>
      <c r="CB104" s="87">
        <v>0</v>
      </c>
      <c r="CC104" s="87">
        <v>0</v>
      </c>
      <c r="CD104" s="87">
        <v>0</v>
      </c>
      <c r="CE104" s="87">
        <v>0</v>
      </c>
      <c r="CF104" s="87">
        <v>0</v>
      </c>
      <c r="CG104" s="87">
        <v>0</v>
      </c>
      <c r="CH104" s="87">
        <v>0</v>
      </c>
      <c r="CI104" s="87">
        <v>0</v>
      </c>
      <c r="CJ104" s="87">
        <v>0</v>
      </c>
      <c r="CK104" s="87">
        <v>0</v>
      </c>
      <c r="CL104" s="89">
        <f t="shared" si="54"/>
        <v>0</v>
      </c>
    </row>
    <row r="105" spans="1:90" ht="21.75" customHeight="1" x14ac:dyDescent="0.25">
      <c r="A105" s="54">
        <v>86</v>
      </c>
      <c r="B105" s="54" t="s">
        <v>208</v>
      </c>
      <c r="C105" s="124" t="s">
        <v>209</v>
      </c>
      <c r="D105" s="105">
        <v>0.34861111111111115</v>
      </c>
      <c r="E105" s="105">
        <v>0.9770833333333333</v>
      </c>
      <c r="F105" s="105">
        <v>0.34583333333333338</v>
      </c>
      <c r="G105" s="105">
        <v>0.9458333333333333</v>
      </c>
      <c r="H105" s="105">
        <v>0.34722222222222227</v>
      </c>
      <c r="I105" s="105">
        <v>0.94513888888888886</v>
      </c>
      <c r="J105" s="105">
        <v>0.34375</v>
      </c>
      <c r="K105" s="105">
        <v>0.94374999999999998</v>
      </c>
      <c r="L105" s="105">
        <v>0.3444444444444445</v>
      </c>
      <c r="M105" s="105">
        <v>0.96527777777777779</v>
      </c>
      <c r="N105" s="122" t="s">
        <v>15</v>
      </c>
      <c r="O105" s="122" t="s">
        <v>15</v>
      </c>
      <c r="P105" s="105">
        <v>0.33749999999999997</v>
      </c>
      <c r="Q105" s="105">
        <v>0.96180555555555547</v>
      </c>
      <c r="R105" s="105">
        <v>0.34861111111111115</v>
      </c>
      <c r="S105" s="105">
        <v>0.94236111111111109</v>
      </c>
      <c r="T105" s="105">
        <v>0.34722222222222227</v>
      </c>
      <c r="U105" s="105">
        <v>0.94444444444444453</v>
      </c>
      <c r="V105" s="105">
        <v>0.34652777777777777</v>
      </c>
      <c r="W105" s="105">
        <v>0.94861111111111107</v>
      </c>
      <c r="X105" s="105">
        <v>0.34791666666666665</v>
      </c>
      <c r="Y105" s="105">
        <v>0.95833333333333337</v>
      </c>
      <c r="Z105" s="105">
        <v>0.34513888888888888</v>
      </c>
      <c r="AA105" s="105">
        <v>0</v>
      </c>
      <c r="AB105" s="107">
        <v>0.58194444444444449</v>
      </c>
      <c r="AC105" s="107">
        <v>0.94513888888888886</v>
      </c>
      <c r="AD105" s="105">
        <v>0.34861111111111115</v>
      </c>
      <c r="AE105" s="105">
        <v>0.94444444444444453</v>
      </c>
      <c r="AF105" s="105">
        <v>0.34930555555555554</v>
      </c>
      <c r="AG105" s="105">
        <v>0.96875</v>
      </c>
      <c r="AH105" s="120"/>
      <c r="AI105" s="18">
        <v>86</v>
      </c>
      <c r="AJ105" s="105">
        <v>0.35069444444444442</v>
      </c>
      <c r="AK105" s="105">
        <v>0.94097222222222221</v>
      </c>
      <c r="AL105" s="105">
        <v>0.34791666666666665</v>
      </c>
      <c r="AM105" s="105">
        <v>1</v>
      </c>
      <c r="AN105" s="105">
        <v>0.37291666666666662</v>
      </c>
      <c r="AO105" s="105">
        <v>0.85416666666666663</v>
      </c>
      <c r="AP105" s="105">
        <v>0.70833333333333337</v>
      </c>
      <c r="AQ105" s="105">
        <v>4.1666666666666664E-2</v>
      </c>
      <c r="AR105" s="107">
        <v>0.57847222222222217</v>
      </c>
      <c r="AS105" s="107">
        <v>4.5833333333333337E-2</v>
      </c>
      <c r="AT105" s="105">
        <v>0.37152777777777773</v>
      </c>
      <c r="AU105" s="105">
        <v>0.85</v>
      </c>
      <c r="AV105" s="105">
        <v>0.37152777777777773</v>
      </c>
      <c r="AW105" s="105">
        <v>0.84861111111111109</v>
      </c>
      <c r="AX105" s="105">
        <v>0.37222222222222223</v>
      </c>
      <c r="AY105" s="105">
        <v>4.2361111111111106E-2</v>
      </c>
      <c r="AZ105" s="105">
        <v>0.37152777777777773</v>
      </c>
      <c r="BA105" s="105">
        <v>5.5555555555555552E-2</v>
      </c>
      <c r="BB105" s="105">
        <v>0.37083333333333335</v>
      </c>
      <c r="BC105" s="105">
        <v>0.85069444444444453</v>
      </c>
      <c r="BD105" s="105">
        <v>0.37152777777777773</v>
      </c>
      <c r="BE105" s="105">
        <v>0.84791666666666676</v>
      </c>
      <c r="BF105" s="107">
        <v>0.58124999999999993</v>
      </c>
      <c r="BG105" s="107">
        <v>0.85069444444444453</v>
      </c>
      <c r="BH105" s="105">
        <v>0.37152777777777773</v>
      </c>
      <c r="BI105" s="105">
        <v>0.84791666666666676</v>
      </c>
      <c r="BJ105" s="12">
        <f t="shared" si="40"/>
        <v>28</v>
      </c>
      <c r="BK105" s="112">
        <v>3</v>
      </c>
      <c r="BL105" s="2">
        <f t="shared" si="41"/>
        <v>27</v>
      </c>
      <c r="BM105" s="3">
        <f t="shared" si="42"/>
        <v>1</v>
      </c>
      <c r="BN105" s="3">
        <f t="shared" si="43"/>
        <v>0</v>
      </c>
      <c r="BO105" s="3">
        <f t="shared" si="44"/>
        <v>0</v>
      </c>
      <c r="BP105" s="3">
        <f t="shared" si="45"/>
        <v>0</v>
      </c>
      <c r="BQ105" s="3">
        <f t="shared" si="46"/>
        <v>0</v>
      </c>
      <c r="BR105" s="3">
        <f t="shared" si="47"/>
        <v>0</v>
      </c>
      <c r="BS105" s="3">
        <f t="shared" si="48"/>
        <v>0</v>
      </c>
      <c r="BT105" s="3">
        <f t="shared" si="49"/>
        <v>0</v>
      </c>
      <c r="BU105" s="3">
        <f t="shared" si="50"/>
        <v>0</v>
      </c>
      <c r="BV105" s="3">
        <f t="shared" si="51"/>
        <v>0</v>
      </c>
      <c r="BW105" s="3">
        <f t="shared" si="52"/>
        <v>0</v>
      </c>
      <c r="BX105" s="4"/>
      <c r="CB105" s="87">
        <v>0</v>
      </c>
      <c r="CC105" s="87">
        <v>0</v>
      </c>
      <c r="CD105" s="87">
        <v>0</v>
      </c>
      <c r="CE105" s="87">
        <v>0</v>
      </c>
      <c r="CF105" s="87">
        <v>0</v>
      </c>
      <c r="CG105" s="87">
        <v>0</v>
      </c>
      <c r="CH105" s="87">
        <v>0</v>
      </c>
      <c r="CI105" s="87">
        <v>0</v>
      </c>
      <c r="CJ105" s="87">
        <v>0</v>
      </c>
      <c r="CK105" s="87">
        <v>0</v>
      </c>
      <c r="CL105" s="89">
        <f t="shared" si="54"/>
        <v>0</v>
      </c>
    </row>
    <row r="106" spans="1:90" ht="21.75" customHeight="1" x14ac:dyDescent="0.25">
      <c r="A106" s="54">
        <v>87</v>
      </c>
      <c r="B106" s="54" t="s">
        <v>210</v>
      </c>
      <c r="C106" s="124" t="s">
        <v>211</v>
      </c>
      <c r="D106" s="105">
        <v>0.34930555555555554</v>
      </c>
      <c r="E106" s="105">
        <v>0.96111111111111114</v>
      </c>
      <c r="F106" s="105">
        <v>0.35138888888888892</v>
      </c>
      <c r="G106" s="105">
        <v>0.94444444444444453</v>
      </c>
      <c r="H106" s="105">
        <v>0.35069444444444442</v>
      </c>
      <c r="I106" s="105">
        <v>0.92499999999999993</v>
      </c>
      <c r="J106" s="105">
        <v>0.3520833333333333</v>
      </c>
      <c r="K106" s="105">
        <v>0.94236111111111109</v>
      </c>
      <c r="L106" s="105">
        <v>0.34722222222222227</v>
      </c>
      <c r="M106" s="105">
        <v>0.95416666666666661</v>
      </c>
      <c r="N106" s="122" t="s">
        <v>15</v>
      </c>
      <c r="O106" s="122" t="s">
        <v>15</v>
      </c>
      <c r="P106" s="105">
        <v>0.3520833333333333</v>
      </c>
      <c r="Q106" s="105">
        <v>0.93472222222222223</v>
      </c>
      <c r="R106" s="105">
        <v>0.35069444444444442</v>
      </c>
      <c r="S106" s="105">
        <v>0.91666666666666663</v>
      </c>
      <c r="T106" s="105">
        <v>0.34791666666666665</v>
      </c>
      <c r="U106" s="105">
        <v>0.92222222222222217</v>
      </c>
      <c r="V106" s="105">
        <v>0.34791666666666665</v>
      </c>
      <c r="W106" s="105">
        <v>0.93611111111111101</v>
      </c>
      <c r="X106" s="105">
        <v>0.35000000000000003</v>
      </c>
      <c r="Y106" s="105">
        <v>0.94930555555555562</v>
      </c>
      <c r="Z106" s="105">
        <v>0.35069444444444442</v>
      </c>
      <c r="AA106" s="105">
        <v>0.93402777777777779</v>
      </c>
      <c r="AB106" s="107">
        <v>0.5756944444444444</v>
      </c>
      <c r="AC106" s="107">
        <v>0.95694444444444438</v>
      </c>
      <c r="AD106" s="105">
        <v>0.35138888888888892</v>
      </c>
      <c r="AE106" s="105">
        <v>0.98749999999999993</v>
      </c>
      <c r="AF106" s="105">
        <v>0.3520833333333333</v>
      </c>
      <c r="AG106" s="105">
        <v>0.94930555555555562</v>
      </c>
      <c r="AI106" s="18">
        <v>87</v>
      </c>
      <c r="AJ106" s="105">
        <v>0.3520833333333333</v>
      </c>
      <c r="AK106" s="105">
        <v>0.99930555555555556</v>
      </c>
      <c r="AL106" s="105">
        <v>0.35138888888888892</v>
      </c>
      <c r="AM106" s="105">
        <v>3.7499999999999999E-2</v>
      </c>
      <c r="AN106" s="105">
        <v>0.37222222222222223</v>
      </c>
      <c r="AO106" s="105">
        <v>1.8749999999999999E-2</v>
      </c>
      <c r="AP106" s="105">
        <v>0.3743055555555555</v>
      </c>
      <c r="AQ106" s="105">
        <v>5.1388888888888894E-2</v>
      </c>
      <c r="AR106" s="107">
        <v>0.5805555555555556</v>
      </c>
      <c r="AS106" s="107">
        <v>4.5138888888888888E-2</v>
      </c>
      <c r="AT106" s="105">
        <v>0.37361111111111112</v>
      </c>
      <c r="AU106" s="105">
        <v>5.1388888888888894E-2</v>
      </c>
      <c r="AV106" s="105">
        <v>0.375</v>
      </c>
      <c r="AW106" s="105">
        <v>4.5138888888888888E-2</v>
      </c>
      <c r="AX106" s="105">
        <v>0.37638888888888888</v>
      </c>
      <c r="AY106" s="105">
        <v>4.5833333333333337E-2</v>
      </c>
      <c r="AZ106" s="105">
        <v>0.375</v>
      </c>
      <c r="BA106" s="105">
        <v>0.85</v>
      </c>
      <c r="BB106" s="105">
        <v>0.3743055555555555</v>
      </c>
      <c r="BC106" s="105">
        <v>6.25E-2</v>
      </c>
      <c r="BD106" s="105">
        <v>0.37291666666666662</v>
      </c>
      <c r="BE106" s="105">
        <v>4.4444444444444446E-2</v>
      </c>
      <c r="BF106" s="107">
        <v>0.57847222222222217</v>
      </c>
      <c r="BG106" s="107">
        <v>4.5138888888888888E-2</v>
      </c>
      <c r="BH106" s="105">
        <v>0.37222222222222223</v>
      </c>
      <c r="BI106" s="105">
        <v>3.5416666666666666E-2</v>
      </c>
      <c r="BJ106" s="12">
        <f t="shared" si="40"/>
        <v>28</v>
      </c>
      <c r="BK106" s="112">
        <v>3</v>
      </c>
      <c r="BL106" s="2">
        <f t="shared" si="41"/>
        <v>27</v>
      </c>
      <c r="BM106" s="3">
        <f t="shared" si="42"/>
        <v>1</v>
      </c>
      <c r="BN106" s="3">
        <f t="shared" si="43"/>
        <v>0</v>
      </c>
      <c r="BO106" s="3">
        <f t="shared" si="44"/>
        <v>0</v>
      </c>
      <c r="BP106" s="3">
        <f t="shared" si="45"/>
        <v>0</v>
      </c>
      <c r="BQ106" s="3">
        <f t="shared" si="46"/>
        <v>0</v>
      </c>
      <c r="BR106" s="3">
        <f t="shared" si="47"/>
        <v>0</v>
      </c>
      <c r="BS106" s="3">
        <f t="shared" si="48"/>
        <v>0</v>
      </c>
      <c r="BT106" s="3">
        <f t="shared" si="49"/>
        <v>0</v>
      </c>
      <c r="BU106" s="3">
        <f t="shared" si="50"/>
        <v>0</v>
      </c>
      <c r="BV106" s="3">
        <f t="shared" si="51"/>
        <v>0</v>
      </c>
      <c r="BW106" s="3">
        <f t="shared" si="52"/>
        <v>0</v>
      </c>
      <c r="BX106" s="4"/>
      <c r="CB106" s="87">
        <v>0</v>
      </c>
      <c r="CC106" s="87">
        <v>0</v>
      </c>
      <c r="CD106" s="87">
        <v>0</v>
      </c>
      <c r="CE106" s="87">
        <v>0</v>
      </c>
      <c r="CF106" s="87">
        <v>0</v>
      </c>
      <c r="CG106" s="87">
        <v>0</v>
      </c>
      <c r="CH106" s="87">
        <v>0</v>
      </c>
      <c r="CI106" s="87">
        <v>0</v>
      </c>
      <c r="CJ106" s="87">
        <v>0</v>
      </c>
      <c r="CK106" s="87">
        <v>0</v>
      </c>
      <c r="CL106" s="89">
        <f t="shared" si="54"/>
        <v>0</v>
      </c>
    </row>
    <row r="107" spans="1:90" ht="21.75" customHeight="1" x14ac:dyDescent="0.25">
      <c r="A107" s="54">
        <v>88</v>
      </c>
      <c r="B107" s="54" t="s">
        <v>212</v>
      </c>
      <c r="C107" s="124" t="s">
        <v>213</v>
      </c>
      <c r="D107" s="105">
        <v>0.32916666666666666</v>
      </c>
      <c r="E107" s="113">
        <v>1</v>
      </c>
      <c r="F107" s="105">
        <v>0.32708333333333334</v>
      </c>
      <c r="G107" s="113">
        <v>1</v>
      </c>
      <c r="H107" s="105">
        <v>0.33194444444444443</v>
      </c>
      <c r="I107" s="113">
        <v>1</v>
      </c>
      <c r="J107" s="105">
        <v>0.33263888888888887</v>
      </c>
      <c r="K107" s="113">
        <v>1</v>
      </c>
      <c r="L107" s="105">
        <v>0.3354166666666667</v>
      </c>
      <c r="M107" s="113">
        <v>1</v>
      </c>
      <c r="N107" s="107">
        <v>0.56180555555555556</v>
      </c>
      <c r="O107" s="114">
        <v>1</v>
      </c>
      <c r="P107" s="105">
        <v>0.33263888888888887</v>
      </c>
      <c r="Q107" s="113">
        <v>1</v>
      </c>
      <c r="R107" s="105">
        <v>0.33124999999999999</v>
      </c>
      <c r="S107" s="113">
        <v>1</v>
      </c>
      <c r="T107" s="105">
        <v>0.32500000000000001</v>
      </c>
      <c r="U107" s="113">
        <v>1</v>
      </c>
      <c r="V107" s="105">
        <v>0.34166666666666662</v>
      </c>
      <c r="W107" s="113">
        <v>1</v>
      </c>
      <c r="X107" s="105">
        <v>0.32916666666666666</v>
      </c>
      <c r="Y107" s="113">
        <v>1</v>
      </c>
      <c r="Z107" s="105">
        <v>0.32430555555555557</v>
      </c>
      <c r="AA107" s="113">
        <v>1</v>
      </c>
      <c r="AB107" s="107">
        <v>0.56111111111111112</v>
      </c>
      <c r="AC107" s="107">
        <v>0.58194444444444449</v>
      </c>
      <c r="AD107" s="105">
        <v>0.32569444444444445</v>
      </c>
      <c r="AE107" s="113">
        <v>1</v>
      </c>
      <c r="AF107" s="105">
        <v>0.33402777777777781</v>
      </c>
      <c r="AG107" s="113">
        <v>1</v>
      </c>
      <c r="AI107" s="18">
        <v>88</v>
      </c>
      <c r="AJ107" s="105">
        <v>0.33680555555555558</v>
      </c>
      <c r="AK107" s="113">
        <v>1</v>
      </c>
      <c r="AL107" s="105">
        <v>0.32500000000000001</v>
      </c>
      <c r="AM107" s="113">
        <v>1</v>
      </c>
      <c r="AN107" s="105">
        <v>0.38541666666666669</v>
      </c>
      <c r="AO107" s="113">
        <v>1</v>
      </c>
      <c r="AP107" s="105">
        <v>0.38611111111111113</v>
      </c>
      <c r="AQ107" s="113">
        <v>1</v>
      </c>
      <c r="AR107" s="107">
        <v>0.57708333333333328</v>
      </c>
      <c r="AS107" s="114">
        <v>1</v>
      </c>
      <c r="AT107" s="105">
        <v>0.37986111111111115</v>
      </c>
      <c r="AU107" s="113">
        <v>1</v>
      </c>
      <c r="AV107" s="105">
        <v>0.3833333333333333</v>
      </c>
      <c r="AW107" s="113">
        <v>1</v>
      </c>
      <c r="AX107" s="105">
        <v>0.37986111111111115</v>
      </c>
      <c r="AY107" s="113">
        <v>1</v>
      </c>
      <c r="AZ107" s="105">
        <v>0.38055555555555554</v>
      </c>
      <c r="BA107" s="113">
        <v>1</v>
      </c>
      <c r="BB107" s="105">
        <v>0.37777777777777777</v>
      </c>
      <c r="BC107" s="113">
        <v>1</v>
      </c>
      <c r="BD107" s="105">
        <v>0.3756944444444445</v>
      </c>
      <c r="BE107" s="113">
        <v>1</v>
      </c>
      <c r="BF107" s="107">
        <v>0.56874999999999998</v>
      </c>
      <c r="BG107" s="114">
        <v>1</v>
      </c>
      <c r="BH107" s="105">
        <v>0.3743055555555555</v>
      </c>
      <c r="BI107" s="113">
        <v>1</v>
      </c>
      <c r="BJ107" s="12">
        <f t="shared" si="40"/>
        <v>28</v>
      </c>
      <c r="BK107" s="112">
        <v>0</v>
      </c>
      <c r="BL107" s="2">
        <f t="shared" si="41"/>
        <v>28</v>
      </c>
      <c r="BM107" s="3">
        <f t="shared" si="42"/>
        <v>0</v>
      </c>
      <c r="BN107" s="3">
        <f t="shared" si="43"/>
        <v>0</v>
      </c>
      <c r="BO107" s="3">
        <f t="shared" si="44"/>
        <v>0</v>
      </c>
      <c r="BP107" s="3">
        <f t="shared" si="45"/>
        <v>0</v>
      </c>
      <c r="BQ107" s="3">
        <f t="shared" si="46"/>
        <v>0</v>
      </c>
      <c r="BR107" s="3">
        <f t="shared" si="47"/>
        <v>0</v>
      </c>
      <c r="BS107" s="3">
        <f t="shared" si="48"/>
        <v>0</v>
      </c>
      <c r="BT107" s="3">
        <f t="shared" si="49"/>
        <v>0</v>
      </c>
      <c r="BU107" s="3">
        <f t="shared" si="50"/>
        <v>0</v>
      </c>
      <c r="BV107" s="3">
        <f t="shared" si="51"/>
        <v>0</v>
      </c>
      <c r="BW107" s="3">
        <f t="shared" si="52"/>
        <v>0</v>
      </c>
      <c r="BX107" s="4"/>
      <c r="CB107" s="87">
        <v>0</v>
      </c>
      <c r="CC107" s="87">
        <v>0</v>
      </c>
      <c r="CD107" s="87">
        <v>0</v>
      </c>
      <c r="CE107" s="87">
        <v>0</v>
      </c>
      <c r="CF107" s="87">
        <v>0</v>
      </c>
      <c r="CG107" s="87">
        <v>0</v>
      </c>
      <c r="CH107" s="87">
        <v>0</v>
      </c>
      <c r="CI107" s="87">
        <v>0</v>
      </c>
      <c r="CJ107" s="87">
        <v>0</v>
      </c>
      <c r="CK107" s="87">
        <v>0</v>
      </c>
      <c r="CL107" s="89">
        <f t="shared" si="54"/>
        <v>0</v>
      </c>
    </row>
    <row r="108" spans="1:90" ht="21.75" customHeight="1" x14ac:dyDescent="0.25">
      <c r="A108" s="54">
        <v>89</v>
      </c>
      <c r="B108" s="54" t="s">
        <v>214</v>
      </c>
      <c r="C108" s="124" t="s">
        <v>215</v>
      </c>
      <c r="D108" s="105">
        <v>0.34930555555555554</v>
      </c>
      <c r="E108" s="105">
        <v>0.9784722222222223</v>
      </c>
      <c r="F108" s="105">
        <v>0.34791666666666665</v>
      </c>
      <c r="G108" s="105">
        <v>0.92222222222222217</v>
      </c>
      <c r="H108" s="105">
        <v>0.35000000000000003</v>
      </c>
      <c r="I108" s="105">
        <v>0.99930555555555556</v>
      </c>
      <c r="J108" s="105">
        <v>0.3527777777777778</v>
      </c>
      <c r="K108" s="105">
        <v>0.9868055555555556</v>
      </c>
      <c r="L108" s="105">
        <v>0.35347222222222219</v>
      </c>
      <c r="M108" s="105">
        <v>2.0833333333333332E-2</v>
      </c>
      <c r="N108" s="122" t="s">
        <v>15</v>
      </c>
      <c r="O108" s="122" t="s">
        <v>15</v>
      </c>
      <c r="P108" s="105">
        <v>0.35347222222222219</v>
      </c>
      <c r="Q108" s="105">
        <v>2.4999999999999998E-2</v>
      </c>
      <c r="R108" s="105">
        <v>0.35000000000000003</v>
      </c>
      <c r="S108" s="105">
        <v>0.96875</v>
      </c>
      <c r="T108" s="105">
        <v>0.35000000000000003</v>
      </c>
      <c r="U108" s="105">
        <v>0.93194444444444446</v>
      </c>
      <c r="V108" s="105">
        <v>0.35138888888888892</v>
      </c>
      <c r="W108" s="105">
        <v>0.9590277777777777</v>
      </c>
      <c r="X108" s="105">
        <v>0.33819444444444446</v>
      </c>
      <c r="Y108" s="105">
        <v>0.99930555555555556</v>
      </c>
      <c r="Z108" s="105">
        <v>0.3430555555555555</v>
      </c>
      <c r="AA108" s="105">
        <v>6.9444444444444447E-4</v>
      </c>
      <c r="AB108" s="107">
        <v>0.57916666666666672</v>
      </c>
      <c r="AC108" s="107">
        <v>5.5555555555555552E-2</v>
      </c>
      <c r="AD108" s="105">
        <v>0.35625000000000001</v>
      </c>
      <c r="AE108" s="105">
        <v>2.0833333333333332E-2</v>
      </c>
      <c r="AF108" s="105">
        <v>0.35555555555555557</v>
      </c>
      <c r="AG108" s="105">
        <v>0.99930555555555556</v>
      </c>
      <c r="AI108" s="18">
        <v>89</v>
      </c>
      <c r="AJ108" s="105">
        <v>0.35069444444444442</v>
      </c>
      <c r="AK108" s="105">
        <v>3.5416666666666666E-2</v>
      </c>
      <c r="AL108" s="105">
        <v>0.35138888888888892</v>
      </c>
      <c r="AM108" s="105">
        <v>6.458333333333334E-2</v>
      </c>
      <c r="AN108" s="105">
        <v>0.375</v>
      </c>
      <c r="AO108" s="105">
        <v>4.8611111111111112E-2</v>
      </c>
      <c r="AP108" s="105">
        <v>0.37291666666666662</v>
      </c>
      <c r="AQ108" s="105">
        <v>4.8611111111111112E-2</v>
      </c>
      <c r="AR108" s="107">
        <v>0.58194444444444449</v>
      </c>
      <c r="AS108" s="107">
        <v>5.5555555555555558E-3</v>
      </c>
      <c r="AT108" s="105">
        <v>0.3743055555555555</v>
      </c>
      <c r="AU108" s="105">
        <v>4.0972222222222222E-2</v>
      </c>
      <c r="AV108" s="105">
        <v>0.37291666666666662</v>
      </c>
      <c r="AW108" s="105">
        <v>0.85277777777777775</v>
      </c>
      <c r="AX108" s="105">
        <v>0.375</v>
      </c>
      <c r="AY108" s="105">
        <v>8.6805555555555566E-2</v>
      </c>
      <c r="AZ108" s="105">
        <v>0.3743055555555555</v>
      </c>
      <c r="BA108" s="105">
        <v>9.1666666666666674E-2</v>
      </c>
      <c r="BB108" s="105">
        <v>0.37847222222222227</v>
      </c>
      <c r="BC108" s="105">
        <v>4.8611111111111112E-2</v>
      </c>
      <c r="BD108" s="105">
        <v>0.3743055555555555</v>
      </c>
      <c r="BE108" s="105">
        <v>4.3055555555555562E-2</v>
      </c>
      <c r="BF108" s="107">
        <v>0.5805555555555556</v>
      </c>
      <c r="BG108" s="107">
        <v>4.9999999999999996E-2</v>
      </c>
      <c r="BH108" s="105">
        <v>0.38055555555555554</v>
      </c>
      <c r="BI108" s="105">
        <v>6.8749999999999992E-2</v>
      </c>
      <c r="BJ108" s="12">
        <f t="shared" si="40"/>
        <v>28</v>
      </c>
      <c r="BK108" s="112">
        <v>3</v>
      </c>
      <c r="BL108" s="2">
        <f t="shared" si="41"/>
        <v>27</v>
      </c>
      <c r="BM108" s="3">
        <f t="shared" si="42"/>
        <v>1</v>
      </c>
      <c r="BN108" s="3">
        <f t="shared" si="43"/>
        <v>0</v>
      </c>
      <c r="BO108" s="3">
        <f t="shared" si="44"/>
        <v>0</v>
      </c>
      <c r="BP108" s="3">
        <f t="shared" si="45"/>
        <v>0</v>
      </c>
      <c r="BQ108" s="3">
        <f t="shared" si="46"/>
        <v>0</v>
      </c>
      <c r="BR108" s="3">
        <f t="shared" si="47"/>
        <v>0</v>
      </c>
      <c r="BS108" s="3">
        <f t="shared" si="48"/>
        <v>0</v>
      </c>
      <c r="BT108" s="3">
        <f t="shared" si="49"/>
        <v>0</v>
      </c>
      <c r="BU108" s="3">
        <f t="shared" si="50"/>
        <v>0</v>
      </c>
      <c r="BV108" s="3">
        <f t="shared" si="51"/>
        <v>0</v>
      </c>
      <c r="BW108" s="3">
        <f t="shared" si="52"/>
        <v>0</v>
      </c>
      <c r="BX108" s="4"/>
      <c r="CB108" s="87">
        <v>0</v>
      </c>
      <c r="CC108" s="87">
        <v>0</v>
      </c>
      <c r="CD108" s="87">
        <v>0</v>
      </c>
      <c r="CE108" s="87">
        <v>0</v>
      </c>
      <c r="CF108" s="87">
        <v>0</v>
      </c>
      <c r="CG108" s="87">
        <v>0</v>
      </c>
      <c r="CH108" s="87">
        <v>0</v>
      </c>
      <c r="CI108" s="87">
        <v>0</v>
      </c>
      <c r="CJ108" s="87">
        <v>0</v>
      </c>
      <c r="CK108" s="87">
        <v>0</v>
      </c>
      <c r="CL108" s="89">
        <f t="shared" si="54"/>
        <v>0</v>
      </c>
    </row>
    <row r="109" spans="1:90" ht="19.5" customHeight="1" x14ac:dyDescent="0.25">
      <c r="A109" s="54">
        <v>90</v>
      </c>
      <c r="B109" s="54" t="s">
        <v>221</v>
      </c>
      <c r="C109" s="124" t="s">
        <v>222</v>
      </c>
      <c r="D109" s="105">
        <v>0.3527777777777778</v>
      </c>
      <c r="E109" s="105">
        <v>0.95694444444444438</v>
      </c>
      <c r="F109" s="105">
        <v>0.3520833333333333</v>
      </c>
      <c r="G109" s="105">
        <v>0.9555555555555556</v>
      </c>
      <c r="H109" s="105">
        <v>0.3527777777777778</v>
      </c>
      <c r="I109" s="105">
        <v>0.96736111111111101</v>
      </c>
      <c r="J109" s="105">
        <v>0.35902777777777778</v>
      </c>
      <c r="K109" s="105">
        <v>0.95763888888888893</v>
      </c>
      <c r="L109" s="105">
        <v>0.35069444444444442</v>
      </c>
      <c r="M109" s="105">
        <v>0.98611111111111116</v>
      </c>
      <c r="N109" s="107">
        <v>0.57847222222222217</v>
      </c>
      <c r="O109" s="107">
        <v>0.96180555555555547</v>
      </c>
      <c r="P109" s="105">
        <v>0.3527777777777778</v>
      </c>
      <c r="Q109" s="105">
        <v>0.97499999999999998</v>
      </c>
      <c r="R109" s="105">
        <v>0.35069444444444442</v>
      </c>
      <c r="S109" s="105">
        <v>0.9555555555555556</v>
      </c>
      <c r="T109" s="105">
        <v>0.3576388888888889</v>
      </c>
      <c r="U109" s="113">
        <v>1</v>
      </c>
      <c r="V109" s="105">
        <v>0.35069444444444442</v>
      </c>
      <c r="W109" s="105">
        <v>0.95277777777777783</v>
      </c>
      <c r="X109" s="105">
        <v>0.35138888888888892</v>
      </c>
      <c r="Y109" s="105">
        <v>0.97638888888888886</v>
      </c>
      <c r="Z109" s="105">
        <v>0.35069444444444442</v>
      </c>
      <c r="AA109" s="105">
        <v>0.97638888888888886</v>
      </c>
      <c r="AB109" s="107">
        <v>0.58333333333333337</v>
      </c>
      <c r="AC109" s="107">
        <v>0.95624999999999993</v>
      </c>
      <c r="AD109" s="105">
        <v>0.36041666666666666</v>
      </c>
      <c r="AE109" s="105">
        <v>0.97499999999999998</v>
      </c>
      <c r="AF109" s="105">
        <v>0.36388888888888887</v>
      </c>
      <c r="AG109" s="105">
        <v>0.97638888888888886</v>
      </c>
      <c r="AI109" s="18">
        <v>90</v>
      </c>
      <c r="AJ109" s="105">
        <v>0.35555555555555557</v>
      </c>
      <c r="AK109" s="105">
        <v>0.9784722222222223</v>
      </c>
      <c r="AL109" s="105">
        <v>0.36041666666666666</v>
      </c>
      <c r="AM109" s="105">
        <v>1.3888888888888888E-2</v>
      </c>
      <c r="AN109" s="105">
        <v>0.37708333333333338</v>
      </c>
      <c r="AO109" s="105">
        <v>2.7777777777777779E-3</v>
      </c>
      <c r="AP109" s="105">
        <v>0.375</v>
      </c>
      <c r="AQ109" s="105">
        <v>6.9444444444444447E-4</v>
      </c>
      <c r="AR109" s="107">
        <v>0.58333333333333337</v>
      </c>
      <c r="AS109" s="107">
        <v>8.3333333333333332E-3</v>
      </c>
      <c r="AT109" s="105">
        <v>0.37916666666666665</v>
      </c>
      <c r="AU109" s="105">
        <v>6.2499999999999995E-3</v>
      </c>
      <c r="AV109" s="105">
        <v>0.37847222222222227</v>
      </c>
      <c r="AW109" s="105">
        <v>1.3888888888888888E-2</v>
      </c>
      <c r="AX109" s="105">
        <v>0.375</v>
      </c>
      <c r="AY109" s="105">
        <v>2.7777777777777776E-2</v>
      </c>
      <c r="AZ109" s="105">
        <v>0.3756944444444445</v>
      </c>
      <c r="BA109" s="105">
        <v>0.85416666666666663</v>
      </c>
      <c r="BB109" s="105">
        <v>0.37708333333333338</v>
      </c>
      <c r="BC109" s="105">
        <v>2.0833333333333332E-2</v>
      </c>
      <c r="BD109" s="105">
        <v>0.37638888888888888</v>
      </c>
      <c r="BE109" s="105">
        <v>4.027777777777778E-2</v>
      </c>
      <c r="BF109" s="107">
        <v>0.58402777777777781</v>
      </c>
      <c r="BG109" s="107">
        <v>4.8611111111111112E-2</v>
      </c>
      <c r="BH109" s="105">
        <v>0.37986111111111115</v>
      </c>
      <c r="BI109" s="105">
        <v>7.9166666666666663E-2</v>
      </c>
      <c r="BJ109" s="12">
        <f t="shared" si="40"/>
        <v>28</v>
      </c>
      <c r="BK109" s="112">
        <v>4</v>
      </c>
      <c r="BL109" s="2">
        <f t="shared" si="41"/>
        <v>28</v>
      </c>
      <c r="BM109" s="3">
        <f t="shared" si="42"/>
        <v>0</v>
      </c>
      <c r="BN109" s="3">
        <f t="shared" si="43"/>
        <v>0</v>
      </c>
      <c r="BO109" s="3">
        <f t="shared" si="44"/>
        <v>0</v>
      </c>
      <c r="BP109" s="3">
        <f t="shared" si="45"/>
        <v>0</v>
      </c>
      <c r="BQ109" s="3">
        <f t="shared" si="46"/>
        <v>0</v>
      </c>
      <c r="BR109" s="3">
        <f t="shared" si="47"/>
        <v>0</v>
      </c>
      <c r="BS109" s="3">
        <f t="shared" si="48"/>
        <v>0</v>
      </c>
      <c r="BT109" s="3">
        <f t="shared" si="49"/>
        <v>0</v>
      </c>
      <c r="BU109" s="3">
        <f t="shared" si="50"/>
        <v>0</v>
      </c>
      <c r="BV109" s="3">
        <f t="shared" si="51"/>
        <v>0</v>
      </c>
      <c r="BW109" s="3">
        <f t="shared" si="52"/>
        <v>0</v>
      </c>
      <c r="BX109" s="4"/>
      <c r="CB109" s="87">
        <v>0</v>
      </c>
      <c r="CC109" s="88">
        <v>0</v>
      </c>
      <c r="CD109" s="88">
        <v>0</v>
      </c>
      <c r="CE109" s="88">
        <v>0</v>
      </c>
      <c r="CF109" s="88">
        <v>0</v>
      </c>
      <c r="CG109" s="88">
        <v>0</v>
      </c>
      <c r="CH109" s="88">
        <v>0</v>
      </c>
      <c r="CI109" s="88">
        <v>0</v>
      </c>
      <c r="CJ109" s="88">
        <v>0</v>
      </c>
      <c r="CK109" s="88">
        <v>0</v>
      </c>
      <c r="CL109" s="89">
        <f t="shared" si="54"/>
        <v>0</v>
      </c>
    </row>
    <row r="110" spans="1:90" ht="21.75" customHeight="1" x14ac:dyDescent="0.25">
      <c r="A110" s="54">
        <v>91</v>
      </c>
      <c r="B110" s="54" t="s">
        <v>223</v>
      </c>
      <c r="C110" s="124" t="s">
        <v>224</v>
      </c>
      <c r="D110" s="105">
        <v>0.34861111111111115</v>
      </c>
      <c r="E110" s="105">
        <v>0.9555555555555556</v>
      </c>
      <c r="F110" s="105">
        <v>0.37291666666666662</v>
      </c>
      <c r="G110" s="113">
        <v>1</v>
      </c>
      <c r="H110" s="105">
        <v>0.58194444444444449</v>
      </c>
      <c r="I110" s="113">
        <v>1</v>
      </c>
      <c r="J110" s="113">
        <v>1</v>
      </c>
      <c r="K110" s="113">
        <v>1</v>
      </c>
      <c r="L110" s="105">
        <v>0.4826388888888889</v>
      </c>
      <c r="M110" s="113">
        <v>1</v>
      </c>
      <c r="N110" s="122" t="s">
        <v>15</v>
      </c>
      <c r="O110" s="122" t="s">
        <v>15</v>
      </c>
      <c r="P110" s="105">
        <v>0.37152777777777773</v>
      </c>
      <c r="Q110" s="113">
        <v>1</v>
      </c>
      <c r="R110" s="105">
        <v>0.34583333333333338</v>
      </c>
      <c r="S110" s="105">
        <v>0.95486111111111116</v>
      </c>
      <c r="T110" s="105">
        <v>0.34652777777777777</v>
      </c>
      <c r="U110" s="105">
        <v>0.95416666666666661</v>
      </c>
      <c r="V110" s="105">
        <v>0.34513888888888888</v>
      </c>
      <c r="W110" s="105">
        <v>0.94930555555555562</v>
      </c>
      <c r="X110" s="105">
        <v>0.34097222222222223</v>
      </c>
      <c r="Y110" s="105">
        <v>0.97222222222222221</v>
      </c>
      <c r="Z110" s="105">
        <v>0.3430555555555555</v>
      </c>
      <c r="AA110" s="105">
        <v>0.97638888888888886</v>
      </c>
      <c r="AB110" s="107">
        <v>0.58333333333333337</v>
      </c>
      <c r="AC110" s="107">
        <v>0.95277777777777783</v>
      </c>
      <c r="AD110" s="105">
        <v>0.3611111111111111</v>
      </c>
      <c r="AE110" s="113">
        <v>1</v>
      </c>
      <c r="AF110" s="105">
        <v>0.35902777777777778</v>
      </c>
      <c r="AG110" s="105">
        <v>0.97222222222222221</v>
      </c>
      <c r="AI110" s="18">
        <v>91</v>
      </c>
      <c r="AJ110" s="105">
        <v>0.3527777777777778</v>
      </c>
      <c r="AK110" s="105">
        <v>1.0416666666666666E-2</v>
      </c>
      <c r="AL110" s="105">
        <v>0.3520833333333333</v>
      </c>
      <c r="AM110" s="105">
        <v>9.0277777777777787E-3</v>
      </c>
      <c r="AN110" s="105">
        <v>0.37777777777777777</v>
      </c>
      <c r="AO110" s="105">
        <v>1.0416666666666666E-2</v>
      </c>
      <c r="AP110" s="105">
        <v>0.37777777777777777</v>
      </c>
      <c r="AQ110" s="105">
        <v>0.99305555555555547</v>
      </c>
      <c r="AR110" s="107">
        <v>0.5854166666666667</v>
      </c>
      <c r="AS110" s="107">
        <v>1.0416666666666666E-2</v>
      </c>
      <c r="AT110" s="105">
        <v>0.38125000000000003</v>
      </c>
      <c r="AU110" s="105">
        <v>3.472222222222222E-3</v>
      </c>
      <c r="AV110" s="105">
        <v>0.37847222222222227</v>
      </c>
      <c r="AW110" s="105">
        <v>4.5138888888888888E-2</v>
      </c>
      <c r="AX110" s="105">
        <v>0.3743055555555555</v>
      </c>
      <c r="AY110" s="105">
        <v>2.6388888888888889E-2</v>
      </c>
      <c r="AZ110" s="105">
        <v>0.3756944444444445</v>
      </c>
      <c r="BA110" s="105">
        <v>8.3333333333333332E-3</v>
      </c>
      <c r="BB110" s="105">
        <v>0.3756944444444445</v>
      </c>
      <c r="BC110" s="105">
        <v>1.5972222222222224E-2</v>
      </c>
      <c r="BD110" s="105">
        <v>0.3756944444444445</v>
      </c>
      <c r="BE110" s="105">
        <v>4.027777777777778E-2</v>
      </c>
      <c r="BF110" s="107">
        <v>0.58124999999999993</v>
      </c>
      <c r="BG110" s="107">
        <v>4.7222222222222221E-2</v>
      </c>
      <c r="BH110" s="105">
        <v>0.36736111111111108</v>
      </c>
      <c r="BI110" s="105">
        <v>7.9166666666666663E-2</v>
      </c>
      <c r="BJ110" s="12">
        <f t="shared" ref="BJ110:BJ122" si="55">BL110+BM110+BO110+BP110+BT110+BR110+BS110+BW110</f>
        <v>28</v>
      </c>
      <c r="BK110" s="112">
        <v>3</v>
      </c>
      <c r="BL110" s="2">
        <f t="shared" ref="BL110:BL122" si="56">COUNT(D110:AG110)/2+COUNT(AJ110:BI110)/2</f>
        <v>27</v>
      </c>
      <c r="BM110" s="3">
        <f t="shared" ref="BM110:BM122" si="57">COUNTIF(D110:BI110,"OFF")/2</f>
        <v>1</v>
      </c>
      <c r="BN110" s="3">
        <f t="shared" ref="BN110:BN122" si="58">COUNTIF(D110:BI110,"MC")/2</f>
        <v>0</v>
      </c>
      <c r="BO110" s="3">
        <f t="shared" ref="BO110:BO122" si="59">COUNTIF(D110:BI110,"EL")/2</f>
        <v>0</v>
      </c>
      <c r="BP110" s="3">
        <f t="shared" ref="BP110:BP122" si="60">COUNTIF(D110:BI110,"AL")/2</f>
        <v>0</v>
      </c>
      <c r="BQ110" s="3">
        <f t="shared" ref="BQ110:BQ122" si="61">COUNTIF(D110:BI110,"SUS")/2</f>
        <v>0</v>
      </c>
      <c r="BR110" s="3">
        <f t="shared" ref="BR110:BR122" si="62">COUNTIF(D110:BI110,"FL")/2</f>
        <v>0</v>
      </c>
      <c r="BS110" s="3">
        <f t="shared" ref="BS110:BS122" si="63">COUNTIF(D110:BI110,"SICK")/2</f>
        <v>0</v>
      </c>
      <c r="BT110" s="3">
        <f t="shared" ref="BT110:BT122" si="64">COUNTIF(D110:BI110,"HD")/2</f>
        <v>0</v>
      </c>
      <c r="BU110" s="3">
        <f t="shared" ref="BU110:BU122" si="65">COUNTIF(D110:BI110,"AB")/2</f>
        <v>0</v>
      </c>
      <c r="BV110" s="3">
        <f t="shared" ref="BV110:BV122" si="66">COUNTIF(D110:BI110,"NL")/2</f>
        <v>0</v>
      </c>
      <c r="BW110" s="3">
        <f t="shared" ref="BW110:BW122" si="67">COUNTIF(D110:BI110,"SP")/2</f>
        <v>0</v>
      </c>
      <c r="BX110" s="4"/>
      <c r="CB110" s="110">
        <v>0</v>
      </c>
      <c r="CC110" s="117">
        <v>0</v>
      </c>
      <c r="CD110" s="117">
        <v>0</v>
      </c>
      <c r="CE110" s="117">
        <v>0</v>
      </c>
      <c r="CF110" s="117">
        <v>0</v>
      </c>
      <c r="CG110" s="117">
        <v>3</v>
      </c>
      <c r="CH110" s="117">
        <v>0</v>
      </c>
      <c r="CI110" s="117">
        <v>0</v>
      </c>
      <c r="CJ110" s="117">
        <v>0</v>
      </c>
      <c r="CK110" s="117">
        <v>0</v>
      </c>
      <c r="CL110" s="111">
        <f t="shared" ref="CL110:CL115" si="68">SUM(CB110:CK110)</f>
        <v>3</v>
      </c>
    </row>
    <row r="111" spans="1:90" ht="21.75" customHeight="1" x14ac:dyDescent="0.25">
      <c r="A111" s="54">
        <v>92</v>
      </c>
      <c r="B111" s="54" t="s">
        <v>227</v>
      </c>
      <c r="C111" s="124" t="s">
        <v>229</v>
      </c>
      <c r="D111" s="105">
        <v>0.34513888888888888</v>
      </c>
      <c r="E111" s="105">
        <v>0.9784722222222223</v>
      </c>
      <c r="F111" s="105">
        <v>0.34583333333333338</v>
      </c>
      <c r="G111" s="105">
        <v>0.95694444444444438</v>
      </c>
      <c r="H111" s="105">
        <v>0.34513888888888888</v>
      </c>
      <c r="I111" s="105">
        <v>0.99861111111111101</v>
      </c>
      <c r="J111" s="105">
        <v>0.35000000000000003</v>
      </c>
      <c r="K111" s="105">
        <v>0.98611111111111116</v>
      </c>
      <c r="L111" s="105">
        <v>0.35416666666666669</v>
      </c>
      <c r="M111" s="105">
        <v>2.0833333333333332E-2</v>
      </c>
      <c r="N111" s="107">
        <v>0.5805555555555556</v>
      </c>
      <c r="O111" s="107">
        <v>0.9555555555555556</v>
      </c>
      <c r="P111" s="105">
        <v>0.34930555555555554</v>
      </c>
      <c r="Q111" s="105">
        <v>2.4999999999999998E-2</v>
      </c>
      <c r="R111" s="105">
        <v>0.35069444444444442</v>
      </c>
      <c r="S111" s="105">
        <v>0.96875</v>
      </c>
      <c r="T111" s="105">
        <v>0.34375</v>
      </c>
      <c r="U111" s="105">
        <v>0.93263888888888891</v>
      </c>
      <c r="V111" s="105">
        <v>0.34861111111111115</v>
      </c>
      <c r="W111" s="105">
        <v>0.9590277777777777</v>
      </c>
      <c r="X111" s="105">
        <v>0.33749999999999997</v>
      </c>
      <c r="Y111" s="105">
        <v>0</v>
      </c>
      <c r="Z111" s="105">
        <v>0.34236111111111112</v>
      </c>
      <c r="AA111" s="105">
        <v>3.472222222222222E-3</v>
      </c>
      <c r="AB111" s="107">
        <v>0.57916666666666672</v>
      </c>
      <c r="AC111" s="107">
        <v>5.5555555555555552E-2</v>
      </c>
      <c r="AD111" s="105">
        <v>0.34861111111111115</v>
      </c>
      <c r="AE111" s="105">
        <v>2.2916666666666669E-2</v>
      </c>
      <c r="AF111" s="105">
        <v>0.34722222222222227</v>
      </c>
      <c r="AG111" s="105">
        <v>0</v>
      </c>
      <c r="AI111" s="18">
        <v>92</v>
      </c>
      <c r="AJ111" s="105">
        <v>0.34791666666666665</v>
      </c>
      <c r="AK111" s="105">
        <v>4.027777777777778E-2</v>
      </c>
      <c r="AL111" s="105">
        <v>0.35069444444444442</v>
      </c>
      <c r="AM111" s="105">
        <v>6.458333333333334E-2</v>
      </c>
      <c r="AN111" s="105">
        <v>0.37361111111111112</v>
      </c>
      <c r="AO111" s="105">
        <v>4.7222222222222221E-2</v>
      </c>
      <c r="AP111" s="105">
        <v>0.37291666666666662</v>
      </c>
      <c r="AQ111" s="105">
        <v>4.9305555555555554E-2</v>
      </c>
      <c r="AR111" s="107">
        <v>0.57777777777777783</v>
      </c>
      <c r="AS111" s="107">
        <v>0.10486111111111111</v>
      </c>
      <c r="AT111" s="105">
        <v>0.375</v>
      </c>
      <c r="AU111" s="105">
        <v>4.2361111111111106E-2</v>
      </c>
      <c r="AV111" s="105">
        <v>0.37361111111111112</v>
      </c>
      <c r="AW111" s="105">
        <v>0.85416666666666663</v>
      </c>
      <c r="AX111" s="105">
        <v>0.375</v>
      </c>
      <c r="AY111" s="105">
        <v>8.7500000000000008E-2</v>
      </c>
      <c r="AZ111" s="105">
        <v>0.375</v>
      </c>
      <c r="BA111" s="105">
        <v>9.3055555555555558E-2</v>
      </c>
      <c r="BB111" s="105">
        <v>0.3743055555555555</v>
      </c>
      <c r="BC111" s="105">
        <v>4.8611111111111112E-2</v>
      </c>
      <c r="BD111" s="105">
        <v>0.37361111111111112</v>
      </c>
      <c r="BE111" s="105">
        <v>4.3055555555555562E-2</v>
      </c>
      <c r="BF111" s="107">
        <v>0.57986111111111105</v>
      </c>
      <c r="BG111" s="107">
        <v>4.9999999999999996E-2</v>
      </c>
      <c r="BH111" s="105">
        <v>0.3743055555555555</v>
      </c>
      <c r="BI111" s="105">
        <v>7.9166666666666663E-2</v>
      </c>
      <c r="BJ111" s="12">
        <f t="shared" si="55"/>
        <v>28</v>
      </c>
      <c r="BK111" s="112">
        <v>4</v>
      </c>
      <c r="BL111" s="2">
        <f t="shared" si="56"/>
        <v>28</v>
      </c>
      <c r="BM111" s="3">
        <f t="shared" si="57"/>
        <v>0</v>
      </c>
      <c r="BN111" s="3">
        <f t="shared" si="58"/>
        <v>0</v>
      </c>
      <c r="BO111" s="3">
        <f t="shared" si="59"/>
        <v>0</v>
      </c>
      <c r="BP111" s="3">
        <f t="shared" si="60"/>
        <v>0</v>
      </c>
      <c r="BQ111" s="3">
        <f t="shared" si="61"/>
        <v>0</v>
      </c>
      <c r="BR111" s="3">
        <f t="shared" si="62"/>
        <v>0</v>
      </c>
      <c r="BS111" s="3">
        <f t="shared" si="63"/>
        <v>0</v>
      </c>
      <c r="BT111" s="3">
        <f t="shared" si="64"/>
        <v>0</v>
      </c>
      <c r="BU111" s="3">
        <f t="shared" si="65"/>
        <v>0</v>
      </c>
      <c r="BV111" s="3">
        <f t="shared" si="66"/>
        <v>0</v>
      </c>
      <c r="BW111" s="3">
        <f t="shared" si="67"/>
        <v>0</v>
      </c>
      <c r="BX111" s="4"/>
      <c r="CB111" s="87">
        <v>0</v>
      </c>
      <c r="CC111" s="88">
        <v>0</v>
      </c>
      <c r="CD111" s="88">
        <v>0</v>
      </c>
      <c r="CE111" s="88">
        <v>0</v>
      </c>
      <c r="CF111" s="88">
        <v>0</v>
      </c>
      <c r="CG111" s="88">
        <v>1</v>
      </c>
      <c r="CH111" s="88">
        <v>0</v>
      </c>
      <c r="CI111" s="88">
        <v>0</v>
      </c>
      <c r="CJ111" s="88">
        <v>0</v>
      </c>
      <c r="CK111" s="88">
        <v>0</v>
      </c>
      <c r="CL111" s="89">
        <f t="shared" si="68"/>
        <v>1</v>
      </c>
    </row>
    <row r="112" spans="1:90" ht="22.5" customHeight="1" x14ac:dyDescent="0.25">
      <c r="A112" s="54">
        <v>93</v>
      </c>
      <c r="B112" s="54" t="s">
        <v>228</v>
      </c>
      <c r="C112" s="124" t="s">
        <v>230</v>
      </c>
      <c r="D112" s="105">
        <v>0.35555555555555557</v>
      </c>
      <c r="E112" s="105">
        <v>0.95486111111111116</v>
      </c>
      <c r="F112" s="105">
        <v>0.35694444444444445</v>
      </c>
      <c r="G112" s="105">
        <v>0.95208333333333339</v>
      </c>
      <c r="H112" s="105">
        <v>0.35416666666666669</v>
      </c>
      <c r="I112" s="105">
        <v>0.95347222222222217</v>
      </c>
      <c r="J112" s="105">
        <v>0.35416666666666669</v>
      </c>
      <c r="K112" s="105">
        <v>0.95138888888888884</v>
      </c>
      <c r="L112" s="105">
        <v>0.3527777777777778</v>
      </c>
      <c r="M112" s="105">
        <v>0.9819444444444444</v>
      </c>
      <c r="N112" s="122" t="s">
        <v>15</v>
      </c>
      <c r="O112" s="122" t="s">
        <v>15</v>
      </c>
      <c r="P112" s="105">
        <v>0.35416666666666669</v>
      </c>
      <c r="Q112" s="105">
        <v>0.97361111111111109</v>
      </c>
      <c r="R112" s="105">
        <v>0.35486111111111113</v>
      </c>
      <c r="S112" s="105">
        <v>0.95347222222222217</v>
      </c>
      <c r="T112" s="105">
        <v>0.35347222222222219</v>
      </c>
      <c r="U112" s="105">
        <v>0.95347222222222217</v>
      </c>
      <c r="V112" s="105">
        <v>0.34027777777777773</v>
      </c>
      <c r="W112" s="105">
        <v>0.94861111111111107</v>
      </c>
      <c r="X112" s="105">
        <v>0.33888888888888885</v>
      </c>
      <c r="Y112" s="105">
        <v>0.97569444444444453</v>
      </c>
      <c r="Z112" s="105">
        <v>0.3430555555555555</v>
      </c>
      <c r="AA112" s="105">
        <v>0.97569444444444453</v>
      </c>
      <c r="AB112" s="107">
        <v>0.58333333333333337</v>
      </c>
      <c r="AC112" s="107">
        <v>0.95486111111111116</v>
      </c>
      <c r="AD112" s="105">
        <v>0.36041666666666666</v>
      </c>
      <c r="AE112" s="105">
        <v>0.97499999999999998</v>
      </c>
      <c r="AF112" s="105">
        <v>0.35694444444444445</v>
      </c>
      <c r="AG112" s="105">
        <v>0.97569444444444453</v>
      </c>
      <c r="AI112" s="18">
        <v>93</v>
      </c>
      <c r="AJ112" s="105">
        <v>0.35347222222222219</v>
      </c>
      <c r="AK112" s="105">
        <v>0.97013888888888899</v>
      </c>
      <c r="AL112" s="105">
        <v>0.35347222222222219</v>
      </c>
      <c r="AM112" s="105">
        <v>1.3888888888888888E-2</v>
      </c>
      <c r="AN112" s="105">
        <v>0.3756944444444445</v>
      </c>
      <c r="AO112" s="105">
        <v>6.9444444444444447E-4</v>
      </c>
      <c r="AP112" s="105">
        <v>0.3743055555555555</v>
      </c>
      <c r="AQ112" s="105">
        <v>0</v>
      </c>
      <c r="AR112" s="107">
        <v>0.58333333333333337</v>
      </c>
      <c r="AS112" s="107">
        <v>5.5555555555555558E-3</v>
      </c>
      <c r="AT112" s="105">
        <v>0.37916666666666665</v>
      </c>
      <c r="AU112" s="105">
        <v>4.1666666666666666E-3</v>
      </c>
      <c r="AV112" s="105">
        <v>0.37847222222222227</v>
      </c>
      <c r="AW112" s="105">
        <v>6.9444444444444447E-4</v>
      </c>
      <c r="AX112" s="105">
        <v>0.375</v>
      </c>
      <c r="AY112" s="105">
        <v>2.7083333333333334E-2</v>
      </c>
      <c r="AZ112" s="105">
        <v>0.3756944444444445</v>
      </c>
      <c r="BA112" s="105">
        <v>0.85555555555555562</v>
      </c>
      <c r="BB112" s="105">
        <v>0.375</v>
      </c>
      <c r="BC112" s="105">
        <v>2.0833333333333332E-2</v>
      </c>
      <c r="BD112" s="105">
        <v>0.3756944444444445</v>
      </c>
      <c r="BE112" s="105">
        <v>3.9583333333333331E-2</v>
      </c>
      <c r="BF112" s="107">
        <v>0.58472222222222225</v>
      </c>
      <c r="BG112" s="107">
        <v>4.8611111111111112E-2</v>
      </c>
      <c r="BH112" s="105">
        <v>0.37361111111111112</v>
      </c>
      <c r="BI112" s="105">
        <v>8.0555555555555561E-2</v>
      </c>
      <c r="BJ112" s="12">
        <f t="shared" si="55"/>
        <v>28</v>
      </c>
      <c r="BK112" s="112">
        <v>3</v>
      </c>
      <c r="BL112" s="2">
        <f t="shared" si="56"/>
        <v>27</v>
      </c>
      <c r="BM112" s="3">
        <f t="shared" si="57"/>
        <v>1</v>
      </c>
      <c r="BN112" s="3">
        <f t="shared" si="58"/>
        <v>0</v>
      </c>
      <c r="BO112" s="3">
        <f t="shared" si="59"/>
        <v>0</v>
      </c>
      <c r="BP112" s="3">
        <f t="shared" si="60"/>
        <v>0</v>
      </c>
      <c r="BQ112" s="3">
        <f t="shared" si="61"/>
        <v>0</v>
      </c>
      <c r="BR112" s="3">
        <f t="shared" si="62"/>
        <v>0</v>
      </c>
      <c r="BS112" s="3">
        <f t="shared" si="63"/>
        <v>0</v>
      </c>
      <c r="BT112" s="3">
        <f t="shared" si="64"/>
        <v>0</v>
      </c>
      <c r="BU112" s="3">
        <f t="shared" si="65"/>
        <v>0</v>
      </c>
      <c r="BV112" s="3">
        <f t="shared" si="66"/>
        <v>0</v>
      </c>
      <c r="BW112" s="3">
        <f t="shared" si="67"/>
        <v>0</v>
      </c>
      <c r="BX112" s="4"/>
      <c r="CB112" s="110">
        <v>0</v>
      </c>
      <c r="CC112" s="117">
        <v>0</v>
      </c>
      <c r="CD112" s="117">
        <v>0</v>
      </c>
      <c r="CE112" s="117">
        <v>0</v>
      </c>
      <c r="CF112" s="117">
        <v>0</v>
      </c>
      <c r="CG112" s="117">
        <v>0</v>
      </c>
      <c r="CH112" s="117">
        <v>0</v>
      </c>
      <c r="CI112" s="117">
        <v>0</v>
      </c>
      <c r="CJ112" s="117">
        <v>0</v>
      </c>
      <c r="CK112" s="117">
        <v>0</v>
      </c>
      <c r="CL112" s="111">
        <f t="shared" si="68"/>
        <v>0</v>
      </c>
    </row>
    <row r="113" spans="1:90" ht="22.5" customHeight="1" x14ac:dyDescent="0.25">
      <c r="A113" s="54">
        <v>94</v>
      </c>
      <c r="B113" s="54" t="s">
        <v>231</v>
      </c>
      <c r="C113" s="124" t="s">
        <v>232</v>
      </c>
      <c r="D113" s="105">
        <v>0.34097222222222223</v>
      </c>
      <c r="E113" s="105">
        <v>0.94097222222222221</v>
      </c>
      <c r="F113" s="105">
        <v>0.34861111111111115</v>
      </c>
      <c r="G113" s="105">
        <v>0.93958333333333333</v>
      </c>
      <c r="H113" s="105">
        <v>0.34375</v>
      </c>
      <c r="I113" s="105">
        <v>0.92361111111111116</v>
      </c>
      <c r="J113" s="105">
        <v>0.3444444444444445</v>
      </c>
      <c r="K113" s="105">
        <v>0.95138888888888884</v>
      </c>
      <c r="L113" s="105">
        <v>0.34583333333333338</v>
      </c>
      <c r="M113" s="105">
        <v>0.91736111111111107</v>
      </c>
      <c r="N113" s="107">
        <v>0.58124999999999993</v>
      </c>
      <c r="O113" s="107">
        <v>0.95486111111111116</v>
      </c>
      <c r="P113" s="105">
        <v>0.35347222222222219</v>
      </c>
      <c r="Q113" s="105">
        <v>0.9375</v>
      </c>
      <c r="R113" s="105">
        <v>0.34791666666666665</v>
      </c>
      <c r="S113" s="105">
        <v>0.9590277777777777</v>
      </c>
      <c r="T113" s="105">
        <v>0.3520833333333333</v>
      </c>
      <c r="U113" s="105">
        <v>0.93958333333333333</v>
      </c>
      <c r="V113" s="105">
        <v>0.35347222222222219</v>
      </c>
      <c r="W113" s="105">
        <v>0.9604166666666667</v>
      </c>
      <c r="X113" s="105">
        <v>0.34652777777777777</v>
      </c>
      <c r="Y113" s="105">
        <v>0.97916666666666663</v>
      </c>
      <c r="Z113" s="105">
        <v>0.35069444444444442</v>
      </c>
      <c r="AA113" s="105">
        <v>0.94791666666666663</v>
      </c>
      <c r="AB113" s="107">
        <v>0.58194444444444449</v>
      </c>
      <c r="AC113" s="107">
        <v>0.94027777777777777</v>
      </c>
      <c r="AD113" s="105">
        <v>0.3520833333333333</v>
      </c>
      <c r="AE113" s="105">
        <v>0.96597222222222223</v>
      </c>
      <c r="AF113" s="105">
        <v>0.35347222222222219</v>
      </c>
      <c r="AG113" s="105">
        <v>0.95972222222222225</v>
      </c>
      <c r="AI113" s="18">
        <v>94</v>
      </c>
      <c r="AJ113" s="105">
        <v>0.35138888888888892</v>
      </c>
      <c r="AK113" s="105">
        <v>0.99444444444444446</v>
      </c>
      <c r="AL113" s="105">
        <v>0.3520833333333333</v>
      </c>
      <c r="AM113" s="105">
        <v>4.4444444444444446E-2</v>
      </c>
      <c r="AN113" s="105">
        <v>0.3756944444444445</v>
      </c>
      <c r="AO113" s="105">
        <v>2.7777777777777776E-2</v>
      </c>
      <c r="AP113" s="105">
        <v>0.375</v>
      </c>
      <c r="AQ113" s="105">
        <v>2.2916666666666669E-2</v>
      </c>
      <c r="AR113" s="107">
        <v>0.58124999999999993</v>
      </c>
      <c r="AS113" s="107">
        <v>2.9861111111111113E-2</v>
      </c>
      <c r="AT113" s="105">
        <v>0.37291666666666662</v>
      </c>
      <c r="AU113" s="105">
        <v>4.4444444444444446E-2</v>
      </c>
      <c r="AV113" s="105">
        <v>0.37291666666666662</v>
      </c>
      <c r="AW113" s="105">
        <v>0.8534722222222223</v>
      </c>
      <c r="AX113" s="105">
        <v>0.3743055555555555</v>
      </c>
      <c r="AY113" s="105">
        <v>5.8333333333333327E-2</v>
      </c>
      <c r="AZ113" s="105">
        <v>0.375</v>
      </c>
      <c r="BA113" s="105">
        <v>4.7222222222222221E-2</v>
      </c>
      <c r="BB113" s="105">
        <v>0.3743055555555555</v>
      </c>
      <c r="BC113" s="105">
        <v>7.0833333333333331E-2</v>
      </c>
      <c r="BD113" s="105">
        <v>0.3756944444444445</v>
      </c>
      <c r="BE113" s="105">
        <v>2.0833333333333332E-2</v>
      </c>
      <c r="BF113" s="107">
        <v>0.58263888888888882</v>
      </c>
      <c r="BG113" s="107">
        <v>0.85277777777777775</v>
      </c>
      <c r="BH113" s="105">
        <v>0.375</v>
      </c>
      <c r="BI113" s="105">
        <v>5.9722222222222225E-2</v>
      </c>
      <c r="BJ113" s="12">
        <f t="shared" si="55"/>
        <v>28</v>
      </c>
      <c r="BK113" s="112">
        <v>4</v>
      </c>
      <c r="BL113" s="2">
        <f t="shared" si="56"/>
        <v>28</v>
      </c>
      <c r="BM113" s="3">
        <f t="shared" si="57"/>
        <v>0</v>
      </c>
      <c r="BN113" s="3">
        <f t="shared" si="58"/>
        <v>0</v>
      </c>
      <c r="BO113" s="3">
        <f t="shared" si="59"/>
        <v>0</v>
      </c>
      <c r="BP113" s="3">
        <f t="shared" si="60"/>
        <v>0</v>
      </c>
      <c r="BQ113" s="3">
        <f t="shared" si="61"/>
        <v>0</v>
      </c>
      <c r="BR113" s="3">
        <f t="shared" si="62"/>
        <v>0</v>
      </c>
      <c r="BS113" s="3">
        <f t="shared" si="63"/>
        <v>0</v>
      </c>
      <c r="BT113" s="3">
        <f t="shared" si="64"/>
        <v>0</v>
      </c>
      <c r="BU113" s="3">
        <f t="shared" si="65"/>
        <v>0</v>
      </c>
      <c r="BV113" s="3">
        <f t="shared" si="66"/>
        <v>0</v>
      </c>
      <c r="BW113" s="3">
        <f t="shared" si="67"/>
        <v>0</v>
      </c>
      <c r="BX113" s="4"/>
      <c r="CB113" s="87">
        <v>0</v>
      </c>
      <c r="CC113" s="88">
        <v>0</v>
      </c>
      <c r="CD113" s="88">
        <v>0</v>
      </c>
      <c r="CE113" s="88">
        <v>0</v>
      </c>
      <c r="CF113" s="88">
        <v>0</v>
      </c>
      <c r="CG113" s="88">
        <v>11</v>
      </c>
      <c r="CH113" s="88">
        <v>0</v>
      </c>
      <c r="CI113" s="88">
        <v>0</v>
      </c>
      <c r="CJ113" s="88">
        <v>0</v>
      </c>
      <c r="CK113" s="88">
        <v>0</v>
      </c>
      <c r="CL113" s="89">
        <f t="shared" si="68"/>
        <v>11</v>
      </c>
    </row>
    <row r="114" spans="1:90" ht="22.5" customHeight="1" x14ac:dyDescent="0.25">
      <c r="A114" s="54">
        <v>95</v>
      </c>
      <c r="B114" s="54" t="s">
        <v>233</v>
      </c>
      <c r="C114" s="124" t="s">
        <v>234</v>
      </c>
      <c r="D114" s="105">
        <v>0.35069444444444442</v>
      </c>
      <c r="E114" s="105">
        <v>0.96666666666666667</v>
      </c>
      <c r="F114" s="105">
        <v>0.35138888888888892</v>
      </c>
      <c r="G114" s="105">
        <v>0.95416666666666661</v>
      </c>
      <c r="H114" s="105">
        <v>0.35000000000000003</v>
      </c>
      <c r="I114" s="105">
        <v>0.95277777777777783</v>
      </c>
      <c r="J114" s="105">
        <v>0.3527777777777778</v>
      </c>
      <c r="K114" s="105">
        <v>0.96319444444444446</v>
      </c>
      <c r="L114" s="105">
        <v>0.35138888888888892</v>
      </c>
      <c r="M114" s="105">
        <v>0.96736111111111101</v>
      </c>
      <c r="N114" s="107">
        <v>0.58124999999999993</v>
      </c>
      <c r="O114" s="107">
        <v>0.95347222222222217</v>
      </c>
      <c r="P114" s="105">
        <v>0.34930555555555554</v>
      </c>
      <c r="Q114" s="105">
        <v>0.96458333333333324</v>
      </c>
      <c r="R114" s="105">
        <v>0.35069444444444442</v>
      </c>
      <c r="S114" s="105">
        <v>0.94513888888888886</v>
      </c>
      <c r="T114" s="105">
        <v>0.35069444444444442</v>
      </c>
      <c r="U114" s="105">
        <v>0.9506944444444444</v>
      </c>
      <c r="V114" s="105">
        <v>0.35000000000000003</v>
      </c>
      <c r="W114" s="105">
        <v>0.95000000000000007</v>
      </c>
      <c r="X114" s="105">
        <v>0.35138888888888892</v>
      </c>
      <c r="Y114" s="105">
        <v>0.9506944444444444</v>
      </c>
      <c r="Z114" s="105">
        <v>0.35000000000000003</v>
      </c>
      <c r="AA114" s="105">
        <v>0.96527777777777779</v>
      </c>
      <c r="AB114" s="107">
        <v>0.57986111111111105</v>
      </c>
      <c r="AC114" s="107">
        <v>0.95833333333333337</v>
      </c>
      <c r="AD114" s="105">
        <v>0.35069444444444442</v>
      </c>
      <c r="AE114" s="105">
        <v>0.97986111111111107</v>
      </c>
      <c r="AF114" s="105">
        <v>0.35000000000000003</v>
      </c>
      <c r="AG114" s="105">
        <v>0.95277777777777783</v>
      </c>
      <c r="AI114" s="18">
        <v>95</v>
      </c>
      <c r="AJ114" s="105">
        <v>0.35138888888888892</v>
      </c>
      <c r="AK114" s="105">
        <v>0.96458333333333324</v>
      </c>
      <c r="AL114" s="105">
        <v>0.35000000000000003</v>
      </c>
      <c r="AM114" s="105">
        <v>0.82847222222222217</v>
      </c>
      <c r="AN114" s="105">
        <v>0.37291666666666662</v>
      </c>
      <c r="AO114" s="105">
        <v>0.99444444444444446</v>
      </c>
      <c r="AP114" s="105">
        <v>0.37291666666666662</v>
      </c>
      <c r="AQ114" s="105">
        <v>5.1388888888888894E-2</v>
      </c>
      <c r="AR114" s="107">
        <v>0.57777777777777783</v>
      </c>
      <c r="AS114" s="107">
        <v>2.9861111111111113E-2</v>
      </c>
      <c r="AT114" s="105">
        <v>0.37222222222222223</v>
      </c>
      <c r="AU114" s="105">
        <v>4.2361111111111106E-2</v>
      </c>
      <c r="AV114" s="105">
        <v>0.37013888888888885</v>
      </c>
      <c r="AW114" s="105">
        <v>0.85069444444444453</v>
      </c>
      <c r="AX114" s="105">
        <v>0.37083333333333335</v>
      </c>
      <c r="AY114" s="105">
        <v>4.5833333333333337E-2</v>
      </c>
      <c r="AZ114" s="105">
        <v>0.37222222222222223</v>
      </c>
      <c r="BA114" s="105">
        <v>4.4444444444444446E-2</v>
      </c>
      <c r="BB114" s="105">
        <v>0.37222222222222223</v>
      </c>
      <c r="BC114" s="105">
        <v>4.9305555555555554E-2</v>
      </c>
      <c r="BD114" s="105">
        <v>0.37083333333333335</v>
      </c>
      <c r="BE114" s="105">
        <v>4.3750000000000004E-2</v>
      </c>
      <c r="BF114" s="107">
        <v>0.57847222222222217</v>
      </c>
      <c r="BG114" s="107">
        <v>5.0694444444444452E-2</v>
      </c>
      <c r="BH114" s="105">
        <v>0.37152777777777773</v>
      </c>
      <c r="BI114" s="105">
        <v>4.5833333333333337E-2</v>
      </c>
      <c r="BJ114" s="12">
        <f t="shared" si="55"/>
        <v>28</v>
      </c>
      <c r="BK114" s="112">
        <v>4</v>
      </c>
      <c r="BL114" s="2">
        <f t="shared" si="56"/>
        <v>28</v>
      </c>
      <c r="BM114" s="3">
        <f t="shared" si="57"/>
        <v>0</v>
      </c>
      <c r="BN114" s="3">
        <f t="shared" si="58"/>
        <v>0</v>
      </c>
      <c r="BO114" s="3">
        <f t="shared" si="59"/>
        <v>0</v>
      </c>
      <c r="BP114" s="3">
        <f t="shared" si="60"/>
        <v>0</v>
      </c>
      <c r="BQ114" s="3">
        <f t="shared" si="61"/>
        <v>0</v>
      </c>
      <c r="BR114" s="3">
        <f t="shared" si="62"/>
        <v>0</v>
      </c>
      <c r="BS114" s="3">
        <f t="shared" si="63"/>
        <v>0</v>
      </c>
      <c r="BT114" s="3">
        <f t="shared" si="64"/>
        <v>0</v>
      </c>
      <c r="BU114" s="3">
        <f t="shared" si="65"/>
        <v>0</v>
      </c>
      <c r="BV114" s="3">
        <f t="shared" si="66"/>
        <v>0</v>
      </c>
      <c r="BW114" s="3">
        <f t="shared" si="67"/>
        <v>0</v>
      </c>
      <c r="BX114" s="4"/>
      <c r="CB114" s="110">
        <v>0</v>
      </c>
      <c r="CC114" s="117">
        <v>0</v>
      </c>
      <c r="CD114" s="117">
        <v>0</v>
      </c>
      <c r="CE114" s="117">
        <v>0</v>
      </c>
      <c r="CF114" s="117">
        <v>0</v>
      </c>
      <c r="CG114" s="117">
        <v>0</v>
      </c>
      <c r="CH114" s="117">
        <v>0</v>
      </c>
      <c r="CI114" s="117">
        <v>0</v>
      </c>
      <c r="CJ114" s="117">
        <v>0</v>
      </c>
      <c r="CK114" s="117">
        <v>0</v>
      </c>
      <c r="CL114" s="111">
        <f t="shared" si="68"/>
        <v>0</v>
      </c>
    </row>
    <row r="115" spans="1:90" ht="22.5" customHeight="1" x14ac:dyDescent="0.25">
      <c r="A115" s="54">
        <v>96</v>
      </c>
      <c r="B115" s="54" t="s">
        <v>235</v>
      </c>
      <c r="C115" s="124" t="s">
        <v>237</v>
      </c>
      <c r="D115" s="105">
        <v>0.35347222222222219</v>
      </c>
      <c r="E115" s="105">
        <v>0.9784722222222223</v>
      </c>
      <c r="F115" s="105">
        <v>0.34652777777777777</v>
      </c>
      <c r="G115" s="105">
        <v>0.95763888888888893</v>
      </c>
      <c r="H115" s="105">
        <v>0.34652777777777777</v>
      </c>
      <c r="I115" s="105">
        <v>0.95763888888888893</v>
      </c>
      <c r="J115" s="105">
        <v>0.35138888888888892</v>
      </c>
      <c r="K115" s="105">
        <v>0.98611111111111116</v>
      </c>
      <c r="L115" s="105">
        <v>0.34583333333333338</v>
      </c>
      <c r="M115" s="105">
        <v>2.0833333333333332E-2</v>
      </c>
      <c r="N115" s="122" t="s">
        <v>15</v>
      </c>
      <c r="O115" s="122" t="s">
        <v>15</v>
      </c>
      <c r="P115" s="105">
        <v>0.34722222222222227</v>
      </c>
      <c r="Q115" s="105">
        <v>0.9770833333333333</v>
      </c>
      <c r="R115" s="105">
        <v>0.34930555555555554</v>
      </c>
      <c r="S115" s="105">
        <v>0.96875</v>
      </c>
      <c r="T115" s="105">
        <v>0.34375</v>
      </c>
      <c r="U115" s="105">
        <v>0.93333333333333324</v>
      </c>
      <c r="V115" s="105">
        <v>0.34513888888888888</v>
      </c>
      <c r="W115" s="105">
        <v>0.9590277777777777</v>
      </c>
      <c r="X115" s="105">
        <v>0.34722222222222227</v>
      </c>
      <c r="Y115" s="105">
        <v>0</v>
      </c>
      <c r="Z115" s="105">
        <v>0.34722222222222227</v>
      </c>
      <c r="AA115" s="105">
        <v>4.8611111111111112E-3</v>
      </c>
      <c r="AB115" s="107">
        <v>0.58124999999999993</v>
      </c>
      <c r="AC115" s="107">
        <v>5.5555555555555552E-2</v>
      </c>
      <c r="AD115" s="105">
        <v>0.35138888888888892</v>
      </c>
      <c r="AE115" s="105">
        <v>2.1527777777777781E-2</v>
      </c>
      <c r="AF115" s="105">
        <v>0.34930555555555554</v>
      </c>
      <c r="AG115" s="105">
        <v>0.95763888888888893</v>
      </c>
      <c r="AI115" s="18">
        <v>96</v>
      </c>
      <c r="AJ115" s="105">
        <v>0.34722222222222227</v>
      </c>
      <c r="AK115" s="105">
        <v>4.0972222222222222E-2</v>
      </c>
      <c r="AL115" s="105">
        <v>0.35138888888888892</v>
      </c>
      <c r="AM115" s="105">
        <v>6.5972222222222224E-2</v>
      </c>
      <c r="AN115" s="105">
        <v>0.375</v>
      </c>
      <c r="AO115" s="105">
        <v>4.7222222222222221E-2</v>
      </c>
      <c r="AP115" s="105">
        <v>0.37361111111111112</v>
      </c>
      <c r="AQ115" s="105">
        <v>4.8611111111111112E-2</v>
      </c>
      <c r="AR115" s="107">
        <v>0.57916666666666672</v>
      </c>
      <c r="AS115" s="107">
        <v>0.10555555555555556</v>
      </c>
      <c r="AT115" s="105">
        <v>0.37291666666666662</v>
      </c>
      <c r="AU115" s="105">
        <v>4.4444444444444446E-2</v>
      </c>
      <c r="AV115" s="105">
        <v>0.37916666666666665</v>
      </c>
      <c r="AW115" s="105">
        <v>0.85138888888888886</v>
      </c>
      <c r="AX115" s="105">
        <v>0.37361111111111112</v>
      </c>
      <c r="AY115" s="105">
        <v>8.819444444444445E-2</v>
      </c>
      <c r="AZ115" s="105">
        <v>0.3743055555555555</v>
      </c>
      <c r="BA115" s="105">
        <v>9.0972222222222218E-2</v>
      </c>
      <c r="BB115" s="105">
        <v>0.375</v>
      </c>
      <c r="BC115" s="105">
        <v>4.9305555555555554E-2</v>
      </c>
      <c r="BD115" s="105">
        <v>0.37638888888888888</v>
      </c>
      <c r="BE115" s="105">
        <v>4.3750000000000004E-2</v>
      </c>
      <c r="BF115" s="107">
        <v>0.57916666666666672</v>
      </c>
      <c r="BG115" s="107">
        <v>4.9999999999999996E-2</v>
      </c>
      <c r="BH115" s="105">
        <v>0.37708333333333338</v>
      </c>
      <c r="BI115" s="105">
        <v>6.9444444444444434E-2</v>
      </c>
      <c r="BJ115" s="12">
        <f t="shared" si="55"/>
        <v>28</v>
      </c>
      <c r="BK115" s="112">
        <v>3</v>
      </c>
      <c r="BL115" s="2">
        <f t="shared" si="56"/>
        <v>27</v>
      </c>
      <c r="BM115" s="3">
        <f t="shared" si="57"/>
        <v>1</v>
      </c>
      <c r="BN115" s="3">
        <f t="shared" si="58"/>
        <v>0</v>
      </c>
      <c r="BO115" s="3">
        <f t="shared" si="59"/>
        <v>0</v>
      </c>
      <c r="BP115" s="3">
        <f t="shared" si="60"/>
        <v>0</v>
      </c>
      <c r="BQ115" s="3">
        <f t="shared" si="61"/>
        <v>0</v>
      </c>
      <c r="BR115" s="3">
        <f t="shared" si="62"/>
        <v>0</v>
      </c>
      <c r="BS115" s="3">
        <f t="shared" si="63"/>
        <v>0</v>
      </c>
      <c r="BT115" s="3">
        <f t="shared" si="64"/>
        <v>0</v>
      </c>
      <c r="BU115" s="3">
        <f t="shared" si="65"/>
        <v>0</v>
      </c>
      <c r="BV115" s="3">
        <f t="shared" si="66"/>
        <v>0</v>
      </c>
      <c r="BW115" s="3">
        <f t="shared" si="67"/>
        <v>0</v>
      </c>
      <c r="BX115" s="4"/>
      <c r="CB115" s="87">
        <v>0</v>
      </c>
      <c r="CC115" s="88">
        <v>0</v>
      </c>
      <c r="CD115" s="88">
        <v>0</v>
      </c>
      <c r="CE115" s="88">
        <v>0</v>
      </c>
      <c r="CF115" s="88">
        <v>0</v>
      </c>
      <c r="CG115" s="88">
        <v>0</v>
      </c>
      <c r="CH115" s="88">
        <v>0</v>
      </c>
      <c r="CI115" s="88">
        <v>0</v>
      </c>
      <c r="CJ115" s="88">
        <v>0</v>
      </c>
      <c r="CK115" s="88">
        <v>0</v>
      </c>
      <c r="CL115" s="89">
        <f t="shared" si="68"/>
        <v>0</v>
      </c>
    </row>
    <row r="116" spans="1:90" ht="22.5" customHeight="1" x14ac:dyDescent="0.25">
      <c r="A116" s="54">
        <v>97</v>
      </c>
      <c r="B116" s="54" t="s">
        <v>236</v>
      </c>
      <c r="C116" s="124" t="s">
        <v>238</v>
      </c>
      <c r="D116" s="105">
        <v>0.33263888888888887</v>
      </c>
      <c r="E116" s="105">
        <v>0.97916666666666663</v>
      </c>
      <c r="F116" s="105">
        <v>0.33680555555555558</v>
      </c>
      <c r="G116" s="105">
        <v>0.95833333333333337</v>
      </c>
      <c r="H116" s="105">
        <v>0.3354166666666667</v>
      </c>
      <c r="I116" s="105">
        <v>0.95833333333333337</v>
      </c>
      <c r="J116" s="105">
        <v>0.3347222222222222</v>
      </c>
      <c r="K116" s="105">
        <v>0.98611111111111116</v>
      </c>
      <c r="L116" s="105">
        <v>0.33680555555555558</v>
      </c>
      <c r="M116" s="105">
        <v>2.0833333333333332E-2</v>
      </c>
      <c r="N116" s="122" t="s">
        <v>15</v>
      </c>
      <c r="O116" s="122" t="s">
        <v>15</v>
      </c>
      <c r="P116" s="105">
        <v>0.3347222222222222</v>
      </c>
      <c r="Q116" s="105">
        <v>0.9770833333333333</v>
      </c>
      <c r="R116" s="105">
        <v>0.33819444444444446</v>
      </c>
      <c r="S116" s="105">
        <v>0.96875</v>
      </c>
      <c r="T116" s="105">
        <v>0.34236111111111112</v>
      </c>
      <c r="U116" s="105">
        <v>0.93402777777777779</v>
      </c>
      <c r="V116" s="105">
        <v>0.33749999999999997</v>
      </c>
      <c r="W116" s="105">
        <v>0.95972222222222225</v>
      </c>
      <c r="X116" s="105">
        <v>0.3354166666666667</v>
      </c>
      <c r="Y116" s="105">
        <v>0</v>
      </c>
      <c r="Z116" s="105">
        <v>0.3347222222222222</v>
      </c>
      <c r="AA116" s="105">
        <v>4.8611111111111112E-3</v>
      </c>
      <c r="AB116" s="107">
        <v>0.58402777777777781</v>
      </c>
      <c r="AC116" s="107">
        <v>5.5555555555555552E-2</v>
      </c>
      <c r="AD116" s="105">
        <v>0.35486111111111113</v>
      </c>
      <c r="AE116" s="105">
        <v>2.1527777777777781E-2</v>
      </c>
      <c r="AF116" s="105">
        <v>0.34930555555555554</v>
      </c>
      <c r="AG116" s="116">
        <v>0.96527777777777779</v>
      </c>
      <c r="AI116" s="18">
        <v>97</v>
      </c>
      <c r="AJ116" s="105">
        <v>0.35486111111111113</v>
      </c>
      <c r="AK116" s="105">
        <v>4.027777777777778E-2</v>
      </c>
      <c r="AL116" s="105">
        <v>0.3520833333333333</v>
      </c>
      <c r="AM116" s="105">
        <v>6.6666666666666666E-2</v>
      </c>
      <c r="AN116" s="105">
        <v>0.37291666666666662</v>
      </c>
      <c r="AO116" s="105">
        <v>4.8611111111111112E-2</v>
      </c>
      <c r="AP116" s="105">
        <v>0.37361111111111112</v>
      </c>
      <c r="AQ116" s="105">
        <v>4.9305555555555554E-2</v>
      </c>
      <c r="AR116" s="107">
        <v>0.5805555555555556</v>
      </c>
      <c r="AS116" s="107">
        <v>0.10486111111111111</v>
      </c>
      <c r="AT116" s="105">
        <v>0.3743055555555555</v>
      </c>
      <c r="AU116" s="105">
        <v>4.4444444444444446E-2</v>
      </c>
      <c r="AV116" s="105">
        <v>0.37361111111111112</v>
      </c>
      <c r="AW116" s="105">
        <v>0.85277777777777775</v>
      </c>
      <c r="AX116" s="105">
        <v>0.37291666666666662</v>
      </c>
      <c r="AY116" s="105">
        <v>8.6805555555555566E-2</v>
      </c>
      <c r="AZ116" s="105">
        <v>0.37222222222222223</v>
      </c>
      <c r="BA116" s="105">
        <v>9.0972222222222218E-2</v>
      </c>
      <c r="BB116" s="105">
        <v>0.37361111111111112</v>
      </c>
      <c r="BC116" s="105">
        <v>4.9999999999999996E-2</v>
      </c>
      <c r="BD116" s="105">
        <v>0.3743055555555555</v>
      </c>
      <c r="BE116" s="105">
        <v>4.3750000000000004E-2</v>
      </c>
      <c r="BF116" s="107">
        <v>0.58124999999999993</v>
      </c>
      <c r="BG116" s="107">
        <v>5.0694444444444452E-2</v>
      </c>
      <c r="BH116" s="105">
        <v>0.37222222222222223</v>
      </c>
      <c r="BI116" s="105">
        <v>6.9444444444444434E-2</v>
      </c>
      <c r="BJ116" s="12">
        <f t="shared" si="55"/>
        <v>28</v>
      </c>
      <c r="BK116" s="112">
        <v>3</v>
      </c>
      <c r="BL116" s="2">
        <f t="shared" si="56"/>
        <v>27</v>
      </c>
      <c r="BM116" s="3">
        <f t="shared" si="57"/>
        <v>1</v>
      </c>
      <c r="BN116" s="3">
        <f t="shared" si="58"/>
        <v>0</v>
      </c>
      <c r="BO116" s="3">
        <f t="shared" si="59"/>
        <v>0</v>
      </c>
      <c r="BP116" s="3">
        <f t="shared" si="60"/>
        <v>0</v>
      </c>
      <c r="BQ116" s="3">
        <f t="shared" si="61"/>
        <v>0</v>
      </c>
      <c r="BR116" s="3">
        <f t="shared" si="62"/>
        <v>0</v>
      </c>
      <c r="BS116" s="3">
        <f t="shared" si="63"/>
        <v>0</v>
      </c>
      <c r="BT116" s="3">
        <f t="shared" si="64"/>
        <v>0</v>
      </c>
      <c r="BU116" s="3">
        <f t="shared" si="65"/>
        <v>0</v>
      </c>
      <c r="BV116" s="3">
        <f t="shared" si="66"/>
        <v>0</v>
      </c>
      <c r="BW116" s="3">
        <f t="shared" si="67"/>
        <v>0</v>
      </c>
      <c r="BX116" s="4"/>
      <c r="CB116" s="87">
        <v>0</v>
      </c>
      <c r="CC116" s="87">
        <v>0</v>
      </c>
      <c r="CD116" s="87">
        <v>0</v>
      </c>
      <c r="CE116" s="87">
        <v>0</v>
      </c>
      <c r="CF116" s="87">
        <v>0</v>
      </c>
      <c r="CG116" s="87">
        <v>0</v>
      </c>
      <c r="CH116" s="87">
        <v>0</v>
      </c>
      <c r="CI116" s="87">
        <v>0</v>
      </c>
      <c r="CJ116" s="87">
        <v>0</v>
      </c>
      <c r="CK116" s="87">
        <v>0</v>
      </c>
      <c r="CL116" s="89">
        <f t="shared" ref="CL116:CL122" si="69">SUM(CB116:CK116)</f>
        <v>0</v>
      </c>
    </row>
    <row r="117" spans="1:90" ht="22.5" customHeight="1" x14ac:dyDescent="0.25">
      <c r="A117" s="54">
        <v>98</v>
      </c>
      <c r="B117" s="54" t="s">
        <v>239</v>
      </c>
      <c r="C117" s="124" t="s">
        <v>240</v>
      </c>
      <c r="D117" s="105">
        <v>0.35347222222222219</v>
      </c>
      <c r="E117" s="105">
        <v>0.95694444444444438</v>
      </c>
      <c r="F117" s="105">
        <v>0.3520833333333333</v>
      </c>
      <c r="G117" s="113">
        <v>1</v>
      </c>
      <c r="H117" s="105">
        <v>0.35000000000000003</v>
      </c>
      <c r="I117" s="105">
        <v>0.96736111111111101</v>
      </c>
      <c r="J117" s="105">
        <v>0.95694444444444438</v>
      </c>
      <c r="K117" s="113">
        <v>1</v>
      </c>
      <c r="L117" s="105">
        <v>0.34722222222222227</v>
      </c>
      <c r="M117" s="105">
        <v>0.98472222222222217</v>
      </c>
      <c r="N117" s="107">
        <v>0.57222222222222219</v>
      </c>
      <c r="O117" s="107">
        <v>0.96111111111111114</v>
      </c>
      <c r="P117" s="105">
        <v>0.35069444444444442</v>
      </c>
      <c r="Q117" s="105">
        <v>0.97569444444444453</v>
      </c>
      <c r="R117" s="105">
        <v>0.35069444444444442</v>
      </c>
      <c r="S117" s="105">
        <v>0.95486111111111116</v>
      </c>
      <c r="T117" s="105">
        <v>0.35138888888888892</v>
      </c>
      <c r="U117" s="105">
        <v>0.95347222222222217</v>
      </c>
      <c r="V117" s="105">
        <v>0.35000000000000003</v>
      </c>
      <c r="W117" s="105">
        <v>0.95277777777777783</v>
      </c>
      <c r="X117" s="105">
        <v>0.35416666666666669</v>
      </c>
      <c r="Y117" s="105">
        <v>0.97638888888888886</v>
      </c>
      <c r="Z117" s="105">
        <v>0.34861111111111115</v>
      </c>
      <c r="AA117" s="105">
        <v>0.97569444444444453</v>
      </c>
      <c r="AB117" s="107">
        <v>0.61111111111111105</v>
      </c>
      <c r="AC117" s="107">
        <v>0.95486111111111116</v>
      </c>
      <c r="AD117" s="105">
        <v>0.36041666666666666</v>
      </c>
      <c r="AE117" s="105">
        <v>0.97499999999999998</v>
      </c>
      <c r="AF117" s="105">
        <v>0.35625000000000001</v>
      </c>
      <c r="AG117" s="105">
        <v>0.97569444444444453</v>
      </c>
      <c r="AI117" s="18">
        <v>98</v>
      </c>
      <c r="AJ117" s="105">
        <v>0.35625000000000001</v>
      </c>
      <c r="AK117" s="105">
        <v>0.9784722222222223</v>
      </c>
      <c r="AL117" s="105">
        <v>1.4583333333333332E-2</v>
      </c>
      <c r="AM117" s="105">
        <v>6.9444444444444447E-4</v>
      </c>
      <c r="AN117" s="105">
        <v>0.38263888888888892</v>
      </c>
      <c r="AO117" s="105">
        <v>2.7777777777777779E-3</v>
      </c>
      <c r="AP117" s="105">
        <v>0.3743055555555555</v>
      </c>
      <c r="AQ117" s="105">
        <v>0</v>
      </c>
      <c r="AR117" s="107">
        <v>0.58402777777777781</v>
      </c>
      <c r="AS117" s="107">
        <v>1.5972222222222224E-2</v>
      </c>
      <c r="AT117" s="105">
        <v>0.37916666666666665</v>
      </c>
      <c r="AU117" s="105">
        <v>1.1111111111111112E-2</v>
      </c>
      <c r="AV117" s="105">
        <v>0.37847222222222227</v>
      </c>
      <c r="AW117" s="105">
        <v>6.9444444444444447E-4</v>
      </c>
      <c r="AX117" s="105">
        <v>0.37361111111111112</v>
      </c>
      <c r="AY117" s="105">
        <v>2.7777777777777776E-2</v>
      </c>
      <c r="AZ117" s="105">
        <v>0.37847222222222227</v>
      </c>
      <c r="BA117" s="105">
        <v>1.6666666666666666E-2</v>
      </c>
      <c r="BB117" s="105">
        <v>0.375</v>
      </c>
      <c r="BC117" s="105">
        <v>2.0833333333333332E-2</v>
      </c>
      <c r="BD117" s="105">
        <v>0.37708333333333338</v>
      </c>
      <c r="BE117" s="105">
        <v>4.027777777777778E-2</v>
      </c>
      <c r="BF117" s="107">
        <v>0.58333333333333337</v>
      </c>
      <c r="BG117" s="107">
        <v>4.8611111111111112E-2</v>
      </c>
      <c r="BH117" s="105">
        <v>0.37638888888888888</v>
      </c>
      <c r="BI117" s="105">
        <v>7.9166666666666663E-2</v>
      </c>
      <c r="BJ117" s="12">
        <f t="shared" si="55"/>
        <v>28</v>
      </c>
      <c r="BK117" s="112">
        <v>4</v>
      </c>
      <c r="BL117" s="2">
        <f t="shared" si="56"/>
        <v>28</v>
      </c>
      <c r="BM117" s="3">
        <f t="shared" si="57"/>
        <v>0</v>
      </c>
      <c r="BN117" s="3">
        <f t="shared" si="58"/>
        <v>0</v>
      </c>
      <c r="BO117" s="3">
        <f t="shared" si="59"/>
        <v>0</v>
      </c>
      <c r="BP117" s="3">
        <f t="shared" si="60"/>
        <v>0</v>
      </c>
      <c r="BQ117" s="3">
        <f t="shared" si="61"/>
        <v>0</v>
      </c>
      <c r="BR117" s="3">
        <f t="shared" si="62"/>
        <v>0</v>
      </c>
      <c r="BS117" s="3">
        <f t="shared" si="63"/>
        <v>0</v>
      </c>
      <c r="BT117" s="3">
        <f t="shared" si="64"/>
        <v>0</v>
      </c>
      <c r="BU117" s="3">
        <f t="shared" si="65"/>
        <v>0</v>
      </c>
      <c r="BV117" s="3">
        <f t="shared" si="66"/>
        <v>0</v>
      </c>
      <c r="BW117" s="3">
        <f t="shared" si="67"/>
        <v>0</v>
      </c>
      <c r="BX117" s="4"/>
      <c r="CB117" s="110">
        <v>0</v>
      </c>
      <c r="CC117" s="110">
        <v>0</v>
      </c>
      <c r="CD117" s="110">
        <v>0</v>
      </c>
      <c r="CE117" s="110">
        <v>0</v>
      </c>
      <c r="CF117" s="110">
        <v>0</v>
      </c>
      <c r="CG117" s="110">
        <v>0</v>
      </c>
      <c r="CH117" s="110">
        <v>0</v>
      </c>
      <c r="CI117" s="110">
        <v>0</v>
      </c>
      <c r="CJ117" s="110">
        <v>0</v>
      </c>
      <c r="CK117" s="110">
        <v>0</v>
      </c>
      <c r="CL117" s="89">
        <f t="shared" si="69"/>
        <v>0</v>
      </c>
    </row>
    <row r="118" spans="1:90" ht="22.5" customHeight="1" x14ac:dyDescent="0.25">
      <c r="A118" s="54">
        <v>99</v>
      </c>
      <c r="B118" s="54" t="s">
        <v>243</v>
      </c>
      <c r="C118" s="124" t="s">
        <v>245</v>
      </c>
      <c r="D118" s="105">
        <v>0.35416666666666669</v>
      </c>
      <c r="E118" s="105">
        <v>0.96319444444444446</v>
      </c>
      <c r="F118" s="105">
        <v>0.35416666666666669</v>
      </c>
      <c r="G118" s="105">
        <v>0.9590277777777777</v>
      </c>
      <c r="H118" s="105">
        <v>0.3520833333333333</v>
      </c>
      <c r="I118" s="105">
        <v>0.9604166666666667</v>
      </c>
      <c r="J118" s="105">
        <v>0.35138888888888892</v>
      </c>
      <c r="K118" s="105">
        <v>0.95833333333333337</v>
      </c>
      <c r="L118" s="105">
        <v>0.34930555555555554</v>
      </c>
      <c r="M118" s="105">
        <v>0.96875</v>
      </c>
      <c r="N118" s="107">
        <v>0.5805555555555556</v>
      </c>
      <c r="O118" s="107">
        <v>0.88402777777777775</v>
      </c>
      <c r="P118" s="105">
        <v>0.3527777777777778</v>
      </c>
      <c r="Q118" s="105">
        <v>0.96180555555555547</v>
      </c>
      <c r="R118" s="105">
        <v>0.35000000000000003</v>
      </c>
      <c r="S118" s="105">
        <v>0.9590277777777777</v>
      </c>
      <c r="T118" s="105">
        <v>0.3527777777777778</v>
      </c>
      <c r="U118" s="105">
        <v>0.93194444444444446</v>
      </c>
      <c r="V118" s="105">
        <v>0.35069444444444442</v>
      </c>
      <c r="W118" s="105">
        <v>0.95763888888888893</v>
      </c>
      <c r="X118" s="105">
        <v>0.35138888888888892</v>
      </c>
      <c r="Y118" s="105">
        <v>0.97083333333333333</v>
      </c>
      <c r="Z118" s="105">
        <v>0.3520833333333333</v>
      </c>
      <c r="AA118" s="105">
        <v>0.96666666666666667</v>
      </c>
      <c r="AB118" s="107">
        <v>0.58124999999999993</v>
      </c>
      <c r="AC118" s="107">
        <v>0.98472222222222217</v>
      </c>
      <c r="AD118" s="105">
        <v>0.35347222222222219</v>
      </c>
      <c r="AE118" s="105">
        <v>0.97569444444444453</v>
      </c>
      <c r="AF118" s="105">
        <v>0.3527777777777778</v>
      </c>
      <c r="AG118" s="105">
        <v>0.96666666666666667</v>
      </c>
      <c r="AI118" s="18">
        <v>99</v>
      </c>
      <c r="AJ118" s="105">
        <v>0.3520833333333333</v>
      </c>
      <c r="AK118" s="105">
        <v>0.9868055555555556</v>
      </c>
      <c r="AL118" s="105">
        <v>0.3520833333333333</v>
      </c>
      <c r="AM118" s="105">
        <v>0.99652777777777779</v>
      </c>
      <c r="AN118" s="105">
        <v>0.3756944444444445</v>
      </c>
      <c r="AO118" s="105">
        <v>4.3055555555555562E-2</v>
      </c>
      <c r="AP118" s="105">
        <v>0.37361111111111112</v>
      </c>
      <c r="AQ118" s="105">
        <v>4.7916666666666663E-2</v>
      </c>
      <c r="AR118" s="107">
        <v>0.56805555555555554</v>
      </c>
      <c r="AS118" s="107">
        <v>4.2361111111111106E-2</v>
      </c>
      <c r="AT118" s="105">
        <v>0.37361111111111112</v>
      </c>
      <c r="AU118" s="105">
        <v>3.8194444444444441E-2</v>
      </c>
      <c r="AV118" s="105">
        <v>0.37222222222222223</v>
      </c>
      <c r="AW118" s="105">
        <v>0.85138888888888886</v>
      </c>
      <c r="AX118" s="121" t="s">
        <v>195</v>
      </c>
      <c r="AY118" s="121" t="s">
        <v>195</v>
      </c>
      <c r="AZ118" s="105">
        <v>0.37847222222222227</v>
      </c>
      <c r="BA118" s="105">
        <v>8.3333333333333329E-2</v>
      </c>
      <c r="BB118" s="105">
        <v>0.37013888888888885</v>
      </c>
      <c r="BC118" s="105">
        <v>4.8611111111111112E-2</v>
      </c>
      <c r="BD118" s="105">
        <v>0.3743055555555555</v>
      </c>
      <c r="BE118" s="105">
        <v>4.2361111111111106E-2</v>
      </c>
      <c r="BF118" s="107">
        <v>0.57986111111111105</v>
      </c>
      <c r="BG118" s="107">
        <v>5.1388888888888894E-2</v>
      </c>
      <c r="BH118" s="105">
        <v>0.3756944444444445</v>
      </c>
      <c r="BI118" s="105">
        <v>6.9444444444444434E-2</v>
      </c>
      <c r="BJ118" s="12">
        <f t="shared" si="55"/>
        <v>28</v>
      </c>
      <c r="BK118" s="112">
        <v>4</v>
      </c>
      <c r="BL118" s="2">
        <f t="shared" si="56"/>
        <v>27</v>
      </c>
      <c r="BM118" s="3">
        <f t="shared" si="57"/>
        <v>0</v>
      </c>
      <c r="BN118" s="3">
        <f t="shared" si="58"/>
        <v>0</v>
      </c>
      <c r="BO118" s="3">
        <f t="shared" si="59"/>
        <v>0</v>
      </c>
      <c r="BP118" s="3">
        <f t="shared" si="60"/>
        <v>0</v>
      </c>
      <c r="BQ118" s="3">
        <f t="shared" si="61"/>
        <v>0</v>
      </c>
      <c r="BR118" s="3">
        <f t="shared" si="62"/>
        <v>0</v>
      </c>
      <c r="BS118" s="3">
        <f t="shared" si="63"/>
        <v>1</v>
      </c>
      <c r="BT118" s="3">
        <f t="shared" si="64"/>
        <v>0</v>
      </c>
      <c r="BU118" s="3">
        <f t="shared" si="65"/>
        <v>0</v>
      </c>
      <c r="BV118" s="3">
        <f t="shared" si="66"/>
        <v>0</v>
      </c>
      <c r="BW118" s="3">
        <f t="shared" si="67"/>
        <v>0</v>
      </c>
      <c r="BX118" s="4"/>
      <c r="CB118" s="87">
        <v>0</v>
      </c>
      <c r="CC118" s="87">
        <v>0</v>
      </c>
      <c r="CD118" s="87">
        <v>0</v>
      </c>
      <c r="CE118" s="87">
        <v>0</v>
      </c>
      <c r="CF118" s="87">
        <v>0</v>
      </c>
      <c r="CG118" s="87">
        <v>0</v>
      </c>
      <c r="CH118" s="87">
        <v>0</v>
      </c>
      <c r="CI118" s="87">
        <v>0</v>
      </c>
      <c r="CJ118" s="87">
        <v>0</v>
      </c>
      <c r="CK118" s="87">
        <v>0</v>
      </c>
      <c r="CL118" s="89">
        <f t="shared" si="69"/>
        <v>0</v>
      </c>
    </row>
    <row r="119" spans="1:90" ht="22.5" customHeight="1" x14ac:dyDescent="0.25">
      <c r="A119" s="54">
        <v>100</v>
      </c>
      <c r="B119" s="54" t="s">
        <v>252</v>
      </c>
      <c r="C119" s="124" t="s">
        <v>253</v>
      </c>
      <c r="D119" s="163" t="s">
        <v>254</v>
      </c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05">
        <v>0.34791666666666665</v>
      </c>
      <c r="AA119" s="105">
        <v>0.96805555555555556</v>
      </c>
      <c r="AB119" s="107">
        <v>0.57986111111111105</v>
      </c>
      <c r="AC119" s="107">
        <v>0.95208333333333339</v>
      </c>
      <c r="AD119" s="105">
        <v>0.35069444444444442</v>
      </c>
      <c r="AE119" s="105">
        <v>0.97986111111111107</v>
      </c>
      <c r="AF119" s="105">
        <v>0.34722222222222227</v>
      </c>
      <c r="AG119" s="105">
        <v>0.96805555555555556</v>
      </c>
      <c r="AI119" s="18">
        <v>100</v>
      </c>
      <c r="AJ119" s="105">
        <v>0.34791666666666665</v>
      </c>
      <c r="AK119" s="105">
        <v>0.9902777777777777</v>
      </c>
      <c r="AL119" s="105">
        <v>0.35138888888888892</v>
      </c>
      <c r="AM119" s="105">
        <v>6.7361111111111108E-2</v>
      </c>
      <c r="AN119" s="105">
        <v>0.37638888888888888</v>
      </c>
      <c r="AO119" s="105">
        <v>4.7222222222222221E-2</v>
      </c>
      <c r="AP119" s="105">
        <v>0.37222222222222223</v>
      </c>
      <c r="AQ119" s="105">
        <v>4.7916666666666663E-2</v>
      </c>
      <c r="AR119" s="107">
        <v>0.57986111111111105</v>
      </c>
      <c r="AS119" s="107">
        <v>3.0555555555555555E-2</v>
      </c>
      <c r="AT119" s="105">
        <v>0.37222222222222223</v>
      </c>
      <c r="AU119" s="105">
        <v>3.7499999999999999E-2</v>
      </c>
      <c r="AV119" s="105">
        <v>0.37361111111111112</v>
      </c>
      <c r="AW119" s="105">
        <v>0.85138888888888886</v>
      </c>
      <c r="AX119" s="105">
        <v>0.37222222222222223</v>
      </c>
      <c r="AY119" s="105">
        <v>8.5416666666666655E-2</v>
      </c>
      <c r="AZ119" s="105">
        <v>0.37152777777777773</v>
      </c>
      <c r="BA119" s="105">
        <v>9.1666666666666674E-2</v>
      </c>
      <c r="BB119" s="105">
        <v>0.37291666666666662</v>
      </c>
      <c r="BC119" s="105">
        <v>4.7222222222222221E-2</v>
      </c>
      <c r="BD119" s="105">
        <v>0.37361111111111112</v>
      </c>
      <c r="BE119" s="105">
        <v>4.2361111111111106E-2</v>
      </c>
      <c r="BF119" s="107">
        <v>0.5805555555555556</v>
      </c>
      <c r="BG119" s="107">
        <v>4.9999999999999996E-2</v>
      </c>
      <c r="BH119" s="105">
        <v>0.37291666666666662</v>
      </c>
      <c r="BI119" s="105">
        <v>7.7777777777777779E-2</v>
      </c>
      <c r="BJ119" s="12">
        <f t="shared" si="55"/>
        <v>17</v>
      </c>
      <c r="BK119" s="112">
        <v>3</v>
      </c>
      <c r="BL119" s="2">
        <f t="shared" si="56"/>
        <v>17</v>
      </c>
      <c r="BM119" s="3">
        <f t="shared" si="57"/>
        <v>0</v>
      </c>
      <c r="BN119" s="3">
        <f t="shared" si="58"/>
        <v>0</v>
      </c>
      <c r="BO119" s="3">
        <f t="shared" si="59"/>
        <v>0</v>
      </c>
      <c r="BP119" s="3">
        <f t="shared" si="60"/>
        <v>0</v>
      </c>
      <c r="BQ119" s="3">
        <f t="shared" si="61"/>
        <v>0</v>
      </c>
      <c r="BR119" s="3">
        <f t="shared" si="62"/>
        <v>0</v>
      </c>
      <c r="BS119" s="3">
        <f t="shared" si="63"/>
        <v>0</v>
      </c>
      <c r="BT119" s="3">
        <f t="shared" si="64"/>
        <v>0</v>
      </c>
      <c r="BU119" s="3">
        <f t="shared" si="65"/>
        <v>0</v>
      </c>
      <c r="BV119" s="3">
        <f t="shared" si="66"/>
        <v>0</v>
      </c>
      <c r="BW119" s="3">
        <f t="shared" si="67"/>
        <v>0</v>
      </c>
      <c r="BX119" s="4"/>
      <c r="CB119" s="110"/>
      <c r="CC119" s="110"/>
      <c r="CD119" s="110"/>
      <c r="CE119" s="110"/>
      <c r="CF119" s="110"/>
      <c r="CG119" s="110"/>
      <c r="CH119" s="110"/>
      <c r="CI119" s="110"/>
      <c r="CJ119" s="110"/>
      <c r="CK119" s="110"/>
      <c r="CL119" s="89">
        <f t="shared" si="69"/>
        <v>0</v>
      </c>
    </row>
    <row r="120" spans="1:90" ht="22.5" customHeight="1" x14ac:dyDescent="0.25">
      <c r="A120" s="54">
        <v>101</v>
      </c>
      <c r="B120" s="54" t="s">
        <v>258</v>
      </c>
      <c r="C120" s="124" t="s">
        <v>260</v>
      </c>
      <c r="D120" s="135" t="s">
        <v>264</v>
      </c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7"/>
      <c r="AI120" s="18">
        <v>101</v>
      </c>
      <c r="AJ120" s="105">
        <v>0.58888888888888891</v>
      </c>
      <c r="AK120" s="105">
        <v>1.3888888888888889E-3</v>
      </c>
      <c r="AL120" s="105">
        <v>0.35138888888888892</v>
      </c>
      <c r="AM120" s="105">
        <v>4.3750000000000004E-2</v>
      </c>
      <c r="AN120" s="105">
        <v>0.37222222222222223</v>
      </c>
      <c r="AO120" s="105">
        <v>2.7777777777777776E-2</v>
      </c>
      <c r="AP120" s="105">
        <v>0.3743055555555555</v>
      </c>
      <c r="AQ120" s="105">
        <v>3.4027777777777775E-2</v>
      </c>
      <c r="AR120" s="107">
        <v>0.57500000000000007</v>
      </c>
      <c r="AS120" s="107">
        <v>1.6666666666666666E-2</v>
      </c>
      <c r="AT120" s="105">
        <v>0.35694444444444445</v>
      </c>
      <c r="AU120" s="105">
        <v>4.8611111111111112E-2</v>
      </c>
      <c r="AV120" s="105">
        <v>0.3743055555555555</v>
      </c>
      <c r="AW120" s="105">
        <v>3.4027777777777775E-2</v>
      </c>
      <c r="AX120" s="105">
        <v>5.6250000000000001E-2</v>
      </c>
      <c r="AY120" s="105">
        <v>1</v>
      </c>
      <c r="AZ120" s="105">
        <v>0.37222222222222223</v>
      </c>
      <c r="BA120" s="105">
        <v>4.8611111111111112E-2</v>
      </c>
      <c r="BB120" s="105">
        <v>0.3743055555555555</v>
      </c>
      <c r="BC120" s="105">
        <v>3.4027777777777775E-2</v>
      </c>
      <c r="BD120" s="105">
        <v>0.37083333333333335</v>
      </c>
      <c r="BE120" s="105">
        <v>4.7222222222222221E-2</v>
      </c>
      <c r="BF120" s="107">
        <v>0.57638888888888895</v>
      </c>
      <c r="BG120" s="107">
        <v>4.5833333333333337E-2</v>
      </c>
      <c r="BH120" s="105">
        <v>0.37013888888888885</v>
      </c>
      <c r="BI120" s="105">
        <v>6.8749999999999992E-2</v>
      </c>
      <c r="BJ120" s="12">
        <f t="shared" si="55"/>
        <v>13</v>
      </c>
      <c r="BK120" s="112">
        <v>2</v>
      </c>
      <c r="BL120" s="2">
        <f t="shared" si="56"/>
        <v>13</v>
      </c>
      <c r="BM120" s="3">
        <f t="shared" si="57"/>
        <v>0</v>
      </c>
      <c r="BN120" s="3">
        <f t="shared" si="58"/>
        <v>0</v>
      </c>
      <c r="BO120" s="3">
        <f t="shared" si="59"/>
        <v>0</v>
      </c>
      <c r="BP120" s="3">
        <f t="shared" si="60"/>
        <v>0</v>
      </c>
      <c r="BQ120" s="3">
        <f t="shared" si="61"/>
        <v>0</v>
      </c>
      <c r="BR120" s="3">
        <f t="shared" si="62"/>
        <v>0</v>
      </c>
      <c r="BS120" s="3">
        <f t="shared" si="63"/>
        <v>0</v>
      </c>
      <c r="BT120" s="3">
        <f t="shared" si="64"/>
        <v>0</v>
      </c>
      <c r="BU120" s="3">
        <f t="shared" si="65"/>
        <v>0</v>
      </c>
      <c r="BV120" s="3">
        <f t="shared" si="66"/>
        <v>0</v>
      </c>
      <c r="BW120" s="3">
        <f t="shared" si="67"/>
        <v>0</v>
      </c>
      <c r="BX120" s="4"/>
      <c r="CB120" s="110"/>
      <c r="CC120" s="110"/>
      <c r="CD120" s="110"/>
      <c r="CE120" s="110"/>
      <c r="CF120" s="110"/>
      <c r="CG120" s="110"/>
      <c r="CH120" s="110"/>
      <c r="CI120" s="110"/>
      <c r="CJ120" s="110"/>
      <c r="CK120" s="110"/>
      <c r="CL120" s="89">
        <f t="shared" si="69"/>
        <v>0</v>
      </c>
    </row>
    <row r="121" spans="1:90" ht="22.5" customHeight="1" x14ac:dyDescent="0.25">
      <c r="A121" s="54">
        <v>102</v>
      </c>
      <c r="B121" s="54" t="s">
        <v>256</v>
      </c>
      <c r="C121" s="124" t="s">
        <v>261</v>
      </c>
      <c r="D121" s="135" t="s">
        <v>255</v>
      </c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7"/>
      <c r="AF121" s="113">
        <v>1</v>
      </c>
      <c r="AG121" s="113">
        <v>1</v>
      </c>
      <c r="AI121" s="18">
        <v>102</v>
      </c>
      <c r="AJ121" s="105">
        <v>0.35069444444444442</v>
      </c>
      <c r="AK121" s="105">
        <v>4.0972222222222222E-2</v>
      </c>
      <c r="AL121" s="105">
        <v>0.35138888888888892</v>
      </c>
      <c r="AM121" s="105">
        <v>6.805555555555555E-2</v>
      </c>
      <c r="AN121" s="105">
        <v>0.375</v>
      </c>
      <c r="AO121" s="105">
        <v>4.7916666666666663E-2</v>
      </c>
      <c r="AP121" s="105">
        <v>0.37222222222222223</v>
      </c>
      <c r="AQ121" s="105">
        <v>4.8611111111111112E-2</v>
      </c>
      <c r="AR121" s="107">
        <v>0.57986111111111105</v>
      </c>
      <c r="AS121" s="107">
        <v>0.10625</v>
      </c>
      <c r="AT121" s="105">
        <v>0.37222222222222223</v>
      </c>
      <c r="AU121" s="105">
        <v>4.2361111111111106E-2</v>
      </c>
      <c r="AV121" s="105">
        <v>0.37291666666666662</v>
      </c>
      <c r="AW121" s="105">
        <v>0.8534722222222223</v>
      </c>
      <c r="AX121" s="105">
        <v>0.37222222222222223</v>
      </c>
      <c r="AY121" s="105">
        <v>8.4722222222222213E-2</v>
      </c>
      <c r="AZ121" s="105">
        <v>0.37152777777777773</v>
      </c>
      <c r="BA121" s="105">
        <v>9.3055555555555558E-2</v>
      </c>
      <c r="BB121" s="105">
        <v>0.37291666666666662</v>
      </c>
      <c r="BC121" s="105">
        <v>4.9999999999999996E-2</v>
      </c>
      <c r="BD121" s="105">
        <v>0.3743055555555555</v>
      </c>
      <c r="BE121" s="105">
        <v>4.3055555555555562E-2</v>
      </c>
      <c r="BF121" s="107">
        <v>0.58194444444444449</v>
      </c>
      <c r="BG121" s="107">
        <v>5.0694444444444452E-2</v>
      </c>
      <c r="BH121" s="105">
        <v>0.37291666666666662</v>
      </c>
      <c r="BI121" s="105">
        <v>6.458333333333334E-2</v>
      </c>
      <c r="BJ121" s="12">
        <f t="shared" si="55"/>
        <v>14</v>
      </c>
      <c r="BK121" s="112">
        <v>2</v>
      </c>
      <c r="BL121" s="2">
        <f t="shared" si="56"/>
        <v>14</v>
      </c>
      <c r="BM121" s="3">
        <f t="shared" si="57"/>
        <v>0</v>
      </c>
      <c r="BN121" s="3">
        <f t="shared" si="58"/>
        <v>0</v>
      </c>
      <c r="BO121" s="3">
        <f t="shared" si="59"/>
        <v>0</v>
      </c>
      <c r="BP121" s="3">
        <f t="shared" si="60"/>
        <v>0</v>
      </c>
      <c r="BQ121" s="3">
        <f t="shared" si="61"/>
        <v>0</v>
      </c>
      <c r="BR121" s="3">
        <f t="shared" si="62"/>
        <v>0</v>
      </c>
      <c r="BS121" s="3">
        <f t="shared" si="63"/>
        <v>0</v>
      </c>
      <c r="BT121" s="3">
        <f t="shared" si="64"/>
        <v>0</v>
      </c>
      <c r="BU121" s="3">
        <f t="shared" si="65"/>
        <v>0</v>
      </c>
      <c r="BV121" s="3">
        <f t="shared" si="66"/>
        <v>0</v>
      </c>
      <c r="BW121" s="3">
        <f t="shared" si="67"/>
        <v>0</v>
      </c>
      <c r="BX121" s="4"/>
      <c r="CB121" s="110"/>
      <c r="CC121" s="110"/>
      <c r="CD121" s="110"/>
      <c r="CE121" s="110"/>
      <c r="CF121" s="110"/>
      <c r="CG121" s="110"/>
      <c r="CH121" s="110"/>
      <c r="CI121" s="110"/>
      <c r="CJ121" s="110"/>
      <c r="CK121" s="110"/>
      <c r="CL121" s="89">
        <f t="shared" si="69"/>
        <v>0</v>
      </c>
    </row>
    <row r="122" spans="1:90" ht="22.5" customHeight="1" x14ac:dyDescent="0.25">
      <c r="A122" s="54">
        <v>103</v>
      </c>
      <c r="B122" s="54" t="s">
        <v>257</v>
      </c>
      <c r="C122" s="124" t="s">
        <v>262</v>
      </c>
      <c r="D122" s="135" t="s">
        <v>255</v>
      </c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7"/>
      <c r="AF122" s="113">
        <v>1</v>
      </c>
      <c r="AG122" s="113">
        <v>1</v>
      </c>
      <c r="AI122" s="18">
        <v>103</v>
      </c>
      <c r="AJ122" s="105">
        <v>0.34791666666666665</v>
      </c>
      <c r="AK122" s="105">
        <v>4.0972222222222222E-2</v>
      </c>
      <c r="AL122" s="105">
        <v>0.35138888888888892</v>
      </c>
      <c r="AM122" s="105">
        <v>6.805555555555555E-2</v>
      </c>
      <c r="AN122" s="105">
        <v>0.375</v>
      </c>
      <c r="AO122" s="105">
        <v>4.7916666666666663E-2</v>
      </c>
      <c r="AP122" s="105">
        <v>0.37222222222222223</v>
      </c>
      <c r="AQ122" s="105">
        <v>4.9305555555555554E-2</v>
      </c>
      <c r="AR122" s="107">
        <v>0.5805555555555556</v>
      </c>
      <c r="AS122" s="107">
        <v>0.10555555555555556</v>
      </c>
      <c r="AT122" s="105">
        <v>0.37222222222222223</v>
      </c>
      <c r="AU122" s="105">
        <v>4.2361111111111106E-2</v>
      </c>
      <c r="AV122" s="105">
        <v>0.37361111111111112</v>
      </c>
      <c r="AW122" s="105">
        <v>0.85138888888888886</v>
      </c>
      <c r="AX122" s="105">
        <v>0.37291666666666662</v>
      </c>
      <c r="AY122" s="105">
        <v>8.8888888888888892E-2</v>
      </c>
      <c r="AZ122" s="105">
        <v>0.37152777777777773</v>
      </c>
      <c r="BA122" s="105">
        <v>9.3055555555555558E-2</v>
      </c>
      <c r="BB122" s="105">
        <v>0.37291666666666662</v>
      </c>
      <c r="BC122" s="105">
        <v>4.7916666666666663E-2</v>
      </c>
      <c r="BD122" s="105">
        <v>0.37361111111111112</v>
      </c>
      <c r="BE122" s="105">
        <v>4.2361111111111106E-2</v>
      </c>
      <c r="BF122" s="107">
        <v>0.58194444444444449</v>
      </c>
      <c r="BG122" s="107">
        <v>5.0694444444444452E-2</v>
      </c>
      <c r="BH122" s="105">
        <v>0.37361111111111112</v>
      </c>
      <c r="BI122" s="105">
        <v>6.8749999999999992E-2</v>
      </c>
      <c r="BJ122" s="12">
        <f t="shared" si="55"/>
        <v>14</v>
      </c>
      <c r="BK122" s="112">
        <v>2</v>
      </c>
      <c r="BL122" s="2">
        <f t="shared" si="56"/>
        <v>14</v>
      </c>
      <c r="BM122" s="3">
        <f t="shared" si="57"/>
        <v>0</v>
      </c>
      <c r="BN122" s="3">
        <f t="shared" si="58"/>
        <v>0</v>
      </c>
      <c r="BO122" s="3">
        <f t="shared" si="59"/>
        <v>0</v>
      </c>
      <c r="BP122" s="3">
        <f t="shared" si="60"/>
        <v>0</v>
      </c>
      <c r="BQ122" s="3">
        <f t="shared" si="61"/>
        <v>0</v>
      </c>
      <c r="BR122" s="3">
        <f t="shared" si="62"/>
        <v>0</v>
      </c>
      <c r="BS122" s="3">
        <f t="shared" si="63"/>
        <v>0</v>
      </c>
      <c r="BT122" s="3">
        <f t="shared" si="64"/>
        <v>0</v>
      </c>
      <c r="BU122" s="3">
        <f t="shared" si="65"/>
        <v>0</v>
      </c>
      <c r="BV122" s="3">
        <f t="shared" si="66"/>
        <v>0</v>
      </c>
      <c r="BW122" s="3">
        <f t="shared" si="67"/>
        <v>0</v>
      </c>
      <c r="BX122" s="4"/>
      <c r="CB122" s="110"/>
      <c r="CC122" s="110"/>
      <c r="CD122" s="110"/>
      <c r="CE122" s="110"/>
      <c r="CF122" s="110"/>
      <c r="CG122" s="110"/>
      <c r="CH122" s="110"/>
      <c r="CI122" s="110"/>
      <c r="CJ122" s="110"/>
      <c r="CK122" s="110"/>
      <c r="CL122" s="89">
        <f t="shared" si="69"/>
        <v>0</v>
      </c>
    </row>
    <row r="125" spans="1:90" x14ac:dyDescent="0.25">
      <c r="BL125" s="44" t="s">
        <v>80</v>
      </c>
      <c r="BM125" s="45"/>
      <c r="BN125" s="45"/>
      <c r="BO125" s="46" t="s">
        <v>16</v>
      </c>
      <c r="BP125" s="47"/>
      <c r="BQ125" s="52" t="s">
        <v>81</v>
      </c>
      <c r="BR125" s="53"/>
      <c r="BS125" s="53"/>
      <c r="BT125" s="50"/>
      <c r="BU125" s="51" t="s">
        <v>22</v>
      </c>
    </row>
    <row r="126" spans="1:90" x14ac:dyDescent="0.25">
      <c r="BL126" s="44" t="s">
        <v>82</v>
      </c>
      <c r="BM126" s="45"/>
      <c r="BN126" s="45"/>
      <c r="BO126" s="46" t="s">
        <v>17</v>
      </c>
      <c r="BP126" s="47"/>
      <c r="BQ126" s="52" t="s">
        <v>83</v>
      </c>
      <c r="BR126" s="53"/>
      <c r="BS126" s="53"/>
      <c r="BT126" s="50"/>
      <c r="BU126" s="51" t="s">
        <v>23</v>
      </c>
    </row>
    <row r="127" spans="1:90" ht="15.75" x14ac:dyDescent="0.25">
      <c r="J127" s="25"/>
      <c r="K127" s="26" t="s">
        <v>68</v>
      </c>
      <c r="L127" s="27"/>
      <c r="M127" s="26"/>
      <c r="N127" s="28"/>
      <c r="O127" s="28"/>
      <c r="P127" s="29"/>
      <c r="Q127" s="30"/>
      <c r="R127" s="30"/>
      <c r="S127" s="31" t="s">
        <v>69</v>
      </c>
      <c r="T127" s="31"/>
      <c r="U127" s="29"/>
      <c r="V127" s="29"/>
      <c r="W127" s="29"/>
      <c r="X127" s="29"/>
      <c r="Y127" s="29" t="s">
        <v>70</v>
      </c>
      <c r="Z127" s="29"/>
      <c r="AA127" s="29"/>
      <c r="AB127" s="29"/>
      <c r="AC127" s="31" t="s">
        <v>71</v>
      </c>
      <c r="AD127" s="29"/>
      <c r="BL127" s="44" t="s">
        <v>84</v>
      </c>
      <c r="BM127" s="45"/>
      <c r="BN127" s="45"/>
      <c r="BO127" s="46" t="s">
        <v>18</v>
      </c>
      <c r="BP127" s="47"/>
      <c r="BQ127" s="48" t="s">
        <v>85</v>
      </c>
      <c r="BR127" s="49"/>
      <c r="BS127" s="49"/>
      <c r="BT127" s="50"/>
      <c r="BU127" s="51" t="s">
        <v>24</v>
      </c>
    </row>
    <row r="128" spans="1:90" ht="17.25" x14ac:dyDescent="0.25">
      <c r="J128" s="32"/>
      <c r="K128" s="28"/>
      <c r="L128" s="28"/>
      <c r="M128" s="28"/>
      <c r="N128" s="28"/>
      <c r="O128" s="28"/>
      <c r="P128" s="28"/>
      <c r="Q128" s="33"/>
      <c r="R128" s="33"/>
      <c r="S128" s="33"/>
      <c r="T128" s="28"/>
      <c r="U128" s="28"/>
      <c r="V128" s="28"/>
      <c r="W128" s="34"/>
      <c r="X128" s="34"/>
      <c r="Y128" s="34"/>
      <c r="Z128" s="34"/>
      <c r="AA128" s="34"/>
      <c r="AB128" s="34"/>
      <c r="AC128" s="35"/>
      <c r="AD128" s="35"/>
      <c r="BL128" s="44" t="s">
        <v>86</v>
      </c>
      <c r="BM128" s="45"/>
      <c r="BN128" s="45"/>
      <c r="BO128" s="46" t="s">
        <v>19</v>
      </c>
      <c r="BP128" s="47"/>
      <c r="BQ128" s="48" t="s">
        <v>87</v>
      </c>
      <c r="BR128" s="49"/>
      <c r="BS128" s="49"/>
      <c r="BT128" s="50"/>
      <c r="BU128" s="51" t="s">
        <v>25</v>
      </c>
    </row>
    <row r="129" spans="10:74" ht="17.25" x14ac:dyDescent="0.25">
      <c r="J129" s="32"/>
      <c r="K129" s="36"/>
      <c r="L129" s="28"/>
      <c r="M129" s="36"/>
      <c r="N129" s="28"/>
      <c r="O129" s="28"/>
      <c r="P129" s="36" t="s">
        <v>70</v>
      </c>
      <c r="Q129" s="37"/>
      <c r="R129" s="37"/>
      <c r="S129" s="33"/>
      <c r="T129" s="28"/>
      <c r="U129" s="36"/>
      <c r="V129" s="36"/>
      <c r="W129" s="29"/>
      <c r="X129" s="28"/>
      <c r="Y129" s="28"/>
      <c r="Z129" s="28"/>
      <c r="AA129" s="28"/>
      <c r="AB129" s="28"/>
      <c r="AC129" s="38"/>
      <c r="AD129" s="38"/>
      <c r="AI129" s="109"/>
      <c r="BL129" s="44" t="s">
        <v>88</v>
      </c>
      <c r="BM129" s="45"/>
      <c r="BN129" s="45"/>
      <c r="BO129" s="46" t="s">
        <v>20</v>
      </c>
      <c r="BP129" s="47"/>
      <c r="BQ129" s="47"/>
      <c r="BR129" s="47"/>
      <c r="BS129" s="47"/>
      <c r="BT129" s="47"/>
      <c r="BU129" s="47"/>
    </row>
    <row r="130" spans="10:74" ht="17.25" x14ac:dyDescent="0.25">
      <c r="J130" s="39"/>
      <c r="K130" s="36"/>
      <c r="L130" s="28"/>
      <c r="M130" s="36"/>
      <c r="N130" s="28"/>
      <c r="O130" s="28"/>
      <c r="P130" s="36"/>
      <c r="Q130" s="37"/>
      <c r="R130" s="37"/>
      <c r="S130" s="33"/>
      <c r="T130" s="29"/>
      <c r="U130" s="36"/>
      <c r="V130" s="36"/>
      <c r="W130" s="29"/>
      <c r="X130" s="28"/>
      <c r="Y130" s="28"/>
      <c r="Z130" s="28"/>
      <c r="AA130" s="28"/>
      <c r="AB130" s="28"/>
      <c r="AC130" s="38"/>
      <c r="AD130" s="38"/>
      <c r="AI130" s="109"/>
    </row>
    <row r="131" spans="10:74" ht="17.25" x14ac:dyDescent="0.25">
      <c r="J131" s="40" t="s">
        <v>72</v>
      </c>
      <c r="K131" s="41"/>
      <c r="L131" s="25"/>
      <c r="M131" s="40"/>
      <c r="N131" s="28"/>
      <c r="O131" s="28"/>
      <c r="P131" s="36"/>
      <c r="Q131" s="33"/>
      <c r="R131" s="37"/>
      <c r="S131" s="27" t="s">
        <v>73</v>
      </c>
      <c r="T131" s="28"/>
      <c r="U131" s="36"/>
      <c r="V131" s="29"/>
      <c r="W131" s="28"/>
      <c r="X131" s="28"/>
      <c r="Y131" s="28"/>
      <c r="Z131" s="28"/>
      <c r="AA131" s="28"/>
      <c r="AB131" s="28"/>
      <c r="AC131" s="27" t="s">
        <v>74</v>
      </c>
      <c r="AD131" s="38"/>
      <c r="AI131" s="109"/>
    </row>
    <row r="132" spans="10:74" ht="17.25" x14ac:dyDescent="0.25">
      <c r="J132" s="40"/>
      <c r="K132" s="40" t="s">
        <v>75</v>
      </c>
      <c r="L132" s="39"/>
      <c r="M132" s="39"/>
      <c r="N132" s="28"/>
      <c r="O132" s="28"/>
      <c r="P132" s="27"/>
      <c r="Q132" s="42"/>
      <c r="R132" s="42"/>
      <c r="S132" s="27" t="s">
        <v>76</v>
      </c>
      <c r="T132" s="27"/>
      <c r="U132" s="27"/>
      <c r="V132" s="29"/>
      <c r="W132" s="27"/>
      <c r="X132" s="28"/>
      <c r="Y132" s="28"/>
      <c r="Z132" s="28"/>
      <c r="AA132" s="28"/>
      <c r="AB132" s="28"/>
      <c r="AC132" s="27" t="s">
        <v>77</v>
      </c>
      <c r="AD132" s="38"/>
      <c r="AI132" s="109"/>
    </row>
    <row r="136" spans="10:74" x14ac:dyDescent="0.25"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</row>
    <row r="146" spans="1:90" x14ac:dyDescent="0.25">
      <c r="A146" s="62">
        <v>39</v>
      </c>
      <c r="B146" s="69" t="s">
        <v>196</v>
      </c>
      <c r="C146" s="9" t="s">
        <v>197</v>
      </c>
      <c r="D146" s="10">
        <v>0.35416666666666669</v>
      </c>
      <c r="E146" s="15">
        <v>1</v>
      </c>
      <c r="F146" s="10">
        <v>0.3527777777777778</v>
      </c>
      <c r="G146" s="10">
        <v>0.97361111111111109</v>
      </c>
      <c r="H146" s="68" t="s">
        <v>15</v>
      </c>
      <c r="I146" s="68" t="s">
        <v>15</v>
      </c>
      <c r="J146" s="10">
        <v>0.35347222222222224</v>
      </c>
      <c r="K146" s="15">
        <v>1</v>
      </c>
      <c r="L146" s="10">
        <v>0.35486111111111113</v>
      </c>
      <c r="M146" s="15">
        <v>1</v>
      </c>
      <c r="N146" s="10">
        <v>0.35138888888888886</v>
      </c>
      <c r="O146" s="15">
        <v>1</v>
      </c>
      <c r="P146" s="10">
        <v>0.35069444444444442</v>
      </c>
      <c r="Q146" s="10">
        <v>0.94027777777777777</v>
      </c>
      <c r="R146" s="10">
        <v>0.35</v>
      </c>
      <c r="S146" s="10">
        <v>0.97916666666666663</v>
      </c>
      <c r="T146" s="10">
        <v>0.34930555555555554</v>
      </c>
      <c r="U146" s="15">
        <v>1</v>
      </c>
      <c r="V146" s="65">
        <v>0.58263888888888893</v>
      </c>
      <c r="W146" s="65">
        <v>0.87638888888888888</v>
      </c>
      <c r="X146" s="10">
        <v>0.35138888888888886</v>
      </c>
      <c r="Y146" s="10">
        <v>0.97152777777777777</v>
      </c>
      <c r="Z146" s="10">
        <v>0.35069444444444442</v>
      </c>
      <c r="AA146" s="10">
        <v>0.97916666666666663</v>
      </c>
      <c r="AB146" s="10">
        <v>0.35347222222222224</v>
      </c>
      <c r="AC146" s="10">
        <v>0.92083333333333328</v>
      </c>
      <c r="AD146" s="10">
        <v>0.34652777777777777</v>
      </c>
      <c r="AE146" s="10">
        <v>0.93125000000000002</v>
      </c>
      <c r="AF146" s="10">
        <v>0.3527777777777778</v>
      </c>
      <c r="AG146" s="10">
        <v>0.94930555555555551</v>
      </c>
      <c r="AI146" s="70" t="s">
        <v>198</v>
      </c>
      <c r="AJ146" s="10">
        <v>0.35486111111111113</v>
      </c>
      <c r="AK146" s="10">
        <v>0.96388888888888891</v>
      </c>
      <c r="AL146" s="68" t="s">
        <v>15</v>
      </c>
      <c r="AM146" s="63" t="s">
        <v>15</v>
      </c>
      <c r="AN146" s="10">
        <v>0.34722222222222227</v>
      </c>
      <c r="AO146" s="10">
        <v>0.99375000000000002</v>
      </c>
      <c r="AP146" s="10">
        <v>0.34375</v>
      </c>
      <c r="AQ146" s="10">
        <v>0.93125000000000002</v>
      </c>
      <c r="AR146" s="10">
        <v>0.35000000000000003</v>
      </c>
      <c r="AS146" s="14">
        <v>1</v>
      </c>
      <c r="AT146" s="11">
        <v>0.34791666666666665</v>
      </c>
      <c r="AU146" s="11">
        <v>0.93402777777777779</v>
      </c>
      <c r="AV146" s="11">
        <v>0.34791666666666665</v>
      </c>
      <c r="AW146" s="16">
        <v>1</v>
      </c>
      <c r="AX146" s="11">
        <v>0.35069444444444442</v>
      </c>
      <c r="AY146" s="11">
        <v>0.91527777777777775</v>
      </c>
      <c r="AZ146" s="67">
        <v>0.56041666666666667</v>
      </c>
      <c r="BA146" s="67">
        <v>0.9604166666666667</v>
      </c>
      <c r="BB146" s="11">
        <v>0.34722222222222227</v>
      </c>
      <c r="BC146" s="17">
        <v>1</v>
      </c>
      <c r="BD146" s="11">
        <v>0.34791666666666665</v>
      </c>
      <c r="BE146" s="16">
        <v>1</v>
      </c>
      <c r="BF146" s="11">
        <v>0.35069444444444442</v>
      </c>
      <c r="BG146" s="16">
        <v>1</v>
      </c>
      <c r="BH146" s="11">
        <v>0.35069444444444442</v>
      </c>
      <c r="BI146" s="19">
        <v>1</v>
      </c>
      <c r="BJ146" s="66" t="s">
        <v>15</v>
      </c>
      <c r="BK146" s="64" t="s">
        <v>15</v>
      </c>
      <c r="BL146" s="12">
        <f t="shared" ref="BL146" si="70">BN146+BO146+BP146+BQ146+BV146+BT146+BU146+BY146+BR146</f>
        <v>29</v>
      </c>
      <c r="BM146" s="13">
        <v>2</v>
      </c>
      <c r="BN146" s="2">
        <f>COUNT(D146:AG146)/2+COUNT(AJ146:BK146)/2</f>
        <v>26</v>
      </c>
      <c r="BO146" s="3">
        <f>COUNTIF(D146:BK146,"OFF")/2</f>
        <v>3</v>
      </c>
      <c r="BP146" s="3">
        <f>COUNTIF(D146:BK146,"MC")/2</f>
        <v>0</v>
      </c>
      <c r="BQ146" s="3">
        <f>COUNTIF(D146:BK146,"EL")/2</f>
        <v>0</v>
      </c>
      <c r="BR146" s="3">
        <f>COUNTIF(D146:BK146,"AL")/2</f>
        <v>0</v>
      </c>
      <c r="BS146" s="3">
        <f>COUNTIF(D146:BK146,"SUS")/2</f>
        <v>0</v>
      </c>
      <c r="BT146" s="3">
        <f>COUNTIF(D146:BK146,"FL")/2</f>
        <v>0</v>
      </c>
      <c r="BU146" s="3">
        <f>COUNTIF(D146:BK146,"SICK")/2</f>
        <v>0</v>
      </c>
      <c r="BV146" s="3">
        <f>COUNTIF(D146:BK146,"HD")/2</f>
        <v>0</v>
      </c>
      <c r="BW146" s="3">
        <f>COUNTIF(D146:BK146,"AB")/2</f>
        <v>0</v>
      </c>
      <c r="BX146" s="3">
        <f>COUNTIF(D146:BK146,"NL")/2</f>
        <v>0</v>
      </c>
      <c r="BY146" s="3">
        <f>COUNTIF(D146:BK146,"SP")/2</f>
        <v>0</v>
      </c>
      <c r="BZ146" s="4"/>
    </row>
    <row r="147" spans="1:90" ht="21.75" customHeight="1" x14ac:dyDescent="0.25">
      <c r="A147" s="54">
        <v>37</v>
      </c>
      <c r="B147" s="20" t="s">
        <v>122</v>
      </c>
      <c r="C147" s="9" t="s">
        <v>123</v>
      </c>
      <c r="D147" s="105">
        <v>0.34513888888888888</v>
      </c>
      <c r="E147" s="105">
        <v>0.9604166666666667</v>
      </c>
      <c r="F147" s="105">
        <v>0.34930555555555554</v>
      </c>
      <c r="G147" s="106">
        <v>1</v>
      </c>
      <c r="H147" s="105">
        <v>0.35833333333333334</v>
      </c>
      <c r="I147" s="106">
        <v>1</v>
      </c>
      <c r="J147" s="105">
        <v>0.35138888888888892</v>
      </c>
      <c r="K147" s="106">
        <v>1</v>
      </c>
      <c r="L147" s="107">
        <v>0.57986111111111105</v>
      </c>
      <c r="M147" s="108">
        <v>1</v>
      </c>
      <c r="N147" s="105">
        <v>0.3520833333333333</v>
      </c>
      <c r="O147" s="106">
        <v>1</v>
      </c>
      <c r="P147" s="105" t="s">
        <v>195</v>
      </c>
      <c r="Q147" s="105" t="s">
        <v>195</v>
      </c>
      <c r="R147" s="105">
        <v>0.34791666666666665</v>
      </c>
      <c r="S147" s="105">
        <v>0.96944444444444444</v>
      </c>
      <c r="T147" s="105">
        <v>0.34930555555555554</v>
      </c>
      <c r="U147" s="105">
        <v>0.97222222222222221</v>
      </c>
      <c r="V147" s="105">
        <v>0.35000000000000003</v>
      </c>
      <c r="W147" s="105">
        <v>0.9604166666666667</v>
      </c>
      <c r="X147" s="105"/>
      <c r="Y147" s="105"/>
      <c r="Z147" s="105"/>
      <c r="AA147" s="105"/>
      <c r="AB147" s="73"/>
      <c r="AC147" s="72"/>
      <c r="AD147" s="77"/>
      <c r="AE147" s="77"/>
      <c r="AF147" s="73"/>
      <c r="AG147" s="73"/>
      <c r="AH147" s="58"/>
      <c r="AI147" s="75">
        <v>37</v>
      </c>
      <c r="AJ147" s="73"/>
      <c r="AK147" s="73"/>
      <c r="AL147" s="73"/>
      <c r="AM147" s="73"/>
      <c r="AN147" s="73"/>
      <c r="AO147" s="73"/>
      <c r="AP147" s="73"/>
      <c r="AQ147" s="73"/>
      <c r="AR147" s="73"/>
      <c r="AS147" s="72"/>
      <c r="AT147" s="77"/>
      <c r="AU147" s="104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2"/>
      <c r="BH147" s="77"/>
      <c r="BI147" s="77"/>
      <c r="BJ147" s="12">
        <f>BL147+BM147+BN147+BO147+BT147+BR147+BS147+BW147</f>
        <v>10</v>
      </c>
      <c r="BK147" s="13"/>
      <c r="BL147" s="2">
        <f>COUNT(D147:AG147)/2+COUNT(AJ147:BI147)/2</f>
        <v>9</v>
      </c>
      <c r="BM147" s="3">
        <f>COUNTIF(D147:BI147,"OFF")/2</f>
        <v>0</v>
      </c>
      <c r="BN147" s="3">
        <f>COUNTIF(D147:BI147,"MC")/2</f>
        <v>0</v>
      </c>
      <c r="BO147" s="3">
        <f>COUNTIF(D147:BI147,"EL")/2</f>
        <v>0</v>
      </c>
      <c r="BP147" s="3">
        <f>COUNTIF(D147:BI147,"AL")/2</f>
        <v>0</v>
      </c>
      <c r="BQ147" s="3">
        <f>COUNTIF(D147:BI147,"SUS")/2</f>
        <v>0</v>
      </c>
      <c r="BR147" s="3">
        <f>COUNTIF(D147:BI147,"FL")/2</f>
        <v>0</v>
      </c>
      <c r="BS147" s="3">
        <f>COUNTIF(D147:BI147,"SICK")/2</f>
        <v>1</v>
      </c>
      <c r="BT147" s="3">
        <f>COUNTIF(D147:BI147,"HD")/2</f>
        <v>0</v>
      </c>
      <c r="BU147" s="3">
        <f>COUNTIF(D147:BI147,"AB")/2</f>
        <v>0</v>
      </c>
      <c r="BV147" s="3">
        <f>COUNTIF(D147:BI147,"NL")/2</f>
        <v>0</v>
      </c>
      <c r="BW147" s="3">
        <f>COUNTIF(D147:BI147,"SP")/2</f>
        <v>0</v>
      </c>
      <c r="BX147" s="4"/>
      <c r="CB147" s="87">
        <v>0</v>
      </c>
      <c r="CC147" s="87">
        <v>0</v>
      </c>
      <c r="CD147" s="87">
        <v>0</v>
      </c>
      <c r="CE147" s="87">
        <v>0</v>
      </c>
      <c r="CF147" s="87">
        <v>0</v>
      </c>
      <c r="CG147" s="87">
        <v>0</v>
      </c>
      <c r="CH147" s="87">
        <v>0</v>
      </c>
      <c r="CI147" s="87">
        <v>0</v>
      </c>
      <c r="CJ147" s="87">
        <v>0</v>
      </c>
      <c r="CK147" s="87">
        <v>0</v>
      </c>
      <c r="CL147" s="89">
        <f>SUM(CB147:CK147)</f>
        <v>0</v>
      </c>
    </row>
    <row r="149" spans="1:90" ht="22.5" customHeight="1" x14ac:dyDescent="0.25">
      <c r="A149" s="54"/>
      <c r="B149" s="54" t="s">
        <v>248</v>
      </c>
      <c r="C149" s="80" t="s">
        <v>249</v>
      </c>
      <c r="D149" s="135" t="s">
        <v>250</v>
      </c>
      <c r="E149" s="136"/>
      <c r="F149" s="136"/>
      <c r="G149" s="137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I149" s="75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  <c r="BI149" s="119"/>
      <c r="BJ149" s="12"/>
      <c r="BK149" s="112"/>
      <c r="BL149" s="2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4"/>
      <c r="CB149" s="110"/>
      <c r="CC149" s="110"/>
      <c r="CD149" s="110"/>
      <c r="CE149" s="110"/>
      <c r="CF149" s="110"/>
      <c r="CG149" s="110"/>
      <c r="CH149" s="110"/>
      <c r="CI149" s="110"/>
      <c r="CJ149" s="110"/>
      <c r="CK149" s="110"/>
      <c r="CL149" s="89">
        <f>SUM(CB149:CK149)</f>
        <v>0</v>
      </c>
    </row>
    <row r="166" spans="33:62" x14ac:dyDescent="0.25">
      <c r="AG166" s="93"/>
      <c r="AI166"/>
      <c r="BH166" s="24"/>
      <c r="BJ166"/>
    </row>
    <row r="167" spans="33:62" x14ac:dyDescent="0.25">
      <c r="AG167" s="93"/>
      <c r="AI167"/>
      <c r="BH167" s="24"/>
      <c r="BJ167"/>
    </row>
    <row r="168" spans="33:62" x14ac:dyDescent="0.25">
      <c r="AG168" s="93"/>
      <c r="AI168"/>
      <c r="BH168" s="24"/>
      <c r="BJ168"/>
    </row>
    <row r="169" spans="33:62" x14ac:dyDescent="0.25">
      <c r="AG169" s="93"/>
      <c r="AI169"/>
      <c r="BH169" s="24"/>
      <c r="BJ169"/>
    </row>
    <row r="170" spans="33:62" x14ac:dyDescent="0.25">
      <c r="AG170" s="93"/>
      <c r="AI170"/>
      <c r="BH170" s="24"/>
      <c r="BJ170"/>
    </row>
    <row r="171" spans="33:62" x14ac:dyDescent="0.25">
      <c r="AG171" s="93"/>
      <c r="AI171"/>
      <c r="BH171" s="24"/>
      <c r="BJ171"/>
    </row>
    <row r="172" spans="33:62" x14ac:dyDescent="0.25">
      <c r="AG172" s="93"/>
      <c r="AI172"/>
      <c r="BH172" s="24"/>
      <c r="BJ172"/>
    </row>
    <row r="173" spans="33:62" x14ac:dyDescent="0.25">
      <c r="AG173" s="93"/>
      <c r="AI173"/>
      <c r="BH173" s="24"/>
      <c r="BJ173"/>
    </row>
    <row r="174" spans="33:62" x14ac:dyDescent="0.25">
      <c r="AG174" s="93"/>
      <c r="AI174"/>
      <c r="BH174" s="24"/>
      <c r="BJ174"/>
    </row>
    <row r="175" spans="33:62" x14ac:dyDescent="0.25">
      <c r="AG175" s="93"/>
      <c r="AI175"/>
      <c r="BH175" s="24"/>
      <c r="BJ175"/>
    </row>
    <row r="176" spans="33:62" x14ac:dyDescent="0.25">
      <c r="AG176" s="93"/>
      <c r="AI176"/>
      <c r="BH176" s="24"/>
      <c r="BJ176"/>
    </row>
    <row r="177" spans="33:62" x14ac:dyDescent="0.25">
      <c r="AG177" s="93"/>
      <c r="AI177"/>
      <c r="BH177" s="24"/>
      <c r="BJ177"/>
    </row>
    <row r="178" spans="33:62" x14ac:dyDescent="0.25">
      <c r="AG178" s="93"/>
      <c r="AI178"/>
      <c r="BH178" s="24"/>
      <c r="BJ178"/>
    </row>
    <row r="179" spans="33:62" x14ac:dyDescent="0.25">
      <c r="AG179" s="93"/>
      <c r="AI179"/>
      <c r="BH179" s="24"/>
      <c r="BJ179"/>
    </row>
  </sheetData>
  <mergeCells count="133">
    <mergeCell ref="AJ29:AK29"/>
    <mergeCell ref="D122:AE122"/>
    <mergeCell ref="D121:AE121"/>
    <mergeCell ref="D120:AG120"/>
    <mergeCell ref="D29:AG29"/>
    <mergeCell ref="AB2:AC2"/>
    <mergeCell ref="BH42:BI42"/>
    <mergeCell ref="BB42:BC42"/>
    <mergeCell ref="BB2:BC2"/>
    <mergeCell ref="AP2:AQ2"/>
    <mergeCell ref="AR3:AS3"/>
    <mergeCell ref="AT3:AU3"/>
    <mergeCell ref="AV3:AW3"/>
    <mergeCell ref="AX3:AY3"/>
    <mergeCell ref="AN3:AO3"/>
    <mergeCell ref="AI41:BJ41"/>
    <mergeCell ref="AJ42:AK42"/>
    <mergeCell ref="AL42:AM42"/>
    <mergeCell ref="AN42:AO42"/>
    <mergeCell ref="AP42:AQ42"/>
    <mergeCell ref="BD42:BE42"/>
    <mergeCell ref="BF3:BG3"/>
    <mergeCell ref="AP3:AQ3"/>
    <mergeCell ref="AX2:AY2"/>
    <mergeCell ref="P3:Q3"/>
    <mergeCell ref="N42:O42"/>
    <mergeCell ref="P42:Q42"/>
    <mergeCell ref="R3:S3"/>
    <mergeCell ref="T3:U3"/>
    <mergeCell ref="R42:S42"/>
    <mergeCell ref="T42:U42"/>
    <mergeCell ref="V3:W3"/>
    <mergeCell ref="D119:Y119"/>
    <mergeCell ref="T43:U43"/>
    <mergeCell ref="F42:G42"/>
    <mergeCell ref="J3:K3"/>
    <mergeCell ref="L3:M3"/>
    <mergeCell ref="AF3:AG3"/>
    <mergeCell ref="V42:W42"/>
    <mergeCell ref="AT42:AU42"/>
    <mergeCell ref="X43:Y43"/>
    <mergeCell ref="Z43:AA43"/>
    <mergeCell ref="AB43:AC43"/>
    <mergeCell ref="AD43:AE43"/>
    <mergeCell ref="AF43:AG43"/>
    <mergeCell ref="Z3:AA3"/>
    <mergeCell ref="AD3:AE3"/>
    <mergeCell ref="A41:AG41"/>
    <mergeCell ref="J42:K42"/>
    <mergeCell ref="L42:M42"/>
    <mergeCell ref="A42:C43"/>
    <mergeCell ref="D42:E42"/>
    <mergeCell ref="D43:E43"/>
    <mergeCell ref="F43:G43"/>
    <mergeCell ref="H43:I43"/>
    <mergeCell ref="J43:K43"/>
    <mergeCell ref="L43:M43"/>
    <mergeCell ref="N43:O43"/>
    <mergeCell ref="P43:Q43"/>
    <mergeCell ref="R43:S43"/>
    <mergeCell ref="N3:O3"/>
    <mergeCell ref="BK42:BK44"/>
    <mergeCell ref="Z42:AA42"/>
    <mergeCell ref="X42:Y42"/>
    <mergeCell ref="AB42:AC42"/>
    <mergeCell ref="BF42:BG42"/>
    <mergeCell ref="BD43:BE43"/>
    <mergeCell ref="BF43:BG43"/>
    <mergeCell ref="BH43:BI43"/>
    <mergeCell ref="X3:Y3"/>
    <mergeCell ref="AD42:AE42"/>
    <mergeCell ref="AF42:AG42"/>
    <mergeCell ref="AX42:AY42"/>
    <mergeCell ref="AZ42:BA42"/>
    <mergeCell ref="AB3:AC3"/>
    <mergeCell ref="AZ3:BA3"/>
    <mergeCell ref="BJ2:BJ4"/>
    <mergeCell ref="AF2:AG2"/>
    <mergeCell ref="AJ2:AK2"/>
    <mergeCell ref="AL2:AM2"/>
    <mergeCell ref="BD3:BE3"/>
    <mergeCell ref="AJ3:AK3"/>
    <mergeCell ref="AL3:AM3"/>
    <mergeCell ref="AZ2:BA2"/>
    <mergeCell ref="AN2:AO2"/>
    <mergeCell ref="A1:AG1"/>
    <mergeCell ref="AI1:BJ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D2:AE2"/>
    <mergeCell ref="BB3:BC3"/>
    <mergeCell ref="AR2:AS2"/>
    <mergeCell ref="AT2:AU2"/>
    <mergeCell ref="D3:E3"/>
    <mergeCell ref="F3:G3"/>
    <mergeCell ref="BH3:BI3"/>
    <mergeCell ref="H3:I3"/>
    <mergeCell ref="AV2:AW2"/>
    <mergeCell ref="D149:G149"/>
    <mergeCell ref="CB2:CK2"/>
    <mergeCell ref="CB42:CK42"/>
    <mergeCell ref="H42:I42"/>
    <mergeCell ref="AR42:AS42"/>
    <mergeCell ref="AV42:AW42"/>
    <mergeCell ref="V43:W43"/>
    <mergeCell ref="BL42:BX42"/>
    <mergeCell ref="BJ42:BJ44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L2:BX2"/>
    <mergeCell ref="BH2:BI2"/>
    <mergeCell ref="BK2:BK4"/>
    <mergeCell ref="BD2:BE2"/>
    <mergeCell ref="BF2:BG2"/>
  </mergeCells>
  <phoneticPr fontId="13" type="noConversion"/>
  <conditionalFormatting sqref="A1">
    <cfRule type="containsText" dxfId="727" priority="749" operator="containsText" text="FL">
      <formula>NOT(ISERROR(SEARCH("FL",A1)))</formula>
    </cfRule>
    <cfRule type="containsText" dxfId="726" priority="748" operator="containsText" text="AB">
      <formula>NOT(ISERROR(SEARCH("AB",A1)))</formula>
    </cfRule>
    <cfRule type="containsText" dxfId="725" priority="747" operator="containsText" text="EL">
      <formula>NOT(ISERROR(SEARCH("EL",A1)))</formula>
    </cfRule>
    <cfRule type="containsText" dxfId="724" priority="745" operator="containsText" text="SP">
      <formula>NOT(ISERROR(SEARCH("SP",A1)))</formula>
    </cfRule>
    <cfRule type="containsText" dxfId="723" priority="746" operator="containsText" text="AL">
      <formula>NOT(ISERROR(SEARCH("AL",A1)))</formula>
    </cfRule>
    <cfRule type="containsText" dxfId="722" priority="750" operator="containsText" text="SICK">
      <formula>NOT(ISERROR(SEARCH("SICK",A1)))</formula>
    </cfRule>
  </conditionalFormatting>
  <conditionalFormatting sqref="A29 A119:A122">
    <cfRule type="containsText" dxfId="721" priority="371" stopIfTrue="1" operator="containsText" text="SP">
      <formula>NOT(ISERROR(SEARCH("SP",A29)))</formula>
    </cfRule>
    <cfRule type="containsText" dxfId="720" priority="372" stopIfTrue="1" operator="containsText" text="AL">
      <formula>NOT(ISERROR(SEARCH("AL",A29)))</formula>
    </cfRule>
    <cfRule type="containsText" dxfId="719" priority="373" stopIfTrue="1" operator="containsText" text="EL">
      <formula>NOT(ISERROR(SEARCH("EL",A29)))</formula>
    </cfRule>
    <cfRule type="containsText" dxfId="718" priority="376" stopIfTrue="1" operator="containsText" text="SICK">
      <formula>NOT(ISERROR(SEARCH("SICK",A29)))</formula>
    </cfRule>
    <cfRule type="containsText" dxfId="717" priority="375" stopIfTrue="1" operator="containsText" text="FL">
      <formula>NOT(ISERROR(SEARCH("FL",A29)))</formula>
    </cfRule>
    <cfRule type="containsText" dxfId="716" priority="374" stopIfTrue="1" operator="containsText" text="AB">
      <formula>NOT(ISERROR(SEARCH("AB",A29)))</formula>
    </cfRule>
  </conditionalFormatting>
  <conditionalFormatting sqref="C149">
    <cfRule type="duplicateValues" dxfId="715" priority="761"/>
    <cfRule type="duplicateValues" dxfId="714" priority="760" stopIfTrue="1"/>
  </conditionalFormatting>
  <conditionalFormatting sqref="D149">
    <cfRule type="containsText" dxfId="713" priority="2584" operator="containsText" text="AL">
      <formula>NOT(ISERROR(SEARCH("AL",D149)))</formula>
    </cfRule>
    <cfRule type="containsText" dxfId="712" priority="2585" operator="containsText" text="EL">
      <formula>NOT(ISERROR(SEARCH("EL",D149)))</formula>
    </cfRule>
    <cfRule type="containsText" dxfId="711" priority="2586" operator="containsText" text="SICK">
      <formula>NOT(ISERROR(SEARCH("SICK",D149)))</formula>
    </cfRule>
  </conditionalFormatting>
  <conditionalFormatting sqref="D147:F147 H147 J147 L147">
    <cfRule type="containsText" dxfId="710" priority="7431" stopIfTrue="1" operator="containsText" text="AL">
      <formula>NOT(ISERROR(SEARCH("AL",D147)))</formula>
    </cfRule>
    <cfRule type="containsText" dxfId="709" priority="7432" stopIfTrue="1" operator="containsText" text="NL">
      <formula>NOT(ISERROR(SEARCH("NL",D147)))</formula>
    </cfRule>
    <cfRule type="containsText" dxfId="708" priority="7433" stopIfTrue="1" operator="containsText" text="AB">
      <formula>NOT(ISERROR(SEARCH("AB",D147)))</formula>
    </cfRule>
    <cfRule type="containsText" dxfId="707" priority="7434" stopIfTrue="1" operator="containsText" text="SICK">
      <formula>NOT(ISERROR(SEARCH("SICK",D147)))</formula>
    </cfRule>
  </conditionalFormatting>
  <conditionalFormatting sqref="D146:G146 J146:AG146">
    <cfRule type="containsText" dxfId="706" priority="8646" stopIfTrue="1" operator="containsText" text="Sick">
      <formula>NOT(ISERROR(SEARCH("Sick",D146)))</formula>
    </cfRule>
    <cfRule type="containsText" dxfId="705" priority="8645" stopIfTrue="1" operator="containsText" text="MC">
      <formula>NOT(ISERROR(SEARCH("MC",D146)))</formula>
    </cfRule>
  </conditionalFormatting>
  <conditionalFormatting sqref="D147:H147 BJ149">
    <cfRule type="containsText" dxfId="704" priority="7404" stopIfTrue="1" operator="containsText" text="SICK">
      <formula>NOT(ISERROR(SEARCH("SICK",D147)))</formula>
    </cfRule>
  </conditionalFormatting>
  <conditionalFormatting sqref="D147:H147">
    <cfRule type="containsText" dxfId="703" priority="7403" stopIfTrue="1" operator="containsText" text="AB">
      <formula>NOT(ISERROR(SEARCH("AB",D147)))</formula>
    </cfRule>
  </conditionalFormatting>
  <conditionalFormatting sqref="D5:O12 A5:A29 AI5:AI29 BJ5:BJ29 D13:AG13 D14:O20 D21:W21 AH21 D22:O29 A31:BJ37 A38:C38 E38:BJ38 A39:BJ44 A45:A122 AI45:AI122 BJ45:BJ122 N62:O62 AH62:AH63 D63:O63 J83">
    <cfRule type="containsText" dxfId="702" priority="752" stopIfTrue="1" operator="containsText" text="AL">
      <formula>NOT(ISERROR(SEARCH("AL",A5)))</formula>
    </cfRule>
    <cfRule type="containsText" dxfId="701" priority="754" stopIfTrue="1" operator="containsText" text="AB">
      <formula>NOT(ISERROR(SEARCH("AB",A5)))</formula>
    </cfRule>
    <cfRule type="containsText" dxfId="700" priority="753" stopIfTrue="1" operator="containsText" text="EL">
      <formula>NOT(ISERROR(SEARCH("EL",A5)))</formula>
    </cfRule>
    <cfRule type="containsText" dxfId="699" priority="755" stopIfTrue="1" operator="containsText" text="FL">
      <formula>NOT(ISERROR(SEARCH("FL",A5)))</formula>
    </cfRule>
    <cfRule type="containsText" dxfId="698" priority="756" stopIfTrue="1" operator="containsText" text="SICK">
      <formula>NOT(ISERROR(SEARCH("SICK",A5)))</formula>
    </cfRule>
  </conditionalFormatting>
  <conditionalFormatting sqref="D82:U82">
    <cfRule type="containsText" dxfId="697" priority="521" stopIfTrue="1" operator="containsText" text="SICK">
      <formula>NOT(ISERROR(SEARCH("SICK",D82)))</formula>
    </cfRule>
    <cfRule type="containsText" dxfId="696" priority="520" stopIfTrue="1" operator="containsText" text="FL">
      <formula>NOT(ISERROR(SEARCH("FL",D82)))</formula>
    </cfRule>
    <cfRule type="containsText" dxfId="695" priority="515" stopIfTrue="1" operator="containsText" text="NL">
      <formula>NOT(ISERROR(SEARCH("NL",D82)))</formula>
    </cfRule>
    <cfRule type="containsText" dxfId="694" priority="517" stopIfTrue="1" operator="containsText" text="AL">
      <formula>NOT(ISERROR(SEARCH("AL",D82)))</formula>
    </cfRule>
    <cfRule type="containsText" dxfId="693" priority="519" stopIfTrue="1" operator="containsText" text="AB">
      <formula>NOT(ISERROR(SEARCH("AB",D82)))</formula>
    </cfRule>
    <cfRule type="containsText" dxfId="692" priority="518" stopIfTrue="1" operator="containsText" text="EL">
      <formula>NOT(ISERROR(SEARCH("EL",D82)))</formula>
    </cfRule>
    <cfRule type="containsText" dxfId="691" priority="516" stopIfTrue="1" operator="containsText" text="SP">
      <formula>NOT(ISERROR(SEARCH("SP",D82)))</formula>
    </cfRule>
  </conditionalFormatting>
  <conditionalFormatting sqref="D13:AG13 A5:A29 A45:A122 D5:O12 AI5:AI29 BJ5:BJ29 D14:O20 D21:W21 AH21 D22:O29 A31:BJ37 A38:C38 E38:BJ38 A39:BJ44 AI45:AI122 BJ45:BJ122 N62:O62 AH62:AH63 D63:O63 J83">
    <cfRule type="containsText" dxfId="690" priority="751" stopIfTrue="1" operator="containsText" text="SP">
      <formula>NOT(ISERROR(SEARCH("SP",A5)))</formula>
    </cfRule>
  </conditionalFormatting>
  <conditionalFormatting sqref="D146:AG146 AI129:AI132">
    <cfRule type="containsText" dxfId="689" priority="8644" stopIfTrue="1" operator="containsText" text="AB">
      <formula>NOT(ISERROR(SEARCH("AB",D129)))</formula>
    </cfRule>
  </conditionalFormatting>
  <conditionalFormatting sqref="F76:G76">
    <cfRule type="containsText" dxfId="688" priority="726" operator="containsText" text="SICK">
      <formula>NOT(ISERROR(SEARCH("SICK",F76)))</formula>
    </cfRule>
    <cfRule type="containsText" dxfId="687" priority="725" operator="containsText" text="FL">
      <formula>NOT(ISERROR(SEARCH("FL",F76)))</formula>
    </cfRule>
    <cfRule type="containsText" dxfId="686" priority="724" operator="containsText" text="AB">
      <formula>NOT(ISERROR(SEARCH("AB",F76)))</formula>
    </cfRule>
    <cfRule type="containsText" dxfId="685" priority="723" operator="containsText" text="EL">
      <formula>NOT(ISERROR(SEARCH("EL",F76)))</formula>
    </cfRule>
    <cfRule type="containsText" dxfId="684" priority="722" operator="containsText" text="AL">
      <formula>NOT(ISERROR(SEARCH("AL",F76)))</formula>
    </cfRule>
    <cfRule type="containsText" dxfId="683" priority="721" operator="containsText" text="SP">
      <formula>NOT(ISERROR(SEARCH("SP",F76)))</formula>
    </cfRule>
  </conditionalFormatting>
  <conditionalFormatting sqref="F48:M48">
    <cfRule type="containsText" dxfId="682" priority="734" operator="containsText" text="AL">
      <formula>NOT(ISERROR(SEARCH("AL",F48)))</formula>
    </cfRule>
    <cfRule type="containsText" dxfId="681" priority="733" operator="containsText" text="SP">
      <formula>NOT(ISERROR(SEARCH("SP",F48)))</formula>
    </cfRule>
    <cfRule type="containsText" dxfId="680" priority="738" operator="containsText" text="SICK">
      <formula>NOT(ISERROR(SEARCH("SICK",F48)))</formula>
    </cfRule>
    <cfRule type="containsText" dxfId="679" priority="737" operator="containsText" text="FL">
      <formula>NOT(ISERROR(SEARCH("FL",F48)))</formula>
    </cfRule>
    <cfRule type="containsText" dxfId="678" priority="736" operator="containsText" text="AB">
      <formula>NOT(ISERROR(SEARCH("AB",F48)))</formula>
    </cfRule>
    <cfRule type="containsText" dxfId="677" priority="735" operator="containsText" text="EL">
      <formula>NOT(ISERROR(SEARCH("EL",F48)))</formula>
    </cfRule>
  </conditionalFormatting>
  <conditionalFormatting sqref="G147">
    <cfRule type="containsText" dxfId="676" priority="7402" stopIfTrue="1" operator="containsText" text="NL">
      <formula>NOT(ISERROR(SEARCH("NL",G147)))</formula>
    </cfRule>
    <cfRule type="containsText" dxfId="675" priority="7401" stopIfTrue="1" operator="containsText" text="AL">
      <formula>NOT(ISERROR(SEARCH("AL",G147)))</formula>
    </cfRule>
    <cfRule type="containsText" dxfId="674" priority="7399" stopIfTrue="1" operator="containsText" text="AB">
      <formula>NOT(ISERROR(SEARCH("AB",G147)))</formula>
    </cfRule>
    <cfRule type="containsText" dxfId="673" priority="7400" stopIfTrue="1" operator="containsText" text="SICK">
      <formula>NOT(ISERROR(SEARCH("SICK",G147)))</formula>
    </cfRule>
  </conditionalFormatting>
  <conditionalFormatting sqref="H58:I58">
    <cfRule type="containsText" dxfId="672" priority="716" operator="containsText" text="AL">
      <formula>NOT(ISERROR(SEARCH("AL",H58)))</formula>
    </cfRule>
    <cfRule type="containsText" dxfId="671" priority="717" operator="containsText" text="EL">
      <formula>NOT(ISERROR(SEARCH("EL",H58)))</formula>
    </cfRule>
    <cfRule type="containsText" dxfId="670" priority="718" operator="containsText" text="AB">
      <formula>NOT(ISERROR(SEARCH("AB",H58)))</formula>
    </cfRule>
    <cfRule type="containsText" dxfId="669" priority="719" operator="containsText" text="FL">
      <formula>NOT(ISERROR(SEARCH("FL",H58)))</formula>
    </cfRule>
    <cfRule type="containsText" dxfId="668" priority="720" operator="containsText" text="SICK">
      <formula>NOT(ISERROR(SEARCH("SICK",H58)))</formula>
    </cfRule>
    <cfRule type="containsText" dxfId="667" priority="715" operator="containsText" text="SP">
      <formula>NOT(ISERROR(SEARCH("SP",H58)))</formula>
    </cfRule>
  </conditionalFormatting>
  <conditionalFormatting sqref="H146:I146">
    <cfRule type="containsText" dxfId="666" priority="8641" stopIfTrue="1" operator="containsText" text="MC">
      <formula>NOT(ISERROR(SEARCH("MC",H146)))</formula>
    </cfRule>
    <cfRule type="containsText" dxfId="665" priority="8642" stopIfTrue="1" operator="containsText" text="Sick">
      <formula>NOT(ISERROR(SEARCH("Sick",H146)))</formula>
    </cfRule>
  </conditionalFormatting>
  <conditionalFormatting sqref="H149:O149 T149:AI149 D149">
    <cfRule type="containsText" dxfId="664" priority="2355" operator="containsText" text="AB">
      <formula>NOT(ISERROR(SEARCH("AB",D149)))</formula>
    </cfRule>
  </conditionalFormatting>
  <conditionalFormatting sqref="H149:O149 T149:AI149">
    <cfRule type="containsText" dxfId="663" priority="2420" operator="containsText" text="AL">
      <formula>NOT(ISERROR(SEARCH("AL",H149)))</formula>
    </cfRule>
    <cfRule type="containsText" dxfId="662" priority="2421" operator="containsText" text="EL">
      <formula>NOT(ISERROR(SEARCH("EL",H149)))</formula>
    </cfRule>
    <cfRule type="containsText" dxfId="661" priority="2422" operator="containsText" text="SICK">
      <formula>NOT(ISERROR(SEARCH("SICK",H149)))</formula>
    </cfRule>
  </conditionalFormatting>
  <conditionalFormatting sqref="I147">
    <cfRule type="containsText" dxfId="660" priority="7394" stopIfTrue="1" operator="containsText" text="SICK">
      <formula>NOT(ISERROR(SEARCH("SICK",I147)))</formula>
    </cfRule>
    <cfRule type="containsText" dxfId="659" priority="7396" stopIfTrue="1" operator="containsText" text="NL">
      <formula>NOT(ISERROR(SEARCH("NL",I147)))</formula>
    </cfRule>
    <cfRule type="containsText" dxfId="658" priority="7395" stopIfTrue="1" operator="containsText" text="AL">
      <formula>NOT(ISERROR(SEARCH("AL",I147)))</formula>
    </cfRule>
    <cfRule type="containsText" dxfId="657" priority="7393" stopIfTrue="1" operator="containsText" text="AB">
      <formula>NOT(ISERROR(SEARCH("AB",I147)))</formula>
    </cfRule>
  </conditionalFormatting>
  <conditionalFormatting sqref="I147:J147">
    <cfRule type="containsText" dxfId="656" priority="7398" stopIfTrue="1" operator="containsText" text="SICK">
      <formula>NOT(ISERROR(SEARCH("SICK",I147)))</formula>
    </cfRule>
    <cfRule type="containsText" dxfId="655" priority="7397" stopIfTrue="1" operator="containsText" text="AB">
      <formula>NOT(ISERROR(SEARCH("AB",I147)))</formula>
    </cfRule>
  </conditionalFormatting>
  <conditionalFormatting sqref="J50:K50">
    <cfRule type="containsText" dxfId="654" priority="728" operator="containsText" text="AL">
      <formula>NOT(ISERROR(SEARCH("AL",J50)))</formula>
    </cfRule>
    <cfRule type="containsText" dxfId="653" priority="732" operator="containsText" text="SICK">
      <formula>NOT(ISERROR(SEARCH("SICK",J50)))</formula>
    </cfRule>
    <cfRule type="containsText" dxfId="652" priority="731" operator="containsText" text="FL">
      <formula>NOT(ISERROR(SEARCH("FL",J50)))</formula>
    </cfRule>
    <cfRule type="containsText" dxfId="651" priority="730" operator="containsText" text="AB">
      <formula>NOT(ISERROR(SEARCH("AB",J50)))</formula>
    </cfRule>
    <cfRule type="containsText" dxfId="650" priority="729" operator="containsText" text="EL">
      <formula>NOT(ISERROR(SEARCH("EL",J50)))</formula>
    </cfRule>
    <cfRule type="containsText" dxfId="649" priority="727" operator="containsText" text="SP">
      <formula>NOT(ISERROR(SEARCH("SP",J50)))</formula>
    </cfRule>
  </conditionalFormatting>
  <conditionalFormatting sqref="K10">
    <cfRule type="colorScale" priority="3">
      <colorScale>
        <cfvo type="num" val="&quot;&gt;1:30&quot;"/>
        <cfvo type="max"/>
        <color rgb="FFFF7128"/>
        <color rgb="FFFFEF9C"/>
      </colorScale>
    </cfRule>
  </conditionalFormatting>
  <conditionalFormatting sqref="K147">
    <cfRule type="containsText" dxfId="648" priority="7387" stopIfTrue="1" operator="containsText" text="AB">
      <formula>NOT(ISERROR(SEARCH("AB",K147)))</formula>
    </cfRule>
    <cfRule type="containsText" dxfId="647" priority="7390" stopIfTrue="1" operator="containsText" text="NL">
      <formula>NOT(ISERROR(SEARCH("NL",K147)))</formula>
    </cfRule>
    <cfRule type="containsText" dxfId="646" priority="7389" stopIfTrue="1" operator="containsText" text="AL">
      <formula>NOT(ISERROR(SEARCH("AL",K147)))</formula>
    </cfRule>
    <cfRule type="containsText" dxfId="645" priority="7388" stopIfTrue="1" operator="containsText" text="SICK">
      <formula>NOT(ISERROR(SEARCH("SICK",K147)))</formula>
    </cfRule>
  </conditionalFormatting>
  <conditionalFormatting sqref="K147:BJ147">
    <cfRule type="containsText" dxfId="644" priority="7392" stopIfTrue="1" operator="containsText" text="SICK">
      <formula>NOT(ISERROR(SEARCH("SICK",K147)))</formula>
    </cfRule>
    <cfRule type="containsText" dxfId="643" priority="7391" stopIfTrue="1" operator="containsText" text="AB">
      <formula>NOT(ISERROR(SEARCH("AB",K147)))</formula>
    </cfRule>
  </conditionalFormatting>
  <conditionalFormatting sqref="L13:AG13">
    <cfRule type="containsText" dxfId="642" priority="546" stopIfTrue="1" operator="containsText" text="NL">
      <formula>NOT(ISERROR(SEARCH("NL",L13)))</formula>
    </cfRule>
  </conditionalFormatting>
  <conditionalFormatting sqref="M147">
    <cfRule type="containsText" dxfId="641" priority="7384" stopIfTrue="1" operator="containsText" text="NL">
      <formula>NOT(ISERROR(SEARCH("NL",M147)))</formula>
    </cfRule>
    <cfRule type="containsText" dxfId="640" priority="7381" stopIfTrue="1" operator="containsText" text="AB">
      <formula>NOT(ISERROR(SEARCH("AB",M147)))</formula>
    </cfRule>
    <cfRule type="containsText" dxfId="639" priority="7382" stopIfTrue="1" operator="containsText" text="SICK">
      <formula>NOT(ISERROR(SEARCH("SICK",M147)))</formula>
    </cfRule>
    <cfRule type="containsText" dxfId="638" priority="7383" stopIfTrue="1" operator="containsText" text="AL">
      <formula>NOT(ISERROR(SEARCH("AL",M147)))</formula>
    </cfRule>
  </conditionalFormatting>
  <conditionalFormatting sqref="M149 O149:U149 AJ149">
    <cfRule type="containsText" dxfId="637" priority="2115" operator="containsText" text="EL">
      <formula>NOT(ISERROR(SEARCH("EL",M149)))</formula>
    </cfRule>
    <cfRule type="containsText" dxfId="636" priority="2113" operator="containsText" text="AB">
      <formula>NOT(ISERROR(SEARCH("AB",M149)))</formula>
    </cfRule>
    <cfRule type="containsText" dxfId="635" priority="2116" operator="containsText" text="SICK">
      <formula>NOT(ISERROR(SEARCH("SICK",M149)))</formula>
    </cfRule>
    <cfRule type="containsText" dxfId="634" priority="2114" operator="containsText" text="AL">
      <formula>NOT(ISERROR(SEARCH("AL",M149)))</formula>
    </cfRule>
  </conditionalFormatting>
  <conditionalFormatting sqref="N147 P147:AI147">
    <cfRule type="containsText" dxfId="633" priority="8636" stopIfTrue="1" operator="containsText" text="SICK">
      <formula>NOT(ISERROR(SEARCH("SICK",N147)))</formula>
    </cfRule>
  </conditionalFormatting>
  <conditionalFormatting sqref="N47:O48">
    <cfRule type="containsText" dxfId="632" priority="709" operator="containsText" text="SP">
      <formula>NOT(ISERROR(SEARCH("SP",N47)))</formula>
    </cfRule>
    <cfRule type="containsText" dxfId="631" priority="710" operator="containsText" text="AL">
      <formula>NOT(ISERROR(SEARCH("AL",N47)))</formula>
    </cfRule>
    <cfRule type="containsText" dxfId="630" priority="714" operator="containsText" text="SICK">
      <formula>NOT(ISERROR(SEARCH("SICK",N47)))</formula>
    </cfRule>
    <cfRule type="containsText" dxfId="629" priority="713" operator="containsText" text="FL">
      <formula>NOT(ISERROR(SEARCH("FL",N47)))</formula>
    </cfRule>
    <cfRule type="containsText" dxfId="628" priority="712" operator="containsText" text="AB">
      <formula>NOT(ISERROR(SEARCH("AB",N47)))</formula>
    </cfRule>
    <cfRule type="containsText" dxfId="627" priority="711" operator="containsText" text="EL">
      <formula>NOT(ISERROR(SEARCH("EL",N47)))</formula>
    </cfRule>
  </conditionalFormatting>
  <conditionalFormatting sqref="N51:O51">
    <cfRule type="containsText" dxfId="626" priority="708" operator="containsText" text="SICK">
      <formula>NOT(ISERROR(SEARCH("SICK",N51)))</formula>
    </cfRule>
    <cfRule type="containsText" dxfId="625" priority="707" operator="containsText" text="FL">
      <formula>NOT(ISERROR(SEARCH("FL",N51)))</formula>
    </cfRule>
    <cfRule type="containsText" dxfId="624" priority="706" operator="containsText" text="AB">
      <formula>NOT(ISERROR(SEARCH("AB",N51)))</formula>
    </cfRule>
    <cfRule type="containsText" dxfId="623" priority="705" operator="containsText" text="EL">
      <formula>NOT(ISERROR(SEARCH("EL",N51)))</formula>
    </cfRule>
    <cfRule type="containsText" dxfId="622" priority="704" operator="containsText" text="AL">
      <formula>NOT(ISERROR(SEARCH("AL",N51)))</formula>
    </cfRule>
    <cfRule type="containsText" dxfId="621" priority="703" operator="containsText" text="SP">
      <formula>NOT(ISERROR(SEARCH("SP",N51)))</formula>
    </cfRule>
  </conditionalFormatting>
  <conditionalFormatting sqref="N53:O53">
    <cfRule type="containsText" dxfId="620" priority="702" operator="containsText" text="SICK">
      <formula>NOT(ISERROR(SEARCH("SICK",N53)))</formula>
    </cfRule>
    <cfRule type="containsText" dxfId="619" priority="701" operator="containsText" text="FL">
      <formula>NOT(ISERROR(SEARCH("FL",N53)))</formula>
    </cfRule>
    <cfRule type="containsText" dxfId="618" priority="700" operator="containsText" text="AB">
      <formula>NOT(ISERROR(SEARCH("AB",N53)))</formula>
    </cfRule>
    <cfRule type="containsText" dxfId="617" priority="699" operator="containsText" text="EL">
      <formula>NOT(ISERROR(SEARCH("EL",N53)))</formula>
    </cfRule>
    <cfRule type="containsText" dxfId="616" priority="698" operator="containsText" text="AL">
      <formula>NOT(ISERROR(SEARCH("AL",N53)))</formula>
    </cfRule>
    <cfRule type="containsText" dxfId="615" priority="697" operator="containsText" text="SP">
      <formula>NOT(ISERROR(SEARCH("SP",N53)))</formula>
    </cfRule>
  </conditionalFormatting>
  <conditionalFormatting sqref="N55:O56">
    <cfRule type="containsText" dxfId="614" priority="696" operator="containsText" text="SICK">
      <formula>NOT(ISERROR(SEARCH("SICK",N55)))</formula>
    </cfRule>
    <cfRule type="containsText" dxfId="613" priority="695" operator="containsText" text="FL">
      <formula>NOT(ISERROR(SEARCH("FL",N55)))</formula>
    </cfRule>
    <cfRule type="containsText" dxfId="612" priority="694" operator="containsText" text="AB">
      <formula>NOT(ISERROR(SEARCH("AB",N55)))</formula>
    </cfRule>
    <cfRule type="containsText" dxfId="611" priority="693" operator="containsText" text="EL">
      <formula>NOT(ISERROR(SEARCH("EL",N55)))</formula>
    </cfRule>
    <cfRule type="containsText" dxfId="610" priority="692" operator="containsText" text="AL">
      <formula>NOT(ISERROR(SEARCH("AL",N55)))</formula>
    </cfRule>
    <cfRule type="containsText" dxfId="609" priority="691" operator="containsText" text="SP">
      <formula>NOT(ISERROR(SEARCH("SP",N55)))</formula>
    </cfRule>
  </conditionalFormatting>
  <conditionalFormatting sqref="N60:O60">
    <cfRule type="containsText" dxfId="608" priority="690" operator="containsText" text="SICK">
      <formula>NOT(ISERROR(SEARCH("SICK",N60)))</formula>
    </cfRule>
    <cfRule type="containsText" dxfId="607" priority="689" operator="containsText" text="FL">
      <formula>NOT(ISERROR(SEARCH("FL",N60)))</formula>
    </cfRule>
    <cfRule type="containsText" dxfId="606" priority="688" operator="containsText" text="AB">
      <formula>NOT(ISERROR(SEARCH("AB",N60)))</formula>
    </cfRule>
    <cfRule type="containsText" dxfId="605" priority="687" operator="containsText" text="EL">
      <formula>NOT(ISERROR(SEARCH("EL",N60)))</formula>
    </cfRule>
    <cfRule type="containsText" dxfId="604" priority="686" operator="containsText" text="AL">
      <formula>NOT(ISERROR(SEARCH("AL",N60)))</formula>
    </cfRule>
    <cfRule type="containsText" dxfId="603" priority="685" operator="containsText" text="SP">
      <formula>NOT(ISERROR(SEARCH("SP",N60)))</formula>
    </cfRule>
  </conditionalFormatting>
  <conditionalFormatting sqref="N64:O64">
    <cfRule type="containsText" dxfId="602" priority="682" operator="containsText" text="AB">
      <formula>NOT(ISERROR(SEARCH("AB",N64)))</formula>
    </cfRule>
    <cfRule type="containsText" dxfId="601" priority="684" operator="containsText" text="SICK">
      <formula>NOT(ISERROR(SEARCH("SICK",N64)))</formula>
    </cfRule>
    <cfRule type="containsText" dxfId="600" priority="683" operator="containsText" text="FL">
      <formula>NOT(ISERROR(SEARCH("FL",N64)))</formula>
    </cfRule>
    <cfRule type="containsText" dxfId="599" priority="681" operator="containsText" text="EL">
      <formula>NOT(ISERROR(SEARCH("EL",N64)))</formula>
    </cfRule>
    <cfRule type="containsText" dxfId="598" priority="680" operator="containsText" text="AL">
      <formula>NOT(ISERROR(SEARCH("AL",N64)))</formula>
    </cfRule>
    <cfRule type="containsText" dxfId="597" priority="679" operator="containsText" text="SP">
      <formula>NOT(ISERROR(SEARCH("SP",N64)))</formula>
    </cfRule>
  </conditionalFormatting>
  <conditionalFormatting sqref="N66:O67">
    <cfRule type="containsText" dxfId="596" priority="678" operator="containsText" text="SICK">
      <formula>NOT(ISERROR(SEARCH("SICK",N66)))</formula>
    </cfRule>
    <cfRule type="containsText" dxfId="595" priority="677" operator="containsText" text="FL">
      <formula>NOT(ISERROR(SEARCH("FL",N66)))</formula>
    </cfRule>
    <cfRule type="containsText" dxfId="594" priority="676" operator="containsText" text="AB">
      <formula>NOT(ISERROR(SEARCH("AB",N66)))</formula>
    </cfRule>
    <cfRule type="containsText" dxfId="593" priority="675" operator="containsText" text="EL">
      <formula>NOT(ISERROR(SEARCH("EL",N66)))</formula>
    </cfRule>
    <cfRule type="containsText" dxfId="592" priority="674" operator="containsText" text="AL">
      <formula>NOT(ISERROR(SEARCH("AL",N66)))</formula>
    </cfRule>
    <cfRule type="containsText" dxfId="591" priority="673" operator="containsText" text="SP">
      <formula>NOT(ISERROR(SEARCH("SP",N66)))</formula>
    </cfRule>
  </conditionalFormatting>
  <conditionalFormatting sqref="N70:O70">
    <cfRule type="containsText" dxfId="590" priority="661" operator="containsText" text="SP">
      <formula>NOT(ISERROR(SEARCH("SP",N70)))</formula>
    </cfRule>
    <cfRule type="containsText" dxfId="589" priority="662" operator="containsText" text="AL">
      <formula>NOT(ISERROR(SEARCH("AL",N70)))</formula>
    </cfRule>
    <cfRule type="containsText" dxfId="588" priority="663" operator="containsText" text="EL">
      <formula>NOT(ISERROR(SEARCH("EL",N70)))</formula>
    </cfRule>
    <cfRule type="containsText" dxfId="587" priority="664" operator="containsText" text="AB">
      <formula>NOT(ISERROR(SEARCH("AB",N70)))</formula>
    </cfRule>
    <cfRule type="containsText" dxfId="586" priority="665" operator="containsText" text="FL">
      <formula>NOT(ISERROR(SEARCH("FL",N70)))</formula>
    </cfRule>
    <cfRule type="containsText" dxfId="585" priority="666" operator="containsText" text="SICK">
      <formula>NOT(ISERROR(SEARCH("SICK",N70)))</formula>
    </cfRule>
  </conditionalFormatting>
  <conditionalFormatting sqref="N72:O74">
    <cfRule type="containsText" dxfId="584" priority="668" operator="containsText" text="AL">
      <formula>NOT(ISERROR(SEARCH("AL",N72)))</formula>
    </cfRule>
    <cfRule type="containsText" dxfId="583" priority="667" operator="containsText" text="SP">
      <formula>NOT(ISERROR(SEARCH("SP",N72)))</formula>
    </cfRule>
    <cfRule type="containsText" dxfId="582" priority="672" operator="containsText" text="SICK">
      <formula>NOT(ISERROR(SEARCH("SICK",N72)))</formula>
    </cfRule>
    <cfRule type="containsText" dxfId="581" priority="671" operator="containsText" text="FL">
      <formula>NOT(ISERROR(SEARCH("FL",N72)))</formula>
    </cfRule>
    <cfRule type="containsText" dxfId="580" priority="670" operator="containsText" text="AB">
      <formula>NOT(ISERROR(SEARCH("AB",N72)))</formula>
    </cfRule>
    <cfRule type="containsText" dxfId="579" priority="669" operator="containsText" text="EL">
      <formula>NOT(ISERROR(SEARCH("EL",N72)))</formula>
    </cfRule>
  </conditionalFormatting>
  <conditionalFormatting sqref="N77:O77">
    <cfRule type="containsText" dxfId="578" priority="657" operator="containsText" text="EL">
      <formula>NOT(ISERROR(SEARCH("EL",N77)))</formula>
    </cfRule>
    <cfRule type="containsText" dxfId="577" priority="658" operator="containsText" text="AB">
      <formula>NOT(ISERROR(SEARCH("AB",N77)))</formula>
    </cfRule>
    <cfRule type="containsText" dxfId="576" priority="659" operator="containsText" text="FL">
      <formula>NOT(ISERROR(SEARCH("FL",N77)))</formula>
    </cfRule>
    <cfRule type="containsText" dxfId="575" priority="660" operator="containsText" text="SICK">
      <formula>NOT(ISERROR(SEARCH("SICK",N77)))</formula>
    </cfRule>
    <cfRule type="containsText" dxfId="574" priority="656" operator="containsText" text="AL">
      <formula>NOT(ISERROR(SEARCH("AL",N77)))</formula>
    </cfRule>
    <cfRule type="containsText" dxfId="573" priority="655" operator="containsText" text="SP">
      <formula>NOT(ISERROR(SEARCH("SP",N77)))</formula>
    </cfRule>
  </conditionalFormatting>
  <conditionalFormatting sqref="N79:O79">
    <cfRule type="containsText" dxfId="572" priority="650" operator="containsText" text="AL">
      <formula>NOT(ISERROR(SEARCH("AL",N79)))</formula>
    </cfRule>
    <cfRule type="containsText" dxfId="571" priority="649" operator="containsText" text="SP">
      <formula>NOT(ISERROR(SEARCH("SP",N79)))</formula>
    </cfRule>
    <cfRule type="containsText" dxfId="570" priority="654" operator="containsText" text="SICK">
      <formula>NOT(ISERROR(SEARCH("SICK",N79)))</formula>
    </cfRule>
    <cfRule type="containsText" dxfId="569" priority="653" operator="containsText" text="FL">
      <formula>NOT(ISERROR(SEARCH("FL",N79)))</formula>
    </cfRule>
    <cfRule type="containsText" dxfId="568" priority="652" operator="containsText" text="AB">
      <formula>NOT(ISERROR(SEARCH("AB",N79)))</formula>
    </cfRule>
    <cfRule type="containsText" dxfId="567" priority="651" operator="containsText" text="EL">
      <formula>NOT(ISERROR(SEARCH("EL",N79)))</formula>
    </cfRule>
  </conditionalFormatting>
  <conditionalFormatting sqref="N84:O84">
    <cfRule type="containsText" dxfId="566" priority="644" operator="containsText" text="AL">
      <formula>NOT(ISERROR(SEARCH("AL",N84)))</formula>
    </cfRule>
    <cfRule type="containsText" dxfId="565" priority="646" operator="containsText" text="AB">
      <formula>NOT(ISERROR(SEARCH("AB",N84)))</formula>
    </cfRule>
    <cfRule type="containsText" dxfId="564" priority="645" operator="containsText" text="EL">
      <formula>NOT(ISERROR(SEARCH("EL",N84)))</formula>
    </cfRule>
    <cfRule type="containsText" dxfId="563" priority="643" operator="containsText" text="SP">
      <formula>NOT(ISERROR(SEARCH("SP",N84)))</formula>
    </cfRule>
    <cfRule type="containsText" dxfId="562" priority="648" operator="containsText" text="SICK">
      <formula>NOT(ISERROR(SEARCH("SICK",N84)))</formula>
    </cfRule>
    <cfRule type="containsText" dxfId="561" priority="647" operator="containsText" text="FL">
      <formula>NOT(ISERROR(SEARCH("FL",N84)))</formula>
    </cfRule>
  </conditionalFormatting>
  <conditionalFormatting sqref="N86:O86">
    <cfRule type="containsText" dxfId="560" priority="639" operator="containsText" text="EL">
      <formula>NOT(ISERROR(SEARCH("EL",N86)))</formula>
    </cfRule>
    <cfRule type="containsText" dxfId="559" priority="642" operator="containsText" text="SICK">
      <formula>NOT(ISERROR(SEARCH("SICK",N86)))</formula>
    </cfRule>
    <cfRule type="containsText" dxfId="558" priority="641" operator="containsText" text="FL">
      <formula>NOT(ISERROR(SEARCH("FL",N86)))</formula>
    </cfRule>
    <cfRule type="containsText" dxfId="557" priority="640" operator="containsText" text="AB">
      <formula>NOT(ISERROR(SEARCH("AB",N86)))</formula>
    </cfRule>
    <cfRule type="containsText" dxfId="556" priority="637" operator="containsText" text="SP">
      <formula>NOT(ISERROR(SEARCH("SP",N86)))</formula>
    </cfRule>
    <cfRule type="containsText" dxfId="555" priority="638" operator="containsText" text="AL">
      <formula>NOT(ISERROR(SEARCH("AL",N86)))</formula>
    </cfRule>
  </conditionalFormatting>
  <conditionalFormatting sqref="N89:O90">
    <cfRule type="containsText" dxfId="554" priority="636" operator="containsText" text="SICK">
      <formula>NOT(ISERROR(SEARCH("SICK",N89)))</formula>
    </cfRule>
    <cfRule type="containsText" dxfId="553" priority="635" operator="containsText" text="FL">
      <formula>NOT(ISERROR(SEARCH("FL",N89)))</formula>
    </cfRule>
    <cfRule type="containsText" dxfId="552" priority="634" operator="containsText" text="AB">
      <formula>NOT(ISERROR(SEARCH("AB",N89)))</formula>
    </cfRule>
    <cfRule type="containsText" dxfId="551" priority="633" operator="containsText" text="EL">
      <formula>NOT(ISERROR(SEARCH("EL",N89)))</formula>
    </cfRule>
    <cfRule type="containsText" dxfId="550" priority="632" operator="containsText" text="AL">
      <formula>NOT(ISERROR(SEARCH("AL",N89)))</formula>
    </cfRule>
    <cfRule type="containsText" dxfId="549" priority="631" operator="containsText" text="SP">
      <formula>NOT(ISERROR(SEARCH("SP",N89)))</formula>
    </cfRule>
  </conditionalFormatting>
  <conditionalFormatting sqref="N92:O93">
    <cfRule type="containsText" dxfId="548" priority="626" operator="containsText" text="AL">
      <formula>NOT(ISERROR(SEARCH("AL",N92)))</formula>
    </cfRule>
    <cfRule type="containsText" dxfId="547" priority="625" operator="containsText" text="SP">
      <formula>NOT(ISERROR(SEARCH("SP",N92)))</formula>
    </cfRule>
    <cfRule type="containsText" dxfId="546" priority="630" operator="containsText" text="SICK">
      <formula>NOT(ISERROR(SEARCH("SICK",N92)))</formula>
    </cfRule>
    <cfRule type="containsText" dxfId="545" priority="629" operator="containsText" text="FL">
      <formula>NOT(ISERROR(SEARCH("FL",N92)))</formula>
    </cfRule>
    <cfRule type="containsText" dxfId="544" priority="628" operator="containsText" text="AB">
      <formula>NOT(ISERROR(SEARCH("AB",N92)))</formula>
    </cfRule>
    <cfRule type="containsText" dxfId="543" priority="627" operator="containsText" text="EL">
      <formula>NOT(ISERROR(SEARCH("EL",N92)))</formula>
    </cfRule>
  </conditionalFormatting>
  <conditionalFormatting sqref="N97:O99">
    <cfRule type="containsText" dxfId="542" priority="624" operator="containsText" text="SICK">
      <formula>NOT(ISERROR(SEARCH("SICK",N97)))</formula>
    </cfRule>
    <cfRule type="containsText" dxfId="541" priority="623" operator="containsText" text="FL">
      <formula>NOT(ISERROR(SEARCH("FL",N97)))</formula>
    </cfRule>
    <cfRule type="containsText" dxfId="540" priority="622" operator="containsText" text="AB">
      <formula>NOT(ISERROR(SEARCH("AB",N97)))</formula>
    </cfRule>
    <cfRule type="containsText" dxfId="539" priority="621" operator="containsText" text="EL">
      <formula>NOT(ISERROR(SEARCH("EL",N97)))</formula>
    </cfRule>
    <cfRule type="containsText" dxfId="538" priority="620" operator="containsText" text="AL">
      <formula>NOT(ISERROR(SEARCH("AL",N97)))</formula>
    </cfRule>
    <cfRule type="containsText" dxfId="537" priority="619" operator="containsText" text="SP">
      <formula>NOT(ISERROR(SEARCH("SP",N97)))</formula>
    </cfRule>
  </conditionalFormatting>
  <conditionalFormatting sqref="N101:O102">
    <cfRule type="containsText" dxfId="536" priority="618" operator="containsText" text="SICK">
      <formula>NOT(ISERROR(SEARCH("SICK",N101)))</formula>
    </cfRule>
    <cfRule type="containsText" dxfId="535" priority="617" operator="containsText" text="FL">
      <formula>NOT(ISERROR(SEARCH("FL",N101)))</formula>
    </cfRule>
    <cfRule type="containsText" dxfId="534" priority="613" operator="containsText" text="SP">
      <formula>NOT(ISERROR(SEARCH("SP",N101)))</formula>
    </cfRule>
    <cfRule type="containsText" dxfId="533" priority="616" operator="containsText" text="AB">
      <formula>NOT(ISERROR(SEARCH("AB",N101)))</formula>
    </cfRule>
    <cfRule type="containsText" dxfId="532" priority="614" operator="containsText" text="AL">
      <formula>NOT(ISERROR(SEARCH("AL",N101)))</formula>
    </cfRule>
    <cfRule type="containsText" dxfId="531" priority="615" operator="containsText" text="EL">
      <formula>NOT(ISERROR(SEARCH("EL",N101)))</formula>
    </cfRule>
  </conditionalFormatting>
  <conditionalFormatting sqref="N105:O106">
    <cfRule type="containsText" dxfId="530" priority="608" operator="containsText" text="AL">
      <formula>NOT(ISERROR(SEARCH("AL",N105)))</formula>
    </cfRule>
    <cfRule type="containsText" dxfId="529" priority="607" operator="containsText" text="SP">
      <formula>NOT(ISERROR(SEARCH("SP",N105)))</formula>
    </cfRule>
    <cfRule type="containsText" dxfId="528" priority="612" operator="containsText" text="SICK">
      <formula>NOT(ISERROR(SEARCH("SICK",N105)))</formula>
    </cfRule>
    <cfRule type="containsText" dxfId="527" priority="611" operator="containsText" text="FL">
      <formula>NOT(ISERROR(SEARCH("FL",N105)))</formula>
    </cfRule>
    <cfRule type="containsText" dxfId="526" priority="610" operator="containsText" text="AB">
      <formula>NOT(ISERROR(SEARCH("AB",N105)))</formula>
    </cfRule>
    <cfRule type="containsText" dxfId="525" priority="609" operator="containsText" text="EL">
      <formula>NOT(ISERROR(SEARCH("EL",N105)))</formula>
    </cfRule>
  </conditionalFormatting>
  <conditionalFormatting sqref="N108:O108">
    <cfRule type="containsText" dxfId="524" priority="606" operator="containsText" text="SICK">
      <formula>NOT(ISERROR(SEARCH("SICK",N108)))</formula>
    </cfRule>
    <cfRule type="containsText" dxfId="523" priority="605" operator="containsText" text="FL">
      <formula>NOT(ISERROR(SEARCH("FL",N108)))</formula>
    </cfRule>
    <cfRule type="containsText" dxfId="522" priority="604" operator="containsText" text="AB">
      <formula>NOT(ISERROR(SEARCH("AB",N108)))</formula>
    </cfRule>
    <cfRule type="containsText" dxfId="521" priority="603" operator="containsText" text="EL">
      <formula>NOT(ISERROR(SEARCH("EL",N108)))</formula>
    </cfRule>
    <cfRule type="containsText" dxfId="520" priority="602" operator="containsText" text="AL">
      <formula>NOT(ISERROR(SEARCH("AL",N108)))</formula>
    </cfRule>
    <cfRule type="containsText" dxfId="519" priority="601" operator="containsText" text="SP">
      <formula>NOT(ISERROR(SEARCH("SP",N108)))</formula>
    </cfRule>
  </conditionalFormatting>
  <conditionalFormatting sqref="N110:O110">
    <cfRule type="containsText" dxfId="518" priority="600" operator="containsText" text="SICK">
      <formula>NOT(ISERROR(SEARCH("SICK",N110)))</formula>
    </cfRule>
    <cfRule type="containsText" dxfId="517" priority="599" operator="containsText" text="FL">
      <formula>NOT(ISERROR(SEARCH("FL",N110)))</formula>
    </cfRule>
    <cfRule type="containsText" dxfId="516" priority="598" operator="containsText" text="AB">
      <formula>NOT(ISERROR(SEARCH("AB",N110)))</formula>
    </cfRule>
    <cfRule type="containsText" dxfId="515" priority="597" operator="containsText" text="EL">
      <formula>NOT(ISERROR(SEARCH("EL",N110)))</formula>
    </cfRule>
    <cfRule type="containsText" dxfId="514" priority="596" operator="containsText" text="AL">
      <formula>NOT(ISERROR(SEARCH("AL",N110)))</formula>
    </cfRule>
    <cfRule type="containsText" dxfId="513" priority="595" operator="containsText" text="SP">
      <formula>NOT(ISERROR(SEARCH("SP",N110)))</formula>
    </cfRule>
  </conditionalFormatting>
  <conditionalFormatting sqref="N112:O112">
    <cfRule type="containsText" dxfId="512" priority="591" operator="containsText" text="EL">
      <formula>NOT(ISERROR(SEARCH("EL",N112)))</formula>
    </cfRule>
    <cfRule type="containsText" dxfId="511" priority="589" operator="containsText" text="SP">
      <formula>NOT(ISERROR(SEARCH("SP",N112)))</formula>
    </cfRule>
    <cfRule type="containsText" dxfId="510" priority="592" operator="containsText" text="AB">
      <formula>NOT(ISERROR(SEARCH("AB",N112)))</formula>
    </cfRule>
    <cfRule type="containsText" dxfId="509" priority="590" operator="containsText" text="AL">
      <formula>NOT(ISERROR(SEARCH("AL",N112)))</formula>
    </cfRule>
    <cfRule type="containsText" dxfId="508" priority="594" operator="containsText" text="SICK">
      <formula>NOT(ISERROR(SEARCH("SICK",N112)))</formula>
    </cfRule>
    <cfRule type="containsText" dxfId="507" priority="593" operator="containsText" text="FL">
      <formula>NOT(ISERROR(SEARCH("FL",N112)))</formula>
    </cfRule>
  </conditionalFormatting>
  <conditionalFormatting sqref="N115:O116">
    <cfRule type="containsText" dxfId="506" priority="583" operator="containsText" text="SP">
      <formula>NOT(ISERROR(SEARCH("SP",N115)))</formula>
    </cfRule>
    <cfRule type="containsText" dxfId="505" priority="584" operator="containsText" text="AL">
      <formula>NOT(ISERROR(SEARCH("AL",N115)))</formula>
    </cfRule>
    <cfRule type="containsText" dxfId="504" priority="585" operator="containsText" text="EL">
      <formula>NOT(ISERROR(SEARCH("EL",N115)))</formula>
    </cfRule>
    <cfRule type="containsText" dxfId="503" priority="586" operator="containsText" text="AB">
      <formula>NOT(ISERROR(SEARCH("AB",N115)))</formula>
    </cfRule>
    <cfRule type="containsText" dxfId="502" priority="587" operator="containsText" text="FL">
      <formula>NOT(ISERROR(SEARCH("FL",N115)))</formula>
    </cfRule>
    <cfRule type="containsText" dxfId="501" priority="588" operator="containsText" text="SICK">
      <formula>NOT(ISERROR(SEARCH("SICK",N115)))</formula>
    </cfRule>
  </conditionalFormatting>
  <conditionalFormatting sqref="N147:AG147 AJ147:BI147">
    <cfRule type="containsText" dxfId="500" priority="7438" stopIfTrue="1" operator="containsText" text="NL">
      <formula>NOT(ISERROR(SEARCH("NL",N147)))</formula>
    </cfRule>
    <cfRule type="containsText" dxfId="499" priority="7437" stopIfTrue="1" operator="containsText" text="AL">
      <formula>NOT(ISERROR(SEARCH("AL",N147)))</formula>
    </cfRule>
  </conditionalFormatting>
  <conditionalFormatting sqref="N147:AG147">
    <cfRule type="containsText" dxfId="498" priority="7440" stopIfTrue="1" operator="containsText" text="SICK">
      <formula>NOT(ISERROR(SEARCH("SICK",N147)))</formula>
    </cfRule>
    <cfRule type="containsText" dxfId="497" priority="7439" stopIfTrue="1" operator="containsText" text="AB">
      <formula>NOT(ISERROR(SEARCH("AB",N147)))</formula>
    </cfRule>
  </conditionalFormatting>
  <conditionalFormatting sqref="O127:AD130 Z134:Z135">
    <cfRule type="containsText" dxfId="496" priority="2587" stopIfTrue="1" operator="containsText" text="AB">
      <formula>NOT(ISERROR(SEARCH("AB",O127)))</formula>
    </cfRule>
    <cfRule type="containsText" dxfId="495" priority="2588" stopIfTrue="1" operator="containsText" text="SICK">
      <formula>NOT(ISERROR(SEARCH("SICK",O127)))</formula>
    </cfRule>
    <cfRule type="containsText" dxfId="494" priority="2589" stopIfTrue="1" operator="containsText" text="SP">
      <formula>NOT(ISERROR(SEARCH("SP",O127)))</formula>
    </cfRule>
    <cfRule type="containsText" priority="2590" stopIfTrue="1" operator="containsText" text="SP">
      <formula>NOT(ISERROR(SEARCH("SP",O127)))</formula>
    </cfRule>
    <cfRule type="containsText" dxfId="493" priority="2591" stopIfTrue="1" operator="containsText" text="SICK">
      <formula>NOT(ISERROR(SEARCH("SICK",O127)))</formula>
    </cfRule>
  </conditionalFormatting>
  <conditionalFormatting sqref="P48:S48">
    <cfRule type="containsText" dxfId="492" priority="538" operator="containsText" text="FL">
      <formula>NOT(ISERROR(SEARCH("FL",P48)))</formula>
    </cfRule>
    <cfRule type="containsText" dxfId="491" priority="539" operator="containsText" text="SICK">
      <formula>NOT(ISERROR(SEARCH("SICK",P48)))</formula>
    </cfRule>
    <cfRule type="containsText" dxfId="490" priority="537" operator="containsText" text="AB">
      <formula>NOT(ISERROR(SEARCH("AB",P48)))</formula>
    </cfRule>
    <cfRule type="containsText" dxfId="489" priority="536" operator="containsText" text="EL">
      <formula>NOT(ISERROR(SEARCH("EL",P48)))</formula>
    </cfRule>
    <cfRule type="containsText" dxfId="488" priority="535" operator="containsText" text="AL">
      <formula>NOT(ISERROR(SEARCH("AL",P48)))</formula>
    </cfRule>
    <cfRule type="containsText" dxfId="487" priority="534" operator="containsText" text="SP">
      <formula>NOT(ISERROR(SEARCH("SP",P48)))</formula>
    </cfRule>
  </conditionalFormatting>
  <conditionalFormatting sqref="P147:AI147 AI129:AI132 N147">
    <cfRule type="containsText" dxfId="486" priority="8563" stopIfTrue="1" operator="containsText" text="HD">
      <formula>NOT(ISERROR(SEARCH("HD",N129)))</formula>
    </cfRule>
  </conditionalFormatting>
  <conditionalFormatting sqref="Q6">
    <cfRule type="containsText" dxfId="485" priority="576" operator="containsText" text="SICK">
      <formula>NOT(ISERROR(SEARCH("SICK",Q6)))</formula>
    </cfRule>
    <cfRule type="containsText" dxfId="484" priority="574" operator="containsText" text="AB">
      <formula>NOT(ISERROR(SEARCH("AB",Q6)))</formula>
    </cfRule>
    <cfRule type="containsText" dxfId="483" priority="573" operator="containsText" text="EL">
      <formula>NOT(ISERROR(SEARCH("EL",Q6)))</formula>
    </cfRule>
    <cfRule type="containsText" dxfId="482" priority="572" operator="containsText" text="AL">
      <formula>NOT(ISERROR(SEARCH("AL",Q6)))</formula>
    </cfRule>
    <cfRule type="containsText" dxfId="481" priority="571" operator="containsText" text="SP">
      <formula>NOT(ISERROR(SEARCH("SP",Q6)))</formula>
    </cfRule>
    <cfRule type="containsText" dxfId="480" priority="575" operator="containsText" text="FL">
      <formula>NOT(ISERROR(SEARCH("FL",Q6)))</formula>
    </cfRule>
  </conditionalFormatting>
  <conditionalFormatting sqref="Q18">
    <cfRule type="containsText" dxfId="479" priority="330" stopIfTrue="1" operator="containsText" text="AL">
      <formula>NOT(ISERROR(SEARCH("AL",Q18)))</formula>
    </cfRule>
    <cfRule type="containsText" dxfId="478" priority="331" stopIfTrue="1" operator="containsText" text="EL">
      <formula>NOT(ISERROR(SEARCH("EL",Q18)))</formula>
    </cfRule>
    <cfRule type="containsText" dxfId="477" priority="332" stopIfTrue="1" operator="containsText" text="AB">
      <formula>NOT(ISERROR(SEARCH("AB",Q18)))</formula>
    </cfRule>
    <cfRule type="containsText" dxfId="476" priority="334" stopIfTrue="1" operator="containsText" text="SICK">
      <formula>NOT(ISERROR(SEARCH("SICK",Q18)))</formula>
    </cfRule>
    <cfRule type="containsText" dxfId="475" priority="333" stopIfTrue="1" operator="containsText" text="FL">
      <formula>NOT(ISERROR(SEARCH("FL",Q18)))</formula>
    </cfRule>
    <cfRule type="containsText" dxfId="474" priority="329" stopIfTrue="1" operator="containsText" text="SP">
      <formula>NOT(ISERROR(SEARCH("SP",Q18)))</formula>
    </cfRule>
  </conditionalFormatting>
  <conditionalFormatting sqref="S5:S6">
    <cfRule type="containsText" dxfId="473" priority="582" operator="containsText" text="SICK">
      <formula>NOT(ISERROR(SEARCH("SICK",S5)))</formula>
    </cfRule>
    <cfRule type="containsText" dxfId="472" priority="581" operator="containsText" text="FL">
      <formula>NOT(ISERROR(SEARCH("FL",S5)))</formula>
    </cfRule>
    <cfRule type="containsText" dxfId="471" priority="580" operator="containsText" text="AB">
      <formula>NOT(ISERROR(SEARCH("AB",S5)))</formula>
    </cfRule>
    <cfRule type="containsText" dxfId="470" priority="579" operator="containsText" text="EL">
      <formula>NOT(ISERROR(SEARCH("EL",S5)))</formula>
    </cfRule>
    <cfRule type="containsText" dxfId="469" priority="578" operator="containsText" text="AL">
      <formula>NOT(ISERROR(SEARCH("AL",S5)))</formula>
    </cfRule>
    <cfRule type="containsText" dxfId="468" priority="577" operator="containsText" text="SP">
      <formula>NOT(ISERROR(SEARCH("SP",S5)))</formula>
    </cfRule>
  </conditionalFormatting>
  <conditionalFormatting sqref="T16:U17">
    <cfRule type="containsText" dxfId="467" priority="544" stopIfTrue="1" operator="containsText" text="FL">
      <formula>NOT(ISERROR(SEARCH("FL",T16)))</formula>
    </cfRule>
    <cfRule type="containsText" dxfId="466" priority="542" stopIfTrue="1" operator="containsText" text="EL">
      <formula>NOT(ISERROR(SEARCH("EL",T16)))</formula>
    </cfRule>
    <cfRule type="containsText" dxfId="465" priority="543" stopIfTrue="1" operator="containsText" text="AB">
      <formula>NOT(ISERROR(SEARCH("AB",T16)))</formula>
    </cfRule>
    <cfRule type="containsText" dxfId="464" priority="540" stopIfTrue="1" operator="containsText" text="SP">
      <formula>NOT(ISERROR(SEARCH("SP",T16)))</formula>
    </cfRule>
    <cfRule type="containsText" dxfId="463" priority="541" stopIfTrue="1" operator="containsText" text="AL">
      <formula>NOT(ISERROR(SEARCH("AL",T16)))</formula>
    </cfRule>
    <cfRule type="containsText" dxfId="462" priority="545" stopIfTrue="1" operator="containsText" text="SICK">
      <formula>NOT(ISERROR(SEARCH("SICK",T16)))</formula>
    </cfRule>
  </conditionalFormatting>
  <conditionalFormatting sqref="T101:U101">
    <cfRule type="containsText" dxfId="461" priority="525" operator="containsText" text="AB">
      <formula>NOT(ISERROR(SEARCH("AB",T101)))</formula>
    </cfRule>
    <cfRule type="containsText" dxfId="460" priority="527" operator="containsText" text="SICK">
      <formula>NOT(ISERROR(SEARCH("SICK",T101)))</formula>
    </cfRule>
    <cfRule type="containsText" dxfId="459" priority="526" operator="containsText" text="FL">
      <formula>NOT(ISERROR(SEARCH("FL",T101)))</formula>
    </cfRule>
    <cfRule type="containsText" dxfId="458" priority="524" operator="containsText" text="EL">
      <formula>NOT(ISERROR(SEARCH("EL",T101)))</formula>
    </cfRule>
    <cfRule type="containsText" dxfId="457" priority="523" operator="containsText" text="AL">
      <formula>NOT(ISERROR(SEARCH("AL",T101)))</formula>
    </cfRule>
    <cfRule type="containsText" dxfId="456" priority="522" operator="containsText" text="SP">
      <formula>NOT(ISERROR(SEARCH("SP",T101)))</formula>
    </cfRule>
  </conditionalFormatting>
  <conditionalFormatting sqref="U6">
    <cfRule type="containsText" dxfId="455" priority="570" operator="containsText" text="SICK">
      <formula>NOT(ISERROR(SEARCH("SICK",U6)))</formula>
    </cfRule>
    <cfRule type="containsText" dxfId="454" priority="565" operator="containsText" text="SP">
      <formula>NOT(ISERROR(SEARCH("SP",U6)))</formula>
    </cfRule>
    <cfRule type="containsText" dxfId="453" priority="568" operator="containsText" text="AB">
      <formula>NOT(ISERROR(SEARCH("AB",U6)))</formula>
    </cfRule>
    <cfRule type="containsText" dxfId="452" priority="567" operator="containsText" text="EL">
      <formula>NOT(ISERROR(SEARCH("EL",U6)))</formula>
    </cfRule>
    <cfRule type="containsText" dxfId="451" priority="566" operator="containsText" text="AL">
      <formula>NOT(ISERROR(SEARCH("AL",U6)))</formula>
    </cfRule>
    <cfRule type="containsText" dxfId="450" priority="569" operator="containsText" text="FL">
      <formula>NOT(ISERROR(SEARCH("FL",U6)))</formula>
    </cfRule>
  </conditionalFormatting>
  <conditionalFormatting sqref="W6">
    <cfRule type="containsText" dxfId="449" priority="560" operator="containsText" text="AL">
      <formula>NOT(ISERROR(SEARCH("AL",W6)))</formula>
    </cfRule>
    <cfRule type="containsText" dxfId="448" priority="559" operator="containsText" text="SP">
      <formula>NOT(ISERROR(SEARCH("SP",W6)))</formula>
    </cfRule>
    <cfRule type="containsText" dxfId="447" priority="564" operator="containsText" text="SICK">
      <formula>NOT(ISERROR(SEARCH("SICK",W6)))</formula>
    </cfRule>
    <cfRule type="containsText" dxfId="446" priority="563" operator="containsText" text="FL">
      <formula>NOT(ISERROR(SEARCH("FL",W6)))</formula>
    </cfRule>
    <cfRule type="containsText" dxfId="445" priority="562" operator="containsText" text="AB">
      <formula>NOT(ISERROR(SEARCH("AB",W6)))</formula>
    </cfRule>
    <cfRule type="containsText" dxfId="444" priority="561" operator="containsText" text="EL">
      <formula>NOT(ISERROR(SEARCH("EL",W6)))</formula>
    </cfRule>
  </conditionalFormatting>
  <conditionalFormatting sqref="Y6">
    <cfRule type="containsText" dxfId="443" priority="512" operator="containsText" text="AB">
      <formula>NOT(ISERROR(SEARCH("AB",Y6)))</formula>
    </cfRule>
    <cfRule type="containsText" dxfId="442" priority="513" operator="containsText" text="FL">
      <formula>NOT(ISERROR(SEARCH("FL",Y6)))</formula>
    </cfRule>
    <cfRule type="containsText" dxfId="441" priority="514" operator="containsText" text="SICK">
      <formula>NOT(ISERROR(SEARCH("SICK",Y6)))</formula>
    </cfRule>
    <cfRule type="containsText" dxfId="440" priority="510" operator="containsText" text="AL">
      <formula>NOT(ISERROR(SEARCH("AL",Y6)))</formula>
    </cfRule>
    <cfRule type="containsText" dxfId="439" priority="511" operator="containsText" text="EL">
      <formula>NOT(ISERROR(SEARCH("EL",Y6)))</formula>
    </cfRule>
    <cfRule type="containsText" dxfId="438" priority="509" operator="containsText" text="SP">
      <formula>NOT(ISERROR(SEARCH("SP",Y6)))</formula>
    </cfRule>
  </conditionalFormatting>
  <conditionalFormatting sqref="Y12">
    <cfRule type="containsText" dxfId="437" priority="490" operator="containsText" text="SICK">
      <formula>NOT(ISERROR(SEARCH("SICK",Y12)))</formula>
    </cfRule>
    <cfRule type="containsText" dxfId="436" priority="485" operator="containsText" text="SP">
      <formula>NOT(ISERROR(SEARCH("SP",Y12)))</formula>
    </cfRule>
    <cfRule type="containsText" dxfId="435" priority="488" operator="containsText" text="AB">
      <formula>NOT(ISERROR(SEARCH("AB",Y12)))</formula>
    </cfRule>
    <cfRule type="containsText" dxfId="434" priority="489" operator="containsText" text="FL">
      <formula>NOT(ISERROR(SEARCH("FL",Y12)))</formula>
    </cfRule>
    <cfRule type="containsText" dxfId="433" priority="487" operator="containsText" text="EL">
      <formula>NOT(ISERROR(SEARCH("EL",Y12)))</formula>
    </cfRule>
    <cfRule type="containsText" dxfId="432" priority="486" operator="containsText" text="AL">
      <formula>NOT(ISERROR(SEARCH("AL",Y12)))</formula>
    </cfRule>
  </conditionalFormatting>
  <conditionalFormatting sqref="Y15">
    <cfRule type="containsText" dxfId="431" priority="467" operator="containsText" text="SP">
      <formula>NOT(ISERROR(SEARCH("SP",Y15)))</formula>
    </cfRule>
    <cfRule type="containsText" dxfId="430" priority="472" operator="containsText" text="SICK">
      <formula>NOT(ISERROR(SEARCH("SICK",Y15)))</formula>
    </cfRule>
    <cfRule type="containsText" dxfId="429" priority="471" operator="containsText" text="FL">
      <formula>NOT(ISERROR(SEARCH("FL",Y15)))</formula>
    </cfRule>
    <cfRule type="containsText" dxfId="428" priority="470" operator="containsText" text="AB">
      <formula>NOT(ISERROR(SEARCH("AB",Y15)))</formula>
    </cfRule>
    <cfRule type="containsText" dxfId="427" priority="469" operator="containsText" text="EL">
      <formula>NOT(ISERROR(SEARCH("EL",Y15)))</formula>
    </cfRule>
    <cfRule type="containsText" dxfId="426" priority="468" operator="containsText" text="AL">
      <formula>NOT(ISERROR(SEARCH("AL",Y15)))</formula>
    </cfRule>
  </conditionalFormatting>
  <conditionalFormatting sqref="Y18">
    <cfRule type="containsText" dxfId="425" priority="460" operator="containsText" text="SICK">
      <formula>NOT(ISERROR(SEARCH("SICK",Y18)))</formula>
    </cfRule>
    <cfRule type="containsText" dxfId="424" priority="456" operator="containsText" text="AL">
      <formula>NOT(ISERROR(SEARCH("AL",Y18)))</formula>
    </cfRule>
    <cfRule type="containsText" dxfId="423" priority="457" operator="containsText" text="EL">
      <formula>NOT(ISERROR(SEARCH("EL",Y18)))</formula>
    </cfRule>
    <cfRule type="containsText" dxfId="422" priority="455" operator="containsText" text="SP">
      <formula>NOT(ISERROR(SEARCH("SP",Y18)))</formula>
    </cfRule>
    <cfRule type="containsText" dxfId="421" priority="458" operator="containsText" text="AB">
      <formula>NOT(ISERROR(SEARCH("AB",Y18)))</formula>
    </cfRule>
    <cfRule type="containsText" dxfId="420" priority="459" operator="containsText" text="FL">
      <formula>NOT(ISERROR(SEARCH("FL",Y18)))</formula>
    </cfRule>
  </conditionalFormatting>
  <conditionalFormatting sqref="Y20:Y21">
    <cfRule type="containsText" dxfId="419" priority="320" operator="containsText" text="AB">
      <formula>NOT(ISERROR(SEARCH("AB",Y20)))</formula>
    </cfRule>
    <cfRule type="containsText" dxfId="418" priority="321" operator="containsText" text="FL">
      <formula>NOT(ISERROR(SEARCH("FL",Y20)))</formula>
    </cfRule>
    <cfRule type="containsText" dxfId="417" priority="322" operator="containsText" text="SICK">
      <formula>NOT(ISERROR(SEARCH("SICK",Y20)))</formula>
    </cfRule>
    <cfRule type="containsText" dxfId="416" priority="317" operator="containsText" text="SP">
      <formula>NOT(ISERROR(SEARCH("SP",Y20)))</formula>
    </cfRule>
    <cfRule type="containsText" dxfId="415" priority="318" operator="containsText" text="AL">
      <formula>NOT(ISERROR(SEARCH("AL",Y20)))</formula>
    </cfRule>
    <cfRule type="containsText" dxfId="414" priority="319" operator="containsText" text="EL">
      <formula>NOT(ISERROR(SEARCH("EL",Y20)))</formula>
    </cfRule>
  </conditionalFormatting>
  <conditionalFormatting sqref="Y23:Y24">
    <cfRule type="containsText" dxfId="413" priority="410" operator="containsText" text="AB">
      <formula>NOT(ISERROR(SEARCH("AB",Y23)))</formula>
    </cfRule>
    <cfRule type="containsText" dxfId="412" priority="411" operator="containsText" text="FL">
      <formula>NOT(ISERROR(SEARCH("FL",Y23)))</formula>
    </cfRule>
    <cfRule type="containsText" dxfId="411" priority="412" operator="containsText" text="SICK">
      <formula>NOT(ISERROR(SEARCH("SICK",Y23)))</formula>
    </cfRule>
    <cfRule type="containsText" dxfId="410" priority="407" operator="containsText" text="SP">
      <formula>NOT(ISERROR(SEARCH("SP",Y23)))</formula>
    </cfRule>
    <cfRule type="containsText" dxfId="409" priority="408" operator="containsText" text="AL">
      <formula>NOT(ISERROR(SEARCH("AL",Y23)))</formula>
    </cfRule>
    <cfRule type="containsText" dxfId="408" priority="409" operator="containsText" text="EL">
      <formula>NOT(ISERROR(SEARCH("EL",Y23)))</formula>
    </cfRule>
  </conditionalFormatting>
  <conditionalFormatting sqref="Z50:AA50">
    <cfRule type="containsText" dxfId="407" priority="362" operator="containsText" text="AB">
      <formula>NOT(ISERROR(SEARCH("AB",Z50)))</formula>
    </cfRule>
    <cfRule type="containsText" dxfId="406" priority="363" operator="containsText" text="FL">
      <formula>NOT(ISERROR(SEARCH("FL",Z50)))</formula>
    </cfRule>
    <cfRule type="containsText" dxfId="405" priority="364" operator="containsText" text="SICK">
      <formula>NOT(ISERROR(SEARCH("SICK",Z50)))</formula>
    </cfRule>
    <cfRule type="containsText" dxfId="404" priority="361" operator="containsText" text="EL">
      <formula>NOT(ISERROR(SEARCH("EL",Z50)))</formula>
    </cfRule>
    <cfRule type="containsText" dxfId="403" priority="360" operator="containsText" text="AL">
      <formula>NOT(ISERROR(SEARCH("AL",Z50)))</formula>
    </cfRule>
    <cfRule type="containsText" dxfId="402" priority="359" operator="containsText" text="SP">
      <formula>NOT(ISERROR(SEARCH("SP",Z50)))</formula>
    </cfRule>
  </conditionalFormatting>
  <conditionalFormatting sqref="AA6">
    <cfRule type="containsText" dxfId="401" priority="507" operator="containsText" text="FL">
      <formula>NOT(ISERROR(SEARCH("FL",AA6)))</formula>
    </cfRule>
    <cfRule type="containsText" dxfId="400" priority="506" operator="containsText" text="AB">
      <formula>NOT(ISERROR(SEARCH("AB",AA6)))</formula>
    </cfRule>
    <cfRule type="containsText" dxfId="399" priority="505" operator="containsText" text="EL">
      <formula>NOT(ISERROR(SEARCH("EL",AA6)))</formula>
    </cfRule>
    <cfRule type="containsText" dxfId="398" priority="504" operator="containsText" text="AL">
      <formula>NOT(ISERROR(SEARCH("AL",AA6)))</formula>
    </cfRule>
    <cfRule type="containsText" dxfId="397" priority="503" operator="containsText" text="SP">
      <formula>NOT(ISERROR(SEARCH("SP",AA6)))</formula>
    </cfRule>
    <cfRule type="containsText" dxfId="396" priority="508" operator="containsText" text="SICK">
      <formula>NOT(ISERROR(SEARCH("SICK",AA6)))</formula>
    </cfRule>
  </conditionalFormatting>
  <conditionalFormatting sqref="AA15">
    <cfRule type="containsText" dxfId="395" priority="478" operator="containsText" text="SICK">
      <formula>NOT(ISERROR(SEARCH("SICK",AA15)))</formula>
    </cfRule>
    <cfRule type="containsText" dxfId="394" priority="477" operator="containsText" text="FL">
      <formula>NOT(ISERROR(SEARCH("FL",AA15)))</formula>
    </cfRule>
    <cfRule type="containsText" dxfId="393" priority="475" operator="containsText" text="EL">
      <formula>NOT(ISERROR(SEARCH("EL",AA15)))</formula>
    </cfRule>
    <cfRule type="containsText" dxfId="392" priority="474" operator="containsText" text="AL">
      <formula>NOT(ISERROR(SEARCH("AL",AA15)))</formula>
    </cfRule>
    <cfRule type="containsText" dxfId="391" priority="473" operator="containsText" text="SP">
      <formula>NOT(ISERROR(SEARCH("SP",AA15)))</formula>
    </cfRule>
    <cfRule type="containsText" dxfId="390" priority="476" operator="containsText" text="AB">
      <formula>NOT(ISERROR(SEARCH("AB",AA15)))</formula>
    </cfRule>
  </conditionalFormatting>
  <conditionalFormatting sqref="AA20">
    <cfRule type="containsText" dxfId="389" priority="449" operator="containsText" text="SP">
      <formula>NOT(ISERROR(SEARCH("SP",AA20)))</formula>
    </cfRule>
    <cfRule type="containsText" dxfId="388" priority="450" operator="containsText" text="AL">
      <formula>NOT(ISERROR(SEARCH("AL",AA20)))</formula>
    </cfRule>
    <cfRule type="containsText" dxfId="387" priority="451" operator="containsText" text="EL">
      <formula>NOT(ISERROR(SEARCH("EL",AA20)))</formula>
    </cfRule>
    <cfRule type="containsText" dxfId="386" priority="454" operator="containsText" text="SICK">
      <formula>NOT(ISERROR(SEARCH("SICK",AA20)))</formula>
    </cfRule>
    <cfRule type="containsText" dxfId="385" priority="453" operator="containsText" text="FL">
      <formula>NOT(ISERROR(SEARCH("FL",AA20)))</formula>
    </cfRule>
    <cfRule type="containsText" dxfId="384" priority="452" operator="containsText" text="AB">
      <formula>NOT(ISERROR(SEARCH("AB",AA20)))</formula>
    </cfRule>
  </conditionalFormatting>
  <conditionalFormatting sqref="AA23">
    <cfRule type="containsText" dxfId="383" priority="431" operator="containsText" text="SP">
      <formula>NOT(ISERROR(SEARCH("SP",AA23)))</formula>
    </cfRule>
    <cfRule type="containsText" dxfId="382" priority="432" operator="containsText" text="AL">
      <formula>NOT(ISERROR(SEARCH("AL",AA23)))</formula>
    </cfRule>
    <cfRule type="containsText" dxfId="381" priority="433" operator="containsText" text="EL">
      <formula>NOT(ISERROR(SEARCH("EL",AA23)))</formula>
    </cfRule>
    <cfRule type="containsText" dxfId="380" priority="434" operator="containsText" text="AB">
      <formula>NOT(ISERROR(SEARCH("AB",AA23)))</formula>
    </cfRule>
    <cfRule type="containsText" dxfId="379" priority="435" operator="containsText" text="FL">
      <formula>NOT(ISERROR(SEARCH("FL",AA23)))</formula>
    </cfRule>
    <cfRule type="containsText" dxfId="378" priority="436" operator="containsText" text="SICK">
      <formula>NOT(ISERROR(SEARCH("SICK",AA23)))</formula>
    </cfRule>
  </conditionalFormatting>
  <conditionalFormatting sqref="AB5:AC5">
    <cfRule type="containsText" dxfId="377" priority="389" stopIfTrue="1" operator="containsText" text="SP">
      <formula>NOT(ISERROR(SEARCH("SP",AB5)))</formula>
    </cfRule>
    <cfRule type="containsText" dxfId="376" priority="392" stopIfTrue="1" operator="containsText" text="AB">
      <formula>NOT(ISERROR(SEARCH("AB",AB5)))</formula>
    </cfRule>
    <cfRule type="containsText" dxfId="375" priority="393" stopIfTrue="1" operator="containsText" text="FL">
      <formula>NOT(ISERROR(SEARCH("FL",AB5)))</formula>
    </cfRule>
    <cfRule type="containsText" dxfId="374" priority="390" stopIfTrue="1" operator="containsText" text="AL">
      <formula>NOT(ISERROR(SEARCH("AL",AB5)))</formula>
    </cfRule>
    <cfRule type="containsText" dxfId="373" priority="394" stopIfTrue="1" operator="containsText" text="SICK">
      <formula>NOT(ISERROR(SEARCH("SICK",AB5)))</formula>
    </cfRule>
    <cfRule type="containsText" dxfId="372" priority="391" stopIfTrue="1" operator="containsText" text="EL">
      <formula>NOT(ISERROR(SEARCH("EL",AB5)))</formula>
    </cfRule>
  </conditionalFormatting>
  <conditionalFormatting sqref="AB10:AC12">
    <cfRule type="containsText" dxfId="371" priority="383" stopIfTrue="1" operator="containsText" text="SP">
      <formula>NOT(ISERROR(SEARCH("SP",AB10)))</formula>
    </cfRule>
    <cfRule type="containsText" dxfId="370" priority="384" stopIfTrue="1" operator="containsText" text="AL">
      <formula>NOT(ISERROR(SEARCH("AL",AB10)))</formula>
    </cfRule>
    <cfRule type="containsText" dxfId="369" priority="385" stopIfTrue="1" operator="containsText" text="EL">
      <formula>NOT(ISERROR(SEARCH("EL",AB10)))</formula>
    </cfRule>
    <cfRule type="containsText" dxfId="368" priority="386" stopIfTrue="1" operator="containsText" text="AB">
      <formula>NOT(ISERROR(SEARCH("AB",AB10)))</formula>
    </cfRule>
    <cfRule type="containsText" dxfId="367" priority="387" stopIfTrue="1" operator="containsText" text="FL">
      <formula>NOT(ISERROR(SEARCH("FL",AB10)))</formula>
    </cfRule>
    <cfRule type="containsText" dxfId="366" priority="388" stopIfTrue="1" operator="containsText" text="SICK">
      <formula>NOT(ISERROR(SEARCH("SICK",AB10)))</formula>
    </cfRule>
  </conditionalFormatting>
  <conditionalFormatting sqref="AB18:AC18">
    <cfRule type="containsText" dxfId="365" priority="341" stopIfTrue="1" operator="containsText" text="SP">
      <formula>NOT(ISERROR(SEARCH("SP",AB18)))</formula>
    </cfRule>
    <cfRule type="containsText" dxfId="364" priority="343" stopIfTrue="1" operator="containsText" text="EL">
      <formula>NOT(ISERROR(SEARCH("EL",AB18)))</formula>
    </cfRule>
    <cfRule type="containsText" dxfId="363" priority="344" stopIfTrue="1" operator="containsText" text="AB">
      <formula>NOT(ISERROR(SEARCH("AB",AB18)))</formula>
    </cfRule>
    <cfRule type="containsText" dxfId="362" priority="345" stopIfTrue="1" operator="containsText" text="FL">
      <formula>NOT(ISERROR(SEARCH("FL",AB18)))</formula>
    </cfRule>
    <cfRule type="containsText" dxfId="361" priority="346" stopIfTrue="1" operator="containsText" text="SICK">
      <formula>NOT(ISERROR(SEARCH("SICK",AB18)))</formula>
    </cfRule>
    <cfRule type="containsText" dxfId="360" priority="342" stopIfTrue="1" operator="containsText" text="AL">
      <formula>NOT(ISERROR(SEARCH("AL",AB18)))</formula>
    </cfRule>
  </conditionalFormatting>
  <conditionalFormatting sqref="AB45:AC45">
    <cfRule type="containsText" dxfId="359" priority="370" operator="containsText" text="SICK">
      <formula>NOT(ISERROR(SEARCH("SICK",AB45)))</formula>
    </cfRule>
    <cfRule type="containsText" dxfId="358" priority="369" operator="containsText" text="FL">
      <formula>NOT(ISERROR(SEARCH("FL",AB45)))</formula>
    </cfRule>
    <cfRule type="containsText" dxfId="357" priority="368" operator="containsText" text="AB">
      <formula>NOT(ISERROR(SEARCH("AB",AB45)))</formula>
    </cfRule>
    <cfRule type="containsText" dxfId="356" priority="367" operator="containsText" text="EL">
      <formula>NOT(ISERROR(SEARCH("EL",AB45)))</formula>
    </cfRule>
    <cfRule type="containsText" dxfId="355" priority="366" operator="containsText" text="AL">
      <formula>NOT(ISERROR(SEARCH("AL",AB45)))</formula>
    </cfRule>
    <cfRule type="containsText" dxfId="354" priority="365" operator="containsText" text="SP">
      <formula>NOT(ISERROR(SEARCH("SP",AB45)))</formula>
    </cfRule>
  </conditionalFormatting>
  <conditionalFormatting sqref="AC6">
    <cfRule type="containsText" dxfId="353" priority="496" operator="containsText" text="SICK">
      <formula>NOT(ISERROR(SEARCH("SICK",AC6)))</formula>
    </cfRule>
    <cfRule type="containsText" dxfId="352" priority="495" operator="containsText" text="FL">
      <formula>NOT(ISERROR(SEARCH("FL",AC6)))</formula>
    </cfRule>
    <cfRule type="containsText" dxfId="351" priority="491" operator="containsText" text="SP">
      <formula>NOT(ISERROR(SEARCH("SP",AC6)))</formula>
    </cfRule>
    <cfRule type="containsText" dxfId="350" priority="492" operator="containsText" text="AL">
      <formula>NOT(ISERROR(SEARCH("AL",AC6)))</formula>
    </cfRule>
    <cfRule type="containsText" dxfId="349" priority="493" operator="containsText" text="EL">
      <formula>NOT(ISERROR(SEARCH("EL",AC6)))</formula>
    </cfRule>
    <cfRule type="containsText" dxfId="348" priority="494" operator="containsText" text="AB">
      <formula>NOT(ISERROR(SEARCH("AB",AC6)))</formula>
    </cfRule>
  </conditionalFormatting>
  <conditionalFormatting sqref="AC21">
    <cfRule type="containsText" dxfId="347" priority="397" operator="containsText" text="EL">
      <formula>NOT(ISERROR(SEARCH("EL",AC21)))</formula>
    </cfRule>
    <cfRule type="containsText" dxfId="346" priority="398" operator="containsText" text="AB">
      <formula>NOT(ISERROR(SEARCH("AB",AC21)))</formula>
    </cfRule>
    <cfRule type="containsText" dxfId="345" priority="399" operator="containsText" text="FL">
      <formula>NOT(ISERROR(SEARCH("FL",AC21)))</formula>
    </cfRule>
    <cfRule type="containsText" dxfId="344" priority="395" operator="containsText" text="SP">
      <formula>NOT(ISERROR(SEARCH("SP",AC21)))</formula>
    </cfRule>
    <cfRule type="containsText" dxfId="343" priority="396" operator="containsText" text="AL">
      <formula>NOT(ISERROR(SEARCH("AL",AC21)))</formula>
    </cfRule>
    <cfRule type="containsText" dxfId="342" priority="400" operator="containsText" text="SICK">
      <formula>NOT(ISERROR(SEARCH("SICK",AC21)))</formula>
    </cfRule>
  </conditionalFormatting>
  <conditionalFormatting sqref="AC23">
    <cfRule type="containsText" dxfId="341" priority="425" operator="containsText" text="SP">
      <formula>NOT(ISERROR(SEARCH("SP",AC23)))</formula>
    </cfRule>
    <cfRule type="containsText" dxfId="340" priority="427" operator="containsText" text="EL">
      <formula>NOT(ISERROR(SEARCH("EL",AC23)))</formula>
    </cfRule>
    <cfRule type="containsText" dxfId="339" priority="430" operator="containsText" text="SICK">
      <formula>NOT(ISERROR(SEARCH("SICK",AC23)))</formula>
    </cfRule>
    <cfRule type="containsText" dxfId="338" priority="429" operator="containsText" text="FL">
      <formula>NOT(ISERROR(SEARCH("FL",AC23)))</formula>
    </cfRule>
    <cfRule type="containsText" dxfId="337" priority="428" operator="containsText" text="AB">
      <formula>NOT(ISERROR(SEARCH("AB",AC23)))</formula>
    </cfRule>
    <cfRule type="containsText" dxfId="336" priority="426" operator="containsText" text="AL">
      <formula>NOT(ISERROR(SEARCH("AL",AC23)))</formula>
    </cfRule>
  </conditionalFormatting>
  <conditionalFormatting sqref="AD147:AE147 AI149 AH147:AI147 BJ149">
    <cfRule type="containsText" priority="8386" stopIfTrue="1" operator="containsText" text="SP">
      <formula>NOT(ISERROR(SEARCH("SP",AD147)))</formula>
    </cfRule>
  </conditionalFormatting>
  <conditionalFormatting sqref="AD147:AE147">
    <cfRule type="containsText" dxfId="335" priority="8385" stopIfTrue="1" operator="containsText" text="SP">
      <formula>NOT(ISERROR(SEARCH("SP",AD147)))</formula>
    </cfRule>
  </conditionalFormatting>
  <conditionalFormatting sqref="AE6">
    <cfRule type="containsText" dxfId="334" priority="501" operator="containsText" text="FL">
      <formula>NOT(ISERROR(SEARCH("FL",AE6)))</formula>
    </cfRule>
    <cfRule type="containsText" dxfId="333" priority="502" operator="containsText" text="SICK">
      <formula>NOT(ISERROR(SEARCH("SICK",AE6)))</formula>
    </cfRule>
    <cfRule type="containsText" dxfId="332" priority="499" operator="containsText" text="EL">
      <formula>NOT(ISERROR(SEARCH("EL",AE6)))</formula>
    </cfRule>
    <cfRule type="containsText" dxfId="331" priority="497" operator="containsText" text="SP">
      <formula>NOT(ISERROR(SEARCH("SP",AE6)))</formula>
    </cfRule>
    <cfRule type="containsText" dxfId="330" priority="498" operator="containsText" text="AL">
      <formula>NOT(ISERROR(SEARCH("AL",AE6)))</formula>
    </cfRule>
    <cfRule type="containsText" dxfId="329" priority="500" operator="containsText" text="AB">
      <formula>NOT(ISERROR(SEARCH("AB",AE6)))</formula>
    </cfRule>
  </conditionalFormatting>
  <conditionalFormatting sqref="AE11">
    <cfRule type="containsText" dxfId="328" priority="482" operator="containsText" text="AB">
      <formula>NOT(ISERROR(SEARCH("AB",AE11)))</formula>
    </cfRule>
    <cfRule type="containsText" dxfId="327" priority="481" operator="containsText" text="EL">
      <formula>NOT(ISERROR(SEARCH("EL",AE11)))</formula>
    </cfRule>
    <cfRule type="containsText" dxfId="326" priority="480" operator="containsText" text="AL">
      <formula>NOT(ISERROR(SEARCH("AL",AE11)))</formula>
    </cfRule>
    <cfRule type="containsText" dxfId="325" priority="479" operator="containsText" text="SP">
      <formula>NOT(ISERROR(SEARCH("SP",AE11)))</formula>
    </cfRule>
    <cfRule type="containsText" dxfId="324" priority="483" operator="containsText" text="FL">
      <formula>NOT(ISERROR(SEARCH("FL",AE11)))</formula>
    </cfRule>
    <cfRule type="containsText" dxfId="323" priority="484" operator="containsText" text="SICK">
      <formula>NOT(ISERROR(SEARCH("SICK",AE11)))</formula>
    </cfRule>
  </conditionalFormatting>
  <conditionalFormatting sqref="AE18:AE19">
    <cfRule type="containsText" dxfId="322" priority="466" operator="containsText" text="SICK">
      <formula>NOT(ISERROR(SEARCH("SICK",AE18)))</formula>
    </cfRule>
    <cfRule type="containsText" dxfId="321" priority="465" operator="containsText" text="FL">
      <formula>NOT(ISERROR(SEARCH("FL",AE18)))</formula>
    </cfRule>
    <cfRule type="containsText" dxfId="320" priority="463" operator="containsText" text="EL">
      <formula>NOT(ISERROR(SEARCH("EL",AE18)))</formula>
    </cfRule>
    <cfRule type="containsText" dxfId="319" priority="464" operator="containsText" text="AB">
      <formula>NOT(ISERROR(SEARCH("AB",AE18)))</formula>
    </cfRule>
    <cfRule type="containsText" dxfId="318" priority="462" operator="containsText" text="AL">
      <formula>NOT(ISERROR(SEARCH("AL",AE18)))</formula>
    </cfRule>
    <cfRule type="containsText" dxfId="317" priority="461" operator="containsText" text="SP">
      <formula>NOT(ISERROR(SEARCH("SP",AE18)))</formula>
    </cfRule>
  </conditionalFormatting>
  <conditionalFormatting sqref="AE23:AE24">
    <cfRule type="containsText" dxfId="316" priority="406" operator="containsText" text="SICK">
      <formula>NOT(ISERROR(SEARCH("SICK",AE23)))</formula>
    </cfRule>
    <cfRule type="containsText" dxfId="315" priority="405" operator="containsText" text="FL">
      <formula>NOT(ISERROR(SEARCH("FL",AE23)))</formula>
    </cfRule>
    <cfRule type="containsText" dxfId="314" priority="403" operator="containsText" text="EL">
      <formula>NOT(ISERROR(SEARCH("EL",AE23)))</formula>
    </cfRule>
    <cfRule type="containsText" dxfId="313" priority="404" operator="containsText" text="AB">
      <formula>NOT(ISERROR(SEARCH("AB",AE23)))</formula>
    </cfRule>
    <cfRule type="containsText" dxfId="312" priority="402" operator="containsText" text="AL">
      <formula>NOT(ISERROR(SEARCH("AL",AE23)))</formula>
    </cfRule>
    <cfRule type="containsText" dxfId="311" priority="401" operator="containsText" text="SP">
      <formula>NOT(ISERROR(SEARCH("SP",AE23)))</formula>
    </cfRule>
  </conditionalFormatting>
  <conditionalFormatting sqref="AF24:AG24">
    <cfRule type="containsText" dxfId="310" priority="379" stopIfTrue="1" operator="containsText" text="EL">
      <formula>NOT(ISERROR(SEARCH("EL",AF24)))</formula>
    </cfRule>
    <cfRule type="containsText" dxfId="309" priority="378" stopIfTrue="1" operator="containsText" text="AL">
      <formula>NOT(ISERROR(SEARCH("AL",AF24)))</formula>
    </cfRule>
    <cfRule type="containsText" dxfId="308" priority="377" stopIfTrue="1" operator="containsText" text="SP">
      <formula>NOT(ISERROR(SEARCH("SP",AF24)))</formula>
    </cfRule>
    <cfRule type="containsText" dxfId="307" priority="380" stopIfTrue="1" operator="containsText" text="AB">
      <formula>NOT(ISERROR(SEARCH("AB",AF24)))</formula>
    </cfRule>
    <cfRule type="containsText" dxfId="306" priority="382" stopIfTrue="1" operator="containsText" text="SICK">
      <formula>NOT(ISERROR(SEARCH("SICK",AF24)))</formula>
    </cfRule>
    <cfRule type="containsText" dxfId="305" priority="381" stopIfTrue="1" operator="containsText" text="FL">
      <formula>NOT(ISERROR(SEARCH("FL",AF24)))</formula>
    </cfRule>
  </conditionalFormatting>
  <conditionalFormatting sqref="AF84:AG84">
    <cfRule type="containsText" dxfId="304" priority="356" operator="containsText" text="AB">
      <formula>NOT(ISERROR(SEARCH("AB",AF84)))</formula>
    </cfRule>
    <cfRule type="containsText" dxfId="303" priority="355" operator="containsText" text="EL">
      <formula>NOT(ISERROR(SEARCH("EL",AF84)))</formula>
    </cfRule>
    <cfRule type="containsText" dxfId="302" priority="354" operator="containsText" text="AL">
      <formula>NOT(ISERROR(SEARCH("AL",AF84)))</formula>
    </cfRule>
    <cfRule type="containsText" dxfId="301" priority="353" operator="containsText" text="SP">
      <formula>NOT(ISERROR(SEARCH("SP",AF84)))</formula>
    </cfRule>
    <cfRule type="containsText" dxfId="300" priority="358" operator="containsText" text="SICK">
      <formula>NOT(ISERROR(SEARCH("SICK",AF84)))</formula>
    </cfRule>
    <cfRule type="containsText" dxfId="299" priority="357" operator="containsText" text="FL">
      <formula>NOT(ISERROR(SEARCH("FL",AF84)))</formula>
    </cfRule>
  </conditionalFormatting>
  <conditionalFormatting sqref="AG6">
    <cfRule type="containsText" dxfId="298" priority="338" operator="containsText" text="AB">
      <formula>NOT(ISERROR(SEARCH("AB",AG6)))</formula>
    </cfRule>
    <cfRule type="containsText" dxfId="297" priority="337" operator="containsText" text="EL">
      <formula>NOT(ISERROR(SEARCH("EL",AG6)))</formula>
    </cfRule>
    <cfRule type="containsText" dxfId="296" priority="336" operator="containsText" text="AL">
      <formula>NOT(ISERROR(SEARCH("AL",AG6)))</formula>
    </cfRule>
    <cfRule type="containsText" dxfId="295" priority="335" operator="containsText" text="SP">
      <formula>NOT(ISERROR(SEARCH("SP",AG6)))</formula>
    </cfRule>
    <cfRule type="containsText" dxfId="294" priority="340" operator="containsText" text="SICK">
      <formula>NOT(ISERROR(SEARCH("SICK",AG6)))</formula>
    </cfRule>
    <cfRule type="containsText" dxfId="293" priority="339" operator="containsText" text="FL">
      <formula>NOT(ISERROR(SEARCH("FL",AG6)))</formula>
    </cfRule>
  </conditionalFormatting>
  <conditionalFormatting sqref="AG20">
    <cfRule type="containsText" dxfId="292" priority="328" stopIfTrue="1" operator="containsText" text="SICK">
      <formula>NOT(ISERROR(SEARCH("SICK",AG20)))</formula>
    </cfRule>
    <cfRule type="containsText" dxfId="291" priority="327" stopIfTrue="1" operator="containsText" text="FL">
      <formula>NOT(ISERROR(SEARCH("FL",AG20)))</formula>
    </cfRule>
    <cfRule type="containsText" dxfId="290" priority="326" stopIfTrue="1" operator="containsText" text="AB">
      <formula>NOT(ISERROR(SEARCH("AB",AG20)))</formula>
    </cfRule>
    <cfRule type="containsText" dxfId="289" priority="323" stopIfTrue="1" operator="containsText" text="SP">
      <formula>NOT(ISERROR(SEARCH("SP",AG20)))</formula>
    </cfRule>
    <cfRule type="containsText" dxfId="288" priority="325" stopIfTrue="1" operator="containsText" text="EL">
      <formula>NOT(ISERROR(SEARCH("EL",AG20)))</formula>
    </cfRule>
    <cfRule type="containsText" dxfId="287" priority="324" stopIfTrue="1" operator="containsText" text="AL">
      <formula>NOT(ISERROR(SEARCH("AL",AG20)))</formula>
    </cfRule>
  </conditionalFormatting>
  <conditionalFormatting sqref="AG21:AG23">
    <cfRule type="containsText" dxfId="286" priority="311" operator="containsText" text="SP">
      <formula>NOT(ISERROR(SEARCH("SP",AG21)))</formula>
    </cfRule>
    <cfRule type="containsText" dxfId="285" priority="312" operator="containsText" text="AL">
      <formula>NOT(ISERROR(SEARCH("AL",AG21)))</formula>
    </cfRule>
    <cfRule type="containsText" dxfId="284" priority="313" operator="containsText" text="EL">
      <formula>NOT(ISERROR(SEARCH("EL",AG21)))</formula>
    </cfRule>
    <cfRule type="containsText" dxfId="283" priority="314" operator="containsText" text="AB">
      <formula>NOT(ISERROR(SEARCH("AB",AG21)))</formula>
    </cfRule>
    <cfRule type="containsText" dxfId="282" priority="315" operator="containsText" text="FL">
      <formula>NOT(ISERROR(SEARCH("FL",AG21)))</formula>
    </cfRule>
    <cfRule type="containsText" dxfId="281" priority="316" operator="containsText" text="SICK">
      <formula>NOT(ISERROR(SEARCH("SICK",AG21)))</formula>
    </cfRule>
  </conditionalFormatting>
  <conditionalFormatting sqref="AH147:AI147 AI149 BJ149">
    <cfRule type="containsText" dxfId="280" priority="8560" stopIfTrue="1" operator="containsText" text="SP">
      <formula>NOT(ISERROR(SEARCH("SP",AH147)))</formula>
    </cfRule>
  </conditionalFormatting>
  <conditionalFormatting sqref="AH149:AI149 AJ147:BI147 BJ149">
    <cfRule type="containsText" dxfId="279" priority="7337" stopIfTrue="1" operator="containsText" text="AB">
      <formula>NOT(ISERROR(SEARCH("AB",AH147)))</formula>
    </cfRule>
  </conditionalFormatting>
  <conditionalFormatting sqref="AH149:AI149">
    <cfRule type="containsText" dxfId="278" priority="7984" stopIfTrue="1" operator="containsText" text="AB">
      <formula>NOT(ISERROR(SEARCH("AB",AH149)))</formula>
    </cfRule>
    <cfRule type="containsText" dxfId="277" priority="7436" stopIfTrue="1" operator="containsText" text="SICK">
      <formula>NOT(ISERROR(SEARCH("SICK",AH149)))</formula>
    </cfRule>
  </conditionalFormatting>
  <conditionalFormatting sqref="AI129:AI132 N147 P147:BG147">
    <cfRule type="containsText" dxfId="276" priority="8207" stopIfTrue="1" operator="containsText" text="AB">
      <formula>NOT(ISERROR(SEARCH("AB",N129)))</formula>
    </cfRule>
  </conditionalFormatting>
  <conditionalFormatting sqref="AI129:AI132 BJ147">
    <cfRule type="containsText" priority="8170" stopIfTrue="1" operator="containsText" text="SP">
      <formula>NOT(ISERROR(SEARCH("SP",AI129)))</formula>
    </cfRule>
  </conditionalFormatting>
  <conditionalFormatting sqref="AI129:AI132">
    <cfRule type="containsText" dxfId="275" priority="2605" stopIfTrue="1" operator="containsText" text="SICK">
      <formula>NOT(ISERROR(SEARCH("SICK",AI129)))</formula>
    </cfRule>
  </conditionalFormatting>
  <conditionalFormatting sqref="AI149">
    <cfRule type="containsText" dxfId="274" priority="8373" stopIfTrue="1" operator="containsText" text="HD">
      <formula>NOT(ISERROR(SEARCH("HD",AI149)))</formula>
    </cfRule>
  </conditionalFormatting>
  <conditionalFormatting sqref="AI1:BJ1">
    <cfRule type="containsText" dxfId="273" priority="739" operator="containsText" text="SP">
      <formula>NOT(ISERROR(SEARCH("SP",AI1)))</formula>
    </cfRule>
    <cfRule type="containsText" dxfId="272" priority="741" operator="containsText" text="EL">
      <formula>NOT(ISERROR(SEARCH("EL",AI1)))</formula>
    </cfRule>
    <cfRule type="containsText" dxfId="271" priority="742" operator="containsText" text="AB">
      <formula>NOT(ISERROR(SEARCH("AB",AI1)))</formula>
    </cfRule>
    <cfRule type="containsText" dxfId="270" priority="743" operator="containsText" text="FL">
      <formula>NOT(ISERROR(SEARCH("FL",AI1)))</formula>
    </cfRule>
    <cfRule type="containsText" dxfId="269" priority="740" operator="containsText" text="AL">
      <formula>NOT(ISERROR(SEARCH("AL",AI1)))</formula>
    </cfRule>
    <cfRule type="containsText" dxfId="268" priority="744" operator="containsText" text="SICK">
      <formula>NOT(ISERROR(SEARCH("SICK",AI1)))</formula>
    </cfRule>
  </conditionalFormatting>
  <conditionalFormatting sqref="AJ24:AK24">
    <cfRule type="containsText" dxfId="267" priority="166" stopIfTrue="1" operator="containsText" text="SP">
      <formula>NOT(ISERROR(SEARCH("SP",AJ24)))</formula>
    </cfRule>
    <cfRule type="containsText" dxfId="266" priority="171" stopIfTrue="1" operator="containsText" text="SICK">
      <formula>NOT(ISERROR(SEARCH("SICK",AJ24)))</formula>
    </cfRule>
    <cfRule type="containsText" dxfId="265" priority="167" stopIfTrue="1" operator="containsText" text="AL">
      <formula>NOT(ISERROR(SEARCH("AL",AJ24)))</formula>
    </cfRule>
    <cfRule type="containsText" dxfId="264" priority="168" stopIfTrue="1" operator="containsText" text="EL">
      <formula>NOT(ISERROR(SEARCH("EL",AJ24)))</formula>
    </cfRule>
    <cfRule type="containsText" dxfId="263" priority="169" stopIfTrue="1" operator="containsText" text="AB">
      <formula>NOT(ISERROR(SEARCH("AB",AJ24)))</formula>
    </cfRule>
    <cfRule type="containsText" dxfId="262" priority="170" stopIfTrue="1" operator="containsText" text="FL">
      <formula>NOT(ISERROR(SEARCH("FL",AJ24)))</formula>
    </cfRule>
  </conditionalFormatting>
  <conditionalFormatting sqref="AJ13:BI13">
    <cfRule type="containsText" dxfId="261" priority="310" stopIfTrue="1" operator="containsText" text="SICK">
      <formula>NOT(ISERROR(SEARCH("SICK",AJ13)))</formula>
    </cfRule>
    <cfRule type="containsText" dxfId="260" priority="309" stopIfTrue="1" operator="containsText" text="FL">
      <formula>NOT(ISERROR(SEARCH("FL",AJ13)))</formula>
    </cfRule>
    <cfRule type="containsText" dxfId="259" priority="307" stopIfTrue="1" operator="containsText" text="EL">
      <formula>NOT(ISERROR(SEARCH("EL",AJ13)))</formula>
    </cfRule>
    <cfRule type="containsText" dxfId="258" priority="306" stopIfTrue="1" operator="containsText" text="AL">
      <formula>NOT(ISERROR(SEARCH("AL",AJ13)))</formula>
    </cfRule>
    <cfRule type="containsText" dxfId="257" priority="305" stopIfTrue="1" operator="containsText" text="SP">
      <formula>NOT(ISERROR(SEARCH("SP",AJ13)))</formula>
    </cfRule>
    <cfRule type="containsText" dxfId="256" priority="304" stopIfTrue="1" operator="containsText" text="NL">
      <formula>NOT(ISERROR(SEARCH("NL",AJ13)))</formula>
    </cfRule>
    <cfRule type="containsText" dxfId="255" priority="308" stopIfTrue="1" operator="containsText" text="AB">
      <formula>NOT(ISERROR(SEARCH("AB",AJ13)))</formula>
    </cfRule>
  </conditionalFormatting>
  <conditionalFormatting sqref="AJ147:BI147">
    <cfRule type="containsText" dxfId="254" priority="8250" stopIfTrue="1" operator="containsText" text="SICK">
      <formula>NOT(ISERROR(SEARCH("SICK",AJ147)))</formula>
    </cfRule>
    <cfRule type="containsText" dxfId="253" priority="8249" stopIfTrue="1" operator="containsText" text="HD">
      <formula>NOT(ISERROR(SEARCH("HD",AJ147)))</formula>
    </cfRule>
  </conditionalFormatting>
  <conditionalFormatting sqref="AK6">
    <cfRule type="containsText" dxfId="252" priority="297" operator="containsText" text="SICK">
      <formula>NOT(ISERROR(SEARCH("SICK",AK6)))</formula>
    </cfRule>
    <cfRule type="containsText" dxfId="251" priority="296" operator="containsText" text="FL">
      <formula>NOT(ISERROR(SEARCH("FL",AK6)))</formula>
    </cfRule>
    <cfRule type="containsText" dxfId="250" priority="295" operator="containsText" text="AB">
      <formula>NOT(ISERROR(SEARCH("AB",AK6)))</formula>
    </cfRule>
    <cfRule type="containsText" dxfId="249" priority="294" operator="containsText" text="EL">
      <formula>NOT(ISERROR(SEARCH("EL",AK6)))</formula>
    </cfRule>
    <cfRule type="containsText" dxfId="248" priority="293" operator="containsText" text="AL">
      <formula>NOT(ISERROR(SEARCH("AL",AK6)))</formula>
    </cfRule>
    <cfRule type="containsText" dxfId="247" priority="292" operator="containsText" text="SP">
      <formula>NOT(ISERROR(SEARCH("SP",AK6)))</formula>
    </cfRule>
  </conditionalFormatting>
  <conditionalFormatting sqref="AK23">
    <cfRule type="containsText" dxfId="246" priority="208" operator="containsText" text="SP">
      <formula>NOT(ISERROR(SEARCH("SP",AK23)))</formula>
    </cfRule>
    <cfRule type="containsText" dxfId="245" priority="209" operator="containsText" text="AL">
      <formula>NOT(ISERROR(SEARCH("AL",AK23)))</formula>
    </cfRule>
    <cfRule type="containsText" dxfId="244" priority="213" operator="containsText" text="SICK">
      <formula>NOT(ISERROR(SEARCH("SICK",AK23)))</formula>
    </cfRule>
    <cfRule type="containsText" dxfId="243" priority="212" operator="containsText" text="FL">
      <formula>NOT(ISERROR(SEARCH("FL",AK23)))</formula>
    </cfRule>
    <cfRule type="containsText" dxfId="242" priority="210" operator="containsText" text="EL">
      <formula>NOT(ISERROR(SEARCH("EL",AK23)))</formula>
    </cfRule>
    <cfRule type="containsText" dxfId="241" priority="211" operator="containsText" text="AB">
      <formula>NOT(ISERROR(SEARCH("AB",AK23)))</formula>
    </cfRule>
  </conditionalFormatting>
  <conditionalFormatting sqref="AM6">
    <cfRule type="containsText" dxfId="240" priority="290" operator="containsText" text="FL">
      <formula>NOT(ISERROR(SEARCH("FL",AM6)))</formula>
    </cfRule>
    <cfRule type="containsText" dxfId="239" priority="291" operator="containsText" text="SICK">
      <formula>NOT(ISERROR(SEARCH("SICK",AM6)))</formula>
    </cfRule>
    <cfRule type="containsText" dxfId="238" priority="289" operator="containsText" text="AB">
      <formula>NOT(ISERROR(SEARCH("AB",AM6)))</formula>
    </cfRule>
    <cfRule type="containsText" dxfId="237" priority="288" operator="containsText" text="EL">
      <formula>NOT(ISERROR(SEARCH("EL",AM6)))</formula>
    </cfRule>
    <cfRule type="containsText" dxfId="236" priority="287" operator="containsText" text="AL">
      <formula>NOT(ISERROR(SEARCH("AL",AM6)))</formula>
    </cfRule>
    <cfRule type="containsText" dxfId="235" priority="286" operator="containsText" text="SP">
      <formula>NOT(ISERROR(SEARCH("SP",AM6)))</formula>
    </cfRule>
  </conditionalFormatting>
  <conditionalFormatting sqref="AM23">
    <cfRule type="containsText" dxfId="234" priority="202" operator="containsText" text="SP">
      <formula>NOT(ISERROR(SEARCH("SP",AM23)))</formula>
    </cfRule>
    <cfRule type="containsText" dxfId="233" priority="203" operator="containsText" text="AL">
      <formula>NOT(ISERROR(SEARCH("AL",AM23)))</formula>
    </cfRule>
    <cfRule type="containsText" dxfId="232" priority="207" operator="containsText" text="SICK">
      <formula>NOT(ISERROR(SEARCH("SICK",AM23)))</formula>
    </cfRule>
    <cfRule type="containsText" dxfId="231" priority="204" operator="containsText" text="EL">
      <formula>NOT(ISERROR(SEARCH("EL",AM23)))</formula>
    </cfRule>
    <cfRule type="containsText" dxfId="230" priority="205" operator="containsText" text="AB">
      <formula>NOT(ISERROR(SEARCH("AB",AM23)))</formula>
    </cfRule>
    <cfRule type="containsText" dxfId="229" priority="206" operator="containsText" text="FL">
      <formula>NOT(ISERROR(SEARCH("FL",AM23)))</formula>
    </cfRule>
  </conditionalFormatting>
  <conditionalFormatting sqref="AN5:BI29">
    <cfRule type="cellIs" dxfId="228" priority="2" operator="between">
      <formula>0.0625</formula>
      <formula>0.166666666666667</formula>
    </cfRule>
  </conditionalFormatting>
  <conditionalFormatting sqref="AN45:BI122">
    <cfRule type="cellIs" dxfId="227" priority="1" operator="between">
      <formula>0.0625</formula>
      <formula>0.1875</formula>
    </cfRule>
  </conditionalFormatting>
  <conditionalFormatting sqref="AO6">
    <cfRule type="containsText" dxfId="226" priority="285" operator="containsText" text="SICK">
      <formula>NOT(ISERROR(SEARCH("SICK",AO6)))</formula>
    </cfRule>
    <cfRule type="containsText" dxfId="225" priority="284" operator="containsText" text="FL">
      <formula>NOT(ISERROR(SEARCH("FL",AO6)))</formula>
    </cfRule>
    <cfRule type="containsText" dxfId="224" priority="283" operator="containsText" text="AB">
      <formula>NOT(ISERROR(SEARCH("AB",AO6)))</formula>
    </cfRule>
    <cfRule type="containsText" dxfId="223" priority="282" operator="containsText" text="EL">
      <formula>NOT(ISERROR(SEARCH("EL",AO6)))</formula>
    </cfRule>
    <cfRule type="containsText" dxfId="222" priority="281" operator="containsText" text="AL">
      <formula>NOT(ISERROR(SEARCH("AL",AO6)))</formula>
    </cfRule>
    <cfRule type="containsText" dxfId="221" priority="280" operator="containsText" text="SP">
      <formula>NOT(ISERROR(SEARCH("SP",AO6)))</formula>
    </cfRule>
  </conditionalFormatting>
  <conditionalFormatting sqref="AO18">
    <cfRule type="containsText" dxfId="220" priority="233" operator="containsText" text="AL">
      <formula>NOT(ISERROR(SEARCH("AL",AO18)))</formula>
    </cfRule>
    <cfRule type="containsText" dxfId="219" priority="234" operator="containsText" text="EL">
      <formula>NOT(ISERROR(SEARCH("EL",AO18)))</formula>
    </cfRule>
    <cfRule type="containsText" dxfId="218" priority="235" operator="containsText" text="AB">
      <formula>NOT(ISERROR(SEARCH("AB",AO18)))</formula>
    </cfRule>
    <cfRule type="containsText" dxfId="217" priority="236" operator="containsText" text="FL">
      <formula>NOT(ISERROR(SEARCH("FL",AO18)))</formula>
    </cfRule>
    <cfRule type="containsText" dxfId="216" priority="232" operator="containsText" text="SP">
      <formula>NOT(ISERROR(SEARCH("SP",AO18)))</formula>
    </cfRule>
    <cfRule type="containsText" dxfId="215" priority="237" operator="containsText" text="SICK">
      <formula>NOT(ISERROR(SEARCH("SICK",AO18)))</formula>
    </cfRule>
  </conditionalFormatting>
  <conditionalFormatting sqref="AO23">
    <cfRule type="containsText" dxfId="214" priority="198" operator="containsText" text="EL">
      <formula>NOT(ISERROR(SEARCH("EL",AO23)))</formula>
    </cfRule>
    <cfRule type="containsText" dxfId="213" priority="197" operator="containsText" text="AL">
      <formula>NOT(ISERROR(SEARCH("AL",AO23)))</formula>
    </cfRule>
    <cfRule type="containsText" dxfId="212" priority="201" operator="containsText" text="SICK">
      <formula>NOT(ISERROR(SEARCH("SICK",AO23)))</formula>
    </cfRule>
    <cfRule type="containsText" dxfId="211" priority="196" operator="containsText" text="SP">
      <formula>NOT(ISERROR(SEARCH("SP",AO23)))</formula>
    </cfRule>
    <cfRule type="containsText" dxfId="210" priority="199" operator="containsText" text="AB">
      <formula>NOT(ISERROR(SEARCH("AB",AO23)))</formula>
    </cfRule>
    <cfRule type="containsText" dxfId="209" priority="200" operator="containsText" text="FL">
      <formula>NOT(ISERROR(SEARCH("FL",AO23)))</formula>
    </cfRule>
  </conditionalFormatting>
  <conditionalFormatting sqref="AQ6">
    <cfRule type="containsText" dxfId="208" priority="274" operator="containsText" text="SP">
      <formula>NOT(ISERROR(SEARCH("SP",AQ6)))</formula>
    </cfRule>
    <cfRule type="containsText" dxfId="207" priority="275" operator="containsText" text="AL">
      <formula>NOT(ISERROR(SEARCH("AL",AQ6)))</formula>
    </cfRule>
    <cfRule type="containsText" dxfId="206" priority="279" operator="containsText" text="SICK">
      <formula>NOT(ISERROR(SEARCH("SICK",AQ6)))</formula>
    </cfRule>
    <cfRule type="containsText" dxfId="205" priority="278" operator="containsText" text="FL">
      <formula>NOT(ISERROR(SEARCH("FL",AQ6)))</formula>
    </cfRule>
    <cfRule type="containsText" dxfId="204" priority="277" operator="containsText" text="AB">
      <formula>NOT(ISERROR(SEARCH("AB",AQ6)))</formula>
    </cfRule>
    <cfRule type="containsText" dxfId="203" priority="276" operator="containsText" text="EL">
      <formula>NOT(ISERROR(SEARCH("EL",AQ6)))</formula>
    </cfRule>
  </conditionalFormatting>
  <conditionalFormatting sqref="AQ23">
    <cfRule type="containsText" dxfId="202" priority="191" operator="containsText" text="AL">
      <formula>NOT(ISERROR(SEARCH("AL",AQ23)))</formula>
    </cfRule>
    <cfRule type="containsText" dxfId="201" priority="190" operator="containsText" text="SP">
      <formula>NOT(ISERROR(SEARCH("SP",AQ23)))</formula>
    </cfRule>
    <cfRule type="containsText" dxfId="200" priority="195" operator="containsText" text="SICK">
      <formula>NOT(ISERROR(SEARCH("SICK",AQ23)))</formula>
    </cfRule>
    <cfRule type="containsText" dxfId="199" priority="194" operator="containsText" text="FL">
      <formula>NOT(ISERROR(SEARCH("FL",AQ23)))</formula>
    </cfRule>
    <cfRule type="containsText" dxfId="198" priority="193" operator="containsText" text="AB">
      <formula>NOT(ISERROR(SEARCH("AB",AQ23)))</formula>
    </cfRule>
    <cfRule type="containsText" dxfId="197" priority="192" operator="containsText" text="EL">
      <formula>NOT(ISERROR(SEARCH("EL",AQ23)))</formula>
    </cfRule>
  </conditionalFormatting>
  <conditionalFormatting sqref="AS6">
    <cfRule type="containsText" dxfId="196" priority="273" operator="containsText" text="SICK">
      <formula>NOT(ISERROR(SEARCH("SICK",AS6)))</formula>
    </cfRule>
    <cfRule type="containsText" dxfId="195" priority="271" operator="containsText" text="AB">
      <formula>NOT(ISERROR(SEARCH("AB",AS6)))</formula>
    </cfRule>
    <cfRule type="containsText" dxfId="194" priority="270" operator="containsText" text="EL">
      <formula>NOT(ISERROR(SEARCH("EL",AS6)))</formula>
    </cfRule>
    <cfRule type="containsText" dxfId="193" priority="269" operator="containsText" text="AL">
      <formula>NOT(ISERROR(SEARCH("AL",AS6)))</formula>
    </cfRule>
    <cfRule type="containsText" dxfId="192" priority="268" operator="containsText" text="SP">
      <formula>NOT(ISERROR(SEARCH("SP",AS6)))</formula>
    </cfRule>
    <cfRule type="containsText" dxfId="191" priority="272" operator="containsText" text="FL">
      <formula>NOT(ISERROR(SEARCH("FL",AS6)))</formula>
    </cfRule>
  </conditionalFormatting>
  <conditionalFormatting sqref="AS23">
    <cfRule type="containsText" dxfId="190" priority="189" operator="containsText" text="SICK">
      <formula>NOT(ISERROR(SEARCH("SICK",AS23)))</formula>
    </cfRule>
    <cfRule type="containsText" dxfId="189" priority="188" operator="containsText" text="FL">
      <formula>NOT(ISERROR(SEARCH("FL",AS23)))</formula>
    </cfRule>
    <cfRule type="containsText" dxfId="188" priority="187" operator="containsText" text="AB">
      <formula>NOT(ISERROR(SEARCH("AB",AS23)))</formula>
    </cfRule>
    <cfRule type="containsText" dxfId="187" priority="186" operator="containsText" text="EL">
      <formula>NOT(ISERROR(SEARCH("EL",AS23)))</formula>
    </cfRule>
    <cfRule type="containsText" dxfId="186" priority="185" operator="containsText" text="AL">
      <formula>NOT(ISERROR(SEARCH("AL",AS23)))</formula>
    </cfRule>
    <cfRule type="containsText" dxfId="185" priority="184" operator="containsText" text="SP">
      <formula>NOT(ISERROR(SEARCH("SP",AS23)))</formula>
    </cfRule>
  </conditionalFormatting>
  <conditionalFormatting sqref="AT85:AU85">
    <cfRule type="containsText" dxfId="184" priority="162" operator="containsText" text="EL">
      <formula>NOT(ISERROR(SEARCH("EL",AT85)))</formula>
    </cfRule>
    <cfRule type="containsText" dxfId="183" priority="161" operator="containsText" text="AL">
      <formula>NOT(ISERROR(SEARCH("AL",AT85)))</formula>
    </cfRule>
    <cfRule type="containsText" dxfId="182" priority="160" operator="containsText" text="SP">
      <formula>NOT(ISERROR(SEARCH("SP",AT85)))</formula>
    </cfRule>
    <cfRule type="containsText" dxfId="181" priority="164" operator="containsText" text="FL">
      <formula>NOT(ISERROR(SEARCH("FL",AT85)))</formula>
    </cfRule>
    <cfRule type="containsText" dxfId="180" priority="165" operator="containsText" text="SICK">
      <formula>NOT(ISERROR(SEARCH("SICK",AT85)))</formula>
    </cfRule>
    <cfRule type="containsText" dxfId="179" priority="163" operator="containsText" text="AB">
      <formula>NOT(ISERROR(SEARCH("AB",AT85)))</formula>
    </cfRule>
  </conditionalFormatting>
  <conditionalFormatting sqref="AU6">
    <cfRule type="containsText" dxfId="178" priority="265" operator="containsText" text="AB">
      <formula>NOT(ISERROR(SEARCH("AB",AU6)))</formula>
    </cfRule>
    <cfRule type="containsText" dxfId="177" priority="264" operator="containsText" text="EL">
      <formula>NOT(ISERROR(SEARCH("EL",AU6)))</formula>
    </cfRule>
    <cfRule type="containsText" dxfId="176" priority="263" operator="containsText" text="AL">
      <formula>NOT(ISERROR(SEARCH("AL",AU6)))</formula>
    </cfRule>
    <cfRule type="containsText" dxfId="175" priority="267" operator="containsText" text="SICK">
      <formula>NOT(ISERROR(SEARCH("SICK",AU6)))</formula>
    </cfRule>
    <cfRule type="containsText" dxfId="174" priority="266" operator="containsText" text="FL">
      <formula>NOT(ISERROR(SEARCH("FL",AU6)))</formula>
    </cfRule>
    <cfRule type="containsText" dxfId="173" priority="262" operator="containsText" text="SP">
      <formula>NOT(ISERROR(SEARCH("SP",AU6)))</formula>
    </cfRule>
  </conditionalFormatting>
  <conditionalFormatting sqref="AU23">
    <cfRule type="containsText" dxfId="172" priority="181" operator="containsText" text="AB">
      <formula>NOT(ISERROR(SEARCH("AB",AU23)))</formula>
    </cfRule>
    <cfRule type="containsText" dxfId="171" priority="182" operator="containsText" text="FL">
      <formula>NOT(ISERROR(SEARCH("FL",AU23)))</formula>
    </cfRule>
    <cfRule type="containsText" dxfId="170" priority="183" operator="containsText" text="SICK">
      <formula>NOT(ISERROR(SEARCH("SICK",AU23)))</formula>
    </cfRule>
    <cfRule type="containsText" dxfId="169" priority="178" operator="containsText" text="SP">
      <formula>NOT(ISERROR(SEARCH("SP",AU23)))</formula>
    </cfRule>
    <cfRule type="containsText" dxfId="168" priority="179" operator="containsText" text="AL">
      <formula>NOT(ISERROR(SEARCH("AL",AU23)))</formula>
    </cfRule>
    <cfRule type="containsText" dxfId="167" priority="180" operator="containsText" text="EL">
      <formula>NOT(ISERROR(SEARCH("EL",AU23)))</formula>
    </cfRule>
  </conditionalFormatting>
  <conditionalFormatting sqref="AV5">
    <cfRule type="containsText" dxfId="166" priority="255" operator="containsText" text="SICK">
      <formula>NOT(ISERROR(SEARCH("SICK",AV5)))</formula>
    </cfRule>
    <cfRule type="containsText" dxfId="165" priority="254" operator="containsText" text="FL">
      <formula>NOT(ISERROR(SEARCH("FL",AV5)))</formula>
    </cfRule>
    <cfRule type="containsText" dxfId="164" priority="253" operator="containsText" text="AB">
      <formula>NOT(ISERROR(SEARCH("AB",AV5)))</formula>
    </cfRule>
    <cfRule type="containsText" dxfId="163" priority="252" operator="containsText" text="EL">
      <formula>NOT(ISERROR(SEARCH("EL",AV5)))</formula>
    </cfRule>
    <cfRule type="containsText" dxfId="162" priority="251" operator="containsText" text="AL">
      <formula>NOT(ISERROR(SEARCH("AL",AV5)))</formula>
    </cfRule>
    <cfRule type="containsText" dxfId="161" priority="250" operator="containsText" text="SP">
      <formula>NOT(ISERROR(SEARCH("SP",AV5)))</formula>
    </cfRule>
  </conditionalFormatting>
  <conditionalFormatting sqref="AW6">
    <cfRule type="containsText" dxfId="160" priority="257" operator="containsText" text="AL">
      <formula>NOT(ISERROR(SEARCH("AL",AW6)))</formula>
    </cfRule>
    <cfRule type="containsText" dxfId="159" priority="258" operator="containsText" text="EL">
      <formula>NOT(ISERROR(SEARCH("EL",AW6)))</formula>
    </cfRule>
    <cfRule type="containsText" dxfId="158" priority="259" operator="containsText" text="AB">
      <formula>NOT(ISERROR(SEARCH("AB",AW6)))</formula>
    </cfRule>
    <cfRule type="containsText" dxfId="157" priority="260" operator="containsText" text="FL">
      <formula>NOT(ISERROR(SEARCH("FL",AW6)))</formula>
    </cfRule>
    <cfRule type="containsText" dxfId="156" priority="261" operator="containsText" text="SICK">
      <formula>NOT(ISERROR(SEARCH("SICK",AW6)))</formula>
    </cfRule>
    <cfRule type="containsText" dxfId="155" priority="256" operator="containsText" text="SP">
      <formula>NOT(ISERROR(SEARCH("SP",AW6)))</formula>
    </cfRule>
  </conditionalFormatting>
  <conditionalFormatting sqref="AW9">
    <cfRule type="containsText" dxfId="154" priority="228" operator="containsText" text="EL">
      <formula>NOT(ISERROR(SEARCH("EL",AW9)))</formula>
    </cfRule>
    <cfRule type="containsText" dxfId="153" priority="227" operator="containsText" text="AL">
      <formula>NOT(ISERROR(SEARCH("AL",AW9)))</formula>
    </cfRule>
    <cfRule type="containsText" dxfId="152" priority="226" operator="containsText" text="SP">
      <formula>NOT(ISERROR(SEARCH("SP",AW9)))</formula>
    </cfRule>
    <cfRule type="containsText" dxfId="151" priority="230" operator="containsText" text="FL">
      <formula>NOT(ISERROR(SEARCH("FL",AW9)))</formula>
    </cfRule>
    <cfRule type="containsText" dxfId="150" priority="231" operator="containsText" text="SICK">
      <formula>NOT(ISERROR(SEARCH("SICK",AW9)))</formula>
    </cfRule>
    <cfRule type="containsText" dxfId="149" priority="229" operator="containsText" text="AB">
      <formula>NOT(ISERROR(SEARCH("AB",AW9)))</formula>
    </cfRule>
  </conditionalFormatting>
  <conditionalFormatting sqref="AW15">
    <cfRule type="containsText" dxfId="148" priority="220" operator="containsText" text="SP">
      <formula>NOT(ISERROR(SEARCH("SP",AW15)))</formula>
    </cfRule>
    <cfRule type="containsText" dxfId="147" priority="225" operator="containsText" text="SICK">
      <formula>NOT(ISERROR(SEARCH("SICK",AW15)))</formula>
    </cfRule>
    <cfRule type="containsText" dxfId="146" priority="224" operator="containsText" text="FL">
      <formula>NOT(ISERROR(SEARCH("FL",AW15)))</formula>
    </cfRule>
    <cfRule type="containsText" dxfId="145" priority="223" operator="containsText" text="AB">
      <formula>NOT(ISERROR(SEARCH("AB",AW15)))</formula>
    </cfRule>
    <cfRule type="containsText" dxfId="144" priority="222" operator="containsText" text="EL">
      <formula>NOT(ISERROR(SEARCH("EL",AW15)))</formula>
    </cfRule>
    <cfRule type="containsText" dxfId="143" priority="221" operator="containsText" text="AL">
      <formula>NOT(ISERROR(SEARCH("AL",AW15)))</formula>
    </cfRule>
  </conditionalFormatting>
  <conditionalFormatting sqref="AW22:AW23">
    <cfRule type="containsText" dxfId="142" priority="174" operator="containsText" text="EL">
      <formula>NOT(ISERROR(SEARCH("EL",AW22)))</formula>
    </cfRule>
    <cfRule type="containsText" dxfId="141" priority="175" operator="containsText" text="AB">
      <formula>NOT(ISERROR(SEARCH("AB",AW22)))</formula>
    </cfRule>
    <cfRule type="containsText" dxfId="140" priority="176" operator="containsText" text="FL">
      <formula>NOT(ISERROR(SEARCH("FL",AW22)))</formula>
    </cfRule>
    <cfRule type="containsText" dxfId="139" priority="177" operator="containsText" text="SICK">
      <formula>NOT(ISERROR(SEARCH("SICK",AW22)))</formula>
    </cfRule>
    <cfRule type="containsText" dxfId="138" priority="172" operator="containsText" text="SP">
      <formula>NOT(ISERROR(SEARCH("SP",AW22)))</formula>
    </cfRule>
    <cfRule type="containsText" dxfId="137" priority="173" operator="containsText" text="AL">
      <formula>NOT(ISERROR(SEARCH("AL",AW22)))</formula>
    </cfRule>
  </conditionalFormatting>
  <conditionalFormatting sqref="AX118:AY118">
    <cfRule type="containsText" dxfId="136" priority="30" operator="containsText" text="EL">
      <formula>NOT(ISERROR(SEARCH("EL",AX118)))</formula>
    </cfRule>
    <cfRule type="containsText" dxfId="135" priority="33" operator="containsText" text="SICK">
      <formula>NOT(ISERROR(SEARCH("SICK",AX118)))</formula>
    </cfRule>
    <cfRule type="containsText" dxfId="134" priority="32" operator="containsText" text="FL">
      <formula>NOT(ISERROR(SEARCH("FL",AX118)))</formula>
    </cfRule>
    <cfRule type="containsText" dxfId="133" priority="29" operator="containsText" text="AL">
      <formula>NOT(ISERROR(SEARCH("AL",AX118)))</formula>
    </cfRule>
    <cfRule type="containsText" dxfId="132" priority="28" operator="containsText" text="SP">
      <formula>NOT(ISERROR(SEARCH("SP",AX118)))</formula>
    </cfRule>
    <cfRule type="containsText" dxfId="131" priority="31" operator="containsText" text="AB">
      <formula>NOT(ISERROR(SEARCH("AB",AX118)))</formula>
    </cfRule>
  </conditionalFormatting>
  <conditionalFormatting sqref="AY6">
    <cfRule type="containsText" dxfId="130" priority="148" operator="containsText" text="SP">
      <formula>NOT(ISERROR(SEARCH("SP",AY6)))</formula>
    </cfRule>
    <cfRule type="containsText" dxfId="129" priority="149" operator="containsText" text="AL">
      <formula>NOT(ISERROR(SEARCH("AL",AY6)))</formula>
    </cfRule>
    <cfRule type="containsText" dxfId="128" priority="150" operator="containsText" text="EL">
      <formula>NOT(ISERROR(SEARCH("EL",AY6)))</formula>
    </cfRule>
    <cfRule type="containsText" dxfId="127" priority="151" operator="containsText" text="AB">
      <formula>NOT(ISERROR(SEARCH("AB",AY6)))</formula>
    </cfRule>
    <cfRule type="containsText" dxfId="126" priority="152" operator="containsText" text="FL">
      <formula>NOT(ISERROR(SEARCH("FL",AY6)))</formula>
    </cfRule>
    <cfRule type="containsText" dxfId="125" priority="153" operator="containsText" text="SICK">
      <formula>NOT(ISERROR(SEARCH("SICK",AY6)))</formula>
    </cfRule>
  </conditionalFormatting>
  <conditionalFormatting sqref="AY18">
    <cfRule type="containsText" dxfId="124" priority="108" operator="containsText" text="EL">
      <formula>NOT(ISERROR(SEARCH("EL",AY18)))</formula>
    </cfRule>
    <cfRule type="containsText" dxfId="123" priority="106" operator="containsText" text="SP">
      <formula>NOT(ISERROR(SEARCH("SP",AY18)))</formula>
    </cfRule>
    <cfRule type="containsText" dxfId="122" priority="107" operator="containsText" text="AL">
      <formula>NOT(ISERROR(SEARCH("AL",AY18)))</formula>
    </cfRule>
    <cfRule type="containsText" dxfId="121" priority="109" operator="containsText" text="AB">
      <formula>NOT(ISERROR(SEARCH("AB",AY18)))</formula>
    </cfRule>
    <cfRule type="containsText" dxfId="120" priority="111" operator="containsText" text="SICK">
      <formula>NOT(ISERROR(SEARCH("SICK",AY18)))</formula>
    </cfRule>
    <cfRule type="containsText" dxfId="119" priority="110" operator="containsText" text="FL">
      <formula>NOT(ISERROR(SEARCH("FL",AY18)))</formula>
    </cfRule>
  </conditionalFormatting>
  <conditionalFormatting sqref="AY23">
    <cfRule type="containsText" dxfId="118" priority="86" operator="containsText" text="FL">
      <formula>NOT(ISERROR(SEARCH("FL",AY23)))</formula>
    </cfRule>
    <cfRule type="containsText" dxfId="117" priority="87" operator="containsText" text="SICK">
      <formula>NOT(ISERROR(SEARCH("SICK",AY23)))</formula>
    </cfRule>
    <cfRule type="containsText" dxfId="116" priority="85" operator="containsText" text="AB">
      <formula>NOT(ISERROR(SEARCH("AB",AY23)))</formula>
    </cfRule>
    <cfRule type="containsText" dxfId="115" priority="84" operator="containsText" text="EL">
      <formula>NOT(ISERROR(SEARCH("EL",AY23)))</formula>
    </cfRule>
    <cfRule type="containsText" dxfId="114" priority="83" operator="containsText" text="AL">
      <formula>NOT(ISERROR(SEARCH("AL",AY23)))</formula>
    </cfRule>
    <cfRule type="containsText" dxfId="113" priority="82" operator="containsText" text="SP">
      <formula>NOT(ISERROR(SEARCH("SP",AY23)))</formula>
    </cfRule>
  </conditionalFormatting>
  <conditionalFormatting sqref="BA6">
    <cfRule type="containsText" dxfId="112" priority="142" operator="containsText" text="SP">
      <formula>NOT(ISERROR(SEARCH("SP",BA6)))</formula>
    </cfRule>
    <cfRule type="containsText" dxfId="111" priority="143" operator="containsText" text="AL">
      <formula>NOT(ISERROR(SEARCH("AL",BA6)))</formula>
    </cfRule>
    <cfRule type="containsText" dxfId="110" priority="144" operator="containsText" text="EL">
      <formula>NOT(ISERROR(SEARCH("EL",BA6)))</formula>
    </cfRule>
    <cfRule type="containsText" dxfId="109" priority="145" operator="containsText" text="AB">
      <formula>NOT(ISERROR(SEARCH("AB",BA6)))</formula>
    </cfRule>
    <cfRule type="containsText" dxfId="108" priority="147" operator="containsText" text="SICK">
      <formula>NOT(ISERROR(SEARCH("SICK",BA6)))</formula>
    </cfRule>
    <cfRule type="containsText" dxfId="107" priority="146" operator="containsText" text="FL">
      <formula>NOT(ISERROR(SEARCH("FL",BA6)))</formula>
    </cfRule>
  </conditionalFormatting>
  <conditionalFormatting sqref="BA18">
    <cfRule type="containsText" dxfId="106" priority="104" operator="containsText" text="FL">
      <formula>NOT(ISERROR(SEARCH("FL",BA18)))</formula>
    </cfRule>
    <cfRule type="containsText" dxfId="105" priority="105" operator="containsText" text="SICK">
      <formula>NOT(ISERROR(SEARCH("SICK",BA18)))</formula>
    </cfRule>
    <cfRule type="containsText" dxfId="104" priority="103" operator="containsText" text="AB">
      <formula>NOT(ISERROR(SEARCH("AB",BA18)))</formula>
    </cfRule>
    <cfRule type="containsText" dxfId="103" priority="102" operator="containsText" text="EL">
      <formula>NOT(ISERROR(SEARCH("EL",BA18)))</formula>
    </cfRule>
    <cfRule type="containsText" dxfId="102" priority="101" operator="containsText" text="AL">
      <formula>NOT(ISERROR(SEARCH("AL",BA18)))</formula>
    </cfRule>
    <cfRule type="containsText" dxfId="101" priority="100" operator="containsText" text="SP">
      <formula>NOT(ISERROR(SEARCH("SP",BA18)))</formula>
    </cfRule>
  </conditionalFormatting>
  <conditionalFormatting sqref="BA23:BA24">
    <cfRule type="containsText" dxfId="100" priority="52" operator="containsText" text="SP">
      <formula>NOT(ISERROR(SEARCH("SP",BA23)))</formula>
    </cfRule>
    <cfRule type="containsText" dxfId="99" priority="56" operator="containsText" text="FL">
      <formula>NOT(ISERROR(SEARCH("FL",BA23)))</formula>
    </cfRule>
    <cfRule type="containsText" dxfId="98" priority="53" operator="containsText" text="AL">
      <formula>NOT(ISERROR(SEARCH("AL",BA23)))</formula>
    </cfRule>
    <cfRule type="containsText" dxfId="97" priority="54" operator="containsText" text="EL">
      <formula>NOT(ISERROR(SEARCH("EL",BA23)))</formula>
    </cfRule>
    <cfRule type="containsText" dxfId="96" priority="55" operator="containsText" text="AB">
      <formula>NOT(ISERROR(SEARCH("AB",BA23)))</formula>
    </cfRule>
    <cfRule type="containsText" dxfId="95" priority="57" operator="containsText" text="SICK">
      <formula>NOT(ISERROR(SEARCH("SICK",BA23)))</formula>
    </cfRule>
  </conditionalFormatting>
  <conditionalFormatting sqref="BB24:BC24">
    <cfRule type="containsText" dxfId="94" priority="50" stopIfTrue="1" operator="containsText" text="FL">
      <formula>NOT(ISERROR(SEARCH("FL",BB24)))</formula>
    </cfRule>
    <cfRule type="containsText" dxfId="93" priority="51" stopIfTrue="1" operator="containsText" text="SICK">
      <formula>NOT(ISERROR(SEARCH("SICK",BB24)))</formula>
    </cfRule>
    <cfRule type="containsText" dxfId="92" priority="48" stopIfTrue="1" operator="containsText" text="EL">
      <formula>NOT(ISERROR(SEARCH("EL",BB24)))</formula>
    </cfRule>
    <cfRule type="containsText" dxfId="91" priority="47" stopIfTrue="1" operator="containsText" text="AL">
      <formula>NOT(ISERROR(SEARCH("AL",BB24)))</formula>
    </cfRule>
    <cfRule type="containsText" dxfId="90" priority="46" stopIfTrue="1" operator="containsText" text="SP">
      <formula>NOT(ISERROR(SEARCH("SP",BB24)))</formula>
    </cfRule>
    <cfRule type="containsText" dxfId="89" priority="49" stopIfTrue="1" operator="containsText" text="AB">
      <formula>NOT(ISERROR(SEARCH("AB",BB24)))</formula>
    </cfRule>
  </conditionalFormatting>
  <conditionalFormatting sqref="BC6">
    <cfRule type="containsText" dxfId="88" priority="141" operator="containsText" text="SICK">
      <formula>NOT(ISERROR(SEARCH("SICK",BC6)))</formula>
    </cfRule>
    <cfRule type="containsText" dxfId="87" priority="140" operator="containsText" text="FL">
      <formula>NOT(ISERROR(SEARCH("FL",BC6)))</formula>
    </cfRule>
    <cfRule type="containsText" dxfId="86" priority="138" operator="containsText" text="EL">
      <formula>NOT(ISERROR(SEARCH("EL",BC6)))</formula>
    </cfRule>
    <cfRule type="containsText" dxfId="85" priority="137" operator="containsText" text="AL">
      <formula>NOT(ISERROR(SEARCH("AL",BC6)))</formula>
    </cfRule>
    <cfRule type="containsText" dxfId="84" priority="136" operator="containsText" text="SP">
      <formula>NOT(ISERROR(SEARCH("SP",BC6)))</formula>
    </cfRule>
    <cfRule type="containsText" dxfId="83" priority="139" operator="containsText" text="AB">
      <formula>NOT(ISERROR(SEARCH("AB",BC6)))</formula>
    </cfRule>
  </conditionalFormatting>
  <conditionalFormatting sqref="BC23">
    <cfRule type="containsText" dxfId="82" priority="71" operator="containsText" text="AL">
      <formula>NOT(ISERROR(SEARCH("AL",BC23)))</formula>
    </cfRule>
    <cfRule type="containsText" dxfId="81" priority="73" operator="containsText" text="AB">
      <formula>NOT(ISERROR(SEARCH("AB",BC23)))</formula>
    </cfRule>
    <cfRule type="containsText" dxfId="80" priority="70" operator="containsText" text="SP">
      <formula>NOT(ISERROR(SEARCH("SP",BC23)))</formula>
    </cfRule>
    <cfRule type="containsText" dxfId="79" priority="74" operator="containsText" text="FL">
      <formula>NOT(ISERROR(SEARCH("FL",BC23)))</formula>
    </cfRule>
    <cfRule type="containsText" dxfId="78" priority="75" operator="containsText" text="SICK">
      <formula>NOT(ISERROR(SEARCH("SICK",BC23)))</formula>
    </cfRule>
    <cfRule type="containsText" dxfId="77" priority="72" operator="containsText" text="EL">
      <formula>NOT(ISERROR(SEARCH("EL",BC23)))</formula>
    </cfRule>
  </conditionalFormatting>
  <conditionalFormatting sqref="BE6">
    <cfRule type="containsText" dxfId="76" priority="133" operator="containsText" text="AB">
      <formula>NOT(ISERROR(SEARCH("AB",BE6)))</formula>
    </cfRule>
    <cfRule type="containsText" dxfId="75" priority="130" operator="containsText" text="SP">
      <formula>NOT(ISERROR(SEARCH("SP",BE6)))</formula>
    </cfRule>
    <cfRule type="containsText" dxfId="74" priority="131" operator="containsText" text="AL">
      <formula>NOT(ISERROR(SEARCH("AL",BE6)))</formula>
    </cfRule>
    <cfRule type="containsText" dxfId="73" priority="132" operator="containsText" text="EL">
      <formula>NOT(ISERROR(SEARCH("EL",BE6)))</formula>
    </cfRule>
    <cfRule type="containsText" dxfId="72" priority="135" operator="containsText" text="SICK">
      <formula>NOT(ISERROR(SEARCH("SICK",BE6)))</formula>
    </cfRule>
    <cfRule type="containsText" dxfId="71" priority="134" operator="containsText" text="FL">
      <formula>NOT(ISERROR(SEARCH("FL",BE6)))</formula>
    </cfRule>
  </conditionalFormatting>
  <conditionalFormatting sqref="BE18">
    <cfRule type="containsText" dxfId="70" priority="96" operator="containsText" text="EL">
      <formula>NOT(ISERROR(SEARCH("EL",BE18)))</formula>
    </cfRule>
    <cfRule type="containsText" dxfId="69" priority="99" operator="containsText" text="SICK">
      <formula>NOT(ISERROR(SEARCH("SICK",BE18)))</formula>
    </cfRule>
    <cfRule type="containsText" dxfId="68" priority="98" operator="containsText" text="FL">
      <formula>NOT(ISERROR(SEARCH("FL",BE18)))</formula>
    </cfRule>
    <cfRule type="containsText" dxfId="67" priority="97" operator="containsText" text="AB">
      <formula>NOT(ISERROR(SEARCH("AB",BE18)))</formula>
    </cfRule>
    <cfRule type="containsText" dxfId="66" priority="95" operator="containsText" text="AL">
      <formula>NOT(ISERROR(SEARCH("AL",BE18)))</formula>
    </cfRule>
    <cfRule type="containsText" dxfId="65" priority="94" operator="containsText" text="SP">
      <formula>NOT(ISERROR(SEARCH("SP",BE18)))</formula>
    </cfRule>
  </conditionalFormatting>
  <conditionalFormatting sqref="BE23">
    <cfRule type="containsText" dxfId="64" priority="65" operator="containsText" text="AL">
      <formula>NOT(ISERROR(SEARCH("AL",BE23)))</formula>
    </cfRule>
    <cfRule type="containsText" dxfId="63" priority="66" operator="containsText" text="EL">
      <formula>NOT(ISERROR(SEARCH("EL",BE23)))</formula>
    </cfRule>
    <cfRule type="containsText" dxfId="62" priority="69" operator="containsText" text="SICK">
      <formula>NOT(ISERROR(SEARCH("SICK",BE23)))</formula>
    </cfRule>
    <cfRule type="containsText" dxfId="61" priority="68" operator="containsText" text="FL">
      <formula>NOT(ISERROR(SEARCH("FL",BE23)))</formula>
    </cfRule>
    <cfRule type="containsText" dxfId="60" priority="67" operator="containsText" text="AB">
      <formula>NOT(ISERROR(SEARCH("AB",BE23)))</formula>
    </cfRule>
    <cfRule type="containsText" dxfId="59" priority="64" operator="containsText" text="SP">
      <formula>NOT(ISERROR(SEARCH("SP",BE23)))</formula>
    </cfRule>
  </conditionalFormatting>
  <conditionalFormatting sqref="BF5:BG5">
    <cfRule type="containsText" dxfId="58" priority="118" stopIfTrue="1" operator="containsText" text="SP">
      <formula>NOT(ISERROR(SEARCH("SP",BF5)))</formula>
    </cfRule>
    <cfRule type="containsText" dxfId="57" priority="119" stopIfTrue="1" operator="containsText" text="AL">
      <formula>NOT(ISERROR(SEARCH("AL",BF5)))</formula>
    </cfRule>
    <cfRule type="containsText" dxfId="56" priority="120" stopIfTrue="1" operator="containsText" text="EL">
      <formula>NOT(ISERROR(SEARCH("EL",BF5)))</formula>
    </cfRule>
    <cfRule type="containsText" dxfId="55" priority="121" stopIfTrue="1" operator="containsText" text="AB">
      <formula>NOT(ISERROR(SEARCH("AB",BF5)))</formula>
    </cfRule>
    <cfRule type="containsText" dxfId="54" priority="122" stopIfTrue="1" operator="containsText" text="FL">
      <formula>NOT(ISERROR(SEARCH("FL",BF5)))</formula>
    </cfRule>
    <cfRule type="containsText" dxfId="53" priority="123" stopIfTrue="1" operator="containsText" text="SICK">
      <formula>NOT(ISERROR(SEARCH("SICK",BF5)))</formula>
    </cfRule>
  </conditionalFormatting>
  <conditionalFormatting sqref="BF10:BG12">
    <cfRule type="containsText" dxfId="52" priority="116" stopIfTrue="1" operator="containsText" text="FL">
      <formula>NOT(ISERROR(SEARCH("FL",BF10)))</formula>
    </cfRule>
    <cfRule type="containsText" dxfId="51" priority="117" stopIfTrue="1" operator="containsText" text="SICK">
      <formula>NOT(ISERROR(SEARCH("SICK",BF10)))</formula>
    </cfRule>
    <cfRule type="containsText" dxfId="50" priority="115" stopIfTrue="1" operator="containsText" text="AB">
      <formula>NOT(ISERROR(SEARCH("AB",BF10)))</formula>
    </cfRule>
    <cfRule type="containsText" dxfId="49" priority="112" stopIfTrue="1" operator="containsText" text="SP">
      <formula>NOT(ISERROR(SEARCH("SP",BF10)))</formula>
    </cfRule>
    <cfRule type="containsText" dxfId="48" priority="113" stopIfTrue="1" operator="containsText" text="AL">
      <formula>NOT(ISERROR(SEARCH("AL",BF10)))</formula>
    </cfRule>
    <cfRule type="containsText" dxfId="47" priority="114" stopIfTrue="1" operator="containsText" text="EL">
      <formula>NOT(ISERROR(SEARCH("EL",BF10)))</formula>
    </cfRule>
  </conditionalFormatting>
  <conditionalFormatting sqref="BG6">
    <cfRule type="containsText" dxfId="46" priority="124" operator="containsText" text="SP">
      <formula>NOT(ISERROR(SEARCH("SP",BG6)))</formula>
    </cfRule>
    <cfRule type="containsText" dxfId="45" priority="125" operator="containsText" text="AL">
      <formula>NOT(ISERROR(SEARCH("AL",BG6)))</formula>
    </cfRule>
    <cfRule type="containsText" dxfId="44" priority="126" operator="containsText" text="EL">
      <formula>NOT(ISERROR(SEARCH("EL",BG6)))</formula>
    </cfRule>
    <cfRule type="containsText" dxfId="43" priority="127" operator="containsText" text="AB">
      <formula>NOT(ISERROR(SEARCH("AB",BG6)))</formula>
    </cfRule>
    <cfRule type="containsText" dxfId="42" priority="128" operator="containsText" text="FL">
      <formula>NOT(ISERROR(SEARCH("FL",BG6)))</formula>
    </cfRule>
    <cfRule type="containsText" dxfId="41" priority="129" operator="containsText" text="SICK">
      <formula>NOT(ISERROR(SEARCH("SICK",BG6)))</formula>
    </cfRule>
  </conditionalFormatting>
  <conditionalFormatting sqref="BG18">
    <cfRule type="containsText" dxfId="40" priority="88" operator="containsText" text="SP">
      <formula>NOT(ISERROR(SEARCH("SP",BG18)))</formula>
    </cfRule>
    <cfRule type="containsText" dxfId="39" priority="89" operator="containsText" text="AL">
      <formula>NOT(ISERROR(SEARCH("AL",BG18)))</formula>
    </cfRule>
    <cfRule type="containsText" dxfId="38" priority="90" operator="containsText" text="EL">
      <formula>NOT(ISERROR(SEARCH("EL",BG18)))</formula>
    </cfRule>
    <cfRule type="containsText" dxfId="37" priority="91" operator="containsText" text="AB">
      <formula>NOT(ISERROR(SEARCH("AB",BG18)))</formula>
    </cfRule>
    <cfRule type="containsText" dxfId="36" priority="92" operator="containsText" text="FL">
      <formula>NOT(ISERROR(SEARCH("FL",BG18)))</formula>
    </cfRule>
    <cfRule type="containsText" dxfId="35" priority="93" operator="containsText" text="SICK">
      <formula>NOT(ISERROR(SEARCH("SICK",BG18)))</formula>
    </cfRule>
  </conditionalFormatting>
  <conditionalFormatting sqref="BG23:BG24">
    <cfRule type="containsText" dxfId="34" priority="45" operator="containsText" text="SICK">
      <formula>NOT(ISERROR(SEARCH("SICK",BG23)))</formula>
    </cfRule>
    <cfRule type="containsText" dxfId="33" priority="44" operator="containsText" text="FL">
      <formula>NOT(ISERROR(SEARCH("FL",BG23)))</formula>
    </cfRule>
    <cfRule type="containsText" dxfId="32" priority="43" operator="containsText" text="AB">
      <formula>NOT(ISERROR(SEARCH("AB",BG23)))</formula>
    </cfRule>
    <cfRule type="containsText" dxfId="31" priority="42" operator="containsText" text="EL">
      <formula>NOT(ISERROR(SEARCH("EL",BG23)))</formula>
    </cfRule>
    <cfRule type="containsText" dxfId="30" priority="41" operator="containsText" text="AL">
      <formula>NOT(ISERROR(SEARCH("AL",BG23)))</formula>
    </cfRule>
    <cfRule type="containsText" dxfId="29" priority="40" operator="containsText" text="SP">
      <formula>NOT(ISERROR(SEARCH("SP",BG23)))</formula>
    </cfRule>
  </conditionalFormatting>
  <conditionalFormatting sqref="BH147:BI147">
    <cfRule type="containsText" dxfId="28" priority="8280" stopIfTrue="1" operator="containsText" text="SP">
      <formula>NOT(ISERROR(SEARCH("SP",BH147)))</formula>
    </cfRule>
    <cfRule type="containsText" priority="8281" stopIfTrue="1" operator="containsText" text="SP">
      <formula>NOT(ISERROR(SEARCH("SP",BH147)))</formula>
    </cfRule>
  </conditionalFormatting>
  <conditionalFormatting sqref="BI6">
    <cfRule type="containsText" dxfId="27" priority="27" operator="containsText" text="SICK">
      <formula>NOT(ISERROR(SEARCH("SICK",BI6)))</formula>
    </cfRule>
    <cfRule type="containsText" dxfId="26" priority="26" operator="containsText" text="FL">
      <formula>NOT(ISERROR(SEARCH("FL",BI6)))</formula>
    </cfRule>
    <cfRule type="containsText" dxfId="25" priority="25" operator="containsText" text="AB">
      <formula>NOT(ISERROR(SEARCH("AB",BI6)))</formula>
    </cfRule>
    <cfRule type="containsText" dxfId="24" priority="24" operator="containsText" text="EL">
      <formula>NOT(ISERROR(SEARCH("EL",BI6)))</formula>
    </cfRule>
    <cfRule type="containsText" dxfId="23" priority="23" operator="containsText" text="AL">
      <formula>NOT(ISERROR(SEARCH("AL",BI6)))</formula>
    </cfRule>
    <cfRule type="containsText" dxfId="22" priority="22" operator="containsText" text="SP">
      <formula>NOT(ISERROR(SEARCH("SP",BI6)))</formula>
    </cfRule>
  </conditionalFormatting>
  <conditionalFormatting sqref="BI11">
    <cfRule type="containsText" dxfId="21" priority="16" operator="containsText" text="SP">
      <formula>NOT(ISERROR(SEARCH("SP",BI11)))</formula>
    </cfRule>
    <cfRule type="containsText" dxfId="20" priority="17" operator="containsText" text="AL">
      <formula>NOT(ISERROR(SEARCH("AL",BI11)))</formula>
    </cfRule>
    <cfRule type="containsText" dxfId="19" priority="19" operator="containsText" text="AB">
      <formula>NOT(ISERROR(SEARCH("AB",BI11)))</formula>
    </cfRule>
    <cfRule type="containsText" dxfId="18" priority="18" operator="containsText" text="EL">
      <formula>NOT(ISERROR(SEARCH("EL",BI11)))</formula>
    </cfRule>
    <cfRule type="containsText" dxfId="17" priority="21" operator="containsText" text="SICK">
      <formula>NOT(ISERROR(SEARCH("SICK",BI11)))</formula>
    </cfRule>
    <cfRule type="containsText" dxfId="16" priority="20" operator="containsText" text="FL">
      <formula>NOT(ISERROR(SEARCH("FL",BI11)))</formula>
    </cfRule>
  </conditionalFormatting>
  <conditionalFormatting sqref="BI18">
    <cfRule type="containsText" dxfId="15" priority="15" operator="containsText" text="SICK">
      <formula>NOT(ISERROR(SEARCH("SICK",BI18)))</formula>
    </cfRule>
    <cfRule type="containsText" dxfId="14" priority="12" operator="containsText" text="EL">
      <formula>NOT(ISERROR(SEARCH("EL",BI18)))</formula>
    </cfRule>
    <cfRule type="containsText" dxfId="13" priority="10" operator="containsText" text="SP">
      <formula>NOT(ISERROR(SEARCH("SP",BI18)))</formula>
    </cfRule>
    <cfRule type="containsText" dxfId="12" priority="11" operator="containsText" text="AL">
      <formula>NOT(ISERROR(SEARCH("AL",BI18)))</formula>
    </cfRule>
    <cfRule type="containsText" dxfId="11" priority="14" operator="containsText" text="FL">
      <formula>NOT(ISERROR(SEARCH("FL",BI18)))</formula>
    </cfRule>
    <cfRule type="containsText" dxfId="10" priority="13" operator="containsText" text="AB">
      <formula>NOT(ISERROR(SEARCH("AB",BI18)))</formula>
    </cfRule>
  </conditionalFormatting>
  <conditionalFormatting sqref="BI23:BI24">
    <cfRule type="containsText" dxfId="9" priority="5" operator="containsText" text="AL">
      <formula>NOT(ISERROR(SEARCH("AL",BI23)))</formula>
    </cfRule>
    <cfRule type="containsText" dxfId="8" priority="4" operator="containsText" text="SP">
      <formula>NOT(ISERROR(SEARCH("SP",BI23)))</formula>
    </cfRule>
    <cfRule type="containsText" dxfId="7" priority="6" operator="containsText" text="EL">
      <formula>NOT(ISERROR(SEARCH("EL",BI23)))</formula>
    </cfRule>
    <cfRule type="containsText" dxfId="6" priority="7" operator="containsText" text="AB">
      <formula>NOT(ISERROR(SEARCH("AB",BI23)))</formula>
    </cfRule>
    <cfRule type="containsText" dxfId="5" priority="8" operator="containsText" text="FL">
      <formula>NOT(ISERROR(SEARCH("FL",BI23)))</formula>
    </cfRule>
    <cfRule type="containsText" dxfId="4" priority="9" operator="containsText" text="SICK">
      <formula>NOT(ISERROR(SEARCH("SICK",BI23)))</formula>
    </cfRule>
  </conditionalFormatting>
  <conditionalFormatting sqref="BJ147 AI129:AI132">
    <cfRule type="containsText" dxfId="3" priority="8169" stopIfTrue="1" operator="containsText" text="SP">
      <formula>NOT(ISERROR(SEARCH("SP",AI129)))</formula>
    </cfRule>
  </conditionalFormatting>
  <conditionalFormatting sqref="BK2 BK5:BK29 BK45:BK122 BK147 BK149">
    <cfRule type="cellIs" dxfId="2" priority="8692" stopIfTrue="1" operator="equal">
      <formula>";"</formula>
    </cfRule>
  </conditionalFormatting>
  <conditionalFormatting sqref="BK42">
    <cfRule type="cellIs" dxfId="1" priority="8655" operator="equal">
      <formula>";"</formula>
    </cfRule>
  </conditionalFormatting>
  <conditionalFormatting sqref="BM146">
    <cfRule type="cellIs" dxfId="0" priority="8643" operator="equal">
      <formula>";"</formula>
    </cfRule>
  </conditionalFormatting>
  <pageMargins left="0.7" right="0.7" top="0.75" bottom="0.75" header="0.3" footer="0.3"/>
  <pageSetup paperSize="9" scale="20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2026-03-01T16:35:12Z</cp:lastPrinted>
  <dcterms:created xsi:type="dcterms:W3CDTF">2025-11-02T11:29:49Z</dcterms:created>
  <dcterms:modified xsi:type="dcterms:W3CDTF">2026-10-30T08:59:27Z</dcterms:modified>
</cp:coreProperties>
</file>