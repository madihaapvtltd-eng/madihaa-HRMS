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ugust\"/>
    </mc:Choice>
  </mc:AlternateContent>
  <xr:revisionPtr revIDLastSave="0" documentId="13_ncr:1_{370E9CE5-243C-409E-8330-6A3206F6873B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_FilterDatabase" localSheetId="0" hidden="1">MASTER!$A$1:$CT$29</definedName>
    <definedName name="_xlnm.Print_Area" localSheetId="0">MASTER!$A$2:$CE$36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18" i="1" l="1"/>
  <c r="CB19" i="1"/>
  <c r="CB20" i="1"/>
  <c r="CB21" i="1"/>
  <c r="CB22" i="1"/>
  <c r="CB23" i="1"/>
  <c r="CB24" i="1"/>
  <c r="CB26" i="1"/>
  <c r="CB27" i="1"/>
  <c r="CB28" i="1"/>
  <c r="CB29" i="1"/>
  <c r="CB30" i="1"/>
  <c r="BT11" i="1"/>
  <c r="BU11" i="1"/>
  <c r="BV11" i="1"/>
  <c r="BW11" i="1"/>
  <c r="BX11" i="1"/>
  <c r="BY11" i="1"/>
  <c r="BZ11" i="1"/>
  <c r="CA11" i="1"/>
  <c r="CB11" i="1"/>
  <c r="CC11" i="1"/>
  <c r="CD11" i="1"/>
  <c r="BT12" i="1"/>
  <c r="BU12" i="1"/>
  <c r="BV12" i="1"/>
  <c r="BW12" i="1"/>
  <c r="BX12" i="1"/>
  <c r="BY12" i="1"/>
  <c r="BZ12" i="1"/>
  <c r="CA12" i="1"/>
  <c r="CB12" i="1"/>
  <c r="CC12" i="1"/>
  <c r="CD12" i="1"/>
  <c r="BT13" i="1"/>
  <c r="BU13" i="1"/>
  <c r="BV13" i="1"/>
  <c r="BW13" i="1"/>
  <c r="BX13" i="1"/>
  <c r="BY13" i="1"/>
  <c r="BZ13" i="1"/>
  <c r="CA13" i="1"/>
  <c r="CB13" i="1"/>
  <c r="CC13" i="1"/>
  <c r="CD13" i="1"/>
  <c r="BT14" i="1"/>
  <c r="BU14" i="1"/>
  <c r="BV14" i="1"/>
  <c r="BW14" i="1"/>
  <c r="BX14" i="1"/>
  <c r="BY14" i="1"/>
  <c r="BZ14" i="1"/>
  <c r="CA14" i="1"/>
  <c r="CB14" i="1"/>
  <c r="CC14" i="1"/>
  <c r="CD14" i="1"/>
  <c r="BT15" i="1"/>
  <c r="BU15" i="1"/>
  <c r="BV15" i="1"/>
  <c r="BW15" i="1"/>
  <c r="BX15" i="1"/>
  <c r="BY15" i="1"/>
  <c r="BZ15" i="1"/>
  <c r="CA15" i="1"/>
  <c r="CB15" i="1"/>
  <c r="CC15" i="1"/>
  <c r="CD15" i="1"/>
  <c r="BT16" i="1"/>
  <c r="BU16" i="1"/>
  <c r="BV16" i="1"/>
  <c r="BW16" i="1"/>
  <c r="BX16" i="1"/>
  <c r="BY16" i="1"/>
  <c r="BZ16" i="1"/>
  <c r="CA16" i="1"/>
  <c r="CB16" i="1"/>
  <c r="CC16" i="1"/>
  <c r="CD16" i="1"/>
  <c r="BT17" i="1"/>
  <c r="BU17" i="1"/>
  <c r="BV17" i="1"/>
  <c r="BW17" i="1"/>
  <c r="BX17" i="1"/>
  <c r="BY17" i="1"/>
  <c r="BZ17" i="1"/>
  <c r="CA17" i="1"/>
  <c r="CB17" i="1"/>
  <c r="CC17" i="1"/>
  <c r="CD17" i="1"/>
  <c r="BT18" i="1"/>
  <c r="BU18" i="1"/>
  <c r="BV18" i="1"/>
  <c r="BW18" i="1"/>
  <c r="BX18" i="1"/>
  <c r="BY18" i="1"/>
  <c r="BZ18" i="1"/>
  <c r="CA18" i="1"/>
  <c r="CC18" i="1"/>
  <c r="CD18" i="1"/>
  <c r="BT19" i="1"/>
  <c r="BU19" i="1"/>
  <c r="BV19" i="1"/>
  <c r="BW19" i="1"/>
  <c r="BX19" i="1"/>
  <c r="BY19" i="1"/>
  <c r="BZ19" i="1"/>
  <c r="CA19" i="1"/>
  <c r="CC19" i="1"/>
  <c r="CD19" i="1"/>
  <c r="BT20" i="1"/>
  <c r="BU20" i="1"/>
  <c r="BV20" i="1"/>
  <c r="BW20" i="1"/>
  <c r="BX20" i="1"/>
  <c r="BY20" i="1"/>
  <c r="BZ20" i="1"/>
  <c r="CA20" i="1"/>
  <c r="CC20" i="1"/>
  <c r="CD20" i="1"/>
  <c r="BT21" i="1"/>
  <c r="BU21" i="1"/>
  <c r="BV21" i="1"/>
  <c r="BW21" i="1"/>
  <c r="BX21" i="1"/>
  <c r="BY21" i="1"/>
  <c r="BZ21" i="1"/>
  <c r="CA21" i="1"/>
  <c r="CC21" i="1"/>
  <c r="CD21" i="1"/>
  <c r="BT22" i="1"/>
  <c r="BU22" i="1"/>
  <c r="BV22" i="1"/>
  <c r="BW22" i="1"/>
  <c r="BX22" i="1"/>
  <c r="BY22" i="1"/>
  <c r="BZ22" i="1"/>
  <c r="CA22" i="1"/>
  <c r="CC22" i="1"/>
  <c r="CD22" i="1"/>
  <c r="BT23" i="1"/>
  <c r="BU23" i="1"/>
  <c r="BV23" i="1"/>
  <c r="BW23" i="1"/>
  <c r="BX23" i="1"/>
  <c r="BY23" i="1"/>
  <c r="BZ23" i="1"/>
  <c r="CA23" i="1"/>
  <c r="CC23" i="1"/>
  <c r="CD23" i="1"/>
  <c r="BT24" i="1"/>
  <c r="BU24" i="1"/>
  <c r="BV24" i="1"/>
  <c r="BW24" i="1"/>
  <c r="BX24" i="1"/>
  <c r="BY24" i="1"/>
  <c r="BZ24" i="1"/>
  <c r="CA24" i="1"/>
  <c r="CC24" i="1"/>
  <c r="CD24" i="1"/>
  <c r="BT25" i="1"/>
  <c r="BU25" i="1"/>
  <c r="BV25" i="1"/>
  <c r="BW25" i="1"/>
  <c r="BX25" i="1"/>
  <c r="BY25" i="1"/>
  <c r="BZ25" i="1"/>
  <c r="CA25" i="1"/>
  <c r="CC25" i="1"/>
  <c r="CD25" i="1"/>
  <c r="BT26" i="1"/>
  <c r="BU26" i="1"/>
  <c r="BV26" i="1"/>
  <c r="BW26" i="1"/>
  <c r="BX26" i="1"/>
  <c r="BY26" i="1"/>
  <c r="BZ26" i="1"/>
  <c r="CA26" i="1"/>
  <c r="CC26" i="1"/>
  <c r="CD26" i="1"/>
  <c r="BT27" i="1"/>
  <c r="BU27" i="1"/>
  <c r="BV27" i="1"/>
  <c r="BW27" i="1"/>
  <c r="BX27" i="1"/>
  <c r="BY27" i="1"/>
  <c r="BZ27" i="1"/>
  <c r="CA27" i="1"/>
  <c r="CC27" i="1"/>
  <c r="CD27" i="1"/>
  <c r="BT28" i="1"/>
  <c r="BU28" i="1"/>
  <c r="BV28" i="1"/>
  <c r="BW28" i="1"/>
  <c r="BX28" i="1"/>
  <c r="BY28" i="1"/>
  <c r="BZ28" i="1"/>
  <c r="CA28" i="1"/>
  <c r="CC28" i="1"/>
  <c r="CD28" i="1"/>
  <c r="BT29" i="1"/>
  <c r="BU29" i="1"/>
  <c r="BV29" i="1"/>
  <c r="BW29" i="1"/>
  <c r="BX29" i="1"/>
  <c r="BY29" i="1"/>
  <c r="BZ29" i="1"/>
  <c r="CA29" i="1"/>
  <c r="CC29" i="1"/>
  <c r="CD29" i="1"/>
  <c r="BT30" i="1"/>
  <c r="BU30" i="1"/>
  <c r="BV30" i="1"/>
  <c r="BW30" i="1"/>
  <c r="BX30" i="1"/>
  <c r="BY30" i="1"/>
  <c r="BZ30" i="1"/>
  <c r="CA30" i="1"/>
  <c r="CC30" i="1"/>
  <c r="CD30" i="1"/>
  <c r="BZ10" i="1"/>
  <c r="BW10" i="1"/>
  <c r="BU10" i="1"/>
  <c r="BT10" i="1"/>
  <c r="BV10" i="1"/>
  <c r="BV9" i="1"/>
  <c r="BS6" i="1"/>
  <c r="BS7" i="1"/>
  <c r="BS8" i="1"/>
  <c r="BS9" i="1"/>
  <c r="BS10" i="1"/>
  <c r="BS11" i="1"/>
  <c r="BQ11" i="1" s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12" i="1"/>
  <c r="BQ18" i="1" l="1"/>
  <c r="BQ25" i="1"/>
  <c r="BQ26" i="1"/>
  <c r="BQ23" i="1"/>
  <c r="BQ24" i="1"/>
  <c r="BQ22" i="1"/>
  <c r="BQ21" i="1"/>
  <c r="BQ19" i="1"/>
  <c r="BQ17" i="1"/>
  <c r="BQ29" i="1"/>
  <c r="BQ14" i="1"/>
  <c r="BQ27" i="1"/>
  <c r="BQ20" i="1"/>
  <c r="BQ15" i="1"/>
  <c r="BQ28" i="1"/>
  <c r="BQ30" i="1"/>
  <c r="BQ16" i="1"/>
  <c r="CR30" i="1" l="1"/>
  <c r="CR29" i="1" l="1"/>
  <c r="CR28" i="1" l="1"/>
  <c r="BQ12" i="1" l="1"/>
  <c r="CR12" i="1"/>
  <c r="CR25" i="1"/>
  <c r="CR26" i="1"/>
  <c r="CR27" i="1"/>
  <c r="BX10" i="1"/>
  <c r="BY10" i="1"/>
  <c r="BQ10" i="1" s="1"/>
  <c r="CA10" i="1"/>
  <c r="CB10" i="1"/>
  <c r="CC10" i="1"/>
  <c r="CD10" i="1"/>
  <c r="BT7" i="1"/>
  <c r="BU7" i="1"/>
  <c r="BV7" i="1"/>
  <c r="BW7" i="1"/>
  <c r="BX7" i="1"/>
  <c r="BY7" i="1"/>
  <c r="BZ7" i="1"/>
  <c r="CA7" i="1"/>
  <c r="CB7" i="1"/>
  <c r="CC7" i="1"/>
  <c r="CD7" i="1"/>
  <c r="BT8" i="1"/>
  <c r="BU8" i="1"/>
  <c r="BV8" i="1"/>
  <c r="BW8" i="1"/>
  <c r="BX8" i="1"/>
  <c r="BY8" i="1"/>
  <c r="BZ8" i="1"/>
  <c r="CA8" i="1"/>
  <c r="CB8" i="1"/>
  <c r="CC8" i="1"/>
  <c r="CD8" i="1"/>
  <c r="BT9" i="1"/>
  <c r="BU9" i="1"/>
  <c r="BW9" i="1"/>
  <c r="BX9" i="1"/>
  <c r="BY9" i="1"/>
  <c r="BZ9" i="1"/>
  <c r="CA9" i="1"/>
  <c r="CB9" i="1"/>
  <c r="CC9" i="1"/>
  <c r="CD9" i="1"/>
  <c r="BQ9" i="1" l="1"/>
  <c r="BQ7" i="1"/>
  <c r="BQ8" i="1"/>
  <c r="CR46" i="1"/>
  <c r="CR24" i="1" l="1"/>
  <c r="CR23" i="1"/>
  <c r="CR22" i="1"/>
  <c r="CR21" i="1"/>
  <c r="CR20" i="1"/>
  <c r="CR11" i="1"/>
  <c r="CR19" i="1"/>
  <c r="CR18" i="1"/>
  <c r="CR17" i="1"/>
  <c r="CR16" i="1"/>
  <c r="CR10" i="1"/>
  <c r="CR15" i="1"/>
  <c r="CR13" i="1"/>
  <c r="CR9" i="1"/>
  <c r="CR8" i="1"/>
  <c r="CR14" i="1"/>
  <c r="CR7" i="1"/>
  <c r="CR6" i="1"/>
  <c r="CD6" i="1" l="1"/>
  <c r="CC6" i="1"/>
  <c r="CB6" i="1"/>
  <c r="CA6" i="1"/>
  <c r="BZ6" i="1"/>
  <c r="BY6" i="1"/>
  <c r="BX6" i="1"/>
  <c r="BW6" i="1"/>
  <c r="BV6" i="1"/>
  <c r="BU6" i="1"/>
  <c r="BT6" i="1"/>
  <c r="BQ6" i="1" l="1"/>
  <c r="CR45" i="1" l="1"/>
</calcChain>
</file>

<file path=xl/sharedStrings.xml><?xml version="1.0" encoding="utf-8"?>
<sst xmlns="http://schemas.openxmlformats.org/spreadsheetml/2006/main" count="472" uniqueCount="101">
  <si>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</si>
  <si>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</si>
  <si>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</si>
  <si>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</si>
  <si>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</si>
  <si>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</si>
  <si>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</si>
  <si>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</si>
  <si>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</si>
  <si>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</si>
  <si>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</si>
  <si>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</si>
  <si>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</si>
  <si>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</si>
  <si>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</si>
  <si>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</si>
  <si>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</si>
  <si>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</si>
  <si>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</si>
  <si>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</si>
  <si>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</si>
  <si>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</si>
  <si>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</si>
  <si>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</si>
  <si>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</si>
  <si>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</si>
  <si>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</si>
  <si>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</si>
  <si>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</si>
  <si>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</si>
  <si>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</si>
  <si>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MAD0393</t>
  </si>
  <si>
    <t>Mariyam Hameedha</t>
  </si>
  <si>
    <t>MAD0523</t>
  </si>
  <si>
    <t>Aishath Naeema</t>
  </si>
  <si>
    <t>MAD0449</t>
  </si>
  <si>
    <t>Hassan Sameer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</si>
  <si>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</si>
  <si>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</si>
  <si>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</si>
  <si>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</si>
  <si>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</si>
  <si>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</si>
  <si>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</si>
  <si>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</si>
  <si>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</si>
  <si>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</si>
  <si>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</si>
  <si>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</si>
  <si>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</si>
  <si>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</si>
  <si>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</si>
  <si>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</si>
  <si>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</si>
  <si>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</si>
  <si>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</si>
  <si>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</si>
  <si>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</si>
  <si>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</si>
  <si>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</si>
  <si>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</si>
  <si>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</si>
  <si>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</si>
  <si>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</si>
  <si>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</si>
  <si>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</si>
  <si>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</si>
  <si>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</si>
  <si>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</si>
  <si>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</si>
  <si>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</si>
  <si>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</si>
  <si>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Moosa Ahmed </t>
  </si>
  <si>
    <t xml:space="preserve"> </t>
  </si>
  <si>
    <t>HR Executive</t>
  </si>
  <si>
    <t>Office Manager</t>
  </si>
  <si>
    <t>Chairman</t>
  </si>
  <si>
    <t>MAD0730</t>
  </si>
  <si>
    <t>Shezaa Ahmed Quraish</t>
  </si>
  <si>
    <t>Pls don’t Remove below data</t>
  </si>
  <si>
    <t>Total</t>
  </si>
  <si>
    <t>MAD0732</t>
  </si>
  <si>
    <t>Fathmath Nuha</t>
  </si>
  <si>
    <t>DOJ</t>
  </si>
  <si>
    <t>SICK</t>
  </si>
  <si>
    <t>MAD0768</t>
  </si>
  <si>
    <t>Aishath Suhama</t>
  </si>
  <si>
    <t>MAD0770</t>
  </si>
  <si>
    <t>Zainab Ahmed Marzoog</t>
  </si>
  <si>
    <t xml:space="preserve">Used Leave Totals (Running Year, up to end of this month -JUNE 2026) </t>
  </si>
  <si>
    <t>MAD0771</t>
  </si>
  <si>
    <t>Saamila Ibrahim</t>
  </si>
  <si>
    <t>MDA0687</t>
  </si>
  <si>
    <t>Ibrahim Riyaz</t>
  </si>
  <si>
    <t>Attendance  -  AUGUST 2026 -Male Local Staffs</t>
  </si>
  <si>
    <t>MDA0780</t>
  </si>
  <si>
    <t>Leela Ibrahim</t>
  </si>
  <si>
    <t>D.O.J : 22.08.26</t>
  </si>
  <si>
    <t>Lila Ibrahim</t>
  </si>
  <si>
    <t>-</t>
  </si>
  <si>
    <t>Pls pay full month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</si>
</sst>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1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Segoe U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1" fontId="8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20" fontId="14" fillId="0" borderId="0" xfId="0" applyNumberFormat="1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20" fontId="11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/>
    <xf numFmtId="1" fontId="17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0" fillId="6" borderId="0" xfId="0" applyFill="1"/>
    <xf numFmtId="0" fontId="9" fillId="6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6" fontId="8" fillId="4" borderId="12" xfId="0" applyNumberFormat="1" applyFont="1" applyFill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0" fillId="0" borderId="14" xfId="0" applyBorder="1"/>
    <xf numFmtId="1" fontId="20" fillId="0" borderId="8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20" fontId="23" fillId="0" borderId="8" xfId="0" applyNumberFormat="1" applyFont="1" applyBorder="1" applyAlignment="1">
      <alignment horizontal="center" vertical="center" wrapText="1"/>
    </xf>
    <xf numFmtId="20" fontId="25" fillId="0" borderId="8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9" borderId="8" xfId="0" applyNumberFormat="1" applyFill="1" applyBorder="1" applyAlignment="1">
      <alignment horizontal="center" vertical="center"/>
    </xf>
    <xf numFmtId="165" fontId="0" fillId="6" borderId="8" xfId="0" applyNumberFormat="1" applyFill="1" applyBorder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165" fontId="0" fillId="6" borderId="8" xfId="0" quotePrefix="1" applyNumberFormat="1" applyFill="1" applyBorder="1" applyAlignment="1">
      <alignment horizontal="center" vertical="center"/>
    </xf>
    <xf numFmtId="165" fontId="28" fillId="6" borderId="8" xfId="0" applyNumberFormat="1" applyFont="1" applyFill="1" applyBorder="1" applyAlignment="1">
      <alignment horizontal="center" vertical="center"/>
    </xf>
    <xf numFmtId="165" fontId="0" fillId="12" borderId="8" xfId="0" applyNumberFormat="1" applyFill="1" applyBorder="1" applyAlignment="1">
      <alignment horizontal="center" vertical="center"/>
    </xf>
    <xf numFmtId="165" fontId="0" fillId="11" borderId="8" xfId="0" applyNumberFormat="1" applyFill="1" applyBorder="1" applyAlignment="1">
      <alignment horizontal="center" vertical="center"/>
    </xf>
    <xf numFmtId="165" fontId="29" fillId="0" borderId="8" xfId="0" applyNumberFormat="1" applyFont="1" applyBorder="1" applyAlignment="1">
      <alignment horizontal="center" vertical="center" wrapText="1"/>
    </xf>
    <xf numFmtId="22" fontId="22" fillId="0" borderId="0" xfId="0" applyNumberFormat="1" applyFont="1" applyAlignment="1">
      <alignment horizontal="left" vertical="top" wrapText="1"/>
    </xf>
    <xf numFmtId="165" fontId="20" fillId="0" borderId="8" xfId="0" applyNumberFormat="1" applyFont="1" applyBorder="1" applyAlignment="1">
      <alignment horizontal="center" vertical="center"/>
    </xf>
    <xf numFmtId="165" fontId="28" fillId="6" borderId="8" xfId="0" applyNumberFormat="1" applyFont="1" applyFill="1" applyBorder="1" applyAlignment="1">
      <alignment horizontal="center" vertical="center" wrapText="1"/>
    </xf>
    <xf numFmtId="165" fontId="30" fillId="0" borderId="8" xfId="0" applyNumberFormat="1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/>
    </xf>
    <xf numFmtId="165" fontId="30" fillId="0" borderId="8" xfId="0" applyNumberFormat="1" applyFont="1" applyBorder="1" applyAlignment="1">
      <alignment horizontal="center" vertical="center"/>
    </xf>
    <xf numFmtId="165" fontId="28" fillId="0" borderId="8" xfId="0" applyNumberFormat="1" applyFont="1" applyBorder="1" applyAlignment="1">
      <alignment horizontal="center" vertical="center"/>
    </xf>
    <xf numFmtId="165" fontId="30" fillId="0" borderId="24" xfId="0" applyNumberFormat="1" applyFont="1" applyBorder="1" applyAlignment="1">
      <alignment horizontal="center" vertical="center" wrapText="1"/>
    </xf>
    <xf numFmtId="165" fontId="30" fillId="14" borderId="24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0" fillId="8" borderId="0" xfId="0" applyNumberFormat="1" applyFill="1" applyAlignment="1">
      <alignment horizontal="center" vertical="center"/>
    </xf>
    <xf numFmtId="1" fontId="28" fillId="6" borderId="8" xfId="0" applyNumberFormat="1" applyFont="1" applyFill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/>
    </xf>
    <xf numFmtId="165" fontId="20" fillId="0" borderId="8" xfId="0" applyNumberFormat="1" applyFont="1" applyBorder="1" applyAlignment="1">
      <alignment horizontal="center" vertical="center" wrapText="1"/>
    </xf>
    <xf numFmtId="165" fontId="0" fillId="15" borderId="8" xfId="0" applyNumberFormat="1" applyFill="1" applyBorder="1" applyAlignment="1">
      <alignment horizontal="center" vertical="center"/>
    </xf>
    <xf numFmtId="165" fontId="0" fillId="14" borderId="8" xfId="0" applyNumberFormat="1" applyFill="1" applyBorder="1" applyAlignment="1">
      <alignment horizontal="center" vertical="center"/>
    </xf>
    <xf numFmtId="165" fontId="0" fillId="13" borderId="8" xfId="0" applyNumberForma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 wrapText="1"/>
    </xf>
    <xf numFmtId="166" fontId="0" fillId="0" borderId="9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left" vertical="center"/>
    </xf>
    <xf numFmtId="0" fontId="14" fillId="6" borderId="9" xfId="0" applyFont="1" applyFill="1" applyBorder="1" applyAlignment="1">
      <alignment horizontal="left" vertical="center" wrapText="1"/>
    </xf>
    <xf numFmtId="0" fontId="19" fillId="6" borderId="9" xfId="0" applyFont="1" applyFill="1" applyBorder="1" applyAlignment="1">
      <alignment horizontal="left" vertical="center" wrapText="1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5" fontId="0" fillId="15" borderId="9" xfId="0" applyNumberFormat="1" applyFill="1" applyBorder="1" applyAlignment="1">
      <alignment horizontal="center" vertical="center"/>
    </xf>
    <xf numFmtId="165" fontId="0" fillId="15" borderId="12" xfId="0" applyNumberFormat="1" applyFill="1" applyBorder="1" applyAlignment="1">
      <alignment horizontal="center" vertical="center"/>
    </xf>
    <xf numFmtId="165" fontId="0" fillId="15" borderId="13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87"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2:CT47"/>
  <sheetViews>
    <sheetView tabSelected="1" zoomScale="75" zoomScaleNormal="75" workbookViewId="0">
      <pane xSplit="3" ySplit="5" topLeftCell="AS16" activePane="bottomRight" state="frozen"/>
      <selection pane="topRight" activeCell="D1" sqref="D1"/>
      <selection pane="bottomLeft" activeCell="A5" sqref="A5"/>
      <selection pane="bottomRight" activeCell="AF37" sqref="AF37"/>
    </sheetView>
  </sheetViews>
  <sheetFormatPr defaultRowHeight="15.75" x14ac:dyDescent="0.25"/>
  <cols>
    <col min="1" max="1" width="5.5703125" customWidth="1"/>
    <col min="2" max="2" width="13.85546875" customWidth="1"/>
    <col min="3" max="3" width="28.7109375" customWidth="1"/>
    <col min="4" max="4" width="15.7109375" style="60" customWidth="1"/>
    <col min="5" max="34" width="7.42578125" customWidth="1"/>
    <col min="35" max="35" width="4.28515625" customWidth="1"/>
    <col min="36" max="36" width="5.5703125" customWidth="1"/>
    <col min="37" max="68" width="6.85546875" customWidth="1"/>
    <col min="69" max="70" width="5.140625" customWidth="1"/>
    <col min="71" max="73" width="5.28515625" customWidth="1"/>
    <col min="74" max="74" width="6.28515625" customWidth="1"/>
    <col min="75" max="77" width="5.28515625" customWidth="1"/>
    <col min="78" max="78" width="5.7109375" customWidth="1"/>
    <col min="79" max="82" width="5.28515625" customWidth="1"/>
    <col min="83" max="83" width="31.28515625" customWidth="1"/>
    <col min="86" max="95" width="7.5703125" style="13" customWidth="1"/>
    <col min="96" max="96" width="7.5703125" style="20" customWidth="1"/>
  </cols>
  <sheetData>
    <row r="2" spans="1:96" ht="30.75" customHeight="1" thickBot="1" x14ac:dyDescent="0.3">
      <c r="A2" s="138" t="s">
        <v>94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41"/>
      <c r="AI2" s="62"/>
      <c r="AJ2" s="137" t="s">
        <v>94</v>
      </c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</row>
    <row r="3" spans="1:96" ht="21.75" customHeight="1" thickBot="1" x14ac:dyDescent="0.3">
      <c r="A3" s="128" t="s">
        <v>0</v>
      </c>
      <c r="B3" s="129"/>
      <c r="C3" s="129"/>
      <c r="D3" s="130"/>
      <c r="E3" s="116" t="s">
        <v>4</v>
      </c>
      <c r="F3" s="117"/>
      <c r="G3" s="116" t="s">
        <v>5</v>
      </c>
      <c r="H3" s="117"/>
      <c r="I3" s="116" t="s">
        <v>6</v>
      </c>
      <c r="J3" s="117"/>
      <c r="K3" s="116" t="s">
        <v>7</v>
      </c>
      <c r="L3" s="117"/>
      <c r="M3" s="116" t="s">
        <v>1</v>
      </c>
      <c r="N3" s="117"/>
      <c r="O3" s="116" t="s">
        <v>2</v>
      </c>
      <c r="P3" s="117"/>
      <c r="Q3" s="116" t="s">
        <v>3</v>
      </c>
      <c r="R3" s="117"/>
      <c r="S3" s="116" t="s">
        <v>4</v>
      </c>
      <c r="T3" s="117"/>
      <c r="U3" s="116" t="s">
        <v>5</v>
      </c>
      <c r="V3" s="117"/>
      <c r="W3" s="116" t="s">
        <v>6</v>
      </c>
      <c r="X3" s="117"/>
      <c r="Y3" s="116" t="s">
        <v>7</v>
      </c>
      <c r="Z3" s="117"/>
      <c r="AA3" s="116" t="s">
        <v>1</v>
      </c>
      <c r="AB3" s="117"/>
      <c r="AC3" s="116" t="s">
        <v>2</v>
      </c>
      <c r="AD3" s="117"/>
      <c r="AE3" s="116" t="s">
        <v>3</v>
      </c>
      <c r="AF3" s="117"/>
      <c r="AG3" s="116" t="s">
        <v>4</v>
      </c>
      <c r="AH3" s="117"/>
      <c r="AI3" s="62"/>
      <c r="AJ3" s="139" t="s">
        <v>8</v>
      </c>
      <c r="AK3" s="116" t="s">
        <v>5</v>
      </c>
      <c r="AL3" s="117"/>
      <c r="AM3" s="116" t="s">
        <v>6</v>
      </c>
      <c r="AN3" s="117"/>
      <c r="AO3" s="116" t="s">
        <v>7</v>
      </c>
      <c r="AP3" s="117"/>
      <c r="AQ3" s="116" t="s">
        <v>1</v>
      </c>
      <c r="AR3" s="117"/>
      <c r="AS3" s="116" t="s">
        <v>2</v>
      </c>
      <c r="AT3" s="117"/>
      <c r="AU3" s="116" t="s">
        <v>3</v>
      </c>
      <c r="AV3" s="117"/>
      <c r="AW3" s="116" t="s">
        <v>4</v>
      </c>
      <c r="AX3" s="117"/>
      <c r="AY3" s="116" t="s">
        <v>5</v>
      </c>
      <c r="AZ3" s="117"/>
      <c r="BA3" s="116" t="s">
        <v>6</v>
      </c>
      <c r="BB3" s="117"/>
      <c r="BC3" s="116" t="s">
        <v>7</v>
      </c>
      <c r="BD3" s="117"/>
      <c r="BE3" s="116" t="s">
        <v>1</v>
      </c>
      <c r="BF3" s="117"/>
      <c r="BG3" s="116" t="s">
        <v>2</v>
      </c>
      <c r="BH3" s="117"/>
      <c r="BI3" s="116" t="s">
        <v>3</v>
      </c>
      <c r="BJ3" s="117"/>
      <c r="BK3" s="116" t="s">
        <v>4</v>
      </c>
      <c r="BL3" s="117"/>
      <c r="BM3" s="116" t="s">
        <v>5</v>
      </c>
      <c r="BN3" s="117"/>
      <c r="BO3" s="116" t="s">
        <v>6</v>
      </c>
      <c r="BP3" s="117"/>
      <c r="BQ3" s="135" t="s">
        <v>49</v>
      </c>
      <c r="BR3" s="133" t="s">
        <v>50</v>
      </c>
      <c r="BS3" s="121"/>
      <c r="BT3" s="122"/>
      <c r="BU3" s="122"/>
      <c r="BV3" s="122"/>
      <c r="BW3" s="122"/>
      <c r="BX3" s="122"/>
      <c r="BY3" s="122"/>
      <c r="BZ3" s="122"/>
      <c r="CA3" s="122"/>
      <c r="CB3" s="122"/>
      <c r="CC3" s="122"/>
      <c r="CD3" s="122"/>
      <c r="CE3" s="123"/>
      <c r="CH3" s="132" t="s">
        <v>79</v>
      </c>
      <c r="CI3" s="132"/>
      <c r="CJ3" s="132"/>
      <c r="CK3" s="132"/>
      <c r="CL3" s="132"/>
      <c r="CM3" s="132"/>
      <c r="CN3" s="132"/>
      <c r="CO3" s="132"/>
      <c r="CP3" s="132"/>
      <c r="CQ3" s="132"/>
    </row>
    <row r="4" spans="1:96" ht="21.75" customHeight="1" x14ac:dyDescent="0.25">
      <c r="A4" s="119"/>
      <c r="B4" s="120"/>
      <c r="C4" s="120"/>
      <c r="D4" s="131"/>
      <c r="E4" s="142">
        <v>46235</v>
      </c>
      <c r="F4" s="143"/>
      <c r="G4" s="142">
        <v>46236</v>
      </c>
      <c r="H4" s="143"/>
      <c r="I4" s="142">
        <v>46237</v>
      </c>
      <c r="J4" s="143"/>
      <c r="K4" s="142">
        <v>46238</v>
      </c>
      <c r="L4" s="143"/>
      <c r="M4" s="142">
        <v>46239</v>
      </c>
      <c r="N4" s="143"/>
      <c r="O4" s="142">
        <v>46240</v>
      </c>
      <c r="P4" s="143"/>
      <c r="Q4" s="142">
        <v>46241</v>
      </c>
      <c r="R4" s="143"/>
      <c r="S4" s="142">
        <v>46242</v>
      </c>
      <c r="T4" s="143"/>
      <c r="U4" s="142">
        <v>46243</v>
      </c>
      <c r="V4" s="143"/>
      <c r="W4" s="142">
        <v>46244</v>
      </c>
      <c r="X4" s="143"/>
      <c r="Y4" s="142">
        <v>46245</v>
      </c>
      <c r="Z4" s="143"/>
      <c r="AA4" s="142">
        <v>46246</v>
      </c>
      <c r="AB4" s="143"/>
      <c r="AC4" s="142">
        <v>46247</v>
      </c>
      <c r="AD4" s="143"/>
      <c r="AE4" s="142">
        <v>46248</v>
      </c>
      <c r="AF4" s="143"/>
      <c r="AG4" s="142">
        <v>46249</v>
      </c>
      <c r="AH4" s="143"/>
      <c r="AI4" s="62"/>
      <c r="AJ4" s="140"/>
      <c r="AK4" s="114">
        <v>46250</v>
      </c>
      <c r="AL4" s="115"/>
      <c r="AM4" s="114">
        <v>46251</v>
      </c>
      <c r="AN4" s="115"/>
      <c r="AO4" s="114">
        <v>46252</v>
      </c>
      <c r="AP4" s="115"/>
      <c r="AQ4" s="114">
        <v>46253</v>
      </c>
      <c r="AR4" s="115"/>
      <c r="AS4" s="114">
        <v>46254</v>
      </c>
      <c r="AT4" s="115"/>
      <c r="AU4" s="114">
        <v>46255</v>
      </c>
      <c r="AV4" s="115"/>
      <c r="AW4" s="114">
        <v>46256</v>
      </c>
      <c r="AX4" s="115"/>
      <c r="AY4" s="114">
        <v>46257</v>
      </c>
      <c r="AZ4" s="115"/>
      <c r="BA4" s="114">
        <v>46258</v>
      </c>
      <c r="BB4" s="115"/>
      <c r="BC4" s="114">
        <v>46259</v>
      </c>
      <c r="BD4" s="115"/>
      <c r="BE4" s="114">
        <v>46260</v>
      </c>
      <c r="BF4" s="115"/>
      <c r="BG4" s="114">
        <v>46261</v>
      </c>
      <c r="BH4" s="115"/>
      <c r="BI4" s="114">
        <v>46262</v>
      </c>
      <c r="BJ4" s="115"/>
      <c r="BK4" s="114">
        <v>46263</v>
      </c>
      <c r="BL4" s="115"/>
      <c r="BM4" s="114">
        <v>46264</v>
      </c>
      <c r="BN4" s="115"/>
      <c r="BO4" s="114">
        <v>46265</v>
      </c>
      <c r="BP4" s="115"/>
      <c r="BQ4" s="136"/>
      <c r="BR4" s="134"/>
      <c r="BS4" s="4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5"/>
      <c r="CH4" s="127" t="s">
        <v>89</v>
      </c>
      <c r="CI4" s="127"/>
      <c r="CJ4" s="127"/>
      <c r="CK4" s="127"/>
      <c r="CL4" s="127"/>
      <c r="CM4" s="127"/>
      <c r="CN4" s="127"/>
      <c r="CO4" s="127"/>
      <c r="CP4" s="127"/>
      <c r="CQ4" s="127"/>
      <c r="CR4" s="127"/>
    </row>
    <row r="5" spans="1:96" ht="25.5" customHeight="1" x14ac:dyDescent="0.25">
      <c r="A5" s="6" t="s">
        <v>8</v>
      </c>
      <c r="B5" s="6" t="s">
        <v>9</v>
      </c>
      <c r="C5" s="28" t="s">
        <v>10</v>
      </c>
      <c r="D5" s="57" t="s">
        <v>83</v>
      </c>
      <c r="E5" s="1" t="s">
        <v>11</v>
      </c>
      <c r="F5" s="2" t="s">
        <v>12</v>
      </c>
      <c r="G5" s="1" t="s">
        <v>11</v>
      </c>
      <c r="H5" s="2" t="s">
        <v>12</v>
      </c>
      <c r="I5" s="1" t="s">
        <v>11</v>
      </c>
      <c r="J5" s="2" t="s">
        <v>12</v>
      </c>
      <c r="K5" s="1" t="s">
        <v>11</v>
      </c>
      <c r="L5" s="2" t="s">
        <v>12</v>
      </c>
      <c r="M5" s="1" t="s">
        <v>11</v>
      </c>
      <c r="N5" s="2" t="s">
        <v>12</v>
      </c>
      <c r="O5" s="1" t="s">
        <v>11</v>
      </c>
      <c r="P5" s="2" t="s">
        <v>12</v>
      </c>
      <c r="Q5" s="1" t="s">
        <v>11</v>
      </c>
      <c r="R5" s="2" t="s">
        <v>12</v>
      </c>
      <c r="S5" s="1" t="s">
        <v>11</v>
      </c>
      <c r="T5" s="2" t="s">
        <v>12</v>
      </c>
      <c r="U5" s="1" t="s">
        <v>11</v>
      </c>
      <c r="V5" s="2" t="s">
        <v>12</v>
      </c>
      <c r="W5" s="1" t="s">
        <v>11</v>
      </c>
      <c r="X5" s="2" t="s">
        <v>12</v>
      </c>
      <c r="Y5" s="1" t="s">
        <v>11</v>
      </c>
      <c r="Z5" s="2" t="s">
        <v>12</v>
      </c>
      <c r="AA5" s="1" t="s">
        <v>11</v>
      </c>
      <c r="AB5" s="2" t="s">
        <v>12</v>
      </c>
      <c r="AC5" s="1" t="s">
        <v>11</v>
      </c>
      <c r="AD5" s="2" t="s">
        <v>12</v>
      </c>
      <c r="AE5" s="8" t="s">
        <v>11</v>
      </c>
      <c r="AF5" s="9" t="s">
        <v>12</v>
      </c>
      <c r="AG5" s="8" t="s">
        <v>11</v>
      </c>
      <c r="AH5" s="26" t="s">
        <v>12</v>
      </c>
      <c r="AI5" s="62"/>
      <c r="AJ5" s="140"/>
      <c r="AK5" s="8" t="s">
        <v>11</v>
      </c>
      <c r="AL5" s="9" t="s">
        <v>12</v>
      </c>
      <c r="AM5" s="8" t="s">
        <v>11</v>
      </c>
      <c r="AN5" s="9" t="s">
        <v>12</v>
      </c>
      <c r="AO5" s="8" t="s">
        <v>11</v>
      </c>
      <c r="AP5" s="9" t="s">
        <v>12</v>
      </c>
      <c r="AQ5" s="8" t="s">
        <v>11</v>
      </c>
      <c r="AR5" s="9" t="s">
        <v>12</v>
      </c>
      <c r="AS5" s="8" t="s">
        <v>11</v>
      </c>
      <c r="AT5" s="9" t="s">
        <v>12</v>
      </c>
      <c r="AU5" s="8" t="s">
        <v>11</v>
      </c>
      <c r="AV5" s="9" t="s">
        <v>12</v>
      </c>
      <c r="AW5" s="8" t="s">
        <v>11</v>
      </c>
      <c r="AX5" s="9" t="s">
        <v>12</v>
      </c>
      <c r="AY5" s="8" t="s">
        <v>11</v>
      </c>
      <c r="AZ5" s="9" t="s">
        <v>12</v>
      </c>
      <c r="BA5" s="8" t="s">
        <v>11</v>
      </c>
      <c r="BB5" s="9" t="s">
        <v>12</v>
      </c>
      <c r="BC5" s="8" t="s">
        <v>11</v>
      </c>
      <c r="BD5" s="9" t="s">
        <v>12</v>
      </c>
      <c r="BE5" s="8" t="s">
        <v>11</v>
      </c>
      <c r="BF5" s="9" t="s">
        <v>12</v>
      </c>
      <c r="BG5" s="8" t="s">
        <v>11</v>
      </c>
      <c r="BH5" s="9" t="s">
        <v>12</v>
      </c>
      <c r="BI5" s="8" t="s">
        <v>11</v>
      </c>
      <c r="BJ5" s="9" t="s">
        <v>12</v>
      </c>
      <c r="BK5" s="8" t="s">
        <v>11</v>
      </c>
      <c r="BL5" s="9" t="s">
        <v>12</v>
      </c>
      <c r="BM5" s="8" t="s">
        <v>11</v>
      </c>
      <c r="BN5" s="9" t="s">
        <v>12</v>
      </c>
      <c r="BO5" s="8" t="s">
        <v>11</v>
      </c>
      <c r="BP5" s="9" t="s">
        <v>12</v>
      </c>
      <c r="BQ5" s="136"/>
      <c r="BR5" s="134"/>
      <c r="BS5" s="10"/>
      <c r="BT5" s="64" t="s">
        <v>51</v>
      </c>
      <c r="BU5" s="65" t="s">
        <v>52</v>
      </c>
      <c r="BV5" s="63" t="s">
        <v>53</v>
      </c>
      <c r="BW5" s="65" t="s">
        <v>54</v>
      </c>
      <c r="BX5" s="63" t="s">
        <v>55</v>
      </c>
      <c r="BY5" s="65" t="s">
        <v>56</v>
      </c>
      <c r="BZ5" s="66" t="s">
        <v>84</v>
      </c>
      <c r="CA5" s="11" t="s">
        <v>58</v>
      </c>
      <c r="CB5" s="63" t="s">
        <v>59</v>
      </c>
      <c r="CC5" s="63" t="s">
        <v>60</v>
      </c>
      <c r="CD5" s="63" t="s">
        <v>61</v>
      </c>
      <c r="CE5" s="12" t="s">
        <v>62</v>
      </c>
      <c r="CH5" s="40" t="s">
        <v>52</v>
      </c>
      <c r="CI5" s="41" t="s">
        <v>53</v>
      </c>
      <c r="CJ5" s="41" t="s">
        <v>54</v>
      </c>
      <c r="CK5" s="41" t="s">
        <v>55</v>
      </c>
      <c r="CL5" s="41" t="s">
        <v>56</v>
      </c>
      <c r="CM5" s="41" t="s">
        <v>57</v>
      </c>
      <c r="CN5" s="41" t="s">
        <v>58</v>
      </c>
      <c r="CO5" s="41" t="s">
        <v>59</v>
      </c>
      <c r="CP5" s="41" t="s">
        <v>60</v>
      </c>
      <c r="CQ5" s="41" t="s">
        <v>61</v>
      </c>
      <c r="CR5" s="42" t="s">
        <v>80</v>
      </c>
    </row>
    <row r="6" spans="1:96" s="20" customFormat="1" ht="24" customHeight="1" x14ac:dyDescent="0.25">
      <c r="A6" s="29">
        <v>1</v>
      </c>
      <c r="B6" s="30" t="s">
        <v>13</v>
      </c>
      <c r="C6" s="31" t="s">
        <v>14</v>
      </c>
      <c r="D6" s="58"/>
      <c r="E6" s="64">
        <v>1</v>
      </c>
      <c r="F6" s="64">
        <v>1</v>
      </c>
      <c r="G6" s="64">
        <v>1</v>
      </c>
      <c r="H6" s="64">
        <v>1</v>
      </c>
      <c r="I6" s="64">
        <v>1</v>
      </c>
      <c r="J6" s="64">
        <v>1</v>
      </c>
      <c r="K6" s="64">
        <v>1</v>
      </c>
      <c r="L6" s="64">
        <v>1</v>
      </c>
      <c r="M6" s="64">
        <v>1</v>
      </c>
      <c r="N6" s="64">
        <v>1</v>
      </c>
      <c r="O6" s="64">
        <v>1</v>
      </c>
      <c r="P6" s="64">
        <v>1</v>
      </c>
      <c r="Q6" s="64" t="s">
        <v>51</v>
      </c>
      <c r="R6" s="64" t="s">
        <v>51</v>
      </c>
      <c r="S6" s="64">
        <v>1</v>
      </c>
      <c r="T6" s="64">
        <v>1</v>
      </c>
      <c r="U6" s="64">
        <v>1</v>
      </c>
      <c r="V6" s="64">
        <v>1</v>
      </c>
      <c r="W6" s="64">
        <v>1</v>
      </c>
      <c r="X6" s="64">
        <v>1</v>
      </c>
      <c r="Y6" s="64">
        <v>1</v>
      </c>
      <c r="Z6" s="64">
        <v>1</v>
      </c>
      <c r="AA6" s="64">
        <v>1</v>
      </c>
      <c r="AB6" s="64">
        <v>1</v>
      </c>
      <c r="AC6" s="64">
        <v>1</v>
      </c>
      <c r="AD6" s="64">
        <v>1</v>
      </c>
      <c r="AE6" s="64" t="s">
        <v>51</v>
      </c>
      <c r="AF6" s="64" t="s">
        <v>51</v>
      </c>
      <c r="AG6" s="64">
        <v>1</v>
      </c>
      <c r="AH6" s="64">
        <v>1</v>
      </c>
      <c r="AI6" s="72"/>
      <c r="AJ6" s="29">
        <v>1</v>
      </c>
      <c r="AK6" s="64">
        <v>1</v>
      </c>
      <c r="AL6" s="64">
        <v>1</v>
      </c>
      <c r="AM6" s="64">
        <v>1</v>
      </c>
      <c r="AN6" s="64">
        <v>1</v>
      </c>
      <c r="AO6" s="64">
        <v>1</v>
      </c>
      <c r="AP6" s="64">
        <v>1</v>
      </c>
      <c r="AQ6" s="64">
        <v>1</v>
      </c>
      <c r="AR6" s="64">
        <v>1</v>
      </c>
      <c r="AS6" s="64">
        <v>1</v>
      </c>
      <c r="AT6" s="64">
        <v>1</v>
      </c>
      <c r="AU6" s="64" t="s">
        <v>51</v>
      </c>
      <c r="AV6" s="64" t="s">
        <v>51</v>
      </c>
      <c r="AW6" s="64">
        <v>1</v>
      </c>
      <c r="AX6" s="64">
        <v>1</v>
      </c>
      <c r="AY6" s="64">
        <v>1</v>
      </c>
      <c r="AZ6" s="64">
        <v>1</v>
      </c>
      <c r="BA6" s="64">
        <v>1</v>
      </c>
      <c r="BB6" s="64">
        <v>1</v>
      </c>
      <c r="BC6" s="64">
        <v>1</v>
      </c>
      <c r="BD6" s="64">
        <v>1</v>
      </c>
      <c r="BE6" s="64">
        <v>1</v>
      </c>
      <c r="BF6" s="64">
        <v>1</v>
      </c>
      <c r="BG6" s="64">
        <v>1</v>
      </c>
      <c r="BH6" s="64">
        <v>1</v>
      </c>
      <c r="BI6" s="64" t="s">
        <v>51</v>
      </c>
      <c r="BJ6" s="64" t="s">
        <v>51</v>
      </c>
      <c r="BK6" s="64">
        <v>1</v>
      </c>
      <c r="BL6" s="64">
        <v>1</v>
      </c>
      <c r="BM6" s="64">
        <v>1</v>
      </c>
      <c r="BN6" s="64">
        <v>1</v>
      </c>
      <c r="BO6" s="64">
        <v>1</v>
      </c>
      <c r="BP6" s="64">
        <v>1</v>
      </c>
      <c r="BQ6" s="7">
        <f t="shared" ref="BQ6:BQ11" si="0">BS6+BT6+BU6+BZ6+BW6+BY6+BX6</f>
        <v>31</v>
      </c>
      <c r="BR6" s="54">
        <v>0</v>
      </c>
      <c r="BS6" s="33">
        <f t="shared" ref="BS6:BS11" si="1">COUNT(E6:AH6)/2+COUNT(AK6:BP6)/2</f>
        <v>27</v>
      </c>
      <c r="BT6" s="34">
        <f t="shared" ref="BT6:BT9" si="2">COUNTIF(E6:BN6,"OFF")/2</f>
        <v>4</v>
      </c>
      <c r="BU6" s="34">
        <f t="shared" ref="BU6:BU9" si="3">COUNTIF(E6:BN6,"MC")/2</f>
        <v>0</v>
      </c>
      <c r="BV6" s="34">
        <f t="shared" ref="BV6:BV8" si="4">COUNTIF(E6:BN6,"EL")/2</f>
        <v>0</v>
      </c>
      <c r="BW6" s="34">
        <f t="shared" ref="BW6:BW9" si="5">COUNTIF(E6:BN6,"AL")/2</f>
        <v>0</v>
      </c>
      <c r="BX6" s="34">
        <f t="shared" ref="BX6:BX10" si="6">COUNTIF(E6:BN6,"SUS")/2</f>
        <v>0</v>
      </c>
      <c r="BY6" s="34">
        <f t="shared" ref="BY6:BY10" si="7">COUNTIF(E6:BN6,"FL")/2</f>
        <v>0</v>
      </c>
      <c r="BZ6" s="34">
        <f t="shared" ref="BZ6:BZ9" si="8">COUNTIF(E6:BN6,"SICK")/2</f>
        <v>0</v>
      </c>
      <c r="CA6" s="34">
        <f t="shared" ref="CA6:CA10" si="9">COUNTIF(E6:BN6,"HD")/2</f>
        <v>0</v>
      </c>
      <c r="CB6" s="34">
        <f t="shared" ref="CB6:CB10" si="10">COUNTIF(E6:BN6,"AB")/2</f>
        <v>0</v>
      </c>
      <c r="CC6" s="34">
        <f t="shared" ref="CC6:CC10" si="11">COUNTIF(E6:BN6,"NL")/2</f>
        <v>0</v>
      </c>
      <c r="CD6" s="34">
        <f t="shared" ref="CD6:CD10" si="12">COUNTIF(E6:BN6,"SP")/2</f>
        <v>0</v>
      </c>
      <c r="CE6" s="35"/>
      <c r="CH6" s="32">
        <v>0</v>
      </c>
      <c r="CI6" s="29">
        <v>0</v>
      </c>
      <c r="CJ6" s="29">
        <v>0</v>
      </c>
      <c r="CK6" s="29">
        <v>0</v>
      </c>
      <c r="CL6" s="29">
        <v>0</v>
      </c>
      <c r="CM6" s="29">
        <v>0</v>
      </c>
      <c r="CN6" s="29">
        <v>0</v>
      </c>
      <c r="CO6" s="29">
        <v>0</v>
      </c>
      <c r="CP6" s="29">
        <v>0</v>
      </c>
      <c r="CQ6" s="29">
        <v>0</v>
      </c>
      <c r="CR6" s="39">
        <f t="shared" ref="CR6:CR26" si="13">SUM(CH6:CQ6)</f>
        <v>0</v>
      </c>
    </row>
    <row r="7" spans="1:96" s="20" customFormat="1" ht="24" customHeight="1" x14ac:dyDescent="0.25">
      <c r="A7" s="29">
        <v>2</v>
      </c>
      <c r="B7" s="30" t="s">
        <v>15</v>
      </c>
      <c r="C7" s="31" t="s">
        <v>16</v>
      </c>
      <c r="D7" s="59"/>
      <c r="E7" s="67">
        <v>1</v>
      </c>
      <c r="F7" s="67">
        <v>1</v>
      </c>
      <c r="G7" s="67">
        <v>1</v>
      </c>
      <c r="H7" s="67">
        <v>1</v>
      </c>
      <c r="I7" s="67">
        <v>1</v>
      </c>
      <c r="J7" s="67">
        <v>1</v>
      </c>
      <c r="K7" s="67">
        <v>1</v>
      </c>
      <c r="L7" s="67">
        <v>1</v>
      </c>
      <c r="M7" s="67">
        <v>1</v>
      </c>
      <c r="N7" s="67">
        <v>1</v>
      </c>
      <c r="O7" s="67">
        <v>1</v>
      </c>
      <c r="P7" s="67">
        <v>1</v>
      </c>
      <c r="Q7" s="64" t="s">
        <v>51</v>
      </c>
      <c r="R7" s="64" t="s">
        <v>51</v>
      </c>
      <c r="S7" s="67">
        <v>1</v>
      </c>
      <c r="T7" s="67">
        <v>1</v>
      </c>
      <c r="U7" s="67">
        <v>1</v>
      </c>
      <c r="V7" s="67">
        <v>1</v>
      </c>
      <c r="W7" s="67">
        <v>1</v>
      </c>
      <c r="X7" s="67">
        <v>1</v>
      </c>
      <c r="Y7" s="67">
        <v>1</v>
      </c>
      <c r="Z7" s="67">
        <v>1</v>
      </c>
      <c r="AA7" s="67">
        <v>1</v>
      </c>
      <c r="AB7" s="64">
        <v>1</v>
      </c>
      <c r="AC7" s="64">
        <v>1</v>
      </c>
      <c r="AD7" s="64">
        <v>1</v>
      </c>
      <c r="AE7" s="64" t="s">
        <v>51</v>
      </c>
      <c r="AF7" s="64" t="s">
        <v>51</v>
      </c>
      <c r="AG7" s="64">
        <v>1</v>
      </c>
      <c r="AH7" s="64">
        <v>1</v>
      </c>
      <c r="AI7" s="72"/>
      <c r="AJ7" s="29">
        <v>2</v>
      </c>
      <c r="AK7" s="64">
        <v>1</v>
      </c>
      <c r="AL7" s="64">
        <v>1</v>
      </c>
      <c r="AM7" s="64">
        <v>1</v>
      </c>
      <c r="AN7" s="64">
        <v>1</v>
      </c>
      <c r="AO7" s="64">
        <v>1</v>
      </c>
      <c r="AP7" s="64">
        <v>1</v>
      </c>
      <c r="AQ7" s="64">
        <v>1</v>
      </c>
      <c r="AR7" s="64">
        <v>1</v>
      </c>
      <c r="AS7" s="64">
        <v>1</v>
      </c>
      <c r="AT7" s="64">
        <v>1</v>
      </c>
      <c r="AU7" s="64" t="s">
        <v>51</v>
      </c>
      <c r="AV7" s="64" t="s">
        <v>51</v>
      </c>
      <c r="AW7" s="64">
        <v>1</v>
      </c>
      <c r="AX7" s="64">
        <v>1</v>
      </c>
      <c r="AY7" s="64">
        <v>1</v>
      </c>
      <c r="AZ7" s="64">
        <v>1</v>
      </c>
      <c r="BA7" s="64">
        <v>1</v>
      </c>
      <c r="BB7" s="64">
        <v>1</v>
      </c>
      <c r="BC7" s="64">
        <v>1</v>
      </c>
      <c r="BD7" s="64">
        <v>1</v>
      </c>
      <c r="BE7" s="64">
        <v>1</v>
      </c>
      <c r="BF7" s="64">
        <v>1</v>
      </c>
      <c r="BG7" s="64">
        <v>1</v>
      </c>
      <c r="BH7" s="64">
        <v>1</v>
      </c>
      <c r="BI7" s="64" t="s">
        <v>51</v>
      </c>
      <c r="BJ7" s="64" t="s">
        <v>51</v>
      </c>
      <c r="BK7" s="64">
        <v>1</v>
      </c>
      <c r="BL7" s="64">
        <v>1</v>
      </c>
      <c r="BM7" s="64">
        <v>1</v>
      </c>
      <c r="BN7" s="64">
        <v>1</v>
      </c>
      <c r="BO7" s="64">
        <v>1</v>
      </c>
      <c r="BP7" s="64">
        <v>1</v>
      </c>
      <c r="BQ7" s="7">
        <f t="shared" si="0"/>
        <v>31</v>
      </c>
      <c r="BR7" s="54">
        <v>0</v>
      </c>
      <c r="BS7" s="33">
        <f t="shared" si="1"/>
        <v>27</v>
      </c>
      <c r="BT7" s="34">
        <f t="shared" si="2"/>
        <v>4</v>
      </c>
      <c r="BU7" s="34">
        <f t="shared" si="3"/>
        <v>0</v>
      </c>
      <c r="BV7" s="34">
        <f t="shared" si="4"/>
        <v>0</v>
      </c>
      <c r="BW7" s="34">
        <f t="shared" si="5"/>
        <v>0</v>
      </c>
      <c r="BX7" s="34">
        <f t="shared" si="6"/>
        <v>0</v>
      </c>
      <c r="BY7" s="34">
        <f t="shared" si="7"/>
        <v>0</v>
      </c>
      <c r="BZ7" s="34">
        <f t="shared" si="8"/>
        <v>0</v>
      </c>
      <c r="CA7" s="34">
        <f t="shared" si="9"/>
        <v>0</v>
      </c>
      <c r="CB7" s="34">
        <f t="shared" si="10"/>
        <v>0</v>
      </c>
      <c r="CC7" s="34">
        <f t="shared" si="11"/>
        <v>0</v>
      </c>
      <c r="CD7" s="34">
        <f t="shared" si="12"/>
        <v>0</v>
      </c>
      <c r="CE7" s="35"/>
      <c r="CH7" s="32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39">
        <f t="shared" si="13"/>
        <v>0</v>
      </c>
    </row>
    <row r="8" spans="1:96" s="20" customFormat="1" ht="24" customHeight="1" x14ac:dyDescent="0.25">
      <c r="A8" s="29">
        <v>3</v>
      </c>
      <c r="B8" s="34" t="s">
        <v>19</v>
      </c>
      <c r="C8" s="111" t="s">
        <v>20</v>
      </c>
      <c r="D8" s="102">
        <v>43952</v>
      </c>
      <c r="E8" s="68">
        <v>1</v>
      </c>
      <c r="F8" s="68">
        <v>1</v>
      </c>
      <c r="G8" s="68">
        <v>1</v>
      </c>
      <c r="H8" s="68">
        <v>1</v>
      </c>
      <c r="I8" s="68">
        <v>1</v>
      </c>
      <c r="J8" s="68">
        <v>1</v>
      </c>
      <c r="K8" s="68">
        <v>1</v>
      </c>
      <c r="L8" s="68">
        <v>1</v>
      </c>
      <c r="M8" s="68">
        <v>1</v>
      </c>
      <c r="N8" s="68">
        <v>1</v>
      </c>
      <c r="O8" s="68">
        <v>1</v>
      </c>
      <c r="P8" s="68">
        <v>1</v>
      </c>
      <c r="Q8" s="64" t="s">
        <v>51</v>
      </c>
      <c r="R8" s="64" t="s">
        <v>51</v>
      </c>
      <c r="S8" s="68">
        <v>1</v>
      </c>
      <c r="T8" s="68">
        <v>1</v>
      </c>
      <c r="U8" s="68">
        <v>1</v>
      </c>
      <c r="V8" s="68">
        <v>1</v>
      </c>
      <c r="W8" s="68">
        <v>1</v>
      </c>
      <c r="X8" s="68">
        <v>1</v>
      </c>
      <c r="Y8" s="68">
        <v>1</v>
      </c>
      <c r="Z8" s="68">
        <v>1</v>
      </c>
      <c r="AA8" s="64">
        <v>1</v>
      </c>
      <c r="AB8" s="64">
        <v>1</v>
      </c>
      <c r="AC8" s="64">
        <v>1</v>
      </c>
      <c r="AD8" s="64">
        <v>1</v>
      </c>
      <c r="AE8" s="64" t="s">
        <v>51</v>
      </c>
      <c r="AF8" s="64" t="s">
        <v>51</v>
      </c>
      <c r="AG8" s="64">
        <v>1</v>
      </c>
      <c r="AH8" s="64">
        <v>1</v>
      </c>
      <c r="AI8" s="72"/>
      <c r="AJ8" s="29">
        <v>3</v>
      </c>
      <c r="AK8" s="64">
        <v>1</v>
      </c>
      <c r="AL8" s="64">
        <v>1</v>
      </c>
      <c r="AM8" s="64">
        <v>1</v>
      </c>
      <c r="AN8" s="64">
        <v>1</v>
      </c>
      <c r="AO8" s="64">
        <v>1</v>
      </c>
      <c r="AP8" s="64">
        <v>1</v>
      </c>
      <c r="AQ8" s="64">
        <v>1</v>
      </c>
      <c r="AR8" s="64">
        <v>1</v>
      </c>
      <c r="AS8" s="64">
        <v>1</v>
      </c>
      <c r="AT8" s="64">
        <v>1</v>
      </c>
      <c r="AU8" s="64" t="s">
        <v>51</v>
      </c>
      <c r="AV8" s="64" t="s">
        <v>51</v>
      </c>
      <c r="AW8" s="64">
        <v>1</v>
      </c>
      <c r="AX8" s="64">
        <v>1</v>
      </c>
      <c r="AY8" s="64">
        <v>1</v>
      </c>
      <c r="AZ8" s="64">
        <v>1</v>
      </c>
      <c r="BA8" s="64">
        <v>1</v>
      </c>
      <c r="BB8" s="64">
        <v>1</v>
      </c>
      <c r="BC8" s="64">
        <v>1</v>
      </c>
      <c r="BD8" s="64">
        <v>1</v>
      </c>
      <c r="BE8" s="64">
        <v>1</v>
      </c>
      <c r="BF8" s="64">
        <v>1</v>
      </c>
      <c r="BG8" s="64">
        <v>1</v>
      </c>
      <c r="BH8" s="64">
        <v>1</v>
      </c>
      <c r="BI8" s="64" t="s">
        <v>51</v>
      </c>
      <c r="BJ8" s="64" t="s">
        <v>51</v>
      </c>
      <c r="BK8" s="64">
        <v>1</v>
      </c>
      <c r="BL8" s="64">
        <v>1</v>
      </c>
      <c r="BM8" s="64">
        <v>1</v>
      </c>
      <c r="BN8" s="64">
        <v>1</v>
      </c>
      <c r="BO8" s="64">
        <v>1</v>
      </c>
      <c r="BP8" s="64">
        <v>1</v>
      </c>
      <c r="BQ8" s="7">
        <f t="shared" si="0"/>
        <v>31</v>
      </c>
      <c r="BR8" s="54">
        <v>0</v>
      </c>
      <c r="BS8" s="33">
        <f t="shared" si="1"/>
        <v>27</v>
      </c>
      <c r="BT8" s="34">
        <f t="shared" si="2"/>
        <v>4</v>
      </c>
      <c r="BU8" s="34">
        <f t="shared" si="3"/>
        <v>0</v>
      </c>
      <c r="BV8" s="34">
        <f t="shared" si="4"/>
        <v>0</v>
      </c>
      <c r="BW8" s="34">
        <f t="shared" si="5"/>
        <v>0</v>
      </c>
      <c r="BX8" s="34">
        <f t="shared" si="6"/>
        <v>0</v>
      </c>
      <c r="BY8" s="34">
        <f t="shared" si="7"/>
        <v>0</v>
      </c>
      <c r="BZ8" s="34">
        <f t="shared" si="8"/>
        <v>0</v>
      </c>
      <c r="CA8" s="34">
        <f t="shared" si="9"/>
        <v>0</v>
      </c>
      <c r="CB8" s="34">
        <f t="shared" si="10"/>
        <v>0</v>
      </c>
      <c r="CC8" s="34">
        <f t="shared" si="11"/>
        <v>0</v>
      </c>
      <c r="CD8" s="34">
        <f t="shared" si="12"/>
        <v>0</v>
      </c>
      <c r="CE8" s="35"/>
      <c r="CH8" s="32">
        <v>0</v>
      </c>
      <c r="CI8" s="29">
        <v>0</v>
      </c>
      <c r="CJ8" s="29">
        <v>33</v>
      </c>
      <c r="CK8" s="29">
        <v>0</v>
      </c>
      <c r="CL8" s="29">
        <v>0</v>
      </c>
      <c r="CM8" s="29">
        <v>0</v>
      </c>
      <c r="CN8" s="29">
        <v>0</v>
      </c>
      <c r="CO8" s="29">
        <v>0</v>
      </c>
      <c r="CP8" s="29">
        <v>0</v>
      </c>
      <c r="CQ8" s="29">
        <v>0</v>
      </c>
      <c r="CR8" s="38">
        <f t="shared" si="13"/>
        <v>33</v>
      </c>
    </row>
    <row r="9" spans="1:96" s="20" customFormat="1" ht="24" customHeight="1" x14ac:dyDescent="0.25">
      <c r="A9" s="29">
        <v>4</v>
      </c>
      <c r="B9" s="36" t="s">
        <v>21</v>
      </c>
      <c r="C9" s="112" t="s">
        <v>22</v>
      </c>
      <c r="D9" s="103">
        <v>45600</v>
      </c>
      <c r="E9" s="64">
        <v>1</v>
      </c>
      <c r="F9" s="64">
        <v>1</v>
      </c>
      <c r="G9" s="64">
        <v>1</v>
      </c>
      <c r="H9" s="64">
        <v>1</v>
      </c>
      <c r="I9" s="64">
        <v>1</v>
      </c>
      <c r="J9" s="64">
        <v>1</v>
      </c>
      <c r="K9" s="64">
        <v>1</v>
      </c>
      <c r="L9" s="64">
        <v>1</v>
      </c>
      <c r="M9" s="64">
        <v>1</v>
      </c>
      <c r="N9" s="64">
        <v>1</v>
      </c>
      <c r="O9" s="64">
        <v>1</v>
      </c>
      <c r="P9" s="64">
        <v>1</v>
      </c>
      <c r="Q9" s="64" t="s">
        <v>51</v>
      </c>
      <c r="R9" s="64" t="s">
        <v>51</v>
      </c>
      <c r="S9" s="64">
        <v>1</v>
      </c>
      <c r="T9" s="64">
        <v>1</v>
      </c>
      <c r="U9" s="64">
        <v>1</v>
      </c>
      <c r="V9" s="64">
        <v>1</v>
      </c>
      <c r="W9" s="64">
        <v>1</v>
      </c>
      <c r="X9" s="64">
        <v>1</v>
      </c>
      <c r="Y9" s="64">
        <v>1</v>
      </c>
      <c r="Z9" s="64">
        <v>1</v>
      </c>
      <c r="AA9" s="64">
        <v>1</v>
      </c>
      <c r="AB9" s="64">
        <v>1</v>
      </c>
      <c r="AC9" s="64">
        <v>1</v>
      </c>
      <c r="AD9" s="64">
        <v>1</v>
      </c>
      <c r="AE9" s="64" t="s">
        <v>51</v>
      </c>
      <c r="AF9" s="64" t="s">
        <v>51</v>
      </c>
      <c r="AG9" s="64">
        <v>1</v>
      </c>
      <c r="AH9" s="64">
        <v>1</v>
      </c>
      <c r="AI9" s="72"/>
      <c r="AJ9" s="29">
        <v>4</v>
      </c>
      <c r="AK9" s="64">
        <v>1</v>
      </c>
      <c r="AL9" s="64">
        <v>1</v>
      </c>
      <c r="AM9" s="64">
        <v>1</v>
      </c>
      <c r="AN9" s="64">
        <v>1</v>
      </c>
      <c r="AO9" s="64">
        <v>1</v>
      </c>
      <c r="AP9" s="64">
        <v>1</v>
      </c>
      <c r="AQ9" s="64">
        <v>1</v>
      </c>
      <c r="AR9" s="64">
        <v>1</v>
      </c>
      <c r="AS9" s="64">
        <v>1</v>
      </c>
      <c r="AT9" s="64">
        <v>1</v>
      </c>
      <c r="AU9" s="64" t="s">
        <v>51</v>
      </c>
      <c r="AV9" s="64" t="s">
        <v>51</v>
      </c>
      <c r="AW9" s="64">
        <v>1</v>
      </c>
      <c r="AX9" s="64">
        <v>1</v>
      </c>
      <c r="AY9" s="64">
        <v>1</v>
      </c>
      <c r="AZ9" s="64">
        <v>1</v>
      </c>
      <c r="BA9" s="64">
        <v>1</v>
      </c>
      <c r="BB9" s="64">
        <v>1</v>
      </c>
      <c r="BC9" s="64">
        <v>1</v>
      </c>
      <c r="BD9" s="64">
        <v>1</v>
      </c>
      <c r="BE9" s="64">
        <v>1</v>
      </c>
      <c r="BF9" s="64">
        <v>1</v>
      </c>
      <c r="BG9" s="64">
        <v>1</v>
      </c>
      <c r="BH9" s="64">
        <v>1</v>
      </c>
      <c r="BI9" s="64" t="s">
        <v>51</v>
      </c>
      <c r="BJ9" s="64" t="s">
        <v>51</v>
      </c>
      <c r="BK9" s="64">
        <v>1</v>
      </c>
      <c r="BL9" s="64">
        <v>1</v>
      </c>
      <c r="BM9" s="64">
        <v>1</v>
      </c>
      <c r="BN9" s="64">
        <v>1</v>
      </c>
      <c r="BO9" s="64">
        <v>1</v>
      </c>
      <c r="BP9" s="64">
        <v>1</v>
      </c>
      <c r="BQ9" s="7">
        <f t="shared" si="0"/>
        <v>31</v>
      </c>
      <c r="BR9" s="54">
        <v>0</v>
      </c>
      <c r="BS9" s="33">
        <f t="shared" si="1"/>
        <v>27</v>
      </c>
      <c r="BT9" s="34">
        <f t="shared" si="2"/>
        <v>4</v>
      </c>
      <c r="BU9" s="34">
        <f t="shared" si="3"/>
        <v>0</v>
      </c>
      <c r="BV9" s="34">
        <f>COUNTIF(E9:BP9,"EL")/2</f>
        <v>0</v>
      </c>
      <c r="BW9" s="34">
        <f t="shared" si="5"/>
        <v>0</v>
      </c>
      <c r="BX9" s="34">
        <f t="shared" si="6"/>
        <v>0</v>
      </c>
      <c r="BY9" s="34">
        <f t="shared" si="7"/>
        <v>0</v>
      </c>
      <c r="BZ9" s="34">
        <f t="shared" si="8"/>
        <v>0</v>
      </c>
      <c r="CA9" s="34">
        <f t="shared" si="9"/>
        <v>0</v>
      </c>
      <c r="CB9" s="34">
        <f t="shared" si="10"/>
        <v>0</v>
      </c>
      <c r="CC9" s="34">
        <f t="shared" si="11"/>
        <v>0</v>
      </c>
      <c r="CD9" s="34">
        <f t="shared" si="12"/>
        <v>0</v>
      </c>
      <c r="CE9" s="35" t="s">
        <v>73</v>
      </c>
      <c r="CH9" s="32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38">
        <f t="shared" si="13"/>
        <v>0</v>
      </c>
    </row>
    <row r="10" spans="1:96" s="20" customFormat="1" ht="24" customHeight="1" x14ac:dyDescent="0.25">
      <c r="A10" s="29">
        <v>5</v>
      </c>
      <c r="B10" s="34" t="s">
        <v>27</v>
      </c>
      <c r="C10" s="111" t="s">
        <v>28</v>
      </c>
      <c r="D10" s="104">
        <v>44531</v>
      </c>
      <c r="E10" s="96">
        <v>1</v>
      </c>
      <c r="F10" s="96">
        <v>1</v>
      </c>
      <c r="G10" s="96">
        <v>1</v>
      </c>
      <c r="H10" s="96">
        <v>1</v>
      </c>
      <c r="I10" s="96">
        <v>1</v>
      </c>
      <c r="J10" s="96">
        <v>1</v>
      </c>
      <c r="K10" s="96">
        <v>1</v>
      </c>
      <c r="L10" s="96">
        <v>1</v>
      </c>
      <c r="M10" s="96">
        <v>1</v>
      </c>
      <c r="N10" s="96">
        <v>1</v>
      </c>
      <c r="O10" s="96">
        <v>1</v>
      </c>
      <c r="P10" s="96">
        <v>1</v>
      </c>
      <c r="Q10" s="64" t="s">
        <v>51</v>
      </c>
      <c r="R10" s="64" t="s">
        <v>51</v>
      </c>
      <c r="S10" s="64">
        <v>1</v>
      </c>
      <c r="T10" s="64">
        <v>1</v>
      </c>
      <c r="U10" s="64">
        <v>1</v>
      </c>
      <c r="V10" s="64">
        <v>1</v>
      </c>
      <c r="W10" s="64">
        <v>1</v>
      </c>
      <c r="X10" s="64">
        <v>1</v>
      </c>
      <c r="Y10" s="64">
        <v>1</v>
      </c>
      <c r="Z10" s="96">
        <v>1</v>
      </c>
      <c r="AA10" s="96">
        <v>1</v>
      </c>
      <c r="AB10" s="96">
        <v>1</v>
      </c>
      <c r="AC10" s="96">
        <v>1</v>
      </c>
      <c r="AD10" s="96">
        <v>1</v>
      </c>
      <c r="AE10" s="64" t="s">
        <v>51</v>
      </c>
      <c r="AF10" s="64" t="s">
        <v>51</v>
      </c>
      <c r="AG10" s="96">
        <v>1</v>
      </c>
      <c r="AH10" s="96">
        <v>1</v>
      </c>
      <c r="AI10" s="72"/>
      <c r="AJ10" s="29">
        <v>5</v>
      </c>
      <c r="AK10" s="64">
        <v>1</v>
      </c>
      <c r="AL10" s="64">
        <v>1</v>
      </c>
      <c r="AM10" s="64">
        <v>1</v>
      </c>
      <c r="AN10" s="64">
        <v>1</v>
      </c>
      <c r="AO10" s="64">
        <v>1</v>
      </c>
      <c r="AP10" s="64">
        <v>1</v>
      </c>
      <c r="AQ10" s="64">
        <v>1</v>
      </c>
      <c r="AR10" s="64">
        <v>1</v>
      </c>
      <c r="AS10" s="64">
        <v>1</v>
      </c>
      <c r="AT10" s="64">
        <v>1</v>
      </c>
      <c r="AU10" s="64" t="s">
        <v>51</v>
      </c>
      <c r="AV10" s="64" t="s">
        <v>51</v>
      </c>
      <c r="AW10" s="64">
        <v>1</v>
      </c>
      <c r="AX10" s="64">
        <v>1</v>
      </c>
      <c r="AY10" s="64">
        <v>1</v>
      </c>
      <c r="AZ10" s="64">
        <v>1</v>
      </c>
      <c r="BA10" s="64">
        <v>1</v>
      </c>
      <c r="BB10" s="64">
        <v>1</v>
      </c>
      <c r="BC10" s="64">
        <v>1</v>
      </c>
      <c r="BD10" s="64">
        <v>1</v>
      </c>
      <c r="BE10" s="64">
        <v>1</v>
      </c>
      <c r="BF10" s="64">
        <v>1</v>
      </c>
      <c r="BG10" s="64">
        <v>1</v>
      </c>
      <c r="BH10" s="64">
        <v>1</v>
      </c>
      <c r="BI10" s="64" t="s">
        <v>51</v>
      </c>
      <c r="BJ10" s="64" t="s">
        <v>51</v>
      </c>
      <c r="BK10" s="64">
        <v>1</v>
      </c>
      <c r="BL10" s="64">
        <v>1</v>
      </c>
      <c r="BM10" s="64">
        <v>1</v>
      </c>
      <c r="BN10" s="64">
        <v>1</v>
      </c>
      <c r="BO10" s="64">
        <v>1</v>
      </c>
      <c r="BP10" s="64">
        <v>1</v>
      </c>
      <c r="BQ10" s="7">
        <f t="shared" si="0"/>
        <v>31</v>
      </c>
      <c r="BR10" s="54">
        <v>0</v>
      </c>
      <c r="BS10" s="33">
        <f t="shared" si="1"/>
        <v>27</v>
      </c>
      <c r="BT10" s="34">
        <f>COUNTIF(E10:BP10,"OFF")/2</f>
        <v>4</v>
      </c>
      <c r="BU10" s="34">
        <f>COUNTIF(E10:BP10,"MC")/2</f>
        <v>0</v>
      </c>
      <c r="BV10" s="34">
        <f t="shared" ref="BV10" si="14">COUNTIF(E10:BP10,"EL")/2</f>
        <v>0</v>
      </c>
      <c r="BW10" s="34">
        <f>COUNTIF(E10:BP10,"AL")/2</f>
        <v>0</v>
      </c>
      <c r="BX10" s="34">
        <f t="shared" si="6"/>
        <v>0</v>
      </c>
      <c r="BY10" s="34">
        <f t="shared" si="7"/>
        <v>0</v>
      </c>
      <c r="BZ10" s="34">
        <f>COUNTIF(E10:BP10,"SICK")/2</f>
        <v>0</v>
      </c>
      <c r="CA10" s="34">
        <f t="shared" si="9"/>
        <v>0</v>
      </c>
      <c r="CB10" s="34">
        <f t="shared" si="10"/>
        <v>0</v>
      </c>
      <c r="CC10" s="34">
        <f t="shared" si="11"/>
        <v>0</v>
      </c>
      <c r="CD10" s="34">
        <f t="shared" si="12"/>
        <v>0</v>
      </c>
      <c r="CE10" s="35"/>
      <c r="CH10" s="32">
        <v>0</v>
      </c>
      <c r="CI10" s="29">
        <v>0</v>
      </c>
      <c r="CJ10" s="29">
        <v>17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38">
        <f t="shared" si="13"/>
        <v>17</v>
      </c>
    </row>
    <row r="11" spans="1:96" s="20" customFormat="1" ht="24" customHeight="1" x14ac:dyDescent="0.25">
      <c r="A11" s="29">
        <v>6</v>
      </c>
      <c r="B11" s="34" t="s">
        <v>37</v>
      </c>
      <c r="C11" s="31" t="s">
        <v>38</v>
      </c>
      <c r="D11" s="105">
        <v>45292</v>
      </c>
      <c r="E11" s="64">
        <v>1</v>
      </c>
      <c r="F11" s="64">
        <v>1</v>
      </c>
      <c r="G11" s="64">
        <v>1</v>
      </c>
      <c r="H11" s="64">
        <v>1</v>
      </c>
      <c r="I11" s="64">
        <v>1</v>
      </c>
      <c r="J11" s="64">
        <v>1</v>
      </c>
      <c r="K11" s="64">
        <v>1</v>
      </c>
      <c r="L11" s="64">
        <v>1</v>
      </c>
      <c r="M11" s="64">
        <v>1</v>
      </c>
      <c r="N11" s="64">
        <v>1</v>
      </c>
      <c r="O11" s="64">
        <v>1</v>
      </c>
      <c r="P11" s="64">
        <v>1</v>
      </c>
      <c r="Q11" s="64" t="s">
        <v>51</v>
      </c>
      <c r="R11" s="64" t="s">
        <v>51</v>
      </c>
      <c r="S11" s="64">
        <v>1</v>
      </c>
      <c r="T11" s="64">
        <v>1</v>
      </c>
      <c r="U11" s="64">
        <v>1</v>
      </c>
      <c r="V11" s="64">
        <v>1</v>
      </c>
      <c r="W11" s="64">
        <v>1</v>
      </c>
      <c r="X11" s="64">
        <v>1</v>
      </c>
      <c r="Y11" s="64">
        <v>1</v>
      </c>
      <c r="Z11" s="64">
        <v>1</v>
      </c>
      <c r="AA11" s="64">
        <v>1</v>
      </c>
      <c r="AB11" s="64">
        <v>1</v>
      </c>
      <c r="AC11" s="64">
        <v>1</v>
      </c>
      <c r="AD11" s="64">
        <v>1</v>
      </c>
      <c r="AE11" s="64" t="s">
        <v>51</v>
      </c>
      <c r="AF11" s="64" t="s">
        <v>51</v>
      </c>
      <c r="AG11" s="64">
        <v>1</v>
      </c>
      <c r="AH11" s="64">
        <v>1</v>
      </c>
      <c r="AI11" s="72"/>
      <c r="AJ11" s="29">
        <v>6</v>
      </c>
      <c r="AK11" s="71">
        <v>1</v>
      </c>
      <c r="AL11" s="71">
        <v>1</v>
      </c>
      <c r="AM11" s="71">
        <v>1</v>
      </c>
      <c r="AN11" s="71">
        <v>1</v>
      </c>
      <c r="AO11" s="64">
        <v>1</v>
      </c>
      <c r="AP11" s="64">
        <v>1</v>
      </c>
      <c r="AQ11" s="64">
        <v>1</v>
      </c>
      <c r="AR11" s="64">
        <v>1</v>
      </c>
      <c r="AS11" s="64">
        <v>1</v>
      </c>
      <c r="AT11" s="64">
        <v>1</v>
      </c>
      <c r="AU11" s="64" t="s">
        <v>51</v>
      </c>
      <c r="AV11" s="64" t="s">
        <v>51</v>
      </c>
      <c r="AW11" s="64">
        <v>1</v>
      </c>
      <c r="AX11" s="64">
        <v>1</v>
      </c>
      <c r="AY11" s="64">
        <v>1</v>
      </c>
      <c r="AZ11" s="64">
        <v>1</v>
      </c>
      <c r="BA11" s="64">
        <v>1</v>
      </c>
      <c r="BB11" s="64">
        <v>1</v>
      </c>
      <c r="BC11" s="71">
        <v>1</v>
      </c>
      <c r="BD11" s="71">
        <v>1</v>
      </c>
      <c r="BE11" s="71">
        <v>1</v>
      </c>
      <c r="BF11" s="71">
        <v>1</v>
      </c>
      <c r="BG11" s="71">
        <v>1</v>
      </c>
      <c r="BH11" s="71">
        <v>1</v>
      </c>
      <c r="BI11" s="64" t="s">
        <v>51</v>
      </c>
      <c r="BJ11" s="64" t="s">
        <v>51</v>
      </c>
      <c r="BK11" s="71">
        <v>1</v>
      </c>
      <c r="BL11" s="71">
        <v>1</v>
      </c>
      <c r="BM11" s="71">
        <v>1</v>
      </c>
      <c r="BN11" s="71">
        <v>1</v>
      </c>
      <c r="BO11" s="71">
        <v>1</v>
      </c>
      <c r="BP11" s="71">
        <v>1</v>
      </c>
      <c r="BQ11" s="7">
        <f t="shared" si="0"/>
        <v>31</v>
      </c>
      <c r="BR11" s="54">
        <v>0</v>
      </c>
      <c r="BS11" s="33">
        <f t="shared" si="1"/>
        <v>27</v>
      </c>
      <c r="BT11" s="34">
        <f t="shared" ref="BT11:BT30" si="15">COUNTIF(E11:BP11,"OFF")/2</f>
        <v>4</v>
      </c>
      <c r="BU11" s="34">
        <f t="shared" ref="BU11:BU30" si="16">COUNTIF(E11:BP11,"MC")/2</f>
        <v>0</v>
      </c>
      <c r="BV11" s="34">
        <f t="shared" ref="BV11:BV30" si="17">COUNTIF(E11:BP11,"EL")/2</f>
        <v>0</v>
      </c>
      <c r="BW11" s="34">
        <f t="shared" ref="BW11:BW30" si="18">COUNTIF(E11:BP11,"AL")/2</f>
        <v>0</v>
      </c>
      <c r="BX11" s="34">
        <f t="shared" ref="BX11:BX30" si="19">COUNTIF(E11:BN11,"SUS")/2</f>
        <v>0</v>
      </c>
      <c r="BY11" s="34">
        <f t="shared" ref="BY11:BY30" si="20">COUNTIF(E11:BN11,"FL")/2</f>
        <v>0</v>
      </c>
      <c r="BZ11" s="34">
        <f t="shared" ref="BZ11:BZ30" si="21">COUNTIF(E11:BP11,"SICK")/2</f>
        <v>0</v>
      </c>
      <c r="CA11" s="34">
        <f t="shared" ref="CA11:CA30" si="22">COUNTIF(E11:BN11,"HD")/2</f>
        <v>0</v>
      </c>
      <c r="CB11" s="34">
        <f t="shared" ref="CB11:CB30" si="23">COUNTIF(E11:BN11,"AB")/2</f>
        <v>0</v>
      </c>
      <c r="CC11" s="34">
        <f t="shared" ref="CC11:CC30" si="24">COUNTIF(E11:BN11,"NL")/2</f>
        <v>0</v>
      </c>
      <c r="CD11" s="34">
        <f t="shared" ref="CD11:CD30" si="25">COUNTIF(E11:BN11,"SP")/2</f>
        <v>0</v>
      </c>
      <c r="CE11" s="35"/>
      <c r="CH11" s="32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38">
        <f>SUM(CH11:CQ11)</f>
        <v>0</v>
      </c>
    </row>
    <row r="12" spans="1:96" s="20" customFormat="1" ht="24" customHeight="1" x14ac:dyDescent="0.25">
      <c r="A12" s="29">
        <v>7</v>
      </c>
      <c r="B12" s="36" t="s">
        <v>87</v>
      </c>
      <c r="C12" s="113" t="s">
        <v>88</v>
      </c>
      <c r="D12" s="103"/>
      <c r="E12" s="64">
        <v>1</v>
      </c>
      <c r="F12" s="64">
        <v>1</v>
      </c>
      <c r="G12" s="64">
        <v>1</v>
      </c>
      <c r="H12" s="64">
        <v>1</v>
      </c>
      <c r="I12" s="64">
        <v>1</v>
      </c>
      <c r="J12" s="64">
        <v>1</v>
      </c>
      <c r="K12" s="64">
        <v>1</v>
      </c>
      <c r="L12" s="64">
        <v>1</v>
      </c>
      <c r="M12" s="64">
        <v>1</v>
      </c>
      <c r="N12" s="64">
        <v>1</v>
      </c>
      <c r="O12" s="64">
        <v>1</v>
      </c>
      <c r="P12" s="64">
        <v>1</v>
      </c>
      <c r="Q12" s="64" t="s">
        <v>51</v>
      </c>
      <c r="R12" s="64" t="s">
        <v>51</v>
      </c>
      <c r="S12" s="64">
        <v>1</v>
      </c>
      <c r="T12" s="96">
        <v>1</v>
      </c>
      <c r="U12" s="96">
        <v>1</v>
      </c>
      <c r="V12" s="96">
        <v>1</v>
      </c>
      <c r="W12" s="64">
        <v>1</v>
      </c>
      <c r="X12" s="64">
        <v>1</v>
      </c>
      <c r="Y12" s="96">
        <v>1</v>
      </c>
      <c r="Z12" s="64">
        <v>1</v>
      </c>
      <c r="AA12" s="64">
        <v>1</v>
      </c>
      <c r="AB12" s="64">
        <v>1</v>
      </c>
      <c r="AC12" s="64">
        <v>1</v>
      </c>
      <c r="AD12" s="64">
        <v>1</v>
      </c>
      <c r="AE12" s="64" t="s">
        <v>51</v>
      </c>
      <c r="AF12" s="64" t="s">
        <v>51</v>
      </c>
      <c r="AG12" s="96">
        <v>1</v>
      </c>
      <c r="AH12" s="96">
        <v>1</v>
      </c>
      <c r="AI12" s="72"/>
      <c r="AJ12" s="29">
        <v>7</v>
      </c>
      <c r="AK12" s="71">
        <v>1</v>
      </c>
      <c r="AL12" s="71">
        <v>1</v>
      </c>
      <c r="AM12" s="71">
        <v>1</v>
      </c>
      <c r="AN12" s="71">
        <v>1</v>
      </c>
      <c r="AO12" s="64">
        <v>1</v>
      </c>
      <c r="AP12" s="64">
        <v>1</v>
      </c>
      <c r="AQ12" s="64">
        <v>1</v>
      </c>
      <c r="AR12" s="64">
        <v>1</v>
      </c>
      <c r="AS12" s="64">
        <v>1</v>
      </c>
      <c r="AT12" s="64">
        <v>1</v>
      </c>
      <c r="AU12" s="64" t="s">
        <v>51</v>
      </c>
      <c r="AV12" s="64" t="s">
        <v>51</v>
      </c>
      <c r="AW12" s="64">
        <v>1</v>
      </c>
      <c r="AX12" s="64">
        <v>1</v>
      </c>
      <c r="AY12" s="64">
        <v>1</v>
      </c>
      <c r="AZ12" s="64">
        <v>1</v>
      </c>
      <c r="BA12" s="64">
        <v>1</v>
      </c>
      <c r="BB12" s="64">
        <v>1</v>
      </c>
      <c r="BC12" s="64">
        <v>1</v>
      </c>
      <c r="BD12" s="64">
        <v>1</v>
      </c>
      <c r="BE12" s="64">
        <v>1</v>
      </c>
      <c r="BF12" s="64">
        <v>1</v>
      </c>
      <c r="BG12" s="64">
        <v>1</v>
      </c>
      <c r="BH12" s="64">
        <v>1</v>
      </c>
      <c r="BI12" s="64" t="s">
        <v>51</v>
      </c>
      <c r="BJ12" s="64" t="s">
        <v>51</v>
      </c>
      <c r="BK12" s="64">
        <v>1</v>
      </c>
      <c r="BL12" s="64">
        <v>1</v>
      </c>
      <c r="BM12" s="64">
        <v>1</v>
      </c>
      <c r="BN12" s="64">
        <v>1</v>
      </c>
      <c r="BO12" s="64">
        <v>1</v>
      </c>
      <c r="BP12" s="64">
        <v>1</v>
      </c>
      <c r="BQ12" s="7">
        <f>BS12+BT12+BU12+BZ12+BW12+BY12+BX12</f>
        <v>31</v>
      </c>
      <c r="BR12" s="54">
        <v>0</v>
      </c>
      <c r="BS12" s="33">
        <f>COUNT(E12:AH12)/2+COUNT(AK12:BP12)/2</f>
        <v>27</v>
      </c>
      <c r="BT12" s="34">
        <f t="shared" si="15"/>
        <v>4</v>
      </c>
      <c r="BU12" s="34">
        <f t="shared" si="16"/>
        <v>0</v>
      </c>
      <c r="BV12" s="34">
        <f t="shared" si="17"/>
        <v>0</v>
      </c>
      <c r="BW12" s="34">
        <f t="shared" si="18"/>
        <v>0</v>
      </c>
      <c r="BX12" s="34">
        <f t="shared" si="19"/>
        <v>0</v>
      </c>
      <c r="BY12" s="34">
        <f t="shared" si="20"/>
        <v>0</v>
      </c>
      <c r="BZ12" s="34">
        <f t="shared" si="21"/>
        <v>0</v>
      </c>
      <c r="CA12" s="34">
        <f t="shared" si="22"/>
        <v>0</v>
      </c>
      <c r="CB12" s="34">
        <f t="shared" si="23"/>
        <v>0</v>
      </c>
      <c r="CC12" s="34">
        <f t="shared" si="24"/>
        <v>0</v>
      </c>
      <c r="CD12" s="34">
        <f t="shared" si="25"/>
        <v>0</v>
      </c>
      <c r="CE12" s="35"/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8">
        <f>SUM(CH12:CQ12)</f>
        <v>0</v>
      </c>
    </row>
    <row r="13" spans="1:96" s="20" customFormat="1" ht="24" customHeight="1" x14ac:dyDescent="0.25">
      <c r="A13" s="29">
        <v>8</v>
      </c>
      <c r="B13" s="34" t="s">
        <v>23</v>
      </c>
      <c r="C13" s="31" t="s">
        <v>24</v>
      </c>
      <c r="D13" s="104">
        <v>41326</v>
      </c>
      <c r="E13" s="74" t="s">
        <v>54</v>
      </c>
      <c r="F13" s="74" t="s">
        <v>54</v>
      </c>
      <c r="G13" s="74" t="s">
        <v>54</v>
      </c>
      <c r="H13" s="74" t="s">
        <v>54</v>
      </c>
      <c r="I13" s="74" t="s">
        <v>54</v>
      </c>
      <c r="J13" s="74" t="s">
        <v>54</v>
      </c>
      <c r="K13" s="74" t="s">
        <v>54</v>
      </c>
      <c r="L13" s="74" t="s">
        <v>54</v>
      </c>
      <c r="M13" s="74" t="s">
        <v>54</v>
      </c>
      <c r="N13" s="74" t="s">
        <v>54</v>
      </c>
      <c r="O13" s="74" t="s">
        <v>54</v>
      </c>
      <c r="P13" s="74" t="s">
        <v>54</v>
      </c>
      <c r="Q13" s="74" t="s">
        <v>54</v>
      </c>
      <c r="R13" s="74" t="s">
        <v>54</v>
      </c>
      <c r="S13" s="74" t="s">
        <v>54</v>
      </c>
      <c r="T13" s="74" t="s">
        <v>54</v>
      </c>
      <c r="U13" s="74" t="s">
        <v>54</v>
      </c>
      <c r="V13" s="74" t="s">
        <v>54</v>
      </c>
      <c r="W13" s="74" t="s">
        <v>54</v>
      </c>
      <c r="X13" s="74" t="s">
        <v>54</v>
      </c>
      <c r="Y13" s="74" t="s">
        <v>54</v>
      </c>
      <c r="Z13" s="74" t="s">
        <v>54</v>
      </c>
      <c r="AA13" s="74" t="s">
        <v>54</v>
      </c>
      <c r="AB13" s="74" t="s">
        <v>54</v>
      </c>
      <c r="AC13" s="74" t="s">
        <v>54</v>
      </c>
      <c r="AD13" s="74" t="s">
        <v>54</v>
      </c>
      <c r="AE13" s="74" t="s">
        <v>54</v>
      </c>
      <c r="AF13" s="74" t="s">
        <v>54</v>
      </c>
      <c r="AG13" s="74" t="s">
        <v>54</v>
      </c>
      <c r="AH13" s="74" t="s">
        <v>54</v>
      </c>
      <c r="AI13" s="72"/>
      <c r="AJ13" s="29">
        <v>8</v>
      </c>
      <c r="AK13" s="74" t="s">
        <v>56</v>
      </c>
      <c r="AL13" s="74" t="s">
        <v>56</v>
      </c>
      <c r="AM13" s="74" t="s">
        <v>56</v>
      </c>
      <c r="AN13" s="74" t="s">
        <v>56</v>
      </c>
      <c r="AO13" s="74" t="s">
        <v>56</v>
      </c>
      <c r="AP13" s="74" t="s">
        <v>56</v>
      </c>
      <c r="AQ13" s="74" t="s">
        <v>56</v>
      </c>
      <c r="AR13" s="74" t="s">
        <v>56</v>
      </c>
      <c r="AS13" s="74" t="s">
        <v>56</v>
      </c>
      <c r="AT13" s="74" t="s">
        <v>56</v>
      </c>
      <c r="AU13" s="74" t="s">
        <v>56</v>
      </c>
      <c r="AV13" s="74" t="s">
        <v>56</v>
      </c>
      <c r="AW13" s="74" t="s">
        <v>56</v>
      </c>
      <c r="AX13" s="74" t="s">
        <v>56</v>
      </c>
      <c r="AY13" s="74" t="s">
        <v>56</v>
      </c>
      <c r="AZ13" s="74" t="s">
        <v>56</v>
      </c>
      <c r="BA13" s="74" t="s">
        <v>99</v>
      </c>
      <c r="BB13" s="74" t="s">
        <v>99</v>
      </c>
      <c r="BC13" s="74" t="s">
        <v>99</v>
      </c>
      <c r="BD13" s="74" t="s">
        <v>99</v>
      </c>
      <c r="BE13" s="74" t="s">
        <v>99</v>
      </c>
      <c r="BF13" s="74" t="s">
        <v>99</v>
      </c>
      <c r="BG13" s="74" t="s">
        <v>99</v>
      </c>
      <c r="BH13" s="74" t="s">
        <v>99</v>
      </c>
      <c r="BI13" s="74" t="s">
        <v>99</v>
      </c>
      <c r="BJ13" s="74" t="s">
        <v>99</v>
      </c>
      <c r="BK13" s="74" t="s">
        <v>99</v>
      </c>
      <c r="BL13" s="74" t="s">
        <v>99</v>
      </c>
      <c r="BM13" s="74" t="s">
        <v>99</v>
      </c>
      <c r="BN13" s="74" t="s">
        <v>99</v>
      </c>
      <c r="BO13" s="74" t="s">
        <v>99</v>
      </c>
      <c r="BP13" s="74" t="s">
        <v>99</v>
      </c>
      <c r="BQ13" s="7">
        <v>31</v>
      </c>
      <c r="BR13" s="54">
        <v>0</v>
      </c>
      <c r="BS13" s="33">
        <f t="shared" ref="BS13:BS30" si="26">COUNT(E13:AH13)/2+COUNT(AK13:BP13)/2</f>
        <v>0</v>
      </c>
      <c r="BT13" s="34">
        <f t="shared" si="15"/>
        <v>0</v>
      </c>
      <c r="BU13" s="34">
        <f t="shared" si="16"/>
        <v>0</v>
      </c>
      <c r="BV13" s="34">
        <f t="shared" si="17"/>
        <v>0</v>
      </c>
      <c r="BW13" s="108">
        <f t="shared" si="18"/>
        <v>15</v>
      </c>
      <c r="BX13" s="34">
        <f t="shared" si="19"/>
        <v>0</v>
      </c>
      <c r="BY13" s="34">
        <f t="shared" si="20"/>
        <v>8</v>
      </c>
      <c r="BZ13" s="34">
        <f t="shared" si="21"/>
        <v>0</v>
      </c>
      <c r="CA13" s="34">
        <f t="shared" si="22"/>
        <v>0</v>
      </c>
      <c r="CB13" s="34">
        <f t="shared" si="23"/>
        <v>0</v>
      </c>
      <c r="CC13" s="34">
        <f t="shared" si="24"/>
        <v>0</v>
      </c>
      <c r="CD13" s="34">
        <f t="shared" si="25"/>
        <v>0</v>
      </c>
      <c r="CE13" s="35" t="s">
        <v>100</v>
      </c>
      <c r="CH13" s="32">
        <v>0</v>
      </c>
      <c r="CI13" s="29">
        <v>0</v>
      </c>
      <c r="CJ13" s="29">
        <v>18</v>
      </c>
      <c r="CK13" s="29">
        <v>0</v>
      </c>
      <c r="CL13" s="29">
        <v>0</v>
      </c>
      <c r="CM13" s="29">
        <v>8</v>
      </c>
      <c r="CN13" s="29">
        <v>0</v>
      </c>
      <c r="CO13" s="29">
        <v>0</v>
      </c>
      <c r="CP13" s="29">
        <v>0</v>
      </c>
      <c r="CQ13" s="29">
        <v>6</v>
      </c>
      <c r="CR13" s="38">
        <f>SUM(CH13:CQ13)</f>
        <v>32</v>
      </c>
    </row>
    <row r="14" spans="1:96" s="20" customFormat="1" ht="24" customHeight="1" x14ac:dyDescent="0.25">
      <c r="A14" s="29">
        <v>9</v>
      </c>
      <c r="B14" s="34" t="s">
        <v>17</v>
      </c>
      <c r="C14" s="31" t="s">
        <v>18</v>
      </c>
      <c r="D14" s="104">
        <v>35548</v>
      </c>
      <c r="E14" s="73">
        <v>46235.321215277778</v>
      </c>
      <c r="F14" s="73">
        <v>1</v>
      </c>
      <c r="G14" s="73">
        <v>46236.322800925926</v>
      </c>
      <c r="H14" s="73">
        <v>1</v>
      </c>
      <c r="I14" s="73">
        <v>46237.351990740739</v>
      </c>
      <c r="J14" s="73">
        <v>1</v>
      </c>
      <c r="K14" s="73">
        <v>46238.323055555556</v>
      </c>
      <c r="L14" s="73">
        <v>1</v>
      </c>
      <c r="M14" s="73">
        <v>46239.324282407404</v>
      </c>
      <c r="N14" s="73">
        <v>1</v>
      </c>
      <c r="O14" s="73">
        <v>46240.318506944444</v>
      </c>
      <c r="P14" s="73">
        <v>1</v>
      </c>
      <c r="Q14" s="73">
        <v>46241.553518518522</v>
      </c>
      <c r="R14" s="73">
        <v>1</v>
      </c>
      <c r="S14" s="73">
        <v>46242.318229166667</v>
      </c>
      <c r="T14" s="73">
        <v>1</v>
      </c>
      <c r="U14" s="73">
        <v>46243.324618055558</v>
      </c>
      <c r="V14" s="73">
        <v>1</v>
      </c>
      <c r="W14" s="73">
        <v>46244.319328703707</v>
      </c>
      <c r="X14" s="73">
        <v>46244.733506944445</v>
      </c>
      <c r="Y14" s="73">
        <v>46245.323530092595</v>
      </c>
      <c r="Z14" s="73">
        <v>1</v>
      </c>
      <c r="AA14" s="73">
        <v>46246.321759259263</v>
      </c>
      <c r="AB14" s="73">
        <v>1</v>
      </c>
      <c r="AC14" s="73">
        <v>46247.321747685186</v>
      </c>
      <c r="AD14" s="73">
        <v>1</v>
      </c>
      <c r="AE14" s="73">
        <v>46248.575011574074</v>
      </c>
      <c r="AF14" s="73">
        <v>1</v>
      </c>
      <c r="AG14" s="73">
        <v>46249.322222222225</v>
      </c>
      <c r="AH14" s="73">
        <v>46249.735833333332</v>
      </c>
      <c r="AI14" s="97"/>
      <c r="AJ14" s="29">
        <v>9</v>
      </c>
      <c r="AK14" s="73">
        <v>0.3228935185185185</v>
      </c>
      <c r="AL14" s="73">
        <v>1</v>
      </c>
      <c r="AM14" s="76">
        <v>46251.322581018518</v>
      </c>
      <c r="AN14" s="73">
        <v>1</v>
      </c>
      <c r="AO14" s="73">
        <v>46252.32476851852</v>
      </c>
      <c r="AP14" s="73">
        <v>1</v>
      </c>
      <c r="AQ14" s="73">
        <v>46253.321944444448</v>
      </c>
      <c r="AR14" s="73">
        <v>1</v>
      </c>
      <c r="AS14" s="73">
        <v>46254.319594907407</v>
      </c>
      <c r="AT14" s="73">
        <v>1</v>
      </c>
      <c r="AU14" s="73">
        <v>46255.557222222225</v>
      </c>
      <c r="AV14" s="73">
        <v>1</v>
      </c>
      <c r="AW14" s="73">
        <v>46256.311921296299</v>
      </c>
      <c r="AX14" s="73">
        <v>1</v>
      </c>
      <c r="AY14" s="73">
        <v>46257.322314814817</v>
      </c>
      <c r="AZ14" s="73">
        <v>46257.719513888886</v>
      </c>
      <c r="BA14" s="73">
        <v>46258.321875000001</v>
      </c>
      <c r="BB14" s="73">
        <v>1</v>
      </c>
      <c r="BC14" s="73">
        <v>46259.321863425925</v>
      </c>
      <c r="BD14" s="73">
        <v>46259.724247685182</v>
      </c>
      <c r="BE14" s="73">
        <v>46260.320324074077</v>
      </c>
      <c r="BF14" s="73">
        <v>0</v>
      </c>
      <c r="BG14" s="73">
        <v>0</v>
      </c>
      <c r="BH14" s="73">
        <v>0</v>
      </c>
      <c r="BI14" s="73">
        <v>46262.553437499999</v>
      </c>
      <c r="BJ14" s="73">
        <v>0</v>
      </c>
      <c r="BK14" s="73">
        <v>0</v>
      </c>
      <c r="BL14" s="78">
        <v>1</v>
      </c>
      <c r="BM14" s="84">
        <v>0.31388888888888888</v>
      </c>
      <c r="BN14" s="78">
        <v>0.96597222222222223</v>
      </c>
      <c r="BO14" s="78">
        <v>0.31805555555555554</v>
      </c>
      <c r="BP14" s="78">
        <v>0.72777777777777775</v>
      </c>
      <c r="BQ14" s="7">
        <f t="shared" ref="BQ14:BQ30" si="27">BS14+BT14+BU14+BZ14+BW14+BY14+BX14</f>
        <v>31</v>
      </c>
      <c r="BR14" s="54">
        <v>4</v>
      </c>
      <c r="BS14" s="33">
        <f t="shared" si="26"/>
        <v>31</v>
      </c>
      <c r="BT14" s="34">
        <f t="shared" si="15"/>
        <v>0</v>
      </c>
      <c r="BU14" s="34">
        <f t="shared" si="16"/>
        <v>0</v>
      </c>
      <c r="BV14" s="34">
        <f t="shared" si="17"/>
        <v>0</v>
      </c>
      <c r="BW14" s="34">
        <f t="shared" si="18"/>
        <v>0</v>
      </c>
      <c r="BX14" s="34">
        <f t="shared" si="19"/>
        <v>0</v>
      </c>
      <c r="BY14" s="34">
        <f t="shared" si="20"/>
        <v>0</v>
      </c>
      <c r="BZ14" s="34">
        <f t="shared" si="21"/>
        <v>0</v>
      </c>
      <c r="CA14" s="34">
        <f t="shared" si="22"/>
        <v>0</v>
      </c>
      <c r="CB14" s="34">
        <f t="shared" si="23"/>
        <v>0</v>
      </c>
      <c r="CC14" s="34">
        <f t="shared" si="24"/>
        <v>0</v>
      </c>
      <c r="CD14" s="34">
        <f t="shared" si="25"/>
        <v>0</v>
      </c>
      <c r="CE14" s="35"/>
      <c r="CH14" s="32">
        <v>0</v>
      </c>
      <c r="CI14" s="29">
        <v>0</v>
      </c>
      <c r="CJ14" s="29">
        <v>13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38">
        <f>SUM(CH14:CQ14)</f>
        <v>13</v>
      </c>
    </row>
    <row r="15" spans="1:96" s="20" customFormat="1" ht="24" customHeight="1" x14ac:dyDescent="0.25">
      <c r="A15" s="29">
        <v>10</v>
      </c>
      <c r="B15" s="34" t="s">
        <v>25</v>
      </c>
      <c r="C15" s="31" t="s">
        <v>26</v>
      </c>
      <c r="D15" s="104">
        <v>43591</v>
      </c>
      <c r="E15" s="73">
        <v>1</v>
      </c>
      <c r="F15" s="73">
        <v>46236.001400462963</v>
      </c>
      <c r="G15" s="73">
        <v>46236.371620370373</v>
      </c>
      <c r="H15" s="73">
        <v>46236.769016203703</v>
      </c>
      <c r="I15" s="73">
        <v>46237.008240740739</v>
      </c>
      <c r="J15" s="73">
        <v>46237.88726851852</v>
      </c>
      <c r="K15" s="73">
        <v>46238.364803240744</v>
      </c>
      <c r="L15" s="73">
        <v>46238.989664351851</v>
      </c>
      <c r="M15" s="73">
        <v>46239.37699074074</v>
      </c>
      <c r="N15" s="73">
        <v>46239.776944444442</v>
      </c>
      <c r="O15" s="73">
        <v>46240.378240740742</v>
      </c>
      <c r="P15" s="73">
        <v>46241.012974537036</v>
      </c>
      <c r="Q15" s="73">
        <v>46241.581238425926</v>
      </c>
      <c r="R15" s="73">
        <v>46241.999328703707</v>
      </c>
      <c r="S15" s="73">
        <v>1</v>
      </c>
      <c r="T15" s="73">
        <v>46243.004201388889</v>
      </c>
      <c r="U15" s="73">
        <v>46243.004201388889</v>
      </c>
      <c r="V15" s="73">
        <v>46243.98574074074</v>
      </c>
      <c r="W15" s="73">
        <v>1</v>
      </c>
      <c r="X15" s="73">
        <v>46244.995115740741</v>
      </c>
      <c r="Y15" s="73">
        <v>46245.381840277776</v>
      </c>
      <c r="Z15" s="73">
        <v>46245.74800925926</v>
      </c>
      <c r="AA15" s="73">
        <v>46246.378645833334</v>
      </c>
      <c r="AB15" s="73">
        <v>46247.003877314812</v>
      </c>
      <c r="AC15" s="73">
        <v>46247.38</v>
      </c>
      <c r="AD15" s="73">
        <v>46248.015277777777</v>
      </c>
      <c r="AE15" s="73">
        <v>46248.579664351855</v>
      </c>
      <c r="AF15" s="73">
        <v>1</v>
      </c>
      <c r="AG15" s="73">
        <v>46249.369502314818</v>
      </c>
      <c r="AH15" s="73">
        <v>46250.016655092593</v>
      </c>
      <c r="AI15" s="72"/>
      <c r="AJ15" s="29">
        <v>10</v>
      </c>
      <c r="AK15" s="73">
        <v>46250.399895833332</v>
      </c>
      <c r="AL15" s="73">
        <v>46250.762106481481</v>
      </c>
      <c r="AM15" s="73">
        <v>46251.375081018516</v>
      </c>
      <c r="AN15" s="73">
        <v>46251.988819444443</v>
      </c>
      <c r="AO15" s="73">
        <v>46252.381122685183</v>
      </c>
      <c r="AP15" s="73">
        <v>46252.802557870367</v>
      </c>
      <c r="AQ15" s="73">
        <v>46253.368935185186</v>
      </c>
      <c r="AR15" s="73">
        <v>46253.801851851851</v>
      </c>
      <c r="AS15" s="73">
        <v>0</v>
      </c>
      <c r="AT15" s="73">
        <v>46254.761990740742</v>
      </c>
      <c r="AU15" s="73">
        <v>46255.581909722219</v>
      </c>
      <c r="AV15" s="73">
        <v>46255.997870370367</v>
      </c>
      <c r="AW15" s="73">
        <v>46256.370011574072</v>
      </c>
      <c r="AX15" s="73">
        <v>46256.760821759257</v>
      </c>
      <c r="AY15" s="73">
        <v>46257.368310185186</v>
      </c>
      <c r="AZ15" s="73">
        <v>46257.985972222225</v>
      </c>
      <c r="BA15" s="73">
        <v>46258.350995370369</v>
      </c>
      <c r="BB15" s="73">
        <v>46258.996087962965</v>
      </c>
      <c r="BC15" s="73">
        <v>46259.370983796296</v>
      </c>
      <c r="BD15" s="73">
        <v>46259.991157407407</v>
      </c>
      <c r="BE15" s="73">
        <v>46260.370127314818</v>
      </c>
      <c r="BF15" s="73">
        <v>46260.987962962965</v>
      </c>
      <c r="BG15" s="73">
        <v>46261.356273148151</v>
      </c>
      <c r="BH15" s="73">
        <v>0</v>
      </c>
      <c r="BI15" s="80" t="s">
        <v>51</v>
      </c>
      <c r="BJ15" s="80" t="s">
        <v>51</v>
      </c>
      <c r="BK15" s="73">
        <v>46263.382465277777</v>
      </c>
      <c r="BL15" s="98">
        <v>1</v>
      </c>
      <c r="BM15" s="84">
        <v>0.37013888888888885</v>
      </c>
      <c r="BN15" s="84">
        <v>0.92569444444444438</v>
      </c>
      <c r="BO15" s="84">
        <v>0.3756944444444445</v>
      </c>
      <c r="BP15" s="84">
        <v>0.77361111111111114</v>
      </c>
      <c r="BQ15" s="7">
        <f t="shared" si="27"/>
        <v>31</v>
      </c>
      <c r="BR15" s="54">
        <v>3</v>
      </c>
      <c r="BS15" s="33">
        <f t="shared" si="26"/>
        <v>30</v>
      </c>
      <c r="BT15" s="34">
        <f t="shared" si="15"/>
        <v>1</v>
      </c>
      <c r="BU15" s="34">
        <f t="shared" si="16"/>
        <v>0</v>
      </c>
      <c r="BV15" s="34">
        <f t="shared" si="17"/>
        <v>0</v>
      </c>
      <c r="BW15" s="34">
        <f t="shared" si="18"/>
        <v>0</v>
      </c>
      <c r="BX15" s="34">
        <f t="shared" si="19"/>
        <v>0</v>
      </c>
      <c r="BY15" s="34">
        <f t="shared" si="20"/>
        <v>0</v>
      </c>
      <c r="BZ15" s="34">
        <f t="shared" si="21"/>
        <v>0</v>
      </c>
      <c r="CA15" s="34">
        <f t="shared" si="22"/>
        <v>0</v>
      </c>
      <c r="CB15" s="34">
        <f t="shared" si="23"/>
        <v>0</v>
      </c>
      <c r="CC15" s="34">
        <f t="shared" si="24"/>
        <v>0</v>
      </c>
      <c r="CD15" s="34">
        <f t="shared" si="25"/>
        <v>0</v>
      </c>
      <c r="CE15" s="35" t="s">
        <v>73</v>
      </c>
      <c r="CH15" s="32">
        <v>0</v>
      </c>
      <c r="CI15" s="29">
        <v>0</v>
      </c>
      <c r="CJ15" s="29">
        <v>27</v>
      </c>
      <c r="CK15" s="29">
        <v>0</v>
      </c>
      <c r="CL15" s="29">
        <v>0</v>
      </c>
      <c r="CM15" s="29">
        <v>8</v>
      </c>
      <c r="CN15" s="29">
        <v>0</v>
      </c>
      <c r="CO15" s="29">
        <v>0</v>
      </c>
      <c r="CP15" s="29">
        <v>0</v>
      </c>
      <c r="CQ15" s="29">
        <v>0</v>
      </c>
      <c r="CR15" s="38">
        <f>SUM(CH15:CQ15)</f>
        <v>35</v>
      </c>
    </row>
    <row r="16" spans="1:96" s="20" customFormat="1" ht="24" customHeight="1" x14ac:dyDescent="0.25">
      <c r="A16" s="29">
        <v>11</v>
      </c>
      <c r="B16" s="34" t="s">
        <v>29</v>
      </c>
      <c r="C16" s="31" t="s">
        <v>30</v>
      </c>
      <c r="D16" s="104">
        <v>43542</v>
      </c>
      <c r="E16" s="75">
        <v>46235.343900462962</v>
      </c>
      <c r="F16" s="75">
        <v>0.97569444444444453</v>
      </c>
      <c r="G16" s="74" t="s">
        <v>54</v>
      </c>
      <c r="H16" s="74" t="s">
        <v>54</v>
      </c>
      <c r="I16" s="74" t="s">
        <v>54</v>
      </c>
      <c r="J16" s="74" t="s">
        <v>54</v>
      </c>
      <c r="K16" s="74" t="s">
        <v>54</v>
      </c>
      <c r="L16" s="74" t="s">
        <v>54</v>
      </c>
      <c r="M16" s="74" t="s">
        <v>54</v>
      </c>
      <c r="N16" s="74" t="s">
        <v>54</v>
      </c>
      <c r="O16" s="74" t="s">
        <v>54</v>
      </c>
      <c r="P16" s="74" t="s">
        <v>54</v>
      </c>
      <c r="Q16" s="74" t="s">
        <v>54</v>
      </c>
      <c r="R16" s="74" t="s">
        <v>54</v>
      </c>
      <c r="S16" s="74" t="s">
        <v>54</v>
      </c>
      <c r="T16" s="74" t="s">
        <v>54</v>
      </c>
      <c r="U16" s="74" t="s">
        <v>54</v>
      </c>
      <c r="V16" s="74" t="s">
        <v>54</v>
      </c>
      <c r="W16" s="74" t="s">
        <v>54</v>
      </c>
      <c r="X16" s="74" t="s">
        <v>54</v>
      </c>
      <c r="Y16" s="74" t="s">
        <v>54</v>
      </c>
      <c r="Z16" s="74" t="s">
        <v>54</v>
      </c>
      <c r="AA16" s="74" t="s">
        <v>54</v>
      </c>
      <c r="AB16" s="74" t="s">
        <v>54</v>
      </c>
      <c r="AC16" s="74" t="s">
        <v>54</v>
      </c>
      <c r="AD16" s="74" t="s">
        <v>54</v>
      </c>
      <c r="AE16" s="74" t="s">
        <v>54</v>
      </c>
      <c r="AF16" s="74" t="s">
        <v>54</v>
      </c>
      <c r="AG16" s="74" t="s">
        <v>54</v>
      </c>
      <c r="AH16" s="74" t="s">
        <v>54</v>
      </c>
      <c r="AI16" s="72"/>
      <c r="AJ16" s="29">
        <v>11</v>
      </c>
      <c r="AK16" s="74" t="s">
        <v>54</v>
      </c>
      <c r="AL16" s="74" t="s">
        <v>54</v>
      </c>
      <c r="AM16" s="74" t="s">
        <v>54</v>
      </c>
      <c r="AN16" s="74" t="s">
        <v>54</v>
      </c>
      <c r="AO16" s="74" t="s">
        <v>54</v>
      </c>
      <c r="AP16" s="74" t="s">
        <v>54</v>
      </c>
      <c r="AQ16" s="74" t="s">
        <v>54</v>
      </c>
      <c r="AR16" s="74" t="s">
        <v>54</v>
      </c>
      <c r="AS16" s="74" t="s">
        <v>54</v>
      </c>
      <c r="AT16" s="74" t="s">
        <v>54</v>
      </c>
      <c r="AU16" s="74" t="s">
        <v>54</v>
      </c>
      <c r="AV16" s="74" t="s">
        <v>54</v>
      </c>
      <c r="AW16" s="74" t="s">
        <v>54</v>
      </c>
      <c r="AX16" s="74" t="s">
        <v>54</v>
      </c>
      <c r="AY16" s="74" t="s">
        <v>54</v>
      </c>
      <c r="AZ16" s="74" t="s">
        <v>54</v>
      </c>
      <c r="BA16" s="74" t="s">
        <v>54</v>
      </c>
      <c r="BB16" s="74" t="s">
        <v>54</v>
      </c>
      <c r="BC16" s="74" t="s">
        <v>54</v>
      </c>
      <c r="BD16" s="74" t="s">
        <v>54</v>
      </c>
      <c r="BE16" s="74" t="s">
        <v>54</v>
      </c>
      <c r="BF16" s="74" t="s">
        <v>54</v>
      </c>
      <c r="BG16" s="74" t="s">
        <v>54</v>
      </c>
      <c r="BH16" s="74" t="s">
        <v>54</v>
      </c>
      <c r="BI16" s="73">
        <v>46262.575520833336</v>
      </c>
      <c r="BJ16" s="73">
        <v>46262.94871527778</v>
      </c>
      <c r="BK16" s="73">
        <v>46263.342916666668</v>
      </c>
      <c r="BL16" s="73">
        <v>0</v>
      </c>
      <c r="BM16" s="73">
        <v>46264.340844907405</v>
      </c>
      <c r="BN16" s="73">
        <v>46264.93818287037</v>
      </c>
      <c r="BO16" s="73">
        <v>46265.34171296296</v>
      </c>
      <c r="BP16" s="73">
        <v>0.95694444444444438</v>
      </c>
      <c r="BQ16" s="7">
        <f t="shared" si="27"/>
        <v>31</v>
      </c>
      <c r="BR16" s="54">
        <v>1</v>
      </c>
      <c r="BS16" s="33">
        <f t="shared" si="26"/>
        <v>5</v>
      </c>
      <c r="BT16" s="34">
        <f t="shared" si="15"/>
        <v>0</v>
      </c>
      <c r="BU16" s="34">
        <f t="shared" si="16"/>
        <v>0</v>
      </c>
      <c r="BV16" s="34">
        <f t="shared" si="17"/>
        <v>0</v>
      </c>
      <c r="BW16" s="108">
        <f t="shared" si="18"/>
        <v>26</v>
      </c>
      <c r="BX16" s="34">
        <f t="shared" si="19"/>
        <v>0</v>
      </c>
      <c r="BY16" s="34">
        <f t="shared" si="20"/>
        <v>0</v>
      </c>
      <c r="BZ16" s="34">
        <f t="shared" si="21"/>
        <v>0</v>
      </c>
      <c r="CA16" s="34">
        <f t="shared" si="22"/>
        <v>0</v>
      </c>
      <c r="CB16" s="34">
        <f t="shared" si="23"/>
        <v>0</v>
      </c>
      <c r="CC16" s="34">
        <f t="shared" si="24"/>
        <v>0</v>
      </c>
      <c r="CD16" s="34">
        <f t="shared" si="25"/>
        <v>0</v>
      </c>
      <c r="CE16" s="35" t="s">
        <v>73</v>
      </c>
      <c r="CH16" s="32">
        <v>0</v>
      </c>
      <c r="CI16" s="29">
        <v>0</v>
      </c>
      <c r="CJ16" s="29">
        <v>20</v>
      </c>
      <c r="CK16" s="29">
        <v>0</v>
      </c>
      <c r="CL16" s="29">
        <v>0</v>
      </c>
      <c r="CM16" s="29">
        <v>2</v>
      </c>
      <c r="CN16" s="29">
        <v>0</v>
      </c>
      <c r="CO16" s="29">
        <v>0</v>
      </c>
      <c r="CP16" s="29">
        <v>0</v>
      </c>
      <c r="CQ16" s="29">
        <v>0</v>
      </c>
      <c r="CR16" s="38">
        <f t="shared" si="13"/>
        <v>22</v>
      </c>
    </row>
    <row r="17" spans="1:96" s="20" customFormat="1" ht="24" customHeight="1" x14ac:dyDescent="0.25">
      <c r="A17" s="29">
        <v>12</v>
      </c>
      <c r="B17" s="34" t="s">
        <v>31</v>
      </c>
      <c r="C17" s="31" t="s">
        <v>32</v>
      </c>
      <c r="D17" s="104">
        <v>44513</v>
      </c>
      <c r="E17" s="79" t="s">
        <v>84</v>
      </c>
      <c r="F17" s="79" t="s">
        <v>84</v>
      </c>
      <c r="G17" s="73">
        <v>46236.344930555555</v>
      </c>
      <c r="H17" s="73">
        <v>1</v>
      </c>
      <c r="I17" s="73">
        <v>46237.350138888891</v>
      </c>
      <c r="J17" s="73">
        <v>1</v>
      </c>
      <c r="K17" s="73">
        <v>46238.354745370372</v>
      </c>
      <c r="L17" s="73">
        <v>1</v>
      </c>
      <c r="M17" s="73">
        <v>46239.351967592593</v>
      </c>
      <c r="N17" s="73">
        <v>1</v>
      </c>
      <c r="O17" s="73">
        <v>46240.345590277779</v>
      </c>
      <c r="P17" s="73">
        <v>46240.959224537037</v>
      </c>
      <c r="Q17" s="80" t="s">
        <v>51</v>
      </c>
      <c r="R17" s="80" t="s">
        <v>51</v>
      </c>
      <c r="S17" s="73">
        <v>46242.345393518517</v>
      </c>
      <c r="T17" s="73">
        <v>46242.954027777778</v>
      </c>
      <c r="U17" s="73">
        <v>46243.351550925923</v>
      </c>
      <c r="V17" s="73">
        <v>1</v>
      </c>
      <c r="W17" s="73">
        <v>46244.351701388892</v>
      </c>
      <c r="X17" s="73">
        <v>1</v>
      </c>
      <c r="Y17" s="73">
        <v>46245.353715277779</v>
      </c>
      <c r="Z17" s="73">
        <v>46245.960532407407</v>
      </c>
      <c r="AA17" s="73">
        <v>46246.353703703702</v>
      </c>
      <c r="AB17" s="73">
        <v>1</v>
      </c>
      <c r="AC17" s="73">
        <v>46247.35428240741</v>
      </c>
      <c r="AD17" s="73">
        <v>1</v>
      </c>
      <c r="AE17" s="73">
        <v>46248.585439814815</v>
      </c>
      <c r="AF17" s="73">
        <v>1</v>
      </c>
      <c r="AG17" s="79" t="s">
        <v>84</v>
      </c>
      <c r="AH17" s="79" t="s">
        <v>84</v>
      </c>
      <c r="AI17" s="72"/>
      <c r="AJ17" s="29">
        <v>12</v>
      </c>
      <c r="AK17" s="73">
        <v>46250.353726851848</v>
      </c>
      <c r="AL17" s="73">
        <v>46250.929259259261</v>
      </c>
      <c r="AM17" s="73">
        <v>46251.352048611108</v>
      </c>
      <c r="AN17" s="73">
        <v>46251.932303240741</v>
      </c>
      <c r="AO17" s="73">
        <v>46252.354328703703</v>
      </c>
      <c r="AP17" s="73">
        <v>46252.954085648147</v>
      </c>
      <c r="AQ17" s="73">
        <v>46253.355115740742</v>
      </c>
      <c r="AR17" s="73">
        <v>46253.965312499997</v>
      </c>
      <c r="AS17" s="73">
        <v>46254.355046296296</v>
      </c>
      <c r="AT17" s="73">
        <v>46254.962719907409</v>
      </c>
      <c r="AU17" s="73">
        <v>46255.575694444444</v>
      </c>
      <c r="AV17" s="73">
        <v>46255.973043981481</v>
      </c>
      <c r="AW17" s="73">
        <v>46256.353159722225</v>
      </c>
      <c r="AX17" s="73">
        <v>46256.956655092596</v>
      </c>
      <c r="AY17" s="73">
        <v>46257.356759259259</v>
      </c>
      <c r="AZ17" s="73">
        <v>46257.961145833331</v>
      </c>
      <c r="BA17" s="73">
        <v>46258.373379629629</v>
      </c>
      <c r="BB17" s="73">
        <v>46258.944189814814</v>
      </c>
      <c r="BC17" s="73">
        <v>46259.354525462964</v>
      </c>
      <c r="BD17" s="73">
        <v>46259.957881944443</v>
      </c>
      <c r="BE17" s="73">
        <v>46260.353078703702</v>
      </c>
      <c r="BF17" s="73">
        <v>46260.948171296295</v>
      </c>
      <c r="BG17" s="73">
        <v>46261.353356481479</v>
      </c>
      <c r="BH17" s="73">
        <v>46261.959386574075</v>
      </c>
      <c r="BI17" s="73">
        <v>46262.581111111111</v>
      </c>
      <c r="BJ17" s="73">
        <v>46262.959641203706</v>
      </c>
      <c r="BK17" s="73">
        <v>46263.353009259263</v>
      </c>
      <c r="BL17" s="73">
        <v>46263.964918981481</v>
      </c>
      <c r="BM17" s="73">
        <v>46264.352523148147</v>
      </c>
      <c r="BN17" s="73">
        <v>46264.729675925926</v>
      </c>
      <c r="BO17" s="73">
        <v>46265.353958333333</v>
      </c>
      <c r="BP17" s="73">
        <v>0.9472222222222223</v>
      </c>
      <c r="BQ17" s="7">
        <f t="shared" si="27"/>
        <v>31</v>
      </c>
      <c r="BR17" s="54">
        <v>3</v>
      </c>
      <c r="BS17" s="33">
        <f t="shared" si="26"/>
        <v>28</v>
      </c>
      <c r="BT17" s="34">
        <f t="shared" si="15"/>
        <v>1</v>
      </c>
      <c r="BU17" s="34">
        <f t="shared" si="16"/>
        <v>0</v>
      </c>
      <c r="BV17" s="34">
        <f t="shared" si="17"/>
        <v>0</v>
      </c>
      <c r="BW17" s="34">
        <f t="shared" si="18"/>
        <v>0</v>
      </c>
      <c r="BX17" s="34">
        <f t="shared" si="19"/>
        <v>0</v>
      </c>
      <c r="BY17" s="34">
        <f t="shared" si="20"/>
        <v>0</v>
      </c>
      <c r="BZ17" s="106">
        <f t="shared" si="21"/>
        <v>2</v>
      </c>
      <c r="CA17" s="34">
        <f t="shared" si="22"/>
        <v>0</v>
      </c>
      <c r="CB17" s="34">
        <f t="shared" si="23"/>
        <v>0</v>
      </c>
      <c r="CC17" s="34">
        <f t="shared" si="24"/>
        <v>0</v>
      </c>
      <c r="CD17" s="34">
        <f t="shared" si="25"/>
        <v>0</v>
      </c>
      <c r="CE17" s="35" t="s">
        <v>73</v>
      </c>
      <c r="CH17" s="32">
        <v>3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38">
        <f t="shared" si="13"/>
        <v>3</v>
      </c>
    </row>
    <row r="18" spans="1:96" s="20" customFormat="1" ht="24" customHeight="1" x14ac:dyDescent="0.25">
      <c r="A18" s="29">
        <v>13</v>
      </c>
      <c r="B18" s="34" t="s">
        <v>33</v>
      </c>
      <c r="C18" s="31" t="s">
        <v>34</v>
      </c>
      <c r="D18" s="104"/>
      <c r="E18" s="73">
        <v>46235.352546296293</v>
      </c>
      <c r="F18" s="73">
        <v>1</v>
      </c>
      <c r="G18" s="73">
        <v>0</v>
      </c>
      <c r="H18" s="73">
        <v>46236.937696759262</v>
      </c>
      <c r="I18" s="73">
        <v>1</v>
      </c>
      <c r="J18" s="73">
        <v>46237.948645833334</v>
      </c>
      <c r="K18" s="73">
        <v>1</v>
      </c>
      <c r="L18" s="73">
        <v>46238.937314814815</v>
      </c>
      <c r="M18" s="73">
        <v>1</v>
      </c>
      <c r="N18" s="73">
        <v>46239.938240740739</v>
      </c>
      <c r="O18" s="73">
        <v>46240.352384259262</v>
      </c>
      <c r="P18" s="73">
        <v>1</v>
      </c>
      <c r="Q18" s="80" t="s">
        <v>51</v>
      </c>
      <c r="R18" s="80" t="s">
        <v>51</v>
      </c>
      <c r="S18" s="73">
        <v>1</v>
      </c>
      <c r="T18" s="73">
        <v>46242.967499999999</v>
      </c>
      <c r="U18" s="73">
        <v>1</v>
      </c>
      <c r="V18" s="73">
        <v>46243.949479166666</v>
      </c>
      <c r="W18" s="73">
        <v>0.63055555555555554</v>
      </c>
      <c r="X18" s="73">
        <v>1</v>
      </c>
      <c r="Y18" s="73">
        <v>0.63124999999999998</v>
      </c>
      <c r="Z18" s="73">
        <v>1</v>
      </c>
      <c r="AA18" s="73">
        <v>46246.345717592594</v>
      </c>
      <c r="AB18" s="73">
        <v>1</v>
      </c>
      <c r="AC18" s="73">
        <v>1</v>
      </c>
      <c r="AD18" s="73">
        <v>46247.964756944442</v>
      </c>
      <c r="AE18" s="73">
        <v>46248.58085648148</v>
      </c>
      <c r="AF18" s="73">
        <v>46248.952048611114</v>
      </c>
      <c r="AG18" s="73">
        <v>46249.347615740742</v>
      </c>
      <c r="AH18" s="73">
        <v>1</v>
      </c>
      <c r="AI18" s="72"/>
      <c r="AJ18" s="29">
        <v>13</v>
      </c>
      <c r="AK18" s="73">
        <v>1</v>
      </c>
      <c r="AL18" s="73">
        <v>1</v>
      </c>
      <c r="AM18" s="73">
        <v>1</v>
      </c>
      <c r="AN18" s="73">
        <v>46251.951898148145</v>
      </c>
      <c r="AO18" s="73">
        <v>46252.351307870369</v>
      </c>
      <c r="AP18" s="73">
        <v>1</v>
      </c>
      <c r="AQ18" s="73">
        <v>0</v>
      </c>
      <c r="AR18" s="73">
        <v>46253.952476851853</v>
      </c>
      <c r="AS18" s="63" t="s">
        <v>53</v>
      </c>
      <c r="AT18" s="63" t="s">
        <v>53</v>
      </c>
      <c r="AU18" s="63" t="s">
        <v>53</v>
      </c>
      <c r="AV18" s="63" t="s">
        <v>53</v>
      </c>
      <c r="AW18" s="63" t="s">
        <v>53</v>
      </c>
      <c r="AX18" s="63" t="s">
        <v>53</v>
      </c>
      <c r="AY18" s="63" t="s">
        <v>53</v>
      </c>
      <c r="AZ18" s="63" t="s">
        <v>53</v>
      </c>
      <c r="BA18" s="83">
        <v>0.34652777777777777</v>
      </c>
      <c r="BB18" s="83">
        <v>0.95208333333333339</v>
      </c>
      <c r="BC18" s="83">
        <v>0.34583333333333338</v>
      </c>
      <c r="BD18" s="83">
        <v>0.65416666666666667</v>
      </c>
      <c r="BE18" s="83">
        <v>0.62986111111111109</v>
      </c>
      <c r="BF18" s="83">
        <v>0.95416666666666661</v>
      </c>
      <c r="BG18" s="83">
        <v>0.63055555555555554</v>
      </c>
      <c r="BH18" s="83">
        <v>0.97152777777777777</v>
      </c>
      <c r="BI18" s="83">
        <v>0.57916666666666672</v>
      </c>
      <c r="BJ18" s="83">
        <v>46262.949178240742</v>
      </c>
      <c r="BK18" s="83">
        <v>0.64583333333333337</v>
      </c>
      <c r="BL18" s="83">
        <v>0.96666666666666667</v>
      </c>
      <c r="BM18" s="83">
        <v>0</v>
      </c>
      <c r="BN18" s="83">
        <v>0</v>
      </c>
      <c r="BO18" s="83">
        <v>0.34791666666666665</v>
      </c>
      <c r="BP18" s="83">
        <v>0.65416666666666667</v>
      </c>
      <c r="BQ18" s="7">
        <f>BS18+BT18+BU18+BZ18+BW18+BY18+BX18+BV18</f>
        <v>31</v>
      </c>
      <c r="BR18" s="54">
        <v>1</v>
      </c>
      <c r="BS18" s="33">
        <f t="shared" si="26"/>
        <v>26</v>
      </c>
      <c r="BT18" s="34">
        <f t="shared" si="15"/>
        <v>1</v>
      </c>
      <c r="BU18" s="34">
        <f t="shared" si="16"/>
        <v>0</v>
      </c>
      <c r="BV18" s="109">
        <f t="shared" si="17"/>
        <v>4</v>
      </c>
      <c r="BW18" s="34">
        <f t="shared" si="18"/>
        <v>0</v>
      </c>
      <c r="BX18" s="34">
        <f t="shared" si="19"/>
        <v>0</v>
      </c>
      <c r="BY18" s="34">
        <f t="shared" si="20"/>
        <v>0</v>
      </c>
      <c r="BZ18" s="34">
        <f t="shared" si="21"/>
        <v>0</v>
      </c>
      <c r="CA18" s="34">
        <f t="shared" si="22"/>
        <v>0</v>
      </c>
      <c r="CB18" s="34">
        <f t="shared" si="23"/>
        <v>0</v>
      </c>
      <c r="CC18" s="34">
        <f t="shared" si="24"/>
        <v>0</v>
      </c>
      <c r="CD18" s="34">
        <f t="shared" si="25"/>
        <v>0</v>
      </c>
      <c r="CE18" s="35"/>
      <c r="CH18" s="32">
        <v>0</v>
      </c>
      <c r="CI18" s="29">
        <v>0</v>
      </c>
      <c r="CJ18" s="29">
        <v>0</v>
      </c>
      <c r="CK18" s="29">
        <v>0</v>
      </c>
      <c r="CL18" s="29">
        <v>1</v>
      </c>
      <c r="CM18" s="29">
        <v>4</v>
      </c>
      <c r="CN18" s="29">
        <v>0</v>
      </c>
      <c r="CO18" s="29">
        <v>3</v>
      </c>
      <c r="CP18" s="29">
        <v>0</v>
      </c>
      <c r="CQ18" s="29">
        <v>0</v>
      </c>
      <c r="CR18" s="38">
        <f t="shared" si="13"/>
        <v>8</v>
      </c>
    </row>
    <row r="19" spans="1:96" s="20" customFormat="1" ht="24" customHeight="1" x14ac:dyDescent="0.25">
      <c r="A19" s="29">
        <v>14</v>
      </c>
      <c r="B19" s="34" t="s">
        <v>35</v>
      </c>
      <c r="C19" s="31" t="s">
        <v>36</v>
      </c>
      <c r="D19" s="104">
        <v>44791</v>
      </c>
      <c r="E19" s="73">
        <v>46235.325289351851</v>
      </c>
      <c r="F19" s="73">
        <v>1</v>
      </c>
      <c r="G19" s="73">
        <v>46236.334444444445</v>
      </c>
      <c r="H19" s="73">
        <v>1</v>
      </c>
      <c r="I19" s="73">
        <v>46237.350011574075</v>
      </c>
      <c r="J19" s="73">
        <v>1</v>
      </c>
      <c r="K19" s="73">
        <v>46238.335289351853</v>
      </c>
      <c r="L19" s="73">
        <v>1</v>
      </c>
      <c r="M19" s="73">
        <v>46239.351006944446</v>
      </c>
      <c r="N19" s="73">
        <v>1</v>
      </c>
      <c r="O19" s="73">
        <v>46240.323530092595</v>
      </c>
      <c r="P19" s="73">
        <v>1</v>
      </c>
      <c r="Q19" s="80" t="s">
        <v>51</v>
      </c>
      <c r="R19" s="80" t="s">
        <v>51</v>
      </c>
      <c r="S19" s="73">
        <v>46242.329108796293</v>
      </c>
      <c r="T19" s="73">
        <v>1</v>
      </c>
      <c r="U19" s="73">
        <v>46243.348993055559</v>
      </c>
      <c r="V19" s="73">
        <v>1</v>
      </c>
      <c r="W19" s="73">
        <v>46244.325636574074</v>
      </c>
      <c r="X19" s="73">
        <v>1</v>
      </c>
      <c r="Y19" s="73">
        <v>46245.341087962966</v>
      </c>
      <c r="Z19" s="73">
        <v>46245.944791666669</v>
      </c>
      <c r="AA19" s="73">
        <v>46246.341874999998</v>
      </c>
      <c r="AB19" s="73">
        <v>46246.948553240742</v>
      </c>
      <c r="AC19" s="73">
        <v>46247.351435185185</v>
      </c>
      <c r="AD19" s="73">
        <v>46247.887523148151</v>
      </c>
      <c r="AE19" s="73">
        <v>46248.61141203704</v>
      </c>
      <c r="AF19" s="73">
        <v>46248.893900462965</v>
      </c>
      <c r="AG19" s="73">
        <v>46249.335312499999</v>
      </c>
      <c r="AH19" s="73">
        <v>1</v>
      </c>
      <c r="AI19" s="72"/>
      <c r="AJ19" s="29">
        <v>14</v>
      </c>
      <c r="AK19" s="73">
        <v>1</v>
      </c>
      <c r="AL19" s="73">
        <v>1</v>
      </c>
      <c r="AM19" s="73">
        <v>46251.331817129627</v>
      </c>
      <c r="AN19" s="73">
        <v>1</v>
      </c>
      <c r="AO19" s="73">
        <v>46252.351215277777</v>
      </c>
      <c r="AP19" s="73">
        <v>1</v>
      </c>
      <c r="AQ19" s="73">
        <v>46253.346400462964</v>
      </c>
      <c r="AR19" s="73">
        <v>46253.863067129627</v>
      </c>
      <c r="AS19" s="73">
        <v>46254.332141203704</v>
      </c>
      <c r="AT19" s="73">
        <v>1</v>
      </c>
      <c r="AU19" s="80" t="s">
        <v>51</v>
      </c>
      <c r="AV19" s="80" t="s">
        <v>51</v>
      </c>
      <c r="AW19" s="73">
        <v>46256.335462962961</v>
      </c>
      <c r="AX19" s="73">
        <v>1</v>
      </c>
      <c r="AY19" s="73">
        <v>46257.340474537035</v>
      </c>
      <c r="AZ19" s="73">
        <v>1</v>
      </c>
      <c r="BA19" s="73">
        <v>46258.340937499997</v>
      </c>
      <c r="BB19" s="73">
        <v>1</v>
      </c>
      <c r="BC19" s="73">
        <v>46259.337175925924</v>
      </c>
      <c r="BD19" s="73">
        <v>1</v>
      </c>
      <c r="BE19" s="73">
        <v>46260.338553240741</v>
      </c>
      <c r="BF19" s="73">
        <v>0</v>
      </c>
      <c r="BG19" s="73">
        <v>0</v>
      </c>
      <c r="BH19" s="73">
        <v>46261.708796296298</v>
      </c>
      <c r="BI19" s="80" t="s">
        <v>51</v>
      </c>
      <c r="BJ19" s="80" t="s">
        <v>51</v>
      </c>
      <c r="BK19" s="73">
        <v>46263.332708333335</v>
      </c>
      <c r="BL19" s="89">
        <v>1</v>
      </c>
      <c r="BM19" s="86">
        <v>46233.334594907406</v>
      </c>
      <c r="BN19" s="73">
        <v>0.94027777777777777</v>
      </c>
      <c r="BO19" s="73">
        <v>0.32430555555555557</v>
      </c>
      <c r="BP19" s="73">
        <v>1</v>
      </c>
      <c r="BQ19" s="7">
        <f t="shared" si="27"/>
        <v>31</v>
      </c>
      <c r="BR19" s="54">
        <v>1</v>
      </c>
      <c r="BS19" s="33">
        <f t="shared" si="26"/>
        <v>28</v>
      </c>
      <c r="BT19" s="34">
        <f t="shared" si="15"/>
        <v>3</v>
      </c>
      <c r="BU19" s="34">
        <f t="shared" si="16"/>
        <v>0</v>
      </c>
      <c r="BV19" s="34">
        <f t="shared" si="17"/>
        <v>0</v>
      </c>
      <c r="BW19" s="34">
        <f t="shared" si="18"/>
        <v>0</v>
      </c>
      <c r="BX19" s="34">
        <f t="shared" si="19"/>
        <v>0</v>
      </c>
      <c r="BY19" s="34">
        <f t="shared" si="20"/>
        <v>0</v>
      </c>
      <c r="BZ19" s="34">
        <f t="shared" si="21"/>
        <v>0</v>
      </c>
      <c r="CA19" s="34">
        <f t="shared" si="22"/>
        <v>0</v>
      </c>
      <c r="CB19" s="34">
        <f t="shared" si="23"/>
        <v>0</v>
      </c>
      <c r="CC19" s="34">
        <f t="shared" si="24"/>
        <v>0</v>
      </c>
      <c r="CD19" s="34">
        <f t="shared" si="25"/>
        <v>0</v>
      </c>
      <c r="CE19" s="5"/>
      <c r="CH19" s="32">
        <v>0</v>
      </c>
      <c r="CI19" s="29">
        <v>0</v>
      </c>
      <c r="CJ19" s="29">
        <v>0</v>
      </c>
      <c r="CK19" s="29">
        <v>24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38">
        <f t="shared" si="13"/>
        <v>24</v>
      </c>
    </row>
    <row r="20" spans="1:96" s="20" customFormat="1" ht="24" customHeight="1" x14ac:dyDescent="0.25">
      <c r="A20" s="29">
        <v>15</v>
      </c>
      <c r="B20" s="34" t="s">
        <v>39</v>
      </c>
      <c r="C20" s="31" t="s">
        <v>40</v>
      </c>
      <c r="D20" s="104">
        <v>45491</v>
      </c>
      <c r="E20" s="74" t="s">
        <v>54</v>
      </c>
      <c r="F20" s="74" t="s">
        <v>54</v>
      </c>
      <c r="G20" s="74" t="s">
        <v>54</v>
      </c>
      <c r="H20" s="74" t="s">
        <v>54</v>
      </c>
      <c r="I20" s="74" t="s">
        <v>54</v>
      </c>
      <c r="J20" s="74" t="s">
        <v>54</v>
      </c>
      <c r="K20" s="74" t="s">
        <v>54</v>
      </c>
      <c r="L20" s="74" t="s">
        <v>54</v>
      </c>
      <c r="M20" s="73">
        <v>0.64236111111111105</v>
      </c>
      <c r="N20" s="75">
        <v>1</v>
      </c>
      <c r="O20" s="75">
        <v>0.64722222222222225</v>
      </c>
      <c r="P20" s="75">
        <v>46240.975798611114</v>
      </c>
      <c r="Q20" s="75">
        <v>46241.576018518521</v>
      </c>
      <c r="R20" s="75">
        <v>46241.956458333334</v>
      </c>
      <c r="S20" s="75">
        <v>46242.353506944448</v>
      </c>
      <c r="T20" s="73">
        <v>1</v>
      </c>
      <c r="U20" s="73">
        <v>46243.354143518518</v>
      </c>
      <c r="V20" s="73">
        <v>1</v>
      </c>
      <c r="W20" s="73">
        <v>46242.645856481497</v>
      </c>
      <c r="X20" s="73">
        <v>46242.291712963</v>
      </c>
      <c r="Y20" s="73">
        <v>46245.352442129632</v>
      </c>
      <c r="Z20" s="73">
        <v>1</v>
      </c>
      <c r="AA20" s="73">
        <v>1</v>
      </c>
      <c r="AB20" s="73">
        <v>46246.951967592591</v>
      </c>
      <c r="AC20" s="73">
        <v>0.66041666666666665</v>
      </c>
      <c r="AD20" s="73">
        <v>1</v>
      </c>
      <c r="AE20" s="80" t="s">
        <v>51</v>
      </c>
      <c r="AF20" s="80" t="s">
        <v>51</v>
      </c>
      <c r="AG20" s="73">
        <v>46249.35527777778</v>
      </c>
      <c r="AH20" s="73">
        <v>1</v>
      </c>
      <c r="AI20" s="72"/>
      <c r="AJ20" s="29">
        <v>15</v>
      </c>
      <c r="AK20" s="81">
        <v>46250.353865740741</v>
      </c>
      <c r="AL20" s="81">
        <v>46250.674224537041</v>
      </c>
      <c r="AM20" s="81">
        <v>46251.354108796295</v>
      </c>
      <c r="AN20" s="81">
        <v>46251.665636574071</v>
      </c>
      <c r="AO20" s="81">
        <v>46252.647893518515</v>
      </c>
      <c r="AP20" s="81">
        <v>1</v>
      </c>
      <c r="AQ20" s="81">
        <v>46253.355543981481</v>
      </c>
      <c r="AR20" s="81">
        <v>46253.659918981481</v>
      </c>
      <c r="AS20" s="81">
        <v>46254.353402777779</v>
      </c>
      <c r="AT20" s="81">
        <v>46254.676874999997</v>
      </c>
      <c r="AU20" s="81">
        <v>46255.580462962964</v>
      </c>
      <c r="AV20" s="81">
        <v>1</v>
      </c>
      <c r="AW20" s="81">
        <v>46256.354745370372</v>
      </c>
      <c r="AX20" s="81">
        <v>46256.659872685188</v>
      </c>
      <c r="AY20" s="81">
        <v>46257.35496527778</v>
      </c>
      <c r="AZ20" s="81">
        <v>46257.661944444444</v>
      </c>
      <c r="BA20" s="81">
        <v>46258.646678240744</v>
      </c>
      <c r="BB20" s="73">
        <v>1</v>
      </c>
      <c r="BC20" s="81">
        <v>46259.647222222222</v>
      </c>
      <c r="BD20" s="81">
        <v>46259.957048611112</v>
      </c>
      <c r="BE20" s="81">
        <v>46260.353055555555</v>
      </c>
      <c r="BF20" s="81">
        <v>46260.651967592596</v>
      </c>
      <c r="BG20" s="81">
        <v>46261.355567129627</v>
      </c>
      <c r="BH20" s="81">
        <v>46261.657407407409</v>
      </c>
      <c r="BI20" s="80" t="s">
        <v>51</v>
      </c>
      <c r="BJ20" s="80" t="s">
        <v>51</v>
      </c>
      <c r="BK20" s="81">
        <v>46263.353761574072</v>
      </c>
      <c r="BL20" s="89">
        <v>2</v>
      </c>
      <c r="BM20" s="86">
        <v>46233.3762615741</v>
      </c>
      <c r="BN20" s="73">
        <v>0.93611111111111101</v>
      </c>
      <c r="BO20" s="73">
        <v>1</v>
      </c>
      <c r="BP20" s="73">
        <v>0.95208333333333339</v>
      </c>
      <c r="BQ20" s="7">
        <f t="shared" si="27"/>
        <v>31</v>
      </c>
      <c r="BR20" s="54">
        <v>2</v>
      </c>
      <c r="BS20" s="33">
        <f t="shared" si="26"/>
        <v>25</v>
      </c>
      <c r="BT20" s="34">
        <f t="shared" si="15"/>
        <v>2</v>
      </c>
      <c r="BU20" s="34">
        <f t="shared" si="16"/>
        <v>0</v>
      </c>
      <c r="BV20" s="34">
        <f t="shared" si="17"/>
        <v>0</v>
      </c>
      <c r="BW20" s="108">
        <f t="shared" si="18"/>
        <v>4</v>
      </c>
      <c r="BX20" s="34">
        <f t="shared" si="19"/>
        <v>0</v>
      </c>
      <c r="BY20" s="34">
        <f t="shared" si="20"/>
        <v>0</v>
      </c>
      <c r="BZ20" s="34">
        <f t="shared" si="21"/>
        <v>0</v>
      </c>
      <c r="CA20" s="34">
        <f t="shared" si="22"/>
        <v>0</v>
      </c>
      <c r="CB20" s="34">
        <f t="shared" si="23"/>
        <v>0</v>
      </c>
      <c r="CC20" s="34">
        <f t="shared" si="24"/>
        <v>0</v>
      </c>
      <c r="CD20" s="34">
        <f t="shared" si="25"/>
        <v>0</v>
      </c>
      <c r="CE20" s="35"/>
      <c r="CH20" s="32">
        <v>0</v>
      </c>
      <c r="CI20" s="29">
        <v>11</v>
      </c>
      <c r="CJ20" s="29">
        <v>18</v>
      </c>
      <c r="CK20" s="29">
        <v>0</v>
      </c>
      <c r="CL20" s="29">
        <v>4</v>
      </c>
      <c r="CM20" s="29">
        <v>7</v>
      </c>
      <c r="CN20" s="29">
        <v>0</v>
      </c>
      <c r="CO20" s="29">
        <v>4</v>
      </c>
      <c r="CP20" s="29">
        <v>0</v>
      </c>
      <c r="CQ20" s="29">
        <v>0</v>
      </c>
      <c r="CR20" s="38">
        <f t="shared" si="13"/>
        <v>44</v>
      </c>
    </row>
    <row r="21" spans="1:96" s="20" customFormat="1" ht="24" customHeight="1" x14ac:dyDescent="0.25">
      <c r="A21" s="29">
        <v>16</v>
      </c>
      <c r="B21" s="34" t="s">
        <v>41</v>
      </c>
      <c r="C21" s="31" t="s">
        <v>42</v>
      </c>
      <c r="D21" s="104">
        <v>45509</v>
      </c>
      <c r="E21" s="73">
        <v>1</v>
      </c>
      <c r="F21" s="73">
        <v>1</v>
      </c>
      <c r="G21" s="73">
        <v>0</v>
      </c>
      <c r="H21" s="73">
        <v>46236.951874999999</v>
      </c>
      <c r="I21" s="73">
        <v>1</v>
      </c>
      <c r="J21" s="73">
        <v>46237.952106481483</v>
      </c>
      <c r="K21" s="73">
        <v>1</v>
      </c>
      <c r="L21" s="73">
        <v>46238.950995370367</v>
      </c>
      <c r="M21" s="73">
        <v>1</v>
      </c>
      <c r="N21" s="73">
        <v>46239.943622685183</v>
      </c>
      <c r="O21" s="73">
        <v>1</v>
      </c>
      <c r="P21" s="73">
        <v>46240.970671296294</v>
      </c>
      <c r="Q21" s="73">
        <v>46241.584432870368</v>
      </c>
      <c r="R21" s="73">
        <v>46241.953414351854</v>
      </c>
      <c r="S21" s="73">
        <v>46242.356435185182</v>
      </c>
      <c r="T21" s="73">
        <v>1</v>
      </c>
      <c r="U21" s="73">
        <v>1</v>
      </c>
      <c r="V21" s="73">
        <v>1</v>
      </c>
      <c r="W21" s="73">
        <v>46244.352881944447</v>
      </c>
      <c r="X21" s="73">
        <v>1</v>
      </c>
      <c r="Y21" s="73">
        <v>46245.353530092594</v>
      </c>
      <c r="Z21" s="73">
        <v>1</v>
      </c>
      <c r="AA21" s="73">
        <v>46246.353032407409</v>
      </c>
      <c r="AB21" s="73">
        <v>1</v>
      </c>
      <c r="AC21" s="73">
        <v>46247.354791666665</v>
      </c>
      <c r="AD21" s="73">
        <v>1</v>
      </c>
      <c r="AE21" s="80" t="s">
        <v>51</v>
      </c>
      <c r="AF21" s="80" t="s">
        <v>51</v>
      </c>
      <c r="AG21" s="73">
        <v>1</v>
      </c>
      <c r="AH21" s="73">
        <v>46249.968657407408</v>
      </c>
      <c r="AI21" s="72"/>
      <c r="AJ21" s="29">
        <v>16</v>
      </c>
      <c r="AK21" s="73">
        <v>1</v>
      </c>
      <c r="AL21" s="73">
        <v>1</v>
      </c>
      <c r="AM21" s="77">
        <v>1</v>
      </c>
      <c r="AN21" s="73">
        <v>46251.948634259257</v>
      </c>
      <c r="AO21" s="73">
        <v>1</v>
      </c>
      <c r="AP21" s="73">
        <v>46252.950057870374</v>
      </c>
      <c r="AQ21" s="73">
        <v>1</v>
      </c>
      <c r="AR21" s="73">
        <v>46253.950057870374</v>
      </c>
      <c r="AS21" s="73">
        <v>1</v>
      </c>
      <c r="AT21" s="73">
        <v>46254.968124999999</v>
      </c>
      <c r="AU21" s="73">
        <v>46255.581747685188</v>
      </c>
      <c r="AV21" s="73">
        <v>46255.946076388886</v>
      </c>
      <c r="AW21" s="73">
        <v>46256.352847222224</v>
      </c>
      <c r="AX21" s="73">
        <v>1</v>
      </c>
      <c r="AY21" s="73">
        <v>0</v>
      </c>
      <c r="AZ21" s="73">
        <v>1</v>
      </c>
      <c r="BA21" s="73">
        <v>1</v>
      </c>
      <c r="BB21" s="73">
        <v>1</v>
      </c>
      <c r="BC21" s="73">
        <v>46259.344259259262</v>
      </c>
      <c r="BD21" s="73">
        <v>1</v>
      </c>
      <c r="BE21" s="73">
        <v>46260.347719907404</v>
      </c>
      <c r="BF21" s="73">
        <v>0</v>
      </c>
      <c r="BG21" s="73">
        <v>46261.352372685185</v>
      </c>
      <c r="BH21" s="73">
        <v>0</v>
      </c>
      <c r="BI21" s="73">
        <v>46262.578402777777</v>
      </c>
      <c r="BJ21" s="73">
        <v>0</v>
      </c>
      <c r="BK21" s="73">
        <v>0</v>
      </c>
      <c r="BL21" s="89">
        <v>0.64583333333333337</v>
      </c>
      <c r="BM21" s="86">
        <v>46233.353622685187</v>
      </c>
      <c r="BN21" s="73">
        <v>0.9784722222222223</v>
      </c>
      <c r="BO21" s="73">
        <v>0.9784722222222223</v>
      </c>
      <c r="BP21" s="73">
        <v>1</v>
      </c>
      <c r="BQ21" s="7">
        <f t="shared" si="27"/>
        <v>31</v>
      </c>
      <c r="BR21" s="54">
        <v>3</v>
      </c>
      <c r="BS21" s="33">
        <f t="shared" si="26"/>
        <v>30</v>
      </c>
      <c r="BT21" s="34">
        <f t="shared" si="15"/>
        <v>1</v>
      </c>
      <c r="BU21" s="34">
        <f t="shared" si="16"/>
        <v>0</v>
      </c>
      <c r="BV21" s="34">
        <f t="shared" si="17"/>
        <v>0</v>
      </c>
      <c r="BW21" s="34">
        <f t="shared" si="18"/>
        <v>0</v>
      </c>
      <c r="BX21" s="34">
        <f t="shared" si="19"/>
        <v>0</v>
      </c>
      <c r="BY21" s="34">
        <f t="shared" si="20"/>
        <v>0</v>
      </c>
      <c r="BZ21" s="34">
        <f t="shared" si="21"/>
        <v>0</v>
      </c>
      <c r="CA21" s="34">
        <f t="shared" si="22"/>
        <v>0</v>
      </c>
      <c r="CB21" s="34">
        <f t="shared" si="23"/>
        <v>0</v>
      </c>
      <c r="CC21" s="34">
        <f t="shared" si="24"/>
        <v>0</v>
      </c>
      <c r="CD21" s="34">
        <f t="shared" si="25"/>
        <v>0</v>
      </c>
      <c r="CE21" s="35"/>
      <c r="CH21" s="32">
        <v>1</v>
      </c>
      <c r="CI21" s="29">
        <v>0</v>
      </c>
      <c r="CJ21" s="29">
        <v>0</v>
      </c>
      <c r="CK21" s="29">
        <v>0</v>
      </c>
      <c r="CL21" s="29">
        <v>0</v>
      </c>
      <c r="CM21" s="29">
        <v>14</v>
      </c>
      <c r="CN21" s="29">
        <v>0</v>
      </c>
      <c r="CO21" s="29">
        <v>3</v>
      </c>
      <c r="CP21" s="29">
        <v>0</v>
      </c>
      <c r="CQ21" s="29">
        <v>0</v>
      </c>
      <c r="CR21" s="38">
        <f t="shared" si="13"/>
        <v>18</v>
      </c>
    </row>
    <row r="22" spans="1:96" s="20" customFormat="1" ht="24" customHeight="1" x14ac:dyDescent="0.25">
      <c r="A22" s="29">
        <v>17</v>
      </c>
      <c r="B22" s="37" t="s">
        <v>43</v>
      </c>
      <c r="C22" s="31" t="s">
        <v>44</v>
      </c>
      <c r="D22" s="104">
        <v>45566</v>
      </c>
      <c r="E22" s="73">
        <v>46235.374583333331</v>
      </c>
      <c r="F22" s="73">
        <v>46235.860844907409</v>
      </c>
      <c r="G22" s="73">
        <v>46236.371493055558</v>
      </c>
      <c r="H22" s="73">
        <v>46236.729189814818</v>
      </c>
      <c r="I22" s="73">
        <v>46237.370856481481</v>
      </c>
      <c r="J22" s="73">
        <v>46237.725949074076</v>
      </c>
      <c r="K22" s="73">
        <v>46238.371944444443</v>
      </c>
      <c r="L22" s="73">
        <v>1</v>
      </c>
      <c r="M22" s="73">
        <v>46239.363854166666</v>
      </c>
      <c r="N22" s="73">
        <v>46239.842314814814</v>
      </c>
      <c r="O22" s="73">
        <v>46240.367314814815</v>
      </c>
      <c r="P22" s="73">
        <v>1</v>
      </c>
      <c r="Q22" s="73">
        <v>46241.580543981479</v>
      </c>
      <c r="R22" s="73">
        <v>1</v>
      </c>
      <c r="S22" s="73">
        <v>46242.400729166664</v>
      </c>
      <c r="T22" s="73">
        <v>1</v>
      </c>
      <c r="U22" s="79" t="s">
        <v>84</v>
      </c>
      <c r="V22" s="79" t="s">
        <v>84</v>
      </c>
      <c r="W22" s="73">
        <v>46244.366620370369</v>
      </c>
      <c r="X22" s="73">
        <v>46244.847418981481</v>
      </c>
      <c r="Y22" s="73">
        <v>46245.39261574074</v>
      </c>
      <c r="Z22" s="73">
        <v>1</v>
      </c>
      <c r="AA22" s="73">
        <v>46246.37059027778</v>
      </c>
      <c r="AB22" s="73">
        <v>1</v>
      </c>
      <c r="AC22" s="73">
        <v>46247.396909722222</v>
      </c>
      <c r="AD22" s="73">
        <v>46247.724490740744</v>
      </c>
      <c r="AE22" s="80" t="s">
        <v>51</v>
      </c>
      <c r="AF22" s="80" t="s">
        <v>51</v>
      </c>
      <c r="AG22" s="73">
        <v>46249.372060185182</v>
      </c>
      <c r="AH22" s="73">
        <v>1</v>
      </c>
      <c r="AI22" s="72"/>
      <c r="AJ22" s="29">
        <v>17</v>
      </c>
      <c r="AK22" s="73">
        <v>46250.442974537036</v>
      </c>
      <c r="AL22" s="73">
        <v>1</v>
      </c>
      <c r="AM22" s="73">
        <v>46251.368819444448</v>
      </c>
      <c r="AN22" s="73">
        <v>1</v>
      </c>
      <c r="AO22" s="73">
        <v>46252.509675925925</v>
      </c>
      <c r="AP22" s="73">
        <v>1</v>
      </c>
      <c r="AQ22" s="79" t="s">
        <v>84</v>
      </c>
      <c r="AR22" s="79" t="s">
        <v>84</v>
      </c>
      <c r="AS22" s="73">
        <v>46254.384525462963</v>
      </c>
      <c r="AT22" s="73">
        <v>1</v>
      </c>
      <c r="AU22" s="73">
        <v>46255.58326388889</v>
      </c>
      <c r="AV22" s="73">
        <v>1</v>
      </c>
      <c r="AW22" s="73">
        <v>0</v>
      </c>
      <c r="AX22" s="73">
        <v>1</v>
      </c>
      <c r="AY22" s="73">
        <v>46257.364571759259</v>
      </c>
      <c r="AZ22" s="73">
        <v>46257.725092592591</v>
      </c>
      <c r="BA22" s="73">
        <v>46258.375486111108</v>
      </c>
      <c r="BB22" s="73">
        <v>46258.709120370368</v>
      </c>
      <c r="BC22" s="73">
        <v>46259.345324074071</v>
      </c>
      <c r="BD22" s="73">
        <v>1</v>
      </c>
      <c r="BE22" s="73">
        <v>46260.346145833333</v>
      </c>
      <c r="BF22" s="73">
        <v>0</v>
      </c>
      <c r="BG22" s="73">
        <v>46261.373773148145</v>
      </c>
      <c r="BH22" s="73">
        <v>0</v>
      </c>
      <c r="BI22" s="80" t="s">
        <v>51</v>
      </c>
      <c r="BJ22" s="80" t="s">
        <v>51</v>
      </c>
      <c r="BK22" s="73">
        <v>46263.383206018516</v>
      </c>
      <c r="BL22" s="89">
        <v>1</v>
      </c>
      <c r="BM22" s="87">
        <v>46233.37096064815</v>
      </c>
      <c r="BN22" s="73">
        <v>0.95833333333333337</v>
      </c>
      <c r="BO22" s="73">
        <v>0.36319444444444443</v>
      </c>
      <c r="BP22" s="73">
        <v>0.75694444444444453</v>
      </c>
      <c r="BQ22" s="7">
        <f t="shared" si="27"/>
        <v>31</v>
      </c>
      <c r="BR22" s="54">
        <v>2</v>
      </c>
      <c r="BS22" s="33">
        <f t="shared" si="26"/>
        <v>27</v>
      </c>
      <c r="BT22" s="34">
        <f t="shared" si="15"/>
        <v>2</v>
      </c>
      <c r="BU22" s="34">
        <f t="shared" si="16"/>
        <v>0</v>
      </c>
      <c r="BV22" s="34">
        <f t="shared" si="17"/>
        <v>0</v>
      </c>
      <c r="BW22" s="34">
        <f t="shared" si="18"/>
        <v>0</v>
      </c>
      <c r="BX22" s="34">
        <f t="shared" si="19"/>
        <v>0</v>
      </c>
      <c r="BY22" s="34">
        <f t="shared" si="20"/>
        <v>0</v>
      </c>
      <c r="BZ22" s="106">
        <f t="shared" si="21"/>
        <v>2</v>
      </c>
      <c r="CA22" s="34">
        <f t="shared" si="22"/>
        <v>0</v>
      </c>
      <c r="CB22" s="34">
        <f t="shared" si="23"/>
        <v>0</v>
      </c>
      <c r="CC22" s="34">
        <f t="shared" si="24"/>
        <v>0</v>
      </c>
      <c r="CD22" s="34">
        <f t="shared" si="25"/>
        <v>0</v>
      </c>
      <c r="CE22" s="35"/>
      <c r="CH22" s="32">
        <v>0</v>
      </c>
      <c r="CI22" s="29">
        <v>0</v>
      </c>
      <c r="CJ22" s="29">
        <v>30</v>
      </c>
      <c r="CK22" s="29">
        <v>0</v>
      </c>
      <c r="CL22" s="29">
        <v>0</v>
      </c>
      <c r="CM22" s="29">
        <v>5</v>
      </c>
      <c r="CN22" s="29">
        <v>0</v>
      </c>
      <c r="CO22" s="29">
        <v>0</v>
      </c>
      <c r="CP22" s="29">
        <v>0</v>
      </c>
      <c r="CQ22" s="29">
        <v>0</v>
      </c>
      <c r="CR22" s="38">
        <f t="shared" si="13"/>
        <v>35</v>
      </c>
    </row>
    <row r="23" spans="1:96" s="20" customFormat="1" ht="24" customHeight="1" x14ac:dyDescent="0.25">
      <c r="A23" s="29">
        <v>18</v>
      </c>
      <c r="B23" s="37" t="s">
        <v>45</v>
      </c>
      <c r="C23" s="31" t="s">
        <v>46</v>
      </c>
      <c r="D23" s="104">
        <v>45785</v>
      </c>
      <c r="E23" s="73">
        <v>46235.363194444442</v>
      </c>
      <c r="F23" s="73">
        <v>1</v>
      </c>
      <c r="G23" s="73">
        <v>0</v>
      </c>
      <c r="H23" s="73">
        <v>1</v>
      </c>
      <c r="I23" s="73">
        <v>1</v>
      </c>
      <c r="J23" s="73">
        <v>1</v>
      </c>
      <c r="K23" s="73">
        <v>46238.322789351849</v>
      </c>
      <c r="L23" s="73">
        <v>1</v>
      </c>
      <c r="M23" s="73">
        <v>46239.375439814816</v>
      </c>
      <c r="N23" s="73">
        <v>1</v>
      </c>
      <c r="O23" s="73">
        <v>46240.416990740741</v>
      </c>
      <c r="P23" s="73">
        <v>46240.972511574073</v>
      </c>
      <c r="Q23" s="73">
        <v>46241.461956018517</v>
      </c>
      <c r="R23" s="73">
        <v>46240.972511574073</v>
      </c>
      <c r="S23" s="73">
        <v>46242.389270833337</v>
      </c>
      <c r="T23" s="73">
        <v>1</v>
      </c>
      <c r="U23" s="73">
        <v>46243.35434027778</v>
      </c>
      <c r="V23" s="73">
        <v>1</v>
      </c>
      <c r="W23" s="73">
        <v>46244.358391203707</v>
      </c>
      <c r="X23" s="73">
        <v>1</v>
      </c>
      <c r="Y23" s="73">
        <v>46245.4059837963</v>
      </c>
      <c r="Z23" s="73">
        <v>1</v>
      </c>
      <c r="AA23" s="73">
        <v>46246.374062499999</v>
      </c>
      <c r="AB23" s="73">
        <v>1</v>
      </c>
      <c r="AC23" s="73">
        <v>46247.386238425926</v>
      </c>
      <c r="AD23" s="73">
        <v>1</v>
      </c>
      <c r="AE23" s="73">
        <v>1</v>
      </c>
      <c r="AF23" s="73">
        <v>1</v>
      </c>
      <c r="AG23" s="73">
        <v>46249.386944444443</v>
      </c>
      <c r="AH23" s="73">
        <v>1</v>
      </c>
      <c r="AI23" s="72"/>
      <c r="AJ23" s="29">
        <v>18</v>
      </c>
      <c r="AK23" s="73">
        <v>46250.345648148148</v>
      </c>
      <c r="AL23" s="73">
        <v>1</v>
      </c>
      <c r="AM23" s="73">
        <v>46251.343553240738</v>
      </c>
      <c r="AN23" s="73">
        <v>1</v>
      </c>
      <c r="AO23" s="73">
        <v>46252.377372685187</v>
      </c>
      <c r="AP23" s="73">
        <v>1</v>
      </c>
      <c r="AQ23" s="73">
        <v>46253.372812499998</v>
      </c>
      <c r="AR23" s="73">
        <v>1</v>
      </c>
      <c r="AS23" s="73">
        <v>46254.347824074073</v>
      </c>
      <c r="AT23" s="73">
        <v>1</v>
      </c>
      <c r="AU23" s="73">
        <v>46256.349907407406</v>
      </c>
      <c r="AV23" s="73">
        <v>1</v>
      </c>
      <c r="AW23" s="73">
        <v>46256.349907407406</v>
      </c>
      <c r="AX23" s="73">
        <v>1</v>
      </c>
      <c r="AY23" s="73">
        <v>46257.377500000002</v>
      </c>
      <c r="AZ23" s="73">
        <v>1</v>
      </c>
      <c r="BA23" s="73">
        <v>46258.349641203706</v>
      </c>
      <c r="BB23" s="73">
        <v>1</v>
      </c>
      <c r="BC23" s="73">
        <v>46256.349907407406</v>
      </c>
      <c r="BD23" s="73">
        <v>1</v>
      </c>
      <c r="BE23" s="73">
        <v>46256.349907407406</v>
      </c>
      <c r="BF23" s="73">
        <v>0</v>
      </c>
      <c r="BG23" s="73">
        <v>46261.371493055558</v>
      </c>
      <c r="BH23" s="73">
        <v>0</v>
      </c>
      <c r="BI23" s="73">
        <v>46262.580752314818</v>
      </c>
      <c r="BJ23" s="73">
        <v>0</v>
      </c>
      <c r="BK23" s="73">
        <v>46263.36445601852</v>
      </c>
      <c r="BL23" s="89">
        <v>1</v>
      </c>
      <c r="BM23" s="79" t="s">
        <v>84</v>
      </c>
      <c r="BN23" s="79" t="s">
        <v>84</v>
      </c>
      <c r="BO23" s="79" t="s">
        <v>84</v>
      </c>
      <c r="BP23" s="79" t="s">
        <v>84</v>
      </c>
      <c r="BQ23" s="7">
        <f t="shared" si="27"/>
        <v>31</v>
      </c>
      <c r="BR23" s="54">
        <v>4</v>
      </c>
      <c r="BS23" s="33">
        <f t="shared" si="26"/>
        <v>29</v>
      </c>
      <c r="BT23" s="34">
        <f t="shared" si="15"/>
        <v>0</v>
      </c>
      <c r="BU23" s="34">
        <f t="shared" si="16"/>
        <v>0</v>
      </c>
      <c r="BV23" s="34">
        <f t="shared" si="17"/>
        <v>0</v>
      </c>
      <c r="BW23" s="34">
        <f t="shared" si="18"/>
        <v>0</v>
      </c>
      <c r="BX23" s="34">
        <f t="shared" si="19"/>
        <v>0</v>
      </c>
      <c r="BY23" s="34">
        <f t="shared" si="20"/>
        <v>0</v>
      </c>
      <c r="BZ23" s="106">
        <f t="shared" si="21"/>
        <v>2</v>
      </c>
      <c r="CA23" s="34">
        <f t="shared" si="22"/>
        <v>0</v>
      </c>
      <c r="CB23" s="34">
        <f t="shared" si="23"/>
        <v>0</v>
      </c>
      <c r="CC23" s="34">
        <f t="shared" si="24"/>
        <v>0</v>
      </c>
      <c r="CD23" s="34">
        <f t="shared" si="25"/>
        <v>0</v>
      </c>
      <c r="CE23" s="35"/>
      <c r="CH23" s="32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38">
        <f t="shared" si="13"/>
        <v>0</v>
      </c>
    </row>
    <row r="24" spans="1:96" s="20" customFormat="1" ht="24" customHeight="1" x14ac:dyDescent="0.25">
      <c r="A24" s="29">
        <v>19</v>
      </c>
      <c r="B24" s="37" t="s">
        <v>47</v>
      </c>
      <c r="C24" s="31" t="s">
        <v>48</v>
      </c>
      <c r="D24" s="104">
        <v>45826</v>
      </c>
      <c r="E24" s="73">
        <v>46235.349803240744</v>
      </c>
      <c r="F24" s="73">
        <v>1</v>
      </c>
      <c r="G24" s="73">
        <v>46236.337650462963</v>
      </c>
      <c r="H24" s="73">
        <v>1</v>
      </c>
      <c r="I24" s="73">
        <v>46237.350069444445</v>
      </c>
      <c r="J24" s="73">
        <v>46237.9996875</v>
      </c>
      <c r="K24" s="73">
        <v>46238.348715277774</v>
      </c>
      <c r="L24" s="73">
        <v>46238.98946759259</v>
      </c>
      <c r="M24" s="73">
        <v>46239.342129629629</v>
      </c>
      <c r="N24" s="73">
        <v>46239.986331018517</v>
      </c>
      <c r="O24" s="73">
        <v>46240.344293981485</v>
      </c>
      <c r="P24" s="73">
        <v>46241.012928240743</v>
      </c>
      <c r="Q24" s="73">
        <v>46241.577060185184</v>
      </c>
      <c r="R24" s="73">
        <v>46241.999432870369</v>
      </c>
      <c r="S24" s="73">
        <v>46242.35429398148</v>
      </c>
      <c r="T24" s="73">
        <v>46243.004155092596</v>
      </c>
      <c r="U24" s="73">
        <v>46243.354351851849</v>
      </c>
      <c r="V24" s="73">
        <v>46243.985775462963</v>
      </c>
      <c r="W24" s="73">
        <v>46244.345150462963</v>
      </c>
      <c r="X24" s="73">
        <v>46244.994814814818</v>
      </c>
      <c r="Y24" s="73">
        <v>46245.350810185184</v>
      </c>
      <c r="Z24" s="73">
        <v>46245.988541666666</v>
      </c>
      <c r="AA24" s="73">
        <v>46246.349965277775</v>
      </c>
      <c r="AB24" s="73">
        <v>46247.003483796296</v>
      </c>
      <c r="AC24" s="73">
        <v>46247.352708333332</v>
      </c>
      <c r="AD24" s="73">
        <v>46248.029606481483</v>
      </c>
      <c r="AE24" s="73">
        <v>46248.581064814818</v>
      </c>
      <c r="AF24" s="73">
        <v>1</v>
      </c>
      <c r="AG24" s="73">
        <v>46249.347094907411</v>
      </c>
      <c r="AH24" s="73">
        <v>46250.015752314815</v>
      </c>
      <c r="AI24" s="72"/>
      <c r="AJ24" s="29">
        <v>19</v>
      </c>
      <c r="AK24" s="73">
        <v>46250.351655092592</v>
      </c>
      <c r="AL24" s="73">
        <v>46262.982476851852</v>
      </c>
      <c r="AM24" s="76">
        <v>46251.299016203702</v>
      </c>
      <c r="AN24" s="73">
        <v>46251.989328703705</v>
      </c>
      <c r="AO24" s="73">
        <v>46252.345393518517</v>
      </c>
      <c r="AP24" s="73">
        <v>46252.987199074072</v>
      </c>
      <c r="AQ24" s="73">
        <v>46253.351284722223</v>
      </c>
      <c r="AR24" s="73">
        <v>46254.009791666664</v>
      </c>
      <c r="AS24" s="73">
        <v>46254.334050925929</v>
      </c>
      <c r="AT24" s="73">
        <v>46255.012592592589</v>
      </c>
      <c r="AU24" s="73">
        <v>46255.580520833333</v>
      </c>
      <c r="AV24" s="73">
        <v>46255.99796296296</v>
      </c>
      <c r="AW24" s="73">
        <v>46256.353819444441</v>
      </c>
      <c r="AX24" s="73">
        <v>46257.010057870371</v>
      </c>
      <c r="AY24" s="73">
        <v>46257.351620370369</v>
      </c>
      <c r="AZ24" s="73">
        <v>46257.986446759256</v>
      </c>
      <c r="BA24" s="73">
        <v>46258.34952546296</v>
      </c>
      <c r="BB24" s="73">
        <v>46258.997210648151</v>
      </c>
      <c r="BC24" s="73">
        <v>46259.357523148145</v>
      </c>
      <c r="BD24" s="73">
        <v>1</v>
      </c>
      <c r="BE24" s="73">
        <v>46260.354594907411</v>
      </c>
      <c r="BF24" s="73">
        <v>0</v>
      </c>
      <c r="BG24" s="73">
        <v>46261.337546296294</v>
      </c>
      <c r="BH24" s="73">
        <v>46262.013101851851</v>
      </c>
      <c r="BI24" s="73">
        <v>0</v>
      </c>
      <c r="BJ24" s="73">
        <v>46262.982476851852</v>
      </c>
      <c r="BK24" s="73">
        <v>46263.353449074071</v>
      </c>
      <c r="BL24" s="89">
        <v>1</v>
      </c>
      <c r="BM24" s="85">
        <v>46233.342129629629</v>
      </c>
      <c r="BN24" s="73">
        <v>1</v>
      </c>
      <c r="BO24" s="73">
        <v>0.34722222222222227</v>
      </c>
      <c r="BP24" s="73">
        <v>0.97916666666666663</v>
      </c>
      <c r="BQ24" s="7">
        <f t="shared" si="27"/>
        <v>31</v>
      </c>
      <c r="BR24" s="54">
        <v>4</v>
      </c>
      <c r="BS24" s="33">
        <f t="shared" si="26"/>
        <v>31</v>
      </c>
      <c r="BT24" s="34">
        <f t="shared" si="15"/>
        <v>0</v>
      </c>
      <c r="BU24" s="34">
        <f t="shared" si="16"/>
        <v>0</v>
      </c>
      <c r="BV24" s="34">
        <f t="shared" si="17"/>
        <v>0</v>
      </c>
      <c r="BW24" s="34">
        <f t="shared" si="18"/>
        <v>0</v>
      </c>
      <c r="BX24" s="34">
        <f t="shared" si="19"/>
        <v>0</v>
      </c>
      <c r="BY24" s="34">
        <f t="shared" si="20"/>
        <v>0</v>
      </c>
      <c r="BZ24" s="34">
        <f t="shared" si="21"/>
        <v>0</v>
      </c>
      <c r="CA24" s="34">
        <f t="shared" si="22"/>
        <v>0</v>
      </c>
      <c r="CB24" s="34">
        <f t="shared" si="23"/>
        <v>0</v>
      </c>
      <c r="CC24" s="34">
        <f t="shared" si="24"/>
        <v>0</v>
      </c>
      <c r="CD24" s="34">
        <f t="shared" si="25"/>
        <v>0</v>
      </c>
      <c r="CE24" s="35"/>
      <c r="CH24" s="32">
        <v>0</v>
      </c>
      <c r="CI24" s="29">
        <v>0</v>
      </c>
      <c r="CJ24" s="29">
        <v>4</v>
      </c>
      <c r="CK24" s="29">
        <v>0</v>
      </c>
      <c r="CL24" s="29">
        <v>10</v>
      </c>
      <c r="CM24" s="29">
        <v>2</v>
      </c>
      <c r="CN24" s="29">
        <v>0</v>
      </c>
      <c r="CO24" s="29">
        <v>0</v>
      </c>
      <c r="CP24" s="29">
        <v>0</v>
      </c>
      <c r="CQ24" s="29">
        <v>0</v>
      </c>
      <c r="CR24" s="38">
        <f t="shared" si="13"/>
        <v>16</v>
      </c>
    </row>
    <row r="25" spans="1:96" s="20" customFormat="1" ht="24" customHeight="1" x14ac:dyDescent="0.25">
      <c r="A25" s="29">
        <v>20</v>
      </c>
      <c r="B25" s="37" t="s">
        <v>77</v>
      </c>
      <c r="C25" s="31" t="s">
        <v>78</v>
      </c>
      <c r="D25" s="104">
        <v>45985</v>
      </c>
      <c r="E25" s="73">
        <v>46235.367893518516</v>
      </c>
      <c r="F25" s="73">
        <v>1</v>
      </c>
      <c r="G25" s="73">
        <v>46238.447916666664</v>
      </c>
      <c r="H25" s="73">
        <v>1</v>
      </c>
      <c r="I25" s="73">
        <v>46238.447916666664</v>
      </c>
      <c r="J25" s="73">
        <v>46237.720381944448</v>
      </c>
      <c r="K25" s="73">
        <v>46238.447916666664</v>
      </c>
      <c r="L25" s="73">
        <v>46238.732060185182</v>
      </c>
      <c r="M25" s="73">
        <v>46239.37394675926</v>
      </c>
      <c r="N25" s="73">
        <v>46239.727465277778</v>
      </c>
      <c r="O25" s="73">
        <v>46240.371041666665</v>
      </c>
      <c r="P25" s="73">
        <v>1</v>
      </c>
      <c r="Q25" s="80" t="s">
        <v>51</v>
      </c>
      <c r="R25" s="80" t="s">
        <v>51</v>
      </c>
      <c r="S25" s="73">
        <v>46242.382071759261</v>
      </c>
      <c r="T25" s="73">
        <v>1</v>
      </c>
      <c r="U25" s="73">
        <v>46243.384502314817</v>
      </c>
      <c r="V25" s="73">
        <v>46243.717824074076</v>
      </c>
      <c r="W25" s="73">
        <v>46244.380648148152</v>
      </c>
      <c r="X25" s="73">
        <v>46244.708738425928</v>
      </c>
      <c r="Y25" s="73">
        <v>1</v>
      </c>
      <c r="Z25" s="73">
        <v>1</v>
      </c>
      <c r="AA25" s="79" t="s">
        <v>84</v>
      </c>
      <c r="AB25" s="79" t="s">
        <v>84</v>
      </c>
      <c r="AC25" s="73">
        <v>46247.386921296296</v>
      </c>
      <c r="AD25" s="73">
        <v>46247.708437499998</v>
      </c>
      <c r="AE25" s="80" t="s">
        <v>51</v>
      </c>
      <c r="AF25" s="80" t="s">
        <v>51</v>
      </c>
      <c r="AG25" s="73">
        <v>46249.408576388887</v>
      </c>
      <c r="AH25" s="73">
        <v>0</v>
      </c>
      <c r="AI25" s="72"/>
      <c r="AJ25" s="29">
        <v>20</v>
      </c>
      <c r="AK25" s="73">
        <v>46250.379745370374</v>
      </c>
      <c r="AL25" s="73">
        <v>1</v>
      </c>
      <c r="AM25" s="73">
        <v>46251.381956018522</v>
      </c>
      <c r="AN25" s="73">
        <v>1</v>
      </c>
      <c r="AO25" s="73">
        <v>46252.377337962964</v>
      </c>
      <c r="AP25" s="73">
        <v>1</v>
      </c>
      <c r="AQ25" s="73">
        <v>46253.392268518517</v>
      </c>
      <c r="AR25" s="73">
        <v>46253.743888888886</v>
      </c>
      <c r="AS25" s="73">
        <v>46254.377847222226</v>
      </c>
      <c r="AT25" s="73">
        <v>46254.71775462963</v>
      </c>
      <c r="AU25" s="80" t="s">
        <v>51</v>
      </c>
      <c r="AV25" s="80" t="s">
        <v>51</v>
      </c>
      <c r="AW25" s="73">
        <v>0</v>
      </c>
      <c r="AX25" s="73">
        <v>1</v>
      </c>
      <c r="AY25" s="73">
        <v>46257.374560185184</v>
      </c>
      <c r="AZ25" s="73">
        <v>46257.713402777779</v>
      </c>
      <c r="BA25" s="73">
        <v>1</v>
      </c>
      <c r="BB25" s="73">
        <v>1</v>
      </c>
      <c r="BC25" s="73">
        <v>46259.384664351855</v>
      </c>
      <c r="BD25" s="73">
        <v>46259.708634259259</v>
      </c>
      <c r="BE25" s="73">
        <v>46260.379560185182</v>
      </c>
      <c r="BF25" s="73">
        <v>0</v>
      </c>
      <c r="BG25" s="73">
        <v>46261.379560185182</v>
      </c>
      <c r="BH25" s="73">
        <v>46261.714803240742</v>
      </c>
      <c r="BI25" s="80" t="s">
        <v>51</v>
      </c>
      <c r="BJ25" s="80" t="s">
        <v>51</v>
      </c>
      <c r="BK25" s="79" t="s">
        <v>84</v>
      </c>
      <c r="BL25" s="79" t="s">
        <v>84</v>
      </c>
      <c r="BM25" s="63" t="s">
        <v>59</v>
      </c>
      <c r="BN25" s="63" t="s">
        <v>59</v>
      </c>
      <c r="BO25" s="63" t="s">
        <v>59</v>
      </c>
      <c r="BP25" s="63" t="s">
        <v>59</v>
      </c>
      <c r="BQ25" s="7">
        <f>BS25+BT25+BU25+BZ25+BW25+BY25+BX25</f>
        <v>29</v>
      </c>
      <c r="BR25" s="54">
        <v>0</v>
      </c>
      <c r="BS25" s="33">
        <f t="shared" si="26"/>
        <v>23</v>
      </c>
      <c r="BT25" s="34">
        <f t="shared" si="15"/>
        <v>4</v>
      </c>
      <c r="BU25" s="34">
        <f t="shared" si="16"/>
        <v>0</v>
      </c>
      <c r="BV25" s="34">
        <f t="shared" si="17"/>
        <v>0</v>
      </c>
      <c r="BW25" s="34">
        <f t="shared" si="18"/>
        <v>0</v>
      </c>
      <c r="BX25" s="34">
        <f t="shared" si="19"/>
        <v>0</v>
      </c>
      <c r="BY25" s="34">
        <f t="shared" si="20"/>
        <v>0</v>
      </c>
      <c r="BZ25" s="106">
        <f t="shared" si="21"/>
        <v>2</v>
      </c>
      <c r="CA25" s="34">
        <f t="shared" si="22"/>
        <v>0</v>
      </c>
      <c r="CB25" s="107">
        <v>2</v>
      </c>
      <c r="CC25" s="34">
        <f t="shared" si="24"/>
        <v>0</v>
      </c>
      <c r="CD25" s="34">
        <f t="shared" si="25"/>
        <v>0</v>
      </c>
      <c r="CE25" s="70"/>
      <c r="CH25" s="55">
        <v>1</v>
      </c>
      <c r="CI25" s="56">
        <v>0</v>
      </c>
      <c r="CJ25" s="56">
        <v>0</v>
      </c>
      <c r="CK25" s="56">
        <v>0</v>
      </c>
      <c r="CL25" s="56">
        <v>5</v>
      </c>
      <c r="CM25" s="56">
        <v>2</v>
      </c>
      <c r="CN25" s="56">
        <v>0</v>
      </c>
      <c r="CO25" s="56">
        <v>0</v>
      </c>
      <c r="CP25" s="56">
        <v>1</v>
      </c>
      <c r="CQ25" s="56">
        <v>0</v>
      </c>
      <c r="CR25" s="38">
        <f t="shared" si="13"/>
        <v>9</v>
      </c>
    </row>
    <row r="26" spans="1:96" s="27" customFormat="1" ht="24" customHeight="1" x14ac:dyDescent="0.25">
      <c r="A26" s="29">
        <v>21</v>
      </c>
      <c r="B26" s="37" t="s">
        <v>81</v>
      </c>
      <c r="C26" s="31" t="s">
        <v>82</v>
      </c>
      <c r="D26" s="104">
        <v>45999</v>
      </c>
      <c r="E26" s="73">
        <v>46235.353414351855</v>
      </c>
      <c r="F26" s="73">
        <v>1</v>
      </c>
      <c r="G26" s="73">
        <v>46236.355104166665</v>
      </c>
      <c r="H26" s="73">
        <v>1</v>
      </c>
      <c r="I26" s="73">
        <v>46237.353298611109</v>
      </c>
      <c r="J26" s="73">
        <v>1</v>
      </c>
      <c r="K26" s="73">
        <v>46238.354409722226</v>
      </c>
      <c r="L26" s="73">
        <v>1</v>
      </c>
      <c r="M26" s="73">
        <v>46239.353888888887</v>
      </c>
      <c r="N26" s="73">
        <v>1</v>
      </c>
      <c r="O26" s="73">
        <v>46240.352152777778</v>
      </c>
      <c r="P26" s="73">
        <v>1</v>
      </c>
      <c r="Q26" s="80" t="s">
        <v>51</v>
      </c>
      <c r="R26" s="80" t="s">
        <v>51</v>
      </c>
      <c r="S26" s="79" t="s">
        <v>84</v>
      </c>
      <c r="T26" s="79" t="s">
        <v>84</v>
      </c>
      <c r="U26" s="73">
        <v>46243.35297453704</v>
      </c>
      <c r="V26" s="73">
        <v>1</v>
      </c>
      <c r="W26" s="73">
        <v>46244.354131944441</v>
      </c>
      <c r="X26" s="73">
        <v>1</v>
      </c>
      <c r="Y26" s="73">
        <v>46245.353900462964</v>
      </c>
      <c r="Z26" s="73">
        <v>1</v>
      </c>
      <c r="AA26" s="73">
        <v>46246.352349537039</v>
      </c>
      <c r="AB26" s="73">
        <v>1</v>
      </c>
      <c r="AC26" s="73">
        <v>46247.351863425924</v>
      </c>
      <c r="AD26" s="73">
        <v>1</v>
      </c>
      <c r="AE26" s="73">
        <v>46248.580381944441</v>
      </c>
      <c r="AF26" s="73">
        <v>1</v>
      </c>
      <c r="AG26" s="73">
        <v>46249.353587962964</v>
      </c>
      <c r="AH26" s="73">
        <v>1</v>
      </c>
      <c r="AI26" s="72"/>
      <c r="AJ26" s="29">
        <v>21</v>
      </c>
      <c r="AK26" s="73">
        <v>46250.353796296295</v>
      </c>
      <c r="AL26" s="73">
        <v>1</v>
      </c>
      <c r="AM26" s="73">
        <v>46251.354432870372</v>
      </c>
      <c r="AN26" s="73">
        <v>1</v>
      </c>
      <c r="AO26" s="73">
        <v>46252.353229166663</v>
      </c>
      <c r="AP26" s="73">
        <v>1</v>
      </c>
      <c r="AQ26" s="73">
        <v>46253.353402777779</v>
      </c>
      <c r="AR26" s="73">
        <v>1</v>
      </c>
      <c r="AS26" s="73">
        <v>46254.352951388886</v>
      </c>
      <c r="AT26" s="73">
        <v>1</v>
      </c>
      <c r="AU26" s="80" t="s">
        <v>51</v>
      </c>
      <c r="AV26" s="80" t="s">
        <v>51</v>
      </c>
      <c r="AW26" s="73">
        <v>46256.351099537038</v>
      </c>
      <c r="AX26" s="73">
        <v>1</v>
      </c>
      <c r="AY26" s="73">
        <v>46257.351921296293</v>
      </c>
      <c r="AZ26" s="73">
        <v>1</v>
      </c>
      <c r="BA26" s="73">
        <v>46258.372488425928</v>
      </c>
      <c r="BB26" s="73">
        <v>1</v>
      </c>
      <c r="BC26" s="73">
        <v>46259.348564814813</v>
      </c>
      <c r="BD26" s="73">
        <v>1</v>
      </c>
      <c r="BE26" s="73">
        <v>46260.342962962961</v>
      </c>
      <c r="BF26" s="73">
        <v>0</v>
      </c>
      <c r="BG26" s="73">
        <v>46261.353148148148</v>
      </c>
      <c r="BH26" s="73">
        <v>0</v>
      </c>
      <c r="BI26" s="101" t="s">
        <v>53</v>
      </c>
      <c r="BJ26" s="101" t="s">
        <v>53</v>
      </c>
      <c r="BK26" s="73">
        <v>46263.352511574078</v>
      </c>
      <c r="BL26" s="89">
        <v>0.65416666666666667</v>
      </c>
      <c r="BM26" s="85">
        <v>46233.35434027778</v>
      </c>
      <c r="BN26" s="73">
        <v>0</v>
      </c>
      <c r="BO26" s="73">
        <v>0.35555555555555557</v>
      </c>
      <c r="BP26" s="73">
        <v>1</v>
      </c>
      <c r="BQ26" s="7">
        <f>BS26+BT26+BU26+BZ26+BW26+BY26+BX26+BV26</f>
        <v>31</v>
      </c>
      <c r="BR26" s="54">
        <v>1</v>
      </c>
      <c r="BS26" s="33">
        <f t="shared" si="26"/>
        <v>27</v>
      </c>
      <c r="BT26" s="34">
        <f t="shared" si="15"/>
        <v>2</v>
      </c>
      <c r="BU26" s="34">
        <f t="shared" si="16"/>
        <v>0</v>
      </c>
      <c r="BV26" s="109">
        <f t="shared" si="17"/>
        <v>1</v>
      </c>
      <c r="BW26" s="34">
        <f t="shared" si="18"/>
        <v>0</v>
      </c>
      <c r="BX26" s="34">
        <f t="shared" si="19"/>
        <v>0</v>
      </c>
      <c r="BY26" s="34">
        <f t="shared" si="20"/>
        <v>0</v>
      </c>
      <c r="BZ26" s="106">
        <f t="shared" si="21"/>
        <v>1</v>
      </c>
      <c r="CA26" s="34">
        <f t="shared" si="22"/>
        <v>0</v>
      </c>
      <c r="CB26" s="34">
        <f t="shared" si="23"/>
        <v>0</v>
      </c>
      <c r="CC26" s="34">
        <f t="shared" si="24"/>
        <v>0</v>
      </c>
      <c r="CD26" s="34">
        <f t="shared" si="25"/>
        <v>0</v>
      </c>
      <c r="CE26" s="35"/>
      <c r="CH26" s="55">
        <v>0</v>
      </c>
      <c r="CI26" s="56">
        <v>0</v>
      </c>
      <c r="CJ26" s="56">
        <v>0</v>
      </c>
      <c r="CK26" s="56">
        <v>0</v>
      </c>
      <c r="CL26" s="56">
        <v>0</v>
      </c>
      <c r="CM26" s="56">
        <v>2</v>
      </c>
      <c r="CN26" s="56">
        <v>0</v>
      </c>
      <c r="CO26" s="56">
        <v>1</v>
      </c>
      <c r="CP26" s="56">
        <v>0</v>
      </c>
      <c r="CQ26" s="56">
        <v>0</v>
      </c>
      <c r="CR26" s="38">
        <f t="shared" si="13"/>
        <v>3</v>
      </c>
    </row>
    <row r="27" spans="1:96" s="27" customFormat="1" ht="24" customHeight="1" x14ac:dyDescent="0.25">
      <c r="A27" s="29">
        <v>22</v>
      </c>
      <c r="B27" s="37" t="s">
        <v>85</v>
      </c>
      <c r="C27" s="31" t="s">
        <v>86</v>
      </c>
      <c r="D27" s="104">
        <v>46157</v>
      </c>
      <c r="E27" s="73">
        <v>1</v>
      </c>
      <c r="F27" s="73">
        <v>1</v>
      </c>
      <c r="G27" s="73">
        <v>0</v>
      </c>
      <c r="H27" s="73">
        <v>46236.962002314816</v>
      </c>
      <c r="I27" s="80" t="s">
        <v>51</v>
      </c>
      <c r="J27" s="80" t="s">
        <v>51</v>
      </c>
      <c r="K27" s="73">
        <v>0.64861111111111114</v>
      </c>
      <c r="L27" s="73">
        <v>1</v>
      </c>
      <c r="M27" s="73">
        <v>0.3520833333333333</v>
      </c>
      <c r="N27" s="73">
        <v>0.65</v>
      </c>
      <c r="O27" s="73">
        <v>46240.352222222224</v>
      </c>
      <c r="P27" s="73">
        <v>1</v>
      </c>
      <c r="Q27" s="73">
        <v>46241.585462962961</v>
      </c>
      <c r="R27" s="73">
        <v>46241.956585648149</v>
      </c>
      <c r="S27" s="73">
        <v>0.64861111111111114</v>
      </c>
      <c r="T27" s="73">
        <v>46242.967592592591</v>
      </c>
      <c r="U27" s="73">
        <v>1</v>
      </c>
      <c r="V27" s="73">
        <v>46243.949571759258</v>
      </c>
      <c r="W27" s="73">
        <v>1</v>
      </c>
      <c r="X27" s="73">
        <v>46244.956041666665</v>
      </c>
      <c r="Y27" s="73">
        <v>1</v>
      </c>
      <c r="Z27" s="73">
        <v>46245.950821759259</v>
      </c>
      <c r="AA27" s="73">
        <v>1</v>
      </c>
      <c r="AB27" s="73">
        <v>46246.951643518521</v>
      </c>
      <c r="AC27" s="73">
        <v>46248.64203703704</v>
      </c>
      <c r="AD27" s="73">
        <v>1</v>
      </c>
      <c r="AE27" s="73">
        <v>46248.558703703704</v>
      </c>
      <c r="AF27" s="73">
        <v>1</v>
      </c>
      <c r="AG27" s="73">
        <v>1</v>
      </c>
      <c r="AH27" s="73">
        <v>46249.972719907404</v>
      </c>
      <c r="AI27" s="72"/>
      <c r="AJ27" s="29">
        <v>22</v>
      </c>
      <c r="AK27" s="73">
        <v>1</v>
      </c>
      <c r="AL27" s="73">
        <v>1</v>
      </c>
      <c r="AM27" s="77">
        <v>1</v>
      </c>
      <c r="AN27" s="73">
        <v>46251.951967592591</v>
      </c>
      <c r="AO27" s="79" t="s">
        <v>84</v>
      </c>
      <c r="AP27" s="79" t="s">
        <v>84</v>
      </c>
      <c r="AQ27" s="73">
        <v>1</v>
      </c>
      <c r="AR27" s="73">
        <v>46253.952743055554</v>
      </c>
      <c r="AS27" s="73">
        <v>1</v>
      </c>
      <c r="AT27" s="73">
        <v>1</v>
      </c>
      <c r="AU27" s="73">
        <v>46255.580972222226</v>
      </c>
      <c r="AV27" s="73">
        <v>46255.948275462964</v>
      </c>
      <c r="AW27" s="73">
        <v>0</v>
      </c>
      <c r="AX27" s="73">
        <v>46256.971979166665</v>
      </c>
      <c r="AY27" s="73">
        <v>0</v>
      </c>
      <c r="AZ27" s="73">
        <v>46257.95034722222</v>
      </c>
      <c r="BA27" s="73">
        <v>1</v>
      </c>
      <c r="BB27" s="73">
        <v>46258.954201388886</v>
      </c>
      <c r="BC27" s="73">
        <v>46259.352511574078</v>
      </c>
      <c r="BD27" s="73">
        <v>1</v>
      </c>
      <c r="BE27" s="73">
        <v>46260.351793981485</v>
      </c>
      <c r="BF27" s="73">
        <v>46260.935428240744</v>
      </c>
      <c r="BG27" s="73">
        <v>0</v>
      </c>
      <c r="BH27" s="73">
        <v>46261.977164351854</v>
      </c>
      <c r="BI27" s="73">
        <v>46262.573159722226</v>
      </c>
      <c r="BJ27" s="73">
        <v>0</v>
      </c>
      <c r="BK27" s="73">
        <v>0</v>
      </c>
      <c r="BL27" s="89">
        <v>46232.939606481479</v>
      </c>
      <c r="BM27" s="85">
        <v>0.64166666666666672</v>
      </c>
      <c r="BN27" s="73">
        <v>0.93055555555555547</v>
      </c>
      <c r="BO27" s="73">
        <v>0</v>
      </c>
      <c r="BP27" s="73">
        <v>0.95208333333333339</v>
      </c>
      <c r="BQ27" s="7">
        <f>BS27+BT27+BU27+BZ27+BW27+BY27+BX27</f>
        <v>31</v>
      </c>
      <c r="BR27" s="54">
        <v>3</v>
      </c>
      <c r="BS27" s="33">
        <f t="shared" si="26"/>
        <v>29</v>
      </c>
      <c r="BT27" s="34">
        <f t="shared" si="15"/>
        <v>1</v>
      </c>
      <c r="BU27" s="34">
        <f t="shared" si="16"/>
        <v>0</v>
      </c>
      <c r="BV27" s="34">
        <f t="shared" si="17"/>
        <v>0</v>
      </c>
      <c r="BW27" s="34">
        <f t="shared" si="18"/>
        <v>0</v>
      </c>
      <c r="BX27" s="34">
        <f t="shared" si="19"/>
        <v>0</v>
      </c>
      <c r="BY27" s="34">
        <f t="shared" si="20"/>
        <v>0</v>
      </c>
      <c r="BZ27" s="106">
        <f t="shared" si="21"/>
        <v>1</v>
      </c>
      <c r="CA27" s="34">
        <f t="shared" si="22"/>
        <v>0</v>
      </c>
      <c r="CB27" s="34">
        <f t="shared" si="23"/>
        <v>0</v>
      </c>
      <c r="CC27" s="34">
        <f t="shared" si="24"/>
        <v>0</v>
      </c>
      <c r="CD27" s="34">
        <f t="shared" si="25"/>
        <v>0</v>
      </c>
      <c r="CE27" s="35"/>
      <c r="CH27" s="55">
        <v>0</v>
      </c>
      <c r="CI27" s="56">
        <v>0</v>
      </c>
      <c r="CJ27" s="56">
        <v>0</v>
      </c>
      <c r="CK27" s="56">
        <v>0</v>
      </c>
      <c r="CL27" s="56">
        <v>1</v>
      </c>
      <c r="CM27" s="56">
        <v>1</v>
      </c>
      <c r="CN27" s="56">
        <v>0</v>
      </c>
      <c r="CO27" s="56">
        <v>0</v>
      </c>
      <c r="CP27" s="56">
        <v>0</v>
      </c>
      <c r="CQ27" s="56">
        <v>0</v>
      </c>
      <c r="CR27" s="38">
        <f>SUM(CH27:CQ27)</f>
        <v>2</v>
      </c>
    </row>
    <row r="28" spans="1:96" s="27" customFormat="1" ht="24" customHeight="1" x14ac:dyDescent="0.25">
      <c r="A28" s="29">
        <v>23</v>
      </c>
      <c r="B28" s="37" t="s">
        <v>90</v>
      </c>
      <c r="C28" s="31" t="s">
        <v>91</v>
      </c>
      <c r="D28" s="104">
        <v>46207</v>
      </c>
      <c r="E28" s="73">
        <v>46235.352627314816</v>
      </c>
      <c r="F28" s="73">
        <v>1</v>
      </c>
      <c r="G28" s="73">
        <v>46236.356064814812</v>
      </c>
      <c r="H28" s="73">
        <v>1</v>
      </c>
      <c r="I28" s="73">
        <v>46237.353321759256</v>
      </c>
      <c r="J28" s="73">
        <v>1</v>
      </c>
      <c r="K28" s="73">
        <v>46238.357164351852</v>
      </c>
      <c r="L28" s="73">
        <v>1</v>
      </c>
      <c r="M28" s="73">
        <v>46239.356423611112</v>
      </c>
      <c r="N28" s="73">
        <v>1</v>
      </c>
      <c r="O28" s="73">
        <v>1</v>
      </c>
      <c r="P28" s="73">
        <v>46240.975601851853</v>
      </c>
      <c r="Q28" s="80" t="s">
        <v>51</v>
      </c>
      <c r="R28" s="80" t="s">
        <v>51</v>
      </c>
      <c r="S28" s="73">
        <v>1</v>
      </c>
      <c r="T28" s="73">
        <v>1</v>
      </c>
      <c r="U28" s="73">
        <v>46243.354560185187</v>
      </c>
      <c r="V28" s="73">
        <v>1</v>
      </c>
      <c r="W28" s="73">
        <v>46244.355000000003</v>
      </c>
      <c r="X28" s="73">
        <v>1</v>
      </c>
      <c r="Y28" s="73">
        <v>46245.357465277775</v>
      </c>
      <c r="Z28" s="73">
        <v>1</v>
      </c>
      <c r="AA28" s="73">
        <v>46246.352314814816</v>
      </c>
      <c r="AB28" s="73">
        <v>1</v>
      </c>
      <c r="AC28" s="73">
        <v>46247.352349537039</v>
      </c>
      <c r="AD28" s="73">
        <v>1</v>
      </c>
      <c r="AE28" s="73">
        <v>46248.581296296295</v>
      </c>
      <c r="AF28" s="73">
        <v>46248.952175925922</v>
      </c>
      <c r="AG28" s="73">
        <v>1</v>
      </c>
      <c r="AH28" s="73">
        <v>46249.972800925927</v>
      </c>
      <c r="AI28" s="72"/>
      <c r="AJ28" s="29">
        <v>23</v>
      </c>
      <c r="AK28" s="73">
        <v>46250.353159722225</v>
      </c>
      <c r="AL28" s="73">
        <v>46262.94935185185</v>
      </c>
      <c r="AM28" s="73">
        <v>46251.353912037041</v>
      </c>
      <c r="AN28" s="73">
        <v>1</v>
      </c>
      <c r="AO28" s="73">
        <v>46252.355497685188</v>
      </c>
      <c r="AP28" s="73">
        <v>1</v>
      </c>
      <c r="AQ28" s="73">
        <v>46253.353506944448</v>
      </c>
      <c r="AR28" s="73">
        <v>1</v>
      </c>
      <c r="AS28" s="79" t="s">
        <v>84</v>
      </c>
      <c r="AT28" s="79" t="s">
        <v>84</v>
      </c>
      <c r="AU28" s="80" t="s">
        <v>51</v>
      </c>
      <c r="AV28" s="80" t="s">
        <v>51</v>
      </c>
      <c r="AW28" s="73">
        <v>0</v>
      </c>
      <c r="AX28" s="73">
        <v>46256.971851851849</v>
      </c>
      <c r="AY28" s="73">
        <v>0</v>
      </c>
      <c r="AZ28" s="73">
        <v>46257.950416666667</v>
      </c>
      <c r="BA28" s="73">
        <v>46258.346446759257</v>
      </c>
      <c r="BB28" s="73">
        <v>46258.954270833332</v>
      </c>
      <c r="BC28" s="73">
        <v>0</v>
      </c>
      <c r="BD28" s="73">
        <v>46259.95212962963</v>
      </c>
      <c r="BE28" s="73">
        <v>0</v>
      </c>
      <c r="BF28" s="73">
        <v>0</v>
      </c>
      <c r="BG28" s="73">
        <v>46261.357233796298</v>
      </c>
      <c r="BH28" s="73">
        <v>0</v>
      </c>
      <c r="BI28" s="73">
        <v>0</v>
      </c>
      <c r="BJ28" s="73">
        <v>46262.94935185185</v>
      </c>
      <c r="BK28" s="73">
        <v>46263.354317129626</v>
      </c>
      <c r="BL28" s="89">
        <v>1</v>
      </c>
      <c r="BM28" s="85">
        <v>46233.351504629631</v>
      </c>
      <c r="BN28" s="73">
        <v>0</v>
      </c>
      <c r="BO28" s="73">
        <v>0.35000000000000003</v>
      </c>
      <c r="BP28" s="73">
        <v>0</v>
      </c>
      <c r="BQ28" s="7">
        <f t="shared" si="27"/>
        <v>31</v>
      </c>
      <c r="BR28" s="54">
        <v>2</v>
      </c>
      <c r="BS28" s="33">
        <f t="shared" si="26"/>
        <v>28</v>
      </c>
      <c r="BT28" s="34">
        <f t="shared" si="15"/>
        <v>2</v>
      </c>
      <c r="BU28" s="34">
        <f t="shared" si="16"/>
        <v>0</v>
      </c>
      <c r="BV28" s="34">
        <f t="shared" si="17"/>
        <v>0</v>
      </c>
      <c r="BW28" s="34">
        <f t="shared" si="18"/>
        <v>0</v>
      </c>
      <c r="BX28" s="34">
        <f t="shared" si="19"/>
        <v>0</v>
      </c>
      <c r="BY28" s="34">
        <f t="shared" si="20"/>
        <v>0</v>
      </c>
      <c r="BZ28" s="106">
        <f t="shared" si="21"/>
        <v>1</v>
      </c>
      <c r="CA28" s="34">
        <f t="shared" si="22"/>
        <v>0</v>
      </c>
      <c r="CB28" s="34">
        <f t="shared" si="23"/>
        <v>0</v>
      </c>
      <c r="CC28" s="34">
        <f t="shared" si="24"/>
        <v>0</v>
      </c>
      <c r="CD28" s="34">
        <f t="shared" si="25"/>
        <v>0</v>
      </c>
      <c r="CE28" s="35"/>
      <c r="CH28" s="55">
        <v>0</v>
      </c>
      <c r="CI28" s="55">
        <v>0</v>
      </c>
      <c r="CJ28" s="55">
        <v>0</v>
      </c>
      <c r="CK28" s="55">
        <v>0</v>
      </c>
      <c r="CL28" s="55">
        <v>0</v>
      </c>
      <c r="CM28" s="55">
        <v>1</v>
      </c>
      <c r="CN28" s="55">
        <v>0</v>
      </c>
      <c r="CO28" s="55">
        <v>0</v>
      </c>
      <c r="CP28" s="55">
        <v>0</v>
      </c>
      <c r="CQ28" s="55">
        <v>0</v>
      </c>
      <c r="CR28" s="38">
        <f>SUM(CH28:CQ28)</f>
        <v>1</v>
      </c>
    </row>
    <row r="29" spans="1:96" s="27" customFormat="1" ht="24" customHeight="1" x14ac:dyDescent="0.25">
      <c r="A29" s="29">
        <v>24</v>
      </c>
      <c r="B29" s="37" t="s">
        <v>92</v>
      </c>
      <c r="C29" s="31" t="s">
        <v>93</v>
      </c>
      <c r="D29" s="104">
        <v>46211</v>
      </c>
      <c r="E29" s="73">
        <v>46235.326562499999</v>
      </c>
      <c r="F29" s="73">
        <v>46236.001215277778</v>
      </c>
      <c r="G29" s="73">
        <v>46236.336111111108</v>
      </c>
      <c r="H29" s="73">
        <v>46236.992152777777</v>
      </c>
      <c r="I29" s="73">
        <v>46237.342766203707</v>
      </c>
      <c r="J29" s="73">
        <v>46237.977141203701</v>
      </c>
      <c r="K29" s="73">
        <v>46238.343645833331</v>
      </c>
      <c r="L29" s="73">
        <v>46238.946192129632</v>
      </c>
      <c r="M29" s="73">
        <v>46239.347939814812</v>
      </c>
      <c r="N29" s="73">
        <v>46239.975497685184</v>
      </c>
      <c r="O29" s="73">
        <v>46240.340995370374</v>
      </c>
      <c r="P29" s="73">
        <v>46240.976053240738</v>
      </c>
      <c r="Q29" s="80" t="s">
        <v>51</v>
      </c>
      <c r="R29" s="80" t="s">
        <v>51</v>
      </c>
      <c r="S29" s="73">
        <v>46242.346805555557</v>
      </c>
      <c r="T29" s="73">
        <v>46243.003680555557</v>
      </c>
      <c r="U29" s="73">
        <v>46243.347280092596</v>
      </c>
      <c r="V29" s="73">
        <v>46243.985162037039</v>
      </c>
      <c r="W29" s="73">
        <v>46244.347268518519</v>
      </c>
      <c r="X29" s="73">
        <v>46244.970497685186</v>
      </c>
      <c r="Y29" s="73">
        <v>46245.338530092595</v>
      </c>
      <c r="Z29" s="73">
        <v>46245.963946759257</v>
      </c>
      <c r="AA29" s="73">
        <v>46246.347442129627</v>
      </c>
      <c r="AB29" s="73">
        <v>46246.973090277781</v>
      </c>
      <c r="AC29" s="73">
        <v>46247.346712962964</v>
      </c>
      <c r="AD29" s="73">
        <v>46247.989027777781</v>
      </c>
      <c r="AE29" s="80" t="s">
        <v>51</v>
      </c>
      <c r="AF29" s="80" t="s">
        <v>51</v>
      </c>
      <c r="AG29" s="73">
        <v>46249.329895833333</v>
      </c>
      <c r="AH29" s="73">
        <v>46250.007719907408</v>
      </c>
      <c r="AI29" s="72"/>
      <c r="AJ29" s="29">
        <v>24</v>
      </c>
      <c r="AK29" s="73">
        <v>46250.34337962963</v>
      </c>
      <c r="AL29" s="73">
        <v>46262.969687500001</v>
      </c>
      <c r="AM29" s="73">
        <v>46251.335219907407</v>
      </c>
      <c r="AN29" s="73">
        <v>46251.98810185185</v>
      </c>
      <c r="AO29" s="73">
        <v>46252.34269675926</v>
      </c>
      <c r="AP29" s="73">
        <v>46252.945902777778</v>
      </c>
      <c r="AQ29" s="73">
        <v>46253.340844907405</v>
      </c>
      <c r="AR29" s="73">
        <v>46253.970405092594</v>
      </c>
      <c r="AS29" s="73">
        <v>46254.351967592593</v>
      </c>
      <c r="AT29" s="73">
        <v>46254.958449074074</v>
      </c>
      <c r="AU29" s="73">
        <v>46256.349907407406</v>
      </c>
      <c r="AV29" s="73">
        <v>46255.777997685182</v>
      </c>
      <c r="AW29" s="73">
        <v>46256.343229166669</v>
      </c>
      <c r="AX29" s="73">
        <v>1</v>
      </c>
      <c r="AY29" s="73">
        <v>46257.346203703702</v>
      </c>
      <c r="AZ29" s="73">
        <v>46257.940717592595</v>
      </c>
      <c r="BA29" s="73">
        <v>46258.353379629632</v>
      </c>
      <c r="BB29" s="73">
        <v>46258.947893518518</v>
      </c>
      <c r="BC29" s="73">
        <v>46259.349675925929</v>
      </c>
      <c r="BD29" s="73">
        <v>46259.973321759258</v>
      </c>
      <c r="BE29" s="73">
        <v>46260.350162037037</v>
      </c>
      <c r="BF29" s="73">
        <v>46260.956782407404</v>
      </c>
      <c r="BG29" s="73">
        <v>46261.336550925924</v>
      </c>
      <c r="BH29" s="73">
        <v>46261.961863425924</v>
      </c>
      <c r="BI29" s="73">
        <v>0</v>
      </c>
      <c r="BJ29" s="73">
        <v>46262.969687500001</v>
      </c>
      <c r="BK29" s="73">
        <v>46263.352187500001</v>
      </c>
      <c r="BL29" s="89">
        <v>46232.9687962963</v>
      </c>
      <c r="BM29" s="88">
        <v>46233.346666666665</v>
      </c>
      <c r="BN29" s="73">
        <v>0.97222222222222221</v>
      </c>
      <c r="BO29" s="73">
        <v>0.35069444444444442</v>
      </c>
      <c r="BP29" s="73">
        <v>0.9506944444444444</v>
      </c>
      <c r="BQ29" s="7">
        <f t="shared" si="27"/>
        <v>31</v>
      </c>
      <c r="BR29" s="54">
        <v>2</v>
      </c>
      <c r="BS29" s="33">
        <f t="shared" si="26"/>
        <v>29</v>
      </c>
      <c r="BT29" s="34">
        <f t="shared" si="15"/>
        <v>2</v>
      </c>
      <c r="BU29" s="34">
        <f t="shared" si="16"/>
        <v>0</v>
      </c>
      <c r="BV29" s="34">
        <f t="shared" si="17"/>
        <v>0</v>
      </c>
      <c r="BW29" s="34">
        <f t="shared" si="18"/>
        <v>0</v>
      </c>
      <c r="BX29" s="34">
        <f t="shared" si="19"/>
        <v>0</v>
      </c>
      <c r="BY29" s="34">
        <f t="shared" si="20"/>
        <v>0</v>
      </c>
      <c r="BZ29" s="34">
        <f t="shared" si="21"/>
        <v>0</v>
      </c>
      <c r="CA29" s="34">
        <f t="shared" si="22"/>
        <v>0</v>
      </c>
      <c r="CB29" s="34">
        <f t="shared" si="23"/>
        <v>0</v>
      </c>
      <c r="CC29" s="34">
        <f t="shared" si="24"/>
        <v>0</v>
      </c>
      <c r="CD29" s="34">
        <f t="shared" si="25"/>
        <v>0</v>
      </c>
      <c r="CE29" s="35"/>
      <c r="CH29" s="55">
        <v>0</v>
      </c>
      <c r="CI29" s="55">
        <v>0</v>
      </c>
      <c r="CJ29" s="55">
        <v>0</v>
      </c>
      <c r="CK29" s="55">
        <v>0</v>
      </c>
      <c r="CL29" s="55">
        <v>0</v>
      </c>
      <c r="CM29" s="55">
        <v>0</v>
      </c>
      <c r="CN29" s="55">
        <v>0</v>
      </c>
      <c r="CO29" s="55">
        <v>0</v>
      </c>
      <c r="CP29" s="55">
        <v>0</v>
      </c>
      <c r="CQ29" s="55">
        <v>0</v>
      </c>
      <c r="CR29" s="38">
        <f>SUM(CH29:CQ29)</f>
        <v>0</v>
      </c>
    </row>
    <row r="30" spans="1:96" ht="24" customHeight="1" x14ac:dyDescent="0.25">
      <c r="A30" s="29">
        <v>25</v>
      </c>
      <c r="B30" s="37" t="s">
        <v>95</v>
      </c>
      <c r="C30" s="111" t="s">
        <v>96</v>
      </c>
      <c r="D30" s="104">
        <v>46256</v>
      </c>
      <c r="E30" s="124" t="s">
        <v>97</v>
      </c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6"/>
      <c r="AI30" s="72"/>
      <c r="AJ30" s="29">
        <v>25</v>
      </c>
      <c r="AK30" s="124" t="s">
        <v>97</v>
      </c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6"/>
      <c r="AW30" s="73">
        <v>46256.419548611113</v>
      </c>
      <c r="AX30" s="73">
        <v>46256.717002314814</v>
      </c>
      <c r="AY30" s="73">
        <v>46257.344444444447</v>
      </c>
      <c r="AZ30" s="73">
        <v>46257.729641203703</v>
      </c>
      <c r="BA30" s="73">
        <v>46258.353333333333</v>
      </c>
      <c r="BB30" s="73">
        <v>46258.711562500001</v>
      </c>
      <c r="BC30" s="73">
        <v>46259.353622685187</v>
      </c>
      <c r="BD30" s="73">
        <v>46259.771574074075</v>
      </c>
      <c r="BE30" s="73">
        <v>46260.352893518517</v>
      </c>
      <c r="BF30" s="73">
        <v>46260.724918981483</v>
      </c>
      <c r="BG30" s="73">
        <v>46261.351064814815</v>
      </c>
      <c r="BH30" s="73">
        <v>46261.723761574074</v>
      </c>
      <c r="BI30" s="99" t="s">
        <v>51</v>
      </c>
      <c r="BJ30" s="99" t="s">
        <v>51</v>
      </c>
      <c r="BK30" s="100" t="s">
        <v>52</v>
      </c>
      <c r="BL30" s="90" t="s">
        <v>52</v>
      </c>
      <c r="BM30" s="88">
        <v>46264.352685185186</v>
      </c>
      <c r="BN30" s="73">
        <v>0.74791666666666667</v>
      </c>
      <c r="BO30" s="73">
        <v>0.3527777777777778</v>
      </c>
      <c r="BP30" s="73">
        <v>0.72291666666666676</v>
      </c>
      <c r="BQ30" s="7">
        <f t="shared" si="27"/>
        <v>10</v>
      </c>
      <c r="BR30" s="54">
        <v>0</v>
      </c>
      <c r="BS30" s="33">
        <f t="shared" si="26"/>
        <v>8</v>
      </c>
      <c r="BT30" s="34">
        <f t="shared" si="15"/>
        <v>1</v>
      </c>
      <c r="BU30" s="110">
        <f t="shared" si="16"/>
        <v>1</v>
      </c>
      <c r="BV30" s="34">
        <f t="shared" si="17"/>
        <v>0</v>
      </c>
      <c r="BW30" s="34">
        <f t="shared" si="18"/>
        <v>0</v>
      </c>
      <c r="BX30" s="34">
        <f t="shared" si="19"/>
        <v>0</v>
      </c>
      <c r="BY30" s="34">
        <f t="shared" si="20"/>
        <v>0</v>
      </c>
      <c r="BZ30" s="34">
        <f t="shared" si="21"/>
        <v>0</v>
      </c>
      <c r="CA30" s="34">
        <f t="shared" si="22"/>
        <v>0</v>
      </c>
      <c r="CB30" s="34">
        <f t="shared" si="23"/>
        <v>0</v>
      </c>
      <c r="CC30" s="34">
        <f t="shared" si="24"/>
        <v>0</v>
      </c>
      <c r="CD30" s="34">
        <f t="shared" si="25"/>
        <v>0</v>
      </c>
      <c r="CE30" s="35" t="s">
        <v>97</v>
      </c>
      <c r="CF30" s="27"/>
      <c r="CG30" s="27"/>
      <c r="CH30" s="55">
        <v>1</v>
      </c>
      <c r="CI30" s="55">
        <v>0</v>
      </c>
      <c r="CJ30" s="55">
        <v>0</v>
      </c>
      <c r="CK30" s="55">
        <v>0</v>
      </c>
      <c r="CL30" s="55">
        <v>0</v>
      </c>
      <c r="CM30" s="55">
        <v>0</v>
      </c>
      <c r="CN30" s="55">
        <v>0</v>
      </c>
      <c r="CO30" s="55">
        <v>0</v>
      </c>
      <c r="CP30" s="55">
        <v>0</v>
      </c>
      <c r="CQ30" s="55">
        <v>0</v>
      </c>
      <c r="CR30" s="38">
        <f>SUM(CH30:CQ30)</f>
        <v>1</v>
      </c>
    </row>
    <row r="31" spans="1:96" x14ac:dyDescent="0.25"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53"/>
    </row>
    <row r="33" spans="1:98" x14ac:dyDescent="0.25"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91" t="s">
        <v>66</v>
      </c>
      <c r="BT33" s="92"/>
      <c r="BU33" s="18"/>
      <c r="BV33" s="18"/>
      <c r="BW33" s="19" t="s">
        <v>51</v>
      </c>
      <c r="BX33" s="20"/>
      <c r="BY33" s="93" t="s">
        <v>67</v>
      </c>
      <c r="BZ33" s="92"/>
      <c r="CA33" s="92"/>
      <c r="CB33" s="13"/>
      <c r="CC33" s="21" t="s">
        <v>57</v>
      </c>
      <c r="CF33" s="52"/>
      <c r="CG33" s="52"/>
    </row>
    <row r="34" spans="1:98" s="52" customFormat="1" ht="27.75" customHeight="1" x14ac:dyDescent="0.25">
      <c r="A34" s="48"/>
      <c r="B34" s="43"/>
      <c r="C34" s="44"/>
      <c r="D34" s="61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8"/>
      <c r="AB34" s="48"/>
      <c r="AC34" s="45"/>
      <c r="AD34" s="45"/>
      <c r="AE34" s="46"/>
      <c r="AF34" s="46"/>
      <c r="AG34" s="46"/>
      <c r="AH34" s="46"/>
      <c r="AI34" s="49"/>
      <c r="AJ34" s="48"/>
      <c r="AK34" s="47"/>
      <c r="AL34" s="47"/>
      <c r="AM34" s="47"/>
      <c r="AN34" s="47" t="s">
        <v>73</v>
      </c>
      <c r="AO34" s="47"/>
      <c r="AP34" s="47"/>
      <c r="AQ34" s="47"/>
      <c r="AR34" s="47"/>
      <c r="AS34" s="47"/>
      <c r="AT34" s="47"/>
      <c r="AU34"/>
      <c r="AV34" s="47"/>
      <c r="AW34" s="47"/>
      <c r="AX34" s="47"/>
      <c r="AY34" s="47"/>
      <c r="AZ34" s="47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50"/>
      <c r="BR34"/>
      <c r="BS34" s="91" t="s">
        <v>68</v>
      </c>
      <c r="BT34" s="92"/>
      <c r="BU34" s="18"/>
      <c r="BV34" s="18"/>
      <c r="BW34" s="19" t="s">
        <v>52</v>
      </c>
      <c r="BX34" s="20"/>
      <c r="BY34" s="94" t="s">
        <v>69</v>
      </c>
      <c r="BZ34" s="95"/>
      <c r="CA34" s="95"/>
      <c r="CB34" s="13"/>
      <c r="CC34" s="21" t="s">
        <v>58</v>
      </c>
      <c r="CD34"/>
      <c r="CE34" s="51"/>
      <c r="CF34"/>
      <c r="CG34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20"/>
      <c r="CS34"/>
      <c r="CT34"/>
    </row>
    <row r="35" spans="1:98" ht="17.25" x14ac:dyDescent="0.25">
      <c r="F35" s="13"/>
      <c r="G35" s="13"/>
      <c r="H35" s="14" t="s">
        <v>63</v>
      </c>
      <c r="I35" s="14"/>
      <c r="J35" s="14"/>
      <c r="K35" s="13"/>
      <c r="L35" s="13"/>
      <c r="M35" s="15"/>
      <c r="P35" s="16"/>
      <c r="Q35" s="14" t="s">
        <v>64</v>
      </c>
      <c r="R35" s="13"/>
      <c r="S35" s="13"/>
      <c r="T35" s="13"/>
      <c r="U35" s="13"/>
      <c r="X35" s="13"/>
      <c r="Y35" s="14" t="s">
        <v>65</v>
      </c>
      <c r="Z35" s="17"/>
      <c r="AA35" s="14"/>
      <c r="AB35" s="17"/>
      <c r="AC35" s="17"/>
      <c r="AD35" s="13"/>
      <c r="AE35" s="13"/>
      <c r="AF35" s="13"/>
      <c r="AG35" s="13"/>
      <c r="AR35" s="13"/>
      <c r="AS35" s="13"/>
      <c r="BS35" s="91" t="s">
        <v>70</v>
      </c>
      <c r="BT35" s="92"/>
      <c r="BU35" s="18"/>
      <c r="BV35" s="18"/>
      <c r="BW35" s="19" t="s">
        <v>53</v>
      </c>
      <c r="BX35" s="20"/>
      <c r="BY35" s="94" t="s">
        <v>71</v>
      </c>
      <c r="BZ35" s="95"/>
      <c r="CA35" s="95"/>
      <c r="CB35" s="13"/>
      <c r="CC35" s="21" t="s">
        <v>59</v>
      </c>
      <c r="CE35" t="s">
        <v>73</v>
      </c>
    </row>
    <row r="36" spans="1:98" ht="18.75" x14ac:dyDescent="0.25">
      <c r="F36" s="69"/>
      <c r="G36" s="13"/>
      <c r="H36" s="13"/>
      <c r="I36" s="13"/>
      <c r="J36" s="13"/>
      <c r="K36" s="13"/>
      <c r="L36" s="13"/>
      <c r="M36" s="13"/>
      <c r="P36" s="13"/>
      <c r="Q36" s="13"/>
      <c r="R36" s="13"/>
      <c r="S36" s="13"/>
      <c r="T36" s="13"/>
      <c r="U36" s="13"/>
      <c r="X36" s="13"/>
      <c r="Y36" s="13"/>
      <c r="Z36" s="13"/>
      <c r="AA36" s="69"/>
      <c r="AB36" s="69"/>
      <c r="AC36" s="13"/>
      <c r="AD36" s="13"/>
      <c r="AE36" s="13"/>
      <c r="AF36" s="13"/>
      <c r="AG36" s="13"/>
      <c r="AR36" s="13"/>
      <c r="AS36" s="13"/>
    </row>
    <row r="37" spans="1:98" ht="17.25" x14ac:dyDescent="0.25">
      <c r="F37" s="23"/>
      <c r="G37" s="13"/>
      <c r="H37" s="13"/>
      <c r="I37" s="13"/>
      <c r="J37" s="13"/>
      <c r="K37" s="13" t="s">
        <v>73</v>
      </c>
      <c r="L37" s="13"/>
      <c r="M37" s="13"/>
      <c r="P37" s="13"/>
      <c r="Q37" s="13"/>
      <c r="R37" s="13"/>
      <c r="S37" s="13"/>
      <c r="T37" s="13"/>
      <c r="U37" s="13"/>
      <c r="X37" s="13"/>
      <c r="Y37" s="13"/>
      <c r="Z37" s="13"/>
      <c r="AA37" s="13"/>
      <c r="AB37" s="13"/>
      <c r="AC37" s="13"/>
      <c r="AD37" s="20"/>
      <c r="AE37" s="20"/>
      <c r="AF37" s="20"/>
      <c r="AG37" s="20"/>
      <c r="AH37" s="20"/>
      <c r="AI37" s="20"/>
      <c r="AJ37" s="13"/>
      <c r="AK37" s="25"/>
      <c r="AL37" s="25"/>
      <c r="AM37" s="13"/>
      <c r="AN37" s="13"/>
      <c r="AO37" s="13"/>
      <c r="AP37" s="13"/>
      <c r="AQ37" s="13"/>
      <c r="AR37" s="13"/>
      <c r="AS37" s="13"/>
    </row>
    <row r="38" spans="1:98" ht="17.25" x14ac:dyDescent="0.25">
      <c r="F38" s="13"/>
      <c r="G38" s="13"/>
      <c r="H38" s="22"/>
      <c r="I38" s="23"/>
      <c r="J38" s="22"/>
      <c r="K38" s="13"/>
      <c r="L38" s="13"/>
      <c r="M38" s="24"/>
      <c r="P38" s="16"/>
      <c r="Q38" s="13"/>
      <c r="R38" s="23"/>
      <c r="S38" s="13"/>
      <c r="T38" s="13"/>
      <c r="U38" s="13"/>
      <c r="X38" s="23"/>
      <c r="Y38" s="13"/>
      <c r="Z38" s="2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</row>
    <row r="39" spans="1:98" ht="17.25" x14ac:dyDescent="0.25">
      <c r="F39" s="13"/>
      <c r="G39" s="118" t="s">
        <v>98</v>
      </c>
      <c r="H39" s="118"/>
      <c r="I39" s="118"/>
      <c r="J39" s="43"/>
      <c r="K39" s="43"/>
      <c r="L39" s="43"/>
      <c r="M39" s="43"/>
      <c r="N39" s="43"/>
      <c r="O39" s="43"/>
      <c r="P39" s="43"/>
      <c r="Q39" s="43" t="s">
        <v>26</v>
      </c>
      <c r="R39" s="43"/>
      <c r="S39" s="43"/>
      <c r="T39" s="43"/>
      <c r="U39" s="43"/>
      <c r="V39" s="43"/>
      <c r="W39" s="43"/>
      <c r="X39" s="43"/>
      <c r="Y39" s="43" t="s">
        <v>72</v>
      </c>
      <c r="Z39" s="4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</row>
    <row r="40" spans="1:98" ht="17.25" x14ac:dyDescent="0.25">
      <c r="G40" s="43"/>
      <c r="H40" s="43" t="s">
        <v>74</v>
      </c>
      <c r="I40" s="43"/>
      <c r="J40" s="43"/>
      <c r="K40" s="43"/>
      <c r="L40" s="43"/>
      <c r="M40" s="43"/>
      <c r="N40" s="43"/>
      <c r="O40" s="43"/>
      <c r="P40" s="43"/>
      <c r="Q40" s="43" t="s">
        <v>75</v>
      </c>
      <c r="R40" s="43"/>
      <c r="S40" s="43"/>
      <c r="T40" s="43"/>
      <c r="U40" s="43"/>
      <c r="V40" s="43"/>
      <c r="W40" s="43"/>
      <c r="X40" s="43"/>
      <c r="Y40" s="43" t="s">
        <v>76</v>
      </c>
      <c r="Z40" s="43"/>
    </row>
    <row r="42" spans="1:98" ht="21.75" customHeight="1" x14ac:dyDescent="0.25"/>
    <row r="45" spans="1:98" x14ac:dyDescent="0.25">
      <c r="CH45" s="32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1</v>
      </c>
      <c r="CN45" s="29">
        <v>0</v>
      </c>
      <c r="CO45" s="29">
        <v>1</v>
      </c>
      <c r="CP45" s="29">
        <v>0</v>
      </c>
      <c r="CQ45" s="29">
        <v>0</v>
      </c>
      <c r="CR45" s="38">
        <f>SUM(CH45:CQ45)</f>
        <v>2</v>
      </c>
    </row>
    <row r="46" spans="1:98" x14ac:dyDescent="0.25">
      <c r="CH46" s="32">
        <v>3</v>
      </c>
      <c r="CI46" s="29">
        <v>0</v>
      </c>
      <c r="CJ46" s="29">
        <v>19</v>
      </c>
      <c r="CK46" s="29">
        <v>0</v>
      </c>
      <c r="CL46" s="29">
        <v>4</v>
      </c>
      <c r="CM46" s="29">
        <v>4</v>
      </c>
      <c r="CN46" s="29">
        <v>0</v>
      </c>
      <c r="CO46" s="29">
        <v>4</v>
      </c>
      <c r="CP46" s="29">
        <v>0</v>
      </c>
      <c r="CQ46" s="29">
        <v>0</v>
      </c>
      <c r="CR46" s="38">
        <f t="shared" ref="CR46" si="28">SUM(CH46:CQ46)</f>
        <v>34</v>
      </c>
    </row>
    <row r="47" spans="1:98" x14ac:dyDescent="0.25">
      <c r="CS47" s="52"/>
      <c r="CT47" s="52"/>
    </row>
  </sheetData>
  <autoFilter ref="A1:CT29" xr:uid="{A5C8E4E3-8F50-4D39-A21D-03A339330479}"/>
  <mergeCells count="74">
    <mergeCell ref="G39:I39"/>
    <mergeCell ref="BO4:BP4"/>
    <mergeCell ref="BO3:BP3"/>
    <mergeCell ref="BM3:BN3"/>
    <mergeCell ref="K4:L4"/>
    <mergeCell ref="M3:N3"/>
    <mergeCell ref="O3:P3"/>
    <mergeCell ref="Q3:R3"/>
    <mergeCell ref="K3:L3"/>
    <mergeCell ref="U4:V4"/>
    <mergeCell ref="M4:N4"/>
    <mergeCell ref="O4:P4"/>
    <mergeCell ref="Q4:R4"/>
    <mergeCell ref="AA3:AB3"/>
    <mergeCell ref="AC3:AD3"/>
    <mergeCell ref="S4:T4"/>
    <mergeCell ref="AS3:AT3"/>
    <mergeCell ref="AY3:AZ3"/>
    <mergeCell ref="AY4:AZ4"/>
    <mergeCell ref="AA4:AB4"/>
    <mergeCell ref="AK4:AL4"/>
    <mergeCell ref="AC4:AD4"/>
    <mergeCell ref="AG4:AH4"/>
    <mergeCell ref="AE4:AF4"/>
    <mergeCell ref="AU4:AV4"/>
    <mergeCell ref="AW4:AX4"/>
    <mergeCell ref="AW3:AX3"/>
    <mergeCell ref="E4:F4"/>
    <mergeCell ref="G4:H4"/>
    <mergeCell ref="I4:J4"/>
    <mergeCell ref="AE3:AF3"/>
    <mergeCell ref="W4:X4"/>
    <mergeCell ref="Y4:Z4"/>
    <mergeCell ref="A2:AH2"/>
    <mergeCell ref="E3:F3"/>
    <mergeCell ref="G3:H3"/>
    <mergeCell ref="S3:T3"/>
    <mergeCell ref="Y3:Z3"/>
    <mergeCell ref="W3:X3"/>
    <mergeCell ref="AG3:AH3"/>
    <mergeCell ref="I3:J3"/>
    <mergeCell ref="U3:V3"/>
    <mergeCell ref="AJ2:CE2"/>
    <mergeCell ref="AJ3:AJ5"/>
    <mergeCell ref="AO4:AP4"/>
    <mergeCell ref="AQ4:AR4"/>
    <mergeCell ref="AU3:AV3"/>
    <mergeCell ref="AK3:AL3"/>
    <mergeCell ref="BM4:BN4"/>
    <mergeCell ref="BC3:BD3"/>
    <mergeCell ref="BE3:BF3"/>
    <mergeCell ref="AM3:AN3"/>
    <mergeCell ref="AO3:AP3"/>
    <mergeCell ref="AQ3:AR3"/>
    <mergeCell ref="BA3:BB3"/>
    <mergeCell ref="BE4:BF4"/>
    <mergeCell ref="AS4:AT4"/>
    <mergeCell ref="BA4:BB4"/>
    <mergeCell ref="AK30:AV30"/>
    <mergeCell ref="E30:AH30"/>
    <mergeCell ref="CH4:CR4"/>
    <mergeCell ref="A3:D4"/>
    <mergeCell ref="CH3:CQ3"/>
    <mergeCell ref="BG4:BH4"/>
    <mergeCell ref="BG3:BH3"/>
    <mergeCell ref="BR3:BR5"/>
    <mergeCell ref="BS3:CE3"/>
    <mergeCell ref="BK4:BL4"/>
    <mergeCell ref="BI4:BJ4"/>
    <mergeCell ref="BK3:BL3"/>
    <mergeCell ref="BI3:BJ3"/>
    <mergeCell ref="BQ3:BQ5"/>
    <mergeCell ref="BC4:BD4"/>
    <mergeCell ref="AM4:AN4"/>
  </mergeCells>
  <phoneticPr fontId="7" type="noConversion"/>
  <conditionalFormatting sqref="B5">
    <cfRule type="duplicateValues" dxfId="286" priority="15149"/>
  </conditionalFormatting>
  <conditionalFormatting sqref="B6">
    <cfRule type="duplicateValues" dxfId="285" priority="15131"/>
  </conditionalFormatting>
  <conditionalFormatting sqref="B8">
    <cfRule type="duplicateValues" dxfId="284" priority="15136"/>
  </conditionalFormatting>
  <conditionalFormatting sqref="B10 B13 B15:B19">
    <cfRule type="duplicateValues" dxfId="283" priority="17735"/>
  </conditionalFormatting>
  <conditionalFormatting sqref="B11">
    <cfRule type="duplicateValues" dxfId="282" priority="15138"/>
    <cfRule type="duplicateValues" dxfId="281" priority="15134"/>
  </conditionalFormatting>
  <conditionalFormatting sqref="B14 B7">
    <cfRule type="duplicateValues" dxfId="280" priority="17597"/>
  </conditionalFormatting>
  <conditionalFormatting sqref="B20">
    <cfRule type="duplicateValues" dxfId="279" priority="15139"/>
  </conditionalFormatting>
  <conditionalFormatting sqref="B20:B21">
    <cfRule type="duplicateValues" dxfId="278" priority="15132"/>
  </conditionalFormatting>
  <conditionalFormatting sqref="B6:D7 B14:D15">
    <cfRule type="containsText" dxfId="277" priority="15130" operator="containsText" text="AB">
      <formula>NOT(ISERROR(SEARCH("AB",B6)))</formula>
    </cfRule>
  </conditionalFormatting>
  <conditionalFormatting sqref="B8:D8 B10:C19 D10:D30 B20:B21 C20:C30 C34:D34">
    <cfRule type="containsText" dxfId="276" priority="15129" operator="containsText" text="ABST">
      <formula>NOT(ISERROR(SEARCH("ABST",B8)))</formula>
    </cfRule>
  </conditionalFormatting>
  <conditionalFormatting sqref="C1:C1048576">
    <cfRule type="duplicateValues" dxfId="275" priority="17742"/>
  </conditionalFormatting>
  <conditionalFormatting sqref="C12">
    <cfRule type="duplicateValues" dxfId="274" priority="1434"/>
  </conditionalFormatting>
  <conditionalFormatting sqref="C27">
    <cfRule type="duplicateValues" dxfId="273" priority="2636"/>
  </conditionalFormatting>
  <conditionalFormatting sqref="C28">
    <cfRule type="duplicateValues" dxfId="272" priority="17738"/>
  </conditionalFormatting>
  <conditionalFormatting sqref="C29:C30">
    <cfRule type="duplicateValues" dxfId="271" priority="1122"/>
  </conditionalFormatting>
  <conditionalFormatting sqref="D6:D30 C34:D34 C6:C11 C13:C26">
    <cfRule type="duplicateValues" dxfId="270" priority="17739"/>
  </conditionalFormatting>
  <conditionalFormatting sqref="D27:D30">
    <cfRule type="duplicateValues" dxfId="269" priority="3837"/>
  </conditionalFormatting>
  <conditionalFormatting sqref="E34 AK34:AT34 AV34:BP34">
    <cfRule type="containsText" dxfId="268" priority="14565" operator="containsText" text="NL">
      <formula>NOT(ISERROR(SEARCH("NL",E34)))</formula>
    </cfRule>
    <cfRule type="containsText" dxfId="267" priority="14564" operator="containsText" text="SICK">
      <formula>NOT(ISERROR(SEARCH("SICK",E34)))</formula>
    </cfRule>
    <cfRule type="containsText" dxfId="266" priority="14563" operator="containsText" text="AL">
      <formula>NOT(ISERROR(SEARCH("AL",E34)))</formula>
    </cfRule>
    <cfRule type="containsText" dxfId="265" priority="14562" operator="containsText" text="AB">
      <formula>NOT(ISERROR(SEARCH("AB",E34)))</formula>
    </cfRule>
  </conditionalFormatting>
  <conditionalFormatting sqref="E6:P9 V6:AB6 S6:X7 V7:AA7">
    <cfRule type="containsText" dxfId="264" priority="1116" operator="containsText" text="EL">
      <formula>NOT(ISERROR(SEARCH("EL",E6)))</formula>
    </cfRule>
    <cfRule type="containsText" dxfId="263" priority="1117" operator="containsText" text="AB">
      <formula>NOT(ISERROR(SEARCH("AB",E6)))</formula>
    </cfRule>
  </conditionalFormatting>
  <conditionalFormatting sqref="E6:P9">
    <cfRule type="containsText" dxfId="262" priority="1115" operator="containsText" text="SUS">
      <formula>NOT(ISERROR(SEARCH("SUS",E6)))</formula>
    </cfRule>
    <cfRule type="containsText" dxfId="261" priority="1114" operator="containsText" text="FL">
      <formula>NOT(ISERROR(SEARCH("FL",E6)))</formula>
    </cfRule>
    <cfRule type="containsText" dxfId="260" priority="1113" operator="containsText" text="NL">
      <formula>NOT(ISERROR(SEARCH("NL",E6)))</formula>
    </cfRule>
    <cfRule type="containsText" dxfId="259" priority="1112" operator="containsText" text="SP">
      <formula>NOT(ISERROR(SEARCH("SP",E6)))</formula>
    </cfRule>
  </conditionalFormatting>
  <conditionalFormatting sqref="E5:AH5">
    <cfRule type="expression" priority="17592">
      <formula>AND(ISNUMBER($Z3), ISNUMBER($AA3))</formula>
    </cfRule>
    <cfRule type="cellIs" dxfId="258" priority="17591" operator="equal">
      <formula>"OFF"</formula>
    </cfRule>
    <cfRule type="cellIs" dxfId="257" priority="17590" operator="equal">
      <formula>"AB"</formula>
    </cfRule>
    <cfRule type="cellIs" dxfId="256" priority="17589" operator="equal">
      <formula>"Sick"</formula>
    </cfRule>
    <cfRule type="dataBar" priority="17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ontainsText" dxfId="255" priority="17594" operator="containsText" text="AB">
      <formula>NOT(ISERROR(SEARCH("AB",#REF!)))</formula>
    </cfRule>
    <cfRule type="containsText" dxfId="254" priority="17595" operator="containsText" text="HD">
      <formula>NOT(ISERROR(SEARCH("HD",#REF!)))</formula>
    </cfRule>
    <cfRule type="containsText" dxfId="253" priority="17596" operator="containsText" text="S">
      <formula>NOT(ISERROR(SEARCH("S",#REF!)))</formula>
    </cfRule>
  </conditionalFormatting>
  <conditionalFormatting sqref="I12:J12">
    <cfRule type="containsText" dxfId="252" priority="1189" operator="containsText" text="AB">
      <formula>NOT(ISERROR(SEARCH("AB",I12)))</formula>
    </cfRule>
    <cfRule type="containsText" dxfId="251" priority="1190" operator="containsText" text="Sick">
      <formula>NOT(ISERROR(SEARCH("Sick",I12)))</formula>
    </cfRule>
    <cfRule type="containsText" dxfId="250" priority="1192" operator="containsText" text="MC">
      <formula>NOT(ISERROR(SEARCH("MC",I12)))</formula>
    </cfRule>
    <cfRule type="containsText" dxfId="249" priority="1188" operator="containsText" text="EL">
      <formula>NOT(ISERROR(SEARCH("EL",I12)))</formula>
    </cfRule>
    <cfRule type="containsText" dxfId="248" priority="1186" operator="containsText" text="FL">
      <formula>NOT(ISERROR(SEARCH("FL",I12)))</formula>
    </cfRule>
    <cfRule type="containsText" dxfId="247" priority="1185" operator="containsText" text="NL">
      <formula>NOT(ISERROR(SEARCH("NL",I12)))</formula>
    </cfRule>
    <cfRule type="containsText" dxfId="246" priority="1184" operator="containsText" text="SP">
      <formula>NOT(ISERROR(SEARCH("SP",I12)))</formula>
    </cfRule>
    <cfRule type="containsText" dxfId="245" priority="1193" operator="containsText" text="OFF">
      <formula>NOT(ISERROR(SEARCH("OFF",I12)))</formula>
    </cfRule>
    <cfRule type="containsText" dxfId="244" priority="1187" operator="containsText" text="SUS">
      <formula>NOT(ISERROR(SEARCH("SUS",I12)))</formula>
    </cfRule>
    <cfRule type="containsText" dxfId="243" priority="1191" operator="containsText" text="AL">
      <formula>NOT(ISERROR(SEARCH("AL",I12)))</formula>
    </cfRule>
  </conditionalFormatting>
  <conditionalFormatting sqref="Q6:R12">
    <cfRule type="containsText" dxfId="242" priority="167" operator="containsText" text="AB">
      <formula>NOT(ISERROR(SEARCH("AB",Q6)))</formula>
    </cfRule>
    <cfRule type="containsText" dxfId="241" priority="168" operator="containsText" text="Sick">
      <formula>NOT(ISERROR(SEARCH("Sick",Q6)))</formula>
    </cfRule>
    <cfRule type="containsText" dxfId="240" priority="169" operator="containsText" text="AL">
      <formula>NOT(ISERROR(SEARCH("AL",Q6)))</formula>
    </cfRule>
    <cfRule type="containsText" dxfId="239" priority="171" operator="containsText" text="OFF">
      <formula>NOT(ISERROR(SEARCH("OFF",Q6)))</formula>
    </cfRule>
    <cfRule type="containsText" dxfId="238" priority="162" operator="containsText" text="SP">
      <formula>NOT(ISERROR(SEARCH("SP",Q6)))</formula>
    </cfRule>
    <cfRule type="containsText" dxfId="237" priority="163" operator="containsText" text="NL">
      <formula>NOT(ISERROR(SEARCH("NL",Q6)))</formula>
    </cfRule>
    <cfRule type="containsText" dxfId="236" priority="164" operator="containsText" text="FL">
      <formula>NOT(ISERROR(SEARCH("FL",Q6)))</formula>
    </cfRule>
    <cfRule type="containsText" dxfId="235" priority="165" operator="containsText" text="SUS">
      <formula>NOT(ISERROR(SEARCH("SUS",Q6)))</formula>
    </cfRule>
    <cfRule type="containsText" dxfId="234" priority="166" operator="containsText" text="EL">
      <formula>NOT(ISERROR(SEARCH("EL",Q6)))</formula>
    </cfRule>
    <cfRule type="containsText" dxfId="233" priority="170" operator="containsText" text="MC">
      <formula>NOT(ISERROR(SEARCH("MC",Q6)))</formula>
    </cfRule>
  </conditionalFormatting>
  <conditionalFormatting sqref="S10:Y12 E11:P12">
    <cfRule type="containsText" dxfId="232" priority="1172" operator="containsText" text="MC">
      <formula>NOT(ISERROR(SEARCH("MC",E10)))</formula>
    </cfRule>
    <cfRule type="containsText" dxfId="231" priority="1166" operator="containsText" text="FL">
      <formula>NOT(ISERROR(SEARCH("FL",E10)))</formula>
    </cfRule>
    <cfRule type="containsText" dxfId="230" priority="1165" operator="containsText" text="NL">
      <formula>NOT(ISERROR(SEARCH("NL",E10)))</formula>
    </cfRule>
    <cfRule type="containsText" dxfId="229" priority="1164" operator="containsText" text="SP">
      <formula>NOT(ISERROR(SEARCH("SP",E10)))</formula>
    </cfRule>
    <cfRule type="containsText" dxfId="228" priority="1168" operator="containsText" text="EL">
      <formula>NOT(ISERROR(SEARCH("EL",E10)))</formula>
    </cfRule>
    <cfRule type="containsText" dxfId="227" priority="1169" operator="containsText" text="AB">
      <formula>NOT(ISERROR(SEARCH("AB",E10)))</formula>
    </cfRule>
    <cfRule type="containsText" dxfId="226" priority="1173" operator="containsText" text="OFF">
      <formula>NOT(ISERROR(SEARCH("OFF",E10)))</formula>
    </cfRule>
    <cfRule type="containsText" dxfId="225" priority="1170" operator="containsText" text="Sick">
      <formula>NOT(ISERROR(SEARCH("Sick",E10)))</formula>
    </cfRule>
    <cfRule type="containsText" dxfId="224" priority="1171" operator="containsText" text="AL">
      <formula>NOT(ISERROR(SEARCH("AL",E10)))</formula>
    </cfRule>
    <cfRule type="containsText" dxfId="223" priority="1167" operator="containsText" text="SUS">
      <formula>NOT(ISERROR(SEARCH("SUS",E10)))</formula>
    </cfRule>
  </conditionalFormatting>
  <conditionalFormatting sqref="S6:AD9 AG6:AH9">
    <cfRule type="containsText" dxfId="222" priority="1092" operator="containsText" text="SP">
      <formula>NOT(ISERROR(SEARCH("SP",S6)))</formula>
    </cfRule>
    <cfRule type="containsText" dxfId="221" priority="1095" operator="containsText" text="SUS">
      <formula>NOT(ISERROR(SEARCH("SUS",S6)))</formula>
    </cfRule>
    <cfRule type="containsText" dxfId="220" priority="1094" operator="containsText" text="FL">
      <formula>NOT(ISERROR(SEARCH("FL",S6)))</formula>
    </cfRule>
    <cfRule type="containsText" dxfId="219" priority="1093" operator="containsText" text="NL">
      <formula>NOT(ISERROR(SEARCH("NL",S6)))</formula>
    </cfRule>
  </conditionalFormatting>
  <conditionalFormatting sqref="V6:AB6 S6:X7 E6:P9 V7:AA7">
    <cfRule type="containsText" dxfId="218" priority="1118" operator="containsText" text="Sick">
      <formula>NOT(ISERROR(SEARCH("Sick",E6)))</formula>
    </cfRule>
    <cfRule type="containsText" dxfId="217" priority="1121" operator="containsText" text="OFF">
      <formula>NOT(ISERROR(SEARCH("OFF",E6)))</formula>
    </cfRule>
    <cfRule type="containsText" dxfId="216" priority="1119" operator="containsText" text="AL">
      <formula>NOT(ISERROR(SEARCH("AL",E6)))</formula>
    </cfRule>
    <cfRule type="containsText" dxfId="215" priority="1120" operator="containsText" text="MC">
      <formula>NOT(ISERROR(SEARCH("MC",E6)))</formula>
    </cfRule>
  </conditionalFormatting>
  <conditionalFormatting sqref="W12:X12">
    <cfRule type="containsText" dxfId="214" priority="1109" operator="containsText" text="AL">
      <formula>NOT(ISERROR(SEARCH("AL",W12)))</formula>
    </cfRule>
    <cfRule type="containsText" dxfId="213" priority="1110" operator="containsText" text="MC">
      <formula>NOT(ISERROR(SEARCH("MC",W12)))</formula>
    </cfRule>
    <cfRule type="containsText" dxfId="212" priority="1111" operator="containsText" text="OFF">
      <formula>NOT(ISERROR(SEARCH("OFF",W12)))</formula>
    </cfRule>
    <cfRule type="containsText" dxfId="211" priority="1102" operator="containsText" text="SP">
      <formula>NOT(ISERROR(SEARCH("SP",W12)))</formula>
    </cfRule>
    <cfRule type="containsText" dxfId="210" priority="1108" operator="containsText" text="Sick">
      <formula>NOT(ISERROR(SEARCH("Sick",W12)))</formula>
    </cfRule>
    <cfRule type="containsText" dxfId="209" priority="1104" operator="containsText" text="FL">
      <formula>NOT(ISERROR(SEARCH("FL",W12)))</formula>
    </cfRule>
    <cfRule type="containsText" dxfId="208" priority="1105" operator="containsText" text="SUS">
      <formula>NOT(ISERROR(SEARCH("SUS",W12)))</formula>
    </cfRule>
    <cfRule type="containsText" dxfId="207" priority="1107" operator="containsText" text="AB">
      <formula>NOT(ISERROR(SEARCH("AB",W12)))</formula>
    </cfRule>
    <cfRule type="containsText" dxfId="206" priority="1103" operator="containsText" text="NL">
      <formula>NOT(ISERROR(SEARCH("NL",W12)))</formula>
    </cfRule>
    <cfRule type="containsText" dxfId="205" priority="1106" operator="containsText" text="EL">
      <formula>NOT(ISERROR(SEARCH("EL",W12)))</formula>
    </cfRule>
  </conditionalFormatting>
  <conditionalFormatting sqref="W34:AH34">
    <cfRule type="containsText" dxfId="204" priority="14220" operator="containsText" text="NL">
      <formula>NOT(ISERROR(SEARCH("NL",W34)))</formula>
    </cfRule>
    <cfRule type="containsText" dxfId="203" priority="14218" operator="containsText" text="AL">
      <formula>NOT(ISERROR(SEARCH("AL",W34)))</formula>
    </cfRule>
    <cfRule type="containsText" dxfId="202" priority="14219" operator="containsText" text="SICK">
      <formula>NOT(ISERROR(SEARCH("SICK",W34)))</formula>
    </cfRule>
    <cfRule type="containsText" dxfId="201" priority="14217" operator="containsText" text="AB">
      <formula>NOT(ISERROR(SEARCH("AB",W34)))</formula>
    </cfRule>
  </conditionalFormatting>
  <conditionalFormatting sqref="Y6:AD7 AG6:AH7">
    <cfRule type="containsText" dxfId="200" priority="2610" operator="containsText" text="AB">
      <formula>NOT(ISERROR(SEARCH("AB",Y6)))</formula>
    </cfRule>
    <cfRule type="containsText" dxfId="199" priority="2611" operator="containsText" text="Sick">
      <formula>NOT(ISERROR(SEARCH("Sick",Y6)))</formula>
    </cfRule>
    <cfRule type="containsText" dxfId="198" priority="2612" operator="containsText" text="AL">
      <formula>NOT(ISERROR(SEARCH("AL",Y6)))</formula>
    </cfRule>
    <cfRule type="containsText" dxfId="197" priority="2609" operator="containsText" text="EL">
      <formula>NOT(ISERROR(SEARCH("EL",Y6)))</formula>
    </cfRule>
    <cfRule type="containsText" dxfId="196" priority="2614" operator="containsText" text="OFF">
      <formula>NOT(ISERROR(SEARCH("OFF",Y6)))</formula>
    </cfRule>
    <cfRule type="containsText" dxfId="195" priority="2613" operator="containsText" text="MC">
      <formula>NOT(ISERROR(SEARCH("MC",Y6)))</formula>
    </cfRule>
  </conditionalFormatting>
  <conditionalFormatting sqref="Z11:AD12 AG11:AH12">
    <cfRule type="containsText" dxfId="194" priority="1051" operator="containsText" text="OFF">
      <formula>NOT(ISERROR(SEARCH("OFF",Z11)))</formula>
    </cfRule>
    <cfRule type="containsText" dxfId="193" priority="1050" operator="containsText" text="MC">
      <formula>NOT(ISERROR(SEARCH("MC",Z11)))</formula>
    </cfRule>
    <cfRule type="containsText" dxfId="192" priority="1049" operator="containsText" text="AL">
      <formula>NOT(ISERROR(SEARCH("AL",Z11)))</formula>
    </cfRule>
    <cfRule type="containsText" dxfId="191" priority="1048" operator="containsText" text="Sick">
      <formula>NOT(ISERROR(SEARCH("Sick",Z11)))</formula>
    </cfRule>
    <cfRule type="containsText" dxfId="190" priority="1047" operator="containsText" text="AB">
      <formula>NOT(ISERROR(SEARCH("AB",Z11)))</formula>
    </cfRule>
    <cfRule type="containsText" dxfId="189" priority="1046" operator="containsText" text="EL">
      <formula>NOT(ISERROR(SEARCH("EL",Z11)))</formula>
    </cfRule>
    <cfRule type="containsText" dxfId="188" priority="1045" operator="containsText" text="SUS">
      <formula>NOT(ISERROR(SEARCH("SUS",Z11)))</formula>
    </cfRule>
    <cfRule type="containsText" dxfId="187" priority="1044" operator="containsText" text="FL">
      <formula>NOT(ISERROR(SEARCH("FL",Z11)))</formula>
    </cfRule>
    <cfRule type="containsText" dxfId="186" priority="1043" operator="containsText" text="NL">
      <formula>NOT(ISERROR(SEARCH("NL",Z11)))</formula>
    </cfRule>
    <cfRule type="containsText" dxfId="185" priority="1042" operator="containsText" text="SP">
      <formula>NOT(ISERROR(SEARCH("SP",Z11)))</formula>
    </cfRule>
  </conditionalFormatting>
  <conditionalFormatting sqref="AA34:AB34">
    <cfRule type="containsText" dxfId="184" priority="14259" stopIfTrue="1" operator="containsText" text="SICK">
      <formula>NOT(ISERROR(SEARCH("SICK",AA34)))</formula>
    </cfRule>
    <cfRule type="containsText" dxfId="183" priority="14257" stopIfTrue="1" operator="containsText" text="AL">
      <formula>NOT(ISERROR(SEARCH("AL",AA34)))</formula>
    </cfRule>
    <cfRule type="containsText" dxfId="182" priority="14258" stopIfTrue="1" operator="containsText" text="SP">
      <formula>NOT(ISERROR(SEARCH("SP",AA34)))</formula>
    </cfRule>
  </conditionalFormatting>
  <conditionalFormatting sqref="AA6:AD7">
    <cfRule type="containsText" dxfId="181" priority="2039" operator="containsText" text="EL">
      <formula>NOT(ISERROR(SEARCH("EL",AA6)))</formula>
    </cfRule>
    <cfRule type="containsText" dxfId="180" priority="2044" operator="containsText" text="OFF">
      <formula>NOT(ISERROR(SEARCH("OFF",AA6)))</formula>
    </cfRule>
    <cfRule type="containsText" dxfId="179" priority="2043" operator="containsText" text="MC">
      <formula>NOT(ISERROR(SEARCH("MC",AA6)))</formula>
    </cfRule>
    <cfRule type="containsText" dxfId="178" priority="2042" operator="containsText" text="AL">
      <formula>NOT(ISERROR(SEARCH("AL",AA6)))</formula>
    </cfRule>
    <cfRule type="containsText" dxfId="177" priority="2041" operator="containsText" text="Sick">
      <formula>NOT(ISERROR(SEARCH("Sick",AA6)))</formula>
    </cfRule>
    <cfRule type="containsText" dxfId="176" priority="2040" operator="containsText" text="AB">
      <formula>NOT(ISERROR(SEARCH("AB",AA6)))</formula>
    </cfRule>
  </conditionalFormatting>
  <conditionalFormatting sqref="AE6:AF12">
    <cfRule type="containsText" dxfId="175" priority="145" operator="containsText" text="SUS">
      <formula>NOT(ISERROR(SEARCH("SUS",AE6)))</formula>
    </cfRule>
    <cfRule type="containsText" dxfId="174" priority="146" operator="containsText" text="EL">
      <formula>NOT(ISERROR(SEARCH("EL",AE6)))</formula>
    </cfRule>
    <cfRule type="containsText" dxfId="173" priority="147" operator="containsText" text="AB">
      <formula>NOT(ISERROR(SEARCH("AB",AE6)))</formula>
    </cfRule>
    <cfRule type="containsText" dxfId="172" priority="149" operator="containsText" text="AL">
      <formula>NOT(ISERROR(SEARCH("AL",AE6)))</formula>
    </cfRule>
    <cfRule type="containsText" dxfId="171" priority="150" operator="containsText" text="MC">
      <formula>NOT(ISERROR(SEARCH("MC",AE6)))</formula>
    </cfRule>
    <cfRule type="containsText" dxfId="170" priority="151" operator="containsText" text="OFF">
      <formula>NOT(ISERROR(SEARCH("OFF",AE6)))</formula>
    </cfRule>
    <cfRule type="containsText" dxfId="169" priority="148" operator="containsText" text="Sick">
      <formula>NOT(ISERROR(SEARCH("Sick",AE6)))</formula>
    </cfRule>
    <cfRule type="containsText" dxfId="168" priority="142" operator="containsText" text="SP">
      <formula>NOT(ISERROR(SEARCH("SP",AE6)))</formula>
    </cfRule>
    <cfRule type="containsText" dxfId="167" priority="143" operator="containsText" text="NL">
      <formula>NOT(ISERROR(SEARCH("NL",AE6)))</formula>
    </cfRule>
    <cfRule type="containsText" dxfId="166" priority="144" operator="containsText" text="FL">
      <formula>NOT(ISERROR(SEARCH("FL",AE6)))</formula>
    </cfRule>
  </conditionalFormatting>
  <conditionalFormatting sqref="AG6:AH9 S8:AD9">
    <cfRule type="containsText" dxfId="165" priority="1097" operator="containsText" text="AB">
      <formula>NOT(ISERROR(SEARCH("AB",S6)))</formula>
    </cfRule>
    <cfRule type="containsText" dxfId="164" priority="1098" operator="containsText" text="Sick">
      <formula>NOT(ISERROR(SEARCH("Sick",S6)))</formula>
    </cfRule>
    <cfRule type="containsText" dxfId="163" priority="1099" operator="containsText" text="AL">
      <formula>NOT(ISERROR(SEARCH("AL",S6)))</formula>
    </cfRule>
    <cfRule type="containsText" dxfId="162" priority="1100" operator="containsText" text="MC">
      <formula>NOT(ISERROR(SEARCH("MC",S6)))</formula>
    </cfRule>
    <cfRule type="containsText" dxfId="161" priority="1101" operator="containsText" text="OFF">
      <formula>NOT(ISERROR(SEARCH("OFF",S6)))</formula>
    </cfRule>
    <cfRule type="containsText" dxfId="160" priority="1096" operator="containsText" text="EL">
      <formula>NOT(ISERROR(SEARCH("EL",S6)))</formula>
    </cfRule>
  </conditionalFormatting>
  <conditionalFormatting sqref="AI6:AJ30 BE11:BF11 AK30">
    <cfRule type="containsText" dxfId="159" priority="1233" operator="containsText" text="OFF">
      <formula>NOT(ISERROR(SEARCH("OFF",AI6)))</formula>
    </cfRule>
    <cfRule type="containsText" dxfId="158" priority="1225" operator="containsText" text="NL">
      <formula>NOT(ISERROR(SEARCH("NL",AI6)))</formula>
    </cfRule>
    <cfRule type="containsText" dxfId="157" priority="1226" operator="containsText" text="FL">
      <formula>NOT(ISERROR(SEARCH("FL",AI6)))</formula>
    </cfRule>
    <cfRule type="containsText" dxfId="156" priority="1227" operator="containsText" text="SUS">
      <formula>NOT(ISERROR(SEARCH("SUS",AI6)))</formula>
    </cfRule>
    <cfRule type="containsText" dxfId="155" priority="1228" operator="containsText" text="EL">
      <formula>NOT(ISERROR(SEARCH("EL",AI6)))</formula>
    </cfRule>
    <cfRule type="containsText" dxfId="154" priority="1229" operator="containsText" text="AB">
      <formula>NOT(ISERROR(SEARCH("AB",AI6)))</formula>
    </cfRule>
    <cfRule type="containsText" dxfId="153" priority="1230" operator="containsText" text="Sick">
      <formula>NOT(ISERROR(SEARCH("Sick",AI6)))</formula>
    </cfRule>
    <cfRule type="containsText" dxfId="152" priority="1231" operator="containsText" text="AL">
      <formula>NOT(ISERROR(SEARCH("AL",AI6)))</formula>
    </cfRule>
    <cfRule type="containsText" dxfId="151" priority="1232" operator="containsText" text="MC">
      <formula>NOT(ISERROR(SEARCH("MC",AI6)))</formula>
    </cfRule>
  </conditionalFormatting>
  <conditionalFormatting sqref="AK5:AL5">
    <cfRule type="dataBar" priority="15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6:AN11">
    <cfRule type="containsText" dxfId="150" priority="741" operator="containsText" text="OFF">
      <formula>NOT(ISERROR(SEARCH("OFF",AK6)))</formula>
    </cfRule>
    <cfRule type="containsText" dxfId="149" priority="740" operator="containsText" text="MC">
      <formula>NOT(ISERROR(SEARCH("MC",AK6)))</formula>
    </cfRule>
    <cfRule type="containsText" dxfId="148" priority="739" operator="containsText" text="AL">
      <formula>NOT(ISERROR(SEARCH("AL",AK6)))</formula>
    </cfRule>
    <cfRule type="containsText" dxfId="147" priority="738" operator="containsText" text="Sick">
      <formula>NOT(ISERROR(SEARCH("Sick",AK6)))</formula>
    </cfRule>
    <cfRule type="containsText" dxfId="146" priority="737" operator="containsText" text="AB">
      <formula>NOT(ISERROR(SEARCH("AB",AK6)))</formula>
    </cfRule>
    <cfRule type="containsText" dxfId="145" priority="736" operator="containsText" text="EL">
      <formula>NOT(ISERROR(SEARCH("EL",AK6)))</formula>
    </cfRule>
    <cfRule type="containsText" dxfId="144" priority="734" operator="containsText" text="FL">
      <formula>NOT(ISERROR(SEARCH("FL",AK6)))</formula>
    </cfRule>
    <cfRule type="containsText" dxfId="143" priority="733" operator="containsText" text="NL">
      <formula>NOT(ISERROR(SEARCH("NL",AK6)))</formula>
    </cfRule>
    <cfRule type="containsText" dxfId="142" priority="732" operator="containsText" text="SP">
      <formula>NOT(ISERROR(SEARCH("SP",AK6)))</formula>
    </cfRule>
    <cfRule type="containsText" dxfId="141" priority="735" operator="containsText" text="SUS">
      <formula>NOT(ISERROR(SEARCH("SUS",AK6)))</formula>
    </cfRule>
  </conditionalFormatting>
  <conditionalFormatting sqref="AK12:AT12">
    <cfRule type="containsText" dxfId="140" priority="651" operator="containsText" text="OFF">
      <formula>NOT(ISERROR(SEARCH("OFF",AK12)))</formula>
    </cfRule>
    <cfRule type="containsText" dxfId="139" priority="645" operator="containsText" text="SUS">
      <formula>NOT(ISERROR(SEARCH("SUS",AK12)))</formula>
    </cfRule>
    <cfRule type="containsText" dxfId="138" priority="644" operator="containsText" text="FL">
      <formula>NOT(ISERROR(SEARCH("FL",AK12)))</formula>
    </cfRule>
    <cfRule type="containsText" dxfId="137" priority="643" operator="containsText" text="NL">
      <formula>NOT(ISERROR(SEARCH("NL",AK12)))</formula>
    </cfRule>
    <cfRule type="containsText" dxfId="136" priority="642" operator="containsText" text="SP">
      <formula>NOT(ISERROR(SEARCH("SP",AK12)))</formula>
    </cfRule>
    <cfRule type="containsText" dxfId="135" priority="650" operator="containsText" text="MC">
      <formula>NOT(ISERROR(SEARCH("MC",AK12)))</formula>
    </cfRule>
    <cfRule type="containsText" dxfId="134" priority="649" operator="containsText" text="AL">
      <formula>NOT(ISERROR(SEARCH("AL",AK12)))</formula>
    </cfRule>
    <cfRule type="containsText" dxfId="133" priority="648" operator="containsText" text="Sick">
      <formula>NOT(ISERROR(SEARCH("Sick",AK12)))</formula>
    </cfRule>
    <cfRule type="containsText" dxfId="132" priority="647" operator="containsText" text="AB">
      <formula>NOT(ISERROR(SEARCH("AB",AK12)))</formula>
    </cfRule>
    <cfRule type="containsText" dxfId="131" priority="646" operator="containsText" text="EL">
      <formula>NOT(ISERROR(SEARCH("EL",AK12)))</formula>
    </cfRule>
  </conditionalFormatting>
  <conditionalFormatting sqref="AK5:BP5">
    <cfRule type="expression" priority="15106">
      <formula>AND(ISNUMBER($Z3), ISNUMBER($AA3))</formula>
    </cfRule>
    <cfRule type="cellIs" dxfId="130" priority="15108" operator="equal">
      <formula>"Sick"</formula>
    </cfRule>
    <cfRule type="cellIs" dxfId="129" priority="15109" operator="equal">
      <formula>"AB"</formula>
    </cfRule>
    <cfRule type="containsText" dxfId="128" priority="15111" operator="containsText" text="AB">
      <formula>NOT(ISERROR(SEARCH("AB",#REF!)))</formula>
    </cfRule>
    <cfRule type="containsText" dxfId="127" priority="15112" operator="containsText" text="HD">
      <formula>NOT(ISERROR(SEARCH("HD",#REF!)))</formula>
    </cfRule>
    <cfRule type="containsText" dxfId="126" priority="15113" operator="containsText" text="S">
      <formula>NOT(ISERROR(SEARCH("S",#REF!)))</formula>
    </cfRule>
    <cfRule type="cellIs" dxfId="125" priority="15110" operator="equal">
      <formula>"OFF"</formula>
    </cfRule>
  </conditionalFormatting>
  <conditionalFormatting sqref="AM5:AN5">
    <cfRule type="dataBar" priority="15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O5:AP5">
    <cfRule type="dataBar" priority="15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O6:AT12">
    <cfRule type="containsText" dxfId="124" priority="742" operator="containsText" text="SP">
      <formula>NOT(ISERROR(SEARCH("SP",AO6)))</formula>
    </cfRule>
    <cfRule type="containsText" dxfId="123" priority="743" operator="containsText" text="NL">
      <formula>NOT(ISERROR(SEARCH("NL",AO6)))</formula>
    </cfRule>
    <cfRule type="containsText" dxfId="122" priority="746" operator="containsText" text="EL">
      <formula>NOT(ISERROR(SEARCH("EL",AO6)))</formula>
    </cfRule>
    <cfRule type="containsText" dxfId="121" priority="747" operator="containsText" text="AB">
      <formula>NOT(ISERROR(SEARCH("AB",AO6)))</formula>
    </cfRule>
    <cfRule type="containsText" dxfId="120" priority="744" operator="containsText" text="FL">
      <formula>NOT(ISERROR(SEARCH("FL",AO6)))</formula>
    </cfRule>
    <cfRule type="containsText" dxfId="119" priority="748" operator="containsText" text="Sick">
      <formula>NOT(ISERROR(SEARCH("Sick",AO6)))</formula>
    </cfRule>
    <cfRule type="containsText" dxfId="118" priority="749" operator="containsText" text="AL">
      <formula>NOT(ISERROR(SEARCH("AL",AO6)))</formula>
    </cfRule>
    <cfRule type="containsText" dxfId="117" priority="745" operator="containsText" text="SUS">
      <formula>NOT(ISERROR(SEARCH("SUS",AO6)))</formula>
    </cfRule>
    <cfRule type="containsText" dxfId="116" priority="750" operator="containsText" text="MC">
      <formula>NOT(ISERROR(SEARCH("MC",AO6)))</formula>
    </cfRule>
    <cfRule type="containsText" dxfId="115" priority="751" operator="containsText" text="OFF">
      <formula>NOT(ISERROR(SEARCH("OFF",AO6)))</formula>
    </cfRule>
  </conditionalFormatting>
  <conditionalFormatting sqref="AQ5:AR5">
    <cfRule type="dataBar" priority="15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S5:AT5">
    <cfRule type="dataBar" priority="15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S18:BP18">
    <cfRule type="containsText" dxfId="114" priority="26" operator="containsText" text="AB">
      <formula>NOT(ISERROR(SEARCH("AB",AS18)))</formula>
    </cfRule>
    <cfRule type="containsText" dxfId="113" priority="27" operator="containsText" text="Sick">
      <formula>NOT(ISERROR(SEARCH("Sick",AS18)))</formula>
    </cfRule>
    <cfRule type="containsText" dxfId="112" priority="28" operator="containsText" text="AL">
      <formula>NOT(ISERROR(SEARCH("AL",AS18)))</formula>
    </cfRule>
    <cfRule type="containsText" dxfId="111" priority="30" operator="containsText" text="OFF">
      <formula>NOT(ISERROR(SEARCH("OFF",AS18)))</formula>
    </cfRule>
    <cfRule type="containsText" dxfId="110" priority="23" operator="containsText" text="FL">
      <formula>NOT(ISERROR(SEARCH("FL",AS18)))</formula>
    </cfRule>
    <cfRule type="containsText" dxfId="109" priority="24" operator="containsText" text="SUS">
      <formula>NOT(ISERROR(SEARCH("SUS",AS18)))</formula>
    </cfRule>
    <cfRule type="containsText" dxfId="108" priority="29" operator="containsText" text="MC">
      <formula>NOT(ISERROR(SEARCH("MC",AS18)))</formula>
    </cfRule>
    <cfRule type="containsText" dxfId="107" priority="22" operator="containsText" text="NL">
      <formula>NOT(ISERROR(SEARCH("NL",AS18)))</formula>
    </cfRule>
    <cfRule type="containsText" dxfId="106" priority="21" operator="containsText" text="SP">
      <formula>NOT(ISERROR(SEARCH("SP",AS18)))</formula>
    </cfRule>
    <cfRule type="containsText" dxfId="105" priority="25" operator="containsText" text="EL">
      <formula>NOT(ISERROR(SEARCH("EL",AS18)))</formula>
    </cfRule>
  </conditionalFormatting>
  <conditionalFormatting sqref="AU5:AV5">
    <cfRule type="dataBar" priority="15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U6:BP12">
    <cfRule type="containsText" dxfId="104" priority="34" operator="containsText" text="SUS">
      <formula>NOT(ISERROR(SEARCH("SUS",AU6)))</formula>
    </cfRule>
    <cfRule type="containsText" dxfId="103" priority="31" operator="containsText" text="SP">
      <formula>NOT(ISERROR(SEARCH("SP",AU6)))</formula>
    </cfRule>
    <cfRule type="containsText" dxfId="102" priority="33" operator="containsText" text="FL">
      <formula>NOT(ISERROR(SEARCH("FL",AU6)))</formula>
    </cfRule>
    <cfRule type="containsText" dxfId="101" priority="36" operator="containsText" text="AB">
      <formula>NOT(ISERROR(SEARCH("AB",AU6)))</formula>
    </cfRule>
    <cfRule type="containsText" dxfId="100" priority="35" operator="containsText" text="EL">
      <formula>NOT(ISERROR(SEARCH("EL",AU6)))</formula>
    </cfRule>
    <cfRule type="containsText" dxfId="99" priority="32" operator="containsText" text="NL">
      <formula>NOT(ISERROR(SEARCH("NL",AU6)))</formula>
    </cfRule>
    <cfRule type="containsText" dxfId="98" priority="38" operator="containsText" text="AL">
      <formula>NOT(ISERROR(SEARCH("AL",AU6)))</formula>
    </cfRule>
    <cfRule type="containsText" dxfId="97" priority="40" operator="containsText" text="OFF">
      <formula>NOT(ISERROR(SEARCH("OFF",AU6)))</formula>
    </cfRule>
    <cfRule type="containsText" dxfId="96" priority="37" operator="containsText" text="Sick">
      <formula>NOT(ISERROR(SEARCH("Sick",AU6)))</formula>
    </cfRule>
    <cfRule type="containsText" dxfId="95" priority="39" operator="containsText" text="MC">
      <formula>NOT(ISERROR(SEARCH("MC",AU6)))</formula>
    </cfRule>
  </conditionalFormatting>
  <conditionalFormatting sqref="AW5:AX5">
    <cfRule type="dataBar" priority="15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W12:BH12 BK12:BP12">
    <cfRule type="containsText" dxfId="94" priority="1734" operator="containsText" text="OFF">
      <formula>NOT(ISERROR(SEARCH("OFF",AW12)))</formula>
    </cfRule>
    <cfRule type="containsText" dxfId="93" priority="1733" operator="containsText" text="MC">
      <formula>NOT(ISERROR(SEARCH("MC",AW12)))</formula>
    </cfRule>
    <cfRule type="containsText" dxfId="92" priority="1732" operator="containsText" text="AL">
      <formula>NOT(ISERROR(SEARCH("AL",AW12)))</formula>
    </cfRule>
    <cfRule type="containsText" dxfId="91" priority="1731" operator="containsText" text="Sick">
      <formula>NOT(ISERROR(SEARCH("Sick",AW12)))</formula>
    </cfRule>
    <cfRule type="containsText" dxfId="90" priority="1730" operator="containsText" text="AB">
      <formula>NOT(ISERROR(SEARCH("AB",AW12)))</formula>
    </cfRule>
    <cfRule type="containsText" dxfId="89" priority="1725" operator="containsText" text="SP">
      <formula>NOT(ISERROR(SEARCH("SP",AW12)))</formula>
    </cfRule>
    <cfRule type="containsText" dxfId="88" priority="1726" operator="containsText" text="NL">
      <formula>NOT(ISERROR(SEARCH("NL",AW12)))</formula>
    </cfRule>
    <cfRule type="containsText" dxfId="87" priority="1728" operator="containsText" text="SUS">
      <formula>NOT(ISERROR(SEARCH("SUS",AW12)))</formula>
    </cfRule>
    <cfRule type="containsText" dxfId="86" priority="1727" operator="containsText" text="FL">
      <formula>NOT(ISERROR(SEARCH("FL",AW12)))</formula>
    </cfRule>
    <cfRule type="containsText" dxfId="85" priority="1729" operator="containsText" text="EL">
      <formula>NOT(ISERROR(SEARCH("EL",AW12)))</formula>
    </cfRule>
  </conditionalFormatting>
  <conditionalFormatting sqref="AX20">
    <cfRule type="containsText" dxfId="84" priority="101" operator="containsText" text="AL">
      <formula>NOT(ISERROR(SEARCH("AL",AX20)))</formula>
    </cfRule>
  </conditionalFormatting>
  <conditionalFormatting sqref="AY5:AZ5">
    <cfRule type="dataBar" priority="15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BA5:BB5">
    <cfRule type="dataBar" priority="15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34:BP34">
    <cfRule type="containsText" dxfId="83" priority="15102" stopIfTrue="1" operator="containsText" text="AL">
      <formula>NOT(ISERROR(SEARCH("AL",BA34)))</formula>
    </cfRule>
    <cfRule type="containsText" dxfId="82" priority="15103" stopIfTrue="1" operator="containsText" text="SP">
      <formula>NOT(ISERROR(SEARCH("SP",BA34)))</formula>
    </cfRule>
    <cfRule type="containsText" dxfId="81" priority="15104" stopIfTrue="1" operator="containsText" text="SICK">
      <formula>NOT(ISERROR(SEARCH("SICK",BA34)))</formula>
    </cfRule>
  </conditionalFormatting>
  <conditionalFormatting sqref="BC5:BD5">
    <cfRule type="dataBar" priority="15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E5:BF5">
    <cfRule type="dataBar" priority="15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E11:BF11 AI6:AJ30 AK30">
    <cfRule type="containsText" dxfId="80" priority="1224" operator="containsText" text="SP">
      <formula>NOT(ISERROR(SEARCH("SP",AI6)))</formula>
    </cfRule>
  </conditionalFormatting>
  <conditionalFormatting sqref="BG5:BP5">
    <cfRule type="dataBar" priority="17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L14:BL15">
    <cfRule type="containsText" dxfId="79" priority="1278" operator="containsText" text="EL">
      <formula>NOT(ISERROR(SEARCH("EL",BL14)))</formula>
    </cfRule>
    <cfRule type="containsText" dxfId="78" priority="1283" operator="containsText" text="OFF">
      <formula>NOT(ISERROR(SEARCH("OFF",BL14)))</formula>
    </cfRule>
    <cfRule type="containsText" dxfId="77" priority="1282" operator="containsText" text="MC">
      <formula>NOT(ISERROR(SEARCH("MC",BL14)))</formula>
    </cfRule>
    <cfRule type="containsText" dxfId="76" priority="1281" operator="containsText" text="AL">
      <formula>NOT(ISERROR(SEARCH("AL",BL14)))</formula>
    </cfRule>
    <cfRule type="containsText" dxfId="75" priority="1280" operator="containsText" text="Sick">
      <formula>NOT(ISERROR(SEARCH("Sick",BL14)))</formula>
    </cfRule>
    <cfRule type="containsText" dxfId="74" priority="1279" operator="containsText" text="AB">
      <formula>NOT(ISERROR(SEARCH("AB",BL14)))</formula>
    </cfRule>
    <cfRule type="containsText" dxfId="73" priority="1274" operator="containsText" text="SP">
      <formula>NOT(ISERROR(SEARCH("SP",BL14)))</formula>
    </cfRule>
    <cfRule type="containsText" dxfId="72" priority="1275" operator="containsText" text="NL">
      <formula>NOT(ISERROR(SEARCH("NL",BL14)))</formula>
    </cfRule>
    <cfRule type="containsText" dxfId="71" priority="1276" operator="containsText" text="FL">
      <formula>NOT(ISERROR(SEARCH("FL",BL14)))</formula>
    </cfRule>
    <cfRule type="containsText" dxfId="70" priority="1277" operator="containsText" text="SUS">
      <formula>NOT(ISERROR(SEARCH("SUS",BL14)))</formula>
    </cfRule>
  </conditionalFormatting>
  <conditionalFormatting sqref="BL15">
    <cfRule type="containsText" dxfId="69" priority="1723" operator="containsText" text="MC">
      <formula>NOT(ISERROR(SEARCH("MC",BL15)))</formula>
    </cfRule>
    <cfRule type="containsText" dxfId="68" priority="1724" operator="containsText" text="OFF">
      <formula>NOT(ISERROR(SEARCH("OFF",BL15)))</formula>
    </cfRule>
    <cfRule type="containsText" dxfId="67" priority="1722" operator="containsText" text="AL">
      <formula>NOT(ISERROR(SEARCH("AL",BL15)))</formula>
    </cfRule>
    <cfRule type="containsText" dxfId="66" priority="1715" operator="containsText" text="SP">
      <formula>NOT(ISERROR(SEARCH("SP",BL15)))</formula>
    </cfRule>
    <cfRule type="containsText" dxfId="65" priority="1716" operator="containsText" text="NL">
      <formula>NOT(ISERROR(SEARCH("NL",BL15)))</formula>
    </cfRule>
    <cfRule type="containsText" dxfId="64" priority="1717" operator="containsText" text="FL">
      <formula>NOT(ISERROR(SEARCH("FL",BL15)))</formula>
    </cfRule>
    <cfRule type="containsText" dxfId="63" priority="1718" operator="containsText" text="SUS">
      <formula>NOT(ISERROR(SEARCH("SUS",BL15)))</formula>
    </cfRule>
    <cfRule type="containsText" dxfId="62" priority="1719" operator="containsText" text="EL">
      <formula>NOT(ISERROR(SEARCH("EL",BL15)))</formula>
    </cfRule>
    <cfRule type="containsText" dxfId="61" priority="1720" operator="containsText" text="AB">
      <formula>NOT(ISERROR(SEARCH("AB",BL15)))</formula>
    </cfRule>
    <cfRule type="containsText" dxfId="60" priority="1721" operator="containsText" text="Sick">
      <formula>NOT(ISERROR(SEARCH("Sick",BL15)))</formula>
    </cfRule>
  </conditionalFormatting>
  <conditionalFormatting sqref="BL19:BL20">
    <cfRule type="containsText" dxfId="59" priority="1284" operator="containsText" text="SP">
      <formula>NOT(ISERROR(SEARCH("SP",BL19)))</formula>
    </cfRule>
    <cfRule type="containsText" dxfId="58" priority="1286" operator="containsText" text="FL">
      <formula>NOT(ISERROR(SEARCH("FL",BL19)))</formula>
    </cfRule>
    <cfRule type="containsText" dxfId="57" priority="1285" operator="containsText" text="NL">
      <formula>NOT(ISERROR(SEARCH("NL",BL19)))</formula>
    </cfRule>
    <cfRule type="containsText" dxfId="56" priority="1287" operator="containsText" text="SUS">
      <formula>NOT(ISERROR(SEARCH("SUS",BL19)))</formula>
    </cfRule>
    <cfRule type="containsText" dxfId="55" priority="1288" operator="containsText" text="EL">
      <formula>NOT(ISERROR(SEARCH("EL",BL19)))</formula>
    </cfRule>
    <cfRule type="containsText" dxfId="54" priority="1289" operator="containsText" text="AB">
      <formula>NOT(ISERROR(SEARCH("AB",BL19)))</formula>
    </cfRule>
    <cfRule type="containsText" dxfId="53" priority="1290" operator="containsText" text="Sick">
      <formula>NOT(ISERROR(SEARCH("Sick",BL19)))</formula>
    </cfRule>
    <cfRule type="containsText" dxfId="52" priority="1291" operator="containsText" text="AL">
      <formula>NOT(ISERROR(SEARCH("AL",BL19)))</formula>
    </cfRule>
    <cfRule type="containsText" dxfId="51" priority="1292" operator="containsText" text="MC">
      <formula>NOT(ISERROR(SEARCH("MC",BL19)))</formula>
    </cfRule>
    <cfRule type="containsText" dxfId="50" priority="1293" operator="containsText" text="OFF">
      <formula>NOT(ISERROR(SEARCH("OFF",BL19)))</formula>
    </cfRule>
  </conditionalFormatting>
  <conditionalFormatting sqref="BL23">
    <cfRule type="containsText" dxfId="49" priority="1303" operator="containsText" text="OFF">
      <formula>NOT(ISERROR(SEARCH("OFF",BL23)))</formula>
    </cfRule>
    <cfRule type="containsText" dxfId="48" priority="1295" operator="containsText" text="NL">
      <formula>NOT(ISERROR(SEARCH("NL",BL23)))</formula>
    </cfRule>
    <cfRule type="containsText" dxfId="47" priority="1302" operator="containsText" text="MC">
      <formula>NOT(ISERROR(SEARCH("MC",BL23)))</formula>
    </cfRule>
    <cfRule type="containsText" dxfId="46" priority="1301" operator="containsText" text="AL">
      <formula>NOT(ISERROR(SEARCH("AL",BL23)))</formula>
    </cfRule>
    <cfRule type="containsText" dxfId="45" priority="1300" operator="containsText" text="Sick">
      <formula>NOT(ISERROR(SEARCH("Sick",BL23)))</formula>
    </cfRule>
    <cfRule type="containsText" dxfId="44" priority="1299" operator="containsText" text="AB">
      <formula>NOT(ISERROR(SEARCH("AB",BL23)))</formula>
    </cfRule>
    <cfRule type="containsText" dxfId="43" priority="1297" operator="containsText" text="SUS">
      <formula>NOT(ISERROR(SEARCH("SUS",BL23)))</formula>
    </cfRule>
    <cfRule type="containsText" dxfId="42" priority="1296" operator="containsText" text="FL">
      <formula>NOT(ISERROR(SEARCH("FL",BL23)))</formula>
    </cfRule>
    <cfRule type="containsText" dxfId="41" priority="1294" operator="containsText" text="SP">
      <formula>NOT(ISERROR(SEARCH("SP",BL23)))</formula>
    </cfRule>
    <cfRule type="containsText" dxfId="40" priority="1298" operator="containsText" text="EL">
      <formula>NOT(ISERROR(SEARCH("EL",BL23)))</formula>
    </cfRule>
  </conditionalFormatting>
  <conditionalFormatting sqref="BM25:BP25">
    <cfRule type="containsText" dxfId="39" priority="16" operator="containsText" text="AB">
      <formula>NOT(ISERROR(SEARCH("AB",BM25)))</formula>
    </cfRule>
    <cfRule type="containsText" dxfId="38" priority="17" operator="containsText" text="Sick">
      <formula>NOT(ISERROR(SEARCH("Sick",BM25)))</formula>
    </cfRule>
    <cfRule type="containsText" dxfId="37" priority="18" operator="containsText" text="AL">
      <formula>NOT(ISERROR(SEARCH("AL",BM25)))</formula>
    </cfRule>
    <cfRule type="containsText" dxfId="36" priority="20" operator="containsText" text="OFF">
      <formula>NOT(ISERROR(SEARCH("OFF",BM25)))</formula>
    </cfRule>
    <cfRule type="containsText" dxfId="35" priority="11" operator="containsText" text="SP">
      <formula>NOT(ISERROR(SEARCH("SP",BM25)))</formula>
    </cfRule>
    <cfRule type="containsText" dxfId="34" priority="19" operator="containsText" text="MC">
      <formula>NOT(ISERROR(SEARCH("MC",BM25)))</formula>
    </cfRule>
    <cfRule type="containsText" dxfId="33" priority="15" operator="containsText" text="EL">
      <formula>NOT(ISERROR(SEARCH("EL",BM25)))</formula>
    </cfRule>
    <cfRule type="containsText" dxfId="32" priority="14" operator="containsText" text="SUS">
      <formula>NOT(ISERROR(SEARCH("SUS",BM25)))</formula>
    </cfRule>
    <cfRule type="containsText" dxfId="31" priority="13" operator="containsText" text="FL">
      <formula>NOT(ISERROR(SEARCH("FL",BM25)))</formula>
    </cfRule>
    <cfRule type="containsText" dxfId="30" priority="12" operator="containsText" text="NL">
      <formula>NOT(ISERROR(SEARCH("NL",BM25)))</formula>
    </cfRule>
  </conditionalFormatting>
  <conditionalFormatting sqref="BN14:BP15">
    <cfRule type="containsText" dxfId="29" priority="1271" operator="containsText" text="AL">
      <formula>NOT(ISERROR(SEARCH("AL",BN14)))</formula>
    </cfRule>
    <cfRule type="containsText" dxfId="28" priority="1267" operator="containsText" text="SUS">
      <formula>NOT(ISERROR(SEARCH("SUS",BN14)))</formula>
    </cfRule>
    <cfRule type="containsText" dxfId="27" priority="1269" operator="containsText" text="AB">
      <formula>NOT(ISERROR(SEARCH("AB",BN14)))</formula>
    </cfRule>
    <cfRule type="containsText" dxfId="26" priority="1264" operator="containsText" text="SP">
      <formula>NOT(ISERROR(SEARCH("SP",BN14)))</formula>
    </cfRule>
    <cfRule type="containsText" dxfId="25" priority="1265" operator="containsText" text="NL">
      <formula>NOT(ISERROR(SEARCH("NL",BN14)))</formula>
    </cfRule>
    <cfRule type="containsText" dxfId="24" priority="1266" operator="containsText" text="FL">
      <formula>NOT(ISERROR(SEARCH("FL",BN14)))</formula>
    </cfRule>
    <cfRule type="containsText" dxfId="23" priority="1268" operator="containsText" text="EL">
      <formula>NOT(ISERROR(SEARCH("EL",BN14)))</formula>
    </cfRule>
    <cfRule type="containsText" dxfId="22" priority="1270" operator="containsText" text="Sick">
      <formula>NOT(ISERROR(SEARCH("Sick",BN14)))</formula>
    </cfRule>
    <cfRule type="containsText" dxfId="21" priority="1272" operator="containsText" text="MC">
      <formula>NOT(ISERROR(SEARCH("MC",BN14)))</formula>
    </cfRule>
    <cfRule type="containsText" dxfId="20" priority="1273" operator="containsText" text="OFF">
      <formula>NOT(ISERROR(SEARCH("OFF",BN14)))</formula>
    </cfRule>
  </conditionalFormatting>
  <conditionalFormatting sqref="BT5:BZ5">
    <cfRule type="containsText" dxfId="19" priority="4710" operator="containsText" text="OFF">
      <formula>NOT(ISERROR(SEARCH("OFF",BT5)))</formula>
    </cfRule>
    <cfRule type="containsText" dxfId="18" priority="4702" operator="containsText" text="NL">
      <formula>NOT(ISERROR(SEARCH("NL",BT5)))</formula>
    </cfRule>
    <cfRule type="containsText" dxfId="17" priority="4703" operator="containsText" text="FL">
      <formula>NOT(ISERROR(SEARCH("FL",BT5)))</formula>
    </cfRule>
    <cfRule type="containsText" dxfId="16" priority="4708" operator="containsText" text="AL">
      <formula>NOT(ISERROR(SEARCH("AL",BT5)))</formula>
    </cfRule>
    <cfRule type="containsText" dxfId="15" priority="4704" operator="containsText" text="SUS">
      <formula>NOT(ISERROR(SEARCH("SUS",BT5)))</formula>
    </cfRule>
    <cfRule type="containsText" dxfId="14" priority="4706" operator="containsText" text="AB">
      <formula>NOT(ISERROR(SEARCH("AB",BT5)))</formula>
    </cfRule>
    <cfRule type="containsText" dxfId="13" priority="4705" operator="containsText" text="EL">
      <formula>NOT(ISERROR(SEARCH("EL",BT5)))</formula>
    </cfRule>
    <cfRule type="containsText" dxfId="12" priority="4707" operator="containsText" text="Sick">
      <formula>NOT(ISERROR(SEARCH("Sick",BT5)))</formula>
    </cfRule>
    <cfRule type="containsText" dxfId="11" priority="4709" operator="containsText" text="MC">
      <formula>NOT(ISERROR(SEARCH("MC",BT5)))</formula>
    </cfRule>
    <cfRule type="containsText" dxfId="10" priority="4701" operator="containsText" text="SP">
      <formula>NOT(ISERROR(SEARCH("SP",BT5)))</formula>
    </cfRule>
  </conditionalFormatting>
  <conditionalFormatting sqref="CB5:CD5">
    <cfRule type="containsText" dxfId="9" priority="4730" operator="containsText" text="OFF">
      <formula>NOT(ISERROR(SEARCH("OFF",CB5)))</formula>
    </cfRule>
    <cfRule type="containsText" dxfId="8" priority="4729" operator="containsText" text="MC">
      <formula>NOT(ISERROR(SEARCH("MC",CB5)))</formula>
    </cfRule>
    <cfRule type="containsText" dxfId="7" priority="4728" operator="containsText" text="AL">
      <formula>NOT(ISERROR(SEARCH("AL",CB5)))</formula>
    </cfRule>
    <cfRule type="containsText" dxfId="6" priority="4727" operator="containsText" text="Sick">
      <formula>NOT(ISERROR(SEARCH("Sick",CB5)))</formula>
    </cfRule>
    <cfRule type="containsText" dxfId="5" priority="4721" operator="containsText" text="SP">
      <formula>NOT(ISERROR(SEARCH("SP",CB5)))</formula>
    </cfRule>
    <cfRule type="containsText" dxfId="4" priority="4726" operator="containsText" text="AB">
      <formula>NOT(ISERROR(SEARCH("AB",CB5)))</formula>
    </cfRule>
    <cfRule type="containsText" dxfId="3" priority="4722" operator="containsText" text="NL">
      <formula>NOT(ISERROR(SEARCH("NL",CB5)))</formula>
    </cfRule>
    <cfRule type="containsText" dxfId="2" priority="4723" operator="containsText" text="FL">
      <formula>NOT(ISERROR(SEARCH("FL",CB5)))</formula>
    </cfRule>
    <cfRule type="containsText" dxfId="1" priority="4724" operator="containsText" text="SUS">
      <formula>NOT(ISERROR(SEARCH("SUS",CB5)))</formula>
    </cfRule>
    <cfRule type="containsText" dxfId="0" priority="4725" operator="containsText" text="EL">
      <formula>NOT(ISERROR(SEARCH("EL",CB5)))</formula>
    </cfRule>
  </conditionalFormatting>
  <pageMargins left="0.7" right="0.7" top="0.75" bottom="0.75" header="0.3" footer="0.3"/>
  <pageSetup paperSize="9" scale="2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E5:AH5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AK5:AL5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AM5:AN5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AO5:AP5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AQ5:AR5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AS5:AT5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AU5:AV5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AW5:AX5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AY5:AZ5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BA5:BB5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BC5:BD5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BE5:BF5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BG5:BP5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2026-08-17T12:46:50Z</cp:lastPrinted>
  <dcterms:created xsi:type="dcterms:W3CDTF">2025-11-01T09:49:58Z</dcterms:created>
  <dcterms:modified xsi:type="dcterms:W3CDTF">2026-10-30T09:52:57Z</dcterms:modified>
</cp:coreProperties>
</file>