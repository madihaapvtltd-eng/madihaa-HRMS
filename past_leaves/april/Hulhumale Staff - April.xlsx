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pril\"/>
    </mc:Choice>
  </mc:AlternateContent>
  <xr:revisionPtr revIDLastSave="0" documentId="13_ncr:1_{FD82AB17-AAAA-421B-A078-03FA9CADE70D}" xr6:coauthVersionLast="47" xr6:coauthVersionMax="47" xr10:uidLastSave="{00000000-0000-0000-0000-000000000000}"/>
  <bookViews>
    <workbookView xWindow="-120" yWindow="-120" windowWidth="29040" windowHeight="15840" xr2:uid="{F40E51D0-06DA-454F-A274-231ADDE8369D}"/>
  </bookViews>
  <sheets>
    <sheet name="MASTER" sheetId="1" r:id="rId1"/>
    <sheet name="MD Imran Ali" sheetId="6" r:id="rId2"/>
    <sheet name="Abdul Hafiz" sheetId="7" r:id="rId3"/>
    <sheet name="Akter Hossain" sheetId="8" r:id="rId4"/>
  </sheets>
  <externalReferences>
    <externalReference r:id="rId5"/>
  </externalReferences>
  <definedNames>
    <definedName name="_xlnm._FilterDatabase" localSheetId="3" hidden="1">'Akter Hossain'!$CI$4:$CS$4</definedName>
    <definedName name="_xlnm._FilterDatabase" localSheetId="0" hidden="1">MASTER!$CH$4:$CR$4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9" i="1" l="1"/>
  <c r="BQ60" i="1"/>
  <c r="BQ6" i="1"/>
  <c r="BQ7" i="1"/>
  <c r="BQ8" i="1"/>
  <c r="BQ9" i="1"/>
  <c r="BQ10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CS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CS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CS5" i="8"/>
  <c r="BR5" i="8"/>
  <c r="B5" i="8"/>
  <c r="BZ5" i="8" s="1"/>
  <c r="X11" i="7"/>
  <c r="BW5" i="8" l="1"/>
  <c r="BY5" i="8"/>
  <c r="BS5" i="8"/>
  <c r="CA5" i="8"/>
  <c r="BP29" i="8"/>
  <c r="BU5" i="8"/>
  <c r="CC5" i="8"/>
  <c r="BP30" i="8"/>
  <c r="BT5" i="8"/>
  <c r="BX5" i="8"/>
  <c r="CB5" i="8"/>
  <c r="BV5" i="8"/>
  <c r="AI11" i="7"/>
  <c r="AH11" i="7"/>
  <c r="AG11" i="7"/>
  <c r="AF11" i="7"/>
  <c r="AE11" i="7"/>
  <c r="AD11" i="7"/>
  <c r="AC11" i="7"/>
  <c r="AB11" i="7"/>
  <c r="AA11" i="7"/>
  <c r="Z11" i="7"/>
  <c r="AY28" i="6"/>
  <c r="AX28" i="6"/>
  <c r="AW28" i="6"/>
  <c r="AV28" i="6"/>
  <c r="AU28" i="6"/>
  <c r="AT28" i="6"/>
  <c r="AS28" i="6"/>
  <c r="AR28" i="6"/>
  <c r="AQ28" i="6"/>
  <c r="AP28" i="6"/>
  <c r="AO28" i="6"/>
  <c r="AN28" i="6"/>
  <c r="AY5" i="6"/>
  <c r="AX5" i="6"/>
  <c r="AW5" i="6"/>
  <c r="AV5" i="6"/>
  <c r="AU5" i="6"/>
  <c r="AT5" i="6"/>
  <c r="AS5" i="6"/>
  <c r="AR5" i="6"/>
  <c r="AQ5" i="6"/>
  <c r="AP5" i="6"/>
  <c r="AO5" i="6"/>
  <c r="AN5" i="6"/>
  <c r="BR6" i="1"/>
  <c r="BS6" i="1"/>
  <c r="BT6" i="1"/>
  <c r="BU6" i="1"/>
  <c r="BV6" i="1"/>
  <c r="BW6" i="1"/>
  <c r="BX6" i="1"/>
  <c r="BY6" i="1"/>
  <c r="BZ6" i="1"/>
  <c r="CA6" i="1"/>
  <c r="CB6" i="1"/>
  <c r="CR60" i="1"/>
  <c r="CR9" i="1"/>
  <c r="CR35" i="1"/>
  <c r="CR36" i="1"/>
  <c r="CR25" i="1"/>
  <c r="CR58" i="1"/>
  <c r="AL28" i="6" l="1"/>
  <c r="BO6" i="1"/>
  <c r="BP5" i="8"/>
  <c r="V11" i="7"/>
  <c r="AL5" i="6"/>
  <c r="BR25" i="1"/>
  <c r="BS25" i="1"/>
  <c r="BT25" i="1"/>
  <c r="BU25" i="1"/>
  <c r="BV25" i="1"/>
  <c r="BW25" i="1"/>
  <c r="BX25" i="1"/>
  <c r="BY25" i="1"/>
  <c r="BZ25" i="1"/>
  <c r="CA25" i="1"/>
  <c r="CB25" i="1"/>
  <c r="BQ58" i="1"/>
  <c r="BQ59" i="1"/>
  <c r="BQ17" i="1"/>
  <c r="BQ5" i="1"/>
  <c r="CR8" i="1"/>
  <c r="BR8" i="1"/>
  <c r="BS8" i="1"/>
  <c r="BT8" i="1"/>
  <c r="BU8" i="1"/>
  <c r="BV8" i="1"/>
  <c r="BW8" i="1"/>
  <c r="BX8" i="1"/>
  <c r="BY8" i="1"/>
  <c r="BZ8" i="1"/>
  <c r="CA8" i="1"/>
  <c r="CB8" i="1"/>
  <c r="BR35" i="1"/>
  <c r="BS35" i="1"/>
  <c r="BT35" i="1"/>
  <c r="BU35" i="1"/>
  <c r="BV35" i="1"/>
  <c r="BW35" i="1"/>
  <c r="BX35" i="1"/>
  <c r="BY35" i="1"/>
  <c r="BZ35" i="1"/>
  <c r="CA35" i="1"/>
  <c r="CB35" i="1"/>
  <c r="BR36" i="1"/>
  <c r="BS36" i="1"/>
  <c r="BT36" i="1"/>
  <c r="BU36" i="1"/>
  <c r="BV36" i="1"/>
  <c r="BW36" i="1"/>
  <c r="BX36" i="1"/>
  <c r="BY36" i="1"/>
  <c r="BZ36" i="1"/>
  <c r="CA36" i="1"/>
  <c r="CB36" i="1"/>
  <c r="BO8" i="1" l="1"/>
  <c r="BO25" i="1"/>
  <c r="BO35" i="1"/>
  <c r="BO36" i="1"/>
  <c r="CR34" i="1"/>
  <c r="CR33" i="1"/>
  <c r="CR32" i="1"/>
  <c r="CR31" i="1"/>
  <c r="CR30" i="1"/>
  <c r="CR29" i="1"/>
  <c r="CR59" i="1"/>
  <c r="CR28" i="1"/>
  <c r="CR27" i="1"/>
  <c r="CR26" i="1"/>
  <c r="CR24" i="1"/>
  <c r="CR23" i="1"/>
  <c r="CR22" i="1"/>
  <c r="CR21" i="1"/>
  <c r="CR20" i="1"/>
  <c r="CR19" i="1"/>
  <c r="CR18" i="1"/>
  <c r="CR17" i="1"/>
  <c r="CR10" i="1"/>
  <c r="CR7" i="1"/>
  <c r="CR6" i="1"/>
  <c r="CR5" i="1"/>
  <c r="BR18" i="1" l="1"/>
  <c r="BS18" i="1"/>
  <c r="BT18" i="1"/>
  <c r="BU18" i="1"/>
  <c r="BV18" i="1"/>
  <c r="BW18" i="1"/>
  <c r="BX18" i="1"/>
  <c r="BY18" i="1"/>
  <c r="BZ18" i="1"/>
  <c r="CA18" i="1"/>
  <c r="CB18" i="1"/>
  <c r="BR19" i="1"/>
  <c r="BS19" i="1"/>
  <c r="BT19" i="1"/>
  <c r="BU19" i="1"/>
  <c r="BV19" i="1"/>
  <c r="BW19" i="1"/>
  <c r="BX19" i="1"/>
  <c r="BY19" i="1"/>
  <c r="BZ19" i="1"/>
  <c r="CA19" i="1"/>
  <c r="CB19" i="1"/>
  <c r="BR20" i="1"/>
  <c r="BS20" i="1"/>
  <c r="BT20" i="1"/>
  <c r="BU20" i="1"/>
  <c r="BV20" i="1"/>
  <c r="BW20" i="1"/>
  <c r="BX20" i="1"/>
  <c r="BY20" i="1"/>
  <c r="BZ20" i="1"/>
  <c r="CA20" i="1"/>
  <c r="CB20" i="1"/>
  <c r="BR21" i="1"/>
  <c r="BS21" i="1"/>
  <c r="BT21" i="1"/>
  <c r="BU21" i="1"/>
  <c r="BV21" i="1"/>
  <c r="BW21" i="1"/>
  <c r="BX21" i="1"/>
  <c r="BY21" i="1"/>
  <c r="BZ21" i="1"/>
  <c r="CA21" i="1"/>
  <c r="CB21" i="1"/>
  <c r="BR22" i="1"/>
  <c r="BS22" i="1"/>
  <c r="BT22" i="1"/>
  <c r="BU22" i="1"/>
  <c r="BV22" i="1"/>
  <c r="BW22" i="1"/>
  <c r="BX22" i="1"/>
  <c r="BY22" i="1"/>
  <c r="BZ22" i="1"/>
  <c r="CA22" i="1"/>
  <c r="CB22" i="1"/>
  <c r="BR23" i="1"/>
  <c r="BS23" i="1"/>
  <c r="BT23" i="1"/>
  <c r="BU23" i="1"/>
  <c r="BV23" i="1"/>
  <c r="BW23" i="1"/>
  <c r="BX23" i="1"/>
  <c r="BY23" i="1"/>
  <c r="BZ23" i="1"/>
  <c r="CA23" i="1"/>
  <c r="CB23" i="1"/>
  <c r="BR24" i="1"/>
  <c r="BS24" i="1"/>
  <c r="BT24" i="1"/>
  <c r="BU24" i="1"/>
  <c r="BV24" i="1"/>
  <c r="BW24" i="1"/>
  <c r="BX24" i="1"/>
  <c r="BY24" i="1"/>
  <c r="BZ24" i="1"/>
  <c r="CA24" i="1"/>
  <c r="CB24" i="1"/>
  <c r="BR58" i="1"/>
  <c r="BS58" i="1"/>
  <c r="BT58" i="1"/>
  <c r="BU58" i="1"/>
  <c r="BV58" i="1"/>
  <c r="BW58" i="1"/>
  <c r="BX58" i="1"/>
  <c r="BY58" i="1"/>
  <c r="BZ58" i="1"/>
  <c r="CA58" i="1"/>
  <c r="CB58" i="1"/>
  <c r="BR26" i="1"/>
  <c r="BS26" i="1"/>
  <c r="BT26" i="1"/>
  <c r="BU26" i="1"/>
  <c r="BV26" i="1"/>
  <c r="BW26" i="1"/>
  <c r="BX26" i="1"/>
  <c r="BY26" i="1"/>
  <c r="BZ26" i="1"/>
  <c r="CA26" i="1"/>
  <c r="CB26" i="1"/>
  <c r="BR27" i="1"/>
  <c r="BS27" i="1"/>
  <c r="BT27" i="1"/>
  <c r="BU27" i="1"/>
  <c r="BV27" i="1"/>
  <c r="BW27" i="1"/>
  <c r="BX27" i="1"/>
  <c r="BY27" i="1"/>
  <c r="BZ27" i="1"/>
  <c r="CA27" i="1"/>
  <c r="CB27" i="1"/>
  <c r="BR28" i="1"/>
  <c r="BS28" i="1"/>
  <c r="BT28" i="1"/>
  <c r="BU28" i="1"/>
  <c r="BV28" i="1"/>
  <c r="BW28" i="1"/>
  <c r="BX28" i="1"/>
  <c r="BY28" i="1"/>
  <c r="BZ28" i="1"/>
  <c r="CA28" i="1"/>
  <c r="CB28" i="1"/>
  <c r="BR59" i="1"/>
  <c r="BS59" i="1"/>
  <c r="BT59" i="1"/>
  <c r="BU59" i="1"/>
  <c r="BV59" i="1"/>
  <c r="BW59" i="1"/>
  <c r="BX59" i="1"/>
  <c r="BY59" i="1"/>
  <c r="BZ59" i="1"/>
  <c r="CA59" i="1"/>
  <c r="CB59" i="1"/>
  <c r="BR29" i="1"/>
  <c r="BS29" i="1"/>
  <c r="BT29" i="1"/>
  <c r="BU29" i="1"/>
  <c r="BV29" i="1"/>
  <c r="BW29" i="1"/>
  <c r="BX29" i="1"/>
  <c r="BY29" i="1"/>
  <c r="BZ29" i="1"/>
  <c r="CA29" i="1"/>
  <c r="CB29" i="1"/>
  <c r="BR30" i="1"/>
  <c r="BS30" i="1"/>
  <c r="BT30" i="1"/>
  <c r="BU30" i="1"/>
  <c r="BV30" i="1"/>
  <c r="BW30" i="1"/>
  <c r="BX30" i="1"/>
  <c r="BY30" i="1"/>
  <c r="BZ30" i="1"/>
  <c r="CA30" i="1"/>
  <c r="CB30" i="1"/>
  <c r="BR31" i="1"/>
  <c r="BS31" i="1"/>
  <c r="BT31" i="1"/>
  <c r="BU31" i="1"/>
  <c r="BV31" i="1"/>
  <c r="BW31" i="1"/>
  <c r="BX31" i="1"/>
  <c r="BY31" i="1"/>
  <c r="BZ31" i="1"/>
  <c r="CA31" i="1"/>
  <c r="CB31" i="1"/>
  <c r="BR32" i="1"/>
  <c r="BS32" i="1"/>
  <c r="BT32" i="1"/>
  <c r="BU32" i="1"/>
  <c r="BV32" i="1"/>
  <c r="BW32" i="1"/>
  <c r="BX32" i="1"/>
  <c r="BY32" i="1"/>
  <c r="BZ32" i="1"/>
  <c r="CA32" i="1"/>
  <c r="CB32" i="1"/>
  <c r="BR33" i="1"/>
  <c r="BS33" i="1"/>
  <c r="BT33" i="1"/>
  <c r="BU33" i="1"/>
  <c r="BV33" i="1"/>
  <c r="BW33" i="1"/>
  <c r="BX33" i="1"/>
  <c r="BY33" i="1"/>
  <c r="BZ33" i="1"/>
  <c r="CA33" i="1"/>
  <c r="CB33" i="1"/>
  <c r="BR34" i="1"/>
  <c r="BS34" i="1"/>
  <c r="BT34" i="1"/>
  <c r="BU34" i="1"/>
  <c r="BV34" i="1"/>
  <c r="BW34" i="1"/>
  <c r="BX34" i="1"/>
  <c r="BY34" i="1"/>
  <c r="BZ34" i="1"/>
  <c r="CA34" i="1"/>
  <c r="CB34" i="1"/>
  <c r="CB17" i="1"/>
  <c r="CA17" i="1"/>
  <c r="BZ17" i="1"/>
  <c r="BY17" i="1"/>
  <c r="BX17" i="1"/>
  <c r="BW17" i="1"/>
  <c r="BV17" i="1"/>
  <c r="BU17" i="1"/>
  <c r="BT17" i="1"/>
  <c r="BS17" i="1"/>
  <c r="BR17" i="1"/>
  <c r="BO34" i="1" l="1"/>
  <c r="BO33" i="1"/>
  <c r="BO17" i="1" l="1"/>
  <c r="BO26" i="1"/>
  <c r="BO32" i="1"/>
  <c r="BO59" i="1"/>
  <c r="BO23" i="1"/>
  <c r="BO20" i="1"/>
  <c r="BO30" i="1"/>
  <c r="BO27" i="1"/>
  <c r="BO31" i="1"/>
  <c r="BO29" i="1"/>
  <c r="BO28" i="1"/>
  <c r="BO58" i="1"/>
  <c r="BO24" i="1"/>
  <c r="BO22" i="1"/>
  <c r="BO21" i="1"/>
  <c r="BO19" i="1"/>
  <c r="BO18" i="1"/>
  <c r="B10" i="1" l="1"/>
  <c r="B9" i="1"/>
  <c r="B7" i="1"/>
  <c r="B60" i="1"/>
  <c r="BU60" i="1" l="1"/>
  <c r="BY60" i="1"/>
  <c r="BR60" i="1"/>
  <c r="BV60" i="1"/>
  <c r="BZ60" i="1"/>
  <c r="BS60" i="1"/>
  <c r="BW60" i="1"/>
  <c r="CA60" i="1"/>
  <c r="BT60" i="1"/>
  <c r="BX60" i="1"/>
  <c r="CB60" i="1"/>
  <c r="BT7" i="1"/>
  <c r="BX7" i="1"/>
  <c r="CB7" i="1"/>
  <c r="BR7" i="1"/>
  <c r="BU7" i="1"/>
  <c r="BY7" i="1"/>
  <c r="BZ7" i="1"/>
  <c r="BS7" i="1"/>
  <c r="BW7" i="1"/>
  <c r="CA7" i="1"/>
  <c r="BV7" i="1"/>
  <c r="BT9" i="1"/>
  <c r="BX9" i="1"/>
  <c r="CB9" i="1"/>
  <c r="BR9" i="1"/>
  <c r="BU9" i="1"/>
  <c r="BY9" i="1"/>
  <c r="BZ9" i="1"/>
  <c r="BS9" i="1"/>
  <c r="BW9" i="1"/>
  <c r="CA9" i="1"/>
  <c r="BV9" i="1"/>
  <c r="BT5" i="1"/>
  <c r="BX5" i="1"/>
  <c r="CB5" i="1"/>
  <c r="BU5" i="1"/>
  <c r="BY5" i="1"/>
  <c r="BV5" i="1"/>
  <c r="BR5" i="1"/>
  <c r="BS5" i="1"/>
  <c r="BW5" i="1"/>
  <c r="CA5" i="1"/>
  <c r="BZ5" i="1"/>
  <c r="BT10" i="1"/>
  <c r="BX10" i="1"/>
  <c r="CB10" i="1"/>
  <c r="BR10" i="1"/>
  <c r="BU10" i="1"/>
  <c r="BY10" i="1"/>
  <c r="BV10" i="1"/>
  <c r="BS10" i="1"/>
  <c r="BW10" i="1"/>
  <c r="CA10" i="1"/>
  <c r="BZ10" i="1"/>
  <c r="BO5" i="1" l="1"/>
  <c r="BO10" i="1"/>
  <c r="BO7" i="1"/>
  <c r="BO60" i="1"/>
</calcChain>
</file>

<file path=xl/sharedStrings.xml><?xml version="1.0" encoding="utf-8"?>
<sst xmlns="http://schemas.openxmlformats.org/spreadsheetml/2006/main" count="978" uniqueCount="125">
  <si>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</si>
  <si>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</si>
  <si>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</si>
  <si>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</si>
  <si>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</si>
  <si>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</si>
  <si>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</si>
  <si>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</si>
  <si>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</si>
  <si>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</si>
  <si>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</si>
  <si>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</si>
  <si>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</si>
  <si>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</si>
  <si>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</si>
  <si>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</si>
  <si>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</si>
  <si>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</si>
  <si>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</si>
  <si>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</si>
  <si>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</si>
  <si>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</si>
  <si>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</si>
  <si>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</si>
  <si>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</si>
  <si>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</si>
  <si>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</si>
  <si>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</si>
  <si>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</si>
  <si>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</si>
  <si>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</si>
  <si>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</si>
  <si>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</si>
  <si>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</si>
  <si>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</si>
  <si>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</si>
  <si>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</si>
  <si>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</si>
  <si>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</si>
  <si>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GRAPESON EDWARD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</si>
  <si>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</si>
  <si>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</si>
  <si>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</si>
  <si>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</si>
  <si>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</si>
  <si>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</si>
  <si>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</si>
  <si>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MD MUKUL ALI</t>
  </si>
  <si>
    <t>MAD0621</t>
  </si>
  <si>
    <t>Manuyar Sekh</t>
  </si>
  <si>
    <t>MAD0627</t>
  </si>
  <si>
    <t>Manirul Laskar</t>
  </si>
  <si>
    <t>MAD0637</t>
  </si>
  <si>
    <t>Alisan</t>
  </si>
  <si>
    <t>MAD0654</t>
  </si>
  <si>
    <t>MAD0658</t>
  </si>
  <si>
    <t>Javed Alam</t>
  </si>
  <si>
    <t>MAD0671</t>
  </si>
  <si>
    <t>Najare Alam Ansari</t>
  </si>
  <si>
    <t>MAD0685</t>
  </si>
  <si>
    <t>MD ABDUS SAMAD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</si>
  <si>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</si>
  <si>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</si>
  <si>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</si>
  <si>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</si>
  <si>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</si>
  <si>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</si>
  <si>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</si>
  <si>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</si>
  <si>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</si>
  <si>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</si>
  <si>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</si>
  <si>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</si>
  <si>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</si>
  <si>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</si>
  <si>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</si>
  <si>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</si>
  <si>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</si>
  <si>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</si>
  <si>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</si>
  <si>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</si>
  <si>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</si>
  <si>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</si>
  <si>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</si>
  <si>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</si>
  <si>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</si>
  <si>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</si>
  <si>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</si>
  <si>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</si>
  <si>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</si>
  <si>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</si>
  <si>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</si>
  <si>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</si>
  <si>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</si>
  <si>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 Imran Ali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</si>
  <si>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</si>
  <si>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</si>
  <si>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</si>
  <si>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</si>
  <si>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</si>
  <si>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</si>
  <si>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</si>
  <si>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</si>
  <si>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</si>
  <si>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 xml:space="preserve">Note:    </t>
  </si>
  <si>
    <t>OT</t>
  </si>
  <si>
    <t>Friday</t>
  </si>
  <si>
    <t>FIXED OT</t>
  </si>
  <si>
    <t>MAD0657</t>
  </si>
  <si>
    <t>Firoj Pawariya</t>
  </si>
  <si>
    <t>Attendance for APRIL 2026 - Hulhumale Senior Foreign  Staff</t>
  </si>
  <si>
    <t>Attendance for  APRIL 2026 - Hulhumale Junior  Staff</t>
  </si>
  <si>
    <t>MAD0244</t>
  </si>
  <si>
    <t xml:space="preserve">Used Leave Totals (Running Year, up to end of this month - APRIL  2026) </t>
  </si>
  <si>
    <t>Please  pay food allowance for 17  days(April 1st-17th)</t>
  </si>
  <si>
    <t>43H=430(Mar 26th - Apr 13th)</t>
  </si>
  <si>
    <t>Abdul Rahman Gasim</t>
  </si>
  <si>
    <t>Operations Manager</t>
  </si>
  <si>
    <t>Salary and Allowance Settlement for April 2026 - Hulhumale Junior Foreign  Staff</t>
  </si>
  <si>
    <t>46H=460 Rf (Mar 26th - Apr 19th)</t>
  </si>
  <si>
    <t>Please  pay food allowance for  9 days ( 16th - 24th)Apr</t>
  </si>
  <si>
    <t>Please  pay food allowance for  16 days ( 16th Apr - 1st may)</t>
  </si>
  <si>
    <t>Salary and Allowance Settlement for April/May 2026 - Hulhumale Senior Foreign  Staff</t>
  </si>
  <si>
    <t xml:space="preserve">  Salary and Allowance Settlement for April/May 2026 - Hulhumale Senior Foreign  Staff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</si>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</sst>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b/>
      <sz val="9.9"/>
      <color rgb="FFC6282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8F9FA"/>
        <bgColor indexed="64"/>
      </patternFill>
    </fill>
    <fill>
      <patternFill patternType="solid">
        <fgColor rgb="FFFFEBE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53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center" wrapText="1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4" borderId="2" xfId="0" applyNumberFormat="1" applyFill="1" applyBorder="1" applyAlignment="1">
      <alignment horizontal="center" vertical="center"/>
    </xf>
    <xf numFmtId="20" fontId="1" fillId="4" borderId="2" xfId="0" applyNumberFormat="1" applyFont="1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24" fillId="0" borderId="0" xfId="0" applyFont="1"/>
    <xf numFmtId="164" fontId="20" fillId="0" borderId="0" xfId="0" applyNumberFormat="1" applyFont="1" applyAlignment="1">
      <alignment horizontal="center" vertical="center"/>
    </xf>
    <xf numFmtId="0" fontId="25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1" fillId="11" borderId="0" xfId="0" applyFont="1" applyFill="1"/>
    <xf numFmtId="0" fontId="26" fillId="0" borderId="0" xfId="0" applyFont="1" applyAlignment="1">
      <alignment vertical="center"/>
    </xf>
    <xf numFmtId="49" fontId="25" fillId="11" borderId="0" xfId="0" applyNumberFormat="1" applyFont="1" applyFill="1" applyAlignment="1">
      <alignment vertical="center"/>
    </xf>
    <xf numFmtId="49" fontId="25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15" fontId="1" fillId="4" borderId="8" xfId="0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20" fontId="1" fillId="12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9" fillId="4" borderId="2" xfId="0" applyNumberFormat="1" applyFont="1" applyFill="1" applyBorder="1" applyAlignment="1">
      <alignment horizontal="center" vertical="center" wrapText="1"/>
    </xf>
    <xf numFmtId="20" fontId="30" fillId="12" borderId="2" xfId="0" applyNumberFormat="1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1" fontId="8" fillId="4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vertical="center"/>
    </xf>
    <xf numFmtId="0" fontId="19" fillId="9" borderId="0" xfId="0" applyFont="1" applyFill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1" fontId="29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20" fontId="33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20" fontId="29" fillId="4" borderId="5" xfId="0" applyNumberFormat="1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20" fontId="34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33" fillId="4" borderId="2" xfId="0" applyNumberFormat="1" applyFont="1" applyFill="1" applyBorder="1" applyAlignment="1">
      <alignment horizontal="center" vertical="center" wrapText="1"/>
    </xf>
    <xf numFmtId="1" fontId="34" fillId="12" borderId="2" xfId="0" applyNumberFormat="1" applyFont="1" applyFill="1" applyBorder="1" applyAlignment="1">
      <alignment horizontal="center" vertical="center" wrapText="1"/>
    </xf>
    <xf numFmtId="0" fontId="31" fillId="15" borderId="10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vertical="center"/>
    </xf>
    <xf numFmtId="20" fontId="35" fillId="16" borderId="10" xfId="0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9" borderId="0" xfId="0" applyFill="1"/>
    <xf numFmtId="0" fontId="9" fillId="4" borderId="2" xfId="0" applyFont="1" applyFill="1" applyBorder="1" applyAlignment="1">
      <alignment horizontal="center" vertical="center"/>
    </xf>
    <xf numFmtId="0" fontId="0" fillId="4" borderId="17" xfId="0" applyFill="1" applyBorder="1" applyAlignment="1">
      <alignment vertical="center"/>
    </xf>
    <xf numFmtId="15" fontId="7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textRotation="90" wrapText="1"/>
    </xf>
    <xf numFmtId="0" fontId="5" fillId="5" borderId="8" xfId="0" applyFont="1" applyFill="1" applyBorder="1" applyAlignment="1">
      <alignment horizontal="center" vertical="center" textRotation="90" wrapText="1"/>
    </xf>
    <xf numFmtId="0" fontId="5" fillId="5" borderId="9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15" fontId="7" fillId="3" borderId="3" xfId="0" applyNumberFormat="1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154"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go\MANGO%20SHARE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4C0FB-DDA6-4DA1-9FFC-F74164136AFC}" name="Table2" displayName="Table2" ref="CH4:CR10" totalsRowShown="0" headerRowDxfId="153" dataDxfId="151" headerRowBorderDxfId="152" tableBorderDxfId="150" totalsRowBorderDxfId="149">
  <autoFilter ref="CH4:CR10" xr:uid="{60D4C0FB-DDA6-4DA1-9FFC-F74164136AFC}"/>
  <tableColumns count="11">
    <tableColumn id="1" xr3:uid="{FC384AC3-7600-431A-B6C2-1D7D41A86FA0}" name="MC" dataDxfId="148"/>
    <tableColumn id="2" xr3:uid="{919D7DDB-9EFB-4A8D-BE0B-C5D93CC34F5A}" name="EL" dataDxfId="147"/>
    <tableColumn id="3" xr3:uid="{7145DFD4-A922-4A4F-A6E4-C99DDA10EC7B}" name="AL" dataDxfId="146"/>
    <tableColumn id="4" xr3:uid="{9FFD4FF6-1484-462F-B15D-7E7510DA560D}" name="SUS" dataDxfId="145"/>
    <tableColumn id="5" xr3:uid="{52A2C6A8-CDF2-45EC-913D-ADF79AB595D7}" name="FL" dataDxfId="144"/>
    <tableColumn id="6" xr3:uid="{F14C484D-9F39-486E-BEC3-21F64C76F390}" name="S" dataDxfId="143"/>
    <tableColumn id="7" xr3:uid="{A4CCCDEF-327D-403A-9175-87E6156B5C61}" name="HD" dataDxfId="142"/>
    <tableColumn id="8" xr3:uid="{1EECA671-F97F-4C69-BF8E-CA0A8D62E14F}" name="AB" dataDxfId="141"/>
    <tableColumn id="9" xr3:uid="{A52320D1-512E-4ABF-937A-B1B3BCF2AC59}" name="NL" dataDxfId="140"/>
    <tableColumn id="10" xr3:uid="{73D83DD0-52B6-4032-8D58-B281C790AB98}" name="SP" dataDxfId="139"/>
    <tableColumn id="11" xr3:uid="{5020D66B-38C1-4C79-8183-E44F2FEE4C0B}" name="Total" dataDxfId="138">
      <calculatedColumnFormula>SUM(CH5:CQ5)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D0A08-CB2A-4CB3-913C-011508490441}" name="Table22" displayName="Table22" ref="CI4:CS5" totalsRowShown="0" headerRowDxfId="137" dataDxfId="135" headerRowBorderDxfId="136" tableBorderDxfId="134" totalsRowBorderDxfId="133">
  <autoFilter ref="CI4:CS5" xr:uid="{60D4C0FB-DDA6-4DA1-9FFC-F74164136AFC}"/>
  <tableColumns count="11">
    <tableColumn id="1" xr3:uid="{5D6DCBEA-6B58-402D-848C-D2B1B92683B3}" name="MC" dataDxfId="132"/>
    <tableColumn id="2" xr3:uid="{32C136E1-B487-4D84-803B-1831BA8680BD}" name="EL" dataDxfId="131"/>
    <tableColumn id="3" xr3:uid="{104005B4-7DE4-4269-A7BF-678CD427EFD5}" name="AL" dataDxfId="130"/>
    <tableColumn id="4" xr3:uid="{5886858B-4A47-4E93-9598-80BFDF956697}" name="SUS" dataDxfId="129"/>
    <tableColumn id="5" xr3:uid="{C39B71DC-A27C-4FA0-8169-1A0B229BEFE3}" name="FL" dataDxfId="128"/>
    <tableColumn id="6" xr3:uid="{CE15DED6-9E7A-4315-B787-F2592A95D01A}" name="S" dataDxfId="127"/>
    <tableColumn id="7" xr3:uid="{8E0FC9C5-37BC-4416-AFCF-A10828137ABF}" name="HD" dataDxfId="126"/>
    <tableColumn id="8" xr3:uid="{13AD767D-95B9-497B-ABA9-22A5C3A3DF3A}" name="AB" dataDxfId="125"/>
    <tableColumn id="9" xr3:uid="{D204B05F-E6FA-40B5-994F-F0D43F97FA5A}" name="NL" dataDxfId="124"/>
    <tableColumn id="10" xr3:uid="{915A5063-0BBF-4BDE-969C-16105EF45530}" name="SP" dataDxfId="123"/>
    <tableColumn id="11" xr3:uid="{5DC0C956-1C7F-45F4-8FA1-C235C0AFCBAD}" name="Total" dataDxfId="122">
      <calculatedColumnFormula>SUM(CI5:CR5)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R60"/>
  <sheetViews>
    <sheetView tabSelected="1" zoomScaleNormal="100" workbookViewId="0">
      <pane xSplit="4" ySplit="4" topLeftCell="BL14" activePane="bottomRight" state="frozen"/>
      <selection pane="topRight" activeCell="E1" sqref="E1"/>
      <selection pane="bottomLeft" activeCell="A5" sqref="A5"/>
      <selection pane="bottomRight" activeCell="C44" sqref="C44"/>
    </sheetView>
  </sheetViews>
  <sheetFormatPr defaultRowHeight="15" x14ac:dyDescent="0.25"/>
  <cols>
    <col min="1" max="1" width="5" customWidth="1"/>
    <col min="2" max="2" width="10.85546875" style="22" customWidth="1"/>
    <col min="3" max="3" width="29.140625" customWidth="1"/>
    <col min="4" max="4" width="13.7109375" hidden="1" customWidth="1"/>
    <col min="5" max="34" width="6.42578125" customWidth="1"/>
    <col min="35" max="35" width="5.28515625" customWidth="1"/>
    <col min="36" max="36" width="5" customWidth="1"/>
    <col min="37" max="66" width="6.42578125" customWidth="1"/>
    <col min="67" max="80" width="5.140625" customWidth="1"/>
    <col min="81" max="81" width="30.140625" customWidth="1"/>
    <col min="86" max="95" width="7.140625" customWidth="1"/>
  </cols>
  <sheetData>
    <row r="1" spans="1:96" ht="24" customHeight="1" x14ac:dyDescent="0.25">
      <c r="A1" s="134" t="s">
        <v>110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6"/>
      <c r="AI1" s="62"/>
      <c r="AJ1" s="126" t="s">
        <v>110</v>
      </c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</row>
    <row r="2" spans="1:96" ht="18.75" x14ac:dyDescent="0.25">
      <c r="A2" s="145" t="s">
        <v>0</v>
      </c>
      <c r="B2" s="146"/>
      <c r="C2" s="147"/>
      <c r="D2" s="98"/>
      <c r="E2" s="132" t="s">
        <v>1</v>
      </c>
      <c r="F2" s="133"/>
      <c r="G2" s="132" t="s">
        <v>2</v>
      </c>
      <c r="H2" s="133"/>
      <c r="I2" s="132" t="s">
        <v>3</v>
      </c>
      <c r="J2" s="133"/>
      <c r="K2" s="132" t="s">
        <v>4</v>
      </c>
      <c r="L2" s="133"/>
      <c r="M2" s="132" t="s">
        <v>5</v>
      </c>
      <c r="N2" s="133"/>
      <c r="O2" s="132" t="s">
        <v>6</v>
      </c>
      <c r="P2" s="133"/>
      <c r="Q2" s="132" t="s">
        <v>7</v>
      </c>
      <c r="R2" s="133"/>
      <c r="S2" s="132" t="s">
        <v>1</v>
      </c>
      <c r="T2" s="133"/>
      <c r="U2" s="132" t="s">
        <v>2</v>
      </c>
      <c r="V2" s="133"/>
      <c r="W2" s="132" t="s">
        <v>3</v>
      </c>
      <c r="X2" s="133"/>
      <c r="Y2" s="132" t="s">
        <v>4</v>
      </c>
      <c r="Z2" s="133"/>
      <c r="AA2" s="132" t="s">
        <v>5</v>
      </c>
      <c r="AB2" s="133"/>
      <c r="AC2" s="132" t="s">
        <v>6</v>
      </c>
      <c r="AD2" s="133"/>
      <c r="AE2" s="132" t="s">
        <v>7</v>
      </c>
      <c r="AF2" s="133"/>
      <c r="AG2" s="132" t="s">
        <v>1</v>
      </c>
      <c r="AH2" s="133"/>
      <c r="AI2" s="63"/>
      <c r="AJ2" s="29"/>
      <c r="AK2" s="123" t="s">
        <v>2</v>
      </c>
      <c r="AL2" s="123"/>
      <c r="AM2" s="123" t="s">
        <v>3</v>
      </c>
      <c r="AN2" s="123"/>
      <c r="AO2" s="123" t="s">
        <v>4</v>
      </c>
      <c r="AP2" s="123"/>
      <c r="AQ2" s="123" t="s">
        <v>5</v>
      </c>
      <c r="AR2" s="123"/>
      <c r="AS2" s="123" t="s">
        <v>6</v>
      </c>
      <c r="AT2" s="123"/>
      <c r="AU2" s="123" t="s">
        <v>7</v>
      </c>
      <c r="AV2" s="123"/>
      <c r="AW2" s="123" t="s">
        <v>1</v>
      </c>
      <c r="AX2" s="123"/>
      <c r="AY2" s="123" t="s">
        <v>2</v>
      </c>
      <c r="AZ2" s="123"/>
      <c r="BA2" s="123" t="s">
        <v>3</v>
      </c>
      <c r="BB2" s="123"/>
      <c r="BC2" s="123" t="s">
        <v>4</v>
      </c>
      <c r="BD2" s="123"/>
      <c r="BE2" s="123" t="s">
        <v>5</v>
      </c>
      <c r="BF2" s="123"/>
      <c r="BG2" s="123" t="s">
        <v>6</v>
      </c>
      <c r="BH2" s="123"/>
      <c r="BI2" s="123" t="s">
        <v>7</v>
      </c>
      <c r="BJ2" s="123"/>
      <c r="BK2" s="123" t="s">
        <v>1</v>
      </c>
      <c r="BL2" s="123"/>
      <c r="BM2" s="123" t="s">
        <v>2</v>
      </c>
      <c r="BN2" s="123"/>
      <c r="BO2" s="125" t="s">
        <v>8</v>
      </c>
      <c r="BP2" s="125" t="s">
        <v>9</v>
      </c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H2" s="151" t="s">
        <v>92</v>
      </c>
      <c r="CI2" s="151"/>
      <c r="CJ2" s="151"/>
      <c r="CK2" s="151"/>
      <c r="CL2" s="151"/>
      <c r="CM2" s="151"/>
      <c r="CN2" s="151"/>
      <c r="CO2" s="151"/>
      <c r="CP2" s="151"/>
      <c r="CQ2" s="151"/>
      <c r="CR2" s="21"/>
    </row>
    <row r="3" spans="1:96" ht="18.75" x14ac:dyDescent="0.25">
      <c r="A3" s="148"/>
      <c r="B3" s="149"/>
      <c r="C3" s="150"/>
      <c r="D3" s="98"/>
      <c r="E3" s="143">
        <v>46113</v>
      </c>
      <c r="F3" s="144"/>
      <c r="G3" s="143">
        <v>46114</v>
      </c>
      <c r="H3" s="144"/>
      <c r="I3" s="143">
        <v>46115</v>
      </c>
      <c r="J3" s="144"/>
      <c r="K3" s="143">
        <v>46116</v>
      </c>
      <c r="L3" s="144"/>
      <c r="M3" s="143">
        <v>46117</v>
      </c>
      <c r="N3" s="144"/>
      <c r="O3" s="143">
        <v>46118</v>
      </c>
      <c r="P3" s="144"/>
      <c r="Q3" s="143">
        <v>46119</v>
      </c>
      <c r="R3" s="144"/>
      <c r="S3" s="143">
        <v>46120</v>
      </c>
      <c r="T3" s="144"/>
      <c r="U3" s="143">
        <v>46121</v>
      </c>
      <c r="V3" s="144"/>
      <c r="W3" s="143">
        <v>46122</v>
      </c>
      <c r="X3" s="144"/>
      <c r="Y3" s="143">
        <v>46123</v>
      </c>
      <c r="Z3" s="144"/>
      <c r="AA3" s="143">
        <v>46124</v>
      </c>
      <c r="AB3" s="144"/>
      <c r="AC3" s="143">
        <v>46125</v>
      </c>
      <c r="AD3" s="144"/>
      <c r="AE3" s="143">
        <v>46126</v>
      </c>
      <c r="AF3" s="144"/>
      <c r="AG3" s="143">
        <v>46127</v>
      </c>
      <c r="AH3" s="144"/>
      <c r="AI3" s="64"/>
      <c r="AJ3" s="60"/>
      <c r="AK3" s="122">
        <v>46128</v>
      </c>
      <c r="AL3" s="122"/>
      <c r="AM3" s="122">
        <v>46129</v>
      </c>
      <c r="AN3" s="122"/>
      <c r="AO3" s="122">
        <v>46130</v>
      </c>
      <c r="AP3" s="122"/>
      <c r="AQ3" s="122">
        <v>46131</v>
      </c>
      <c r="AR3" s="122"/>
      <c r="AS3" s="122">
        <v>46132</v>
      </c>
      <c r="AT3" s="122"/>
      <c r="AU3" s="122">
        <v>46133</v>
      </c>
      <c r="AV3" s="122"/>
      <c r="AW3" s="122">
        <v>46134</v>
      </c>
      <c r="AX3" s="122"/>
      <c r="AY3" s="122">
        <v>46135</v>
      </c>
      <c r="AZ3" s="122"/>
      <c r="BA3" s="122">
        <v>46136</v>
      </c>
      <c r="BB3" s="122"/>
      <c r="BC3" s="122">
        <v>46137</v>
      </c>
      <c r="BD3" s="122"/>
      <c r="BE3" s="122">
        <v>46138</v>
      </c>
      <c r="BF3" s="122"/>
      <c r="BG3" s="122">
        <v>46139</v>
      </c>
      <c r="BH3" s="122"/>
      <c r="BI3" s="122">
        <v>46140</v>
      </c>
      <c r="BJ3" s="122"/>
      <c r="BK3" s="122">
        <v>46141</v>
      </c>
      <c r="BL3" s="122"/>
      <c r="BM3" s="122">
        <v>46142</v>
      </c>
      <c r="BN3" s="122"/>
      <c r="BO3" s="125"/>
      <c r="BP3" s="125"/>
      <c r="BQ3" s="2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4"/>
      <c r="CH3" s="76" t="s">
        <v>113</v>
      </c>
      <c r="CI3" s="76"/>
      <c r="CJ3" s="76"/>
      <c r="CK3" s="76"/>
      <c r="CL3" s="76"/>
      <c r="CM3" s="76"/>
      <c r="CN3" s="76"/>
      <c r="CO3" s="76"/>
      <c r="CP3" s="76"/>
      <c r="CQ3" s="76"/>
      <c r="CR3" s="21"/>
    </row>
    <row r="4" spans="1:96" ht="18.75" customHeight="1" x14ac:dyDescent="0.25">
      <c r="A4" s="5" t="s">
        <v>10</v>
      </c>
      <c r="B4" s="5" t="s">
        <v>11</v>
      </c>
      <c r="C4" s="5" t="s">
        <v>12</v>
      </c>
      <c r="D4" s="102"/>
      <c r="E4" s="70" t="s">
        <v>13</v>
      </c>
      <c r="F4" s="70" t="s">
        <v>14</v>
      </c>
      <c r="G4" s="70" t="s">
        <v>13</v>
      </c>
      <c r="H4" s="70" t="s">
        <v>14</v>
      </c>
      <c r="I4" s="70" t="s">
        <v>13</v>
      </c>
      <c r="J4" s="70" t="s">
        <v>14</v>
      </c>
      <c r="K4" s="70" t="s">
        <v>13</v>
      </c>
      <c r="L4" s="70" t="s">
        <v>14</v>
      </c>
      <c r="M4" s="70" t="s">
        <v>13</v>
      </c>
      <c r="N4" s="70" t="s">
        <v>14</v>
      </c>
      <c r="O4" s="70" t="s">
        <v>13</v>
      </c>
      <c r="P4" s="70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" t="s">
        <v>14</v>
      </c>
      <c r="AI4" s="63"/>
      <c r="AJ4" s="29"/>
      <c r="AK4" s="13" t="s">
        <v>13</v>
      </c>
      <c r="AL4" s="13" t="s">
        <v>14</v>
      </c>
      <c r="AM4" s="13" t="s">
        <v>13</v>
      </c>
      <c r="AN4" s="13" t="s">
        <v>14</v>
      </c>
      <c r="AO4" s="13" t="s">
        <v>13</v>
      </c>
      <c r="AP4" s="13" t="s">
        <v>14</v>
      </c>
      <c r="AQ4" s="13" t="s">
        <v>13</v>
      </c>
      <c r="AR4" s="13" t="s">
        <v>14</v>
      </c>
      <c r="AS4" s="13" t="s">
        <v>13</v>
      </c>
      <c r="AT4" s="13" t="s">
        <v>14</v>
      </c>
      <c r="AU4" s="13" t="s">
        <v>13</v>
      </c>
      <c r="AV4" s="13" t="s">
        <v>14</v>
      </c>
      <c r="AW4" s="13" t="s">
        <v>13</v>
      </c>
      <c r="AX4" s="13" t="s">
        <v>14</v>
      </c>
      <c r="AY4" s="13" t="s">
        <v>13</v>
      </c>
      <c r="AZ4" s="13" t="s">
        <v>14</v>
      </c>
      <c r="BA4" s="13" t="s">
        <v>13</v>
      </c>
      <c r="BB4" s="13" t="s">
        <v>14</v>
      </c>
      <c r="BC4" s="13" t="s">
        <v>13</v>
      </c>
      <c r="BD4" s="13" t="s">
        <v>14</v>
      </c>
      <c r="BE4" s="13" t="s">
        <v>13</v>
      </c>
      <c r="BF4" s="13" t="s">
        <v>14</v>
      </c>
      <c r="BG4" s="13" t="s">
        <v>13</v>
      </c>
      <c r="BH4" s="13" t="s">
        <v>14</v>
      </c>
      <c r="BI4" s="13" t="s">
        <v>13</v>
      </c>
      <c r="BJ4" s="13" t="s">
        <v>14</v>
      </c>
      <c r="BK4" s="13" t="s">
        <v>13</v>
      </c>
      <c r="BL4" s="13" t="s">
        <v>14</v>
      </c>
      <c r="BM4" s="13" t="s">
        <v>13</v>
      </c>
      <c r="BN4" s="13" t="s">
        <v>14</v>
      </c>
      <c r="BO4" s="125"/>
      <c r="BP4" s="125"/>
      <c r="BQ4" s="6"/>
      <c r="BR4" s="108" t="s">
        <v>15</v>
      </c>
      <c r="BS4" s="108" t="s">
        <v>16</v>
      </c>
      <c r="BT4" s="108" t="s">
        <v>17</v>
      </c>
      <c r="BU4" s="108" t="s">
        <v>18</v>
      </c>
      <c r="BV4" s="108" t="s">
        <v>19</v>
      </c>
      <c r="BW4" s="108" t="s">
        <v>20</v>
      </c>
      <c r="BX4" s="108" t="s">
        <v>124</v>
      </c>
      <c r="BY4" s="59" t="s">
        <v>22</v>
      </c>
      <c r="BZ4" s="108" t="s">
        <v>23</v>
      </c>
      <c r="CA4" s="108" t="s">
        <v>24</v>
      </c>
      <c r="CB4" s="108" t="s">
        <v>25</v>
      </c>
      <c r="CC4" s="7" t="s">
        <v>26</v>
      </c>
      <c r="CH4" s="77" t="s">
        <v>16</v>
      </c>
      <c r="CI4" s="78" t="s">
        <v>17</v>
      </c>
      <c r="CJ4" s="78" t="s">
        <v>18</v>
      </c>
      <c r="CK4" s="78" t="s">
        <v>19</v>
      </c>
      <c r="CL4" s="78" t="s">
        <v>20</v>
      </c>
      <c r="CM4" s="78" t="s">
        <v>21</v>
      </c>
      <c r="CN4" s="78" t="s">
        <v>22</v>
      </c>
      <c r="CO4" s="78" t="s">
        <v>23</v>
      </c>
      <c r="CP4" s="78" t="s">
        <v>24</v>
      </c>
      <c r="CQ4" s="78" t="s">
        <v>25</v>
      </c>
      <c r="CR4" s="79" t="s">
        <v>93</v>
      </c>
    </row>
    <row r="5" spans="1:96" ht="22.5" customHeight="1" x14ac:dyDescent="0.25">
      <c r="A5" s="8">
        <v>1</v>
      </c>
      <c r="B5" s="9" t="s">
        <v>112</v>
      </c>
      <c r="C5" s="69" t="s">
        <v>27</v>
      </c>
      <c r="D5" s="104">
        <v>43523</v>
      </c>
      <c r="E5" s="107" t="s">
        <v>18</v>
      </c>
      <c r="F5" s="107" t="s">
        <v>18</v>
      </c>
      <c r="G5" s="107" t="s">
        <v>18</v>
      </c>
      <c r="H5" s="107" t="s">
        <v>18</v>
      </c>
      <c r="I5" s="107" t="s">
        <v>18</v>
      </c>
      <c r="J5" s="107" t="s">
        <v>18</v>
      </c>
      <c r="K5" s="107" t="s">
        <v>18</v>
      </c>
      <c r="L5" s="107" t="s">
        <v>18</v>
      </c>
      <c r="M5" s="107" t="s">
        <v>18</v>
      </c>
      <c r="N5" s="107" t="s">
        <v>18</v>
      </c>
      <c r="O5" s="87" t="s">
        <v>18</v>
      </c>
      <c r="P5" s="87" t="s">
        <v>18</v>
      </c>
      <c r="Q5" s="87" t="s">
        <v>18</v>
      </c>
      <c r="R5" s="87" t="s">
        <v>18</v>
      </c>
      <c r="S5" s="87" t="s">
        <v>18</v>
      </c>
      <c r="T5" s="87" t="s">
        <v>18</v>
      </c>
      <c r="U5" s="87" t="s">
        <v>18</v>
      </c>
      <c r="V5" s="87" t="s">
        <v>18</v>
      </c>
      <c r="W5" s="87" t="s">
        <v>18</v>
      </c>
      <c r="X5" s="87" t="s">
        <v>18</v>
      </c>
      <c r="Y5" s="87" t="s">
        <v>18</v>
      </c>
      <c r="Z5" s="87" t="s">
        <v>18</v>
      </c>
      <c r="AA5" s="87" t="s">
        <v>18</v>
      </c>
      <c r="AB5" s="87" t="s">
        <v>18</v>
      </c>
      <c r="AC5" s="87" t="s">
        <v>18</v>
      </c>
      <c r="AD5" s="87" t="s">
        <v>18</v>
      </c>
      <c r="AE5" s="87" t="s">
        <v>18</v>
      </c>
      <c r="AF5" s="87" t="s">
        <v>18</v>
      </c>
      <c r="AG5" s="87" t="s">
        <v>18</v>
      </c>
      <c r="AH5" s="87" t="s">
        <v>18</v>
      </c>
      <c r="AI5" s="121"/>
      <c r="AJ5" s="120">
        <v>1</v>
      </c>
      <c r="AK5" s="87" t="s">
        <v>18</v>
      </c>
      <c r="AL5" s="87" t="s">
        <v>18</v>
      </c>
      <c r="AM5" s="87" t="s">
        <v>18</v>
      </c>
      <c r="AN5" s="87" t="s">
        <v>18</v>
      </c>
      <c r="AO5" s="87" t="s">
        <v>18</v>
      </c>
      <c r="AP5" s="87" t="s">
        <v>18</v>
      </c>
      <c r="AQ5" s="103">
        <v>0.3520833333333333</v>
      </c>
      <c r="AR5" s="108">
        <v>1</v>
      </c>
      <c r="AS5" s="103">
        <v>0.3527777777777778</v>
      </c>
      <c r="AT5" s="108">
        <v>1</v>
      </c>
      <c r="AU5" s="103">
        <v>0.3527777777777778</v>
      </c>
      <c r="AV5" s="103">
        <v>0.96944444444444444</v>
      </c>
      <c r="AW5" s="103">
        <v>0.35138888888888892</v>
      </c>
      <c r="AX5" s="108">
        <v>1</v>
      </c>
      <c r="AY5" s="103">
        <v>0.34791666666666665</v>
      </c>
      <c r="AZ5" s="108">
        <v>1</v>
      </c>
      <c r="BA5" s="103">
        <v>0.57500000000000007</v>
      </c>
      <c r="BB5" s="108">
        <v>1</v>
      </c>
      <c r="BC5" s="103">
        <v>0.33680555555555558</v>
      </c>
      <c r="BD5" s="108">
        <v>1</v>
      </c>
      <c r="BE5" s="103">
        <v>0.33749999999999997</v>
      </c>
      <c r="BF5" s="108">
        <v>1</v>
      </c>
      <c r="BG5" s="103">
        <v>0.33333333333333331</v>
      </c>
      <c r="BH5" s="108">
        <v>1</v>
      </c>
      <c r="BI5" s="103">
        <v>0.33888888888888885</v>
      </c>
      <c r="BJ5" s="103">
        <v>0.95416666666666661</v>
      </c>
      <c r="BK5" s="103">
        <v>0.33749999999999997</v>
      </c>
      <c r="BL5" s="103">
        <v>0.9868055555555556</v>
      </c>
      <c r="BM5" s="103">
        <v>0.34027777777777773</v>
      </c>
      <c r="BN5" s="108">
        <v>1</v>
      </c>
      <c r="BO5" s="73">
        <f>BQ5+BR5+BS5+BT5+BY5+BW5+BX5+CB5</f>
        <v>12</v>
      </c>
      <c r="BP5" s="97">
        <v>1</v>
      </c>
      <c r="BQ5" s="18">
        <f>COUNT(E5:AH5)/2+COUNT(AK5:BN5)/2</f>
        <v>12</v>
      </c>
      <c r="BR5" s="19">
        <f>COUNTIF(B5:BN5,"OFF")/2</f>
        <v>0</v>
      </c>
      <c r="BS5" s="19">
        <f>COUNTIF(B5:BN5,"MC")/2</f>
        <v>0</v>
      </c>
      <c r="BT5" s="19">
        <f>COUNTIF(B5:BN5,"EL")/2</f>
        <v>0</v>
      </c>
      <c r="BU5" s="19">
        <f>COUNTIF(B5:BN5,"AL")/2</f>
        <v>18</v>
      </c>
      <c r="BV5" s="19">
        <f>COUNTIF(B5:BN5,"SUS")/2</f>
        <v>0</v>
      </c>
      <c r="BW5" s="19">
        <f>COUNTIF(B5:BN5,"FL")/2</f>
        <v>0</v>
      </c>
      <c r="BX5" s="19">
        <f>COUNTIF(B5:BN5,"SICK")/2</f>
        <v>0</v>
      </c>
      <c r="BY5" s="19">
        <f>COUNTIF(B5:BN5,"HD")/2</f>
        <v>0</v>
      </c>
      <c r="BZ5" s="19">
        <f>COUNTIF(B5:BN5,"AB")/2</f>
        <v>0</v>
      </c>
      <c r="CA5" s="19">
        <f>COUNTIF(B5:BN5,"NL")/2</f>
        <v>0</v>
      </c>
      <c r="CB5" s="19">
        <f>COUNTIF(B5:BN5,"SP")/2</f>
        <v>0</v>
      </c>
      <c r="CC5" s="20"/>
      <c r="CH5" s="81">
        <v>0</v>
      </c>
      <c r="CI5" s="81">
        <v>0</v>
      </c>
      <c r="CJ5" s="81">
        <v>32</v>
      </c>
      <c r="CK5" s="81">
        <v>0</v>
      </c>
      <c r="CL5" s="81">
        <v>0</v>
      </c>
      <c r="CM5" s="81">
        <v>0</v>
      </c>
      <c r="CN5" s="81">
        <v>0</v>
      </c>
      <c r="CO5" s="81">
        <v>0</v>
      </c>
      <c r="CP5" s="81">
        <v>0</v>
      </c>
      <c r="CQ5" s="81">
        <v>0</v>
      </c>
      <c r="CR5" s="85">
        <f t="shared" ref="CR5:CR10" si="0">SUM(CH5:CQ5)</f>
        <v>32</v>
      </c>
    </row>
    <row r="6" spans="1:96" ht="22.5" customHeight="1" x14ac:dyDescent="0.25">
      <c r="A6" s="8">
        <v>3</v>
      </c>
      <c r="B6" s="9" t="s">
        <v>95</v>
      </c>
      <c r="C6" s="69" t="s">
        <v>29</v>
      </c>
      <c r="D6" s="105">
        <v>43423</v>
      </c>
      <c r="E6" s="103">
        <v>0.33819444444444446</v>
      </c>
      <c r="F6" s="108">
        <v>1</v>
      </c>
      <c r="G6" s="103">
        <v>0.33611111111111108</v>
      </c>
      <c r="H6" s="108">
        <v>1</v>
      </c>
      <c r="I6" s="103">
        <v>0.55833333333333335</v>
      </c>
      <c r="J6" s="103">
        <v>0.98541666666666661</v>
      </c>
      <c r="K6" s="103">
        <v>0.3354166666666667</v>
      </c>
      <c r="L6" s="108">
        <v>1</v>
      </c>
      <c r="M6" s="103">
        <v>0.33888888888888885</v>
      </c>
      <c r="N6" s="108">
        <v>1</v>
      </c>
      <c r="O6" s="103">
        <v>0.3347222222222222</v>
      </c>
      <c r="P6" s="103">
        <v>0.98541666666666661</v>
      </c>
      <c r="Q6" s="103">
        <v>0.33680555555555558</v>
      </c>
      <c r="R6" s="103">
        <v>0.98125000000000007</v>
      </c>
      <c r="S6" s="103">
        <v>0.33680555555555558</v>
      </c>
      <c r="T6" s="103">
        <v>0.98055555555555562</v>
      </c>
      <c r="U6" s="103">
        <v>0.33333333333333331</v>
      </c>
      <c r="V6" s="103">
        <v>0</v>
      </c>
      <c r="W6" s="108" t="s">
        <v>15</v>
      </c>
      <c r="X6" s="108" t="s">
        <v>15</v>
      </c>
      <c r="Y6" s="103">
        <v>0.33611111111111108</v>
      </c>
      <c r="Z6" s="103">
        <v>1.3888888888888889E-3</v>
      </c>
      <c r="AA6" s="103">
        <v>0.33194444444444443</v>
      </c>
      <c r="AB6" s="103">
        <v>0.98819444444444438</v>
      </c>
      <c r="AC6" s="103">
        <v>0.33611111111111108</v>
      </c>
      <c r="AD6" s="103">
        <v>0.97291666666666676</v>
      </c>
      <c r="AE6" s="103">
        <v>0.33611111111111108</v>
      </c>
      <c r="AF6" s="103">
        <v>0.97499999999999998</v>
      </c>
      <c r="AG6" s="103">
        <v>0.33333333333333331</v>
      </c>
      <c r="AH6" s="103">
        <v>0.96805555555555556</v>
      </c>
      <c r="AI6" s="121"/>
      <c r="AJ6" s="120">
        <v>3</v>
      </c>
      <c r="AK6" s="103">
        <v>0.34930555555555554</v>
      </c>
      <c r="AL6" s="103">
        <v>7.6388888888888886E-3</v>
      </c>
      <c r="AM6" s="108">
        <v>1</v>
      </c>
      <c r="AN6" s="108">
        <v>1</v>
      </c>
      <c r="AO6" s="103">
        <v>0.33402777777777781</v>
      </c>
      <c r="AP6" s="103">
        <v>0.99652777777777779</v>
      </c>
      <c r="AQ6" s="103">
        <v>0.33888888888888885</v>
      </c>
      <c r="AR6" s="108">
        <v>1</v>
      </c>
      <c r="AS6" s="103">
        <v>0.3298611111111111</v>
      </c>
      <c r="AT6" s="103">
        <v>0.97430555555555554</v>
      </c>
      <c r="AU6" s="103">
        <v>0.33402777777777781</v>
      </c>
      <c r="AV6" s="108">
        <v>1</v>
      </c>
      <c r="AW6" s="103">
        <v>0.33333333333333331</v>
      </c>
      <c r="AX6" s="103">
        <v>0.97986111111111107</v>
      </c>
      <c r="AY6" s="103">
        <v>0.33263888888888887</v>
      </c>
      <c r="AZ6" s="103">
        <v>2.7777777777777779E-3</v>
      </c>
      <c r="BA6" s="108" t="s">
        <v>15</v>
      </c>
      <c r="BB6" s="108" t="s">
        <v>15</v>
      </c>
      <c r="BC6" s="103">
        <v>0.3347222222222222</v>
      </c>
      <c r="BD6" s="103">
        <v>0.99791666666666667</v>
      </c>
      <c r="BE6" s="103">
        <v>0.33194444444444443</v>
      </c>
      <c r="BF6" s="103">
        <v>0.97777777777777775</v>
      </c>
      <c r="BG6" s="103">
        <v>0.3354166666666667</v>
      </c>
      <c r="BH6" s="103">
        <v>0.97569444444444453</v>
      </c>
      <c r="BI6" s="103">
        <v>0.3347222222222222</v>
      </c>
      <c r="BJ6" s="103">
        <v>0.3347222222222222</v>
      </c>
      <c r="BK6" s="103">
        <v>0.3347222222222222</v>
      </c>
      <c r="BL6" s="108">
        <v>1</v>
      </c>
      <c r="BM6" s="103">
        <v>0.33611111111111108</v>
      </c>
      <c r="BN6" s="108">
        <v>1</v>
      </c>
      <c r="BO6" s="73">
        <f t="shared" ref="BO6:BO10" si="1">BQ6+BR6+BS6+BT6+BY6+BW6+BX6+CB6</f>
        <v>30</v>
      </c>
      <c r="BP6" s="97">
        <v>2</v>
      </c>
      <c r="BQ6" s="18">
        <f t="shared" ref="BQ6:BQ10" si="2">COUNT(E6:AH6)/2+COUNT(AK6:BN6)/2</f>
        <v>28</v>
      </c>
      <c r="BR6" s="19">
        <f>COUNTIF(B6:BM6,"OFF")/2</f>
        <v>2</v>
      </c>
      <c r="BS6" s="19">
        <f>COUNTIF(B6:BM6,"MC")/2</f>
        <v>0</v>
      </c>
      <c r="BT6" s="19">
        <f>COUNTIF(B6:BM6,"EL")/2</f>
        <v>0</v>
      </c>
      <c r="BU6" s="19">
        <f>COUNTIF(B6:BM6,"AL")/2</f>
        <v>0</v>
      </c>
      <c r="BV6" s="19">
        <f>COUNTIF(B6:BM6,"SUS")/2</f>
        <v>0</v>
      </c>
      <c r="BW6" s="19">
        <f>COUNTIF(B6:BM6,"FL")/2</f>
        <v>0</v>
      </c>
      <c r="BX6" s="19">
        <f>COUNTIF(B6:BM6,"SICK")/2</f>
        <v>0</v>
      </c>
      <c r="BY6" s="19">
        <f>COUNTIF(B6:BM6,"HD")/2</f>
        <v>0</v>
      </c>
      <c r="BZ6" s="19">
        <f>COUNTIF(B6:BM6,"AB")/2</f>
        <v>0</v>
      </c>
      <c r="CA6" s="19">
        <f>COUNTIF(B6:BM6,"NL")/2</f>
        <v>0</v>
      </c>
      <c r="CB6" s="19">
        <f>COUNTIF(B6:BM6,"SP")/2</f>
        <v>0</v>
      </c>
      <c r="CC6" s="3"/>
      <c r="CH6" s="82">
        <v>0</v>
      </c>
      <c r="CI6" s="82">
        <v>0</v>
      </c>
      <c r="CJ6" s="82">
        <v>60</v>
      </c>
      <c r="CK6" s="82">
        <v>0</v>
      </c>
      <c r="CL6" s="82">
        <v>0</v>
      </c>
      <c r="CM6" s="82">
        <v>0</v>
      </c>
      <c r="CN6" s="82">
        <v>0</v>
      </c>
      <c r="CO6" s="82">
        <v>0</v>
      </c>
      <c r="CP6" s="82">
        <v>0</v>
      </c>
      <c r="CQ6" s="82">
        <v>0</v>
      </c>
      <c r="CR6" s="84">
        <f t="shared" si="0"/>
        <v>60</v>
      </c>
    </row>
    <row r="7" spans="1:96" ht="22.5" customHeight="1" x14ac:dyDescent="0.25">
      <c r="A7" s="8">
        <v>4</v>
      </c>
      <c r="B7" s="9" t="str">
        <f>'[1]Hulhumale Staffs_ Sep 2025'!B8</f>
        <v>MAD0457</v>
      </c>
      <c r="C7" s="69" t="s">
        <v>30</v>
      </c>
      <c r="D7" s="105">
        <v>44887</v>
      </c>
      <c r="E7" s="103">
        <v>0.35347222222222219</v>
      </c>
      <c r="F7" s="103">
        <v>0.90138888888888891</v>
      </c>
      <c r="G7" s="103">
        <v>0.33749999999999997</v>
      </c>
      <c r="H7" s="103">
        <v>0.9159722222222223</v>
      </c>
      <c r="I7" s="103">
        <v>0.33680555555555558</v>
      </c>
      <c r="J7" s="108">
        <v>1</v>
      </c>
      <c r="K7" s="103">
        <v>0.34375</v>
      </c>
      <c r="L7" s="103">
        <v>0.91111111111111109</v>
      </c>
      <c r="M7" s="103">
        <v>0.34791666666666665</v>
      </c>
      <c r="N7" s="103">
        <v>0.8979166666666667</v>
      </c>
      <c r="O7" s="103">
        <v>0.34722222222222227</v>
      </c>
      <c r="P7" s="103">
        <v>0.92499999999999993</v>
      </c>
      <c r="Q7" s="103">
        <v>0.34027777777777773</v>
      </c>
      <c r="R7" s="103">
        <v>0.87777777777777777</v>
      </c>
      <c r="S7" s="103">
        <v>0.34930555555555554</v>
      </c>
      <c r="T7" s="103">
        <v>0.89027777777777783</v>
      </c>
      <c r="U7" s="103">
        <v>0.33124999999999999</v>
      </c>
      <c r="V7" s="103">
        <v>0.87361111111111101</v>
      </c>
      <c r="W7" s="103">
        <v>0.38680555555555557</v>
      </c>
      <c r="X7" s="103">
        <v>0.60833333333333328</v>
      </c>
      <c r="Y7" s="103">
        <v>0.3833333333333333</v>
      </c>
      <c r="Z7" s="103">
        <v>0.98333333333333339</v>
      </c>
      <c r="AA7" s="103">
        <v>0.34930555555555554</v>
      </c>
      <c r="AB7" s="103">
        <v>0.90833333333333333</v>
      </c>
      <c r="AC7" s="103">
        <v>0.34166666666666662</v>
      </c>
      <c r="AD7" s="103">
        <v>0.87777777777777777</v>
      </c>
      <c r="AE7" s="103">
        <v>0.2673611111111111</v>
      </c>
      <c r="AF7" s="103">
        <v>0.91388888888888886</v>
      </c>
      <c r="AG7" s="103">
        <v>0.3527777777777778</v>
      </c>
      <c r="AH7" s="103">
        <v>0.93402777777777779</v>
      </c>
      <c r="AI7" s="121"/>
      <c r="AJ7" s="120">
        <v>4</v>
      </c>
      <c r="AK7" s="103">
        <v>0.34097222222222223</v>
      </c>
      <c r="AL7" s="103">
        <v>0.85</v>
      </c>
      <c r="AM7" s="103">
        <v>0.26527777777777778</v>
      </c>
      <c r="AN7" s="103">
        <v>0.6333333333333333</v>
      </c>
      <c r="AO7" s="103">
        <v>0.42430555555555555</v>
      </c>
      <c r="AP7" s="103">
        <v>0.97361111111111109</v>
      </c>
      <c r="AQ7" s="103">
        <v>0.35972222222222222</v>
      </c>
      <c r="AR7" s="103">
        <v>0.90208333333333324</v>
      </c>
      <c r="AS7" s="103">
        <v>0.36805555555555558</v>
      </c>
      <c r="AT7" s="103">
        <v>0.9590277777777777</v>
      </c>
      <c r="AU7" s="103">
        <v>0.3520833333333333</v>
      </c>
      <c r="AV7" s="103">
        <v>0.92083333333333339</v>
      </c>
      <c r="AW7" s="103">
        <v>0.3520833333333333</v>
      </c>
      <c r="AX7" s="103">
        <v>0.89444444444444438</v>
      </c>
      <c r="AY7" s="103">
        <v>1.5972222222222224E-2</v>
      </c>
      <c r="AZ7" s="108">
        <v>1</v>
      </c>
      <c r="BA7" s="103">
        <v>0.3527777777777778</v>
      </c>
      <c r="BB7" s="103">
        <v>0.66736111111111107</v>
      </c>
      <c r="BC7" s="103">
        <v>0.34375</v>
      </c>
      <c r="BD7" s="103">
        <v>0.90763888888888899</v>
      </c>
      <c r="BE7" s="103">
        <v>0.35069444444444442</v>
      </c>
      <c r="BF7" s="103">
        <v>0.98125000000000007</v>
      </c>
      <c r="BG7" s="103">
        <v>0.35138888888888892</v>
      </c>
      <c r="BH7" s="103">
        <v>0.96666666666666667</v>
      </c>
      <c r="BI7" s="103">
        <v>0.34236111111111112</v>
      </c>
      <c r="BJ7" s="103">
        <v>0.92361111111111116</v>
      </c>
      <c r="BK7" s="103">
        <v>0.35000000000000003</v>
      </c>
      <c r="BL7" s="103">
        <v>0.89374999999999993</v>
      </c>
      <c r="BM7" s="103">
        <v>0.34930555555555554</v>
      </c>
      <c r="BN7" s="103">
        <v>0.99236111111111114</v>
      </c>
      <c r="BO7" s="73">
        <f t="shared" si="1"/>
        <v>30</v>
      </c>
      <c r="BP7" s="97">
        <v>4</v>
      </c>
      <c r="BQ7" s="18">
        <f t="shared" si="2"/>
        <v>30</v>
      </c>
      <c r="BR7" s="19">
        <f>COUNTIF(B7:BM7,"OFF")/2</f>
        <v>0</v>
      </c>
      <c r="BS7" s="19">
        <f>COUNTIF(B7:BM7,"MC")/2</f>
        <v>0</v>
      </c>
      <c r="BT7" s="19">
        <f>COUNTIF(B7:BM7,"EL")/2</f>
        <v>0</v>
      </c>
      <c r="BU7" s="19">
        <f>COUNTIF(B7:BM7,"AL")/2</f>
        <v>0</v>
      </c>
      <c r="BV7" s="19">
        <f>COUNTIF(B7:BM7,"SUS")/2</f>
        <v>0</v>
      </c>
      <c r="BW7" s="19">
        <f>COUNTIF(B7:BM7,"FL")/2</f>
        <v>0</v>
      </c>
      <c r="BX7" s="19">
        <f>COUNTIF(B7:BM7,"SICK")/2</f>
        <v>0</v>
      </c>
      <c r="BY7" s="19">
        <f>COUNTIF(B7:BM7,"HD")/2</f>
        <v>0</v>
      </c>
      <c r="BZ7" s="19">
        <f>COUNTIF(B7:BM7,"AB")/2</f>
        <v>0</v>
      </c>
      <c r="CA7" s="19">
        <f>COUNTIF(B7:BM7,"NL")/2</f>
        <v>0</v>
      </c>
      <c r="CB7" s="19">
        <f>COUNTIF(B7:BM7,"SP")/2</f>
        <v>0</v>
      </c>
      <c r="CC7" s="91"/>
      <c r="CH7" s="81">
        <v>0</v>
      </c>
      <c r="CI7" s="81">
        <v>0</v>
      </c>
      <c r="CJ7" s="81">
        <v>0</v>
      </c>
      <c r="CK7" s="81">
        <v>0</v>
      </c>
      <c r="CL7" s="81">
        <v>0</v>
      </c>
      <c r="CM7" s="81">
        <v>0</v>
      </c>
      <c r="CN7" s="81">
        <v>0</v>
      </c>
      <c r="CO7" s="81">
        <v>0</v>
      </c>
      <c r="CP7" s="81">
        <v>0</v>
      </c>
      <c r="CQ7" s="81">
        <v>0</v>
      </c>
      <c r="CR7" s="85">
        <f t="shared" si="0"/>
        <v>0</v>
      </c>
    </row>
    <row r="8" spans="1:96" ht="22.5" customHeight="1" x14ac:dyDescent="0.25">
      <c r="A8" s="8">
        <v>5</v>
      </c>
      <c r="B8" s="9" t="s">
        <v>38</v>
      </c>
      <c r="C8" s="69" t="s">
        <v>39</v>
      </c>
      <c r="D8" s="104">
        <v>46078</v>
      </c>
      <c r="E8" s="103">
        <v>0.3444444444444445</v>
      </c>
      <c r="F8" s="108">
        <v>1</v>
      </c>
      <c r="G8" s="103">
        <v>0.34027777777777773</v>
      </c>
      <c r="H8" s="103">
        <v>0.91041666666666676</v>
      </c>
      <c r="I8" s="103">
        <v>0.55763888888888891</v>
      </c>
      <c r="J8" s="103">
        <v>0.87916666666666676</v>
      </c>
      <c r="K8" s="103">
        <v>0.34513888888888888</v>
      </c>
      <c r="L8" s="103">
        <v>0.87847222222222221</v>
      </c>
      <c r="M8" s="103">
        <v>0.34236111111111112</v>
      </c>
      <c r="N8" s="103">
        <v>0.87361111111111101</v>
      </c>
      <c r="O8" s="103">
        <v>0.35069444444444442</v>
      </c>
      <c r="P8" s="103">
        <v>0.93333333333333324</v>
      </c>
      <c r="Q8" s="103">
        <v>0.34375</v>
      </c>
      <c r="R8" s="103">
        <v>0.89513888888888893</v>
      </c>
      <c r="S8" s="103">
        <v>0.34722222222222227</v>
      </c>
      <c r="T8" s="108">
        <v>1</v>
      </c>
      <c r="U8" s="103">
        <v>0.34166666666666662</v>
      </c>
      <c r="V8" s="103">
        <v>0.93194444444444446</v>
      </c>
      <c r="W8" s="103">
        <v>0.57291666666666663</v>
      </c>
      <c r="X8" s="103">
        <v>0.8965277777777777</v>
      </c>
      <c r="Y8" s="103">
        <v>0.34930555555555554</v>
      </c>
      <c r="Z8" s="103">
        <v>0.88888888888888884</v>
      </c>
      <c r="AA8" s="103">
        <v>0.35069444444444442</v>
      </c>
      <c r="AB8" s="103">
        <v>0.87986111111111109</v>
      </c>
      <c r="AC8" s="103">
        <v>0.3520833333333333</v>
      </c>
      <c r="AD8" s="103">
        <v>0.87916666666666676</v>
      </c>
      <c r="AE8" s="103">
        <v>0.34722222222222227</v>
      </c>
      <c r="AF8" s="103">
        <v>0.87916666666666676</v>
      </c>
      <c r="AG8" s="103">
        <v>0.34027777777777773</v>
      </c>
      <c r="AH8" s="103">
        <v>0.875</v>
      </c>
      <c r="AI8" s="121"/>
      <c r="AJ8" s="120">
        <v>5</v>
      </c>
      <c r="AK8" s="103">
        <v>0.35000000000000003</v>
      </c>
      <c r="AL8" s="103">
        <v>0.9159722222222223</v>
      </c>
      <c r="AM8" s="103">
        <v>0.86249999999999993</v>
      </c>
      <c r="AN8" s="108">
        <v>1</v>
      </c>
      <c r="AO8" s="103">
        <v>0.37361111111111112</v>
      </c>
      <c r="AP8" s="103">
        <v>0.86458333333333337</v>
      </c>
      <c r="AQ8" s="103">
        <v>0.37152777777777773</v>
      </c>
      <c r="AR8" s="103">
        <v>0.86597222222222225</v>
      </c>
      <c r="AS8" s="103">
        <v>0.38472222222222219</v>
      </c>
      <c r="AT8" s="103">
        <v>0.85625000000000007</v>
      </c>
      <c r="AU8" s="103">
        <v>0.42986111111111108</v>
      </c>
      <c r="AV8" s="103">
        <v>0.85138888888888886</v>
      </c>
      <c r="AW8" s="103">
        <v>0.37916666666666665</v>
      </c>
      <c r="AX8" s="103">
        <v>0.8666666666666667</v>
      </c>
      <c r="AY8" s="103">
        <v>0.3833333333333333</v>
      </c>
      <c r="AZ8" s="103">
        <v>0.89444444444444438</v>
      </c>
      <c r="BA8" s="103">
        <v>0.3347222222222222</v>
      </c>
      <c r="BB8" s="103">
        <v>0.86249999999999993</v>
      </c>
      <c r="BC8" s="103">
        <v>0.8618055555555556</v>
      </c>
      <c r="BD8" s="103">
        <v>0.86249999999999993</v>
      </c>
      <c r="BE8" s="103">
        <v>0.38055555555555554</v>
      </c>
      <c r="BF8" s="103">
        <v>0.85138888888888886</v>
      </c>
      <c r="BG8" s="103">
        <v>0.38819444444444445</v>
      </c>
      <c r="BH8" s="103">
        <v>0.85763888888888884</v>
      </c>
      <c r="BI8" s="103">
        <v>0.37638888888888888</v>
      </c>
      <c r="BJ8" s="103">
        <v>0.84583333333333333</v>
      </c>
      <c r="BK8" s="103">
        <v>0.37916666666666665</v>
      </c>
      <c r="BL8" s="103">
        <v>0.86319444444444438</v>
      </c>
      <c r="BM8" s="103">
        <v>0.39583333333333331</v>
      </c>
      <c r="BN8" s="103">
        <v>0.8965277777777777</v>
      </c>
      <c r="BO8" s="73">
        <f t="shared" si="1"/>
        <v>30</v>
      </c>
      <c r="BP8" s="97">
        <v>4</v>
      </c>
      <c r="BQ8" s="18">
        <f t="shared" si="2"/>
        <v>30</v>
      </c>
      <c r="BR8" s="19">
        <f>COUNTIF(B8:BM8,"OFF")/2</f>
        <v>0</v>
      </c>
      <c r="BS8" s="19">
        <f>COUNTIF(B8:BM8,"MC")/2</f>
        <v>0</v>
      </c>
      <c r="BT8" s="19">
        <f>COUNTIF(B8:BM8,"EL")/2</f>
        <v>0</v>
      </c>
      <c r="BU8" s="19">
        <f>COUNTIF(B8:BM8,"AL")/2</f>
        <v>0</v>
      </c>
      <c r="BV8" s="19">
        <f>COUNTIF(B8:BM8,"SUS")/2</f>
        <v>0</v>
      </c>
      <c r="BW8" s="19">
        <f>COUNTIF(B8:BM8,"FL")/2</f>
        <v>0</v>
      </c>
      <c r="BX8" s="19">
        <f>COUNTIF(B8:BM8,"SICK")/2</f>
        <v>0</v>
      </c>
      <c r="BY8" s="19">
        <f>COUNTIF(B8:BM8,"HD")/2</f>
        <v>0</v>
      </c>
      <c r="BZ8" s="19">
        <f>COUNTIF(B8:BM8,"AB")/2</f>
        <v>0</v>
      </c>
      <c r="CA8" s="19">
        <f>COUNTIF(B8:BM8,"NL")/2</f>
        <v>0</v>
      </c>
      <c r="CB8" s="19">
        <f>COUNTIF(B8:BM8,"SP")/2</f>
        <v>0</v>
      </c>
      <c r="CC8" s="20"/>
      <c r="CH8" s="81">
        <v>0</v>
      </c>
      <c r="CI8" s="81">
        <v>0</v>
      </c>
      <c r="CJ8" s="81">
        <v>0</v>
      </c>
      <c r="CK8" s="81">
        <v>0</v>
      </c>
      <c r="CL8" s="81">
        <v>0</v>
      </c>
      <c r="CM8" s="81">
        <v>0</v>
      </c>
      <c r="CN8" s="81">
        <v>0</v>
      </c>
      <c r="CO8" s="81">
        <v>0</v>
      </c>
      <c r="CP8" s="81">
        <v>0</v>
      </c>
      <c r="CQ8" s="81">
        <v>0</v>
      </c>
      <c r="CR8" s="85">
        <f t="shared" si="0"/>
        <v>0</v>
      </c>
    </row>
    <row r="9" spans="1:96" ht="22.5" customHeight="1" x14ac:dyDescent="0.25">
      <c r="A9" s="8">
        <v>6</v>
      </c>
      <c r="B9" s="9" t="str">
        <f>'[1]Hulhumale Staffs_ Sep 2025'!B9</f>
        <v>MAD0569</v>
      </c>
      <c r="C9" s="69" t="s">
        <v>31</v>
      </c>
      <c r="D9" s="106">
        <v>45295</v>
      </c>
      <c r="E9" s="103" t="s">
        <v>18</v>
      </c>
      <c r="F9" s="103" t="s">
        <v>18</v>
      </c>
      <c r="G9" s="103" t="s">
        <v>18</v>
      </c>
      <c r="H9" s="103" t="s">
        <v>18</v>
      </c>
      <c r="I9" s="103" t="s">
        <v>18</v>
      </c>
      <c r="J9" s="103" t="s">
        <v>18</v>
      </c>
      <c r="K9" s="103" t="s">
        <v>18</v>
      </c>
      <c r="L9" s="103" t="s">
        <v>18</v>
      </c>
      <c r="M9" s="103" t="s">
        <v>18</v>
      </c>
      <c r="N9" s="103" t="s">
        <v>18</v>
      </c>
      <c r="O9" s="103" t="s">
        <v>18</v>
      </c>
      <c r="P9" s="103" t="s">
        <v>18</v>
      </c>
      <c r="Q9" s="103" t="s">
        <v>18</v>
      </c>
      <c r="R9" s="103" t="s">
        <v>18</v>
      </c>
      <c r="S9" s="103" t="s">
        <v>18</v>
      </c>
      <c r="T9" s="103" t="s">
        <v>18</v>
      </c>
      <c r="U9" s="103" t="s">
        <v>18</v>
      </c>
      <c r="V9" s="103" t="s">
        <v>18</v>
      </c>
      <c r="W9" s="103" t="s">
        <v>18</v>
      </c>
      <c r="X9" s="103" t="s">
        <v>18</v>
      </c>
      <c r="Y9" s="103" t="s">
        <v>18</v>
      </c>
      <c r="Z9" s="103" t="s">
        <v>18</v>
      </c>
      <c r="AA9" s="103" t="s">
        <v>18</v>
      </c>
      <c r="AB9" s="103" t="s">
        <v>18</v>
      </c>
      <c r="AC9" s="103" t="s">
        <v>18</v>
      </c>
      <c r="AD9" s="103" t="s">
        <v>18</v>
      </c>
      <c r="AE9" s="103" t="s">
        <v>18</v>
      </c>
      <c r="AF9" s="103" t="s">
        <v>18</v>
      </c>
      <c r="AG9" s="103" t="s">
        <v>18</v>
      </c>
      <c r="AH9" s="103" t="s">
        <v>18</v>
      </c>
      <c r="AI9" s="121"/>
      <c r="AJ9" s="120">
        <v>6</v>
      </c>
      <c r="AK9" s="103" t="s">
        <v>18</v>
      </c>
      <c r="AL9" s="103" t="s">
        <v>18</v>
      </c>
      <c r="AM9" s="103" t="s">
        <v>18</v>
      </c>
      <c r="AN9" s="103" t="s">
        <v>18</v>
      </c>
      <c r="AO9" s="103" t="s">
        <v>18</v>
      </c>
      <c r="AP9" s="103" t="s">
        <v>18</v>
      </c>
      <c r="AQ9" s="103" t="s">
        <v>18</v>
      </c>
      <c r="AR9" s="103" t="s">
        <v>18</v>
      </c>
      <c r="AS9" s="103" t="s">
        <v>18</v>
      </c>
      <c r="AT9" s="103" t="s">
        <v>18</v>
      </c>
      <c r="AU9" s="103" t="s">
        <v>18</v>
      </c>
      <c r="AV9" s="103" t="s">
        <v>18</v>
      </c>
      <c r="AW9" s="103" t="s">
        <v>18</v>
      </c>
      <c r="AX9" s="103" t="s">
        <v>18</v>
      </c>
      <c r="AY9" s="103" t="s">
        <v>18</v>
      </c>
      <c r="AZ9" s="103" t="s">
        <v>18</v>
      </c>
      <c r="BA9" s="103" t="s">
        <v>18</v>
      </c>
      <c r="BB9" s="103" t="s">
        <v>18</v>
      </c>
      <c r="BC9" s="103" t="s">
        <v>18</v>
      </c>
      <c r="BD9" s="103" t="s">
        <v>18</v>
      </c>
      <c r="BE9" s="103">
        <v>0.28888888888888892</v>
      </c>
      <c r="BF9" s="103">
        <v>0.86875000000000002</v>
      </c>
      <c r="BG9" s="103">
        <v>0.31111111111111112</v>
      </c>
      <c r="BH9" s="103">
        <v>0.87569444444444444</v>
      </c>
      <c r="BI9" s="103">
        <v>0.30763888888888891</v>
      </c>
      <c r="BJ9" s="103">
        <v>0.86805555555555547</v>
      </c>
      <c r="BK9" s="103">
        <v>0.32013888888888892</v>
      </c>
      <c r="BL9" s="103">
        <v>0.87152777777777779</v>
      </c>
      <c r="BM9" s="103">
        <v>0.32847222222222222</v>
      </c>
      <c r="BN9" s="103">
        <v>0.91249999999999998</v>
      </c>
      <c r="BO9" s="73">
        <f>BQ9+BR9+BS9+BT9+BP12+BW9+BX9+CB9</f>
        <v>5</v>
      </c>
      <c r="BP9" s="97">
        <v>0</v>
      </c>
      <c r="BQ9" s="18">
        <f t="shared" si="2"/>
        <v>5</v>
      </c>
      <c r="BR9" s="19">
        <f>COUNTIF(B9:BM9,"OFF")/2</f>
        <v>0</v>
      </c>
      <c r="BS9" s="19">
        <f>COUNTIF(B9:BM9,"MC")/2</f>
        <v>0</v>
      </c>
      <c r="BT9" s="19">
        <f>COUNTIF(B9:BM9,"EL")/2</f>
        <v>0</v>
      </c>
      <c r="BU9" s="19">
        <f>COUNTIF(B9:BM9,"AL")/2</f>
        <v>25</v>
      </c>
      <c r="BV9" s="19">
        <f>COUNTIF(B9:BM9,"SUS")/2</f>
        <v>0</v>
      </c>
      <c r="BW9" s="19">
        <f>COUNTIF(B9:BM9,"FL")/2</f>
        <v>0</v>
      </c>
      <c r="BX9" s="19">
        <f>COUNTIF(B9:BM9,"SICK")/2</f>
        <v>0</v>
      </c>
      <c r="BY9" s="19">
        <f>COUNTIF(B9:BM9,"HD")/2</f>
        <v>0</v>
      </c>
      <c r="BZ9" s="19">
        <f>COUNTIF(B9:BM9,"AB")/2</f>
        <v>0</v>
      </c>
      <c r="CA9" s="19">
        <f>COUNTIF(B9:BM9,"NL")/2</f>
        <v>0</v>
      </c>
      <c r="CB9" s="19">
        <f>COUNTIF(B9:BM9,"SP")/2</f>
        <v>0</v>
      </c>
      <c r="CC9" s="4"/>
      <c r="CH9" s="81">
        <v>0</v>
      </c>
      <c r="CI9" s="81">
        <v>0</v>
      </c>
      <c r="CJ9" s="81">
        <v>25</v>
      </c>
      <c r="CK9" s="81">
        <v>0</v>
      </c>
      <c r="CL9" s="81">
        <v>0</v>
      </c>
      <c r="CM9" s="81">
        <v>0</v>
      </c>
      <c r="CN9" s="81">
        <v>0</v>
      </c>
      <c r="CO9" s="81">
        <v>0</v>
      </c>
      <c r="CP9" s="81">
        <v>0</v>
      </c>
      <c r="CQ9" s="81">
        <v>0</v>
      </c>
      <c r="CR9" s="85">
        <f t="shared" si="0"/>
        <v>25</v>
      </c>
    </row>
    <row r="10" spans="1:96" ht="22.5" customHeight="1" x14ac:dyDescent="0.25">
      <c r="A10" s="8">
        <v>7</v>
      </c>
      <c r="B10" s="9" t="str">
        <f>'[1]Hulhumale Staffs_ Sep 2025'!B11</f>
        <v>MAD0699</v>
      </c>
      <c r="C10" s="69" t="s">
        <v>32</v>
      </c>
      <c r="D10" s="104">
        <v>45837</v>
      </c>
      <c r="E10" s="103">
        <v>0.3263888888888889</v>
      </c>
      <c r="F10" s="108">
        <v>1</v>
      </c>
      <c r="G10" s="103">
        <v>0.32222222222222224</v>
      </c>
      <c r="H10" s="108">
        <v>1</v>
      </c>
      <c r="I10" s="103">
        <v>0.58333333333333337</v>
      </c>
      <c r="J10" s="103">
        <v>0.87916666666666676</v>
      </c>
      <c r="K10" s="103">
        <v>0.32569444444444445</v>
      </c>
      <c r="L10" s="108">
        <v>1</v>
      </c>
      <c r="M10" s="103">
        <v>0.32708333333333334</v>
      </c>
      <c r="N10" s="108">
        <v>1</v>
      </c>
      <c r="O10" s="103">
        <v>0.32500000000000001</v>
      </c>
      <c r="P10" s="108">
        <v>1</v>
      </c>
      <c r="Q10" s="103">
        <v>0.32569444444444445</v>
      </c>
      <c r="R10" s="108">
        <v>1</v>
      </c>
      <c r="S10" s="103">
        <v>0.32569444444444445</v>
      </c>
      <c r="T10" s="103">
        <v>0.97777777777777775</v>
      </c>
      <c r="U10" s="103">
        <v>0.33402777777777781</v>
      </c>
      <c r="V10" s="108">
        <v>1</v>
      </c>
      <c r="W10" s="103">
        <v>0.5805555555555556</v>
      </c>
      <c r="X10" s="103">
        <v>0.90069444444444446</v>
      </c>
      <c r="Y10" s="103">
        <v>0.32569444444444445</v>
      </c>
      <c r="Z10" s="108">
        <v>1</v>
      </c>
      <c r="AA10" s="103">
        <v>0.3263888888888889</v>
      </c>
      <c r="AB10" s="108">
        <v>1</v>
      </c>
      <c r="AC10" s="103">
        <v>0.34583333333333338</v>
      </c>
      <c r="AD10" s="108">
        <v>1</v>
      </c>
      <c r="AE10" s="103">
        <v>0.32569444444444445</v>
      </c>
      <c r="AF10" s="108">
        <v>1</v>
      </c>
      <c r="AG10" s="103">
        <v>0.32569444444444445</v>
      </c>
      <c r="AH10" s="108">
        <v>1</v>
      </c>
      <c r="AI10" s="121"/>
      <c r="AJ10" s="120">
        <v>7</v>
      </c>
      <c r="AK10" s="103">
        <v>0.33124999999999999</v>
      </c>
      <c r="AL10" s="108">
        <v>1</v>
      </c>
      <c r="AM10" s="103">
        <v>0.5756944444444444</v>
      </c>
      <c r="AN10" s="103">
        <v>0.90625</v>
      </c>
      <c r="AO10" s="103">
        <v>0.35069444444444442</v>
      </c>
      <c r="AP10" s="108">
        <v>1</v>
      </c>
      <c r="AQ10" s="103">
        <v>0.33124999999999999</v>
      </c>
      <c r="AR10" s="108">
        <v>1</v>
      </c>
      <c r="AS10" s="103">
        <v>0.34097222222222223</v>
      </c>
      <c r="AT10" s="108">
        <v>1</v>
      </c>
      <c r="AU10" s="103">
        <v>0.33194444444444443</v>
      </c>
      <c r="AV10" s="103">
        <v>0.33194444444444443</v>
      </c>
      <c r="AW10" s="103">
        <v>0.34166666666666662</v>
      </c>
      <c r="AX10" s="103">
        <v>0.34166666666666662</v>
      </c>
      <c r="AY10" s="103">
        <v>0.3347222222222222</v>
      </c>
      <c r="AZ10" s="108">
        <v>1</v>
      </c>
      <c r="BA10" s="108" t="s">
        <v>15</v>
      </c>
      <c r="BB10" s="108" t="s">
        <v>15</v>
      </c>
      <c r="BC10" s="103">
        <v>0.34652777777777777</v>
      </c>
      <c r="BD10" s="103">
        <v>0.34722222222222227</v>
      </c>
      <c r="BE10" s="103">
        <v>0.34097222222222223</v>
      </c>
      <c r="BF10" s="108">
        <v>1</v>
      </c>
      <c r="BG10" s="103">
        <v>0.34375</v>
      </c>
      <c r="BH10" s="108">
        <v>1</v>
      </c>
      <c r="BI10" s="103">
        <v>0.34166666666666662</v>
      </c>
      <c r="BJ10" s="108">
        <v>1</v>
      </c>
      <c r="BK10" s="103">
        <v>0.34236111111111112</v>
      </c>
      <c r="BL10" s="103">
        <v>0.98541666666666661</v>
      </c>
      <c r="BM10" s="103">
        <v>0.34722222222222227</v>
      </c>
      <c r="BN10" s="108">
        <v>1</v>
      </c>
      <c r="BO10" s="17">
        <f t="shared" si="1"/>
        <v>30</v>
      </c>
      <c r="BP10" s="97">
        <v>3</v>
      </c>
      <c r="BQ10" s="18">
        <f t="shared" si="2"/>
        <v>29</v>
      </c>
      <c r="BR10" s="19">
        <f>COUNTIF(B10:BM10,"OFF")/2</f>
        <v>1</v>
      </c>
      <c r="BS10" s="19">
        <f>COUNTIF(B10:BM10,"MC")/2</f>
        <v>0</v>
      </c>
      <c r="BT10" s="19">
        <f>COUNTIF(B10:BM10,"EL")/2</f>
        <v>0</v>
      </c>
      <c r="BU10" s="19">
        <f>COUNTIF(B10:BM10,"AL")/2</f>
        <v>0</v>
      </c>
      <c r="BV10" s="19">
        <f>COUNTIF(B10:BM10,"SUS")/2</f>
        <v>0</v>
      </c>
      <c r="BW10" s="19">
        <f>COUNTIF(B10:BM10,"FL")/2</f>
        <v>0</v>
      </c>
      <c r="BX10" s="19">
        <f>COUNTIF(B10:BM10,"SICK")/2</f>
        <v>0</v>
      </c>
      <c r="BY10" s="19">
        <f>COUNTIF(B10:BM10,"HD")/2</f>
        <v>0</v>
      </c>
      <c r="BZ10" s="19">
        <f>COUNTIF(B10:BM10,"AB")/2</f>
        <v>0</v>
      </c>
      <c r="CA10" s="19">
        <f>COUNTIF(B10:BM10,"NL")/2</f>
        <v>0</v>
      </c>
      <c r="CB10" s="19">
        <f>COUNTIF(B10:BM10,"SP")/2</f>
        <v>0</v>
      </c>
      <c r="CC10" s="20"/>
      <c r="CH10" s="111">
        <v>0</v>
      </c>
      <c r="CI10" s="111">
        <v>0</v>
      </c>
      <c r="CJ10" s="111">
        <v>0</v>
      </c>
      <c r="CK10" s="111">
        <v>0</v>
      </c>
      <c r="CL10" s="111">
        <v>0</v>
      </c>
      <c r="CM10" s="111">
        <v>2</v>
      </c>
      <c r="CN10" s="111">
        <v>0</v>
      </c>
      <c r="CO10" s="111">
        <v>0</v>
      </c>
      <c r="CP10" s="111">
        <v>0</v>
      </c>
      <c r="CQ10" s="111">
        <v>0</v>
      </c>
      <c r="CR10" s="112">
        <f t="shared" si="0"/>
        <v>2</v>
      </c>
    </row>
    <row r="11" spans="1:96" ht="16.5" x14ac:dyDescent="0.25">
      <c r="A11" s="10"/>
      <c r="B11" s="2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64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92"/>
      <c r="BO11" s="93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</row>
    <row r="12" spans="1:96" x14ac:dyDescent="0.25">
      <c r="A12" s="10"/>
      <c r="B12" s="2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65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</row>
    <row r="13" spans="1:96" ht="24" customHeight="1" x14ac:dyDescent="0.25">
      <c r="A13" s="134" t="s">
        <v>111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6"/>
      <c r="AI13" s="66"/>
      <c r="AJ13" s="134" t="s">
        <v>111</v>
      </c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6"/>
    </row>
    <row r="14" spans="1:96" ht="18.75" customHeight="1" x14ac:dyDescent="0.25">
      <c r="A14" s="137" t="s">
        <v>33</v>
      </c>
      <c r="B14" s="138"/>
      <c r="C14" s="139"/>
      <c r="D14" s="99"/>
      <c r="E14" s="132" t="s">
        <v>1</v>
      </c>
      <c r="F14" s="133"/>
      <c r="G14" s="132" t="s">
        <v>2</v>
      </c>
      <c r="H14" s="133"/>
      <c r="I14" s="132" t="s">
        <v>3</v>
      </c>
      <c r="J14" s="133"/>
      <c r="K14" s="132" t="s">
        <v>4</v>
      </c>
      <c r="L14" s="133"/>
      <c r="M14" s="132" t="s">
        <v>5</v>
      </c>
      <c r="N14" s="133"/>
      <c r="O14" s="132" t="s">
        <v>6</v>
      </c>
      <c r="P14" s="133"/>
      <c r="Q14" s="132" t="s">
        <v>7</v>
      </c>
      <c r="R14" s="133"/>
      <c r="S14" s="132" t="s">
        <v>1</v>
      </c>
      <c r="T14" s="133"/>
      <c r="U14" s="132" t="s">
        <v>2</v>
      </c>
      <c r="V14" s="133"/>
      <c r="W14" s="132" t="s">
        <v>3</v>
      </c>
      <c r="X14" s="133"/>
      <c r="Y14" s="132" t="s">
        <v>4</v>
      </c>
      <c r="Z14" s="133"/>
      <c r="AA14" s="132" t="s">
        <v>5</v>
      </c>
      <c r="AB14" s="133"/>
      <c r="AC14" s="132" t="s">
        <v>6</v>
      </c>
      <c r="AD14" s="133"/>
      <c r="AE14" s="132" t="s">
        <v>7</v>
      </c>
      <c r="AF14" s="133"/>
      <c r="AG14" s="132" t="s">
        <v>1</v>
      </c>
      <c r="AH14" s="133"/>
      <c r="AI14" s="67"/>
      <c r="AJ14" s="29"/>
      <c r="AK14" s="123" t="s">
        <v>2</v>
      </c>
      <c r="AL14" s="123"/>
      <c r="AM14" s="123" t="s">
        <v>3</v>
      </c>
      <c r="AN14" s="123"/>
      <c r="AO14" s="123" t="s">
        <v>4</v>
      </c>
      <c r="AP14" s="123"/>
      <c r="AQ14" s="123" t="s">
        <v>5</v>
      </c>
      <c r="AR14" s="123"/>
      <c r="AS14" s="123" t="s">
        <v>6</v>
      </c>
      <c r="AT14" s="123"/>
      <c r="AU14" s="123" t="s">
        <v>7</v>
      </c>
      <c r="AV14" s="123"/>
      <c r="AW14" s="123" t="s">
        <v>1</v>
      </c>
      <c r="AX14" s="123"/>
      <c r="AY14" s="123" t="s">
        <v>2</v>
      </c>
      <c r="AZ14" s="123"/>
      <c r="BA14" s="123" t="s">
        <v>3</v>
      </c>
      <c r="BB14" s="123"/>
      <c r="BC14" s="123" t="s">
        <v>4</v>
      </c>
      <c r="BD14" s="123"/>
      <c r="BE14" s="123" t="s">
        <v>5</v>
      </c>
      <c r="BF14" s="123"/>
      <c r="BG14" s="123" t="s">
        <v>6</v>
      </c>
      <c r="BH14" s="123"/>
      <c r="BI14" s="123" t="s">
        <v>7</v>
      </c>
      <c r="BJ14" s="123"/>
      <c r="BK14" s="123" t="s">
        <v>1</v>
      </c>
      <c r="BL14" s="123"/>
      <c r="BM14" s="123" t="s">
        <v>2</v>
      </c>
      <c r="BN14" s="123"/>
      <c r="BO14" s="125" t="s">
        <v>8</v>
      </c>
      <c r="BP14" s="125" t="s">
        <v>9</v>
      </c>
      <c r="BQ14" s="15"/>
      <c r="BR14" s="15"/>
      <c r="BS14" s="15"/>
      <c r="BT14" s="15"/>
      <c r="BU14" s="15"/>
      <c r="BV14" s="15"/>
      <c r="BW14" s="15"/>
      <c r="BX14" s="15"/>
      <c r="BY14" s="27"/>
      <c r="BZ14" s="27"/>
      <c r="CA14" s="15"/>
      <c r="CB14" s="28"/>
      <c r="CC14" s="28"/>
      <c r="CH14" s="151" t="s">
        <v>92</v>
      </c>
      <c r="CI14" s="151"/>
      <c r="CJ14" s="151"/>
      <c r="CK14" s="151"/>
      <c r="CL14" s="151"/>
      <c r="CM14" s="151"/>
      <c r="CN14" s="151"/>
      <c r="CO14" s="151"/>
      <c r="CP14" s="151"/>
      <c r="CQ14" s="151"/>
      <c r="CR14" s="21"/>
    </row>
    <row r="15" spans="1:96" ht="18.75" customHeight="1" x14ac:dyDescent="0.25">
      <c r="A15" s="140"/>
      <c r="B15" s="141"/>
      <c r="C15" s="142"/>
      <c r="D15" s="100"/>
      <c r="E15" s="143">
        <v>46113</v>
      </c>
      <c r="F15" s="144"/>
      <c r="G15" s="143">
        <v>46114</v>
      </c>
      <c r="H15" s="144"/>
      <c r="I15" s="143">
        <v>46115</v>
      </c>
      <c r="J15" s="144"/>
      <c r="K15" s="143">
        <v>46116</v>
      </c>
      <c r="L15" s="144"/>
      <c r="M15" s="143">
        <v>46117</v>
      </c>
      <c r="N15" s="144"/>
      <c r="O15" s="143">
        <v>46118</v>
      </c>
      <c r="P15" s="144"/>
      <c r="Q15" s="143">
        <v>46119</v>
      </c>
      <c r="R15" s="144"/>
      <c r="S15" s="143">
        <v>46120</v>
      </c>
      <c r="T15" s="144"/>
      <c r="U15" s="143">
        <v>46121</v>
      </c>
      <c r="V15" s="144"/>
      <c r="W15" s="143">
        <v>46122</v>
      </c>
      <c r="X15" s="144"/>
      <c r="Y15" s="143">
        <v>46123</v>
      </c>
      <c r="Z15" s="144"/>
      <c r="AA15" s="143">
        <v>46124</v>
      </c>
      <c r="AB15" s="144"/>
      <c r="AC15" s="143">
        <v>46125</v>
      </c>
      <c r="AD15" s="144"/>
      <c r="AE15" s="143">
        <v>46126</v>
      </c>
      <c r="AF15" s="144"/>
      <c r="AG15" s="143">
        <v>46127</v>
      </c>
      <c r="AH15" s="144"/>
      <c r="AI15" s="67"/>
      <c r="AJ15" s="61"/>
      <c r="AK15" s="122">
        <v>46128</v>
      </c>
      <c r="AL15" s="122"/>
      <c r="AM15" s="122">
        <v>46129</v>
      </c>
      <c r="AN15" s="122"/>
      <c r="AO15" s="122">
        <v>46130</v>
      </c>
      <c r="AP15" s="122"/>
      <c r="AQ15" s="122">
        <v>46131</v>
      </c>
      <c r="AR15" s="122"/>
      <c r="AS15" s="122">
        <v>46132</v>
      </c>
      <c r="AT15" s="122"/>
      <c r="AU15" s="122">
        <v>46133</v>
      </c>
      <c r="AV15" s="122"/>
      <c r="AW15" s="122">
        <v>46134</v>
      </c>
      <c r="AX15" s="122"/>
      <c r="AY15" s="122">
        <v>46135</v>
      </c>
      <c r="AZ15" s="122"/>
      <c r="BA15" s="122">
        <v>46136</v>
      </c>
      <c r="BB15" s="122"/>
      <c r="BC15" s="122">
        <v>46137</v>
      </c>
      <c r="BD15" s="122"/>
      <c r="BE15" s="122">
        <v>46138</v>
      </c>
      <c r="BF15" s="122"/>
      <c r="BG15" s="122">
        <v>46139</v>
      </c>
      <c r="BH15" s="122"/>
      <c r="BI15" s="122">
        <v>46140</v>
      </c>
      <c r="BJ15" s="122"/>
      <c r="BK15" s="122">
        <v>46141</v>
      </c>
      <c r="BL15" s="122"/>
      <c r="BM15" s="122">
        <v>46142</v>
      </c>
      <c r="BN15" s="122"/>
      <c r="BO15" s="125"/>
      <c r="BP15" s="125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H15" s="76" t="s">
        <v>113</v>
      </c>
      <c r="CI15" s="76"/>
      <c r="CJ15" s="76"/>
      <c r="CK15" s="76"/>
      <c r="CL15" s="76"/>
      <c r="CM15" s="76"/>
      <c r="CN15" s="76"/>
      <c r="CO15" s="76"/>
      <c r="CP15" s="76"/>
      <c r="CQ15" s="76"/>
      <c r="CR15" s="21"/>
    </row>
    <row r="16" spans="1:96" ht="18.75" customHeight="1" x14ac:dyDescent="0.25">
      <c r="A16" s="5" t="s">
        <v>10</v>
      </c>
      <c r="B16" s="5" t="s">
        <v>11</v>
      </c>
      <c r="C16" s="5" t="s">
        <v>12</v>
      </c>
      <c r="D16" s="102"/>
      <c r="E16" s="70" t="s">
        <v>13</v>
      </c>
      <c r="F16" s="70" t="s">
        <v>14</v>
      </c>
      <c r="G16" s="70" t="s">
        <v>13</v>
      </c>
      <c r="H16" s="70" t="s">
        <v>14</v>
      </c>
      <c r="I16" s="70" t="s">
        <v>13</v>
      </c>
      <c r="J16" s="70" t="s">
        <v>14</v>
      </c>
      <c r="K16" s="70" t="s">
        <v>13</v>
      </c>
      <c r="L16" s="70" t="s">
        <v>14</v>
      </c>
      <c r="M16" s="70" t="s">
        <v>13</v>
      </c>
      <c r="N16" s="70" t="s">
        <v>14</v>
      </c>
      <c r="O16" s="70" t="s">
        <v>13</v>
      </c>
      <c r="P16" s="70" t="s">
        <v>14</v>
      </c>
      <c r="Q16" s="13" t="s">
        <v>13</v>
      </c>
      <c r="R16" s="13" t="s">
        <v>14</v>
      </c>
      <c r="S16" s="13" t="s">
        <v>13</v>
      </c>
      <c r="T16" s="13" t="s">
        <v>14</v>
      </c>
      <c r="U16" s="13" t="s">
        <v>13</v>
      </c>
      <c r="V16" s="13" t="s">
        <v>14</v>
      </c>
      <c r="W16" s="13" t="s">
        <v>13</v>
      </c>
      <c r="X16" s="13" t="s">
        <v>14</v>
      </c>
      <c r="Y16" s="13" t="s">
        <v>13</v>
      </c>
      <c r="Z16" s="13" t="s">
        <v>14</v>
      </c>
      <c r="AA16" s="13" t="s">
        <v>13</v>
      </c>
      <c r="AB16" s="13" t="s">
        <v>14</v>
      </c>
      <c r="AC16" s="13" t="s">
        <v>13</v>
      </c>
      <c r="AD16" s="13" t="s">
        <v>14</v>
      </c>
      <c r="AE16" s="13" t="s">
        <v>13</v>
      </c>
      <c r="AF16" s="13" t="s">
        <v>14</v>
      </c>
      <c r="AG16" s="13" t="s">
        <v>13</v>
      </c>
      <c r="AH16" s="1" t="s">
        <v>14</v>
      </c>
      <c r="AI16" s="68"/>
      <c r="AJ16" s="29"/>
      <c r="AK16" s="13" t="s">
        <v>13</v>
      </c>
      <c r="AL16" s="13" t="s">
        <v>14</v>
      </c>
      <c r="AM16" s="13" t="s">
        <v>13</v>
      </c>
      <c r="AN16" s="13" t="s">
        <v>14</v>
      </c>
      <c r="AO16" s="13" t="s">
        <v>13</v>
      </c>
      <c r="AP16" s="13" t="s">
        <v>14</v>
      </c>
      <c r="AQ16" s="13" t="s">
        <v>13</v>
      </c>
      <c r="AR16" s="13" t="s">
        <v>14</v>
      </c>
      <c r="AS16" s="70" t="s">
        <v>13</v>
      </c>
      <c r="AT16" s="70" t="s">
        <v>14</v>
      </c>
      <c r="AU16" s="13" t="s">
        <v>13</v>
      </c>
      <c r="AV16" s="13" t="s">
        <v>14</v>
      </c>
      <c r="AW16" s="13" t="s">
        <v>13</v>
      </c>
      <c r="AX16" s="13" t="s">
        <v>14</v>
      </c>
      <c r="AY16" s="13" t="s">
        <v>13</v>
      </c>
      <c r="AZ16" s="13" t="s">
        <v>14</v>
      </c>
      <c r="BA16" s="13" t="s">
        <v>13</v>
      </c>
      <c r="BB16" s="13" t="s">
        <v>14</v>
      </c>
      <c r="BC16" s="13" t="s">
        <v>13</v>
      </c>
      <c r="BD16" s="13" t="s">
        <v>14</v>
      </c>
      <c r="BE16" s="13" t="s">
        <v>13</v>
      </c>
      <c r="BF16" s="13" t="s">
        <v>14</v>
      </c>
      <c r="BG16" s="13" t="s">
        <v>13</v>
      </c>
      <c r="BH16" s="13" t="s">
        <v>14</v>
      </c>
      <c r="BI16" s="13" t="s">
        <v>13</v>
      </c>
      <c r="BJ16" s="13" t="s">
        <v>14</v>
      </c>
      <c r="BK16" s="13" t="s">
        <v>13</v>
      </c>
      <c r="BL16" s="13" t="s">
        <v>14</v>
      </c>
      <c r="BM16" s="13" t="s">
        <v>13</v>
      </c>
      <c r="BN16" s="13" t="s">
        <v>14</v>
      </c>
      <c r="BO16" s="125"/>
      <c r="BP16" s="125"/>
      <c r="BQ16" s="14"/>
      <c r="BR16" s="108" t="s">
        <v>15</v>
      </c>
      <c r="BS16" s="108" t="s">
        <v>16</v>
      </c>
      <c r="BT16" s="108" t="s">
        <v>17</v>
      </c>
      <c r="BU16" s="108" t="s">
        <v>18</v>
      </c>
      <c r="BV16" s="108" t="s">
        <v>19</v>
      </c>
      <c r="BW16" s="108" t="s">
        <v>20</v>
      </c>
      <c r="BX16" s="108" t="s">
        <v>124</v>
      </c>
      <c r="BY16" s="59" t="s">
        <v>22</v>
      </c>
      <c r="BZ16" s="108" t="s">
        <v>23</v>
      </c>
      <c r="CA16" s="108" t="s">
        <v>24</v>
      </c>
      <c r="CB16" s="108" t="s">
        <v>25</v>
      </c>
      <c r="CC16" s="15" t="s">
        <v>26</v>
      </c>
      <c r="CH16" s="86" t="s">
        <v>16</v>
      </c>
      <c r="CI16" s="86" t="s">
        <v>17</v>
      </c>
      <c r="CJ16" s="86" t="s">
        <v>18</v>
      </c>
      <c r="CK16" s="86" t="s">
        <v>19</v>
      </c>
      <c r="CL16" s="86" t="s">
        <v>20</v>
      </c>
      <c r="CM16" s="86" t="s">
        <v>21</v>
      </c>
      <c r="CN16" s="86" t="s">
        <v>22</v>
      </c>
      <c r="CO16" s="86" t="s">
        <v>23</v>
      </c>
      <c r="CP16" s="86" t="s">
        <v>24</v>
      </c>
      <c r="CQ16" s="86" t="s">
        <v>25</v>
      </c>
      <c r="CR16" s="86" t="s">
        <v>93</v>
      </c>
    </row>
    <row r="17" spans="1:96" ht="22.5" customHeight="1" x14ac:dyDescent="0.25">
      <c r="A17" s="8">
        <v>8</v>
      </c>
      <c r="B17" s="9" t="s">
        <v>34</v>
      </c>
      <c r="C17" s="69" t="s">
        <v>35</v>
      </c>
      <c r="D17" s="104">
        <v>43525</v>
      </c>
      <c r="E17" s="103">
        <v>0.34930555555555554</v>
      </c>
      <c r="F17" s="108">
        <v>1</v>
      </c>
      <c r="G17" s="103">
        <v>0.35000000000000003</v>
      </c>
      <c r="H17" s="108">
        <v>1</v>
      </c>
      <c r="I17" s="108" t="s">
        <v>15</v>
      </c>
      <c r="J17" s="108" t="s">
        <v>15</v>
      </c>
      <c r="K17" s="103">
        <v>0.34652777777777777</v>
      </c>
      <c r="L17" s="108">
        <v>1</v>
      </c>
      <c r="M17" s="103">
        <v>0.34930555555555554</v>
      </c>
      <c r="N17" s="108">
        <v>1</v>
      </c>
      <c r="O17" s="103">
        <v>0.35000000000000003</v>
      </c>
      <c r="P17" s="108">
        <v>1</v>
      </c>
      <c r="Q17" s="103">
        <v>0.35000000000000003</v>
      </c>
      <c r="R17" s="108">
        <v>1</v>
      </c>
      <c r="S17" s="103">
        <v>0.34791666666666665</v>
      </c>
      <c r="T17" s="108">
        <v>1</v>
      </c>
      <c r="U17" s="103">
        <v>0.34791666666666665</v>
      </c>
      <c r="V17" s="108">
        <v>1</v>
      </c>
      <c r="W17" s="103">
        <v>0.5756944444444444</v>
      </c>
      <c r="X17" s="108">
        <v>1</v>
      </c>
      <c r="Y17" s="103">
        <v>0.34861111111111115</v>
      </c>
      <c r="Z17" s="108">
        <v>1</v>
      </c>
      <c r="AA17" s="103">
        <v>0.34930555555555554</v>
      </c>
      <c r="AB17" s="108">
        <v>1</v>
      </c>
      <c r="AC17" s="103">
        <v>0.34861111111111115</v>
      </c>
      <c r="AD17" s="108">
        <v>1</v>
      </c>
      <c r="AE17" s="103">
        <v>0.34930555555555554</v>
      </c>
      <c r="AF17" s="108">
        <v>1</v>
      </c>
      <c r="AG17" s="103">
        <v>0.34930555555555554</v>
      </c>
      <c r="AH17" s="108">
        <v>1</v>
      </c>
      <c r="AI17" s="121"/>
      <c r="AJ17" s="120">
        <v>8</v>
      </c>
      <c r="AK17" s="103">
        <v>0.3576388888888889</v>
      </c>
      <c r="AL17" s="108">
        <v>1</v>
      </c>
      <c r="AM17" s="108" t="s">
        <v>15</v>
      </c>
      <c r="AN17" s="108" t="s">
        <v>15</v>
      </c>
      <c r="AO17" s="103">
        <v>0.35000000000000003</v>
      </c>
      <c r="AP17" s="103">
        <v>0.35000000000000003</v>
      </c>
      <c r="AQ17" s="103">
        <v>0.35555555555555557</v>
      </c>
      <c r="AR17" s="103">
        <v>0.35555555555555557</v>
      </c>
      <c r="AS17" s="103">
        <v>0.3520833333333333</v>
      </c>
      <c r="AT17" s="108">
        <v>1</v>
      </c>
      <c r="AU17" s="103">
        <v>0.34861111111111115</v>
      </c>
      <c r="AV17" s="108">
        <v>1</v>
      </c>
      <c r="AW17" s="103">
        <v>0.34930555555555554</v>
      </c>
      <c r="AX17" s="108">
        <v>1</v>
      </c>
      <c r="AY17" s="103">
        <v>0.35000000000000003</v>
      </c>
      <c r="AZ17" s="108">
        <v>1</v>
      </c>
      <c r="BA17" s="103">
        <v>0.57500000000000007</v>
      </c>
      <c r="BB17" s="113">
        <v>1</v>
      </c>
      <c r="BC17" s="103">
        <v>0.35000000000000003</v>
      </c>
      <c r="BD17" s="108">
        <v>1</v>
      </c>
      <c r="BE17" s="103">
        <v>0.34861111111111115</v>
      </c>
      <c r="BF17" s="108">
        <v>1</v>
      </c>
      <c r="BG17" s="103">
        <v>0.34791666666666665</v>
      </c>
      <c r="BH17" s="108">
        <v>1</v>
      </c>
      <c r="BI17" s="103">
        <v>0.34791666666666665</v>
      </c>
      <c r="BJ17" s="108">
        <v>1</v>
      </c>
      <c r="BK17" s="103">
        <v>0.34791666666666665</v>
      </c>
      <c r="BL17" s="108">
        <v>1</v>
      </c>
      <c r="BM17" s="103">
        <v>0.34583333333333338</v>
      </c>
      <c r="BN17" s="108">
        <v>1</v>
      </c>
      <c r="BO17" s="73">
        <f>BQ17+BR17+BS17+BT17+BY17+BW17+BX17+CB17</f>
        <v>30</v>
      </c>
      <c r="BP17" s="74">
        <v>2</v>
      </c>
      <c r="BQ17" s="18">
        <f>COUNT(E17:AH17)/2+COUNT(AK17:BN17)/2</f>
        <v>28</v>
      </c>
      <c r="BR17" s="19">
        <f t="shared" ref="BR17:BR36" si="3">COUNTIF(B17:BN17,"OFF")/2</f>
        <v>2</v>
      </c>
      <c r="BS17" s="19">
        <f t="shared" ref="BS17:BS36" si="4">COUNTIF(B17:BN17,"MC")/2</f>
        <v>0</v>
      </c>
      <c r="BT17" s="19">
        <f t="shared" ref="BT17:BT36" si="5">COUNTIF(B17:BN17,"EL")/2</f>
        <v>0</v>
      </c>
      <c r="BU17" s="19">
        <f t="shared" ref="BU17:BU36" si="6">COUNTIF(B17:BN17,"AL")/2</f>
        <v>0</v>
      </c>
      <c r="BV17" s="19">
        <f t="shared" ref="BV17:BV36" si="7">COUNTIF(B17:BN17,"SUS")/2</f>
        <v>0</v>
      </c>
      <c r="BW17" s="19">
        <f t="shared" ref="BW17:BW36" si="8">COUNTIF(B17:BN17,"FL")/2</f>
        <v>0</v>
      </c>
      <c r="BX17" s="19">
        <f t="shared" ref="BX17:BX36" si="9">COUNTIF(B17:BN17,"SICK")/2</f>
        <v>0</v>
      </c>
      <c r="BY17" s="19">
        <f t="shared" ref="BY17:BY36" si="10">COUNTIF(B17:BN17,"HD")/2</f>
        <v>0</v>
      </c>
      <c r="BZ17" s="19">
        <f t="shared" ref="BZ17:BZ36" si="11">COUNTIF(B17:BN17,"AB")/2</f>
        <v>0</v>
      </c>
      <c r="CA17" s="19">
        <f t="shared" ref="CA17:CA36" si="12">COUNTIF(B17:BN17,"NL")/2</f>
        <v>0</v>
      </c>
      <c r="CB17" s="19">
        <f t="shared" ref="CB17:CB36" si="13">COUNTIF(B17:BN17,"SP")/2</f>
        <v>0</v>
      </c>
      <c r="CC17" s="20"/>
      <c r="CH17" s="82">
        <v>0</v>
      </c>
      <c r="CI17" s="82">
        <v>0</v>
      </c>
      <c r="CJ17" s="82">
        <v>0</v>
      </c>
      <c r="CK17" s="82">
        <v>0</v>
      </c>
      <c r="CL17" s="82">
        <v>0</v>
      </c>
      <c r="CM17" s="82">
        <v>1</v>
      </c>
      <c r="CN17" s="83">
        <v>0</v>
      </c>
      <c r="CO17" s="83">
        <v>0</v>
      </c>
      <c r="CP17" s="83">
        <v>0</v>
      </c>
      <c r="CQ17" s="83">
        <v>0</v>
      </c>
      <c r="CR17" s="84">
        <f t="shared" ref="CR17:CR18" si="14">SUM(CH17:CQ17)</f>
        <v>1</v>
      </c>
    </row>
    <row r="18" spans="1:96" ht="22.5" customHeight="1" x14ac:dyDescent="0.25">
      <c r="A18" s="8">
        <v>9</v>
      </c>
      <c r="B18" s="9" t="s">
        <v>36</v>
      </c>
      <c r="C18" s="69" t="s">
        <v>37</v>
      </c>
      <c r="D18" s="104">
        <v>44862</v>
      </c>
      <c r="E18" s="103">
        <v>0.3527777777777778</v>
      </c>
      <c r="F18" s="103">
        <v>0.94374999999999998</v>
      </c>
      <c r="G18" s="103">
        <v>0.35000000000000003</v>
      </c>
      <c r="H18" s="103">
        <v>0.96597222222222223</v>
      </c>
      <c r="I18" s="108" t="s">
        <v>15</v>
      </c>
      <c r="J18" s="108" t="s">
        <v>15</v>
      </c>
      <c r="K18" s="103">
        <v>0.3520833333333333</v>
      </c>
      <c r="L18" s="103">
        <v>0.95624999999999993</v>
      </c>
      <c r="M18" s="103">
        <v>0.35416666666666669</v>
      </c>
      <c r="N18" s="103">
        <v>0.9375</v>
      </c>
      <c r="O18" s="103">
        <v>0.34930555555555554</v>
      </c>
      <c r="P18" s="103">
        <v>0.94097222222222221</v>
      </c>
      <c r="Q18" s="103">
        <v>0.35347222222222219</v>
      </c>
      <c r="R18" s="103">
        <v>0.94166666666666676</v>
      </c>
      <c r="S18" s="103">
        <v>0.35347222222222219</v>
      </c>
      <c r="T18" s="103">
        <v>0.93819444444444444</v>
      </c>
      <c r="U18" s="103">
        <v>0.34930555555555554</v>
      </c>
      <c r="V18" s="103">
        <v>0.95763888888888893</v>
      </c>
      <c r="W18" s="103">
        <v>0.57430555555555551</v>
      </c>
      <c r="X18" s="103">
        <v>0.94444444444444453</v>
      </c>
      <c r="Y18" s="103">
        <v>0.35138888888888892</v>
      </c>
      <c r="Z18" s="103">
        <v>0.96458333333333324</v>
      </c>
      <c r="AA18" s="103">
        <v>0.34861111111111115</v>
      </c>
      <c r="AB18" s="103">
        <v>0.94236111111111109</v>
      </c>
      <c r="AC18" s="103">
        <v>0.35069444444444442</v>
      </c>
      <c r="AD18" s="103">
        <v>0.93888888888888899</v>
      </c>
      <c r="AE18" s="103">
        <v>0.35416666666666669</v>
      </c>
      <c r="AF18" s="103">
        <v>0.93888888888888899</v>
      </c>
      <c r="AG18" s="103">
        <v>0.34930555555555554</v>
      </c>
      <c r="AH18" s="103">
        <v>0.94097222222222221</v>
      </c>
      <c r="AI18" s="121"/>
      <c r="AJ18" s="120">
        <v>9</v>
      </c>
      <c r="AK18" s="103">
        <v>0.35555555555555557</v>
      </c>
      <c r="AL18" s="103">
        <v>0.96319444444444446</v>
      </c>
      <c r="AM18" s="108" t="s">
        <v>15</v>
      </c>
      <c r="AN18" s="108" t="s">
        <v>15</v>
      </c>
      <c r="AO18" s="103">
        <v>0.34791666666666665</v>
      </c>
      <c r="AP18" s="103">
        <v>0.96319444444444446</v>
      </c>
      <c r="AQ18" s="103">
        <v>0.3527777777777778</v>
      </c>
      <c r="AR18" s="103">
        <v>0.94374999999999998</v>
      </c>
      <c r="AS18" s="103">
        <v>0.35000000000000003</v>
      </c>
      <c r="AT18" s="103">
        <v>0.93958333333333333</v>
      </c>
      <c r="AU18" s="103">
        <v>0.3527777777777778</v>
      </c>
      <c r="AV18" s="103">
        <v>0.93611111111111101</v>
      </c>
      <c r="AW18" s="103">
        <v>0.35000000000000003</v>
      </c>
      <c r="AX18" s="103">
        <v>0.94513888888888886</v>
      </c>
      <c r="AY18" s="103">
        <v>0.35000000000000003</v>
      </c>
      <c r="AZ18" s="103">
        <v>0.96319444444444446</v>
      </c>
      <c r="BA18" s="103">
        <v>0.57847222222222217</v>
      </c>
      <c r="BB18" s="103">
        <v>0.95347222222222217</v>
      </c>
      <c r="BC18" s="103">
        <v>0.34791666666666665</v>
      </c>
      <c r="BD18" s="103">
        <v>0.95624999999999993</v>
      </c>
      <c r="BE18" s="103">
        <v>0.34861111111111115</v>
      </c>
      <c r="BF18" s="103">
        <v>0.94236111111111109</v>
      </c>
      <c r="BG18" s="103">
        <v>0.3520833333333333</v>
      </c>
      <c r="BH18" s="103">
        <v>0.93819444444444444</v>
      </c>
      <c r="BI18" s="103">
        <v>0.35000000000000003</v>
      </c>
      <c r="BJ18" s="103">
        <v>0.93680555555555556</v>
      </c>
      <c r="BK18" s="103">
        <v>0.35069444444444442</v>
      </c>
      <c r="BL18" s="103">
        <v>0.9458333333333333</v>
      </c>
      <c r="BM18" s="103">
        <v>0.35138888888888892</v>
      </c>
      <c r="BN18" s="103">
        <v>0.96875</v>
      </c>
      <c r="BO18" s="73">
        <f t="shared" ref="BO18:BO31" si="15">BQ18+BR18+BS18+BT18+BY18+BW18+BX18+CB18</f>
        <v>30</v>
      </c>
      <c r="BP18" s="74">
        <v>2</v>
      </c>
      <c r="BQ18" s="18">
        <f t="shared" ref="BQ18:BQ36" si="16">COUNT(E18:AH18)/2+COUNT(AK18:BN18)/2</f>
        <v>28</v>
      </c>
      <c r="BR18" s="19">
        <f t="shared" si="3"/>
        <v>2</v>
      </c>
      <c r="BS18" s="19">
        <f t="shared" si="4"/>
        <v>0</v>
      </c>
      <c r="BT18" s="19">
        <f t="shared" si="5"/>
        <v>0</v>
      </c>
      <c r="BU18" s="19">
        <f t="shared" si="6"/>
        <v>0</v>
      </c>
      <c r="BV18" s="19">
        <f t="shared" si="7"/>
        <v>0</v>
      </c>
      <c r="BW18" s="19">
        <f t="shared" si="8"/>
        <v>0</v>
      </c>
      <c r="BX18" s="19">
        <f t="shared" si="9"/>
        <v>0</v>
      </c>
      <c r="BY18" s="19">
        <f t="shared" si="10"/>
        <v>0</v>
      </c>
      <c r="BZ18" s="19">
        <f t="shared" si="11"/>
        <v>0</v>
      </c>
      <c r="CA18" s="19">
        <f t="shared" si="12"/>
        <v>0</v>
      </c>
      <c r="CB18" s="19">
        <f t="shared" si="13"/>
        <v>0</v>
      </c>
      <c r="CC18" s="20"/>
      <c r="CH18" s="81">
        <v>0</v>
      </c>
      <c r="CI18" s="81">
        <v>0</v>
      </c>
      <c r="CJ18" s="81">
        <v>0</v>
      </c>
      <c r="CK18" s="80">
        <v>0</v>
      </c>
      <c r="CL18" s="80">
        <v>0</v>
      </c>
      <c r="CM18" s="80">
        <v>0</v>
      </c>
      <c r="CN18" s="80">
        <v>0</v>
      </c>
      <c r="CO18" s="80">
        <v>0</v>
      </c>
      <c r="CP18" s="80">
        <v>0</v>
      </c>
      <c r="CQ18" s="80">
        <v>0</v>
      </c>
      <c r="CR18" s="85">
        <f t="shared" si="14"/>
        <v>0</v>
      </c>
    </row>
    <row r="19" spans="1:96" ht="22.5" customHeight="1" x14ac:dyDescent="0.25">
      <c r="A19" s="8">
        <v>10</v>
      </c>
      <c r="B19" s="9" t="s">
        <v>40</v>
      </c>
      <c r="C19" s="69" t="s">
        <v>41</v>
      </c>
      <c r="D19" s="104">
        <v>45374</v>
      </c>
      <c r="E19" s="103">
        <v>0.35555555555555557</v>
      </c>
      <c r="F19" s="103">
        <v>0.95486111111111116</v>
      </c>
      <c r="G19" s="103">
        <v>0.35625000000000001</v>
      </c>
      <c r="H19" s="103">
        <v>0.97083333333333333</v>
      </c>
      <c r="I19" s="103">
        <v>0.57847222222222217</v>
      </c>
      <c r="J19" s="103">
        <v>0.95347222222222217</v>
      </c>
      <c r="K19" s="103">
        <v>0.35416666666666669</v>
      </c>
      <c r="L19" s="108">
        <v>1</v>
      </c>
      <c r="M19" s="103">
        <v>0.35555555555555557</v>
      </c>
      <c r="N19" s="103">
        <v>0.9506944444444444</v>
      </c>
      <c r="O19" s="103">
        <v>0.35069444444444442</v>
      </c>
      <c r="P19" s="103">
        <v>0.96180555555555547</v>
      </c>
      <c r="Q19" s="103">
        <v>0.35625000000000001</v>
      </c>
      <c r="R19" s="103">
        <v>0.94305555555555554</v>
      </c>
      <c r="S19" s="103">
        <v>0.35625000000000001</v>
      </c>
      <c r="T19" s="108">
        <v>1</v>
      </c>
      <c r="U19" s="103">
        <v>0.35486111111111113</v>
      </c>
      <c r="V19" s="103">
        <v>0.97083333333333333</v>
      </c>
      <c r="W19" s="108" t="s">
        <v>15</v>
      </c>
      <c r="X19" s="108" t="s">
        <v>15</v>
      </c>
      <c r="Y19" s="103">
        <v>0.35486111111111113</v>
      </c>
      <c r="Z19" s="103">
        <v>0.97777777777777775</v>
      </c>
      <c r="AA19" s="103">
        <v>0.35972222222222222</v>
      </c>
      <c r="AB19" s="103">
        <v>0.96111111111111114</v>
      </c>
      <c r="AC19" s="103">
        <v>0.36041666666666666</v>
      </c>
      <c r="AD19" s="103">
        <v>0.9472222222222223</v>
      </c>
      <c r="AE19" s="103">
        <v>0.35694444444444445</v>
      </c>
      <c r="AF19" s="103">
        <v>0.95624999999999993</v>
      </c>
      <c r="AG19" s="103">
        <v>0.35555555555555557</v>
      </c>
      <c r="AH19" s="103">
        <v>0.94027777777777777</v>
      </c>
      <c r="AI19" s="121"/>
      <c r="AJ19" s="120">
        <v>10</v>
      </c>
      <c r="AK19" s="103">
        <v>0.35694444444444445</v>
      </c>
      <c r="AL19" s="103">
        <v>0.9868055555555556</v>
      </c>
      <c r="AM19" s="103">
        <v>0.58333333333333337</v>
      </c>
      <c r="AN19" s="103">
        <v>0.9506944444444444</v>
      </c>
      <c r="AO19" s="103">
        <v>0.35625000000000001</v>
      </c>
      <c r="AP19" s="103">
        <v>0.97569444444444453</v>
      </c>
      <c r="AQ19" s="103">
        <v>0.3979166666666667</v>
      </c>
      <c r="AR19" s="103">
        <v>0.95694444444444438</v>
      </c>
      <c r="AS19" s="103">
        <v>0.35416666666666669</v>
      </c>
      <c r="AT19" s="108">
        <v>1</v>
      </c>
      <c r="AU19" s="103">
        <v>0.35694444444444445</v>
      </c>
      <c r="AV19" s="108">
        <v>1</v>
      </c>
      <c r="AW19" s="103">
        <v>0.35694444444444445</v>
      </c>
      <c r="AX19" s="108">
        <v>1</v>
      </c>
      <c r="AY19" s="103">
        <v>0.35694444444444445</v>
      </c>
      <c r="AZ19" s="103">
        <v>0.9770833333333333</v>
      </c>
      <c r="BA19" s="108" t="s">
        <v>15</v>
      </c>
      <c r="BB19" s="108" t="s">
        <v>15</v>
      </c>
      <c r="BC19" s="103">
        <v>0.35347222222222219</v>
      </c>
      <c r="BD19" s="108">
        <v>1</v>
      </c>
      <c r="BE19" s="103">
        <v>0.3576388888888889</v>
      </c>
      <c r="BF19" s="108">
        <v>1</v>
      </c>
      <c r="BG19" s="103">
        <v>0.35555555555555557</v>
      </c>
      <c r="BH19" s="108">
        <v>1</v>
      </c>
      <c r="BI19" s="103">
        <v>0.35694444444444445</v>
      </c>
      <c r="BJ19" s="108">
        <v>1</v>
      </c>
      <c r="BK19" s="103">
        <v>0.35486111111111113</v>
      </c>
      <c r="BL19" s="103">
        <v>0.9472222222222223</v>
      </c>
      <c r="BM19" s="103">
        <v>0.35486111111111113</v>
      </c>
      <c r="BN19" s="103">
        <v>0.97777777777777775</v>
      </c>
      <c r="BO19" s="73">
        <f t="shared" si="15"/>
        <v>30</v>
      </c>
      <c r="BP19" s="74">
        <v>2</v>
      </c>
      <c r="BQ19" s="18">
        <f t="shared" si="16"/>
        <v>28</v>
      </c>
      <c r="BR19" s="19">
        <f t="shared" si="3"/>
        <v>2</v>
      </c>
      <c r="BS19" s="19">
        <f t="shared" si="4"/>
        <v>0</v>
      </c>
      <c r="BT19" s="19">
        <f t="shared" si="5"/>
        <v>0</v>
      </c>
      <c r="BU19" s="19">
        <f t="shared" si="6"/>
        <v>0</v>
      </c>
      <c r="BV19" s="19">
        <f t="shared" si="7"/>
        <v>0</v>
      </c>
      <c r="BW19" s="19">
        <f t="shared" si="8"/>
        <v>0</v>
      </c>
      <c r="BX19" s="19">
        <f t="shared" si="9"/>
        <v>0</v>
      </c>
      <c r="BY19" s="19">
        <f t="shared" si="10"/>
        <v>0</v>
      </c>
      <c r="BZ19" s="19">
        <f t="shared" si="11"/>
        <v>0</v>
      </c>
      <c r="CA19" s="19">
        <f t="shared" si="12"/>
        <v>0</v>
      </c>
      <c r="CB19" s="19">
        <f t="shared" si="13"/>
        <v>0</v>
      </c>
      <c r="CC19" s="20"/>
      <c r="CH19" s="82">
        <v>0</v>
      </c>
      <c r="CI19" s="82">
        <v>0</v>
      </c>
      <c r="CJ19" s="82">
        <v>0</v>
      </c>
      <c r="CK19" s="82">
        <v>0</v>
      </c>
      <c r="CL19" s="82">
        <v>0</v>
      </c>
      <c r="CM19" s="82">
        <v>3</v>
      </c>
      <c r="CN19" s="83">
        <v>0</v>
      </c>
      <c r="CO19" s="83">
        <v>5</v>
      </c>
      <c r="CP19" s="83">
        <v>0</v>
      </c>
      <c r="CQ19" s="83">
        <v>0</v>
      </c>
      <c r="CR19" s="84">
        <f t="shared" ref="CR19:CR31" si="17">SUM(CH19:CQ19)</f>
        <v>8</v>
      </c>
    </row>
    <row r="20" spans="1:96" ht="22.5" customHeight="1" x14ac:dyDescent="0.25">
      <c r="A20" s="8">
        <v>11</v>
      </c>
      <c r="B20" s="9" t="s">
        <v>42</v>
      </c>
      <c r="C20" s="69" t="s">
        <v>43</v>
      </c>
      <c r="D20" s="104">
        <v>45382</v>
      </c>
      <c r="E20" s="103">
        <v>0.35416666666666669</v>
      </c>
      <c r="F20" s="103">
        <v>0.82986111111111116</v>
      </c>
      <c r="G20" s="103">
        <v>0.3527777777777778</v>
      </c>
      <c r="H20" s="103">
        <v>0.82638888888888884</v>
      </c>
      <c r="I20" s="108" t="s">
        <v>15</v>
      </c>
      <c r="J20" s="108" t="s">
        <v>15</v>
      </c>
      <c r="K20" s="103">
        <v>0.35138888888888892</v>
      </c>
      <c r="L20" s="103">
        <v>0.83194444444444438</v>
      </c>
      <c r="M20" s="103">
        <v>0.3520833333333333</v>
      </c>
      <c r="N20" s="103">
        <v>0.3520833333333333</v>
      </c>
      <c r="O20" s="103">
        <v>0.35138888888888892</v>
      </c>
      <c r="P20" s="103">
        <v>0.95486111111111116</v>
      </c>
      <c r="Q20" s="103">
        <v>0.35555555555555557</v>
      </c>
      <c r="R20" s="103">
        <v>0.82986111111111116</v>
      </c>
      <c r="S20" s="103">
        <v>0.3527777777777778</v>
      </c>
      <c r="T20" s="103">
        <v>0.83124999999999993</v>
      </c>
      <c r="U20" s="103">
        <v>0.35138888888888892</v>
      </c>
      <c r="V20" s="103">
        <v>0.92847222222222225</v>
      </c>
      <c r="W20" s="103">
        <v>0.58263888888888882</v>
      </c>
      <c r="X20" s="103">
        <v>0.8354166666666667</v>
      </c>
      <c r="Y20" s="103">
        <v>0.3527777777777778</v>
      </c>
      <c r="Z20" s="103">
        <v>0.87569444444444444</v>
      </c>
      <c r="AA20" s="103">
        <v>0.35000000000000003</v>
      </c>
      <c r="AB20" s="103">
        <v>0.85833333333333339</v>
      </c>
      <c r="AC20" s="103">
        <v>0.35486111111111113</v>
      </c>
      <c r="AD20" s="103">
        <v>0.85069444444444453</v>
      </c>
      <c r="AE20" s="103">
        <v>0.34722222222222227</v>
      </c>
      <c r="AF20" s="103">
        <v>0.84791666666666676</v>
      </c>
      <c r="AG20" s="103">
        <v>0.34722222222222227</v>
      </c>
      <c r="AH20" s="103">
        <v>0.82638888888888884</v>
      </c>
      <c r="AI20" s="121"/>
      <c r="AJ20" s="120">
        <v>11</v>
      </c>
      <c r="AK20" s="103">
        <v>0.3520833333333333</v>
      </c>
      <c r="AL20" s="103">
        <v>0.8305555555555556</v>
      </c>
      <c r="AM20" s="108" t="s">
        <v>15</v>
      </c>
      <c r="AN20" s="108" t="s">
        <v>15</v>
      </c>
      <c r="AO20" s="103">
        <v>0.34930555555555554</v>
      </c>
      <c r="AP20" s="103">
        <v>0.85902777777777783</v>
      </c>
      <c r="AQ20" s="103">
        <v>0.35138888888888892</v>
      </c>
      <c r="AR20" s="103">
        <v>0.85</v>
      </c>
      <c r="AS20" s="103">
        <v>0.34791666666666665</v>
      </c>
      <c r="AT20" s="103">
        <v>0.85416666666666663</v>
      </c>
      <c r="AU20" s="103">
        <v>0.35069444444444442</v>
      </c>
      <c r="AV20" s="103">
        <v>0.35069444444444442</v>
      </c>
      <c r="AW20" s="103">
        <v>0.34861111111111115</v>
      </c>
      <c r="AX20" s="103">
        <v>0.86805555555555547</v>
      </c>
      <c r="AY20" s="103">
        <v>0.35000000000000003</v>
      </c>
      <c r="AZ20" s="103">
        <v>0.8256944444444444</v>
      </c>
      <c r="BA20" s="103">
        <v>0.5756944444444444</v>
      </c>
      <c r="BB20" s="103">
        <v>0.90277777777777779</v>
      </c>
      <c r="BC20" s="103">
        <v>0.3520833333333333</v>
      </c>
      <c r="BD20" s="103">
        <v>0.83750000000000002</v>
      </c>
      <c r="BE20" s="103">
        <v>0.34722222222222227</v>
      </c>
      <c r="BF20" s="103">
        <v>0.81180555555555556</v>
      </c>
      <c r="BG20" s="103">
        <v>0.34791666666666665</v>
      </c>
      <c r="BH20" s="103">
        <v>0.88055555555555554</v>
      </c>
      <c r="BI20" s="103">
        <v>0.34930555555555554</v>
      </c>
      <c r="BJ20" s="103">
        <v>0.82847222222222217</v>
      </c>
      <c r="BK20" s="103">
        <v>0.37083333333333335</v>
      </c>
      <c r="BL20" s="103">
        <v>0.87986111111111109</v>
      </c>
      <c r="BM20" s="103">
        <v>0.34861111111111115</v>
      </c>
      <c r="BN20" s="103">
        <v>0.89236111111111116</v>
      </c>
      <c r="BO20" s="73">
        <f t="shared" si="15"/>
        <v>30</v>
      </c>
      <c r="BP20" s="74">
        <v>2</v>
      </c>
      <c r="BQ20" s="18">
        <f t="shared" si="16"/>
        <v>28</v>
      </c>
      <c r="BR20" s="19">
        <f t="shared" si="3"/>
        <v>2</v>
      </c>
      <c r="BS20" s="19">
        <f t="shared" si="4"/>
        <v>0</v>
      </c>
      <c r="BT20" s="19">
        <f t="shared" si="5"/>
        <v>0</v>
      </c>
      <c r="BU20" s="19">
        <f t="shared" si="6"/>
        <v>0</v>
      </c>
      <c r="BV20" s="19">
        <f t="shared" si="7"/>
        <v>0</v>
      </c>
      <c r="BW20" s="19">
        <f t="shared" si="8"/>
        <v>0</v>
      </c>
      <c r="BX20" s="19">
        <f t="shared" si="9"/>
        <v>0</v>
      </c>
      <c r="BY20" s="19">
        <f t="shared" si="10"/>
        <v>0</v>
      </c>
      <c r="BZ20" s="19">
        <f t="shared" si="11"/>
        <v>0</v>
      </c>
      <c r="CA20" s="19">
        <f t="shared" si="12"/>
        <v>0</v>
      </c>
      <c r="CB20" s="19">
        <f t="shared" si="13"/>
        <v>0</v>
      </c>
      <c r="CC20" s="20"/>
      <c r="CH20" s="81">
        <v>0</v>
      </c>
      <c r="CI20" s="81">
        <v>0</v>
      </c>
      <c r="CJ20" s="81">
        <v>0</v>
      </c>
      <c r="CK20" s="81">
        <v>0</v>
      </c>
      <c r="CL20" s="81">
        <v>0</v>
      </c>
      <c r="CM20" s="80">
        <v>3</v>
      </c>
      <c r="CN20" s="81">
        <v>0</v>
      </c>
      <c r="CO20" s="81">
        <v>0</v>
      </c>
      <c r="CP20" s="81">
        <v>0</v>
      </c>
      <c r="CQ20" s="81">
        <v>0</v>
      </c>
      <c r="CR20" s="85">
        <f t="shared" si="17"/>
        <v>3</v>
      </c>
    </row>
    <row r="21" spans="1:96" ht="22.5" customHeight="1" x14ac:dyDescent="0.25">
      <c r="A21" s="8">
        <v>12</v>
      </c>
      <c r="B21" s="9" t="s">
        <v>44</v>
      </c>
      <c r="C21" s="69" t="s">
        <v>45</v>
      </c>
      <c r="D21" s="104">
        <v>45406</v>
      </c>
      <c r="E21" s="103">
        <v>0.35416666666666669</v>
      </c>
      <c r="F21" s="103">
        <v>0.94374999999999998</v>
      </c>
      <c r="G21" s="103">
        <v>0.35138888888888892</v>
      </c>
      <c r="H21" s="108">
        <v>1</v>
      </c>
      <c r="I21" s="103">
        <v>0.57500000000000007</v>
      </c>
      <c r="J21" s="108">
        <v>1</v>
      </c>
      <c r="K21" s="103">
        <v>0.3527777777777778</v>
      </c>
      <c r="L21" s="103">
        <v>0.95694444444444438</v>
      </c>
      <c r="M21" s="103">
        <v>0.35416666666666669</v>
      </c>
      <c r="N21" s="103">
        <v>0.94027777777777777</v>
      </c>
      <c r="O21" s="103">
        <v>0.35000000000000003</v>
      </c>
      <c r="P21" s="108">
        <v>1</v>
      </c>
      <c r="Q21" s="103">
        <v>0.35486111111111113</v>
      </c>
      <c r="R21" s="103">
        <v>0.94166666666666676</v>
      </c>
      <c r="S21" s="103">
        <v>0.35416666666666669</v>
      </c>
      <c r="T21" s="103">
        <v>0.94027777777777777</v>
      </c>
      <c r="U21" s="103">
        <v>0.35138888888888892</v>
      </c>
      <c r="V21" s="103">
        <v>0.9590277777777777</v>
      </c>
      <c r="W21" s="108" t="s">
        <v>15</v>
      </c>
      <c r="X21" s="108" t="s">
        <v>15</v>
      </c>
      <c r="Y21" s="103">
        <v>0.35555555555555557</v>
      </c>
      <c r="Z21" s="103">
        <v>0.96805555555555556</v>
      </c>
      <c r="AA21" s="103">
        <v>0.34930555555555554</v>
      </c>
      <c r="AB21" s="103">
        <v>0.94305555555555554</v>
      </c>
      <c r="AC21" s="103">
        <v>0.35347222222222219</v>
      </c>
      <c r="AD21" s="108">
        <v>1</v>
      </c>
      <c r="AE21" s="103">
        <v>0.35486111111111113</v>
      </c>
      <c r="AF21" s="103">
        <v>0.93958333333333333</v>
      </c>
      <c r="AG21" s="103">
        <v>0.35000000000000003</v>
      </c>
      <c r="AH21" s="103">
        <v>0.94027777777777777</v>
      </c>
      <c r="AI21" s="121"/>
      <c r="AJ21" s="120">
        <v>12</v>
      </c>
      <c r="AK21" s="103">
        <v>0.3576388888888889</v>
      </c>
      <c r="AL21" s="103">
        <v>0.96388888888888891</v>
      </c>
      <c r="AM21" s="103">
        <v>0.58124999999999993</v>
      </c>
      <c r="AN21" s="103">
        <v>0.94374999999999998</v>
      </c>
      <c r="AO21" s="103">
        <v>0.34861111111111115</v>
      </c>
      <c r="AP21" s="103">
        <v>0.96458333333333324</v>
      </c>
      <c r="AQ21" s="103">
        <v>0.35347222222222219</v>
      </c>
      <c r="AR21" s="103">
        <v>0.94791666666666663</v>
      </c>
      <c r="AS21" s="103">
        <v>0.35069444444444442</v>
      </c>
      <c r="AT21" s="103">
        <v>0.94652777777777775</v>
      </c>
      <c r="AU21" s="103">
        <v>0.3527777777777778</v>
      </c>
      <c r="AV21" s="103">
        <v>0.94236111111111109</v>
      </c>
      <c r="AW21" s="103">
        <v>0.35069444444444442</v>
      </c>
      <c r="AX21" s="103">
        <v>0.94652777777777775</v>
      </c>
      <c r="AY21" s="103">
        <v>0.34930555555555554</v>
      </c>
      <c r="AZ21" s="103">
        <v>0.96597222222222223</v>
      </c>
      <c r="BA21" s="108" t="s">
        <v>15</v>
      </c>
      <c r="BB21" s="108" t="s">
        <v>15</v>
      </c>
      <c r="BC21" s="103">
        <v>0.34930555555555554</v>
      </c>
      <c r="BD21" s="108">
        <v>1</v>
      </c>
      <c r="BE21" s="103">
        <v>0.34861111111111115</v>
      </c>
      <c r="BF21" s="103">
        <v>0.94861111111111107</v>
      </c>
      <c r="BG21" s="103">
        <v>0.3527777777777778</v>
      </c>
      <c r="BH21" s="103">
        <v>0.93958333333333333</v>
      </c>
      <c r="BI21" s="103">
        <v>0.35000000000000003</v>
      </c>
      <c r="BJ21" s="103">
        <v>0.93958333333333333</v>
      </c>
      <c r="BK21" s="103" t="s">
        <v>124</v>
      </c>
      <c r="BL21" s="103" t="s">
        <v>124</v>
      </c>
      <c r="BM21" s="103" t="s">
        <v>124</v>
      </c>
      <c r="BN21" s="103" t="s">
        <v>124</v>
      </c>
      <c r="BO21" s="73">
        <f t="shared" si="15"/>
        <v>30</v>
      </c>
      <c r="BP21" s="74">
        <v>2</v>
      </c>
      <c r="BQ21" s="18">
        <f t="shared" si="16"/>
        <v>26</v>
      </c>
      <c r="BR21" s="19">
        <f t="shared" si="3"/>
        <v>2</v>
      </c>
      <c r="BS21" s="19">
        <f t="shared" si="4"/>
        <v>0</v>
      </c>
      <c r="BT21" s="19">
        <f t="shared" si="5"/>
        <v>0</v>
      </c>
      <c r="BU21" s="19">
        <f t="shared" si="6"/>
        <v>0</v>
      </c>
      <c r="BV21" s="19">
        <f t="shared" si="7"/>
        <v>0</v>
      </c>
      <c r="BW21" s="19">
        <f t="shared" si="8"/>
        <v>0</v>
      </c>
      <c r="BX21" s="19">
        <f t="shared" si="9"/>
        <v>2</v>
      </c>
      <c r="BY21" s="19">
        <f t="shared" si="10"/>
        <v>0</v>
      </c>
      <c r="BZ21" s="19">
        <f t="shared" si="11"/>
        <v>0</v>
      </c>
      <c r="CA21" s="19">
        <f t="shared" si="12"/>
        <v>0</v>
      </c>
      <c r="CB21" s="19">
        <f t="shared" si="13"/>
        <v>0</v>
      </c>
      <c r="CC21" s="20"/>
      <c r="CH21" s="82">
        <v>0</v>
      </c>
      <c r="CI21" s="82">
        <v>0</v>
      </c>
      <c r="CJ21" s="82">
        <v>0</v>
      </c>
      <c r="CK21" s="82">
        <v>0</v>
      </c>
      <c r="CL21" s="82">
        <v>0</v>
      </c>
      <c r="CM21" s="82">
        <v>6</v>
      </c>
      <c r="CN21" s="83">
        <v>0</v>
      </c>
      <c r="CO21" s="83">
        <v>0</v>
      </c>
      <c r="CP21" s="83">
        <v>0</v>
      </c>
      <c r="CQ21" s="83">
        <v>0</v>
      </c>
      <c r="CR21" s="84">
        <f t="shared" si="17"/>
        <v>6</v>
      </c>
    </row>
    <row r="22" spans="1:96" ht="22.5" customHeight="1" x14ac:dyDescent="0.25">
      <c r="A22" s="8">
        <v>13</v>
      </c>
      <c r="B22" s="9" t="s">
        <v>46</v>
      </c>
      <c r="C22" s="69" t="s">
        <v>47</v>
      </c>
      <c r="D22" s="104">
        <v>45387</v>
      </c>
      <c r="E22" s="103">
        <v>0.35694444444444445</v>
      </c>
      <c r="F22" s="103">
        <v>0.99791666666666667</v>
      </c>
      <c r="G22" s="103">
        <v>0.34236111111111112</v>
      </c>
      <c r="H22" s="103">
        <v>0.97013888888888899</v>
      </c>
      <c r="I22" s="103">
        <v>0.57986111111111105</v>
      </c>
      <c r="J22" s="103">
        <v>0.99583333333333324</v>
      </c>
      <c r="K22" s="103">
        <v>0.35625000000000001</v>
      </c>
      <c r="L22" s="103">
        <v>0.96875</v>
      </c>
      <c r="M22" s="103">
        <v>0.35833333333333334</v>
      </c>
      <c r="N22" s="103">
        <v>0.99305555555555547</v>
      </c>
      <c r="O22" s="103">
        <v>0.35486111111111113</v>
      </c>
      <c r="P22" s="103">
        <v>0.95347222222222217</v>
      </c>
      <c r="Q22" s="103">
        <v>0.3576388888888889</v>
      </c>
      <c r="R22" s="103">
        <v>0.97222222222222221</v>
      </c>
      <c r="S22" s="103">
        <v>0.3576388888888889</v>
      </c>
      <c r="T22" s="103">
        <v>0.94861111111111107</v>
      </c>
      <c r="U22" s="103">
        <v>0.35416666666666669</v>
      </c>
      <c r="V22" s="103">
        <v>7.6388888888888886E-3</v>
      </c>
      <c r="W22" s="108" t="s">
        <v>15</v>
      </c>
      <c r="X22" s="108" t="s">
        <v>15</v>
      </c>
      <c r="Y22" s="103">
        <v>0.35555555555555557</v>
      </c>
      <c r="Z22" s="103">
        <v>9.0277777777777787E-3</v>
      </c>
      <c r="AA22" s="103">
        <v>0.3527777777777778</v>
      </c>
      <c r="AB22" s="103">
        <v>0.9506944444444444</v>
      </c>
      <c r="AC22" s="103">
        <v>0.35555555555555557</v>
      </c>
      <c r="AD22" s="103">
        <v>0.97916666666666663</v>
      </c>
      <c r="AE22" s="103">
        <v>0.35833333333333334</v>
      </c>
      <c r="AF22" s="103">
        <v>0.95833333333333337</v>
      </c>
      <c r="AG22" s="103">
        <v>0.35416666666666669</v>
      </c>
      <c r="AH22" s="103">
        <v>0.97916666666666663</v>
      </c>
      <c r="AI22" s="121"/>
      <c r="AJ22" s="120">
        <v>13</v>
      </c>
      <c r="AK22" s="103">
        <v>0.35972222222222222</v>
      </c>
      <c r="AL22" s="103">
        <v>0.97430555555555554</v>
      </c>
      <c r="AM22" s="103">
        <v>0.58402777777777781</v>
      </c>
      <c r="AN22" s="108">
        <v>1</v>
      </c>
      <c r="AO22" s="103">
        <v>0.3527777777777778</v>
      </c>
      <c r="AP22" s="103">
        <v>0.97152777777777777</v>
      </c>
      <c r="AQ22" s="103">
        <v>0.35486111111111113</v>
      </c>
      <c r="AR22" s="103">
        <v>0.98958333333333337</v>
      </c>
      <c r="AS22" s="103">
        <v>0.35486111111111113</v>
      </c>
      <c r="AT22" s="103">
        <v>0.95416666666666661</v>
      </c>
      <c r="AU22" s="103">
        <v>0.98819444444444438</v>
      </c>
      <c r="AV22" s="103">
        <v>0.98819444444444438</v>
      </c>
      <c r="AW22" s="103">
        <v>0.35416666666666669</v>
      </c>
      <c r="AX22" s="103">
        <v>0.94791666666666663</v>
      </c>
      <c r="AY22" s="103">
        <v>0.35416666666666669</v>
      </c>
      <c r="AZ22" s="103">
        <v>9.7222222222222224E-3</v>
      </c>
      <c r="BA22" s="108" t="s">
        <v>15</v>
      </c>
      <c r="BB22" s="108" t="s">
        <v>15</v>
      </c>
      <c r="BC22" s="103">
        <v>0.35347222222222219</v>
      </c>
      <c r="BD22" s="103">
        <v>1.3888888888888889E-3</v>
      </c>
      <c r="BE22" s="103">
        <v>0.35347222222222219</v>
      </c>
      <c r="BF22" s="103">
        <v>0.96875</v>
      </c>
      <c r="BG22" s="103">
        <v>0.35625000000000001</v>
      </c>
      <c r="BH22" s="103">
        <v>0.99236111111111114</v>
      </c>
      <c r="BI22" s="103">
        <v>0.35416666666666669</v>
      </c>
      <c r="BJ22" s="103">
        <v>0.95624999999999993</v>
      </c>
      <c r="BK22" s="103">
        <v>0.35555555555555557</v>
      </c>
      <c r="BL22" s="103">
        <v>0.98611111111111116</v>
      </c>
      <c r="BM22" s="103">
        <v>0.35555555555555557</v>
      </c>
      <c r="BN22" s="103">
        <v>0.95763888888888893</v>
      </c>
      <c r="BO22" s="73">
        <f t="shared" si="15"/>
        <v>30</v>
      </c>
      <c r="BP22" s="74">
        <v>2</v>
      </c>
      <c r="BQ22" s="18">
        <f t="shared" si="16"/>
        <v>28</v>
      </c>
      <c r="BR22" s="19">
        <f t="shared" si="3"/>
        <v>2</v>
      </c>
      <c r="BS22" s="19">
        <f t="shared" si="4"/>
        <v>0</v>
      </c>
      <c r="BT22" s="19">
        <f t="shared" si="5"/>
        <v>0</v>
      </c>
      <c r="BU22" s="19">
        <f t="shared" si="6"/>
        <v>0</v>
      </c>
      <c r="BV22" s="19">
        <f t="shared" si="7"/>
        <v>0</v>
      </c>
      <c r="BW22" s="19">
        <f t="shared" si="8"/>
        <v>0</v>
      </c>
      <c r="BX22" s="19">
        <f t="shared" si="9"/>
        <v>0</v>
      </c>
      <c r="BY22" s="19">
        <f t="shared" si="10"/>
        <v>0</v>
      </c>
      <c r="BZ22" s="19">
        <f t="shared" si="11"/>
        <v>0</v>
      </c>
      <c r="CA22" s="19">
        <f t="shared" si="12"/>
        <v>0</v>
      </c>
      <c r="CB22" s="19">
        <f t="shared" si="13"/>
        <v>0</v>
      </c>
      <c r="CC22" s="20"/>
      <c r="CH22" s="81">
        <v>0</v>
      </c>
      <c r="CI22" s="81">
        <v>0</v>
      </c>
      <c r="CJ22" s="81">
        <v>0</v>
      </c>
      <c r="CK22" s="81">
        <v>0</v>
      </c>
      <c r="CL22" s="81">
        <v>0</v>
      </c>
      <c r="CM22" s="81">
        <v>0</v>
      </c>
      <c r="CN22" s="81">
        <v>0</v>
      </c>
      <c r="CO22" s="81">
        <v>0</v>
      </c>
      <c r="CP22" s="81">
        <v>0</v>
      </c>
      <c r="CQ22" s="81">
        <v>0</v>
      </c>
      <c r="CR22" s="85">
        <f t="shared" si="17"/>
        <v>0</v>
      </c>
    </row>
    <row r="23" spans="1:96" ht="22.5" customHeight="1" x14ac:dyDescent="0.25">
      <c r="A23" s="8">
        <v>14</v>
      </c>
      <c r="B23" s="9" t="s">
        <v>50</v>
      </c>
      <c r="C23" s="69" t="s">
        <v>51</v>
      </c>
      <c r="D23" s="104">
        <v>45498</v>
      </c>
      <c r="E23" s="103">
        <v>0.35486111111111113</v>
      </c>
      <c r="F23" s="103">
        <v>0.94444444444444453</v>
      </c>
      <c r="G23" s="103">
        <v>0.35416666666666669</v>
      </c>
      <c r="H23" s="103">
        <v>0.97083333333333333</v>
      </c>
      <c r="I23" s="108" t="s">
        <v>15</v>
      </c>
      <c r="J23" s="108" t="s">
        <v>15</v>
      </c>
      <c r="K23" s="103">
        <v>0.3527777777777778</v>
      </c>
      <c r="L23" s="103">
        <v>0.95694444444444438</v>
      </c>
      <c r="M23" s="103">
        <v>0.35416666666666669</v>
      </c>
      <c r="N23" s="103">
        <v>0.93888888888888899</v>
      </c>
      <c r="O23" s="103">
        <v>0.35000000000000003</v>
      </c>
      <c r="P23" s="103">
        <v>0.94097222222222221</v>
      </c>
      <c r="Q23" s="103">
        <v>0.35347222222222219</v>
      </c>
      <c r="R23" s="103">
        <v>0.94236111111111109</v>
      </c>
      <c r="S23" s="103">
        <v>0.35416666666666669</v>
      </c>
      <c r="T23" s="103">
        <v>0.93888888888888899</v>
      </c>
      <c r="U23" s="103">
        <v>0.35069444444444442</v>
      </c>
      <c r="V23" s="103">
        <v>0.96527777777777779</v>
      </c>
      <c r="W23" s="103">
        <v>0.57500000000000007</v>
      </c>
      <c r="X23" s="103">
        <v>0.94444444444444453</v>
      </c>
      <c r="Y23" s="103">
        <v>0.3520833333333333</v>
      </c>
      <c r="Z23" s="103">
        <v>0.96458333333333324</v>
      </c>
      <c r="AA23" s="103">
        <v>0.35138888888888892</v>
      </c>
      <c r="AB23" s="103">
        <v>0.94305555555555554</v>
      </c>
      <c r="AC23" s="103">
        <v>0.35138888888888892</v>
      </c>
      <c r="AD23" s="103">
        <v>0.94236111111111109</v>
      </c>
      <c r="AE23" s="103">
        <v>0.35416666666666669</v>
      </c>
      <c r="AF23" s="103">
        <v>0.93958333333333333</v>
      </c>
      <c r="AG23" s="103">
        <v>0.35000000000000003</v>
      </c>
      <c r="AH23" s="103">
        <v>0.94236111111111109</v>
      </c>
      <c r="AI23" s="121"/>
      <c r="AJ23" s="120">
        <v>14</v>
      </c>
      <c r="AK23" s="103">
        <v>0.35694444444444445</v>
      </c>
      <c r="AL23" s="103">
        <v>0.96527777777777779</v>
      </c>
      <c r="AM23" s="108" t="s">
        <v>15</v>
      </c>
      <c r="AN23" s="108" t="s">
        <v>15</v>
      </c>
      <c r="AO23" s="103">
        <v>0.34861111111111115</v>
      </c>
      <c r="AP23" s="103">
        <v>0.96458333333333324</v>
      </c>
      <c r="AQ23" s="103">
        <v>0.35347222222222219</v>
      </c>
      <c r="AR23" s="103">
        <v>0.94791666666666663</v>
      </c>
      <c r="AS23" s="103">
        <v>0.35069444444444442</v>
      </c>
      <c r="AT23" s="103">
        <v>0.94236111111111109</v>
      </c>
      <c r="AU23" s="103">
        <v>0.3527777777777778</v>
      </c>
      <c r="AV23" s="103">
        <v>0.94097222222222221</v>
      </c>
      <c r="AW23" s="103">
        <v>0.35000000000000003</v>
      </c>
      <c r="AX23" s="103">
        <v>0.94652777777777775</v>
      </c>
      <c r="AY23" s="103">
        <v>0.3520833333333333</v>
      </c>
      <c r="AZ23" s="103">
        <v>0.96527777777777779</v>
      </c>
      <c r="BA23" s="103">
        <v>0.57847222222222217</v>
      </c>
      <c r="BB23" s="103">
        <v>0.95624999999999993</v>
      </c>
      <c r="BC23" s="103">
        <v>0.34930555555555554</v>
      </c>
      <c r="BD23" s="103">
        <v>0.96180555555555547</v>
      </c>
      <c r="BE23" s="103">
        <v>0.34930555555555554</v>
      </c>
      <c r="BF23" s="103">
        <v>0.94930555555555562</v>
      </c>
      <c r="BG23" s="103">
        <v>0.3527777777777778</v>
      </c>
      <c r="BH23" s="103">
        <v>0.93958333333333333</v>
      </c>
      <c r="BI23" s="108">
        <v>1</v>
      </c>
      <c r="BJ23" s="108">
        <v>1</v>
      </c>
      <c r="BK23" s="103">
        <v>0.35138888888888892</v>
      </c>
      <c r="BL23" s="103">
        <v>0.9472222222222223</v>
      </c>
      <c r="BM23" s="103" t="s">
        <v>124</v>
      </c>
      <c r="BN23" s="103" t="s">
        <v>124</v>
      </c>
      <c r="BO23" s="73">
        <f t="shared" si="15"/>
        <v>30</v>
      </c>
      <c r="BP23" s="74">
        <v>2</v>
      </c>
      <c r="BQ23" s="18">
        <f t="shared" si="16"/>
        <v>27</v>
      </c>
      <c r="BR23" s="19">
        <f t="shared" si="3"/>
        <v>2</v>
      </c>
      <c r="BS23" s="19">
        <f t="shared" si="4"/>
        <v>0</v>
      </c>
      <c r="BT23" s="19">
        <f t="shared" si="5"/>
        <v>0</v>
      </c>
      <c r="BU23" s="19">
        <f t="shared" si="6"/>
        <v>0</v>
      </c>
      <c r="BV23" s="19">
        <f t="shared" si="7"/>
        <v>0</v>
      </c>
      <c r="BW23" s="19">
        <f t="shared" si="8"/>
        <v>0</v>
      </c>
      <c r="BX23" s="19">
        <f t="shared" si="9"/>
        <v>1</v>
      </c>
      <c r="BY23" s="19">
        <f t="shared" si="10"/>
        <v>0</v>
      </c>
      <c r="BZ23" s="19">
        <f t="shared" si="11"/>
        <v>0</v>
      </c>
      <c r="CA23" s="19">
        <f t="shared" si="12"/>
        <v>0</v>
      </c>
      <c r="CB23" s="19">
        <f t="shared" si="13"/>
        <v>0</v>
      </c>
      <c r="CC23" s="20"/>
      <c r="CH23" s="82">
        <v>0</v>
      </c>
      <c r="CI23" s="82">
        <v>0</v>
      </c>
      <c r="CJ23" s="82">
        <v>0</v>
      </c>
      <c r="CK23" s="82">
        <v>0</v>
      </c>
      <c r="CL23" s="82">
        <v>0</v>
      </c>
      <c r="CM23" s="82">
        <v>18</v>
      </c>
      <c r="CN23" s="83">
        <v>0</v>
      </c>
      <c r="CO23" s="83">
        <v>1</v>
      </c>
      <c r="CP23" s="83">
        <v>0</v>
      </c>
      <c r="CQ23" s="83">
        <v>0</v>
      </c>
      <c r="CR23" s="84">
        <f t="shared" si="17"/>
        <v>19</v>
      </c>
    </row>
    <row r="24" spans="1:96" ht="22.5" customHeight="1" x14ac:dyDescent="0.25">
      <c r="A24" s="8">
        <v>15</v>
      </c>
      <c r="B24" s="9" t="s">
        <v>52</v>
      </c>
      <c r="C24" s="69" t="s">
        <v>53</v>
      </c>
      <c r="D24" s="104">
        <v>45536</v>
      </c>
      <c r="E24" s="103">
        <v>0.57291666666666663</v>
      </c>
      <c r="F24" s="103">
        <v>0.95138888888888884</v>
      </c>
      <c r="G24" s="103">
        <v>0.33888888888888885</v>
      </c>
      <c r="H24" s="103">
        <v>0.97499999999999998</v>
      </c>
      <c r="I24" s="103">
        <v>0.57916666666666672</v>
      </c>
      <c r="J24" s="103">
        <v>0.95208333333333339</v>
      </c>
      <c r="K24" s="103">
        <v>0.35555555555555557</v>
      </c>
      <c r="L24" s="103">
        <v>0.96736111111111101</v>
      </c>
      <c r="M24" s="103">
        <v>0.34652777777777777</v>
      </c>
      <c r="N24" s="103">
        <v>0.95208333333333339</v>
      </c>
      <c r="O24" s="103">
        <v>0.35347222222222219</v>
      </c>
      <c r="P24" s="103">
        <v>0.95138888888888884</v>
      </c>
      <c r="Q24" s="103">
        <v>0.3576388888888889</v>
      </c>
      <c r="R24" s="103">
        <v>0.94930555555555562</v>
      </c>
      <c r="S24" s="103">
        <v>0.3576388888888889</v>
      </c>
      <c r="T24" s="103">
        <v>0.94861111111111107</v>
      </c>
      <c r="U24" s="103">
        <v>0.35347222222222219</v>
      </c>
      <c r="V24" s="103">
        <v>0.96736111111111101</v>
      </c>
      <c r="W24" s="108" t="s">
        <v>15</v>
      </c>
      <c r="X24" s="108" t="s">
        <v>15</v>
      </c>
      <c r="Y24" s="103">
        <v>0.35555555555555557</v>
      </c>
      <c r="Z24" s="103">
        <v>0.96736111111111101</v>
      </c>
      <c r="AA24" s="103">
        <v>0.3520833333333333</v>
      </c>
      <c r="AB24" s="103">
        <v>0.9506944444444444</v>
      </c>
      <c r="AC24" s="103">
        <v>0.35486111111111113</v>
      </c>
      <c r="AD24" s="103">
        <v>0.35555555555555557</v>
      </c>
      <c r="AE24" s="103">
        <v>0.3576388888888889</v>
      </c>
      <c r="AF24" s="103">
        <v>0.95208333333333339</v>
      </c>
      <c r="AG24" s="103">
        <v>0.35347222222222219</v>
      </c>
      <c r="AH24" s="108">
        <v>1</v>
      </c>
      <c r="AI24" s="121"/>
      <c r="AJ24" s="120">
        <v>15</v>
      </c>
      <c r="AK24" s="103">
        <v>0.35833333333333334</v>
      </c>
      <c r="AL24" s="108">
        <v>1</v>
      </c>
      <c r="AM24" s="103">
        <v>0.58333333333333337</v>
      </c>
      <c r="AN24" s="103">
        <v>0.94861111111111107</v>
      </c>
      <c r="AO24" s="103">
        <v>0.3527777777777778</v>
      </c>
      <c r="AP24" s="103">
        <v>0.97152777777777777</v>
      </c>
      <c r="AQ24" s="103">
        <v>0.35486111111111113</v>
      </c>
      <c r="AR24" s="103">
        <v>0.94930555555555562</v>
      </c>
      <c r="AS24" s="103">
        <v>0.35416666666666669</v>
      </c>
      <c r="AT24" s="103">
        <v>0.95208333333333339</v>
      </c>
      <c r="AU24" s="103">
        <v>0.38680555555555557</v>
      </c>
      <c r="AV24" s="108">
        <v>1</v>
      </c>
      <c r="AW24" s="103">
        <v>0.35347222222222219</v>
      </c>
      <c r="AX24" s="103">
        <v>0.94791666666666663</v>
      </c>
      <c r="AY24" s="103">
        <v>0.35347222222222219</v>
      </c>
      <c r="AZ24" s="103">
        <v>0.97152777777777777</v>
      </c>
      <c r="BA24" s="108" t="s">
        <v>15</v>
      </c>
      <c r="BB24" s="108" t="s">
        <v>15</v>
      </c>
      <c r="BC24" s="103">
        <v>0.35347222222222219</v>
      </c>
      <c r="BD24" s="108">
        <v>1</v>
      </c>
      <c r="BE24" s="103">
        <v>0.3527777777777778</v>
      </c>
      <c r="BF24" s="103">
        <v>0.94930555555555562</v>
      </c>
      <c r="BG24" s="103">
        <v>0.34166666666666662</v>
      </c>
      <c r="BH24" s="108">
        <v>1</v>
      </c>
      <c r="BI24" s="103">
        <v>0.34097222222222223</v>
      </c>
      <c r="BJ24" s="103">
        <v>0.95208333333333339</v>
      </c>
      <c r="BK24" s="103">
        <v>0.35486111111111113</v>
      </c>
      <c r="BL24" s="103">
        <v>0.94861111111111107</v>
      </c>
      <c r="BM24" s="103">
        <v>0.34652777777777777</v>
      </c>
      <c r="BN24" s="103">
        <v>0.95763888888888893</v>
      </c>
      <c r="BO24" s="73">
        <f t="shared" si="15"/>
        <v>30</v>
      </c>
      <c r="BP24" s="74">
        <v>2</v>
      </c>
      <c r="BQ24" s="18">
        <f t="shared" si="16"/>
        <v>28</v>
      </c>
      <c r="BR24" s="19">
        <f t="shared" si="3"/>
        <v>2</v>
      </c>
      <c r="BS24" s="19">
        <f t="shared" si="4"/>
        <v>0</v>
      </c>
      <c r="BT24" s="19">
        <f t="shared" si="5"/>
        <v>0</v>
      </c>
      <c r="BU24" s="19">
        <f t="shared" si="6"/>
        <v>0</v>
      </c>
      <c r="BV24" s="19">
        <f t="shared" si="7"/>
        <v>0</v>
      </c>
      <c r="BW24" s="19">
        <f t="shared" si="8"/>
        <v>0</v>
      </c>
      <c r="BX24" s="19">
        <f t="shared" si="9"/>
        <v>0</v>
      </c>
      <c r="BY24" s="19">
        <f t="shared" si="10"/>
        <v>0</v>
      </c>
      <c r="BZ24" s="19">
        <f t="shared" si="11"/>
        <v>0</v>
      </c>
      <c r="CA24" s="19">
        <f t="shared" si="12"/>
        <v>0</v>
      </c>
      <c r="CB24" s="19">
        <f t="shared" si="13"/>
        <v>0</v>
      </c>
      <c r="CC24" s="20"/>
      <c r="CH24" s="81">
        <v>0</v>
      </c>
      <c r="CI24" s="81">
        <v>0</v>
      </c>
      <c r="CJ24" s="81">
        <v>0</v>
      </c>
      <c r="CK24" s="81">
        <v>0</v>
      </c>
      <c r="CL24" s="81">
        <v>0</v>
      </c>
      <c r="CM24" s="80">
        <v>5</v>
      </c>
      <c r="CN24" s="81">
        <v>0</v>
      </c>
      <c r="CO24" s="81">
        <v>0</v>
      </c>
      <c r="CP24" s="81">
        <v>0</v>
      </c>
      <c r="CQ24" s="81">
        <v>0</v>
      </c>
      <c r="CR24" s="85">
        <f t="shared" si="17"/>
        <v>5</v>
      </c>
    </row>
    <row r="25" spans="1:96" ht="22.5" customHeight="1" x14ac:dyDescent="0.25">
      <c r="A25" s="8">
        <v>16</v>
      </c>
      <c r="B25" s="9" t="s">
        <v>108</v>
      </c>
      <c r="C25" s="69" t="s">
        <v>109</v>
      </c>
      <c r="D25" s="104">
        <v>45614</v>
      </c>
      <c r="E25" s="103">
        <v>0.34513888888888888</v>
      </c>
      <c r="F25" s="108">
        <v>1</v>
      </c>
      <c r="G25" s="103">
        <v>0.3444444444444445</v>
      </c>
      <c r="H25" s="103">
        <v>0.87222222222222223</v>
      </c>
      <c r="I25" s="103">
        <v>0.36805555555555558</v>
      </c>
      <c r="J25" s="103">
        <v>0.58472222222222225</v>
      </c>
      <c r="K25" s="103">
        <v>0.34583333333333338</v>
      </c>
      <c r="L25" s="103">
        <v>0.86875000000000002</v>
      </c>
      <c r="M25" s="103">
        <v>0.34652777777777777</v>
      </c>
      <c r="N25" s="103">
        <v>0.86944444444444446</v>
      </c>
      <c r="O25" s="103">
        <v>0.34583333333333338</v>
      </c>
      <c r="P25" s="103">
        <v>0.87361111111111101</v>
      </c>
      <c r="Q25" s="103">
        <v>0.34375</v>
      </c>
      <c r="R25" s="103">
        <v>0.87847222222222221</v>
      </c>
      <c r="S25" s="103">
        <v>0.34236111111111112</v>
      </c>
      <c r="T25" s="103">
        <v>0.86944444444444446</v>
      </c>
      <c r="U25" s="103">
        <v>0.34097222222222223</v>
      </c>
      <c r="V25" s="103">
        <v>0.91180555555555554</v>
      </c>
      <c r="W25" s="103">
        <v>0.38680555555555557</v>
      </c>
      <c r="X25" s="103">
        <v>0.8618055555555556</v>
      </c>
      <c r="Y25" s="103">
        <v>0.37222222222222223</v>
      </c>
      <c r="Z25" s="103">
        <v>0.86597222222222225</v>
      </c>
      <c r="AA25" s="103">
        <v>0.37222222222222223</v>
      </c>
      <c r="AB25" s="103">
        <v>0.86388888888888893</v>
      </c>
      <c r="AC25" s="103">
        <v>0.3756944444444445</v>
      </c>
      <c r="AD25" s="103">
        <v>0.86458333333333337</v>
      </c>
      <c r="AE25" s="103">
        <v>0.36944444444444446</v>
      </c>
      <c r="AF25" s="103">
        <v>0.8666666666666667</v>
      </c>
      <c r="AG25" s="103">
        <v>0.3659722222222222</v>
      </c>
      <c r="AH25" s="103">
        <v>0.86458333333333337</v>
      </c>
      <c r="AI25" s="121"/>
      <c r="AJ25" s="120">
        <v>16</v>
      </c>
      <c r="AK25" s="103">
        <v>0.36805555555555558</v>
      </c>
      <c r="AL25" s="103">
        <v>0.86041666666666661</v>
      </c>
      <c r="AM25" s="103">
        <v>0.5708333333333333</v>
      </c>
      <c r="AN25" s="103">
        <v>0.87430555555555556</v>
      </c>
      <c r="AO25" s="103">
        <v>0.33888888888888885</v>
      </c>
      <c r="AP25" s="103">
        <v>0.87638888888888899</v>
      </c>
      <c r="AQ25" s="103">
        <v>0.33958333333333335</v>
      </c>
      <c r="AR25" s="103">
        <v>0.87083333333333324</v>
      </c>
      <c r="AS25" s="103">
        <v>0.33888888888888885</v>
      </c>
      <c r="AT25" s="103">
        <v>0.87361111111111101</v>
      </c>
      <c r="AU25" s="103">
        <v>0.3430555555555555</v>
      </c>
      <c r="AV25" s="103">
        <v>0.87152777777777779</v>
      </c>
      <c r="AW25" s="103">
        <v>0.34097222222222223</v>
      </c>
      <c r="AX25" s="103">
        <v>0.90902777777777777</v>
      </c>
      <c r="AY25" s="103">
        <v>0.3354166666666667</v>
      </c>
      <c r="AZ25" s="103">
        <v>0.91041666666666676</v>
      </c>
      <c r="BA25" s="103">
        <v>0.57777777777777783</v>
      </c>
      <c r="BB25" s="103">
        <v>0.87152777777777779</v>
      </c>
      <c r="BC25" s="103">
        <v>0.3430555555555555</v>
      </c>
      <c r="BD25" s="103">
        <v>0.87222222222222223</v>
      </c>
      <c r="BE25" s="103">
        <v>0.33124999999999999</v>
      </c>
      <c r="BF25" s="103">
        <v>0.86736111111111114</v>
      </c>
      <c r="BG25" s="103">
        <v>0.34375</v>
      </c>
      <c r="BH25" s="103">
        <v>0.86805555555555547</v>
      </c>
      <c r="BI25" s="103">
        <v>0.35138888888888892</v>
      </c>
      <c r="BJ25" s="103">
        <v>0.87291666666666667</v>
      </c>
      <c r="BK25" s="103">
        <v>0.32916666666666666</v>
      </c>
      <c r="BL25" s="108">
        <v>1</v>
      </c>
      <c r="BM25" s="103">
        <v>0.32916666666666666</v>
      </c>
      <c r="BN25" s="103">
        <v>0.91111111111111109</v>
      </c>
      <c r="BO25" s="73">
        <f t="shared" ref="BO25" si="18">BQ25+BR25+BS25+BT25+BY25+BW25+BX25+CB25</f>
        <v>30</v>
      </c>
      <c r="BP25" s="74">
        <v>4</v>
      </c>
      <c r="BQ25" s="18">
        <f t="shared" si="16"/>
        <v>30</v>
      </c>
      <c r="BR25" s="19">
        <f t="shared" si="3"/>
        <v>0</v>
      </c>
      <c r="BS25" s="19">
        <f t="shared" si="4"/>
        <v>0</v>
      </c>
      <c r="BT25" s="19">
        <f t="shared" si="5"/>
        <v>0</v>
      </c>
      <c r="BU25" s="19">
        <f t="shared" si="6"/>
        <v>0</v>
      </c>
      <c r="BV25" s="19">
        <f t="shared" si="7"/>
        <v>0</v>
      </c>
      <c r="BW25" s="19">
        <f t="shared" si="8"/>
        <v>0</v>
      </c>
      <c r="BX25" s="19">
        <f t="shared" si="9"/>
        <v>0</v>
      </c>
      <c r="BY25" s="19">
        <f t="shared" si="10"/>
        <v>0</v>
      </c>
      <c r="BZ25" s="19">
        <f t="shared" si="11"/>
        <v>0</v>
      </c>
      <c r="CA25" s="19">
        <f t="shared" si="12"/>
        <v>0</v>
      </c>
      <c r="CB25" s="19">
        <f t="shared" si="13"/>
        <v>0</v>
      </c>
      <c r="CC25" s="20"/>
      <c r="CH25" s="81">
        <v>0</v>
      </c>
      <c r="CI25" s="81">
        <v>0</v>
      </c>
      <c r="CJ25" s="81">
        <v>32</v>
      </c>
      <c r="CK25" s="81">
        <v>0</v>
      </c>
      <c r="CL25" s="81">
        <v>0</v>
      </c>
      <c r="CM25" s="81">
        <v>5</v>
      </c>
      <c r="CN25" s="81">
        <v>0</v>
      </c>
      <c r="CO25" s="81">
        <v>0</v>
      </c>
      <c r="CP25" s="81">
        <v>0</v>
      </c>
      <c r="CQ25" s="81">
        <v>0</v>
      </c>
      <c r="CR25" s="85">
        <f t="shared" si="17"/>
        <v>37</v>
      </c>
    </row>
    <row r="26" spans="1:96" ht="22.5" customHeight="1" x14ac:dyDescent="0.25">
      <c r="A26" s="8">
        <v>17</v>
      </c>
      <c r="B26" s="9" t="s">
        <v>55</v>
      </c>
      <c r="C26" s="69" t="s">
        <v>56</v>
      </c>
      <c r="D26" s="104">
        <v>45616</v>
      </c>
      <c r="E26" s="103">
        <v>0.35069444444444442</v>
      </c>
      <c r="F26" s="103">
        <v>0.82847222222222217</v>
      </c>
      <c r="G26" s="103">
        <v>0.3444444444444445</v>
      </c>
      <c r="H26" s="103">
        <v>0.82638888888888884</v>
      </c>
      <c r="I26" s="103">
        <v>0.58263888888888882</v>
      </c>
      <c r="J26" s="108">
        <v>1</v>
      </c>
      <c r="K26" s="103">
        <v>0.34861111111111115</v>
      </c>
      <c r="L26" s="103">
        <v>0.34861111111111115</v>
      </c>
      <c r="M26" s="103">
        <v>0.34375</v>
      </c>
      <c r="N26" s="108">
        <v>1</v>
      </c>
      <c r="O26" s="103">
        <v>0.34791666666666665</v>
      </c>
      <c r="P26" s="103">
        <v>0.95486111111111116</v>
      </c>
      <c r="Q26" s="103">
        <v>0.34375</v>
      </c>
      <c r="R26" s="103">
        <v>0.82916666666666661</v>
      </c>
      <c r="S26" s="103">
        <v>0.33611111111111108</v>
      </c>
      <c r="T26" s="103">
        <v>0.83124999999999993</v>
      </c>
      <c r="U26" s="103">
        <v>0.33611111111111108</v>
      </c>
      <c r="V26" s="103">
        <v>0.33611111111111108</v>
      </c>
      <c r="W26" s="108" t="s">
        <v>15</v>
      </c>
      <c r="X26" s="108" t="s">
        <v>15</v>
      </c>
      <c r="Y26" s="103">
        <v>0.33888888888888885</v>
      </c>
      <c r="Z26" s="103">
        <v>0.87569444444444444</v>
      </c>
      <c r="AA26" s="103">
        <v>0.34513888888888888</v>
      </c>
      <c r="AB26" s="103">
        <v>0.85833333333333339</v>
      </c>
      <c r="AC26" s="103">
        <v>0.3444444444444445</v>
      </c>
      <c r="AD26" s="103">
        <v>0.85</v>
      </c>
      <c r="AE26" s="103">
        <v>0.33819444444444446</v>
      </c>
      <c r="AF26" s="103">
        <v>0.84722222222222221</v>
      </c>
      <c r="AG26" s="103">
        <v>0.3430555555555555</v>
      </c>
      <c r="AH26" s="103">
        <v>0.82638888888888884</v>
      </c>
      <c r="AI26" s="121"/>
      <c r="AJ26" s="120">
        <v>17</v>
      </c>
      <c r="AK26" s="103">
        <v>0.35347222222222219</v>
      </c>
      <c r="AL26" s="103">
        <v>0.8305555555555556</v>
      </c>
      <c r="AM26" s="103">
        <v>0.58124999999999993</v>
      </c>
      <c r="AN26" s="108">
        <v>1</v>
      </c>
      <c r="AO26" s="103">
        <v>0.33611111111111108</v>
      </c>
      <c r="AP26" s="103">
        <v>0.86111111111111116</v>
      </c>
      <c r="AQ26" s="103">
        <v>0.34861111111111115</v>
      </c>
      <c r="AR26" s="103">
        <v>0.85069444444444453</v>
      </c>
      <c r="AS26" s="103">
        <v>0.33333333333333331</v>
      </c>
      <c r="AT26" s="103">
        <v>0.85416666666666663</v>
      </c>
      <c r="AU26" s="103">
        <v>0.34513888888888888</v>
      </c>
      <c r="AV26" s="108">
        <v>1</v>
      </c>
      <c r="AW26" s="103">
        <v>0.33333333333333331</v>
      </c>
      <c r="AX26" s="103">
        <v>0.86805555555555547</v>
      </c>
      <c r="AY26" s="103">
        <v>0.33055555555555555</v>
      </c>
      <c r="AZ26" s="103">
        <v>0.82500000000000007</v>
      </c>
      <c r="BA26" s="108" t="s">
        <v>15</v>
      </c>
      <c r="BB26" s="108" t="s">
        <v>15</v>
      </c>
      <c r="BC26" s="103">
        <v>0.32569444444444445</v>
      </c>
      <c r="BD26" s="103">
        <v>0.83750000000000002</v>
      </c>
      <c r="BE26" s="103">
        <v>0.32569444444444445</v>
      </c>
      <c r="BF26" s="103">
        <v>0.81111111111111101</v>
      </c>
      <c r="BG26" s="103">
        <v>0.32777777777777778</v>
      </c>
      <c r="BH26" s="103">
        <v>0.87986111111111109</v>
      </c>
      <c r="BI26" s="103">
        <v>0.32708333333333334</v>
      </c>
      <c r="BJ26" s="103">
        <v>0.82708333333333339</v>
      </c>
      <c r="BK26" s="103">
        <v>0.33194444444444443</v>
      </c>
      <c r="BL26" s="103">
        <v>0.87916666666666676</v>
      </c>
      <c r="BM26" s="103">
        <v>0.33194444444444443</v>
      </c>
      <c r="BN26" s="103">
        <v>0.89097222222222217</v>
      </c>
      <c r="BO26" s="73">
        <f t="shared" si="15"/>
        <v>30</v>
      </c>
      <c r="BP26" s="74">
        <v>2</v>
      </c>
      <c r="BQ26" s="18">
        <f t="shared" si="16"/>
        <v>28</v>
      </c>
      <c r="BR26" s="19">
        <f t="shared" si="3"/>
        <v>2</v>
      </c>
      <c r="BS26" s="19">
        <f t="shared" si="4"/>
        <v>0</v>
      </c>
      <c r="BT26" s="19">
        <f t="shared" si="5"/>
        <v>0</v>
      </c>
      <c r="BU26" s="19">
        <f t="shared" si="6"/>
        <v>0</v>
      </c>
      <c r="BV26" s="19">
        <f t="shared" si="7"/>
        <v>0</v>
      </c>
      <c r="BW26" s="19">
        <f t="shared" si="8"/>
        <v>0</v>
      </c>
      <c r="BX26" s="19">
        <f t="shared" si="9"/>
        <v>0</v>
      </c>
      <c r="BY26" s="19">
        <f t="shared" si="10"/>
        <v>0</v>
      </c>
      <c r="BZ26" s="19">
        <f t="shared" si="11"/>
        <v>0</v>
      </c>
      <c r="CA26" s="19">
        <f t="shared" si="12"/>
        <v>0</v>
      </c>
      <c r="CB26" s="19">
        <f t="shared" si="13"/>
        <v>0</v>
      </c>
      <c r="CC26" s="20"/>
      <c r="CH26" s="82">
        <v>0</v>
      </c>
      <c r="CI26" s="82">
        <v>0</v>
      </c>
      <c r="CJ26" s="82">
        <v>1</v>
      </c>
      <c r="CK26" s="83">
        <v>0</v>
      </c>
      <c r="CL26" s="83">
        <v>0</v>
      </c>
      <c r="CM26" s="82">
        <v>6</v>
      </c>
      <c r="CN26" s="83">
        <v>0</v>
      </c>
      <c r="CO26" s="83">
        <v>1</v>
      </c>
      <c r="CP26" s="83">
        <v>0</v>
      </c>
      <c r="CQ26" s="83">
        <v>0</v>
      </c>
      <c r="CR26" s="84">
        <f t="shared" si="17"/>
        <v>8</v>
      </c>
    </row>
    <row r="27" spans="1:96" ht="22.5" customHeight="1" x14ac:dyDescent="0.25">
      <c r="A27" s="8">
        <v>18</v>
      </c>
      <c r="B27" s="9" t="s">
        <v>57</v>
      </c>
      <c r="C27" s="69" t="s">
        <v>58</v>
      </c>
      <c r="D27" s="104">
        <v>45653</v>
      </c>
      <c r="E27" s="103">
        <v>0.35625000000000001</v>
      </c>
      <c r="F27" s="103">
        <v>0.9506944444444444</v>
      </c>
      <c r="G27" s="103">
        <v>0.35416666666666669</v>
      </c>
      <c r="H27" s="103">
        <v>0.97222222222222221</v>
      </c>
      <c r="I27" s="103">
        <v>0.57916666666666672</v>
      </c>
      <c r="J27" s="103">
        <v>0.95277777777777783</v>
      </c>
      <c r="K27" s="103">
        <v>0.35625000000000001</v>
      </c>
      <c r="L27" s="103">
        <v>0.96736111111111101</v>
      </c>
      <c r="M27" s="103">
        <v>0.3576388888888889</v>
      </c>
      <c r="N27" s="103">
        <v>0.95277777777777783</v>
      </c>
      <c r="O27" s="103">
        <v>0.35347222222222219</v>
      </c>
      <c r="P27" s="103">
        <v>0.95347222222222217</v>
      </c>
      <c r="Q27" s="103">
        <v>0.3576388888888889</v>
      </c>
      <c r="R27" s="103">
        <v>0.94930555555555562</v>
      </c>
      <c r="S27" s="103">
        <v>0.3576388888888889</v>
      </c>
      <c r="T27" s="103">
        <v>0.94791666666666663</v>
      </c>
      <c r="U27" s="103">
        <v>0.35416666666666669</v>
      </c>
      <c r="V27" s="103">
        <v>0.96736111111111101</v>
      </c>
      <c r="W27" s="108" t="s">
        <v>15</v>
      </c>
      <c r="X27" s="108" t="s">
        <v>15</v>
      </c>
      <c r="Y27" s="103">
        <v>0.35555555555555557</v>
      </c>
      <c r="Z27" s="103">
        <v>0.96805555555555556</v>
      </c>
      <c r="AA27" s="103">
        <v>0.3520833333333333</v>
      </c>
      <c r="AB27" s="103">
        <v>0.9506944444444444</v>
      </c>
      <c r="AC27" s="103">
        <v>0.35486111111111113</v>
      </c>
      <c r="AD27" s="103">
        <v>0.94791666666666663</v>
      </c>
      <c r="AE27" s="103">
        <v>0.3576388888888889</v>
      </c>
      <c r="AF27" s="103">
        <v>0.95208333333333339</v>
      </c>
      <c r="AG27" s="103">
        <v>0.35347222222222219</v>
      </c>
      <c r="AH27" s="103">
        <v>0.95000000000000007</v>
      </c>
      <c r="AI27" s="121"/>
      <c r="AJ27" s="120">
        <v>18</v>
      </c>
      <c r="AK27" s="103">
        <v>0.35902777777777778</v>
      </c>
      <c r="AL27" s="103">
        <v>0.97430555555555554</v>
      </c>
      <c r="AM27" s="103">
        <v>0.58402777777777781</v>
      </c>
      <c r="AN27" s="103">
        <v>0.94861111111111107</v>
      </c>
      <c r="AO27" s="103">
        <v>0.3527777777777778</v>
      </c>
      <c r="AP27" s="103">
        <v>0.97152777777777777</v>
      </c>
      <c r="AQ27" s="103">
        <v>0.35486111111111113</v>
      </c>
      <c r="AR27" s="103">
        <v>0.94930555555555562</v>
      </c>
      <c r="AS27" s="103">
        <v>0.35416666666666669</v>
      </c>
      <c r="AT27" s="103">
        <v>0.95000000000000007</v>
      </c>
      <c r="AU27" s="103">
        <v>0.39444444444444443</v>
      </c>
      <c r="AV27" s="103">
        <v>0.9472222222222223</v>
      </c>
      <c r="AW27" s="103">
        <v>0.35347222222222219</v>
      </c>
      <c r="AX27" s="103">
        <v>0.94791666666666663</v>
      </c>
      <c r="AY27" s="103">
        <v>0.35416666666666669</v>
      </c>
      <c r="AZ27" s="103">
        <v>0.97291666666666676</v>
      </c>
      <c r="BA27" s="108" t="s">
        <v>15</v>
      </c>
      <c r="BB27" s="108" t="s">
        <v>15</v>
      </c>
      <c r="BC27" s="103">
        <v>0.35347222222222219</v>
      </c>
      <c r="BD27" s="103">
        <v>0.97013888888888899</v>
      </c>
      <c r="BE27" s="103">
        <v>0.3527777777777778</v>
      </c>
      <c r="BF27" s="103">
        <v>0.94930555555555562</v>
      </c>
      <c r="BG27" s="103">
        <v>0.35625000000000001</v>
      </c>
      <c r="BH27" s="103">
        <v>0.95347222222222217</v>
      </c>
      <c r="BI27" s="103">
        <v>0.35416666666666669</v>
      </c>
      <c r="BJ27" s="103">
        <v>0.95208333333333339</v>
      </c>
      <c r="BK27" s="103" t="s">
        <v>124</v>
      </c>
      <c r="BL27" s="103" t="s">
        <v>124</v>
      </c>
      <c r="BM27" s="103" t="s">
        <v>124</v>
      </c>
      <c r="BN27" s="103" t="s">
        <v>124</v>
      </c>
      <c r="BO27" s="73">
        <f t="shared" si="15"/>
        <v>30</v>
      </c>
      <c r="BP27" s="74">
        <v>2</v>
      </c>
      <c r="BQ27" s="18">
        <f t="shared" si="16"/>
        <v>26</v>
      </c>
      <c r="BR27" s="19">
        <f t="shared" si="3"/>
        <v>2</v>
      </c>
      <c r="BS27" s="19">
        <f t="shared" si="4"/>
        <v>0</v>
      </c>
      <c r="BT27" s="19">
        <f t="shared" si="5"/>
        <v>0</v>
      </c>
      <c r="BU27" s="19">
        <f t="shared" si="6"/>
        <v>0</v>
      </c>
      <c r="BV27" s="19">
        <f t="shared" si="7"/>
        <v>0</v>
      </c>
      <c r="BW27" s="19">
        <f t="shared" si="8"/>
        <v>0</v>
      </c>
      <c r="BX27" s="19">
        <f t="shared" si="9"/>
        <v>2</v>
      </c>
      <c r="BY27" s="19">
        <f t="shared" si="10"/>
        <v>0</v>
      </c>
      <c r="BZ27" s="19">
        <f t="shared" si="11"/>
        <v>0</v>
      </c>
      <c r="CA27" s="19">
        <f t="shared" si="12"/>
        <v>0</v>
      </c>
      <c r="CB27" s="19">
        <f t="shared" si="13"/>
        <v>0</v>
      </c>
      <c r="CC27" s="20"/>
      <c r="CH27" s="81">
        <v>0</v>
      </c>
      <c r="CI27" s="81">
        <v>0</v>
      </c>
      <c r="CJ27" s="81">
        <v>0</v>
      </c>
      <c r="CK27" s="81">
        <v>0</v>
      </c>
      <c r="CL27" s="81">
        <v>0</v>
      </c>
      <c r="CM27" s="80">
        <v>9</v>
      </c>
      <c r="CN27" s="81">
        <v>0</v>
      </c>
      <c r="CO27" s="80">
        <v>1</v>
      </c>
      <c r="CP27" s="80">
        <v>0</v>
      </c>
      <c r="CQ27" s="80">
        <v>0</v>
      </c>
      <c r="CR27" s="85">
        <f t="shared" si="17"/>
        <v>10</v>
      </c>
    </row>
    <row r="28" spans="1:96" ht="22.5" customHeight="1" x14ac:dyDescent="0.25">
      <c r="A28" s="8">
        <v>19</v>
      </c>
      <c r="B28" s="9" t="s">
        <v>59</v>
      </c>
      <c r="C28" s="69" t="s">
        <v>60</v>
      </c>
      <c r="D28" s="104">
        <v>45723</v>
      </c>
      <c r="E28" s="103">
        <v>0.35625000000000001</v>
      </c>
      <c r="F28" s="103">
        <v>0.9506944444444444</v>
      </c>
      <c r="G28" s="103">
        <v>0.35416666666666669</v>
      </c>
      <c r="H28" s="103">
        <v>0.97222222222222221</v>
      </c>
      <c r="I28" s="103">
        <v>0.57916666666666672</v>
      </c>
      <c r="J28" s="103">
        <v>0.95347222222222217</v>
      </c>
      <c r="K28" s="103">
        <v>0.35555555555555557</v>
      </c>
      <c r="L28" s="103">
        <v>0.96875</v>
      </c>
      <c r="M28" s="103">
        <v>0.3576388888888889</v>
      </c>
      <c r="N28" s="103">
        <v>0.95208333333333339</v>
      </c>
      <c r="O28" s="103">
        <v>0.35347222222222219</v>
      </c>
      <c r="P28" s="103">
        <v>0.95347222222222217</v>
      </c>
      <c r="Q28" s="103">
        <v>0.35694444444444445</v>
      </c>
      <c r="R28" s="103">
        <v>0.95000000000000007</v>
      </c>
      <c r="S28" s="103">
        <v>0.35694444444444445</v>
      </c>
      <c r="T28" s="103">
        <v>0.94861111111111107</v>
      </c>
      <c r="U28" s="103">
        <v>0.35347222222222219</v>
      </c>
      <c r="V28" s="103">
        <v>0.96736111111111101</v>
      </c>
      <c r="W28" s="108" t="s">
        <v>15</v>
      </c>
      <c r="X28" s="108" t="s">
        <v>15</v>
      </c>
      <c r="Y28" s="103">
        <v>0.35486111111111113</v>
      </c>
      <c r="Z28" s="103">
        <v>0.96944444444444444</v>
      </c>
      <c r="AA28" s="103">
        <v>0.3520833333333333</v>
      </c>
      <c r="AB28" s="103">
        <v>0.9506944444444444</v>
      </c>
      <c r="AC28" s="103">
        <v>0.35486111111111113</v>
      </c>
      <c r="AD28" s="103">
        <v>0.9506944444444444</v>
      </c>
      <c r="AE28" s="103">
        <v>0.3576388888888889</v>
      </c>
      <c r="AF28" s="103">
        <v>0.95208333333333339</v>
      </c>
      <c r="AG28" s="103">
        <v>0.35347222222222219</v>
      </c>
      <c r="AH28" s="103">
        <v>0.95000000000000007</v>
      </c>
      <c r="AI28" s="121"/>
      <c r="AJ28" s="120">
        <v>19</v>
      </c>
      <c r="AK28" s="103">
        <v>0.35833333333333334</v>
      </c>
      <c r="AL28" s="103">
        <v>0.97430555555555554</v>
      </c>
      <c r="AM28" s="103">
        <v>0.58333333333333337</v>
      </c>
      <c r="AN28" s="103">
        <v>0.94861111111111107</v>
      </c>
      <c r="AO28" s="103">
        <v>0.3527777777777778</v>
      </c>
      <c r="AP28" s="103">
        <v>0.97152777777777777</v>
      </c>
      <c r="AQ28" s="103">
        <v>0.35486111111111113</v>
      </c>
      <c r="AR28" s="103">
        <v>0.94791666666666663</v>
      </c>
      <c r="AS28" s="103">
        <v>0.35416666666666669</v>
      </c>
      <c r="AT28" s="103">
        <v>0.94930555555555562</v>
      </c>
      <c r="AU28" s="103">
        <v>0.38680555555555557</v>
      </c>
      <c r="AV28" s="103">
        <v>0.94652777777777775</v>
      </c>
      <c r="AW28" s="103">
        <v>0.35347222222222219</v>
      </c>
      <c r="AX28" s="103">
        <v>0.94791666666666663</v>
      </c>
      <c r="AY28" s="103">
        <v>0.35416666666666669</v>
      </c>
      <c r="AZ28" s="103">
        <v>0.97083333333333333</v>
      </c>
      <c r="BA28" s="108" t="s">
        <v>15</v>
      </c>
      <c r="BB28" s="108" t="s">
        <v>15</v>
      </c>
      <c r="BC28" s="103">
        <v>0.3527777777777778</v>
      </c>
      <c r="BD28" s="103">
        <v>0.97152777777777777</v>
      </c>
      <c r="BE28" s="103">
        <v>0.3527777777777778</v>
      </c>
      <c r="BF28" s="103">
        <v>0.9506944444444444</v>
      </c>
      <c r="BG28" s="103">
        <v>0.35625000000000001</v>
      </c>
      <c r="BH28" s="103">
        <v>0.95416666666666661</v>
      </c>
      <c r="BI28" s="103">
        <v>0.35347222222222219</v>
      </c>
      <c r="BJ28" s="103">
        <v>0.95208333333333339</v>
      </c>
      <c r="BK28" s="103">
        <v>0.35486111111111113</v>
      </c>
      <c r="BL28" s="103">
        <v>0.94861111111111107</v>
      </c>
      <c r="BM28" s="103">
        <v>0.35555555555555557</v>
      </c>
      <c r="BN28" s="103">
        <v>0.95833333333333337</v>
      </c>
      <c r="BO28" s="73">
        <f t="shared" si="15"/>
        <v>30</v>
      </c>
      <c r="BP28" s="74">
        <v>2</v>
      </c>
      <c r="BQ28" s="18">
        <f t="shared" si="16"/>
        <v>28</v>
      </c>
      <c r="BR28" s="19">
        <f t="shared" si="3"/>
        <v>2</v>
      </c>
      <c r="BS28" s="19">
        <f t="shared" si="4"/>
        <v>0</v>
      </c>
      <c r="BT28" s="19">
        <f t="shared" si="5"/>
        <v>0</v>
      </c>
      <c r="BU28" s="19">
        <f t="shared" si="6"/>
        <v>0</v>
      </c>
      <c r="BV28" s="19">
        <f t="shared" si="7"/>
        <v>0</v>
      </c>
      <c r="BW28" s="19">
        <f t="shared" si="8"/>
        <v>0</v>
      </c>
      <c r="BX28" s="19">
        <f t="shared" si="9"/>
        <v>0</v>
      </c>
      <c r="BY28" s="19">
        <f t="shared" si="10"/>
        <v>0</v>
      </c>
      <c r="BZ28" s="19">
        <f t="shared" si="11"/>
        <v>0</v>
      </c>
      <c r="CA28" s="19">
        <f t="shared" si="12"/>
        <v>0</v>
      </c>
      <c r="CB28" s="19">
        <f t="shared" si="13"/>
        <v>0</v>
      </c>
      <c r="CC28" s="20"/>
      <c r="CH28" s="82">
        <v>0</v>
      </c>
      <c r="CI28" s="82">
        <v>0</v>
      </c>
      <c r="CJ28" s="82">
        <v>0</v>
      </c>
      <c r="CK28" s="82">
        <v>0</v>
      </c>
      <c r="CL28" s="82">
        <v>0</v>
      </c>
      <c r="CM28" s="82">
        <v>3</v>
      </c>
      <c r="CN28" s="83">
        <v>0</v>
      </c>
      <c r="CO28" s="83">
        <v>0</v>
      </c>
      <c r="CP28" s="83">
        <v>0</v>
      </c>
      <c r="CQ28" s="83">
        <v>0</v>
      </c>
      <c r="CR28" s="84">
        <f t="shared" si="17"/>
        <v>3</v>
      </c>
    </row>
    <row r="29" spans="1:96" ht="22.5" customHeight="1" x14ac:dyDescent="0.25">
      <c r="A29" s="8">
        <v>21</v>
      </c>
      <c r="B29" s="9" t="s">
        <v>63</v>
      </c>
      <c r="C29" s="69" t="s">
        <v>64</v>
      </c>
      <c r="D29" s="104">
        <v>45807</v>
      </c>
      <c r="E29" s="103">
        <v>0.35486111111111113</v>
      </c>
      <c r="F29" s="103">
        <v>0.82916666666666661</v>
      </c>
      <c r="G29" s="103">
        <v>0.3527777777777778</v>
      </c>
      <c r="H29" s="103">
        <v>0.82708333333333339</v>
      </c>
      <c r="I29" s="108" t="s">
        <v>15</v>
      </c>
      <c r="J29" s="108" t="s">
        <v>15</v>
      </c>
      <c r="K29" s="103">
        <v>0.34652777777777777</v>
      </c>
      <c r="L29" s="103">
        <v>0.83124999999999993</v>
      </c>
      <c r="M29" s="103">
        <v>0.34930555555555554</v>
      </c>
      <c r="N29" s="108">
        <v>1</v>
      </c>
      <c r="O29" s="103">
        <v>0.3527777777777778</v>
      </c>
      <c r="P29" s="103">
        <v>0.95486111111111116</v>
      </c>
      <c r="Q29" s="103">
        <v>0.34722222222222227</v>
      </c>
      <c r="R29" s="103">
        <v>0.82916666666666661</v>
      </c>
      <c r="S29" s="103">
        <v>0.34722222222222227</v>
      </c>
      <c r="T29" s="103">
        <v>0.83124999999999993</v>
      </c>
      <c r="U29" s="103">
        <v>0.34930555555555554</v>
      </c>
      <c r="V29" s="103">
        <v>0.9291666666666667</v>
      </c>
      <c r="W29" s="103">
        <v>0.58263888888888882</v>
      </c>
      <c r="X29" s="103">
        <v>0.8354166666666667</v>
      </c>
      <c r="Y29" s="103">
        <v>0.34930555555555554</v>
      </c>
      <c r="Z29" s="103">
        <v>0.87569444444444444</v>
      </c>
      <c r="AA29" s="103">
        <v>0.3527777777777778</v>
      </c>
      <c r="AB29" s="108">
        <v>1</v>
      </c>
      <c r="AC29" s="103">
        <v>0.34930555555555554</v>
      </c>
      <c r="AD29" s="103">
        <v>0.85069444444444453</v>
      </c>
      <c r="AE29" s="103">
        <v>0.34583333333333338</v>
      </c>
      <c r="AF29" s="103">
        <v>0.84791666666666676</v>
      </c>
      <c r="AG29" s="103">
        <v>0.3444444444444445</v>
      </c>
      <c r="AH29" s="103">
        <v>0.8256944444444444</v>
      </c>
      <c r="AI29" s="121"/>
      <c r="AJ29" s="120">
        <v>21</v>
      </c>
      <c r="AK29" s="103">
        <v>0.35138888888888892</v>
      </c>
      <c r="AL29" s="103">
        <v>0.82986111111111116</v>
      </c>
      <c r="AM29" s="108" t="s">
        <v>15</v>
      </c>
      <c r="AN29" s="108" t="s">
        <v>15</v>
      </c>
      <c r="AO29" s="103">
        <v>0.34930555555555554</v>
      </c>
      <c r="AP29" s="103">
        <v>0.85902777777777783</v>
      </c>
      <c r="AQ29" s="103">
        <v>0.3444444444444445</v>
      </c>
      <c r="AR29" s="103">
        <v>0.85</v>
      </c>
      <c r="AS29" s="103">
        <v>0.34583333333333338</v>
      </c>
      <c r="AT29" s="103">
        <v>0.85416666666666663</v>
      </c>
      <c r="AU29" s="103">
        <v>0.34722222222222227</v>
      </c>
      <c r="AV29" s="108">
        <v>1</v>
      </c>
      <c r="AW29" s="103">
        <v>0.3444444444444445</v>
      </c>
      <c r="AX29" s="103">
        <v>0.86805555555555547</v>
      </c>
      <c r="AY29" s="103">
        <v>0.3430555555555555</v>
      </c>
      <c r="AZ29" s="103">
        <v>0.82500000000000007</v>
      </c>
      <c r="BA29" s="103">
        <v>0.57777777777777783</v>
      </c>
      <c r="BB29" s="103">
        <v>0.90208333333333324</v>
      </c>
      <c r="BC29" s="103">
        <v>0.34791666666666665</v>
      </c>
      <c r="BD29" s="103">
        <v>0.83750000000000002</v>
      </c>
      <c r="BE29" s="103">
        <v>0.3444444444444445</v>
      </c>
      <c r="BF29" s="103">
        <v>0.81111111111111101</v>
      </c>
      <c r="BG29" s="103">
        <v>0.34652777777777777</v>
      </c>
      <c r="BH29" s="103">
        <v>0.82847222222222217</v>
      </c>
      <c r="BI29" s="103">
        <v>0.34583333333333338</v>
      </c>
      <c r="BJ29" s="103">
        <v>0.87986111111111109</v>
      </c>
      <c r="BK29" s="103">
        <v>0.34861111111111115</v>
      </c>
      <c r="BL29" s="108">
        <v>1</v>
      </c>
      <c r="BM29" s="108">
        <v>1</v>
      </c>
      <c r="BN29" s="103">
        <v>0.8930555555555556</v>
      </c>
      <c r="BO29" s="73">
        <f t="shared" si="15"/>
        <v>30</v>
      </c>
      <c r="BP29" s="74">
        <v>2</v>
      </c>
      <c r="BQ29" s="18">
        <f t="shared" si="16"/>
        <v>28</v>
      </c>
      <c r="BR29" s="19">
        <f t="shared" si="3"/>
        <v>2</v>
      </c>
      <c r="BS29" s="19">
        <f t="shared" si="4"/>
        <v>0</v>
      </c>
      <c r="BT29" s="19">
        <f t="shared" si="5"/>
        <v>0</v>
      </c>
      <c r="BU29" s="19">
        <f t="shared" si="6"/>
        <v>0</v>
      </c>
      <c r="BV29" s="19">
        <f t="shared" si="7"/>
        <v>0</v>
      </c>
      <c r="BW29" s="19">
        <f t="shared" si="8"/>
        <v>0</v>
      </c>
      <c r="BX29" s="19">
        <f t="shared" si="9"/>
        <v>0</v>
      </c>
      <c r="BY29" s="19">
        <f t="shared" si="10"/>
        <v>0</v>
      </c>
      <c r="BZ29" s="19">
        <f t="shared" si="11"/>
        <v>0</v>
      </c>
      <c r="CA29" s="19">
        <f t="shared" si="12"/>
        <v>0</v>
      </c>
      <c r="CB29" s="19">
        <f t="shared" si="13"/>
        <v>0</v>
      </c>
      <c r="CC29" s="20"/>
      <c r="CH29" s="82">
        <v>0</v>
      </c>
      <c r="CI29" s="82">
        <v>0</v>
      </c>
      <c r="CJ29" s="82">
        <v>0</v>
      </c>
      <c r="CK29" s="82">
        <v>0</v>
      </c>
      <c r="CL29" s="82">
        <v>0</v>
      </c>
      <c r="CM29" s="82">
        <v>6</v>
      </c>
      <c r="CN29" s="83">
        <v>0</v>
      </c>
      <c r="CO29" s="83">
        <v>0</v>
      </c>
      <c r="CP29" s="83">
        <v>0</v>
      </c>
      <c r="CQ29" s="83">
        <v>0</v>
      </c>
      <c r="CR29" s="84">
        <f t="shared" si="17"/>
        <v>6</v>
      </c>
    </row>
    <row r="30" spans="1:96" ht="22.5" customHeight="1" x14ac:dyDescent="0.25">
      <c r="A30" s="8">
        <v>22</v>
      </c>
      <c r="B30" s="9" t="s">
        <v>65</v>
      </c>
      <c r="C30" s="69" t="s">
        <v>66</v>
      </c>
      <c r="D30" s="104">
        <v>45807</v>
      </c>
      <c r="E30" s="103">
        <v>0.35625000000000001</v>
      </c>
      <c r="F30" s="103">
        <v>0.95208333333333339</v>
      </c>
      <c r="G30" s="103">
        <v>0.35416666666666669</v>
      </c>
      <c r="H30" s="103">
        <v>0.97152777777777777</v>
      </c>
      <c r="I30" s="108" t="s">
        <v>15</v>
      </c>
      <c r="J30" s="108" t="s">
        <v>15</v>
      </c>
      <c r="K30" s="103">
        <v>0.35555555555555557</v>
      </c>
      <c r="L30" s="103">
        <v>0.96805555555555556</v>
      </c>
      <c r="M30" s="103">
        <v>0.3576388888888889</v>
      </c>
      <c r="N30" s="103">
        <v>0.95138888888888884</v>
      </c>
      <c r="O30" s="103">
        <v>0.35347222222222219</v>
      </c>
      <c r="P30" s="103">
        <v>0.95138888888888884</v>
      </c>
      <c r="Q30" s="103">
        <v>0.35694444444444445</v>
      </c>
      <c r="R30" s="103">
        <v>0.94861111111111107</v>
      </c>
      <c r="S30" s="103">
        <v>0.3576388888888889</v>
      </c>
      <c r="T30" s="103">
        <v>0.9472222222222223</v>
      </c>
      <c r="U30" s="103">
        <v>0.35347222222222219</v>
      </c>
      <c r="V30" s="103">
        <v>0.96805555555555556</v>
      </c>
      <c r="W30" s="103">
        <v>0.57916666666666672</v>
      </c>
      <c r="X30" s="103">
        <v>0.94930555555555562</v>
      </c>
      <c r="Y30" s="103">
        <v>0.35555555555555557</v>
      </c>
      <c r="Z30" s="103">
        <v>0.96805555555555556</v>
      </c>
      <c r="AA30" s="103">
        <v>0.3520833333333333</v>
      </c>
      <c r="AB30" s="103">
        <v>0.9506944444444444</v>
      </c>
      <c r="AC30" s="103">
        <v>0.35486111111111113</v>
      </c>
      <c r="AD30" s="103">
        <v>0.9506944444444444</v>
      </c>
      <c r="AE30" s="103">
        <v>0.3576388888888889</v>
      </c>
      <c r="AF30" s="103">
        <v>0.95208333333333339</v>
      </c>
      <c r="AG30" s="103">
        <v>0.35347222222222219</v>
      </c>
      <c r="AH30" s="103">
        <v>0.95000000000000007</v>
      </c>
      <c r="AI30" s="121"/>
      <c r="AJ30" s="120">
        <v>22</v>
      </c>
      <c r="AK30" s="103">
        <v>0.35833333333333334</v>
      </c>
      <c r="AL30" s="103">
        <v>0.9819444444444444</v>
      </c>
      <c r="AM30" s="108" t="s">
        <v>15</v>
      </c>
      <c r="AN30" s="108" t="s">
        <v>15</v>
      </c>
      <c r="AO30" s="103">
        <v>0.3527777777777778</v>
      </c>
      <c r="AP30" s="103">
        <v>0.97152777777777777</v>
      </c>
      <c r="AQ30" s="103">
        <v>0.35486111111111113</v>
      </c>
      <c r="AR30" s="103">
        <v>0.94930555555555562</v>
      </c>
      <c r="AS30" s="103">
        <v>0.35416666666666669</v>
      </c>
      <c r="AT30" s="103">
        <v>0.9506944444444444</v>
      </c>
      <c r="AU30" s="103">
        <v>0.38680555555555557</v>
      </c>
      <c r="AV30" s="103">
        <v>0.94652777777777775</v>
      </c>
      <c r="AW30" s="103">
        <v>0.35347222222222219</v>
      </c>
      <c r="AX30" s="103">
        <v>0.94861111111111107</v>
      </c>
      <c r="AY30" s="103">
        <v>0.35416666666666669</v>
      </c>
      <c r="AZ30" s="103">
        <v>0.97152777777777777</v>
      </c>
      <c r="BA30" s="103">
        <v>0.58194444444444449</v>
      </c>
      <c r="BB30" s="103">
        <v>0.9472222222222223</v>
      </c>
      <c r="BC30" s="103">
        <v>0.35347222222222219</v>
      </c>
      <c r="BD30" s="103">
        <v>0.97083333333333333</v>
      </c>
      <c r="BE30" s="103">
        <v>0.3527777777777778</v>
      </c>
      <c r="BF30" s="103">
        <v>0.95000000000000007</v>
      </c>
      <c r="BG30" s="103">
        <v>0.35625000000000001</v>
      </c>
      <c r="BH30" s="103">
        <v>0.95347222222222217</v>
      </c>
      <c r="BI30" s="103">
        <v>0.35416666666666669</v>
      </c>
      <c r="BJ30" s="103">
        <v>0.95138888888888884</v>
      </c>
      <c r="BK30" s="103">
        <v>0.35486111111111113</v>
      </c>
      <c r="BL30" s="103">
        <v>0.94861111111111107</v>
      </c>
      <c r="BM30" s="103">
        <v>0.35555555555555557</v>
      </c>
      <c r="BN30" s="103">
        <v>0.67083333333333339</v>
      </c>
      <c r="BO30" s="73">
        <f t="shared" si="15"/>
        <v>30</v>
      </c>
      <c r="BP30" s="74">
        <v>2</v>
      </c>
      <c r="BQ30" s="18">
        <f t="shared" si="16"/>
        <v>28</v>
      </c>
      <c r="BR30" s="19">
        <f t="shared" si="3"/>
        <v>2</v>
      </c>
      <c r="BS30" s="19">
        <f t="shared" si="4"/>
        <v>0</v>
      </c>
      <c r="BT30" s="19">
        <f t="shared" si="5"/>
        <v>0</v>
      </c>
      <c r="BU30" s="19">
        <f t="shared" si="6"/>
        <v>0</v>
      </c>
      <c r="BV30" s="19">
        <f t="shared" si="7"/>
        <v>0</v>
      </c>
      <c r="BW30" s="19">
        <f t="shared" si="8"/>
        <v>0</v>
      </c>
      <c r="BX30" s="19">
        <f t="shared" si="9"/>
        <v>0</v>
      </c>
      <c r="BY30" s="19">
        <f t="shared" si="10"/>
        <v>0</v>
      </c>
      <c r="BZ30" s="19">
        <f t="shared" si="11"/>
        <v>0</v>
      </c>
      <c r="CA30" s="19">
        <f t="shared" si="12"/>
        <v>0</v>
      </c>
      <c r="CB30" s="19">
        <f t="shared" si="13"/>
        <v>0</v>
      </c>
      <c r="CC30" s="20"/>
      <c r="CH30" s="81">
        <v>0</v>
      </c>
      <c r="CI30" s="81">
        <v>0</v>
      </c>
      <c r="CJ30" s="81">
        <v>0</v>
      </c>
      <c r="CK30" s="81">
        <v>0</v>
      </c>
      <c r="CL30" s="81">
        <v>0</v>
      </c>
      <c r="CM30" s="81">
        <v>0</v>
      </c>
      <c r="CN30" s="81">
        <v>0</v>
      </c>
      <c r="CO30" s="81">
        <v>0</v>
      </c>
      <c r="CP30" s="81">
        <v>0</v>
      </c>
      <c r="CQ30" s="81">
        <v>0</v>
      </c>
      <c r="CR30" s="85">
        <f t="shared" si="17"/>
        <v>0</v>
      </c>
    </row>
    <row r="31" spans="1:96" ht="22.5" customHeight="1" x14ac:dyDescent="0.25">
      <c r="A31" s="8">
        <v>23</v>
      </c>
      <c r="B31" s="9" t="s">
        <v>67</v>
      </c>
      <c r="C31" s="69" t="s">
        <v>68</v>
      </c>
      <c r="D31" s="104">
        <v>45883</v>
      </c>
      <c r="E31" s="103">
        <v>0.35625000000000001</v>
      </c>
      <c r="F31" s="103">
        <v>0.95486111111111116</v>
      </c>
      <c r="G31" s="103">
        <v>0.35694444444444445</v>
      </c>
      <c r="H31" s="103">
        <v>0.97083333333333333</v>
      </c>
      <c r="I31" s="108" t="s">
        <v>15</v>
      </c>
      <c r="J31" s="108" t="s">
        <v>15</v>
      </c>
      <c r="K31" s="103">
        <v>0.36319444444444443</v>
      </c>
      <c r="L31" s="108">
        <v>1</v>
      </c>
      <c r="M31" s="103">
        <v>0.35555555555555557</v>
      </c>
      <c r="N31" s="108">
        <v>1</v>
      </c>
      <c r="O31" s="103">
        <v>0.35694444444444445</v>
      </c>
      <c r="P31" s="103">
        <v>0.96180555555555547</v>
      </c>
      <c r="Q31" s="103">
        <v>0.35694444444444445</v>
      </c>
      <c r="R31" s="103">
        <v>0.9506944444444444</v>
      </c>
      <c r="S31" s="103">
        <v>0.35625000000000001</v>
      </c>
      <c r="T31" s="108">
        <v>1</v>
      </c>
      <c r="U31" s="103">
        <v>0.76041666666666663</v>
      </c>
      <c r="V31" s="108">
        <v>1</v>
      </c>
      <c r="W31" s="103">
        <v>0.57430555555555551</v>
      </c>
      <c r="X31" s="103">
        <v>0.95416666666666661</v>
      </c>
      <c r="Y31" s="103">
        <v>0.35555555555555557</v>
      </c>
      <c r="Z31" s="103">
        <v>0.9770833333333333</v>
      </c>
      <c r="AA31" s="103">
        <v>0.35972222222222222</v>
      </c>
      <c r="AB31" s="108">
        <v>1</v>
      </c>
      <c r="AC31" s="103">
        <v>0.36041666666666666</v>
      </c>
      <c r="AD31" s="103">
        <v>0.9472222222222223</v>
      </c>
      <c r="AE31" s="103">
        <v>0.35694444444444445</v>
      </c>
      <c r="AF31" s="108">
        <v>1</v>
      </c>
      <c r="AG31" s="103">
        <v>0.35555555555555557</v>
      </c>
      <c r="AH31" s="103">
        <v>0.95000000000000007</v>
      </c>
      <c r="AI31" s="121"/>
      <c r="AJ31" s="120">
        <v>23</v>
      </c>
      <c r="AK31" s="103">
        <v>0.35694444444444445</v>
      </c>
      <c r="AL31" s="108">
        <v>1</v>
      </c>
      <c r="AM31" s="108" t="s">
        <v>15</v>
      </c>
      <c r="AN31" s="108" t="s">
        <v>15</v>
      </c>
      <c r="AO31" s="103">
        <v>0.35625000000000001</v>
      </c>
      <c r="AP31" s="103">
        <v>0.97569444444444453</v>
      </c>
      <c r="AQ31" s="103">
        <v>0.3527777777777778</v>
      </c>
      <c r="AR31" s="103">
        <v>0.95694444444444438</v>
      </c>
      <c r="AS31" s="103">
        <v>0.35416666666666669</v>
      </c>
      <c r="AT31" s="103">
        <v>0.9506944444444444</v>
      </c>
      <c r="AU31" s="103">
        <v>0.35694444444444445</v>
      </c>
      <c r="AV31" s="103">
        <v>0.95208333333333339</v>
      </c>
      <c r="AW31" s="103">
        <v>0.34930555555555554</v>
      </c>
      <c r="AX31" s="103">
        <v>0.34930555555555554</v>
      </c>
      <c r="AY31" s="103">
        <v>0.3576388888888889</v>
      </c>
      <c r="AZ31" s="103">
        <v>0.3576388888888889</v>
      </c>
      <c r="BA31" s="103">
        <v>0.57777777777777783</v>
      </c>
      <c r="BB31" s="103">
        <v>0.96111111111111114</v>
      </c>
      <c r="BC31" s="103">
        <v>0.34861111111111115</v>
      </c>
      <c r="BD31" s="108">
        <v>1</v>
      </c>
      <c r="BE31" s="103">
        <v>0.35833333333333334</v>
      </c>
      <c r="BF31" s="103">
        <v>0.95833333333333337</v>
      </c>
      <c r="BG31" s="103">
        <v>0.3520833333333333</v>
      </c>
      <c r="BH31" s="108">
        <v>1</v>
      </c>
      <c r="BI31" s="108">
        <v>1</v>
      </c>
      <c r="BJ31" s="108">
        <v>1</v>
      </c>
      <c r="BK31" s="108">
        <v>1</v>
      </c>
      <c r="BL31" s="108">
        <v>1</v>
      </c>
      <c r="BM31" s="103">
        <v>0.35486111111111113</v>
      </c>
      <c r="BN31" s="108">
        <v>1</v>
      </c>
      <c r="BO31" s="73">
        <f t="shared" si="15"/>
        <v>30</v>
      </c>
      <c r="BP31" s="74">
        <v>2</v>
      </c>
      <c r="BQ31" s="18">
        <f t="shared" si="16"/>
        <v>28</v>
      </c>
      <c r="BR31" s="19">
        <f t="shared" si="3"/>
        <v>2</v>
      </c>
      <c r="BS31" s="19">
        <f t="shared" si="4"/>
        <v>0</v>
      </c>
      <c r="BT31" s="19">
        <f t="shared" si="5"/>
        <v>0</v>
      </c>
      <c r="BU31" s="19">
        <f t="shared" si="6"/>
        <v>0</v>
      </c>
      <c r="BV31" s="19">
        <f t="shared" si="7"/>
        <v>0</v>
      </c>
      <c r="BW31" s="19">
        <f t="shared" si="8"/>
        <v>0</v>
      </c>
      <c r="BX31" s="19">
        <f t="shared" si="9"/>
        <v>0</v>
      </c>
      <c r="BY31" s="19">
        <f t="shared" si="10"/>
        <v>0</v>
      </c>
      <c r="BZ31" s="19">
        <f t="shared" si="11"/>
        <v>0</v>
      </c>
      <c r="CA31" s="19">
        <f t="shared" si="12"/>
        <v>0</v>
      </c>
      <c r="CB31" s="19">
        <f t="shared" si="13"/>
        <v>0</v>
      </c>
      <c r="CC31" s="20"/>
      <c r="CH31" s="82">
        <v>0</v>
      </c>
      <c r="CI31" s="82">
        <v>0</v>
      </c>
      <c r="CJ31" s="82">
        <v>0</v>
      </c>
      <c r="CK31" s="82">
        <v>0</v>
      </c>
      <c r="CL31" s="82">
        <v>0</v>
      </c>
      <c r="CM31" s="82">
        <v>2</v>
      </c>
      <c r="CN31" s="83">
        <v>0</v>
      </c>
      <c r="CO31" s="83">
        <v>0</v>
      </c>
      <c r="CP31" s="83">
        <v>0</v>
      </c>
      <c r="CQ31" s="83">
        <v>0</v>
      </c>
      <c r="CR31" s="84">
        <f t="shared" si="17"/>
        <v>2</v>
      </c>
    </row>
    <row r="32" spans="1:96" ht="22.5" customHeight="1" x14ac:dyDescent="0.25">
      <c r="A32" s="8">
        <v>24</v>
      </c>
      <c r="B32" s="9" t="s">
        <v>69</v>
      </c>
      <c r="C32" s="69" t="s">
        <v>70</v>
      </c>
      <c r="D32" s="104">
        <v>45956</v>
      </c>
      <c r="E32" s="103">
        <v>0.35625000000000001</v>
      </c>
      <c r="F32" s="103">
        <v>0.95138888888888884</v>
      </c>
      <c r="G32" s="103">
        <v>0.35416666666666669</v>
      </c>
      <c r="H32" s="103">
        <v>0.97222222222222221</v>
      </c>
      <c r="I32" s="108" t="s">
        <v>15</v>
      </c>
      <c r="J32" s="108" t="s">
        <v>15</v>
      </c>
      <c r="K32" s="103">
        <v>0.35625000000000001</v>
      </c>
      <c r="L32" s="103">
        <v>0.96875</v>
      </c>
      <c r="M32" s="103">
        <v>0.3576388888888889</v>
      </c>
      <c r="N32" s="103">
        <v>0.95277777777777783</v>
      </c>
      <c r="O32" s="103">
        <v>0.35347222222222219</v>
      </c>
      <c r="P32" s="103">
        <v>0.95138888888888884</v>
      </c>
      <c r="Q32" s="103">
        <v>0.3576388888888889</v>
      </c>
      <c r="R32" s="103">
        <v>0.94861111111111107</v>
      </c>
      <c r="S32" s="103">
        <v>0.3576388888888889</v>
      </c>
      <c r="T32" s="103">
        <v>0.94861111111111107</v>
      </c>
      <c r="U32" s="103">
        <v>0.35416666666666669</v>
      </c>
      <c r="V32" s="103">
        <v>0.96805555555555556</v>
      </c>
      <c r="W32" s="103">
        <v>0.57916666666666672</v>
      </c>
      <c r="X32" s="103">
        <v>0.94861111111111107</v>
      </c>
      <c r="Y32" s="103">
        <v>0.35555555555555557</v>
      </c>
      <c r="Z32" s="103">
        <v>0.96805555555555556</v>
      </c>
      <c r="AA32" s="103">
        <v>0.3527777777777778</v>
      </c>
      <c r="AB32" s="103">
        <v>0.94930555555555562</v>
      </c>
      <c r="AC32" s="103">
        <v>0.35555555555555557</v>
      </c>
      <c r="AD32" s="103">
        <v>0.9472222222222223</v>
      </c>
      <c r="AE32" s="103">
        <v>0.3576388888888889</v>
      </c>
      <c r="AF32" s="103">
        <v>0.95208333333333339</v>
      </c>
      <c r="AG32" s="103">
        <v>0.35347222222222219</v>
      </c>
      <c r="AH32" s="103">
        <v>0.95000000000000007</v>
      </c>
      <c r="AI32" s="121"/>
      <c r="AJ32" s="120">
        <v>24</v>
      </c>
      <c r="AK32" s="103">
        <v>0.35902777777777778</v>
      </c>
      <c r="AL32" s="103">
        <v>0.97638888888888886</v>
      </c>
      <c r="AM32" s="108" t="s">
        <v>15</v>
      </c>
      <c r="AN32" s="108" t="s">
        <v>15</v>
      </c>
      <c r="AO32" s="103">
        <v>0.3527777777777778</v>
      </c>
      <c r="AP32" s="103">
        <v>0.97152777777777777</v>
      </c>
      <c r="AQ32" s="103">
        <v>0.35486111111111113</v>
      </c>
      <c r="AR32" s="103">
        <v>0.4069444444444445</v>
      </c>
      <c r="AS32" s="103">
        <v>0.35416666666666669</v>
      </c>
      <c r="AT32" s="103">
        <v>0.9506944444444444</v>
      </c>
      <c r="AU32" s="103">
        <v>0.38680555555555557</v>
      </c>
      <c r="AV32" s="103">
        <v>0.9472222222222223</v>
      </c>
      <c r="AW32" s="103">
        <v>0.35347222222222219</v>
      </c>
      <c r="AX32" s="103">
        <v>0.94791666666666663</v>
      </c>
      <c r="AY32" s="103">
        <v>0.35416666666666669</v>
      </c>
      <c r="AZ32" s="103">
        <v>0.97083333333333333</v>
      </c>
      <c r="BA32" s="103">
        <v>0.58194444444444449</v>
      </c>
      <c r="BB32" s="103">
        <v>0.94791666666666663</v>
      </c>
      <c r="BC32" s="103">
        <v>0.35347222222222219</v>
      </c>
      <c r="BD32" s="103">
        <v>0.97013888888888899</v>
      </c>
      <c r="BE32" s="103">
        <v>0.3527777777777778</v>
      </c>
      <c r="BF32" s="103">
        <v>0.95000000000000007</v>
      </c>
      <c r="BG32" s="103">
        <v>0.35625000000000001</v>
      </c>
      <c r="BH32" s="103">
        <v>0.95347222222222217</v>
      </c>
      <c r="BI32" s="103">
        <v>0.35416666666666669</v>
      </c>
      <c r="BJ32" s="103">
        <v>0.95138888888888884</v>
      </c>
      <c r="BK32" s="103">
        <v>0.35486111111111113</v>
      </c>
      <c r="BL32" s="103">
        <v>0.94791666666666663</v>
      </c>
      <c r="BM32" s="103">
        <v>0.35555555555555557</v>
      </c>
      <c r="BN32" s="103">
        <v>0.95833333333333337</v>
      </c>
      <c r="BO32" s="73">
        <f>BQ32+BR32+BS32+BT32+BY32+BW32+BX32+CB32</f>
        <v>30</v>
      </c>
      <c r="BP32" s="74">
        <v>2</v>
      </c>
      <c r="BQ32" s="18">
        <f t="shared" si="16"/>
        <v>28</v>
      </c>
      <c r="BR32" s="19">
        <f t="shared" si="3"/>
        <v>2</v>
      </c>
      <c r="BS32" s="19">
        <f t="shared" si="4"/>
        <v>0</v>
      </c>
      <c r="BT32" s="19">
        <f t="shared" si="5"/>
        <v>0</v>
      </c>
      <c r="BU32" s="19">
        <f t="shared" si="6"/>
        <v>0</v>
      </c>
      <c r="BV32" s="19">
        <f t="shared" si="7"/>
        <v>0</v>
      </c>
      <c r="BW32" s="19">
        <f t="shared" si="8"/>
        <v>0</v>
      </c>
      <c r="BX32" s="19">
        <f t="shared" si="9"/>
        <v>0</v>
      </c>
      <c r="BY32" s="19">
        <f t="shared" si="10"/>
        <v>0</v>
      </c>
      <c r="BZ32" s="19">
        <f t="shared" si="11"/>
        <v>0</v>
      </c>
      <c r="CA32" s="19">
        <f t="shared" si="12"/>
        <v>0</v>
      </c>
      <c r="CB32" s="19">
        <f t="shared" si="13"/>
        <v>0</v>
      </c>
      <c r="CC32" s="20"/>
      <c r="CH32" s="81">
        <v>0</v>
      </c>
      <c r="CI32" s="81">
        <v>0</v>
      </c>
      <c r="CJ32" s="81">
        <v>0</v>
      </c>
      <c r="CK32" s="81">
        <v>0</v>
      </c>
      <c r="CL32" s="81">
        <v>0</v>
      </c>
      <c r="CM32" s="80">
        <v>4</v>
      </c>
      <c r="CN32" s="81">
        <v>0</v>
      </c>
      <c r="CO32" s="81">
        <v>0</v>
      </c>
      <c r="CP32" s="81">
        <v>0</v>
      </c>
      <c r="CQ32" s="81">
        <v>0</v>
      </c>
      <c r="CR32" s="85">
        <f>SUM(CH32:CQ32)</f>
        <v>4</v>
      </c>
    </row>
    <row r="33" spans="1:96" ht="22.5" customHeight="1" x14ac:dyDescent="0.25">
      <c r="A33" s="8">
        <v>25</v>
      </c>
      <c r="B33" s="9" t="s">
        <v>97</v>
      </c>
      <c r="C33" s="69" t="s">
        <v>98</v>
      </c>
      <c r="D33" s="104">
        <v>46028</v>
      </c>
      <c r="E33" s="103">
        <v>0.35069444444444442</v>
      </c>
      <c r="F33" s="103">
        <v>0.82916666666666661</v>
      </c>
      <c r="G33" s="103">
        <v>0.34791666666666665</v>
      </c>
      <c r="H33" s="103">
        <v>0.82708333333333339</v>
      </c>
      <c r="I33" s="108" t="s">
        <v>15</v>
      </c>
      <c r="J33" s="108" t="s">
        <v>15</v>
      </c>
      <c r="K33" s="103">
        <v>0.35486111111111113</v>
      </c>
      <c r="L33" s="103">
        <v>0.83194444444444438</v>
      </c>
      <c r="M33" s="103">
        <v>0.35069444444444442</v>
      </c>
      <c r="N33" s="103">
        <v>0.35069444444444442</v>
      </c>
      <c r="O33" s="103">
        <v>0.3520833333333333</v>
      </c>
      <c r="P33" s="103">
        <v>0.95486111111111116</v>
      </c>
      <c r="Q33" s="103">
        <v>0.35138888888888892</v>
      </c>
      <c r="R33" s="103">
        <v>0.82916666666666661</v>
      </c>
      <c r="S33" s="103">
        <v>0.34861111111111115</v>
      </c>
      <c r="T33" s="103">
        <v>0.83333333333333337</v>
      </c>
      <c r="U33" s="103">
        <v>0.35069444444444442</v>
      </c>
      <c r="V33" s="103">
        <v>0.9291666666666667</v>
      </c>
      <c r="W33" s="103">
        <v>0.58194444444444449</v>
      </c>
      <c r="X33" s="108">
        <v>1</v>
      </c>
      <c r="Y33" s="103">
        <v>0.35069444444444442</v>
      </c>
      <c r="Z33" s="103">
        <v>0.87638888888888899</v>
      </c>
      <c r="AA33" s="103">
        <v>0.35000000000000003</v>
      </c>
      <c r="AB33" s="103">
        <v>0.85833333333333339</v>
      </c>
      <c r="AC33" s="103">
        <v>0.34583333333333338</v>
      </c>
      <c r="AD33" s="103">
        <v>0.85069444444444453</v>
      </c>
      <c r="AE33" s="103">
        <v>0.3430555555555555</v>
      </c>
      <c r="AF33" s="103">
        <v>0.84791666666666676</v>
      </c>
      <c r="AG33" s="103">
        <v>0.34513888888888888</v>
      </c>
      <c r="AH33" s="103">
        <v>0.82708333333333339</v>
      </c>
      <c r="AI33" s="121"/>
      <c r="AJ33" s="120">
        <v>25</v>
      </c>
      <c r="AK33" s="103">
        <v>0.34861111111111115</v>
      </c>
      <c r="AL33" s="103">
        <v>0.8305555555555556</v>
      </c>
      <c r="AM33" s="108" t="s">
        <v>15</v>
      </c>
      <c r="AN33" s="108" t="s">
        <v>15</v>
      </c>
      <c r="AO33" s="103">
        <v>0.35138888888888892</v>
      </c>
      <c r="AP33" s="103">
        <v>0.85902777777777783</v>
      </c>
      <c r="AQ33" s="103">
        <v>0.3444444444444445</v>
      </c>
      <c r="AR33" s="103">
        <v>0.85</v>
      </c>
      <c r="AS33" s="103">
        <v>0.35138888888888892</v>
      </c>
      <c r="AT33" s="103">
        <v>0.85486111111111107</v>
      </c>
      <c r="AU33" s="103">
        <v>0.35069444444444442</v>
      </c>
      <c r="AV33" s="103">
        <v>0.35069444444444442</v>
      </c>
      <c r="AW33" s="103">
        <v>0.34097222222222223</v>
      </c>
      <c r="AX33" s="103">
        <v>0.86805555555555547</v>
      </c>
      <c r="AY33" s="103">
        <v>0.34861111111111115</v>
      </c>
      <c r="AZ33" s="103">
        <v>0.8305555555555556</v>
      </c>
      <c r="BA33" s="103">
        <v>0.57847222222222217</v>
      </c>
      <c r="BB33" s="103">
        <v>0.90208333333333324</v>
      </c>
      <c r="BC33" s="103">
        <v>0.34791666666666665</v>
      </c>
      <c r="BD33" s="103">
        <v>0.83750000000000002</v>
      </c>
      <c r="BE33" s="103">
        <v>0.34930555555555554</v>
      </c>
      <c r="BF33" s="103">
        <v>0.81111111111111101</v>
      </c>
      <c r="BG33" s="103">
        <v>0.34652777777777777</v>
      </c>
      <c r="BH33" s="103">
        <v>0.88055555555555554</v>
      </c>
      <c r="BI33" s="103">
        <v>0.34375</v>
      </c>
      <c r="BJ33" s="103">
        <v>0.82847222222222217</v>
      </c>
      <c r="BK33" s="103">
        <v>0.34930555555555554</v>
      </c>
      <c r="BL33" s="103">
        <v>0.87986111111111109</v>
      </c>
      <c r="BM33" s="103">
        <v>0.3444444444444445</v>
      </c>
      <c r="BN33" s="103">
        <v>0.89097222222222217</v>
      </c>
      <c r="BO33" s="73">
        <f t="shared" ref="BO33" si="19">BQ33+BR33+BS33+BT33+BY33+BW33+BX33+CB33</f>
        <v>30</v>
      </c>
      <c r="BP33" s="74">
        <v>2</v>
      </c>
      <c r="BQ33" s="18">
        <f t="shared" si="16"/>
        <v>28</v>
      </c>
      <c r="BR33" s="19">
        <f t="shared" si="3"/>
        <v>2</v>
      </c>
      <c r="BS33" s="19">
        <f t="shared" si="4"/>
        <v>0</v>
      </c>
      <c r="BT33" s="19">
        <f t="shared" si="5"/>
        <v>0</v>
      </c>
      <c r="BU33" s="19">
        <f t="shared" si="6"/>
        <v>0</v>
      </c>
      <c r="BV33" s="19">
        <f t="shared" si="7"/>
        <v>0</v>
      </c>
      <c r="BW33" s="19">
        <f t="shared" si="8"/>
        <v>0</v>
      </c>
      <c r="BX33" s="19">
        <f t="shared" si="9"/>
        <v>0</v>
      </c>
      <c r="BY33" s="19">
        <f t="shared" si="10"/>
        <v>0</v>
      </c>
      <c r="BZ33" s="19">
        <f t="shared" si="11"/>
        <v>0</v>
      </c>
      <c r="CA33" s="19">
        <f t="shared" si="12"/>
        <v>0</v>
      </c>
      <c r="CB33" s="19">
        <f t="shared" si="13"/>
        <v>0</v>
      </c>
      <c r="CC33" s="20"/>
      <c r="CH33" s="82">
        <v>0</v>
      </c>
      <c r="CI33" s="82">
        <v>0</v>
      </c>
      <c r="CJ33" s="82">
        <v>0</v>
      </c>
      <c r="CK33" s="82">
        <v>0</v>
      </c>
      <c r="CL33" s="82">
        <v>0</v>
      </c>
      <c r="CM33" s="82">
        <v>0</v>
      </c>
      <c r="CN33" s="83">
        <v>0</v>
      </c>
      <c r="CO33" s="83">
        <v>0</v>
      </c>
      <c r="CP33" s="83">
        <v>0</v>
      </c>
      <c r="CQ33" s="83">
        <v>0</v>
      </c>
      <c r="CR33" s="84">
        <f t="shared" ref="CR33" si="20">SUM(CH33:CQ33)</f>
        <v>0</v>
      </c>
    </row>
    <row r="34" spans="1:96" ht="22.5" customHeight="1" x14ac:dyDescent="0.25">
      <c r="A34" s="8">
        <v>26</v>
      </c>
      <c r="B34" s="9" t="s">
        <v>96</v>
      </c>
      <c r="C34" s="69" t="s">
        <v>99</v>
      </c>
      <c r="D34" s="104">
        <v>46028</v>
      </c>
      <c r="E34" s="103">
        <v>0.35347222222222219</v>
      </c>
      <c r="F34" s="103">
        <v>0.94444444444444453</v>
      </c>
      <c r="G34" s="103">
        <v>0.35347222222222219</v>
      </c>
      <c r="H34" s="103">
        <v>0.97083333333333333</v>
      </c>
      <c r="I34" s="103">
        <v>0.57638888888888895</v>
      </c>
      <c r="J34" s="108">
        <v>1</v>
      </c>
      <c r="K34" s="103">
        <v>0.35555555555555557</v>
      </c>
      <c r="L34" s="103">
        <v>0.95624999999999993</v>
      </c>
      <c r="M34" s="103">
        <v>0.35625000000000001</v>
      </c>
      <c r="N34" s="103">
        <v>0.94027777777777777</v>
      </c>
      <c r="O34" s="103">
        <v>0.35069444444444442</v>
      </c>
      <c r="P34" s="103">
        <v>0.94305555555555554</v>
      </c>
      <c r="Q34" s="103">
        <v>0.35347222222222219</v>
      </c>
      <c r="R34" s="103">
        <v>0.94374999999999998</v>
      </c>
      <c r="S34" s="103">
        <v>0.35416666666666669</v>
      </c>
      <c r="T34" s="103">
        <v>0.93888888888888899</v>
      </c>
      <c r="U34" s="103">
        <v>0.35416666666666669</v>
      </c>
      <c r="V34" s="103">
        <v>0.96736111111111101</v>
      </c>
      <c r="W34" s="108" t="s">
        <v>15</v>
      </c>
      <c r="X34" s="108" t="s">
        <v>15</v>
      </c>
      <c r="Y34" s="103">
        <v>0.3527777777777778</v>
      </c>
      <c r="Z34" s="103">
        <v>0.96458333333333324</v>
      </c>
      <c r="AA34" s="103">
        <v>0.35000000000000003</v>
      </c>
      <c r="AB34" s="103">
        <v>0.94374999999999998</v>
      </c>
      <c r="AC34" s="103">
        <v>0.35555555555555557</v>
      </c>
      <c r="AD34" s="103">
        <v>0.94166666666666676</v>
      </c>
      <c r="AE34" s="103">
        <v>0.3611111111111111</v>
      </c>
      <c r="AF34" s="103">
        <v>0.93819444444444444</v>
      </c>
      <c r="AG34" s="103">
        <v>0.35138888888888892</v>
      </c>
      <c r="AH34" s="103">
        <v>0.94305555555555554</v>
      </c>
      <c r="AI34" s="121"/>
      <c r="AJ34" s="120">
        <v>26</v>
      </c>
      <c r="AK34" s="103">
        <v>0.35694444444444445</v>
      </c>
      <c r="AL34" s="103">
        <v>0.96319444444444446</v>
      </c>
      <c r="AM34" s="103">
        <v>0.5805555555555556</v>
      </c>
      <c r="AN34" s="103">
        <v>0.94097222222222221</v>
      </c>
      <c r="AO34" s="103">
        <v>0.35069444444444442</v>
      </c>
      <c r="AP34" s="103">
        <v>0.96666666666666667</v>
      </c>
      <c r="AQ34" s="103">
        <v>0.35347222222222219</v>
      </c>
      <c r="AR34" s="103">
        <v>0.9472222222222223</v>
      </c>
      <c r="AS34" s="103">
        <v>0.35138888888888892</v>
      </c>
      <c r="AT34" s="103">
        <v>0.94097222222222221</v>
      </c>
      <c r="AU34" s="103">
        <v>0.35347222222222219</v>
      </c>
      <c r="AV34" s="103">
        <v>0.93888888888888899</v>
      </c>
      <c r="AW34" s="103">
        <v>0.35000000000000003</v>
      </c>
      <c r="AX34" s="103">
        <v>0.9458333333333333</v>
      </c>
      <c r="AY34" s="103">
        <v>0.35347222222222219</v>
      </c>
      <c r="AZ34" s="103">
        <v>0.96666666666666667</v>
      </c>
      <c r="BA34" s="108" t="s">
        <v>15</v>
      </c>
      <c r="BB34" s="108" t="s">
        <v>15</v>
      </c>
      <c r="BC34" s="103">
        <v>0.34861111111111115</v>
      </c>
      <c r="BD34" s="103">
        <v>0.96250000000000002</v>
      </c>
      <c r="BE34" s="103">
        <v>0.34930555555555554</v>
      </c>
      <c r="BF34" s="103">
        <v>0.95208333333333339</v>
      </c>
      <c r="BG34" s="103">
        <v>0.3527777777777778</v>
      </c>
      <c r="BH34" s="103">
        <v>0.93888888888888899</v>
      </c>
      <c r="BI34" s="103">
        <v>0.35000000000000003</v>
      </c>
      <c r="BJ34" s="103">
        <v>0.93888888888888899</v>
      </c>
      <c r="BK34" s="103">
        <v>0.3527777777777778</v>
      </c>
      <c r="BL34" s="108">
        <v>1</v>
      </c>
      <c r="BM34" s="103">
        <v>0.35138888888888892</v>
      </c>
      <c r="BN34" s="103">
        <v>0.96944444444444444</v>
      </c>
      <c r="BO34" s="73">
        <f>BQ34+BR34+BS34+BT34+BY34+BW34+BX34+CB34</f>
        <v>30</v>
      </c>
      <c r="BP34" s="74">
        <v>2</v>
      </c>
      <c r="BQ34" s="18">
        <f t="shared" si="16"/>
        <v>28</v>
      </c>
      <c r="BR34" s="19">
        <f t="shared" si="3"/>
        <v>2</v>
      </c>
      <c r="BS34" s="19">
        <f t="shared" si="4"/>
        <v>0</v>
      </c>
      <c r="BT34" s="19">
        <f t="shared" si="5"/>
        <v>0</v>
      </c>
      <c r="BU34" s="19">
        <f t="shared" si="6"/>
        <v>0</v>
      </c>
      <c r="BV34" s="19">
        <f t="shared" si="7"/>
        <v>0</v>
      </c>
      <c r="BW34" s="19">
        <f t="shared" si="8"/>
        <v>0</v>
      </c>
      <c r="BX34" s="19">
        <f t="shared" si="9"/>
        <v>0</v>
      </c>
      <c r="BY34" s="19">
        <f t="shared" si="10"/>
        <v>0</v>
      </c>
      <c r="BZ34" s="19">
        <f t="shared" si="11"/>
        <v>0</v>
      </c>
      <c r="CA34" s="19">
        <f t="shared" si="12"/>
        <v>0</v>
      </c>
      <c r="CB34" s="19">
        <f t="shared" si="13"/>
        <v>0</v>
      </c>
      <c r="CC34" s="20"/>
      <c r="CH34" s="81">
        <v>0</v>
      </c>
      <c r="CI34" s="81">
        <v>0</v>
      </c>
      <c r="CJ34" s="81">
        <v>0</v>
      </c>
      <c r="CK34" s="81">
        <v>0</v>
      </c>
      <c r="CL34" s="81">
        <v>0</v>
      </c>
      <c r="CM34" s="81">
        <v>0</v>
      </c>
      <c r="CN34" s="81">
        <v>0</v>
      </c>
      <c r="CO34" s="81">
        <v>0</v>
      </c>
      <c r="CP34" s="81">
        <v>0</v>
      </c>
      <c r="CQ34" s="81">
        <v>0</v>
      </c>
      <c r="CR34" s="85">
        <f>SUM(CH34:CQ34)</f>
        <v>0</v>
      </c>
    </row>
    <row r="35" spans="1:96" ht="22.5" customHeight="1" x14ac:dyDescent="0.25">
      <c r="A35" s="8">
        <v>27</v>
      </c>
      <c r="B35" s="9" t="s">
        <v>100</v>
      </c>
      <c r="C35" s="69" t="s">
        <v>101</v>
      </c>
      <c r="D35" s="104">
        <v>46075</v>
      </c>
      <c r="E35" s="103">
        <v>0.35625000000000001</v>
      </c>
      <c r="F35" s="103">
        <v>0.9506944444444444</v>
      </c>
      <c r="G35" s="103">
        <v>0.35416666666666669</v>
      </c>
      <c r="H35" s="103">
        <v>0.97222222222222221</v>
      </c>
      <c r="I35" s="108" t="s">
        <v>15</v>
      </c>
      <c r="J35" s="108" t="s">
        <v>15</v>
      </c>
      <c r="K35" s="103">
        <v>0.35625000000000001</v>
      </c>
      <c r="L35" s="103">
        <v>0.96736111111111101</v>
      </c>
      <c r="M35" s="103">
        <v>0.3576388888888889</v>
      </c>
      <c r="N35" s="103">
        <v>0.95208333333333339</v>
      </c>
      <c r="O35" s="103">
        <v>0.35347222222222219</v>
      </c>
      <c r="P35" s="103">
        <v>0.95138888888888884</v>
      </c>
      <c r="Q35" s="103">
        <v>0.3576388888888889</v>
      </c>
      <c r="R35" s="103">
        <v>0.94861111111111107</v>
      </c>
      <c r="S35" s="103">
        <v>0.3576388888888889</v>
      </c>
      <c r="T35" s="103">
        <v>0.9472222222222223</v>
      </c>
      <c r="U35" s="103">
        <v>0.35416666666666669</v>
      </c>
      <c r="V35" s="103">
        <v>0.96666666666666667</v>
      </c>
      <c r="W35" s="103">
        <v>0.94791666666666663</v>
      </c>
      <c r="X35" s="103">
        <v>0.94861111111111107</v>
      </c>
      <c r="Y35" s="103">
        <v>0.35555555555555557</v>
      </c>
      <c r="Z35" s="103">
        <v>0.96736111111111101</v>
      </c>
      <c r="AA35" s="103">
        <v>0.3527777777777778</v>
      </c>
      <c r="AB35" s="103">
        <v>0.94930555555555562</v>
      </c>
      <c r="AC35" s="103">
        <v>0.35555555555555557</v>
      </c>
      <c r="AD35" s="103">
        <v>0.9472222222222223</v>
      </c>
      <c r="AE35" s="103">
        <v>0.3576388888888889</v>
      </c>
      <c r="AF35" s="103">
        <v>0.95208333333333339</v>
      </c>
      <c r="AG35" s="103">
        <v>0.35347222222222219</v>
      </c>
      <c r="AH35" s="103">
        <v>0.95000000000000007</v>
      </c>
      <c r="AI35" s="121"/>
      <c r="AJ35" s="120">
        <v>27</v>
      </c>
      <c r="AK35" s="103">
        <v>0.35902777777777778</v>
      </c>
      <c r="AL35" s="103">
        <v>0.97430555555555554</v>
      </c>
      <c r="AM35" s="108" t="s">
        <v>15</v>
      </c>
      <c r="AN35" s="108" t="s">
        <v>15</v>
      </c>
      <c r="AO35" s="103">
        <v>0.3527777777777778</v>
      </c>
      <c r="AP35" s="103">
        <v>0.97152777777777777</v>
      </c>
      <c r="AQ35" s="103">
        <v>0.35486111111111113</v>
      </c>
      <c r="AR35" s="103">
        <v>0.94791666666666663</v>
      </c>
      <c r="AS35" s="103">
        <v>0.35416666666666669</v>
      </c>
      <c r="AT35" s="103">
        <v>0.95000000000000007</v>
      </c>
      <c r="AU35" s="103">
        <v>0.38680555555555557</v>
      </c>
      <c r="AV35" s="103">
        <v>0.94652777777777775</v>
      </c>
      <c r="AW35" s="103">
        <v>0.35347222222222219</v>
      </c>
      <c r="AX35" s="103">
        <v>0.94791666666666663</v>
      </c>
      <c r="AY35" s="103">
        <v>0.35416666666666669</v>
      </c>
      <c r="AZ35" s="103">
        <v>0.97083333333333333</v>
      </c>
      <c r="BA35" s="103">
        <v>0.58263888888888882</v>
      </c>
      <c r="BB35" s="103">
        <v>0.9472222222222223</v>
      </c>
      <c r="BC35" s="103">
        <v>0.35347222222222219</v>
      </c>
      <c r="BD35" s="103">
        <v>0.97152777777777777</v>
      </c>
      <c r="BE35" s="103">
        <v>0.3527777777777778</v>
      </c>
      <c r="BF35" s="103">
        <v>0.94930555555555562</v>
      </c>
      <c r="BG35" s="103">
        <v>0.35625000000000001</v>
      </c>
      <c r="BH35" s="103">
        <v>0.95347222222222217</v>
      </c>
      <c r="BI35" s="103">
        <v>0.35416666666666669</v>
      </c>
      <c r="BJ35" s="103">
        <v>0.9506944444444444</v>
      </c>
      <c r="BK35" s="103">
        <v>0.35486111111111113</v>
      </c>
      <c r="BL35" s="103">
        <v>0.94861111111111107</v>
      </c>
      <c r="BM35" s="103">
        <v>0.35555555555555557</v>
      </c>
      <c r="BN35" s="103">
        <v>0.95763888888888893</v>
      </c>
      <c r="BO35" s="73">
        <f t="shared" ref="BO35:BO36" si="21">BQ35+BR35+BS35+BT35+BY35+BW35+BX35+CB35</f>
        <v>30</v>
      </c>
      <c r="BP35" s="74">
        <v>2</v>
      </c>
      <c r="BQ35" s="18">
        <f t="shared" si="16"/>
        <v>28</v>
      </c>
      <c r="BR35" s="19">
        <f t="shared" si="3"/>
        <v>2</v>
      </c>
      <c r="BS35" s="19">
        <f t="shared" si="4"/>
        <v>0</v>
      </c>
      <c r="BT35" s="19">
        <f t="shared" si="5"/>
        <v>0</v>
      </c>
      <c r="BU35" s="19">
        <f t="shared" si="6"/>
        <v>0</v>
      </c>
      <c r="BV35" s="19">
        <f t="shared" si="7"/>
        <v>0</v>
      </c>
      <c r="BW35" s="19">
        <f t="shared" si="8"/>
        <v>0</v>
      </c>
      <c r="BX35" s="19">
        <f t="shared" si="9"/>
        <v>0</v>
      </c>
      <c r="BY35" s="19">
        <f t="shared" si="10"/>
        <v>0</v>
      </c>
      <c r="BZ35" s="19">
        <f t="shared" si="11"/>
        <v>0</v>
      </c>
      <c r="CA35" s="19">
        <f t="shared" si="12"/>
        <v>0</v>
      </c>
      <c r="CB35" s="19">
        <f t="shared" si="13"/>
        <v>0</v>
      </c>
      <c r="CC35" s="20"/>
      <c r="CH35" s="82">
        <v>0</v>
      </c>
      <c r="CI35" s="82">
        <v>0</v>
      </c>
      <c r="CJ35" s="82">
        <v>0</v>
      </c>
      <c r="CK35" s="82">
        <v>0</v>
      </c>
      <c r="CL35" s="82">
        <v>0</v>
      </c>
      <c r="CM35" s="82">
        <v>0</v>
      </c>
      <c r="CN35" s="83">
        <v>0</v>
      </c>
      <c r="CO35" s="83">
        <v>0</v>
      </c>
      <c r="CP35" s="83">
        <v>0</v>
      </c>
      <c r="CQ35" s="83">
        <v>0</v>
      </c>
      <c r="CR35" s="84">
        <f t="shared" ref="CR35:CR36" si="22">SUM(CH35:CQ35)</f>
        <v>0</v>
      </c>
    </row>
    <row r="36" spans="1:96" ht="22.5" customHeight="1" x14ac:dyDescent="0.25">
      <c r="A36" s="8">
        <v>28</v>
      </c>
      <c r="B36" s="9" t="s">
        <v>102</v>
      </c>
      <c r="C36" s="69" t="s">
        <v>103</v>
      </c>
      <c r="D36" s="104">
        <v>46078</v>
      </c>
      <c r="E36" s="103">
        <v>0.34652777777777777</v>
      </c>
      <c r="F36" s="103">
        <v>0.82916666666666661</v>
      </c>
      <c r="G36" s="103">
        <v>0.3444444444444445</v>
      </c>
      <c r="H36" s="103">
        <v>0.82638888888888884</v>
      </c>
      <c r="I36" s="103">
        <v>0.5805555555555556</v>
      </c>
      <c r="J36" s="108">
        <v>1</v>
      </c>
      <c r="K36" s="103">
        <v>0.34166666666666662</v>
      </c>
      <c r="L36" s="103">
        <v>0.83333333333333337</v>
      </c>
      <c r="M36" s="103">
        <v>0.35000000000000003</v>
      </c>
      <c r="N36" s="108">
        <v>1</v>
      </c>
      <c r="O36" s="103">
        <v>0.34583333333333338</v>
      </c>
      <c r="P36" s="103">
        <v>0.9555555555555556</v>
      </c>
      <c r="Q36" s="103">
        <v>0.3444444444444445</v>
      </c>
      <c r="R36" s="103">
        <v>0.8305555555555556</v>
      </c>
      <c r="S36" s="103">
        <v>0.3444444444444445</v>
      </c>
      <c r="T36" s="103">
        <v>0.83194444444444438</v>
      </c>
      <c r="U36" s="103">
        <v>0.3444444444444445</v>
      </c>
      <c r="V36" s="103">
        <v>0.9291666666666667</v>
      </c>
      <c r="W36" s="108" t="s">
        <v>15</v>
      </c>
      <c r="X36" s="108" t="s">
        <v>15</v>
      </c>
      <c r="Y36" s="103">
        <v>0.34583333333333338</v>
      </c>
      <c r="Z36" s="103">
        <v>0.87638888888888899</v>
      </c>
      <c r="AA36" s="103">
        <v>0.34930555555555554</v>
      </c>
      <c r="AB36" s="103">
        <v>0.85902777777777783</v>
      </c>
      <c r="AC36" s="103">
        <v>0.34583333333333338</v>
      </c>
      <c r="AD36" s="103">
        <v>0.85069444444444453</v>
      </c>
      <c r="AE36" s="103">
        <v>0.34097222222222223</v>
      </c>
      <c r="AF36" s="103">
        <v>0.84791666666666676</v>
      </c>
      <c r="AG36" s="103">
        <v>0.33819444444444446</v>
      </c>
      <c r="AH36" s="103">
        <v>0.82638888888888884</v>
      </c>
      <c r="AI36" s="121"/>
      <c r="AJ36" s="120">
        <v>28</v>
      </c>
      <c r="AK36" s="103">
        <v>0.34583333333333338</v>
      </c>
      <c r="AL36" s="103">
        <v>0.8305555555555556</v>
      </c>
      <c r="AM36" s="103">
        <v>0.58263888888888882</v>
      </c>
      <c r="AN36" s="108">
        <v>1</v>
      </c>
      <c r="AO36" s="103">
        <v>0.34375</v>
      </c>
      <c r="AP36" s="103">
        <v>0.85902777777777783</v>
      </c>
      <c r="AQ36" s="103">
        <v>0.34166666666666662</v>
      </c>
      <c r="AR36" s="103">
        <v>0.85</v>
      </c>
      <c r="AS36" s="103">
        <v>0.33680555555555558</v>
      </c>
      <c r="AT36" s="103">
        <v>0.85486111111111107</v>
      </c>
      <c r="AU36" s="103">
        <v>0.35000000000000003</v>
      </c>
      <c r="AV36" s="108">
        <v>1</v>
      </c>
      <c r="AW36" s="103">
        <v>0.33958333333333335</v>
      </c>
      <c r="AX36" s="103">
        <v>0.86805555555555547</v>
      </c>
      <c r="AY36" s="103">
        <v>0.3430555555555555</v>
      </c>
      <c r="AZ36" s="103">
        <v>0.82500000000000007</v>
      </c>
      <c r="BA36" s="108" t="s">
        <v>15</v>
      </c>
      <c r="BB36" s="108" t="s">
        <v>15</v>
      </c>
      <c r="BC36" s="103">
        <v>0.34722222222222227</v>
      </c>
      <c r="BD36" s="103">
        <v>0.83750000000000002</v>
      </c>
      <c r="BE36" s="103">
        <v>0.33888888888888885</v>
      </c>
      <c r="BF36" s="103">
        <v>0.81111111111111101</v>
      </c>
      <c r="BG36" s="103">
        <v>0.3354166666666667</v>
      </c>
      <c r="BH36" s="103">
        <v>0.87986111111111109</v>
      </c>
      <c r="BI36" s="103">
        <v>0.3444444444444445</v>
      </c>
      <c r="BJ36" s="103">
        <v>0.82847222222222217</v>
      </c>
      <c r="BK36" s="103">
        <v>0.34513888888888888</v>
      </c>
      <c r="BL36" s="103">
        <v>0.87916666666666676</v>
      </c>
      <c r="BM36" s="103">
        <v>0.34097222222222223</v>
      </c>
      <c r="BN36" s="103">
        <v>0.89097222222222217</v>
      </c>
      <c r="BO36" s="73">
        <f t="shared" si="21"/>
        <v>30</v>
      </c>
      <c r="BP36" s="74">
        <v>2</v>
      </c>
      <c r="BQ36" s="18">
        <f t="shared" si="16"/>
        <v>28</v>
      </c>
      <c r="BR36" s="19">
        <f t="shared" si="3"/>
        <v>2</v>
      </c>
      <c r="BS36" s="19">
        <f t="shared" si="4"/>
        <v>0</v>
      </c>
      <c r="BT36" s="19">
        <f t="shared" si="5"/>
        <v>0</v>
      </c>
      <c r="BU36" s="19">
        <f t="shared" si="6"/>
        <v>0</v>
      </c>
      <c r="BV36" s="19">
        <f t="shared" si="7"/>
        <v>0</v>
      </c>
      <c r="BW36" s="19">
        <f t="shared" si="8"/>
        <v>0</v>
      </c>
      <c r="BX36" s="19">
        <f t="shared" si="9"/>
        <v>0</v>
      </c>
      <c r="BY36" s="19">
        <f t="shared" si="10"/>
        <v>0</v>
      </c>
      <c r="BZ36" s="19">
        <f t="shared" si="11"/>
        <v>0</v>
      </c>
      <c r="CA36" s="19">
        <f t="shared" si="12"/>
        <v>0</v>
      </c>
      <c r="CB36" s="19">
        <f t="shared" si="13"/>
        <v>0</v>
      </c>
      <c r="CC36" s="20"/>
      <c r="CH36" s="81">
        <v>0</v>
      </c>
      <c r="CI36" s="81">
        <v>0</v>
      </c>
      <c r="CJ36" s="81">
        <v>0</v>
      </c>
      <c r="CK36" s="81">
        <v>0</v>
      </c>
      <c r="CL36" s="81">
        <v>0</v>
      </c>
      <c r="CM36" s="81">
        <v>0</v>
      </c>
      <c r="CN36" s="81">
        <v>0</v>
      </c>
      <c r="CO36" s="81">
        <v>0</v>
      </c>
      <c r="CP36" s="81">
        <v>0</v>
      </c>
      <c r="CQ36" s="81">
        <v>0</v>
      </c>
      <c r="CR36" s="85">
        <f t="shared" si="22"/>
        <v>0</v>
      </c>
    </row>
    <row r="38" spans="1:96" ht="15.75" thickBot="1" x14ac:dyDescent="0.3">
      <c r="AK38" s="90"/>
      <c r="BP38" s="49" t="s">
        <v>80</v>
      </c>
      <c r="BQ38" s="50"/>
      <c r="BR38" s="50"/>
      <c r="BS38" s="51" t="s">
        <v>15</v>
      </c>
      <c r="BT38" s="52"/>
      <c r="BU38" s="53" t="s">
        <v>81</v>
      </c>
      <c r="BV38" s="54"/>
      <c r="BW38" s="54"/>
      <c r="BX38" s="55"/>
      <c r="BY38" s="56" t="s">
        <v>21</v>
      </c>
    </row>
    <row r="39" spans="1:96" ht="16.5" thickBot="1" x14ac:dyDescent="0.3">
      <c r="F39" s="35"/>
      <c r="G39" s="36" t="s">
        <v>71</v>
      </c>
      <c r="H39" s="30"/>
      <c r="I39" s="36"/>
      <c r="J39" s="32"/>
      <c r="K39" s="32"/>
      <c r="L39" s="33"/>
      <c r="M39" s="34"/>
      <c r="N39" s="34"/>
      <c r="O39" s="37" t="s">
        <v>72</v>
      </c>
      <c r="P39" s="37"/>
      <c r="Q39" s="33"/>
      <c r="R39" s="33"/>
      <c r="S39" s="33"/>
      <c r="T39" s="33"/>
      <c r="U39" s="33" t="s">
        <v>91</v>
      </c>
      <c r="V39" s="33"/>
      <c r="W39" s="33"/>
      <c r="X39" s="33"/>
      <c r="Y39" s="37" t="s">
        <v>73</v>
      </c>
      <c r="Z39" s="33"/>
      <c r="AK39" s="89"/>
      <c r="BP39" s="49" t="s">
        <v>82</v>
      </c>
      <c r="BQ39" s="50"/>
      <c r="BR39" s="50"/>
      <c r="BS39" s="51" t="s">
        <v>16</v>
      </c>
      <c r="BT39" s="52"/>
      <c r="BU39" s="57" t="s">
        <v>83</v>
      </c>
      <c r="BV39" s="58"/>
      <c r="BW39" s="58"/>
      <c r="BX39" s="55"/>
      <c r="BY39" s="56" t="s">
        <v>22</v>
      </c>
    </row>
    <row r="40" spans="1:96" ht="17.25" x14ac:dyDescent="0.25">
      <c r="F40" s="38"/>
      <c r="G40" s="32"/>
      <c r="H40" s="32"/>
      <c r="I40" s="32"/>
      <c r="J40" s="32"/>
      <c r="K40" s="32"/>
      <c r="L40" s="32"/>
      <c r="M40" s="39"/>
      <c r="N40" s="39"/>
      <c r="O40" s="39"/>
      <c r="P40" s="32"/>
      <c r="Q40" s="32"/>
      <c r="R40" s="32"/>
      <c r="S40" s="40"/>
      <c r="T40" s="40"/>
      <c r="U40" s="40"/>
      <c r="V40" s="40"/>
      <c r="W40" s="40"/>
      <c r="X40" s="40"/>
      <c r="Y40" s="41"/>
      <c r="Z40" s="41"/>
      <c r="BP40" s="49" t="s">
        <v>84</v>
      </c>
      <c r="BQ40" s="50"/>
      <c r="BR40" s="50"/>
      <c r="BS40" s="51" t="s">
        <v>17</v>
      </c>
      <c r="BT40" s="52"/>
      <c r="BU40" s="57" t="s">
        <v>85</v>
      </c>
      <c r="BV40" s="58"/>
      <c r="BW40" s="58"/>
      <c r="BX40" s="55"/>
      <c r="BY40" s="56" t="s">
        <v>23</v>
      </c>
    </row>
    <row r="41" spans="1:96" ht="17.25" x14ac:dyDescent="0.25">
      <c r="F41" s="38"/>
      <c r="G41" s="42"/>
      <c r="H41" s="32"/>
      <c r="I41" s="42"/>
      <c r="J41" s="32"/>
      <c r="K41" s="32"/>
      <c r="L41" s="42" t="s">
        <v>91</v>
      </c>
      <c r="M41" s="43"/>
      <c r="N41" s="43"/>
      <c r="O41" s="39"/>
      <c r="P41" s="32"/>
      <c r="Q41" s="42"/>
      <c r="R41" s="42"/>
      <c r="S41" s="33"/>
      <c r="T41" s="32"/>
      <c r="U41" s="32"/>
      <c r="V41" s="32"/>
      <c r="W41" s="32"/>
      <c r="X41" s="32"/>
      <c r="Y41" s="44"/>
      <c r="Z41" s="44"/>
      <c r="BP41" s="49" t="s">
        <v>86</v>
      </c>
      <c r="BQ41" s="50"/>
      <c r="BR41" s="50"/>
      <c r="BS41" s="51" t="s">
        <v>18</v>
      </c>
      <c r="BT41" s="52"/>
      <c r="BU41" s="53" t="s">
        <v>87</v>
      </c>
      <c r="BV41" s="54"/>
      <c r="BW41" s="54"/>
      <c r="BX41" s="55"/>
      <c r="BY41" s="56" t="s">
        <v>24</v>
      </c>
    </row>
    <row r="42" spans="1:96" ht="17.25" x14ac:dyDescent="0.25">
      <c r="F42" s="45"/>
      <c r="G42" s="42"/>
      <c r="H42" s="32"/>
      <c r="I42" s="42"/>
      <c r="J42" s="32"/>
      <c r="K42" s="32"/>
      <c r="L42" s="42"/>
      <c r="M42" s="43"/>
      <c r="N42" s="43"/>
      <c r="O42" s="39"/>
      <c r="P42" s="33"/>
      <c r="Q42" s="42"/>
      <c r="R42" s="42"/>
      <c r="S42" s="33"/>
      <c r="T42" s="32"/>
      <c r="U42" s="32"/>
      <c r="V42" s="32"/>
      <c r="W42" s="32"/>
      <c r="X42" s="32"/>
      <c r="Y42" s="44"/>
      <c r="Z42" s="44"/>
      <c r="BP42" s="49" t="s">
        <v>88</v>
      </c>
      <c r="BQ42" s="50"/>
      <c r="BR42" s="50"/>
      <c r="BS42" s="51" t="s">
        <v>19</v>
      </c>
      <c r="BT42" s="52"/>
      <c r="BU42" s="53" t="s">
        <v>89</v>
      </c>
      <c r="BV42" s="54"/>
      <c r="BW42" s="54"/>
      <c r="BX42" s="55"/>
      <c r="BY42" s="56" t="s">
        <v>25</v>
      </c>
    </row>
    <row r="43" spans="1:96" ht="17.25" x14ac:dyDescent="0.25">
      <c r="F43" s="46" t="s">
        <v>74</v>
      </c>
      <c r="G43" s="47"/>
      <c r="H43" s="35"/>
      <c r="I43" s="46"/>
      <c r="J43" s="32"/>
      <c r="K43" s="32"/>
      <c r="L43" s="42"/>
      <c r="M43" s="39"/>
      <c r="N43" s="43"/>
      <c r="O43" s="30" t="s">
        <v>75</v>
      </c>
      <c r="P43" s="32"/>
      <c r="Q43" s="42"/>
      <c r="R43" s="33"/>
      <c r="S43" s="32"/>
      <c r="T43" s="32"/>
      <c r="U43" s="32"/>
      <c r="V43" s="32"/>
      <c r="W43" s="32"/>
      <c r="X43" s="32"/>
      <c r="Y43" s="30" t="s">
        <v>76</v>
      </c>
      <c r="Z43" s="44"/>
      <c r="AI43" t="s">
        <v>91</v>
      </c>
      <c r="BP43" s="49" t="s">
        <v>90</v>
      </c>
      <c r="BQ43" s="50"/>
      <c r="BR43" s="50"/>
      <c r="BS43" s="51" t="s">
        <v>20</v>
      </c>
      <c r="BT43" s="52"/>
      <c r="BU43" s="52"/>
      <c r="BV43" s="52"/>
      <c r="BW43" s="52"/>
      <c r="BX43" s="52"/>
      <c r="BY43" s="52"/>
    </row>
    <row r="44" spans="1:96" ht="17.25" x14ac:dyDescent="0.25">
      <c r="F44" s="46"/>
      <c r="G44" s="46" t="s">
        <v>77</v>
      </c>
      <c r="H44" s="45"/>
      <c r="I44" s="45"/>
      <c r="J44" s="32"/>
      <c r="K44" s="32"/>
      <c r="L44" s="30"/>
      <c r="M44" s="48"/>
      <c r="N44" s="48"/>
      <c r="O44" s="30" t="s">
        <v>78</v>
      </c>
      <c r="P44" s="30"/>
      <c r="Q44" s="30"/>
      <c r="R44" s="33"/>
      <c r="S44" s="30"/>
      <c r="T44" s="32"/>
      <c r="U44" s="32"/>
      <c r="V44" s="32"/>
      <c r="W44" s="32"/>
      <c r="X44" s="32"/>
      <c r="Y44" s="30" t="s">
        <v>79</v>
      </c>
      <c r="Z44" s="44"/>
    </row>
    <row r="45" spans="1:96" x14ac:dyDescent="0.25">
      <c r="AW45" t="s">
        <v>91</v>
      </c>
    </row>
    <row r="49" spans="1:96" ht="15.75" x14ac:dyDescent="0.25">
      <c r="K49" s="31"/>
      <c r="N49" s="32"/>
    </row>
    <row r="54" spans="1:96" x14ac:dyDescent="0.25">
      <c r="J54" t="s">
        <v>91</v>
      </c>
    </row>
    <row r="57" spans="1:96" ht="15.75" thickBot="1" x14ac:dyDescent="0.3"/>
    <row r="58" spans="1:96" ht="22.5" customHeight="1" thickBot="1" x14ac:dyDescent="0.3">
      <c r="A58" s="8">
        <v>15</v>
      </c>
      <c r="B58" s="9" t="s">
        <v>54</v>
      </c>
      <c r="C58" s="69" t="s">
        <v>94</v>
      </c>
      <c r="D58" s="104">
        <v>45593</v>
      </c>
      <c r="E58" s="103">
        <v>0.37777777777777777</v>
      </c>
      <c r="F58" s="103">
        <v>0.84722222222222221</v>
      </c>
      <c r="G58" s="103">
        <v>0.37847222222222227</v>
      </c>
      <c r="H58" s="103">
        <v>0.9243055555555556</v>
      </c>
      <c r="I58" s="110">
        <v>0.33402777777777781</v>
      </c>
      <c r="J58" s="110">
        <v>0.86111111111111116</v>
      </c>
      <c r="K58" s="103">
        <v>0.39861111111111108</v>
      </c>
      <c r="L58" s="103">
        <v>0.86875000000000002</v>
      </c>
      <c r="M58" s="103">
        <v>0.41180555555555554</v>
      </c>
      <c r="N58" s="103">
        <v>0.86805555555555547</v>
      </c>
      <c r="O58" s="103">
        <v>0.375</v>
      </c>
      <c r="P58" s="103">
        <v>0.86597222222222225</v>
      </c>
      <c r="Q58" s="103">
        <v>0.37916666666666665</v>
      </c>
      <c r="R58" s="103">
        <v>0.85902777777777783</v>
      </c>
      <c r="S58" s="103">
        <v>0.37708333333333338</v>
      </c>
      <c r="T58" s="103">
        <v>0.87152777777777779</v>
      </c>
      <c r="U58" s="103">
        <v>0.37777777777777777</v>
      </c>
      <c r="V58" s="103">
        <v>0.91180555555555554</v>
      </c>
      <c r="W58" s="110">
        <v>0.33263888888888887</v>
      </c>
      <c r="X58" s="110">
        <v>0.87430555555555556</v>
      </c>
      <c r="Y58" s="103">
        <v>0.3756944444444445</v>
      </c>
      <c r="Z58" s="103">
        <v>0.86944444444444446</v>
      </c>
      <c r="AA58" s="103">
        <v>0.3756944444444445</v>
      </c>
      <c r="AB58" s="103">
        <v>0.87222222222222223</v>
      </c>
      <c r="AC58" s="103">
        <v>0.375</v>
      </c>
      <c r="AD58" s="103">
        <v>0.87152777777777779</v>
      </c>
      <c r="AE58" s="103">
        <v>0.3743055555555555</v>
      </c>
      <c r="AF58" s="103">
        <v>0.8666666666666667</v>
      </c>
      <c r="AG58" s="103">
        <v>0.37152777777777773</v>
      </c>
      <c r="AH58" s="103">
        <v>0.87222222222222223</v>
      </c>
      <c r="AI58" s="115"/>
      <c r="AJ58" s="117"/>
      <c r="AM58" s="87"/>
      <c r="AN58" s="87"/>
      <c r="AO58" s="87"/>
      <c r="AP58" s="87"/>
      <c r="AQ58" s="87"/>
      <c r="AR58" s="87"/>
      <c r="AS58" s="88"/>
      <c r="AT58" s="96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8"/>
      <c r="BH58" s="88"/>
      <c r="BI58" s="87"/>
      <c r="BJ58" s="87"/>
      <c r="BK58" s="87"/>
      <c r="BL58" s="87"/>
      <c r="BM58" s="87"/>
      <c r="BN58" s="87"/>
      <c r="BO58" s="73">
        <f>BQ58+BR58+BS58+BT58+BY58+BW58+BX58+CB58</f>
        <v>14</v>
      </c>
      <c r="BP58" s="74"/>
      <c r="BQ58" s="18">
        <f>COUNT(E58:AD58)/2+COUNT(AG58:BN58)/2</f>
        <v>14</v>
      </c>
      <c r="BR58" s="19">
        <f>COUNTIF(B58:BN58,"OFF")/2</f>
        <v>0</v>
      </c>
      <c r="BS58" s="19">
        <f>COUNTIF(B58:BN58,"MC")/2</f>
        <v>0</v>
      </c>
      <c r="BT58" s="19">
        <f>COUNTIF(B58:BN58,"EL")/2</f>
        <v>0</v>
      </c>
      <c r="BU58" s="19">
        <f>COUNTIF(B58:BN58,"AL")/2</f>
        <v>0</v>
      </c>
      <c r="BV58" s="19">
        <f>COUNTIF(B58:BN58,"SUS")/2</f>
        <v>0</v>
      </c>
      <c r="BW58" s="19">
        <f>COUNTIF(B58:BN58,"FL")/2</f>
        <v>0</v>
      </c>
      <c r="BX58" s="19">
        <f>COUNTIF(B58:BN58,"SICK")/2</f>
        <v>0</v>
      </c>
      <c r="BY58" s="19">
        <f>COUNTIF(B58:BN58,"HD")/2</f>
        <v>0</v>
      </c>
      <c r="BZ58" s="19">
        <f>COUNTIF(B58:BN58,"AB")/2</f>
        <v>0</v>
      </c>
      <c r="CA58" s="19">
        <f>COUNTIF(B58:BN58,"NL")/2</f>
        <v>0</v>
      </c>
      <c r="CB58" s="19">
        <f>COUNTIF(B58:BN58,"SP")/2</f>
        <v>0</v>
      </c>
      <c r="CC58" s="101"/>
      <c r="CH58" s="82">
        <v>0</v>
      </c>
      <c r="CI58" s="82">
        <v>0</v>
      </c>
      <c r="CJ58" s="82">
        <v>0</v>
      </c>
      <c r="CK58" s="82">
        <v>0</v>
      </c>
      <c r="CL58" s="82">
        <v>0</v>
      </c>
      <c r="CM58" s="82">
        <v>1</v>
      </c>
      <c r="CN58" s="82">
        <v>0</v>
      </c>
      <c r="CO58" s="83">
        <v>1</v>
      </c>
      <c r="CP58" s="83">
        <v>0</v>
      </c>
      <c r="CQ58" s="83">
        <v>0</v>
      </c>
      <c r="CR58" s="85">
        <f>SUM(CH58:CQ58)</f>
        <v>2</v>
      </c>
    </row>
    <row r="59" spans="1:96" ht="22.5" customHeight="1" x14ac:dyDescent="0.25">
      <c r="A59" s="8">
        <v>20</v>
      </c>
      <c r="B59" s="9" t="s">
        <v>61</v>
      </c>
      <c r="C59" s="69" t="s">
        <v>62</v>
      </c>
      <c r="D59" s="104">
        <v>45764</v>
      </c>
      <c r="E59" s="103">
        <v>0.34513888888888888</v>
      </c>
      <c r="F59" s="103">
        <v>0.82986111111111116</v>
      </c>
      <c r="G59" s="103">
        <v>0.33888888888888885</v>
      </c>
      <c r="H59" s="103">
        <v>0.82847222222222217</v>
      </c>
      <c r="I59" s="110">
        <v>0.56944444444444442</v>
      </c>
      <c r="J59" s="110">
        <v>0.82291666666666663</v>
      </c>
      <c r="K59" s="103">
        <v>0.34513888888888888</v>
      </c>
      <c r="L59" s="103">
        <v>0.83263888888888893</v>
      </c>
      <c r="M59" s="103">
        <v>0.34375</v>
      </c>
      <c r="N59" s="103">
        <v>0.91041666666666676</v>
      </c>
      <c r="O59" s="103">
        <v>0.3430555555555555</v>
      </c>
      <c r="P59" s="103">
        <v>0.9555555555555556</v>
      </c>
      <c r="Q59" s="103">
        <v>0.34652777777777777</v>
      </c>
      <c r="R59" s="103">
        <v>0.83124999999999993</v>
      </c>
      <c r="S59" s="103">
        <v>0.3430555555555555</v>
      </c>
      <c r="T59" s="103">
        <v>0.74930555555555556</v>
      </c>
      <c r="U59" s="103">
        <v>0.34097222222222223</v>
      </c>
      <c r="V59" s="103">
        <v>0.92986111111111114</v>
      </c>
      <c r="W59" s="109" t="s">
        <v>15</v>
      </c>
      <c r="X59" s="109" t="s">
        <v>15</v>
      </c>
      <c r="Y59" s="103">
        <v>0.34513888888888888</v>
      </c>
      <c r="Z59" s="103">
        <v>0.87847222222222221</v>
      </c>
      <c r="AA59" s="103">
        <v>0.3444444444444445</v>
      </c>
      <c r="AB59" s="103">
        <v>0.85902777777777783</v>
      </c>
      <c r="AC59" s="103">
        <v>0.3444444444444445</v>
      </c>
      <c r="AD59" s="103">
        <v>0.85</v>
      </c>
      <c r="AE59" s="103">
        <v>0.33680555555555558</v>
      </c>
      <c r="AF59" s="103">
        <v>0.84791666666666676</v>
      </c>
      <c r="AG59" s="103">
        <v>0.3354166666666667</v>
      </c>
      <c r="AH59" s="103">
        <v>0.82638888888888884</v>
      </c>
      <c r="AI59" s="116"/>
      <c r="AJ59" s="8">
        <v>20</v>
      </c>
      <c r="AK59" s="103">
        <v>0.34652777777777777</v>
      </c>
      <c r="AL59" s="103">
        <v>0.8354166666666667</v>
      </c>
      <c r="AM59" s="110">
        <v>0.57777777777777783</v>
      </c>
      <c r="AN59" s="110">
        <v>0.87777777777777777</v>
      </c>
      <c r="AO59" s="103">
        <v>0.33888888888888885</v>
      </c>
      <c r="AP59" s="103">
        <v>0.33958333333333335</v>
      </c>
      <c r="AQ59" s="103">
        <v>0.35138888888888892</v>
      </c>
      <c r="AR59" s="103">
        <v>0.85</v>
      </c>
      <c r="AS59" s="103">
        <v>0.3430555555555555</v>
      </c>
      <c r="AT59" s="103">
        <v>0.85486111111111107</v>
      </c>
      <c r="AU59" s="103">
        <v>0.34027777777777773</v>
      </c>
      <c r="AV59" s="103">
        <v>0.85138888888888886</v>
      </c>
      <c r="AW59" s="103">
        <v>0.33333333333333331</v>
      </c>
      <c r="AX59" s="103">
        <v>0.33333333333333331</v>
      </c>
      <c r="AY59" s="103">
        <v>0.33749999999999997</v>
      </c>
      <c r="AZ59" s="103">
        <v>0.33749999999999997</v>
      </c>
      <c r="BA59" s="109" t="s">
        <v>15</v>
      </c>
      <c r="BB59" s="109" t="s">
        <v>15</v>
      </c>
      <c r="BC59" s="103" t="s">
        <v>18</v>
      </c>
      <c r="BD59" s="103" t="s">
        <v>18</v>
      </c>
      <c r="BE59" s="103" t="s">
        <v>18</v>
      </c>
      <c r="BF59" s="103" t="s">
        <v>18</v>
      </c>
      <c r="BI59" s="87"/>
      <c r="BJ59" s="87"/>
      <c r="BK59" s="87"/>
      <c r="BL59" s="87"/>
      <c r="BM59" s="87"/>
      <c r="BN59" s="87"/>
      <c r="BO59" s="73">
        <f>BQ59+BR59+BS59+BT59+BY59+BW59+BX59+CB59</f>
        <v>23.5</v>
      </c>
      <c r="BP59" s="74"/>
      <c r="BQ59" s="18">
        <f>COUNT(E59:AD59)/2+COUNT(AG59:BN59)/2</f>
        <v>21.5</v>
      </c>
      <c r="BR59" s="19">
        <f>COUNTIF(B59:BN59,"OFF")/2</f>
        <v>2</v>
      </c>
      <c r="BS59" s="19">
        <f>COUNTIF(B59:BN59,"MC")/2</f>
        <v>0</v>
      </c>
      <c r="BT59" s="19">
        <f>COUNTIF(B59:BN59,"EL")/2</f>
        <v>0</v>
      </c>
      <c r="BU59" s="19">
        <f>COUNTIF(B59:BN59,"AL")/2</f>
        <v>2</v>
      </c>
      <c r="BV59" s="19">
        <f>COUNTIF(B59:BN59,"SUS")/2</f>
        <v>0</v>
      </c>
      <c r="BW59" s="19">
        <f>COUNTIF(B59:BN59,"FL")/2</f>
        <v>0</v>
      </c>
      <c r="BX59" s="19">
        <f>COUNTIF(B59:BN59,"SICK")/2</f>
        <v>0</v>
      </c>
      <c r="BY59" s="19">
        <f>COUNTIF(B59:BN59,"HD")/2</f>
        <v>0</v>
      </c>
      <c r="BZ59" s="19">
        <f>COUNTIF(B59:BN59,"AB")/2</f>
        <v>0</v>
      </c>
      <c r="CA59" s="19">
        <f>COUNTIF(B59:BN59,"NL")/2</f>
        <v>0</v>
      </c>
      <c r="CB59" s="19">
        <f>COUNTIF(B59:BN59,"SP")/2</f>
        <v>0</v>
      </c>
      <c r="CC59" s="20"/>
      <c r="CH59" s="81">
        <v>0</v>
      </c>
      <c r="CI59" s="81">
        <v>0</v>
      </c>
      <c r="CJ59" s="81">
        <v>0</v>
      </c>
      <c r="CK59" s="81">
        <v>0</v>
      </c>
      <c r="CL59" s="81">
        <v>0</v>
      </c>
      <c r="CM59" s="81">
        <v>0</v>
      </c>
      <c r="CN59" s="81">
        <v>0</v>
      </c>
      <c r="CO59" s="81">
        <v>0</v>
      </c>
      <c r="CP59" s="81">
        <v>0</v>
      </c>
      <c r="CQ59" s="81">
        <v>0</v>
      </c>
      <c r="CR59" s="85">
        <f>SUM(CH59:CQ59)</f>
        <v>0</v>
      </c>
    </row>
    <row r="60" spans="1:96" ht="22.5" customHeight="1" x14ac:dyDescent="0.25">
      <c r="A60" s="8">
        <v>2</v>
      </c>
      <c r="B60" s="9" t="str">
        <f>'[1]Hulhumale Staffs_ Sep 2025'!B6</f>
        <v>MAD0226</v>
      </c>
      <c r="C60" s="69" t="s">
        <v>28</v>
      </c>
      <c r="D60" s="104">
        <v>45371</v>
      </c>
      <c r="E60" s="103">
        <v>0.35902777777777778</v>
      </c>
      <c r="F60" s="103">
        <v>0.98749999999999993</v>
      </c>
      <c r="G60" s="103">
        <v>0.3354166666666667</v>
      </c>
      <c r="H60" s="103">
        <v>0</v>
      </c>
      <c r="I60" s="110">
        <v>0.77430555555555547</v>
      </c>
      <c r="J60" s="109">
        <v>1</v>
      </c>
      <c r="K60" s="103">
        <v>0.33611111111111108</v>
      </c>
      <c r="L60" s="103">
        <v>2.7777777777777779E-3</v>
      </c>
      <c r="M60" s="103">
        <v>0.34375</v>
      </c>
      <c r="N60" s="103">
        <v>0.98611111111111116</v>
      </c>
      <c r="O60" s="103">
        <v>0.33402777777777781</v>
      </c>
      <c r="P60" s="103">
        <v>0.98541666666666661</v>
      </c>
      <c r="Q60" s="103">
        <v>0.33680555555555558</v>
      </c>
      <c r="R60" s="103">
        <v>0.9819444444444444</v>
      </c>
      <c r="S60" s="103">
        <v>0.33749999999999997</v>
      </c>
      <c r="T60" s="103">
        <v>0.98125000000000007</v>
      </c>
      <c r="U60" s="103">
        <v>0.33333333333333331</v>
      </c>
      <c r="V60" s="103">
        <v>0</v>
      </c>
      <c r="W60" s="110">
        <v>0.55833333333333335</v>
      </c>
      <c r="X60" s="110">
        <v>0.9819444444444444</v>
      </c>
      <c r="Y60" s="103">
        <v>0.3354166666666667</v>
      </c>
      <c r="Z60" s="103">
        <v>1.3888888888888889E-3</v>
      </c>
      <c r="AA60" s="103">
        <v>0.33194444444444443</v>
      </c>
      <c r="AB60" s="103">
        <v>0.98541666666666661</v>
      </c>
      <c r="AC60" s="103">
        <v>0.33402777777777781</v>
      </c>
      <c r="AD60" s="103">
        <v>0.97777777777777775</v>
      </c>
      <c r="AE60" s="103">
        <v>0.3576388888888889</v>
      </c>
      <c r="AF60" s="103">
        <v>0.3576388888888889</v>
      </c>
      <c r="AG60" s="103">
        <v>0.33333333333333331</v>
      </c>
      <c r="AH60" s="103">
        <v>0.97152777777777777</v>
      </c>
      <c r="AI60" s="116"/>
      <c r="AJ60" s="8">
        <v>2</v>
      </c>
      <c r="AK60" s="103">
        <v>0.33749999999999997</v>
      </c>
      <c r="AL60" s="103">
        <v>7.6388888888888886E-3</v>
      </c>
      <c r="AM60" s="109" t="s">
        <v>15</v>
      </c>
      <c r="AN60" s="109" t="s">
        <v>15</v>
      </c>
      <c r="AO60" s="103">
        <v>0.33402777777777781</v>
      </c>
      <c r="AP60" s="103">
        <v>0.99583333333333324</v>
      </c>
      <c r="AQ60" s="103">
        <v>0.33402777777777781</v>
      </c>
      <c r="AR60" s="103">
        <v>0.98125000000000007</v>
      </c>
      <c r="AS60" s="103">
        <v>0.36527777777777781</v>
      </c>
      <c r="AT60" s="103">
        <v>0.36527777777777781</v>
      </c>
      <c r="AU60" s="103">
        <v>0.3354166666666667</v>
      </c>
      <c r="AV60" s="103">
        <v>0.97916666666666663</v>
      </c>
      <c r="AW60" s="103">
        <v>0.33333333333333331</v>
      </c>
      <c r="AX60" s="103">
        <v>0.97986111111111107</v>
      </c>
      <c r="AY60" s="103">
        <v>0.33333333333333331</v>
      </c>
      <c r="AZ60" s="103">
        <v>2.7777777777777779E-3</v>
      </c>
      <c r="BA60" s="110">
        <v>0.5625</v>
      </c>
      <c r="BB60" s="110">
        <v>0.98749999999999993</v>
      </c>
      <c r="BC60" s="103">
        <v>0.33402777777777781</v>
      </c>
      <c r="BD60" s="103">
        <v>0.99791666666666667</v>
      </c>
      <c r="BE60" s="103">
        <v>0.33194444444444443</v>
      </c>
      <c r="BF60" s="103">
        <v>0.97777777777777775</v>
      </c>
      <c r="BG60" s="103">
        <v>0.33749999999999997</v>
      </c>
      <c r="BH60" s="108">
        <v>1</v>
      </c>
      <c r="BI60" s="103">
        <v>0.3354166666666667</v>
      </c>
      <c r="BJ60" s="103">
        <v>0.97499999999999998</v>
      </c>
      <c r="BK60" s="103">
        <v>0.3354166666666667</v>
      </c>
      <c r="BL60" s="103">
        <v>0.9819444444444444</v>
      </c>
      <c r="BM60" s="103">
        <v>0.33402777777777781</v>
      </c>
      <c r="BO60" s="73">
        <f>BQ60+BR60+BS60+BT60+BY60+BW60+BX60+CB60</f>
        <v>29.5</v>
      </c>
      <c r="BP60" s="97">
        <v>3</v>
      </c>
      <c r="BQ60" s="18">
        <f>COUNT(E60:AH60)/2+COUNT(AK60:BN60)/2</f>
        <v>28.5</v>
      </c>
      <c r="BR60" s="19">
        <f>COUNTIF(B60:BM60,"OFF")/2</f>
        <v>1</v>
      </c>
      <c r="BS60" s="19">
        <f>COUNTIF(B60:BM60,"MC")/2</f>
        <v>0</v>
      </c>
      <c r="BT60" s="19">
        <f>COUNTIF(B60:BM60,"EL")/2</f>
        <v>0</v>
      </c>
      <c r="BU60" s="19">
        <f>COUNTIF(B60:BM60,"AL")/2</f>
        <v>0</v>
      </c>
      <c r="BV60" s="19">
        <f>COUNTIF(B60:BM60,"SUS")/2</f>
        <v>0</v>
      </c>
      <c r="BW60" s="19">
        <f>COUNTIF(B60:BM60,"FL")/2</f>
        <v>0</v>
      </c>
      <c r="BX60" s="19">
        <f>COUNTIF(B60:BM60,"SICK")/2</f>
        <v>0</v>
      </c>
      <c r="BY60" s="19">
        <f>COUNTIF(B60:BM60,"HD")/2</f>
        <v>0</v>
      </c>
      <c r="BZ60" s="19">
        <f>COUNTIF(B60:BM60,"AB")/2</f>
        <v>0</v>
      </c>
      <c r="CA60" s="19">
        <f>COUNTIF(B60:BM60,"NL")/2</f>
        <v>0</v>
      </c>
      <c r="CB60" s="19">
        <f>COUNTIF(B60:BM60,"SP")/2</f>
        <v>0</v>
      </c>
      <c r="CC60" s="20"/>
      <c r="CH60" s="81">
        <v>0</v>
      </c>
      <c r="CI60" s="81">
        <v>0</v>
      </c>
      <c r="CJ60" s="81">
        <v>0</v>
      </c>
      <c r="CK60" s="81">
        <v>0</v>
      </c>
      <c r="CL60" s="81">
        <v>0</v>
      </c>
      <c r="CM60" s="81">
        <v>0</v>
      </c>
      <c r="CN60" s="81">
        <v>0</v>
      </c>
      <c r="CO60" s="81">
        <v>0</v>
      </c>
      <c r="CP60" s="81">
        <v>0</v>
      </c>
      <c r="CQ60" s="81">
        <v>0</v>
      </c>
      <c r="CR60" s="85">
        <f>SUM(CH60:CQ60)</f>
        <v>0</v>
      </c>
    </row>
  </sheetData>
  <mergeCells count="133">
    <mergeCell ref="E3:F3"/>
    <mergeCell ref="Y2:Z2"/>
    <mergeCell ref="W3:X3"/>
    <mergeCell ref="U3:V3"/>
    <mergeCell ref="S3:T3"/>
    <mergeCell ref="AE2:AF2"/>
    <mergeCell ref="AC3:AD3"/>
    <mergeCell ref="AA3:AB3"/>
    <mergeCell ref="Y3:Z3"/>
    <mergeCell ref="G3:H3"/>
    <mergeCell ref="CH2:CQ2"/>
    <mergeCell ref="CH14:CQ14"/>
    <mergeCell ref="BG14:BH14"/>
    <mergeCell ref="BM15:BN15"/>
    <mergeCell ref="BM14:BN14"/>
    <mergeCell ref="BK15:BL15"/>
    <mergeCell ref="BK14:BL14"/>
    <mergeCell ref="BI15:BJ15"/>
    <mergeCell ref="BI14:BJ14"/>
    <mergeCell ref="BO2:BO4"/>
    <mergeCell ref="BP2:BP4"/>
    <mergeCell ref="BQ2:CC2"/>
    <mergeCell ref="BM3:BN3"/>
    <mergeCell ref="BK3:BL3"/>
    <mergeCell ref="BI3:BJ3"/>
    <mergeCell ref="BM2:BN2"/>
    <mergeCell ref="BK2:BL2"/>
    <mergeCell ref="BI2:BJ2"/>
    <mergeCell ref="BE15:BF15"/>
    <mergeCell ref="BE3:BF3"/>
    <mergeCell ref="BG3:BH3"/>
    <mergeCell ref="BC2:BD2"/>
    <mergeCell ref="AM3:AN3"/>
    <mergeCell ref="AO3:AP3"/>
    <mergeCell ref="AQ3:AR3"/>
    <mergeCell ref="AS3:AT3"/>
    <mergeCell ref="AW3:AX3"/>
    <mergeCell ref="AY3:AZ3"/>
    <mergeCell ref="AU3:AV3"/>
    <mergeCell ref="AU15:AV15"/>
    <mergeCell ref="AW15:AX15"/>
    <mergeCell ref="AY15:AZ15"/>
    <mergeCell ref="M15:N15"/>
    <mergeCell ref="O15:P15"/>
    <mergeCell ref="Q15:R15"/>
    <mergeCell ref="K15:L15"/>
    <mergeCell ref="S15:T15"/>
    <mergeCell ref="M14:N14"/>
    <mergeCell ref="O14:P14"/>
    <mergeCell ref="Q14:R14"/>
    <mergeCell ref="S14:T14"/>
    <mergeCell ref="U14:V14"/>
    <mergeCell ref="W14:X14"/>
    <mergeCell ref="Y14:Z14"/>
    <mergeCell ref="AA14:AB14"/>
    <mergeCell ref="AE14:AF14"/>
    <mergeCell ref="AY14:AZ14"/>
    <mergeCell ref="BE2:BF2"/>
    <mergeCell ref="I14:J14"/>
    <mergeCell ref="K14:L14"/>
    <mergeCell ref="AG2:AH2"/>
    <mergeCell ref="AS14:AT14"/>
    <mergeCell ref="AU14:AV14"/>
    <mergeCell ref="AW14:AX14"/>
    <mergeCell ref="AM14:AN14"/>
    <mergeCell ref="AC14:AD14"/>
    <mergeCell ref="BA14:BB14"/>
    <mergeCell ref="BC14:BD14"/>
    <mergeCell ref="BA2:BB2"/>
    <mergeCell ref="BA3:BB3"/>
    <mergeCell ref="BC3:BD3"/>
    <mergeCell ref="O3:P3"/>
    <mergeCell ref="AE3:AF3"/>
    <mergeCell ref="Q3:R3"/>
    <mergeCell ref="AA2:AB2"/>
    <mergeCell ref="A1:AH1"/>
    <mergeCell ref="AJ1:CC1"/>
    <mergeCell ref="A2:C3"/>
    <mergeCell ref="E2:F2"/>
    <mergeCell ref="G2:H2"/>
    <mergeCell ref="I2:J2"/>
    <mergeCell ref="K2:L2"/>
    <mergeCell ref="M2:N2"/>
    <mergeCell ref="O2:P2"/>
    <mergeCell ref="Q2:R2"/>
    <mergeCell ref="AM2:AN2"/>
    <mergeCell ref="AO2:AP2"/>
    <mergeCell ref="AQ2:AR2"/>
    <mergeCell ref="S2:T2"/>
    <mergeCell ref="U2:V2"/>
    <mergeCell ref="W2:X2"/>
    <mergeCell ref="BG2:BH2"/>
    <mergeCell ref="M3:N3"/>
    <mergeCell ref="I3:J3"/>
    <mergeCell ref="K3:L3"/>
    <mergeCell ref="AY2:AZ2"/>
    <mergeCell ref="AG3:AH3"/>
    <mergeCell ref="AK3:AL3"/>
    <mergeCell ref="AC2:AD2"/>
    <mergeCell ref="AK2:AL2"/>
    <mergeCell ref="AS2:AT2"/>
    <mergeCell ref="AU2:AV2"/>
    <mergeCell ref="AW2:AX2"/>
    <mergeCell ref="BA15:BB15"/>
    <mergeCell ref="BC15:BD15"/>
    <mergeCell ref="AK15:AL15"/>
    <mergeCell ref="AM15:AN15"/>
    <mergeCell ref="AO15:AP15"/>
    <mergeCell ref="AQ15:AR15"/>
    <mergeCell ref="E14:F14"/>
    <mergeCell ref="G14:H14"/>
    <mergeCell ref="A13:AH13"/>
    <mergeCell ref="AJ13:CC13"/>
    <mergeCell ref="BP14:BP16"/>
    <mergeCell ref="A14:C15"/>
    <mergeCell ref="BG15:BH15"/>
    <mergeCell ref="AG15:AH15"/>
    <mergeCell ref="BO14:BO16"/>
    <mergeCell ref="AE15:AF15"/>
    <mergeCell ref="E15:F15"/>
    <mergeCell ref="G15:H15"/>
    <mergeCell ref="I15:J15"/>
    <mergeCell ref="U15:V15"/>
    <mergeCell ref="W15:X15"/>
    <mergeCell ref="AO14:AP14"/>
    <mergeCell ref="AQ14:AR14"/>
    <mergeCell ref="BE14:BF14"/>
    <mergeCell ref="AG14:AH14"/>
    <mergeCell ref="AK14:AL14"/>
    <mergeCell ref="Y15:Z15"/>
    <mergeCell ref="AA15:AB15"/>
    <mergeCell ref="AC15:AD15"/>
    <mergeCell ref="AS15:AT15"/>
  </mergeCells>
  <phoneticPr fontId="17" type="noConversion"/>
  <conditionalFormatting sqref="A2 BP17:BP36 BP58:BP59">
    <cfRule type="cellIs" dxfId="121" priority="2149" operator="equal">
      <formula>";"</formula>
    </cfRule>
  </conditionalFormatting>
  <conditionalFormatting sqref="A14">
    <cfRule type="cellIs" dxfId="120" priority="2148" stopIfTrue="1" operator="equal">
      <formula>";"</formula>
    </cfRule>
  </conditionalFormatting>
  <conditionalFormatting sqref="D5 D58:D60">
    <cfRule type="timePeriod" dxfId="119" priority="245" timePeriod="last7Days">
      <formula>AND(TODAY()-FLOOR(D5,1)&lt;=6,FLOOR(D5,1)&lt;=TODAY())</formula>
    </cfRule>
    <cfRule type="timePeriod" dxfId="118" priority="244" timePeriod="thisWeek">
      <formula>AND(TODAY()-ROUNDDOWN(D5,0)&lt;=WEEKDAY(TODAY())-1,ROUNDDOWN(D5,0)-TODAY()&lt;=7-WEEKDAY(TODAY()))</formula>
    </cfRule>
  </conditionalFormatting>
  <conditionalFormatting sqref="D5:D8 D58:D60">
    <cfRule type="timePeriod" dxfId="117" priority="247" timePeriod="nextWeek">
      <formula>AND(ROUNDDOWN(D5,0)-TODAY()&gt;(7-WEEKDAY(TODAY())),ROUNDDOWN(D5,0)-TODAY()&lt;(15-WEEKDAY(TODAY())))</formula>
    </cfRule>
  </conditionalFormatting>
  <conditionalFormatting sqref="D5:D10 D58:D60">
    <cfRule type="timePeriod" priority="246" timePeriod="nextWeek">
      <formula>AND(ROUNDDOWN(D5,0)-TODAY()&gt;(7-WEEKDAY(TODAY())),ROUNDDOWN(D5,0)-TODAY()&lt;(15-WEEKDAY(TODAY())))</formula>
    </cfRule>
  </conditionalFormatting>
  <conditionalFormatting sqref="D8:D10">
    <cfRule type="timePeriod" dxfId="116" priority="333" timePeriod="thisWeek">
      <formula>AND(TODAY()-ROUNDDOWN(D8,0)&lt;=WEEKDAY(TODAY())-1,ROUNDDOWN(D8,0)-TODAY()&lt;=7-WEEKDAY(TODAY()))</formula>
    </cfRule>
  </conditionalFormatting>
  <conditionalFormatting sqref="D9:D10">
    <cfRule type="timePeriod" dxfId="115" priority="335" timePeriod="nextWeek">
      <formula>AND(ROUNDDOWN(D9,0)-TODAY()&gt;(7-WEEKDAY(TODAY())),ROUNDDOWN(D9,0)-TODAY()&lt;(15-WEEKDAY(TODAY())))</formula>
    </cfRule>
    <cfRule type="timePeriod" dxfId="114" priority="332" timePeriod="last7Days">
      <formula>AND(TODAY()-FLOOR(D9,1)&lt;=6,FLOOR(D9,1)&lt;=TODAY())</formula>
    </cfRule>
  </conditionalFormatting>
  <conditionalFormatting sqref="D17:D36 D8">
    <cfRule type="timePeriod" dxfId="113" priority="345" timePeriod="last7Days">
      <formula>AND(TODAY()-FLOOR(D8,1)&lt;=6,FLOOR(D8,1)&lt;=TODAY())</formula>
    </cfRule>
  </conditionalFormatting>
  <conditionalFormatting sqref="D17:D36">
    <cfRule type="timePeriod" dxfId="112" priority="351" timePeriod="nextWeek">
      <formula>AND(ROUNDDOWN(D17,0)-TODAY()&gt;(7-WEEKDAY(TODAY())),ROUNDDOWN(D17,0)-TODAY()&lt;(15-WEEKDAY(TODAY())))</formula>
    </cfRule>
    <cfRule type="timePeriod" priority="350" timePeriod="nextWeek">
      <formula>AND(ROUNDDOWN(D17,0)-TODAY()&gt;(7-WEEKDAY(TODAY())),ROUNDDOWN(D17,0)-TODAY()&lt;(15-WEEKDAY(TODAY())))</formula>
    </cfRule>
    <cfRule type="timePeriod" dxfId="111" priority="344" timePeriod="thisWeek">
      <formula>AND(TODAY()-ROUNDDOWN(D17,0)&lt;=WEEKDAY(TODAY())-1,ROUNDDOWN(D17,0)-TODAY()&lt;=7-WEEKDAY(TODAY()))</formula>
    </cfRule>
  </conditionalFormatting>
  <conditionalFormatting sqref="E5:BN10 E17:BN36">
    <cfRule type="containsText" dxfId="110" priority="216" operator="containsText" text="FL">
      <formula>NOT(ISERROR(SEARCH("FL",E5)))</formula>
    </cfRule>
    <cfRule type="containsText" dxfId="109" priority="220" operator="containsText" text="AL">
      <formula>NOT(ISERROR(SEARCH("AL",E5)))</formula>
    </cfRule>
    <cfRule type="containsText" dxfId="108" priority="219" operator="containsText" text="SICK">
      <formula>NOT(ISERROR(SEARCH("SICK",E5)))</formula>
    </cfRule>
    <cfRule type="containsText" dxfId="107" priority="218" operator="containsText" text="AB">
      <formula>NOT(ISERROR(SEARCH("AB",E5)))</formula>
    </cfRule>
    <cfRule type="containsText" dxfId="106" priority="217" operator="containsText" text="OFF">
      <formula>NOT(ISERROR(SEARCH("OFF",E5)))</formula>
    </cfRule>
    <cfRule type="containsText" dxfId="105" priority="215" operator="containsText" text="SUS">
      <formula>NOT(ISERROR(SEARCH("SUS",E5)))</formula>
    </cfRule>
    <cfRule type="containsText" dxfId="104" priority="214" operator="containsText" text="MC">
      <formula>NOT(ISERROR(SEARCH("MC",E5)))</formula>
    </cfRule>
    <cfRule type="containsText" dxfId="103" priority="213" operator="containsText" text="NL">
      <formula>NOT(ISERROR(SEARCH("NL",E5)))</formula>
    </cfRule>
    <cfRule type="containsText" dxfId="102" priority="212" operator="containsText" text="SP">
      <formula>NOT(ISERROR(SEARCH("SP",E5)))</formula>
    </cfRule>
    <cfRule type="containsText" dxfId="101" priority="211" operator="containsText" text="EL">
      <formula>NOT(ISERROR(SEARCH("EL",E5)))</formula>
    </cfRule>
  </conditionalFormatting>
  <conditionalFormatting sqref="AM58:AR58">
    <cfRule type="cellIs" dxfId="100" priority="371" operator="between">
      <formula>0.0625</formula>
      <formula>0.1875</formula>
    </cfRule>
  </conditionalFormatting>
  <conditionalFormatting sqref="AM58:AS58">
    <cfRule type="containsText" dxfId="99" priority="2150" operator="containsText" text="AB">
      <formula>NOT(ISERROR(SEARCH("AB",AM58)))</formula>
    </cfRule>
    <cfRule type="containsText" dxfId="98" priority="535" operator="containsText" text="SICK">
      <formula>NOT(ISERROR(SEARCH("SICK",AM58)))</formula>
    </cfRule>
  </conditionalFormatting>
  <conditionalFormatting sqref="BC59:BF59">
    <cfRule type="containsText" dxfId="97" priority="230" operator="containsText" text="SICK">
      <formula>NOT(ISERROR(SEARCH("SICK",BC59)))</formula>
    </cfRule>
    <cfRule type="containsText" dxfId="96" priority="229" operator="containsText" text="AB">
      <formula>NOT(ISERROR(SEARCH("AB",BC59)))</formula>
    </cfRule>
    <cfRule type="cellIs" dxfId="95" priority="228" operator="between">
      <formula>0.0625</formula>
      <formula>0.1875</formula>
    </cfRule>
    <cfRule type="containsText" dxfId="94" priority="227" operator="containsText" text="AL">
      <formula>NOT(ISERROR(SEARCH("AL",BC59)))</formula>
    </cfRule>
  </conditionalFormatting>
  <conditionalFormatting sqref="BP5:BP10 AU58:BN58 BI59:BN59 BP60">
    <cfRule type="containsText" dxfId="93" priority="533" operator="containsText" text="AB">
      <formula>NOT(ISERROR(SEARCH("AB",AU5)))</formula>
    </cfRule>
    <cfRule type="containsText" dxfId="92" priority="534" operator="containsText" text="SICK">
      <formula>NOT(ISERROR(SEARCH("SICK",AU5)))</formula>
    </cfRule>
  </conditionalFormatting>
  <conditionalFormatting sqref="BR4:BX4">
    <cfRule type="containsText" dxfId="91" priority="84" operator="containsText" text="MC">
      <formula>NOT(ISERROR(SEARCH("MC",BR4)))</formula>
    </cfRule>
    <cfRule type="containsText" dxfId="90" priority="82" operator="containsText" text="SP">
      <formula>NOT(ISERROR(SEARCH("SP",BR4)))</formula>
    </cfRule>
    <cfRule type="containsText" dxfId="89" priority="81" operator="containsText" text="EL">
      <formula>NOT(ISERROR(SEARCH("EL",BR4)))</formula>
    </cfRule>
    <cfRule type="containsText" dxfId="88" priority="90" operator="containsText" text="AL">
      <formula>NOT(ISERROR(SEARCH("AL",BR4)))</formula>
    </cfRule>
    <cfRule type="containsText" dxfId="87" priority="83" operator="containsText" text="NL">
      <formula>NOT(ISERROR(SEARCH("NL",BR4)))</formula>
    </cfRule>
    <cfRule type="containsText" dxfId="86" priority="89" operator="containsText" text="SICK">
      <formula>NOT(ISERROR(SEARCH("SICK",BR4)))</formula>
    </cfRule>
    <cfRule type="containsText" dxfId="85" priority="88" operator="containsText" text="AB">
      <formula>NOT(ISERROR(SEARCH("AB",BR4)))</formula>
    </cfRule>
    <cfRule type="containsText" dxfId="84" priority="87" operator="containsText" text="OFF">
      <formula>NOT(ISERROR(SEARCH("OFF",BR4)))</formula>
    </cfRule>
    <cfRule type="containsText" dxfId="83" priority="86" operator="containsText" text="FL">
      <formula>NOT(ISERROR(SEARCH("FL",BR4)))</formula>
    </cfRule>
    <cfRule type="containsText" dxfId="82" priority="85" operator="containsText" text="SUS">
      <formula>NOT(ISERROR(SEARCH("SUS",BR4)))</formula>
    </cfRule>
  </conditionalFormatting>
  <conditionalFormatting sqref="BR16:BX16">
    <cfRule type="containsText" dxfId="81" priority="74" operator="containsText" text="MC">
      <formula>NOT(ISERROR(SEARCH("MC",BR16)))</formula>
    </cfRule>
    <cfRule type="containsText" dxfId="80" priority="73" operator="containsText" text="NL">
      <formula>NOT(ISERROR(SEARCH("NL",BR16)))</formula>
    </cfRule>
    <cfRule type="containsText" dxfId="79" priority="72" operator="containsText" text="SP">
      <formula>NOT(ISERROR(SEARCH("SP",BR16)))</formula>
    </cfRule>
    <cfRule type="containsText" dxfId="78" priority="76" operator="containsText" text="FL">
      <formula>NOT(ISERROR(SEARCH("FL",BR16)))</formula>
    </cfRule>
    <cfRule type="containsText" dxfId="77" priority="78" operator="containsText" text="AB">
      <formula>NOT(ISERROR(SEARCH("AB",BR16)))</formula>
    </cfRule>
    <cfRule type="containsText" dxfId="76" priority="77" operator="containsText" text="OFF">
      <formula>NOT(ISERROR(SEARCH("OFF",BR16)))</formula>
    </cfRule>
    <cfRule type="containsText" dxfId="75" priority="80" operator="containsText" text="AL">
      <formula>NOT(ISERROR(SEARCH("AL",BR16)))</formula>
    </cfRule>
    <cfRule type="containsText" dxfId="74" priority="79" operator="containsText" text="SICK">
      <formula>NOT(ISERROR(SEARCH("SICK",BR16)))</formula>
    </cfRule>
    <cfRule type="containsText" dxfId="73" priority="75" operator="containsText" text="SUS">
      <formula>NOT(ISERROR(SEARCH("SUS",BR16)))</formula>
    </cfRule>
    <cfRule type="containsText" dxfId="72" priority="71" operator="containsText" text="EL">
      <formula>NOT(ISERROR(SEARCH("EL",BR16)))</formula>
    </cfRule>
  </conditionalFormatting>
  <conditionalFormatting sqref="BZ4">
    <cfRule type="containsText" dxfId="71" priority="69" operator="containsText" text="SICK">
      <formula>NOT(ISERROR(SEARCH("SICK",BZ4)))</formula>
    </cfRule>
    <cfRule type="containsText" dxfId="70" priority="70" operator="containsText" text="AL">
      <formula>NOT(ISERROR(SEARCH("AL",BZ4)))</formula>
    </cfRule>
    <cfRule type="containsText" dxfId="69" priority="63" operator="containsText" text="NL">
      <formula>NOT(ISERROR(SEARCH("NL",BZ4)))</formula>
    </cfRule>
    <cfRule type="containsText" dxfId="68" priority="64" operator="containsText" text="MC">
      <formula>NOT(ISERROR(SEARCH("MC",BZ4)))</formula>
    </cfRule>
    <cfRule type="containsText" dxfId="67" priority="65" operator="containsText" text="SUS">
      <formula>NOT(ISERROR(SEARCH("SUS",BZ4)))</formula>
    </cfRule>
    <cfRule type="containsText" dxfId="66" priority="66" operator="containsText" text="FL">
      <formula>NOT(ISERROR(SEARCH("FL",BZ4)))</formula>
    </cfRule>
    <cfRule type="containsText" dxfId="65" priority="67" operator="containsText" text="OFF">
      <formula>NOT(ISERROR(SEARCH("OFF",BZ4)))</formula>
    </cfRule>
    <cfRule type="containsText" dxfId="64" priority="68" operator="containsText" text="AB">
      <formula>NOT(ISERROR(SEARCH("AB",BZ4)))</formula>
    </cfRule>
  </conditionalFormatting>
  <conditionalFormatting sqref="BZ16">
    <cfRule type="containsText" dxfId="63" priority="53" operator="containsText" text="NL">
      <formula>NOT(ISERROR(SEARCH("NL",BZ16)))</formula>
    </cfRule>
    <cfRule type="containsText" dxfId="62" priority="56" operator="containsText" text="FL">
      <formula>NOT(ISERROR(SEARCH("FL",BZ16)))</formula>
    </cfRule>
    <cfRule type="containsText" dxfId="61" priority="57" operator="containsText" text="OFF">
      <formula>NOT(ISERROR(SEARCH("OFF",BZ16)))</formula>
    </cfRule>
    <cfRule type="containsText" dxfId="60" priority="58" operator="containsText" text="AB">
      <formula>NOT(ISERROR(SEARCH("AB",BZ16)))</formula>
    </cfRule>
    <cfRule type="containsText" dxfId="59" priority="59" operator="containsText" text="SICK">
      <formula>NOT(ISERROR(SEARCH("SICK",BZ16)))</formula>
    </cfRule>
    <cfRule type="containsText" dxfId="58" priority="54" operator="containsText" text="MC">
      <formula>NOT(ISERROR(SEARCH("MC",BZ16)))</formula>
    </cfRule>
    <cfRule type="containsText" dxfId="57" priority="55" operator="containsText" text="SUS">
      <formula>NOT(ISERROR(SEARCH("SUS",BZ16)))</formula>
    </cfRule>
    <cfRule type="containsText" dxfId="56" priority="60" operator="containsText" text="AL">
      <formula>NOT(ISERROR(SEARCH("AL",BZ16)))</formula>
    </cfRule>
  </conditionalFormatting>
  <conditionalFormatting sqref="BZ4:CA4">
    <cfRule type="containsText" dxfId="55" priority="32" operator="containsText" text="SP">
      <formula>NOT(ISERROR(SEARCH("SP",BZ4)))</formula>
    </cfRule>
  </conditionalFormatting>
  <conditionalFormatting sqref="BZ16:CA16">
    <cfRule type="containsText" dxfId="54" priority="22" operator="containsText" text="SP">
      <formula>NOT(ISERROR(SEARCH("SP",BZ16)))</formula>
    </cfRule>
  </conditionalFormatting>
  <conditionalFormatting sqref="BZ4:CB4">
    <cfRule type="containsText" dxfId="53" priority="11" operator="containsText" text="EL">
      <formula>NOT(ISERROR(SEARCH("EL",BZ4)))</formula>
    </cfRule>
  </conditionalFormatting>
  <conditionalFormatting sqref="BZ16:CB16">
    <cfRule type="containsText" dxfId="52" priority="1" operator="containsText" text="EL">
      <formula>NOT(ISERROR(SEARCH("EL",BZ16)))</formula>
    </cfRule>
  </conditionalFormatting>
  <conditionalFormatting sqref="CA4">
    <cfRule type="containsText" dxfId="51" priority="40" operator="containsText" text="AL">
      <formula>NOT(ISERROR(SEARCH("AL",CA4)))</formula>
    </cfRule>
    <cfRule type="containsText" dxfId="50" priority="39" operator="containsText" text="SICK">
      <formula>NOT(ISERROR(SEARCH("SICK",CA4)))</formula>
    </cfRule>
    <cfRule type="containsText" dxfId="49" priority="38" operator="containsText" text="AB">
      <formula>NOT(ISERROR(SEARCH("AB",CA4)))</formula>
    </cfRule>
    <cfRule type="containsText" dxfId="48" priority="37" operator="containsText" text="OFF">
      <formula>NOT(ISERROR(SEARCH("OFF",CA4)))</formula>
    </cfRule>
    <cfRule type="containsText" dxfId="47" priority="35" operator="containsText" text="SUS">
      <formula>NOT(ISERROR(SEARCH("SUS",CA4)))</formula>
    </cfRule>
    <cfRule type="containsText" dxfId="46" priority="34" operator="containsText" text="MC">
      <formula>NOT(ISERROR(SEARCH("MC",CA4)))</formula>
    </cfRule>
    <cfRule type="containsText" dxfId="45" priority="33" operator="containsText" text="NL">
      <formula>NOT(ISERROR(SEARCH("NL",CA4)))</formula>
    </cfRule>
    <cfRule type="containsText" dxfId="44" priority="36" operator="containsText" text="FL">
      <formula>NOT(ISERROR(SEARCH("FL",CA4)))</formula>
    </cfRule>
  </conditionalFormatting>
  <conditionalFormatting sqref="CA16">
    <cfRule type="containsText" dxfId="43" priority="30" operator="containsText" text="AL">
      <formula>NOT(ISERROR(SEARCH("AL",CA16)))</formula>
    </cfRule>
    <cfRule type="containsText" dxfId="42" priority="29" operator="containsText" text="SICK">
      <formula>NOT(ISERROR(SEARCH("SICK",CA16)))</formula>
    </cfRule>
    <cfRule type="containsText" dxfId="41" priority="24" operator="containsText" text="MC">
      <formula>NOT(ISERROR(SEARCH("MC",CA16)))</formula>
    </cfRule>
    <cfRule type="containsText" dxfId="40" priority="27" operator="containsText" text="OFF">
      <formula>NOT(ISERROR(SEARCH("OFF",CA16)))</formula>
    </cfRule>
    <cfRule type="containsText" dxfId="39" priority="26" operator="containsText" text="FL">
      <formula>NOT(ISERROR(SEARCH("FL",CA16)))</formula>
    </cfRule>
    <cfRule type="containsText" dxfId="38" priority="25" operator="containsText" text="SUS">
      <formula>NOT(ISERROR(SEARCH("SUS",CA16)))</formula>
    </cfRule>
    <cfRule type="containsText" dxfId="37" priority="28" operator="containsText" text="AB">
      <formula>NOT(ISERROR(SEARCH("AB",CA16)))</formula>
    </cfRule>
    <cfRule type="containsText" dxfId="36" priority="23" operator="containsText" text="NL">
      <formula>NOT(ISERROR(SEARCH("NL",CA16)))</formula>
    </cfRule>
  </conditionalFormatting>
  <conditionalFormatting sqref="CB4">
    <cfRule type="containsText" dxfId="35" priority="17" operator="containsText" text="OFF">
      <formula>NOT(ISERROR(SEARCH("OFF",CB4)))</formula>
    </cfRule>
    <cfRule type="containsText" dxfId="34" priority="14" operator="containsText" text="MC">
      <formula>NOT(ISERROR(SEARCH("MC",CB4)))</formula>
    </cfRule>
    <cfRule type="containsText" dxfId="33" priority="18" operator="containsText" text="AB">
      <formula>NOT(ISERROR(SEARCH("AB",CB4)))</formula>
    </cfRule>
    <cfRule type="containsText" dxfId="32" priority="16" operator="containsText" text="FL">
      <formula>NOT(ISERROR(SEARCH("FL",CB4)))</formula>
    </cfRule>
    <cfRule type="containsText" dxfId="31" priority="15" operator="containsText" text="SUS">
      <formula>NOT(ISERROR(SEARCH("SUS",CB4)))</formula>
    </cfRule>
    <cfRule type="containsText" dxfId="30" priority="19" operator="containsText" text="SICK">
      <formula>NOT(ISERROR(SEARCH("SICK",CB4)))</formula>
    </cfRule>
    <cfRule type="containsText" dxfId="29" priority="20" operator="containsText" text="AL">
      <formula>NOT(ISERROR(SEARCH("AL",CB4)))</formula>
    </cfRule>
    <cfRule type="containsText" dxfId="28" priority="13" operator="containsText" text="NL">
      <formula>NOT(ISERROR(SEARCH("NL",CB4)))</formula>
    </cfRule>
    <cfRule type="containsText" dxfId="27" priority="12" operator="containsText" text="SP">
      <formula>NOT(ISERROR(SEARCH("SP",CB4)))</formula>
    </cfRule>
  </conditionalFormatting>
  <conditionalFormatting sqref="CB16">
    <cfRule type="containsText" dxfId="26" priority="3" operator="containsText" text="NL">
      <formula>NOT(ISERROR(SEARCH("NL",CB16)))</formula>
    </cfRule>
    <cfRule type="containsText" dxfId="25" priority="2" operator="containsText" text="SP">
      <formula>NOT(ISERROR(SEARCH("SP",CB16)))</formula>
    </cfRule>
    <cfRule type="containsText" dxfId="24" priority="8" operator="containsText" text="AB">
      <formula>NOT(ISERROR(SEARCH("AB",CB16)))</formula>
    </cfRule>
    <cfRule type="containsText" dxfId="23" priority="10" operator="containsText" text="AL">
      <formula>NOT(ISERROR(SEARCH("AL",CB16)))</formula>
    </cfRule>
    <cfRule type="containsText" dxfId="22" priority="7" operator="containsText" text="OFF">
      <formula>NOT(ISERROR(SEARCH("OFF",CB16)))</formula>
    </cfRule>
    <cfRule type="containsText" dxfId="21" priority="6" operator="containsText" text="FL">
      <formula>NOT(ISERROR(SEARCH("FL",CB16)))</formula>
    </cfRule>
    <cfRule type="containsText" dxfId="20" priority="9" operator="containsText" text="SICK">
      <formula>NOT(ISERROR(SEARCH("SICK",CB16)))</formula>
    </cfRule>
    <cfRule type="containsText" dxfId="19" priority="4" operator="containsText" text="MC">
      <formula>NOT(ISERROR(SEARCH("MC",CB16)))</formula>
    </cfRule>
    <cfRule type="containsText" dxfId="18" priority="5" operator="containsText" text="SUS">
      <formula>NOT(ISERROR(SEARCH("SUS",CB16)))</formula>
    </cfRule>
  </conditionalFormatting>
  <pageMargins left="0.7" right="0.7" top="0.75" bottom="0.75" header="0.3" footer="0.3"/>
  <pageSetup paperSize="9" scale="1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3BC3-B561-4E9E-B14B-0BF4369DFE3C}">
  <sheetPr>
    <pageSetUpPr fitToPage="1"/>
  </sheetPr>
  <dimension ref="A1:AZ29"/>
  <sheetViews>
    <sheetView workbookViewId="0">
      <pane xSplit="3" ySplit="4" topLeftCell="D5" activePane="bottomRight" state="frozen"/>
      <selection activeCell="G23" sqref="G23"/>
      <selection pane="topRight" activeCell="G23" sqref="G23"/>
      <selection pane="bottomLeft" activeCell="G23" sqref="G23"/>
      <selection pane="bottomRight" activeCell="K15" sqref="K15"/>
    </sheetView>
  </sheetViews>
  <sheetFormatPr defaultRowHeight="15" x14ac:dyDescent="0.25"/>
  <cols>
    <col min="1" max="1" width="6.140625" customWidth="1"/>
    <col min="2" max="2" width="9.85546875" customWidth="1"/>
    <col min="3" max="3" width="29.140625" customWidth="1"/>
    <col min="4" max="37" width="7.140625" customWidth="1"/>
    <col min="38" max="51" width="4.85546875" customWidth="1"/>
  </cols>
  <sheetData>
    <row r="1" spans="1:52" ht="24.75" customHeight="1" x14ac:dyDescent="0.25">
      <c r="A1" s="126" t="s">
        <v>118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</row>
    <row r="2" spans="1:52" ht="24.75" customHeight="1" x14ac:dyDescent="0.25">
      <c r="A2" s="128" t="s">
        <v>33</v>
      </c>
      <c r="B2" s="128"/>
      <c r="C2" s="128"/>
      <c r="D2" s="123" t="s">
        <v>1</v>
      </c>
      <c r="E2" s="123"/>
      <c r="F2" s="123" t="s">
        <v>2</v>
      </c>
      <c r="G2" s="123"/>
      <c r="H2" s="123" t="s">
        <v>3</v>
      </c>
      <c r="I2" s="123"/>
      <c r="J2" s="123" t="s">
        <v>4</v>
      </c>
      <c r="K2" s="123"/>
      <c r="L2" s="123" t="s">
        <v>5</v>
      </c>
      <c r="M2" s="123"/>
      <c r="N2" s="123" t="s">
        <v>6</v>
      </c>
      <c r="O2" s="123"/>
      <c r="P2" s="123" t="s">
        <v>7</v>
      </c>
      <c r="Q2" s="123"/>
      <c r="R2" s="123" t="s">
        <v>1</v>
      </c>
      <c r="S2" s="123"/>
      <c r="T2" s="123" t="s">
        <v>2</v>
      </c>
      <c r="U2" s="123"/>
      <c r="V2" s="123" t="s">
        <v>3</v>
      </c>
      <c r="W2" s="123"/>
      <c r="X2" s="123" t="s">
        <v>4</v>
      </c>
      <c r="Y2" s="123"/>
      <c r="Z2" s="123" t="s">
        <v>5</v>
      </c>
      <c r="AA2" s="123"/>
      <c r="AB2" s="123" t="s">
        <v>6</v>
      </c>
      <c r="AC2" s="123"/>
      <c r="AD2" s="123" t="s">
        <v>7</v>
      </c>
      <c r="AE2" s="123"/>
      <c r="AF2" s="123" t="s">
        <v>1</v>
      </c>
      <c r="AG2" s="123"/>
      <c r="AH2" s="123" t="s">
        <v>2</v>
      </c>
      <c r="AI2" s="123"/>
      <c r="AJ2" s="123" t="s">
        <v>3</v>
      </c>
      <c r="AK2" s="123"/>
      <c r="AL2" s="125" t="s">
        <v>8</v>
      </c>
      <c r="AM2" s="129" t="s">
        <v>106</v>
      </c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</row>
    <row r="3" spans="1:52" ht="24.75" customHeight="1" x14ac:dyDescent="0.25">
      <c r="A3" s="128"/>
      <c r="B3" s="128"/>
      <c r="C3" s="128"/>
      <c r="D3" s="122">
        <v>46113</v>
      </c>
      <c r="E3" s="122"/>
      <c r="F3" s="122">
        <v>46114</v>
      </c>
      <c r="G3" s="122"/>
      <c r="H3" s="122">
        <v>46115</v>
      </c>
      <c r="I3" s="122"/>
      <c r="J3" s="122">
        <v>46116</v>
      </c>
      <c r="K3" s="122"/>
      <c r="L3" s="122">
        <v>46117</v>
      </c>
      <c r="M3" s="122"/>
      <c r="N3" s="122">
        <v>46118</v>
      </c>
      <c r="O3" s="122"/>
      <c r="P3" s="122">
        <v>46119</v>
      </c>
      <c r="Q3" s="122"/>
      <c r="R3" s="122">
        <v>46120</v>
      </c>
      <c r="S3" s="122"/>
      <c r="T3" s="122">
        <v>46121</v>
      </c>
      <c r="U3" s="122"/>
      <c r="V3" s="122">
        <v>46122</v>
      </c>
      <c r="W3" s="122"/>
      <c r="X3" s="122">
        <v>46123</v>
      </c>
      <c r="Y3" s="122"/>
      <c r="Z3" s="122">
        <v>46124</v>
      </c>
      <c r="AA3" s="122"/>
      <c r="AB3" s="122">
        <v>46125</v>
      </c>
      <c r="AC3" s="122"/>
      <c r="AD3" s="122">
        <v>46126</v>
      </c>
      <c r="AE3" s="122"/>
      <c r="AF3" s="122">
        <v>46127</v>
      </c>
      <c r="AG3" s="122"/>
      <c r="AH3" s="122">
        <v>46128</v>
      </c>
      <c r="AI3" s="122"/>
      <c r="AJ3" s="122">
        <v>46129</v>
      </c>
      <c r="AK3" s="122"/>
      <c r="AL3" s="125"/>
      <c r="AM3" s="130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4"/>
    </row>
    <row r="4" spans="1:52" ht="24.75" customHeight="1" x14ac:dyDescent="0.25">
      <c r="A4" s="5" t="s">
        <v>10</v>
      </c>
      <c r="B4" s="5" t="s">
        <v>11</v>
      </c>
      <c r="C4" s="5" t="s">
        <v>12</v>
      </c>
      <c r="D4" s="13" t="s">
        <v>13</v>
      </c>
      <c r="E4" s="13" t="s">
        <v>14</v>
      </c>
      <c r="F4" s="13" t="s">
        <v>13</v>
      </c>
      <c r="G4" s="13" t="s">
        <v>14</v>
      </c>
      <c r="H4" s="13" t="s">
        <v>13</v>
      </c>
      <c r="I4" s="13" t="s">
        <v>14</v>
      </c>
      <c r="J4" s="13" t="s">
        <v>13</v>
      </c>
      <c r="K4" s="13" t="s">
        <v>14</v>
      </c>
      <c r="L4" s="13" t="s">
        <v>13</v>
      </c>
      <c r="M4" s="13" t="s">
        <v>14</v>
      </c>
      <c r="N4" s="13" t="s">
        <v>13</v>
      </c>
      <c r="O4" s="13" t="s">
        <v>14</v>
      </c>
      <c r="P4" s="13" t="s">
        <v>13</v>
      </c>
      <c r="Q4" s="13" t="s">
        <v>14</v>
      </c>
      <c r="R4" s="13" t="s">
        <v>13</v>
      </c>
      <c r="S4" s="13" t="s">
        <v>14</v>
      </c>
      <c r="T4" s="13" t="s">
        <v>13</v>
      </c>
      <c r="U4" s="13" t="s">
        <v>14</v>
      </c>
      <c r="V4" s="13" t="s">
        <v>13</v>
      </c>
      <c r="W4" s="13" t="s">
        <v>14</v>
      </c>
      <c r="X4" s="13" t="s">
        <v>13</v>
      </c>
      <c r="Y4" s="13" t="s">
        <v>14</v>
      </c>
      <c r="Z4" s="13" t="s">
        <v>13</v>
      </c>
      <c r="AA4" s="13" t="s">
        <v>14</v>
      </c>
      <c r="AB4" s="13" t="s">
        <v>13</v>
      </c>
      <c r="AC4" s="13" t="s">
        <v>14</v>
      </c>
      <c r="AD4" s="13" t="s">
        <v>13</v>
      </c>
      <c r="AE4" s="13" t="s">
        <v>14</v>
      </c>
      <c r="AF4" s="13" t="s">
        <v>13</v>
      </c>
      <c r="AG4" s="13" t="s">
        <v>14</v>
      </c>
      <c r="AH4" s="13" t="s">
        <v>13</v>
      </c>
      <c r="AI4" s="13" t="s">
        <v>14</v>
      </c>
      <c r="AJ4" s="13" t="s">
        <v>13</v>
      </c>
      <c r="AK4" s="13" t="s">
        <v>14</v>
      </c>
      <c r="AL4" s="125"/>
      <c r="AM4" s="131"/>
      <c r="AN4" s="6"/>
      <c r="AO4" s="59" t="s">
        <v>15</v>
      </c>
      <c r="AP4" s="59" t="s">
        <v>16</v>
      </c>
      <c r="AQ4" s="59" t="s">
        <v>17</v>
      </c>
      <c r="AR4" s="59" t="s">
        <v>18</v>
      </c>
      <c r="AS4" s="59" t="s">
        <v>19</v>
      </c>
      <c r="AT4" s="59" t="s">
        <v>20</v>
      </c>
      <c r="AU4" s="59" t="s">
        <v>21</v>
      </c>
      <c r="AV4" s="59" t="s">
        <v>22</v>
      </c>
      <c r="AW4" s="59" t="s">
        <v>23</v>
      </c>
      <c r="AX4" s="59" t="s">
        <v>24</v>
      </c>
      <c r="AY4" s="59" t="s">
        <v>25</v>
      </c>
      <c r="AZ4" s="72" t="s">
        <v>26</v>
      </c>
    </row>
    <row r="5" spans="1:52" ht="24.75" customHeight="1" x14ac:dyDescent="0.25">
      <c r="A5" s="8">
        <v>1</v>
      </c>
      <c r="B5" s="9" t="s">
        <v>54</v>
      </c>
      <c r="C5" s="69" t="s">
        <v>94</v>
      </c>
      <c r="D5" s="103">
        <v>0.37777777777777777</v>
      </c>
      <c r="E5" s="103">
        <v>0.84722222222222221</v>
      </c>
      <c r="F5" s="103">
        <v>0.37847222222222227</v>
      </c>
      <c r="G5" s="103">
        <v>0.9243055555555556</v>
      </c>
      <c r="H5" s="110">
        <v>0.33402777777777781</v>
      </c>
      <c r="I5" s="110">
        <v>0.86111111111111116</v>
      </c>
      <c r="J5" s="103">
        <v>0.39861111111111108</v>
      </c>
      <c r="K5" s="103">
        <v>0.86875000000000002</v>
      </c>
      <c r="L5" s="103">
        <v>0.41180555555555554</v>
      </c>
      <c r="M5" s="103">
        <v>0.86805555555555547</v>
      </c>
      <c r="N5" s="103">
        <v>0.375</v>
      </c>
      <c r="O5" s="103">
        <v>0.86597222222222225</v>
      </c>
      <c r="P5" s="103">
        <v>0.37916666666666665</v>
      </c>
      <c r="Q5" s="103">
        <v>0.85902777777777783</v>
      </c>
      <c r="R5" s="103">
        <v>0.37708333333333338</v>
      </c>
      <c r="S5" s="103">
        <v>0.87152777777777779</v>
      </c>
      <c r="T5" s="103">
        <v>0.37777777777777777</v>
      </c>
      <c r="U5" s="103">
        <v>0.91180555555555554</v>
      </c>
      <c r="V5" s="110">
        <v>0.33263888888888887</v>
      </c>
      <c r="W5" s="110">
        <v>0.87430555555555556</v>
      </c>
      <c r="X5" s="103">
        <v>0.37708333333333338</v>
      </c>
      <c r="Y5" s="103">
        <v>0.87152777777777779</v>
      </c>
      <c r="Z5" s="103">
        <v>0.39861111111111108</v>
      </c>
      <c r="AA5" s="103">
        <v>0.86875000000000002</v>
      </c>
      <c r="AB5" s="103">
        <v>0.37777777777777777</v>
      </c>
      <c r="AC5" s="103">
        <v>0.84722222222222221</v>
      </c>
      <c r="AD5" s="103">
        <v>0.37777777777777777</v>
      </c>
      <c r="AE5" s="113">
        <v>1</v>
      </c>
      <c r="AF5" s="113">
        <v>1</v>
      </c>
      <c r="AG5" s="113">
        <v>1</v>
      </c>
      <c r="AH5" s="113">
        <v>1</v>
      </c>
      <c r="AI5" s="113">
        <v>1</v>
      </c>
      <c r="AJ5" s="114">
        <v>1</v>
      </c>
      <c r="AK5" s="114">
        <v>1</v>
      </c>
      <c r="AL5" s="17">
        <f>AN5+AO5+AP5+AQ5+AV5+AT5+AU5+AY5</f>
        <v>17</v>
      </c>
      <c r="AM5" s="17">
        <v>3</v>
      </c>
      <c r="AN5" s="18">
        <f>COUNT(#REF!)/2+COUNT(D5:AK5)/2</f>
        <v>17</v>
      </c>
      <c r="AO5" s="2">
        <f>COUNTIF(N5:AK5,"OFF")/2</f>
        <v>0</v>
      </c>
      <c r="AP5" s="2">
        <f>COUNTIF(N5:AK5,"MC")/2</f>
        <v>0</v>
      </c>
      <c r="AQ5" s="2">
        <f>COUNTIF(N5:AK5,"EL")/2</f>
        <v>0</v>
      </c>
      <c r="AR5" s="2">
        <f>COUNTIF(D5:AK5,"AL")/2</f>
        <v>0</v>
      </c>
      <c r="AS5" s="2">
        <f>COUNTIF(N5:AK5,"SUS")/2</f>
        <v>0</v>
      </c>
      <c r="AT5" s="2">
        <f>COUNTIF(N5:AK5,"FL")/2</f>
        <v>0</v>
      </c>
      <c r="AU5" s="2">
        <f>COUNTIF(N5:AK5,"Sick")/2</f>
        <v>0</v>
      </c>
      <c r="AV5" s="2">
        <f>COUNTIF(N5:AK5,"HD")/2</f>
        <v>0</v>
      </c>
      <c r="AW5" s="2">
        <f>COUNTIF(N5:AK5,"AB")/2</f>
        <v>0</v>
      </c>
      <c r="AX5" s="2">
        <f>COUNTIF(N5:AK5,"NL")/2</f>
        <v>0</v>
      </c>
      <c r="AY5" s="2">
        <f>COUNTIF(N5:AK5,"SP")/2</f>
        <v>0</v>
      </c>
      <c r="AZ5" s="71"/>
    </row>
    <row r="6" spans="1:52" ht="17.25" x14ac:dyDescent="0.25">
      <c r="B6" s="22"/>
      <c r="E6" s="38"/>
      <c r="F6" s="32"/>
      <c r="G6" s="32"/>
      <c r="H6" s="32"/>
      <c r="I6" s="32"/>
      <c r="J6" s="32"/>
      <c r="K6" s="32"/>
      <c r="L6" s="39"/>
      <c r="M6" s="39"/>
      <c r="N6" s="39"/>
      <c r="O6" s="32"/>
      <c r="P6" s="32"/>
      <c r="Q6" s="32"/>
      <c r="R6" s="40"/>
      <c r="S6" s="40"/>
      <c r="T6" s="40"/>
      <c r="U6" s="40"/>
      <c r="V6" s="40"/>
      <c r="W6" s="40"/>
      <c r="X6" s="41"/>
      <c r="Y6" s="41"/>
    </row>
    <row r="7" spans="1:52" ht="17.25" x14ac:dyDescent="0.25">
      <c r="B7" s="22"/>
      <c r="E7" s="94" t="s">
        <v>104</v>
      </c>
      <c r="F7" s="94"/>
      <c r="G7" s="94" t="s">
        <v>114</v>
      </c>
      <c r="H7" s="94"/>
      <c r="I7" s="94"/>
      <c r="J7" s="94"/>
      <c r="K7" s="94"/>
      <c r="L7" s="94"/>
      <c r="M7" s="94"/>
      <c r="N7" s="94"/>
      <c r="O7" s="94"/>
      <c r="P7" s="95"/>
      <c r="Q7" s="42"/>
      <c r="R7" s="33"/>
      <c r="S7" s="32"/>
      <c r="T7" s="32"/>
      <c r="U7" s="32"/>
      <c r="V7" s="32"/>
      <c r="W7" s="32"/>
      <c r="X7" s="44"/>
      <c r="Y7" s="44"/>
      <c r="AQ7" s="49" t="s">
        <v>80</v>
      </c>
      <c r="AR7" s="50"/>
      <c r="AS7" s="50"/>
      <c r="AT7" s="51" t="s">
        <v>15</v>
      </c>
      <c r="AU7" s="52"/>
      <c r="AV7" s="53" t="s">
        <v>81</v>
      </c>
      <c r="AW7" s="54"/>
      <c r="AX7" s="54"/>
      <c r="AY7" s="55"/>
      <c r="AZ7" s="56" t="s">
        <v>21</v>
      </c>
    </row>
    <row r="8" spans="1:52" ht="17.25" x14ac:dyDescent="0.25">
      <c r="B8" s="22"/>
      <c r="E8" s="94" t="s">
        <v>105</v>
      </c>
      <c r="F8" s="94"/>
      <c r="G8" s="94" t="s">
        <v>115</v>
      </c>
      <c r="H8" s="94"/>
      <c r="I8" s="94"/>
      <c r="J8" s="94"/>
      <c r="K8" s="94"/>
      <c r="L8" s="94"/>
      <c r="M8" s="94"/>
      <c r="N8" s="94"/>
      <c r="O8" s="94"/>
      <c r="P8" s="95"/>
      <c r="Q8" s="42"/>
      <c r="R8" s="33"/>
      <c r="S8" s="32"/>
      <c r="T8" s="32"/>
      <c r="U8" s="32"/>
      <c r="V8" s="32"/>
      <c r="W8" s="32"/>
      <c r="X8" s="44"/>
      <c r="Y8" s="44"/>
      <c r="AQ8" s="49" t="s">
        <v>82</v>
      </c>
      <c r="AR8" s="50"/>
      <c r="AS8" s="50"/>
      <c r="AT8" s="51" t="s">
        <v>16</v>
      </c>
      <c r="AU8" s="52"/>
      <c r="AV8" s="57" t="s">
        <v>83</v>
      </c>
      <c r="AW8" s="58"/>
      <c r="AX8" s="58"/>
      <c r="AY8" s="55"/>
      <c r="AZ8" s="56" t="s">
        <v>22</v>
      </c>
    </row>
    <row r="9" spans="1:52" x14ac:dyDescent="0.25">
      <c r="B9" s="22"/>
      <c r="AQ9" s="49" t="s">
        <v>84</v>
      </c>
      <c r="AR9" s="50"/>
      <c r="AS9" s="50"/>
      <c r="AT9" s="51" t="s">
        <v>17</v>
      </c>
      <c r="AU9" s="52"/>
      <c r="AV9" s="57" t="s">
        <v>85</v>
      </c>
      <c r="AW9" s="58"/>
      <c r="AX9" s="58"/>
      <c r="AY9" s="55"/>
      <c r="AZ9" s="56" t="s">
        <v>23</v>
      </c>
    </row>
    <row r="10" spans="1:52" x14ac:dyDescent="0.25">
      <c r="B10" s="22"/>
      <c r="AQ10" s="49" t="s">
        <v>86</v>
      </c>
      <c r="AR10" s="50"/>
      <c r="AS10" s="50"/>
      <c r="AT10" s="51" t="s">
        <v>18</v>
      </c>
      <c r="AU10" s="52"/>
      <c r="AV10" s="53" t="s">
        <v>87</v>
      </c>
      <c r="AW10" s="54"/>
      <c r="AX10" s="54"/>
      <c r="AY10" s="55"/>
      <c r="AZ10" s="56" t="s">
        <v>24</v>
      </c>
    </row>
    <row r="11" spans="1:52" x14ac:dyDescent="0.25">
      <c r="AQ11" s="49" t="s">
        <v>88</v>
      </c>
      <c r="AR11" s="50"/>
      <c r="AS11" s="50"/>
      <c r="AT11" s="51" t="s">
        <v>19</v>
      </c>
      <c r="AU11" s="52"/>
      <c r="AV11" s="53" t="s">
        <v>89</v>
      </c>
      <c r="AW11" s="54"/>
      <c r="AX11" s="54"/>
      <c r="AY11" s="55"/>
      <c r="AZ11" s="56" t="s">
        <v>25</v>
      </c>
    </row>
    <row r="12" spans="1:52" ht="15.75" x14ac:dyDescent="0.25">
      <c r="E12" s="35"/>
      <c r="F12" s="36" t="s">
        <v>71</v>
      </c>
      <c r="G12" s="30"/>
      <c r="H12" s="36"/>
      <c r="I12" s="32"/>
      <c r="J12" s="32"/>
      <c r="K12" s="33"/>
      <c r="L12" s="34"/>
      <c r="M12" s="34"/>
      <c r="N12" s="37" t="s">
        <v>72</v>
      </c>
      <c r="O12" s="37"/>
      <c r="P12" s="33"/>
      <c r="Q12" s="33"/>
      <c r="R12" s="33"/>
      <c r="S12" s="33"/>
      <c r="T12" s="33" t="s">
        <v>91</v>
      </c>
      <c r="U12" s="33"/>
      <c r="V12" s="33"/>
      <c r="W12" s="33"/>
      <c r="X12" s="37" t="s">
        <v>73</v>
      </c>
      <c r="Y12" s="33"/>
      <c r="AQ12" s="49" t="s">
        <v>90</v>
      </c>
      <c r="AR12" s="50"/>
      <c r="AS12" s="50"/>
      <c r="AT12" s="51" t="s">
        <v>20</v>
      </c>
      <c r="AU12" s="52"/>
      <c r="AV12" s="52"/>
      <c r="AW12" s="52"/>
      <c r="AX12" s="52"/>
      <c r="AY12" s="52"/>
      <c r="AZ12" s="52"/>
    </row>
    <row r="13" spans="1:52" ht="17.25" x14ac:dyDescent="0.25">
      <c r="E13" s="38"/>
      <c r="F13" s="32"/>
      <c r="G13" s="32"/>
      <c r="H13" s="32"/>
      <c r="I13" s="32"/>
      <c r="J13" s="32"/>
      <c r="K13" s="32"/>
      <c r="L13" s="39"/>
      <c r="M13" s="39"/>
      <c r="N13" s="39"/>
      <c r="O13" s="32"/>
      <c r="P13" s="32"/>
      <c r="Q13" s="32"/>
      <c r="R13" s="40"/>
      <c r="S13" s="40"/>
      <c r="T13" s="40"/>
      <c r="U13" s="40"/>
      <c r="V13" s="40"/>
      <c r="W13" s="40"/>
      <c r="X13" s="41"/>
      <c r="Y13" s="41"/>
    </row>
    <row r="14" spans="1:52" ht="17.25" x14ac:dyDescent="0.25">
      <c r="E14" s="38"/>
      <c r="F14" s="42"/>
      <c r="G14" s="32"/>
      <c r="H14" s="42"/>
      <c r="I14" s="32"/>
      <c r="J14" s="32"/>
      <c r="K14" s="42" t="s">
        <v>91</v>
      </c>
      <c r="L14" s="43"/>
      <c r="M14" s="43"/>
      <c r="N14" s="39"/>
      <c r="O14" s="32"/>
      <c r="P14" s="42"/>
      <c r="Q14" s="42"/>
      <c r="R14" s="33"/>
      <c r="S14" s="32"/>
      <c r="T14" s="32"/>
      <c r="U14" s="32"/>
      <c r="V14" s="32"/>
      <c r="W14" s="32"/>
      <c r="X14" s="44"/>
      <c r="Y14" s="44"/>
    </row>
    <row r="15" spans="1:52" ht="17.25" x14ac:dyDescent="0.25">
      <c r="E15" s="45"/>
      <c r="F15" s="42"/>
      <c r="G15" s="32"/>
      <c r="H15" s="42"/>
      <c r="I15" s="32"/>
      <c r="J15" s="32"/>
      <c r="K15" s="42"/>
      <c r="L15" s="43"/>
      <c r="M15" s="43"/>
      <c r="N15" s="39"/>
      <c r="O15" s="33"/>
      <c r="P15" s="42"/>
      <c r="Q15" s="42"/>
      <c r="R15" s="33"/>
      <c r="S15" s="32"/>
      <c r="T15" s="32"/>
      <c r="U15" s="32"/>
      <c r="V15" s="32"/>
      <c r="W15" s="32"/>
      <c r="X15" s="44"/>
      <c r="Y15" s="44"/>
    </row>
    <row r="16" spans="1:52" ht="17.25" x14ac:dyDescent="0.25">
      <c r="E16" s="46" t="s">
        <v>74</v>
      </c>
      <c r="F16" s="47"/>
      <c r="G16" s="35"/>
      <c r="H16" s="46"/>
      <c r="I16" s="32"/>
      <c r="J16" s="32"/>
      <c r="K16" s="42"/>
      <c r="L16" s="39"/>
      <c r="M16" s="46" t="s">
        <v>116</v>
      </c>
      <c r="N16" s="46"/>
      <c r="O16" s="46"/>
      <c r="P16" s="42"/>
      <c r="Q16" s="33"/>
      <c r="R16" s="32"/>
      <c r="S16" s="32"/>
      <c r="T16" s="32"/>
      <c r="U16" s="32"/>
      <c r="V16" s="32"/>
      <c r="W16" s="32"/>
      <c r="X16" s="30" t="s">
        <v>76</v>
      </c>
      <c r="Y16" s="44"/>
    </row>
    <row r="17" spans="1:52" ht="17.25" x14ac:dyDescent="0.25">
      <c r="E17" s="46"/>
      <c r="F17" s="46" t="s">
        <v>77</v>
      </c>
      <c r="G17" s="45"/>
      <c r="H17" s="45"/>
      <c r="I17" s="32"/>
      <c r="J17" s="32"/>
      <c r="K17" s="30"/>
      <c r="L17" s="48"/>
      <c r="M17" s="46" t="s">
        <v>117</v>
      </c>
      <c r="N17" s="46"/>
      <c r="O17" s="46"/>
      <c r="P17" s="30"/>
      <c r="Q17" s="33"/>
      <c r="R17" s="30"/>
      <c r="S17" s="32"/>
      <c r="T17" s="32"/>
      <c r="U17" s="32"/>
      <c r="V17" s="32"/>
      <c r="W17" s="32"/>
      <c r="X17" s="30" t="s">
        <v>79</v>
      </c>
      <c r="Y17" s="44"/>
    </row>
    <row r="18" spans="1:52" ht="15.75" x14ac:dyDescent="0.25">
      <c r="J18" s="31"/>
      <c r="M18" s="32"/>
    </row>
    <row r="28" spans="1:52" ht="25.5" customHeight="1" x14ac:dyDescent="0.25">
      <c r="A28" s="8">
        <v>8</v>
      </c>
      <c r="B28" s="9" t="s">
        <v>38</v>
      </c>
      <c r="C28" s="16" t="s">
        <v>39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6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7">
        <f>AN28+AO28+AP28+AQ28+AV28+AT28+AU28+AY28</f>
        <v>10</v>
      </c>
      <c r="AM28" s="17"/>
      <c r="AN28" s="18">
        <f>COUNT(#REF!)/2+COUNT(D29:AK29)/2</f>
        <v>9</v>
      </c>
      <c r="AO28" s="2">
        <f>COUNTIF(D29:AK29,"OFF")/2</f>
        <v>1</v>
      </c>
      <c r="AP28" s="2">
        <f>COUNTIF(D29:AK29,"MC")/2</f>
        <v>0</v>
      </c>
      <c r="AQ28" s="2">
        <f>COUNTIF(D29:AK29,"EL")/2</f>
        <v>0</v>
      </c>
      <c r="AR28" s="2">
        <f>COUNTIF(D29:AK29,"AL")/2</f>
        <v>0</v>
      </c>
      <c r="AS28" s="2">
        <f>COUNTIF(D29:AK29,"SUS")/2</f>
        <v>0</v>
      </c>
      <c r="AT28" s="2">
        <f>COUNTIF(D29:AK29,"FL")/2</f>
        <v>0</v>
      </c>
      <c r="AU28" s="2">
        <f>COUNTIF(D29:AK29,"Sick")/2</f>
        <v>0</v>
      </c>
      <c r="AV28" s="2">
        <f>COUNTIF(D29:AK29,"HD")/2</f>
        <v>0</v>
      </c>
      <c r="AW28" s="2">
        <f>COUNTIF(D29:AK29,"AB")/2</f>
        <v>0</v>
      </c>
      <c r="AX28" s="2">
        <f>COUNTIF(D29:AK29,"NL")/2</f>
        <v>0</v>
      </c>
      <c r="AY28" s="2">
        <f>COUNTIF(D29:AK29,"SP")/2</f>
        <v>0</v>
      </c>
      <c r="AZ28" s="71"/>
    </row>
    <row r="29" spans="1:52" ht="21.75" customHeight="1" x14ac:dyDescent="0.25">
      <c r="A29" s="8">
        <v>13</v>
      </c>
      <c r="B29" s="9" t="s">
        <v>48</v>
      </c>
      <c r="C29" s="16" t="s">
        <v>49</v>
      </c>
      <c r="D29" s="25">
        <v>0.3611111111111111</v>
      </c>
      <c r="E29" s="25">
        <v>0.87222222222222223</v>
      </c>
      <c r="F29" s="25">
        <v>0.35972222222222222</v>
      </c>
      <c r="G29" s="25">
        <v>0.91041666666666676</v>
      </c>
      <c r="H29" s="25">
        <v>0.3743055555555555</v>
      </c>
      <c r="I29" s="25">
        <v>0.86111111111111116</v>
      </c>
      <c r="J29" s="25">
        <v>0.3527777777777778</v>
      </c>
      <c r="K29" s="25">
        <v>0.84375</v>
      </c>
      <c r="L29" s="25">
        <v>0.3520833333333333</v>
      </c>
      <c r="M29" s="25">
        <v>0.84513888888888899</v>
      </c>
      <c r="N29" s="25">
        <v>0.33402777777777781</v>
      </c>
      <c r="O29" s="25">
        <v>0.80902777777777779</v>
      </c>
      <c r="P29" s="75" t="s">
        <v>15</v>
      </c>
      <c r="Q29" s="75" t="s">
        <v>15</v>
      </c>
      <c r="R29" s="25">
        <v>0.32916666666666666</v>
      </c>
      <c r="S29" s="25">
        <v>0.89930555555555547</v>
      </c>
      <c r="T29" s="25">
        <v>0.3298611111111111</v>
      </c>
      <c r="U29" s="25">
        <v>0.87152777777777779</v>
      </c>
      <c r="V29" s="25">
        <v>0.34930555555555554</v>
      </c>
      <c r="W29" s="25">
        <v>0.87430555555555556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</sheetData>
  <mergeCells count="40">
    <mergeCell ref="A1:AK1"/>
    <mergeCell ref="AL1:AZ1"/>
    <mergeCell ref="A2:C3"/>
    <mergeCell ref="D2:E2"/>
    <mergeCell ref="F2:G2"/>
    <mergeCell ref="H2:I2"/>
    <mergeCell ref="J2:K2"/>
    <mergeCell ref="L2:M2"/>
    <mergeCell ref="N2:O2"/>
    <mergeCell ref="P2:Q2"/>
    <mergeCell ref="AM2:AM4"/>
    <mergeCell ref="AH3:AI3"/>
    <mergeCell ref="AJ3:AK3"/>
    <mergeCell ref="R2:S2"/>
    <mergeCell ref="T2:U2"/>
    <mergeCell ref="V2:W2"/>
    <mergeCell ref="AF3:AG3"/>
    <mergeCell ref="AN2:AZ2"/>
    <mergeCell ref="AF2:AG2"/>
    <mergeCell ref="AH2:AI2"/>
    <mergeCell ref="AJ2:AK2"/>
    <mergeCell ref="AL2:AL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D2:AE2"/>
    <mergeCell ref="V3:W3"/>
    <mergeCell ref="X3:Y3"/>
    <mergeCell ref="Z3:AA3"/>
    <mergeCell ref="AB3:AC3"/>
    <mergeCell ref="AD3:AE3"/>
    <mergeCell ref="X2:Y2"/>
    <mergeCell ref="Z2:AA2"/>
    <mergeCell ref="AB2:AC2"/>
  </mergeCells>
  <phoneticPr fontId="17" type="noConversion"/>
  <conditionalFormatting sqref="A2">
    <cfRule type="cellIs" dxfId="17" priority="3" operator="equal">
      <formula>";"</formula>
    </cfRule>
  </conditionalFormatting>
  <conditionalFormatting sqref="D29:W29">
    <cfRule type="containsText" dxfId="16" priority="4" stopIfTrue="1" operator="containsText" text="NL">
      <formula>NOT(ISERROR(SEARCH("NL",D29)))</formula>
    </cfRule>
    <cfRule type="containsText" dxfId="15" priority="5" stopIfTrue="1" operator="containsText" text="EL">
      <formula>NOT(ISERROR(SEARCH("EL",D29)))</formula>
    </cfRule>
    <cfRule type="containsText" dxfId="14" priority="6" stopIfTrue="1" operator="containsText" text="SP">
      <formula>NOT(ISERROR(SEARCH("SP",D29)))</formula>
    </cfRule>
    <cfRule type="containsText" dxfId="13" priority="7" stopIfTrue="1" operator="containsText" text="SICK">
      <formula>NOT(ISERROR(SEARCH("SICK",D29)))</formula>
    </cfRule>
  </conditionalFormatting>
  <pageMargins left="0.7" right="0.7" top="0.75" bottom="0.75" header="0.3" footer="0.3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A932-7FB2-4ACA-943C-169624CB920D}">
  <sheetPr>
    <pageSetUpPr fitToPage="1"/>
  </sheetPr>
  <dimension ref="A1:BN23"/>
  <sheetViews>
    <sheetView workbookViewId="0">
      <pane xSplit="3" ySplit="4" topLeftCell="D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RowHeight="15" x14ac:dyDescent="0.25"/>
  <cols>
    <col min="1" max="1" width="6.140625" customWidth="1"/>
    <col min="2" max="2" width="9.85546875" customWidth="1"/>
    <col min="3" max="3" width="29.140625" customWidth="1"/>
    <col min="4" max="35" width="7.140625" customWidth="1"/>
    <col min="36" max="36" width="8.7109375" customWidth="1"/>
    <col min="37" max="51" width="7.140625" customWidth="1"/>
    <col min="52" max="65" width="4.85546875" customWidth="1"/>
  </cols>
  <sheetData>
    <row r="1" spans="1:66" ht="24.75" customHeight="1" x14ac:dyDescent="0.25">
      <c r="A1" s="134" t="s">
        <v>118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6"/>
    </row>
    <row r="2" spans="1:66" ht="24.75" customHeight="1" x14ac:dyDescent="0.25">
      <c r="A2" s="128" t="s">
        <v>33</v>
      </c>
      <c r="B2" s="128"/>
      <c r="C2" s="128"/>
      <c r="D2" s="123" t="s">
        <v>1</v>
      </c>
      <c r="E2" s="123"/>
      <c r="F2" s="123" t="s">
        <v>2</v>
      </c>
      <c r="G2" s="123"/>
      <c r="H2" s="123" t="s">
        <v>3</v>
      </c>
      <c r="I2" s="123"/>
      <c r="J2" s="123" t="s">
        <v>4</v>
      </c>
      <c r="K2" s="123"/>
      <c r="L2" s="123" t="s">
        <v>5</v>
      </c>
      <c r="M2" s="123"/>
      <c r="N2" s="123" t="s">
        <v>6</v>
      </c>
      <c r="O2" s="123"/>
      <c r="P2" s="123" t="s">
        <v>7</v>
      </c>
      <c r="Q2" s="123"/>
      <c r="R2" s="123" t="s">
        <v>1</v>
      </c>
      <c r="S2" s="123"/>
      <c r="T2" s="123" t="s">
        <v>2</v>
      </c>
      <c r="U2" s="123"/>
      <c r="V2" s="123" t="s">
        <v>3</v>
      </c>
      <c r="W2" s="123"/>
      <c r="X2" s="123" t="s">
        <v>4</v>
      </c>
      <c r="Y2" s="123"/>
      <c r="Z2" s="123" t="s">
        <v>5</v>
      </c>
      <c r="AA2" s="123"/>
      <c r="AB2" s="123" t="s">
        <v>6</v>
      </c>
      <c r="AC2" s="123"/>
      <c r="AD2" s="123" t="s">
        <v>7</v>
      </c>
      <c r="AE2" s="123"/>
      <c r="AF2" s="123" t="s">
        <v>1</v>
      </c>
      <c r="AG2" s="123"/>
    </row>
    <row r="3" spans="1:66" ht="24.75" customHeight="1" x14ac:dyDescent="0.25">
      <c r="A3" s="128"/>
      <c r="B3" s="128"/>
      <c r="C3" s="128"/>
      <c r="D3" s="122">
        <v>46113</v>
      </c>
      <c r="E3" s="122"/>
      <c r="F3" s="122">
        <v>46114</v>
      </c>
      <c r="G3" s="122"/>
      <c r="H3" s="122">
        <v>46115</v>
      </c>
      <c r="I3" s="122"/>
      <c r="J3" s="122">
        <v>46116</v>
      </c>
      <c r="K3" s="122"/>
      <c r="L3" s="122">
        <v>46117</v>
      </c>
      <c r="M3" s="122"/>
      <c r="N3" s="122">
        <v>46118</v>
      </c>
      <c r="O3" s="122"/>
      <c r="P3" s="122">
        <v>46119</v>
      </c>
      <c r="Q3" s="122"/>
      <c r="R3" s="122">
        <v>46120</v>
      </c>
      <c r="S3" s="122"/>
      <c r="T3" s="122">
        <v>46121</v>
      </c>
      <c r="U3" s="122"/>
      <c r="V3" s="122">
        <v>46122</v>
      </c>
      <c r="W3" s="122"/>
      <c r="X3" s="122">
        <v>46123</v>
      </c>
      <c r="Y3" s="122"/>
      <c r="Z3" s="122">
        <v>46124</v>
      </c>
      <c r="AA3" s="122"/>
      <c r="AB3" s="122">
        <v>46125</v>
      </c>
      <c r="AC3" s="122"/>
      <c r="AD3" s="122">
        <v>46126</v>
      </c>
      <c r="AE3" s="122"/>
      <c r="AF3" s="122">
        <v>46127</v>
      </c>
      <c r="AG3" s="122"/>
    </row>
    <row r="4" spans="1:66" ht="24.75" customHeight="1" x14ac:dyDescent="0.25">
      <c r="A4" s="5" t="s">
        <v>10</v>
      </c>
      <c r="B4" s="5" t="s">
        <v>11</v>
      </c>
      <c r="C4" s="5" t="s">
        <v>12</v>
      </c>
      <c r="D4" s="13" t="s">
        <v>13</v>
      </c>
      <c r="E4" s="13" t="s">
        <v>14</v>
      </c>
      <c r="F4" s="13" t="s">
        <v>13</v>
      </c>
      <c r="G4" s="13" t="s">
        <v>14</v>
      </c>
      <c r="H4" s="13" t="s">
        <v>13</v>
      </c>
      <c r="I4" s="13" t="s">
        <v>14</v>
      </c>
      <c r="J4" s="13" t="s">
        <v>13</v>
      </c>
      <c r="K4" s="13" t="s">
        <v>14</v>
      </c>
      <c r="L4" s="13" t="s">
        <v>13</v>
      </c>
      <c r="M4" s="13" t="s">
        <v>14</v>
      </c>
      <c r="N4" s="13" t="s">
        <v>13</v>
      </c>
      <c r="O4" s="13" t="s">
        <v>14</v>
      </c>
      <c r="P4" s="13" t="s">
        <v>13</v>
      </c>
      <c r="Q4" s="13" t="s">
        <v>14</v>
      </c>
      <c r="R4" s="13" t="s">
        <v>13</v>
      </c>
      <c r="S4" s="13" t="s">
        <v>14</v>
      </c>
      <c r="T4" s="13" t="s">
        <v>13</v>
      </c>
      <c r="U4" s="13" t="s">
        <v>14</v>
      </c>
      <c r="V4" s="13" t="s">
        <v>13</v>
      </c>
      <c r="W4" s="13" t="s">
        <v>14</v>
      </c>
      <c r="X4" s="13" t="s">
        <v>13</v>
      </c>
      <c r="Y4" s="13" t="s">
        <v>14</v>
      </c>
      <c r="Z4" s="13" t="s">
        <v>13</v>
      </c>
      <c r="AA4" s="13" t="s">
        <v>14</v>
      </c>
      <c r="AB4" s="13" t="s">
        <v>13</v>
      </c>
      <c r="AC4" s="13" t="s">
        <v>14</v>
      </c>
      <c r="AD4" s="13" t="s">
        <v>13</v>
      </c>
      <c r="AE4" s="13" t="s">
        <v>14</v>
      </c>
      <c r="AF4" s="13" t="s">
        <v>13</v>
      </c>
      <c r="AG4" s="13" t="s">
        <v>14</v>
      </c>
    </row>
    <row r="5" spans="1:66" ht="24.75" customHeight="1" x14ac:dyDescent="0.25">
      <c r="A5" s="8">
        <v>1</v>
      </c>
      <c r="B5" s="9" t="s">
        <v>61</v>
      </c>
      <c r="C5" s="69" t="s">
        <v>62</v>
      </c>
      <c r="D5" s="103">
        <v>0.34513888888888888</v>
      </c>
      <c r="E5" s="103">
        <v>0.82986111111111116</v>
      </c>
      <c r="F5" s="103">
        <v>0.33888888888888885</v>
      </c>
      <c r="G5" s="103">
        <v>0.82847222222222217</v>
      </c>
      <c r="H5" s="110">
        <v>0.56944444444444442</v>
      </c>
      <c r="I5" s="110">
        <v>0.82291666666666663</v>
      </c>
      <c r="J5" s="103">
        <v>0.34513888888888888</v>
      </c>
      <c r="K5" s="103">
        <v>0.83263888888888893</v>
      </c>
      <c r="L5" s="103">
        <v>0.34375</v>
      </c>
      <c r="M5" s="103">
        <v>0.91041666666666676</v>
      </c>
      <c r="N5" s="103">
        <v>0.3430555555555555</v>
      </c>
      <c r="O5" s="103">
        <v>0.9555555555555556</v>
      </c>
      <c r="P5" s="103">
        <v>0.34652777777777777</v>
      </c>
      <c r="Q5" s="103">
        <v>0.83124999999999993</v>
      </c>
      <c r="R5" s="103">
        <v>0.3430555555555555</v>
      </c>
      <c r="S5" s="103">
        <v>0.74930555555555556</v>
      </c>
      <c r="T5" s="103">
        <v>0.34097222222222223</v>
      </c>
      <c r="U5" s="103">
        <v>0.92986111111111114</v>
      </c>
      <c r="V5" s="109" t="s">
        <v>15</v>
      </c>
      <c r="W5" s="109" t="s">
        <v>15</v>
      </c>
      <c r="X5" s="103">
        <v>0.34513888888888888</v>
      </c>
      <c r="Y5" s="103">
        <v>0.87847222222222221</v>
      </c>
      <c r="Z5" s="103">
        <v>0.3444444444444445</v>
      </c>
      <c r="AA5" s="103">
        <v>0.85902777777777783</v>
      </c>
      <c r="AB5" s="103">
        <v>0.3444444444444445</v>
      </c>
      <c r="AC5" s="103">
        <v>0.85</v>
      </c>
      <c r="AD5" s="103">
        <v>0.33680555555555558</v>
      </c>
      <c r="AE5" s="103">
        <v>0.84791666666666676</v>
      </c>
      <c r="AF5" s="103">
        <v>0.3354166666666667</v>
      </c>
      <c r="AG5" s="103">
        <v>0.82638888888888884</v>
      </c>
    </row>
    <row r="6" spans="1:66" ht="17.25" x14ac:dyDescent="0.25">
      <c r="B6" s="22"/>
      <c r="E6" s="38"/>
      <c r="F6" s="32"/>
      <c r="G6" s="32"/>
      <c r="H6" s="32"/>
      <c r="I6" s="32"/>
      <c r="J6" s="32"/>
      <c r="K6" s="32"/>
      <c r="L6" s="39"/>
      <c r="M6" s="39"/>
      <c r="N6" s="39"/>
      <c r="O6" s="32"/>
      <c r="P6" s="32"/>
      <c r="Q6" s="32"/>
      <c r="R6" s="40"/>
      <c r="S6" s="40"/>
      <c r="T6" s="40"/>
      <c r="U6" s="40"/>
      <c r="V6" s="40"/>
      <c r="W6" s="40"/>
      <c r="X6" s="41"/>
      <c r="Y6" s="41"/>
    </row>
    <row r="7" spans="1:66" ht="23.25" customHeight="1" x14ac:dyDescent="0.25">
      <c r="B7" s="22"/>
      <c r="D7" s="134" t="s">
        <v>118</v>
      </c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6"/>
      <c r="BE7" s="49" t="s">
        <v>80</v>
      </c>
      <c r="BF7" s="50"/>
      <c r="BG7" s="50"/>
      <c r="BH7" s="51" t="s">
        <v>15</v>
      </c>
      <c r="BI7" s="52"/>
      <c r="BJ7" s="53" t="s">
        <v>81</v>
      </c>
      <c r="BK7" s="54"/>
      <c r="BL7" s="54"/>
      <c r="BM7" s="55"/>
      <c r="BN7" s="56" t="s">
        <v>21</v>
      </c>
    </row>
    <row r="8" spans="1:66" ht="23.25" customHeight="1" x14ac:dyDescent="0.25">
      <c r="B8" s="22"/>
      <c r="D8" s="123" t="s">
        <v>2</v>
      </c>
      <c r="E8" s="123"/>
      <c r="F8" s="123" t="s">
        <v>3</v>
      </c>
      <c r="G8" s="123"/>
      <c r="H8" s="123" t="s">
        <v>4</v>
      </c>
      <c r="I8" s="123"/>
      <c r="J8" s="123" t="s">
        <v>5</v>
      </c>
      <c r="K8" s="123"/>
      <c r="L8" s="123" t="s">
        <v>6</v>
      </c>
      <c r="M8" s="123"/>
      <c r="N8" s="123" t="s">
        <v>7</v>
      </c>
      <c r="O8" s="123"/>
      <c r="P8" s="123" t="s">
        <v>1</v>
      </c>
      <c r="Q8" s="123"/>
      <c r="R8" s="123" t="s">
        <v>2</v>
      </c>
      <c r="S8" s="123"/>
      <c r="T8" s="123" t="s">
        <v>3</v>
      </c>
      <c r="U8" s="123"/>
      <c r="V8" s="125" t="s">
        <v>8</v>
      </c>
      <c r="W8" s="129" t="s">
        <v>106</v>
      </c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BE8" s="49" t="s">
        <v>82</v>
      </c>
      <c r="BF8" s="50"/>
      <c r="BG8" s="50"/>
      <c r="BH8" s="51" t="s">
        <v>16</v>
      </c>
      <c r="BI8" s="52"/>
      <c r="BJ8" s="57" t="s">
        <v>83</v>
      </c>
      <c r="BK8" s="58"/>
      <c r="BL8" s="58"/>
      <c r="BM8" s="55"/>
      <c r="BN8" s="56" t="s">
        <v>22</v>
      </c>
    </row>
    <row r="9" spans="1:66" ht="23.25" customHeight="1" x14ac:dyDescent="0.25">
      <c r="B9" s="22"/>
      <c r="D9" s="122">
        <v>46128</v>
      </c>
      <c r="E9" s="122"/>
      <c r="F9" s="122">
        <v>46129</v>
      </c>
      <c r="G9" s="122"/>
      <c r="H9" s="122">
        <v>46130</v>
      </c>
      <c r="I9" s="122"/>
      <c r="J9" s="122">
        <v>46131</v>
      </c>
      <c r="K9" s="122"/>
      <c r="L9" s="122">
        <v>46132</v>
      </c>
      <c r="M9" s="122"/>
      <c r="N9" s="122">
        <v>46133</v>
      </c>
      <c r="O9" s="122"/>
      <c r="P9" s="122">
        <v>46134</v>
      </c>
      <c r="Q9" s="122"/>
      <c r="R9" s="122">
        <v>46135</v>
      </c>
      <c r="S9" s="122"/>
      <c r="T9" s="122">
        <v>46136</v>
      </c>
      <c r="U9" s="122"/>
      <c r="V9" s="125"/>
      <c r="W9" s="130"/>
      <c r="X9" s="2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BE9" s="49" t="s">
        <v>84</v>
      </c>
      <c r="BF9" s="50"/>
      <c r="BG9" s="50"/>
      <c r="BH9" s="51" t="s">
        <v>17</v>
      </c>
      <c r="BI9" s="52"/>
      <c r="BJ9" s="57" t="s">
        <v>85</v>
      </c>
      <c r="BK9" s="58"/>
      <c r="BL9" s="58"/>
      <c r="BM9" s="55"/>
      <c r="BN9" s="56" t="s">
        <v>23</v>
      </c>
    </row>
    <row r="10" spans="1:66" ht="23.25" customHeight="1" x14ac:dyDescent="0.25">
      <c r="B10" s="22"/>
      <c r="D10" s="13" t="s">
        <v>13</v>
      </c>
      <c r="E10" s="13" t="s">
        <v>14</v>
      </c>
      <c r="F10" s="13" t="s">
        <v>13</v>
      </c>
      <c r="G10" s="13" t="s">
        <v>14</v>
      </c>
      <c r="H10" s="13" t="s">
        <v>13</v>
      </c>
      <c r="I10" s="13" t="s">
        <v>14</v>
      </c>
      <c r="J10" s="13" t="s">
        <v>13</v>
      </c>
      <c r="K10" s="13" t="s">
        <v>14</v>
      </c>
      <c r="L10" s="13" t="s">
        <v>13</v>
      </c>
      <c r="M10" s="13" t="s">
        <v>14</v>
      </c>
      <c r="N10" s="13" t="s">
        <v>13</v>
      </c>
      <c r="O10" s="13" t="s">
        <v>14</v>
      </c>
      <c r="P10" s="13" t="s">
        <v>13</v>
      </c>
      <c r="Q10" s="13" t="s">
        <v>14</v>
      </c>
      <c r="R10" s="13" t="s">
        <v>13</v>
      </c>
      <c r="S10" s="13" t="s">
        <v>14</v>
      </c>
      <c r="T10" s="13" t="s">
        <v>13</v>
      </c>
      <c r="U10" s="13" t="s">
        <v>14</v>
      </c>
      <c r="V10" s="125"/>
      <c r="W10" s="131"/>
      <c r="X10" s="6"/>
      <c r="Y10" s="59" t="s">
        <v>15</v>
      </c>
      <c r="Z10" s="59" t="s">
        <v>16</v>
      </c>
      <c r="AA10" s="59" t="s">
        <v>17</v>
      </c>
      <c r="AB10" s="59" t="s">
        <v>18</v>
      </c>
      <c r="AC10" s="59" t="s">
        <v>19</v>
      </c>
      <c r="AD10" s="59" t="s">
        <v>20</v>
      </c>
      <c r="AE10" s="59" t="s">
        <v>21</v>
      </c>
      <c r="AF10" s="59" t="s">
        <v>22</v>
      </c>
      <c r="AG10" s="59" t="s">
        <v>23</v>
      </c>
      <c r="AH10" s="59" t="s">
        <v>24</v>
      </c>
      <c r="AI10" s="59" t="s">
        <v>25</v>
      </c>
      <c r="AJ10" s="72" t="s">
        <v>26</v>
      </c>
      <c r="BE10" s="49" t="s">
        <v>86</v>
      </c>
      <c r="BF10" s="50"/>
      <c r="BG10" s="50"/>
      <c r="BH10" s="51" t="s">
        <v>18</v>
      </c>
      <c r="BI10" s="52"/>
      <c r="BJ10" s="53" t="s">
        <v>87</v>
      </c>
      <c r="BK10" s="54"/>
      <c r="BL10" s="54"/>
      <c r="BM10" s="55"/>
      <c r="BN10" s="56" t="s">
        <v>24</v>
      </c>
    </row>
    <row r="11" spans="1:66" ht="23.25" customHeight="1" x14ac:dyDescent="0.25">
      <c r="D11" s="103">
        <v>0.34652777777777777</v>
      </c>
      <c r="E11" s="103">
        <v>0.8354166666666667</v>
      </c>
      <c r="F11" s="110">
        <v>0.57777777777777783</v>
      </c>
      <c r="G11" s="110">
        <v>0.87777777777777777</v>
      </c>
      <c r="H11" s="103">
        <v>0.33888888888888885</v>
      </c>
      <c r="I11" s="103">
        <v>1</v>
      </c>
      <c r="J11" s="103">
        <v>0.35138888888888892</v>
      </c>
      <c r="K11" s="103">
        <v>0.85</v>
      </c>
      <c r="L11" s="103">
        <v>0.34722222222222227</v>
      </c>
      <c r="M11" s="113">
        <v>1</v>
      </c>
      <c r="N11" s="113">
        <v>1</v>
      </c>
      <c r="O11" s="113">
        <v>1</v>
      </c>
      <c r="P11" s="113">
        <v>1</v>
      </c>
      <c r="Q11" s="113">
        <v>1</v>
      </c>
      <c r="R11" s="113">
        <v>1</v>
      </c>
      <c r="S11" s="113">
        <v>1</v>
      </c>
      <c r="T11" s="109" t="s">
        <v>15</v>
      </c>
      <c r="U11" s="109" t="s">
        <v>15</v>
      </c>
      <c r="V11" s="17">
        <f>X11+Y11+Z11+AA11+AF11+AD11+AE11+AI11</f>
        <v>24</v>
      </c>
      <c r="W11" s="17">
        <v>2</v>
      </c>
      <c r="X11" s="18">
        <f>COUNT(D11:U11)/2+COUNT(D5:AG5)/2</f>
        <v>22</v>
      </c>
      <c r="Y11" s="2">
        <v>2</v>
      </c>
      <c r="Z11" s="2">
        <f>COUNTIF(N5:AY5,"MC")/2</f>
        <v>0</v>
      </c>
      <c r="AA11" s="2">
        <f>COUNTIF(N5:AY5,"EL")/2</f>
        <v>0</v>
      </c>
      <c r="AB11" s="2">
        <f>COUNTIF(D5:AY5,"AL")/2</f>
        <v>0</v>
      </c>
      <c r="AC11" s="2">
        <f>COUNTIF(N5:AY5,"SUS")/2</f>
        <v>0</v>
      </c>
      <c r="AD11" s="2">
        <f>COUNTIF(N5:AY5,"FL")/2</f>
        <v>0</v>
      </c>
      <c r="AE11" s="2">
        <f>COUNTIF(N5:AY5,"Sick")/2</f>
        <v>0</v>
      </c>
      <c r="AF11" s="2">
        <f>COUNTIF(N5:AY5,"HD")/2</f>
        <v>0</v>
      </c>
      <c r="AG11" s="2">
        <f>COUNTIF(N5:AY5,"AB")/2</f>
        <v>0</v>
      </c>
      <c r="AH11" s="2">
        <f>COUNTIF(N5:AY5,"NL")/2</f>
        <v>0</v>
      </c>
      <c r="AI11" s="2">
        <f>COUNTIF(N5:AY5,"SP")/2</f>
        <v>0</v>
      </c>
      <c r="AJ11" s="71"/>
      <c r="BE11" s="49" t="s">
        <v>88</v>
      </c>
      <c r="BF11" s="50"/>
      <c r="BG11" s="50"/>
      <c r="BH11" s="51" t="s">
        <v>19</v>
      </c>
      <c r="BI11" s="52"/>
      <c r="BJ11" s="53" t="s">
        <v>89</v>
      </c>
      <c r="BK11" s="54"/>
      <c r="BL11" s="54"/>
      <c r="BM11" s="55"/>
      <c r="BN11" s="56" t="s">
        <v>25</v>
      </c>
    </row>
    <row r="12" spans="1:66" x14ac:dyDescent="0.25">
      <c r="BE12" s="49" t="s">
        <v>90</v>
      </c>
      <c r="BF12" s="50"/>
      <c r="BG12" s="50"/>
      <c r="BH12" s="51" t="s">
        <v>20</v>
      </c>
      <c r="BI12" s="52"/>
      <c r="BJ12" s="52"/>
      <c r="BK12" s="52"/>
      <c r="BL12" s="52"/>
      <c r="BM12" s="52"/>
      <c r="BN12" s="52"/>
    </row>
    <row r="13" spans="1:66" ht="17.25" x14ac:dyDescent="0.25">
      <c r="D13" s="94" t="s">
        <v>104</v>
      </c>
      <c r="E13" s="94"/>
      <c r="F13" s="94" t="s">
        <v>120</v>
      </c>
      <c r="G13" s="94"/>
      <c r="H13" s="94"/>
      <c r="I13" s="94"/>
      <c r="J13" s="94"/>
      <c r="K13" s="94"/>
      <c r="L13" s="94"/>
      <c r="M13" s="94"/>
      <c r="N13" s="94"/>
      <c r="O13" s="95"/>
      <c r="P13" s="42"/>
      <c r="Q13" s="33"/>
      <c r="R13" s="32"/>
      <c r="S13" s="32"/>
      <c r="T13" s="32"/>
      <c r="U13" s="32"/>
      <c r="V13" s="32"/>
      <c r="W13" s="44"/>
      <c r="X13" s="49" t="s">
        <v>80</v>
      </c>
      <c r="Y13" s="50"/>
      <c r="Z13" s="50"/>
      <c r="AA13" s="51" t="s">
        <v>15</v>
      </c>
      <c r="AB13" s="52"/>
      <c r="AC13" s="53" t="s">
        <v>81</v>
      </c>
      <c r="AD13" s="54"/>
      <c r="AE13" s="54"/>
      <c r="AF13" s="55"/>
      <c r="AG13" s="56" t="s">
        <v>21</v>
      </c>
    </row>
    <row r="14" spans="1:66" ht="17.25" x14ac:dyDescent="0.25">
      <c r="D14" s="94" t="s">
        <v>105</v>
      </c>
      <c r="E14" s="94"/>
      <c r="F14" s="94" t="s">
        <v>119</v>
      </c>
      <c r="G14" s="94"/>
      <c r="H14" s="94"/>
      <c r="I14" s="94"/>
      <c r="J14" s="94"/>
      <c r="K14" s="94"/>
      <c r="L14" s="94"/>
      <c r="M14" s="94"/>
      <c r="N14" s="94"/>
      <c r="O14" s="95"/>
      <c r="P14" s="42"/>
      <c r="Q14" s="33"/>
      <c r="R14" s="32"/>
      <c r="S14" s="32"/>
      <c r="T14" s="32"/>
      <c r="U14" s="32"/>
      <c r="V14" s="32"/>
      <c r="W14" s="44"/>
      <c r="X14" s="49" t="s">
        <v>82</v>
      </c>
      <c r="Y14" s="50"/>
      <c r="Z14" s="50"/>
      <c r="AA14" s="51" t="s">
        <v>16</v>
      </c>
      <c r="AB14" s="52"/>
      <c r="AC14" s="57" t="s">
        <v>83</v>
      </c>
      <c r="AD14" s="58"/>
      <c r="AE14" s="58"/>
      <c r="AF14" s="55"/>
      <c r="AG14" s="56" t="s">
        <v>22</v>
      </c>
    </row>
    <row r="15" spans="1:66" x14ac:dyDescent="0.25">
      <c r="X15" s="49" t="s">
        <v>84</v>
      </c>
      <c r="Y15" s="50"/>
      <c r="Z15" s="50"/>
      <c r="AA15" s="51" t="s">
        <v>17</v>
      </c>
      <c r="AB15" s="52"/>
      <c r="AC15" s="57" t="s">
        <v>85</v>
      </c>
      <c r="AD15" s="58"/>
      <c r="AE15" s="58"/>
      <c r="AF15" s="55"/>
      <c r="AG15" s="56" t="s">
        <v>23</v>
      </c>
    </row>
    <row r="16" spans="1:66" x14ac:dyDescent="0.25">
      <c r="X16" s="49" t="s">
        <v>86</v>
      </c>
      <c r="Y16" s="50"/>
      <c r="Z16" s="50"/>
      <c r="AA16" s="51" t="s">
        <v>18</v>
      </c>
      <c r="AB16" s="52"/>
      <c r="AC16" s="53" t="s">
        <v>87</v>
      </c>
      <c r="AD16" s="54"/>
      <c r="AE16" s="54"/>
      <c r="AF16" s="55"/>
      <c r="AG16" s="56" t="s">
        <v>24</v>
      </c>
    </row>
    <row r="17" spans="4:33" x14ac:dyDescent="0.25">
      <c r="X17" s="49" t="s">
        <v>88</v>
      </c>
      <c r="Y17" s="50"/>
      <c r="Z17" s="50"/>
      <c r="AA17" s="51" t="s">
        <v>19</v>
      </c>
      <c r="AB17" s="52"/>
      <c r="AC17" s="53" t="s">
        <v>89</v>
      </c>
      <c r="AD17" s="54"/>
      <c r="AE17" s="54"/>
      <c r="AF17" s="55"/>
      <c r="AG17" s="56" t="s">
        <v>25</v>
      </c>
    </row>
    <row r="18" spans="4:33" ht="15.75" x14ac:dyDescent="0.25">
      <c r="D18" s="35"/>
      <c r="E18" s="36" t="s">
        <v>71</v>
      </c>
      <c r="F18" s="30"/>
      <c r="G18" s="36"/>
      <c r="H18" s="32"/>
      <c r="I18" s="34"/>
      <c r="J18" s="37" t="s">
        <v>72</v>
      </c>
      <c r="K18" s="37"/>
      <c r="N18" s="33"/>
      <c r="O18" s="37" t="s">
        <v>73</v>
      </c>
      <c r="P18" s="33"/>
      <c r="S18" s="33" t="s">
        <v>91</v>
      </c>
      <c r="T18" s="33"/>
      <c r="U18" s="33"/>
      <c r="X18" s="49" t="s">
        <v>90</v>
      </c>
      <c r="Y18" s="50"/>
      <c r="Z18" s="50"/>
      <c r="AA18" s="51" t="s">
        <v>20</v>
      </c>
      <c r="AB18" s="52"/>
      <c r="AC18" s="52"/>
      <c r="AD18" s="52"/>
      <c r="AE18" s="52"/>
      <c r="AF18" s="52"/>
      <c r="AG18" s="52"/>
    </row>
    <row r="19" spans="4:33" ht="17.25" x14ac:dyDescent="0.25">
      <c r="D19" s="38"/>
      <c r="E19" s="32"/>
      <c r="F19" s="32"/>
      <c r="G19" s="32"/>
      <c r="H19" s="32"/>
      <c r="I19" s="39"/>
      <c r="J19" s="39"/>
      <c r="K19" s="32"/>
      <c r="N19" s="40"/>
      <c r="O19" s="41"/>
      <c r="P19" s="41"/>
      <c r="S19" s="40"/>
      <c r="T19" s="40"/>
      <c r="U19" s="40"/>
    </row>
    <row r="20" spans="4:33" ht="17.25" x14ac:dyDescent="0.25">
      <c r="D20" s="38"/>
      <c r="E20" s="42"/>
      <c r="F20" s="32"/>
      <c r="G20" s="42"/>
      <c r="H20" s="32"/>
      <c r="I20" s="43"/>
      <c r="J20" s="39"/>
      <c r="K20" s="32"/>
      <c r="N20" s="32"/>
      <c r="O20" s="44"/>
      <c r="P20" s="44"/>
      <c r="S20" s="32"/>
      <c r="T20" s="32"/>
      <c r="U20" s="32"/>
    </row>
    <row r="21" spans="4:33" ht="17.25" x14ac:dyDescent="0.25">
      <c r="D21" s="45"/>
      <c r="E21" s="42"/>
      <c r="F21" s="32"/>
      <c r="G21" s="42"/>
      <c r="H21" s="32"/>
      <c r="I21" s="43"/>
      <c r="J21" s="39"/>
      <c r="K21" s="33"/>
      <c r="N21" s="32"/>
      <c r="O21" s="44"/>
      <c r="P21" s="44"/>
      <c r="S21" s="32"/>
      <c r="T21" s="32"/>
      <c r="U21" s="32"/>
    </row>
    <row r="22" spans="4:33" ht="17.25" x14ac:dyDescent="0.25">
      <c r="D22" s="46" t="s">
        <v>74</v>
      </c>
      <c r="E22" s="47"/>
      <c r="F22" s="35"/>
      <c r="G22" s="46"/>
      <c r="H22" s="32"/>
      <c r="I22" s="43"/>
      <c r="J22" s="30" t="s">
        <v>75</v>
      </c>
      <c r="K22" s="32"/>
      <c r="N22" s="32"/>
      <c r="O22" s="30" t="s">
        <v>76</v>
      </c>
      <c r="P22" s="44"/>
      <c r="S22" s="32"/>
      <c r="T22" s="32"/>
      <c r="U22" s="32"/>
    </row>
    <row r="23" spans="4:33" ht="17.25" x14ac:dyDescent="0.25">
      <c r="D23" s="46"/>
      <c r="E23" s="46" t="s">
        <v>77</v>
      </c>
      <c r="F23" s="45"/>
      <c r="G23" s="45"/>
      <c r="H23" s="32"/>
      <c r="I23" s="48"/>
      <c r="J23" s="30" t="s">
        <v>78</v>
      </c>
      <c r="K23" s="30"/>
      <c r="N23" s="32"/>
      <c r="O23" s="30" t="s">
        <v>79</v>
      </c>
      <c r="P23" s="44"/>
      <c r="S23" s="32"/>
      <c r="T23" s="32"/>
      <c r="U23" s="32"/>
    </row>
  </sheetData>
  <mergeCells count="54">
    <mergeCell ref="Z2:AA2"/>
    <mergeCell ref="AB2:AC2"/>
    <mergeCell ref="L2:M2"/>
    <mergeCell ref="A2:C3"/>
    <mergeCell ref="D2:E2"/>
    <mergeCell ref="F2:G2"/>
    <mergeCell ref="H2:I2"/>
    <mergeCell ref="J2:K2"/>
    <mergeCell ref="D3:E3"/>
    <mergeCell ref="F3:G3"/>
    <mergeCell ref="H3:I3"/>
    <mergeCell ref="J3:K3"/>
    <mergeCell ref="L3:M3"/>
    <mergeCell ref="Z3:AA3"/>
    <mergeCell ref="AB3:AC3"/>
    <mergeCell ref="AD2:AE2"/>
    <mergeCell ref="N2:O2"/>
    <mergeCell ref="P2:Q2"/>
    <mergeCell ref="AF2:AG2"/>
    <mergeCell ref="D8:E8"/>
    <mergeCell ref="T8:U8"/>
    <mergeCell ref="V8:V10"/>
    <mergeCell ref="W8:W10"/>
    <mergeCell ref="D9:E9"/>
    <mergeCell ref="T9:U9"/>
    <mergeCell ref="H9:I9"/>
    <mergeCell ref="H8:I8"/>
    <mergeCell ref="R2:S2"/>
    <mergeCell ref="T2:U2"/>
    <mergeCell ref="V2:W2"/>
    <mergeCell ref="X2:Y2"/>
    <mergeCell ref="AD3:AE3"/>
    <mergeCell ref="AF3:AG3"/>
    <mergeCell ref="X3:Y3"/>
    <mergeCell ref="N3:O3"/>
    <mergeCell ref="P3:Q3"/>
    <mergeCell ref="R3:S3"/>
    <mergeCell ref="T3:U3"/>
    <mergeCell ref="X8:AJ8"/>
    <mergeCell ref="A1:AG1"/>
    <mergeCell ref="D7:AJ7"/>
    <mergeCell ref="R9:S9"/>
    <mergeCell ref="R8:S8"/>
    <mergeCell ref="P8:Q8"/>
    <mergeCell ref="P9:Q9"/>
    <mergeCell ref="F9:G9"/>
    <mergeCell ref="F8:G8"/>
    <mergeCell ref="N9:O9"/>
    <mergeCell ref="N8:O8"/>
    <mergeCell ref="L9:M9"/>
    <mergeCell ref="L8:M8"/>
    <mergeCell ref="J9:K9"/>
    <mergeCell ref="J8:K8"/>
    <mergeCell ref="V3:W3"/>
  </mergeCells>
  <phoneticPr fontId="17" type="noConversion"/>
  <conditionalFormatting sqref="A2">
    <cfRule type="cellIs" dxfId="12" priority="1" operator="equal">
      <formula>";"</formula>
    </cfRule>
  </conditionalFormatting>
  <pageMargins left="0.7" right="0.7" top="0.75" bottom="0.75" header="0.3" footer="0.3"/>
  <pageSetup paperSize="9" scale="2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0092-2611-489D-A9CD-0377ED3DF3CC}">
  <sheetPr>
    <pageSetUpPr fitToPage="1"/>
  </sheetPr>
  <dimension ref="A1:CS30"/>
  <sheetViews>
    <sheetView zoomScaleNormal="100" workbookViewId="0">
      <pane xSplit="3" ySplit="4" topLeftCell="D5" activePane="bottomRight" state="frozen"/>
      <selection activeCell="I37" sqref="I37"/>
      <selection pane="topRight" activeCell="I37" sqref="I37"/>
      <selection pane="bottomLeft" activeCell="I37" sqref="I37"/>
      <selection pane="bottomRight" activeCell="G23" sqref="G23"/>
    </sheetView>
  </sheetViews>
  <sheetFormatPr defaultRowHeight="15" x14ac:dyDescent="0.25"/>
  <cols>
    <col min="1" max="1" width="5" customWidth="1"/>
    <col min="2" max="2" width="10.85546875" style="22" customWidth="1"/>
    <col min="3" max="3" width="29.140625" customWidth="1"/>
    <col min="4" max="33" width="6.42578125" customWidth="1"/>
    <col min="34" max="34" width="5.28515625" customWidth="1"/>
    <col min="35" max="35" width="5" customWidth="1"/>
    <col min="36" max="67" width="6.42578125" customWidth="1"/>
    <col min="68" max="81" width="5.140625" customWidth="1"/>
    <col min="82" max="82" width="30.140625" customWidth="1"/>
    <col min="87" max="96" width="7.140625" customWidth="1"/>
  </cols>
  <sheetData>
    <row r="1" spans="1:97" ht="24" customHeight="1" x14ac:dyDescent="0.25">
      <c r="A1" s="126" t="s">
        <v>122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62"/>
      <c r="AI1" s="126" t="s">
        <v>123</v>
      </c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</row>
    <row r="2" spans="1:97" ht="18.75" x14ac:dyDescent="0.25">
      <c r="A2" s="152" t="s">
        <v>0</v>
      </c>
      <c r="B2" s="152"/>
      <c r="C2" s="152"/>
      <c r="D2" s="123" t="s">
        <v>1</v>
      </c>
      <c r="E2" s="123"/>
      <c r="F2" s="123" t="s">
        <v>2</v>
      </c>
      <c r="G2" s="123"/>
      <c r="H2" s="123" t="s">
        <v>3</v>
      </c>
      <c r="I2" s="123"/>
      <c r="J2" s="123" t="s">
        <v>4</v>
      </c>
      <c r="K2" s="123"/>
      <c r="L2" s="123" t="s">
        <v>5</v>
      </c>
      <c r="M2" s="123"/>
      <c r="N2" s="123" t="s">
        <v>6</v>
      </c>
      <c r="O2" s="123"/>
      <c r="P2" s="123" t="s">
        <v>7</v>
      </c>
      <c r="Q2" s="123"/>
      <c r="R2" s="123" t="s">
        <v>1</v>
      </c>
      <c r="S2" s="123"/>
      <c r="T2" s="123" t="s">
        <v>2</v>
      </c>
      <c r="U2" s="123"/>
      <c r="V2" s="123" t="s">
        <v>3</v>
      </c>
      <c r="W2" s="123"/>
      <c r="X2" s="123" t="s">
        <v>4</v>
      </c>
      <c r="Y2" s="123"/>
      <c r="Z2" s="123" t="s">
        <v>5</v>
      </c>
      <c r="AA2" s="123"/>
      <c r="AB2" s="123" t="s">
        <v>6</v>
      </c>
      <c r="AC2" s="123"/>
      <c r="AD2" s="123" t="s">
        <v>7</v>
      </c>
      <c r="AE2" s="123"/>
      <c r="AF2" s="123" t="s">
        <v>1</v>
      </c>
      <c r="AG2" s="123"/>
      <c r="AH2" s="63"/>
      <c r="AI2" s="29"/>
      <c r="AJ2" s="123" t="s">
        <v>2</v>
      </c>
      <c r="AK2" s="123"/>
      <c r="AL2" s="123" t="s">
        <v>3</v>
      </c>
      <c r="AM2" s="123"/>
      <c r="AN2" s="123" t="s">
        <v>4</v>
      </c>
      <c r="AO2" s="123"/>
      <c r="AP2" s="123" t="s">
        <v>5</v>
      </c>
      <c r="AQ2" s="123"/>
      <c r="AR2" s="123" t="s">
        <v>6</v>
      </c>
      <c r="AS2" s="123"/>
      <c r="AT2" s="123" t="s">
        <v>7</v>
      </c>
      <c r="AU2" s="123"/>
      <c r="AV2" s="123" t="s">
        <v>1</v>
      </c>
      <c r="AW2" s="123"/>
      <c r="AX2" s="123" t="s">
        <v>2</v>
      </c>
      <c r="AY2" s="123"/>
      <c r="AZ2" s="123" t="s">
        <v>3</v>
      </c>
      <c r="BA2" s="123"/>
      <c r="BB2" s="123" t="s">
        <v>4</v>
      </c>
      <c r="BC2" s="123"/>
      <c r="BD2" s="123" t="s">
        <v>5</v>
      </c>
      <c r="BE2" s="123"/>
      <c r="BF2" s="123" t="s">
        <v>6</v>
      </c>
      <c r="BG2" s="123"/>
      <c r="BH2" s="123" t="s">
        <v>7</v>
      </c>
      <c r="BI2" s="123"/>
      <c r="BJ2" s="123" t="s">
        <v>1</v>
      </c>
      <c r="BK2" s="123"/>
      <c r="BL2" s="132" t="s">
        <v>2</v>
      </c>
      <c r="BM2" s="133"/>
      <c r="BN2" s="132" t="s">
        <v>3</v>
      </c>
      <c r="BO2" s="133"/>
      <c r="BP2" s="125" t="s">
        <v>8</v>
      </c>
      <c r="BQ2" s="125" t="s">
        <v>9</v>
      </c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I2" s="151" t="s">
        <v>92</v>
      </c>
      <c r="CJ2" s="151"/>
      <c r="CK2" s="151"/>
      <c r="CL2" s="151"/>
      <c r="CM2" s="151"/>
      <c r="CN2" s="151"/>
      <c r="CO2" s="151"/>
      <c r="CP2" s="151"/>
      <c r="CQ2" s="151"/>
      <c r="CR2" s="151"/>
      <c r="CS2" s="21"/>
    </row>
    <row r="3" spans="1:97" ht="18.75" x14ac:dyDescent="0.25">
      <c r="A3" s="152"/>
      <c r="B3" s="152"/>
      <c r="C3" s="152"/>
      <c r="D3" s="122">
        <v>46113</v>
      </c>
      <c r="E3" s="122"/>
      <c r="F3" s="122">
        <v>46114</v>
      </c>
      <c r="G3" s="122"/>
      <c r="H3" s="122">
        <v>46115</v>
      </c>
      <c r="I3" s="122"/>
      <c r="J3" s="122">
        <v>46116</v>
      </c>
      <c r="K3" s="122"/>
      <c r="L3" s="122">
        <v>46117</v>
      </c>
      <c r="M3" s="122"/>
      <c r="N3" s="122">
        <v>46118</v>
      </c>
      <c r="O3" s="122"/>
      <c r="P3" s="122">
        <v>46119</v>
      </c>
      <c r="Q3" s="122"/>
      <c r="R3" s="122">
        <v>46120</v>
      </c>
      <c r="S3" s="122"/>
      <c r="T3" s="122">
        <v>46121</v>
      </c>
      <c r="U3" s="122"/>
      <c r="V3" s="122">
        <v>46122</v>
      </c>
      <c r="W3" s="122"/>
      <c r="X3" s="122">
        <v>46123</v>
      </c>
      <c r="Y3" s="122"/>
      <c r="Z3" s="122">
        <v>46124</v>
      </c>
      <c r="AA3" s="122"/>
      <c r="AB3" s="122">
        <v>46125</v>
      </c>
      <c r="AC3" s="122"/>
      <c r="AD3" s="122">
        <v>46126</v>
      </c>
      <c r="AE3" s="122"/>
      <c r="AF3" s="122">
        <v>46127</v>
      </c>
      <c r="AG3" s="122"/>
      <c r="AH3" s="64"/>
      <c r="AI3" s="60"/>
      <c r="AJ3" s="122">
        <v>46128</v>
      </c>
      <c r="AK3" s="122"/>
      <c r="AL3" s="122">
        <v>46129</v>
      </c>
      <c r="AM3" s="122"/>
      <c r="AN3" s="122">
        <v>46130</v>
      </c>
      <c r="AO3" s="122"/>
      <c r="AP3" s="122">
        <v>46131</v>
      </c>
      <c r="AQ3" s="122"/>
      <c r="AR3" s="122">
        <v>46132</v>
      </c>
      <c r="AS3" s="122"/>
      <c r="AT3" s="122">
        <v>46133</v>
      </c>
      <c r="AU3" s="122"/>
      <c r="AV3" s="122">
        <v>46134</v>
      </c>
      <c r="AW3" s="122"/>
      <c r="AX3" s="122">
        <v>46135</v>
      </c>
      <c r="AY3" s="122"/>
      <c r="AZ3" s="122">
        <v>46136</v>
      </c>
      <c r="BA3" s="122"/>
      <c r="BB3" s="122">
        <v>46137</v>
      </c>
      <c r="BC3" s="122"/>
      <c r="BD3" s="122">
        <v>46138</v>
      </c>
      <c r="BE3" s="122"/>
      <c r="BF3" s="122">
        <v>46139</v>
      </c>
      <c r="BG3" s="122"/>
      <c r="BH3" s="122">
        <v>46140</v>
      </c>
      <c r="BI3" s="122"/>
      <c r="BJ3" s="122">
        <v>46141</v>
      </c>
      <c r="BK3" s="122"/>
      <c r="BL3" s="143">
        <v>46142</v>
      </c>
      <c r="BM3" s="144"/>
      <c r="BN3" s="143">
        <v>46143</v>
      </c>
      <c r="BO3" s="144"/>
      <c r="BP3" s="125"/>
      <c r="BQ3" s="125"/>
      <c r="BR3" s="2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4"/>
      <c r="CI3" s="76" t="s">
        <v>113</v>
      </c>
      <c r="CJ3" s="76"/>
      <c r="CK3" s="76"/>
      <c r="CL3" s="76"/>
      <c r="CM3" s="76"/>
      <c r="CN3" s="76"/>
      <c r="CO3" s="76"/>
      <c r="CP3" s="76"/>
      <c r="CQ3" s="76"/>
      <c r="CR3" s="76"/>
      <c r="CS3" s="21"/>
    </row>
    <row r="4" spans="1:97" ht="18.75" customHeight="1" x14ac:dyDescent="0.25">
      <c r="A4" s="5" t="s">
        <v>10</v>
      </c>
      <c r="B4" s="5" t="s">
        <v>11</v>
      </c>
      <c r="C4" s="5" t="s">
        <v>12</v>
      </c>
      <c r="D4" s="70" t="s">
        <v>13</v>
      </c>
      <c r="E4" s="70" t="s">
        <v>14</v>
      </c>
      <c r="F4" s="70" t="s">
        <v>13</v>
      </c>
      <c r="G4" s="70" t="s">
        <v>14</v>
      </c>
      <c r="H4" s="70" t="s">
        <v>13</v>
      </c>
      <c r="I4" s="70" t="s">
        <v>14</v>
      </c>
      <c r="J4" s="70" t="s">
        <v>13</v>
      </c>
      <c r="K4" s="70" t="s">
        <v>14</v>
      </c>
      <c r="L4" s="70" t="s">
        <v>13</v>
      </c>
      <c r="M4" s="70" t="s">
        <v>14</v>
      </c>
      <c r="N4" s="70" t="s">
        <v>13</v>
      </c>
      <c r="O4" s="70" t="s">
        <v>14</v>
      </c>
      <c r="P4" s="13" t="s">
        <v>13</v>
      </c>
      <c r="Q4" s="13" t="s">
        <v>14</v>
      </c>
      <c r="R4" s="13" t="s">
        <v>13</v>
      </c>
      <c r="S4" s="13" t="s">
        <v>14</v>
      </c>
      <c r="T4" s="13" t="s">
        <v>13</v>
      </c>
      <c r="U4" s="13" t="s">
        <v>14</v>
      </c>
      <c r="V4" s="13" t="s">
        <v>13</v>
      </c>
      <c r="W4" s="13" t="s">
        <v>14</v>
      </c>
      <c r="X4" s="13" t="s">
        <v>13</v>
      </c>
      <c r="Y4" s="13" t="s">
        <v>14</v>
      </c>
      <c r="Z4" s="13" t="s">
        <v>13</v>
      </c>
      <c r="AA4" s="13" t="s">
        <v>14</v>
      </c>
      <c r="AB4" s="13" t="s">
        <v>13</v>
      </c>
      <c r="AC4" s="13" t="s">
        <v>14</v>
      </c>
      <c r="AD4" s="13" t="s">
        <v>13</v>
      </c>
      <c r="AE4" s="13" t="s">
        <v>14</v>
      </c>
      <c r="AF4" s="13" t="s">
        <v>13</v>
      </c>
      <c r="AG4" s="1" t="s">
        <v>14</v>
      </c>
      <c r="AH4" s="63"/>
      <c r="AI4" s="29"/>
      <c r="AJ4" s="13" t="s">
        <v>13</v>
      </c>
      <c r="AK4" s="13" t="s">
        <v>14</v>
      </c>
      <c r="AL4" s="13" t="s">
        <v>13</v>
      </c>
      <c r="AM4" s="13" t="s">
        <v>14</v>
      </c>
      <c r="AN4" s="13" t="s">
        <v>13</v>
      </c>
      <c r="AO4" s="13" t="s">
        <v>14</v>
      </c>
      <c r="AP4" s="13" t="s">
        <v>13</v>
      </c>
      <c r="AQ4" s="13" t="s">
        <v>14</v>
      </c>
      <c r="AR4" s="13" t="s">
        <v>13</v>
      </c>
      <c r="AS4" s="13" t="s">
        <v>14</v>
      </c>
      <c r="AT4" s="13" t="s">
        <v>13</v>
      </c>
      <c r="AU4" s="13" t="s">
        <v>14</v>
      </c>
      <c r="AV4" s="13" t="s">
        <v>13</v>
      </c>
      <c r="AW4" s="13" t="s">
        <v>14</v>
      </c>
      <c r="AX4" s="13" t="s">
        <v>13</v>
      </c>
      <c r="AY4" s="13" t="s">
        <v>14</v>
      </c>
      <c r="AZ4" s="13" t="s">
        <v>13</v>
      </c>
      <c r="BA4" s="13" t="s">
        <v>14</v>
      </c>
      <c r="BB4" s="13" t="s">
        <v>13</v>
      </c>
      <c r="BC4" s="13" t="s">
        <v>14</v>
      </c>
      <c r="BD4" s="13" t="s">
        <v>13</v>
      </c>
      <c r="BE4" s="13" t="s">
        <v>14</v>
      </c>
      <c r="BF4" s="13" t="s">
        <v>13</v>
      </c>
      <c r="BG4" s="13" t="s">
        <v>14</v>
      </c>
      <c r="BH4" s="13" t="s">
        <v>13</v>
      </c>
      <c r="BI4" s="13" t="s">
        <v>14</v>
      </c>
      <c r="BJ4" s="13" t="s">
        <v>13</v>
      </c>
      <c r="BK4" s="13" t="s">
        <v>14</v>
      </c>
      <c r="BL4" s="13" t="s">
        <v>13</v>
      </c>
      <c r="BM4" s="13" t="s">
        <v>14</v>
      </c>
      <c r="BN4" s="13" t="s">
        <v>13</v>
      </c>
      <c r="BO4" s="13" t="s">
        <v>14</v>
      </c>
      <c r="BP4" s="125"/>
      <c r="BQ4" s="125"/>
      <c r="BR4" s="6"/>
      <c r="BS4" s="59" t="s">
        <v>15</v>
      </c>
      <c r="BT4" s="59" t="s">
        <v>16</v>
      </c>
      <c r="BU4" s="59" t="s">
        <v>17</v>
      </c>
      <c r="BV4" s="59" t="s">
        <v>18</v>
      </c>
      <c r="BW4" s="59" t="s">
        <v>19</v>
      </c>
      <c r="BX4" s="59" t="s">
        <v>20</v>
      </c>
      <c r="BY4" s="59" t="s">
        <v>21</v>
      </c>
      <c r="BZ4" s="59" t="s">
        <v>22</v>
      </c>
      <c r="CA4" s="59" t="s">
        <v>23</v>
      </c>
      <c r="CB4" s="59" t="s">
        <v>24</v>
      </c>
      <c r="CC4" s="59" t="s">
        <v>25</v>
      </c>
      <c r="CD4" s="7" t="s">
        <v>26</v>
      </c>
      <c r="CI4" s="77" t="s">
        <v>16</v>
      </c>
      <c r="CJ4" s="78" t="s">
        <v>17</v>
      </c>
      <c r="CK4" s="78" t="s">
        <v>18</v>
      </c>
      <c r="CL4" s="78" t="s">
        <v>19</v>
      </c>
      <c r="CM4" s="78" t="s">
        <v>20</v>
      </c>
      <c r="CN4" s="78" t="s">
        <v>21</v>
      </c>
      <c r="CO4" s="78" t="s">
        <v>22</v>
      </c>
      <c r="CP4" s="78" t="s">
        <v>23</v>
      </c>
      <c r="CQ4" s="78" t="s">
        <v>24</v>
      </c>
      <c r="CR4" s="78" t="s">
        <v>25</v>
      </c>
      <c r="CS4" s="79" t="s">
        <v>93</v>
      </c>
    </row>
    <row r="5" spans="1:97" ht="22.5" customHeight="1" x14ac:dyDescent="0.25">
      <c r="A5" s="8">
        <v>1</v>
      </c>
      <c r="B5" s="9" t="str">
        <f>'[1]Hulhumale Staffs_ Sep 2025'!B6</f>
        <v>MAD0226</v>
      </c>
      <c r="C5" s="69" t="s">
        <v>28</v>
      </c>
      <c r="D5" s="103">
        <v>0.35902777777777778</v>
      </c>
      <c r="E5" s="103">
        <v>0.98749999999999993</v>
      </c>
      <c r="F5" s="103">
        <v>0.3354166666666667</v>
      </c>
      <c r="G5" s="103">
        <v>0</v>
      </c>
      <c r="H5" s="110">
        <v>0.77430555555555547</v>
      </c>
      <c r="I5" s="109">
        <v>1</v>
      </c>
      <c r="J5" s="103">
        <v>0.33611111111111108</v>
      </c>
      <c r="K5" s="103">
        <v>2.7777777777777779E-3</v>
      </c>
      <c r="L5" s="103">
        <v>0.34375</v>
      </c>
      <c r="M5" s="103">
        <v>0.98611111111111116</v>
      </c>
      <c r="N5" s="103">
        <v>0.33402777777777781</v>
      </c>
      <c r="O5" s="103">
        <v>0.98541666666666661</v>
      </c>
      <c r="P5" s="103">
        <v>0.33680555555555558</v>
      </c>
      <c r="Q5" s="103">
        <v>0.9819444444444444</v>
      </c>
      <c r="R5" s="103">
        <v>0.33749999999999997</v>
      </c>
      <c r="S5" s="103">
        <v>0.98125000000000007</v>
      </c>
      <c r="T5" s="103">
        <v>0.33333333333333331</v>
      </c>
      <c r="U5" s="103">
        <v>0</v>
      </c>
      <c r="V5" s="110">
        <v>0.55833333333333335</v>
      </c>
      <c r="W5" s="110">
        <v>0.9819444444444444</v>
      </c>
      <c r="X5" s="103">
        <v>0.3354166666666667</v>
      </c>
      <c r="Y5" s="103">
        <v>1.3888888888888889E-3</v>
      </c>
      <c r="Z5" s="103">
        <v>0.33194444444444443</v>
      </c>
      <c r="AA5" s="103">
        <v>0.98541666666666661</v>
      </c>
      <c r="AB5" s="103">
        <v>0.33402777777777781</v>
      </c>
      <c r="AC5" s="103">
        <v>0.97777777777777775</v>
      </c>
      <c r="AD5" s="103">
        <v>0.3576388888888889</v>
      </c>
      <c r="AE5" s="103">
        <v>0.3576388888888889</v>
      </c>
      <c r="AF5" s="103">
        <v>0.33333333333333331</v>
      </c>
      <c r="AG5" s="103">
        <v>0.97152777777777777</v>
      </c>
      <c r="AH5" s="116"/>
      <c r="AI5" s="8">
        <v>1</v>
      </c>
      <c r="AJ5" s="103">
        <v>0.33749999999999997</v>
      </c>
      <c r="AK5" s="103">
        <v>7.6388888888888886E-3</v>
      </c>
      <c r="AL5" s="109" t="s">
        <v>15</v>
      </c>
      <c r="AM5" s="109" t="s">
        <v>15</v>
      </c>
      <c r="AN5" s="103">
        <v>0.33402777777777781</v>
      </c>
      <c r="AO5" s="103">
        <v>0.99583333333333324</v>
      </c>
      <c r="AP5" s="103">
        <v>0.33402777777777781</v>
      </c>
      <c r="AQ5" s="103">
        <v>0.98125000000000007</v>
      </c>
      <c r="AR5" s="103">
        <v>0.36527777777777781</v>
      </c>
      <c r="AS5" s="103">
        <v>0.36527777777777781</v>
      </c>
      <c r="AT5" s="103">
        <v>0.3354166666666667</v>
      </c>
      <c r="AU5" s="103">
        <v>0.97916666666666663</v>
      </c>
      <c r="AV5" s="103">
        <v>0.33333333333333331</v>
      </c>
      <c r="AW5" s="103">
        <v>0.97986111111111107</v>
      </c>
      <c r="AX5" s="103">
        <v>0.33333333333333331</v>
      </c>
      <c r="AY5" s="103">
        <v>2.7777777777777779E-3</v>
      </c>
      <c r="AZ5" s="110">
        <v>0.5625</v>
      </c>
      <c r="BA5" s="110">
        <v>0.98749999999999993</v>
      </c>
      <c r="BB5" s="103">
        <v>0.33402777777777781</v>
      </c>
      <c r="BC5" s="103">
        <v>0.99791666666666667</v>
      </c>
      <c r="BD5" s="103">
        <v>0.33194444444444443</v>
      </c>
      <c r="BE5" s="103">
        <v>0.97777777777777775</v>
      </c>
      <c r="BF5" s="103">
        <v>0.33402777777777781</v>
      </c>
      <c r="BG5" s="103">
        <v>0.99791666666666667</v>
      </c>
      <c r="BH5" s="103">
        <v>0.33333333333333331</v>
      </c>
      <c r="BI5" s="97">
        <v>1</v>
      </c>
      <c r="BJ5" s="97">
        <v>1</v>
      </c>
      <c r="BK5" s="97">
        <v>1</v>
      </c>
      <c r="BL5" s="97">
        <v>1</v>
      </c>
      <c r="BM5" s="97">
        <v>1</v>
      </c>
      <c r="BN5" s="109" t="s">
        <v>15</v>
      </c>
      <c r="BO5" s="109" t="s">
        <v>15</v>
      </c>
      <c r="BP5" s="73">
        <f>BR5+BS5+BT5+BU5+BZ5+BX5+BY5+CC5</f>
        <v>31</v>
      </c>
      <c r="BQ5" s="97">
        <v>3</v>
      </c>
      <c r="BR5" s="18">
        <f t="shared" ref="BR5" si="0">COUNT(D5:AG5)/2+COUNT(AJ5:BO5)/2</f>
        <v>29</v>
      </c>
      <c r="BS5" s="19">
        <f>COUNTIF(B5:BO5,"OFF")/2</f>
        <v>2</v>
      </c>
      <c r="BT5" s="19">
        <f>COUNTIF(B5:BO5,"MC")/2</f>
        <v>0</v>
      </c>
      <c r="BU5" s="19">
        <f>COUNTIF(B5:BO5,"EL")/2</f>
        <v>0</v>
      </c>
      <c r="BV5" s="19">
        <f>COUNTIF(B5:BO5,"AL")/2</f>
        <v>0</v>
      </c>
      <c r="BW5" s="19">
        <f>COUNTIF(B5:BO5,"SUS")/2</f>
        <v>0</v>
      </c>
      <c r="BX5" s="19">
        <f>COUNTIF(B5:BO5,"FL")/2</f>
        <v>0</v>
      </c>
      <c r="BY5" s="19">
        <f>COUNTIF(B5:BO5,"SICK")/2</f>
        <v>0</v>
      </c>
      <c r="BZ5" s="19">
        <f>COUNTIF(B5:BO5,"HD")/2</f>
        <v>0</v>
      </c>
      <c r="CA5" s="19">
        <f>COUNTIF(B5:BO5,"AB")/2</f>
        <v>0</v>
      </c>
      <c r="CB5" s="19">
        <f>COUNTIF(B5:BO5,"NL")/2</f>
        <v>0</v>
      </c>
      <c r="CC5" s="19">
        <f>COUNTIF(B5:BO5,"SP")/2</f>
        <v>0</v>
      </c>
      <c r="CD5" s="20"/>
      <c r="CI5" s="81">
        <v>0</v>
      </c>
      <c r="CJ5" s="81">
        <v>0</v>
      </c>
      <c r="CK5" s="81">
        <v>0</v>
      </c>
      <c r="CL5" s="81">
        <v>0</v>
      </c>
      <c r="CM5" s="81">
        <v>0</v>
      </c>
      <c r="CN5" s="81">
        <v>0</v>
      </c>
      <c r="CO5" s="81">
        <v>0</v>
      </c>
      <c r="CP5" s="81">
        <v>0</v>
      </c>
      <c r="CQ5" s="81">
        <v>0</v>
      </c>
      <c r="CR5" s="81">
        <v>0</v>
      </c>
      <c r="CS5" s="85">
        <f t="shared" ref="CS5" si="1">SUM(CI5:CR5)</f>
        <v>0</v>
      </c>
    </row>
    <row r="6" spans="1:97" ht="16.5" x14ac:dyDescent="0.25">
      <c r="A6" s="10"/>
      <c r="B6" s="2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2"/>
      <c r="BP6" s="93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</row>
    <row r="7" spans="1:97" ht="15.75" x14ac:dyDescent="0.25">
      <c r="A7" s="10"/>
      <c r="B7" s="21"/>
      <c r="C7" s="10"/>
      <c r="D7" s="10"/>
      <c r="E7" s="94" t="s">
        <v>104</v>
      </c>
      <c r="F7" s="94"/>
      <c r="G7" s="94" t="s">
        <v>121</v>
      </c>
      <c r="H7" s="94"/>
      <c r="I7" s="94"/>
      <c r="J7" s="94"/>
      <c r="K7" s="94"/>
      <c r="L7" s="94"/>
      <c r="M7" s="94"/>
      <c r="N7" s="94"/>
      <c r="O7" s="118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P7" s="11"/>
      <c r="BQ7" s="49" t="s">
        <v>80</v>
      </c>
      <c r="BR7" s="50"/>
      <c r="BS7" s="50"/>
      <c r="BT7" s="51" t="s">
        <v>15</v>
      </c>
      <c r="BU7" s="52"/>
      <c r="BV7" s="53" t="s">
        <v>81</v>
      </c>
      <c r="BW7" s="54"/>
      <c r="BX7" s="54"/>
      <c r="BY7" s="55"/>
      <c r="BZ7" s="56" t="s">
        <v>21</v>
      </c>
      <c r="CA7" s="11"/>
      <c r="CB7" s="11"/>
      <c r="CC7" s="11"/>
      <c r="CD7" s="11"/>
    </row>
    <row r="8" spans="1:97" ht="15.75" x14ac:dyDescent="0.25">
      <c r="E8" s="94" t="s">
        <v>105</v>
      </c>
      <c r="F8" s="94"/>
      <c r="G8" s="94" t="s">
        <v>107</v>
      </c>
      <c r="H8" s="94"/>
      <c r="I8" s="94"/>
      <c r="J8" s="94"/>
      <c r="K8" s="94"/>
      <c r="L8" s="94"/>
      <c r="M8" s="94"/>
      <c r="N8" s="94"/>
      <c r="O8" s="119"/>
      <c r="BQ8" s="49" t="s">
        <v>82</v>
      </c>
      <c r="BR8" s="50"/>
      <c r="BS8" s="50"/>
      <c r="BT8" s="51" t="s">
        <v>16</v>
      </c>
      <c r="BU8" s="52"/>
      <c r="BV8" s="57" t="s">
        <v>83</v>
      </c>
      <c r="BW8" s="58"/>
      <c r="BX8" s="58"/>
      <c r="BY8" s="55"/>
      <c r="BZ8" s="56" t="s">
        <v>22</v>
      </c>
    </row>
    <row r="9" spans="1:97" ht="16.5" thickBot="1" x14ac:dyDescent="0.3">
      <c r="E9" s="35"/>
      <c r="F9" s="36" t="s">
        <v>71</v>
      </c>
      <c r="G9" s="30"/>
      <c r="H9" s="36"/>
      <c r="I9" s="32"/>
      <c r="J9" s="32"/>
      <c r="K9" s="33"/>
      <c r="L9" s="34"/>
      <c r="M9" s="34"/>
      <c r="N9" s="37" t="s">
        <v>72</v>
      </c>
      <c r="O9" s="37"/>
      <c r="P9" s="33"/>
      <c r="Q9" s="33"/>
      <c r="R9" s="33"/>
      <c r="S9" s="33"/>
      <c r="T9" s="33" t="s">
        <v>91</v>
      </c>
      <c r="U9" s="33"/>
      <c r="V9" s="33"/>
      <c r="W9" s="33"/>
      <c r="X9" s="37" t="s">
        <v>73</v>
      </c>
      <c r="Y9" s="33"/>
      <c r="AJ9" s="90"/>
      <c r="BQ9" s="49" t="s">
        <v>84</v>
      </c>
      <c r="BR9" s="50"/>
      <c r="BS9" s="50"/>
      <c r="BT9" s="51" t="s">
        <v>17</v>
      </c>
      <c r="BU9" s="52"/>
      <c r="BV9" s="57" t="s">
        <v>85</v>
      </c>
      <c r="BW9" s="58"/>
      <c r="BX9" s="58"/>
      <c r="BY9" s="55"/>
      <c r="BZ9" s="56" t="s">
        <v>23</v>
      </c>
    </row>
    <row r="10" spans="1:97" ht="18" thickBot="1" x14ac:dyDescent="0.3">
      <c r="E10" s="38"/>
      <c r="F10" s="32"/>
      <c r="G10" s="32"/>
      <c r="H10" s="32"/>
      <c r="I10" s="32"/>
      <c r="J10" s="32"/>
      <c r="K10" s="32"/>
      <c r="L10" s="39"/>
      <c r="M10" s="39"/>
      <c r="N10" s="39"/>
      <c r="O10" s="32"/>
      <c r="P10" s="32"/>
      <c r="Q10" s="32"/>
      <c r="R10" s="40"/>
      <c r="S10" s="40"/>
      <c r="T10" s="40"/>
      <c r="U10" s="40"/>
      <c r="V10" s="40"/>
      <c r="W10" s="40"/>
      <c r="X10" s="41"/>
      <c r="Y10" s="41"/>
      <c r="AJ10" s="89"/>
      <c r="BQ10" s="49" t="s">
        <v>86</v>
      </c>
      <c r="BR10" s="50"/>
      <c r="BS10" s="50"/>
      <c r="BT10" s="51" t="s">
        <v>18</v>
      </c>
      <c r="BU10" s="52"/>
      <c r="BV10" s="53" t="s">
        <v>87</v>
      </c>
      <c r="BW10" s="54"/>
      <c r="BX10" s="54"/>
      <c r="BY10" s="55"/>
      <c r="BZ10" s="56" t="s">
        <v>24</v>
      </c>
    </row>
    <row r="11" spans="1:97" ht="17.25" x14ac:dyDescent="0.25">
      <c r="E11" s="38"/>
      <c r="F11" s="42"/>
      <c r="G11" s="32"/>
      <c r="H11" s="42"/>
      <c r="I11" s="32"/>
      <c r="J11" s="32"/>
      <c r="K11" s="42" t="s">
        <v>91</v>
      </c>
      <c r="L11" s="43"/>
      <c r="M11" s="43"/>
      <c r="N11" s="39"/>
      <c r="O11" s="32"/>
      <c r="P11" s="42"/>
      <c r="Q11" s="42"/>
      <c r="R11" s="33"/>
      <c r="S11" s="32"/>
      <c r="T11" s="32"/>
      <c r="U11" s="32"/>
      <c r="V11" s="32"/>
      <c r="W11" s="32"/>
      <c r="X11" s="44"/>
      <c r="Y11" s="44"/>
      <c r="AH11" t="s">
        <v>91</v>
      </c>
      <c r="BQ11" s="49" t="s">
        <v>88</v>
      </c>
      <c r="BR11" s="50"/>
      <c r="BS11" s="50"/>
      <c r="BT11" s="51" t="s">
        <v>19</v>
      </c>
      <c r="BU11" s="52"/>
      <c r="BV11" s="53" t="s">
        <v>89</v>
      </c>
      <c r="BW11" s="54"/>
      <c r="BX11" s="54"/>
      <c r="BY11" s="55"/>
      <c r="BZ11" s="56" t="s">
        <v>25</v>
      </c>
    </row>
    <row r="12" spans="1:97" ht="17.25" x14ac:dyDescent="0.25">
      <c r="E12" s="45"/>
      <c r="F12" s="42"/>
      <c r="G12" s="32"/>
      <c r="H12" s="42"/>
      <c r="I12" s="32"/>
      <c r="J12" s="32"/>
      <c r="K12" s="42"/>
      <c r="L12" s="43"/>
      <c r="M12" s="43"/>
      <c r="N12" s="39"/>
      <c r="O12" s="33"/>
      <c r="P12" s="42"/>
      <c r="Q12" s="42"/>
      <c r="R12" s="33"/>
      <c r="S12" s="32"/>
      <c r="T12" s="32"/>
      <c r="U12" s="32"/>
      <c r="V12" s="32"/>
      <c r="W12" s="32"/>
      <c r="X12" s="44"/>
      <c r="Y12" s="44"/>
      <c r="BQ12" s="49" t="s">
        <v>90</v>
      </c>
      <c r="BR12" s="50"/>
      <c r="BS12" s="50"/>
      <c r="BT12" s="51" t="s">
        <v>20</v>
      </c>
      <c r="BU12" s="52"/>
      <c r="BV12" s="52"/>
      <c r="BW12" s="52"/>
      <c r="BX12" s="52"/>
      <c r="BY12" s="52"/>
      <c r="BZ12" s="52"/>
    </row>
    <row r="14" spans="1:97" ht="17.25" x14ac:dyDescent="0.25">
      <c r="E14" s="46" t="s">
        <v>74</v>
      </c>
      <c r="F14" s="47"/>
      <c r="G14" s="35"/>
      <c r="H14" s="46"/>
      <c r="I14" s="32"/>
      <c r="J14" s="32"/>
      <c r="K14" s="42"/>
      <c r="L14" s="39"/>
      <c r="M14" s="43"/>
      <c r="N14" s="30" t="s">
        <v>75</v>
      </c>
      <c r="O14" s="32"/>
      <c r="P14" s="42"/>
      <c r="Q14" s="33"/>
      <c r="R14" s="32"/>
      <c r="S14" s="32"/>
      <c r="T14" s="32"/>
      <c r="U14" s="32"/>
      <c r="V14" s="32"/>
      <c r="W14" s="32"/>
      <c r="X14" s="30" t="s">
        <v>76</v>
      </c>
      <c r="Y14" s="44"/>
    </row>
    <row r="15" spans="1:97" ht="17.25" x14ac:dyDescent="0.25">
      <c r="E15" s="46"/>
      <c r="F15" s="46" t="s">
        <v>77</v>
      </c>
      <c r="G15" s="45"/>
      <c r="H15" s="45"/>
      <c r="I15" s="32"/>
      <c r="J15" s="32"/>
      <c r="K15" s="30"/>
      <c r="L15" s="48"/>
      <c r="M15" s="48"/>
      <c r="N15" s="30" t="s">
        <v>78</v>
      </c>
      <c r="O15" s="30"/>
      <c r="P15" s="30"/>
      <c r="Q15" s="33"/>
      <c r="R15" s="30"/>
      <c r="S15" s="32"/>
      <c r="T15" s="32"/>
      <c r="U15" s="32"/>
      <c r="V15" s="32"/>
      <c r="W15" s="32"/>
      <c r="X15" s="30" t="s">
        <v>79</v>
      </c>
      <c r="Y15" s="44"/>
    </row>
    <row r="16" spans="1:97" x14ac:dyDescent="0.25">
      <c r="AV16" t="s">
        <v>91</v>
      </c>
    </row>
    <row r="20" spans="1:97" ht="15.75" x14ac:dyDescent="0.25">
      <c r="J20" s="31"/>
      <c r="M20" s="32"/>
    </row>
    <row r="25" spans="1:97" ht="15.75" thickBot="1" x14ac:dyDescent="0.3">
      <c r="I25" t="s">
        <v>91</v>
      </c>
    </row>
    <row r="26" spans="1:97" ht="15.75" thickBot="1" x14ac:dyDescent="0.3">
      <c r="AG26" s="103">
        <v>0.87222222222222223</v>
      </c>
      <c r="AH26" s="115"/>
      <c r="AI26" s="117"/>
    </row>
    <row r="27" spans="1:97" x14ac:dyDescent="0.25">
      <c r="AG27" s="103">
        <v>0.82638888888888884</v>
      </c>
      <c r="AH27" s="116"/>
      <c r="AI27" s="8">
        <v>20</v>
      </c>
    </row>
    <row r="29" spans="1:97" ht="22.5" customHeight="1" x14ac:dyDescent="0.25">
      <c r="A29" s="8">
        <v>15</v>
      </c>
      <c r="B29" s="9" t="s">
        <v>54</v>
      </c>
      <c r="C29" s="69" t="s">
        <v>94</v>
      </c>
      <c r="D29" s="103">
        <v>0.37777777777777777</v>
      </c>
      <c r="E29" s="103">
        <v>0.84722222222222221</v>
      </c>
      <c r="F29" s="103">
        <v>0.37847222222222227</v>
      </c>
      <c r="G29" s="103">
        <v>0.9243055555555556</v>
      </c>
      <c r="H29" s="110">
        <v>0.33402777777777781</v>
      </c>
      <c r="I29" s="110">
        <v>0.86111111111111116</v>
      </c>
      <c r="J29" s="103">
        <v>0.39861111111111108</v>
      </c>
      <c r="K29" s="103">
        <v>0.86875000000000002</v>
      </c>
      <c r="L29" s="103">
        <v>0.41180555555555554</v>
      </c>
      <c r="M29" s="103">
        <v>0.86805555555555547</v>
      </c>
      <c r="N29" s="103">
        <v>0.375</v>
      </c>
      <c r="O29" s="103">
        <v>0.86597222222222225</v>
      </c>
      <c r="P29" s="103">
        <v>0.37916666666666665</v>
      </c>
      <c r="Q29" s="103">
        <v>0.85902777777777783</v>
      </c>
      <c r="R29" s="103">
        <v>0.37708333333333338</v>
      </c>
      <c r="S29" s="103">
        <v>0.87152777777777779</v>
      </c>
      <c r="T29" s="103">
        <v>0.37777777777777777</v>
      </c>
      <c r="U29" s="103">
        <v>0.91180555555555554</v>
      </c>
      <c r="V29" s="110">
        <v>0.33263888888888887</v>
      </c>
      <c r="W29" s="110">
        <v>0.87430555555555556</v>
      </c>
      <c r="X29" s="103">
        <v>0.3756944444444445</v>
      </c>
      <c r="Y29" s="103">
        <v>0.86944444444444446</v>
      </c>
      <c r="Z29" s="103">
        <v>0.3756944444444445</v>
      </c>
      <c r="AA29" s="103">
        <v>0.87222222222222223</v>
      </c>
      <c r="AB29" s="103">
        <v>0.375</v>
      </c>
      <c r="AC29" s="103">
        <v>0.87152777777777779</v>
      </c>
      <c r="AD29" s="103">
        <v>0.3743055555555555</v>
      </c>
      <c r="AE29" s="103">
        <v>0.8666666666666667</v>
      </c>
      <c r="AF29" s="103">
        <v>0.37152777777777773</v>
      </c>
      <c r="AL29" s="87"/>
      <c r="AM29" s="87"/>
      <c r="AN29" s="87"/>
      <c r="AO29" s="87"/>
      <c r="AP29" s="87"/>
      <c r="AQ29" s="87"/>
      <c r="AR29" s="88"/>
      <c r="AS29" s="96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8"/>
      <c r="BG29" s="88"/>
      <c r="BH29" s="87"/>
      <c r="BI29" s="87"/>
      <c r="BJ29" s="87"/>
      <c r="BK29" s="87"/>
      <c r="BL29" s="87"/>
      <c r="BM29" s="87"/>
      <c r="BN29" s="87"/>
      <c r="BO29" s="87"/>
      <c r="BP29" s="73">
        <f>BR29+BS29+BT29+BU29+BZ29+BX29+BY29+CC29</f>
        <v>13.5</v>
      </c>
      <c r="BQ29" s="74"/>
      <c r="BR29" s="18">
        <f>COUNT(D29:AC29)/2+COUNT(AF29:BO29)/2</f>
        <v>13.5</v>
      </c>
      <c r="BS29" s="19">
        <f>COUNTIF(B29:BO29,"OFF")/2</f>
        <v>0</v>
      </c>
      <c r="BT29" s="19">
        <f>COUNTIF(B29:BO29,"MC")/2</f>
        <v>0</v>
      </c>
      <c r="BU29" s="19">
        <f>COUNTIF(B29:BO29,"EL")/2</f>
        <v>0</v>
      </c>
      <c r="BV29" s="19">
        <f>COUNTIF(B29:BO29,"AL")/2</f>
        <v>0</v>
      </c>
      <c r="BW29" s="19">
        <f>COUNTIF(B29:BO29,"SUS")/2</f>
        <v>0</v>
      </c>
      <c r="BX29" s="19">
        <f>COUNTIF(B29:BO29,"FL")/2</f>
        <v>0</v>
      </c>
      <c r="BY29" s="19">
        <f>COUNTIF(B29:BO29,"SICK")/2</f>
        <v>0</v>
      </c>
      <c r="BZ29" s="19">
        <f>COUNTIF(B29:BO29,"HD")/2</f>
        <v>0</v>
      </c>
      <c r="CA29" s="19">
        <f>COUNTIF(B29:BO29,"AB")/2</f>
        <v>0</v>
      </c>
      <c r="CB29" s="19">
        <f>COUNTIF(B29:BO29,"NL")/2</f>
        <v>0</v>
      </c>
      <c r="CC29" s="19">
        <f>COUNTIF(B29:BO29,"SP")/2</f>
        <v>0</v>
      </c>
      <c r="CD29" s="101"/>
      <c r="CI29" s="82">
        <v>0</v>
      </c>
      <c r="CJ29" s="82">
        <v>0</v>
      </c>
      <c r="CK29" s="82">
        <v>0</v>
      </c>
      <c r="CL29" s="82">
        <v>0</v>
      </c>
      <c r="CM29" s="82">
        <v>0</v>
      </c>
      <c r="CN29" s="82">
        <v>1</v>
      </c>
      <c r="CO29" s="82">
        <v>0</v>
      </c>
      <c r="CP29" s="83">
        <v>1</v>
      </c>
      <c r="CQ29" s="83">
        <v>0</v>
      </c>
      <c r="CR29" s="83">
        <v>0</v>
      </c>
      <c r="CS29" s="85">
        <f>SUM(CI29:CR29)</f>
        <v>2</v>
      </c>
    </row>
    <row r="30" spans="1:97" ht="22.5" customHeight="1" x14ac:dyDescent="0.25">
      <c r="A30" s="8">
        <v>20</v>
      </c>
      <c r="B30" s="9" t="s">
        <v>61</v>
      </c>
      <c r="C30" s="69" t="s">
        <v>62</v>
      </c>
      <c r="D30" s="103">
        <v>0.34513888888888888</v>
      </c>
      <c r="E30" s="103">
        <v>0.82986111111111116</v>
      </c>
      <c r="F30" s="103">
        <v>0.33888888888888885</v>
      </c>
      <c r="G30" s="103">
        <v>0.82847222222222217</v>
      </c>
      <c r="H30" s="110">
        <v>0.56944444444444442</v>
      </c>
      <c r="I30" s="110">
        <v>0.82291666666666663</v>
      </c>
      <c r="J30" s="103">
        <v>0.34513888888888888</v>
      </c>
      <c r="K30" s="103">
        <v>0.83263888888888893</v>
      </c>
      <c r="L30" s="103">
        <v>0.34375</v>
      </c>
      <c r="M30" s="103">
        <v>0.91041666666666676</v>
      </c>
      <c r="N30" s="103">
        <v>0.3430555555555555</v>
      </c>
      <c r="O30" s="103">
        <v>0.9555555555555556</v>
      </c>
      <c r="P30" s="103">
        <v>0.34652777777777777</v>
      </c>
      <c r="Q30" s="103">
        <v>0.83124999999999993</v>
      </c>
      <c r="R30" s="103">
        <v>0.3430555555555555</v>
      </c>
      <c r="S30" s="103">
        <v>0.74930555555555556</v>
      </c>
      <c r="T30" s="103">
        <v>0.34097222222222223</v>
      </c>
      <c r="U30" s="103">
        <v>0.92986111111111114</v>
      </c>
      <c r="V30" s="109" t="s">
        <v>15</v>
      </c>
      <c r="W30" s="109" t="s">
        <v>15</v>
      </c>
      <c r="X30" s="103">
        <v>0.34513888888888888</v>
      </c>
      <c r="Y30" s="103">
        <v>0.87847222222222221</v>
      </c>
      <c r="Z30" s="103">
        <v>0.3444444444444445</v>
      </c>
      <c r="AA30" s="103">
        <v>0.85902777777777783</v>
      </c>
      <c r="AB30" s="103">
        <v>0.3444444444444445</v>
      </c>
      <c r="AC30" s="103">
        <v>0.85</v>
      </c>
      <c r="AD30" s="103">
        <v>0.33680555555555558</v>
      </c>
      <c r="AE30" s="103">
        <v>0.84791666666666676</v>
      </c>
      <c r="AF30" s="103">
        <v>0.3354166666666667</v>
      </c>
      <c r="AJ30" s="103">
        <v>0.34652777777777777</v>
      </c>
      <c r="AK30" s="103">
        <v>0.8354166666666667</v>
      </c>
      <c r="AL30" s="110">
        <v>0.57777777777777783</v>
      </c>
      <c r="AM30" s="110">
        <v>0.87777777777777777</v>
      </c>
      <c r="AN30" s="103">
        <v>0.33888888888888885</v>
      </c>
      <c r="AO30" s="103">
        <v>0.33958333333333335</v>
      </c>
      <c r="AP30" s="103">
        <v>0.35138888888888892</v>
      </c>
      <c r="AQ30" s="103">
        <v>0.85</v>
      </c>
      <c r="AR30" s="103">
        <v>0.3430555555555555</v>
      </c>
      <c r="AS30" s="103">
        <v>0.85486111111111107</v>
      </c>
      <c r="AT30" s="103">
        <v>0.34027777777777773</v>
      </c>
      <c r="AU30" s="103">
        <v>0.85138888888888886</v>
      </c>
      <c r="AV30" s="103">
        <v>0.33333333333333331</v>
      </c>
      <c r="AW30" s="103">
        <v>0.33333333333333331</v>
      </c>
      <c r="AX30" s="103">
        <v>0.33749999999999997</v>
      </c>
      <c r="AY30" s="103">
        <v>0.33749999999999997</v>
      </c>
      <c r="AZ30" s="109" t="s">
        <v>15</v>
      </c>
      <c r="BA30" s="109" t="s">
        <v>15</v>
      </c>
      <c r="BB30" s="103" t="s">
        <v>18</v>
      </c>
      <c r="BC30" s="103" t="s">
        <v>18</v>
      </c>
      <c r="BD30" s="103" t="s">
        <v>18</v>
      </c>
      <c r="BE30" s="103" t="s">
        <v>18</v>
      </c>
      <c r="BH30" s="87"/>
      <c r="BI30" s="87"/>
      <c r="BJ30" s="87"/>
      <c r="BK30" s="87"/>
      <c r="BL30" s="87"/>
      <c r="BM30" s="87"/>
      <c r="BN30" s="87"/>
      <c r="BO30" s="87"/>
      <c r="BP30" s="73">
        <f>BR30+BS30+BT30+BU30+BZ30+BX30+BY30+CC30</f>
        <v>22.5</v>
      </c>
      <c r="BQ30" s="74"/>
      <c r="BR30" s="18">
        <f>COUNT(D30:AC30)/2+COUNT(AF30:BO30)/2</f>
        <v>20.5</v>
      </c>
      <c r="BS30" s="19">
        <f>COUNTIF(B30:BO30,"OFF")/2</f>
        <v>2</v>
      </c>
      <c r="BT30" s="19">
        <f>COUNTIF(B30:BO30,"MC")/2</f>
        <v>0</v>
      </c>
      <c r="BU30" s="19">
        <f>COUNTIF(B30:BO30,"EL")/2</f>
        <v>0</v>
      </c>
      <c r="BV30" s="19">
        <f>COUNTIF(B30:BO30,"AL")/2</f>
        <v>2</v>
      </c>
      <c r="BW30" s="19">
        <f>COUNTIF(B30:BO30,"SUS")/2</f>
        <v>0</v>
      </c>
      <c r="BX30" s="19">
        <f>COUNTIF(B30:BO30,"FL")/2</f>
        <v>0</v>
      </c>
      <c r="BY30" s="19">
        <f>COUNTIF(B30:BO30,"SICK")/2</f>
        <v>0</v>
      </c>
      <c r="BZ30" s="19">
        <f>COUNTIF(B30:BO30,"HD")/2</f>
        <v>0</v>
      </c>
      <c r="CA30" s="19">
        <f>COUNTIF(B30:BO30,"AB")/2</f>
        <v>0</v>
      </c>
      <c r="CB30" s="19">
        <f>COUNTIF(B30:BO30,"NL")/2</f>
        <v>0</v>
      </c>
      <c r="CC30" s="19">
        <f>COUNTIF(B30:BO30,"SP")/2</f>
        <v>0</v>
      </c>
      <c r="CD30" s="20"/>
      <c r="CI30" s="81">
        <v>0</v>
      </c>
      <c r="CJ30" s="81">
        <v>0</v>
      </c>
      <c r="CK30" s="81">
        <v>0</v>
      </c>
      <c r="CL30" s="81">
        <v>0</v>
      </c>
      <c r="CM30" s="81">
        <v>0</v>
      </c>
      <c r="CN30" s="81">
        <v>0</v>
      </c>
      <c r="CO30" s="81">
        <v>0</v>
      </c>
      <c r="CP30" s="81">
        <v>0</v>
      </c>
      <c r="CQ30" s="81">
        <v>0</v>
      </c>
      <c r="CR30" s="81">
        <v>0</v>
      </c>
      <c r="CS30" s="85">
        <f>SUM(CI30:CR30)</f>
        <v>0</v>
      </c>
    </row>
  </sheetData>
  <mergeCells count="69">
    <mergeCell ref="BL2:BM2"/>
    <mergeCell ref="BN3:BO3"/>
    <mergeCell ref="BN2:BO2"/>
    <mergeCell ref="BL3:BM3"/>
    <mergeCell ref="AR3:AS3"/>
    <mergeCell ref="AT3:AU3"/>
    <mergeCell ref="AV3:AW3"/>
    <mergeCell ref="AX3:AY3"/>
    <mergeCell ref="AZ3:BA3"/>
    <mergeCell ref="BB3:BC3"/>
    <mergeCell ref="BF3:BG3"/>
    <mergeCell ref="BH3:BI3"/>
    <mergeCell ref="BJ3:BK3"/>
    <mergeCell ref="AR2:AS2"/>
    <mergeCell ref="AT2:AU2"/>
    <mergeCell ref="AV2:AW2"/>
    <mergeCell ref="AP3:AQ3"/>
    <mergeCell ref="R3:S3"/>
    <mergeCell ref="T3:U3"/>
    <mergeCell ref="V3:W3"/>
    <mergeCell ref="X3:Y3"/>
    <mergeCell ref="Z3:AA3"/>
    <mergeCell ref="AB3:AC3"/>
    <mergeCell ref="AD3:AE3"/>
    <mergeCell ref="AF3:AG3"/>
    <mergeCell ref="AJ3:AK3"/>
    <mergeCell ref="AL3:AM3"/>
    <mergeCell ref="AN3:AO3"/>
    <mergeCell ref="BQ2:BQ4"/>
    <mergeCell ref="BR2:CD2"/>
    <mergeCell ref="CI2:CR2"/>
    <mergeCell ref="D3:E3"/>
    <mergeCell ref="F3:G3"/>
    <mergeCell ref="H3:I3"/>
    <mergeCell ref="J3:K3"/>
    <mergeCell ref="L3:M3"/>
    <mergeCell ref="N3:O3"/>
    <mergeCell ref="P3:Q3"/>
    <mergeCell ref="BD2:BE2"/>
    <mergeCell ref="BF2:BG2"/>
    <mergeCell ref="BH2:BI2"/>
    <mergeCell ref="BJ2:BK2"/>
    <mergeCell ref="BP2:BP4"/>
    <mergeCell ref="BD3:BE3"/>
    <mergeCell ref="AX2:AY2"/>
    <mergeCell ref="AZ2:BA2"/>
    <mergeCell ref="BB2:BC2"/>
    <mergeCell ref="AD2:AE2"/>
    <mergeCell ref="AF2:AG2"/>
    <mergeCell ref="AJ2:AK2"/>
    <mergeCell ref="AL2:AM2"/>
    <mergeCell ref="AN2:AO2"/>
    <mergeCell ref="AP2:AQ2"/>
    <mergeCell ref="AB2:AC2"/>
    <mergeCell ref="A1:AG1"/>
    <mergeCell ref="AI1:CD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</mergeCells>
  <phoneticPr fontId="17" type="noConversion"/>
  <conditionalFormatting sqref="A2 BQ29:BQ30">
    <cfRule type="cellIs" dxfId="11" priority="51" operator="equal">
      <formula>";"</formula>
    </cfRule>
  </conditionalFormatting>
  <conditionalFormatting sqref="AL29:AQ29">
    <cfRule type="cellIs" dxfId="10" priority="34" operator="between">
      <formula>0.0625</formula>
      <formula>0.1875</formula>
    </cfRule>
  </conditionalFormatting>
  <conditionalFormatting sqref="AL29:AR29">
    <cfRule type="containsText" dxfId="9" priority="45" operator="containsText" text="SICK">
      <formula>NOT(ISERROR(SEARCH("SICK",AL29)))</formula>
    </cfRule>
    <cfRule type="containsText" dxfId="8" priority="52" operator="containsText" text="AB">
      <formula>NOT(ISERROR(SEARCH("AB",AL29)))</formula>
    </cfRule>
  </conditionalFormatting>
  <conditionalFormatting sqref="AT29:BO29">
    <cfRule type="containsText" dxfId="7" priority="48" operator="containsText" text="AB">
      <formula>NOT(ISERROR(SEARCH("AB",AT29)))</formula>
    </cfRule>
    <cfRule type="containsText" dxfId="6" priority="49" operator="containsText" text="SICK">
      <formula>NOT(ISERROR(SEARCH("SICK",AT29)))</formula>
    </cfRule>
  </conditionalFormatting>
  <conditionalFormatting sqref="BB30:BE30">
    <cfRule type="containsText" dxfId="5" priority="1" operator="containsText" text="AL">
      <formula>NOT(ISERROR(SEARCH("AL",BB30)))</formula>
    </cfRule>
    <cfRule type="cellIs" dxfId="4" priority="2" operator="between">
      <formula>0.0625</formula>
      <formula>0.1875</formula>
    </cfRule>
    <cfRule type="containsText" dxfId="3" priority="3" operator="containsText" text="AB">
      <formula>NOT(ISERROR(SEARCH("AB",BB30)))</formula>
    </cfRule>
    <cfRule type="containsText" dxfId="2" priority="4" operator="containsText" text="SICK">
      <formula>NOT(ISERROR(SEARCH("SICK",BB30)))</formula>
    </cfRule>
  </conditionalFormatting>
  <conditionalFormatting sqref="BI5:BM5 BQ5 BH30:BO30">
    <cfRule type="containsText" dxfId="1" priority="43" operator="containsText" text="AB">
      <formula>NOT(ISERROR(SEARCH("AB",BH5)))</formula>
    </cfRule>
    <cfRule type="containsText" dxfId="0" priority="44" operator="containsText" text="SICK">
      <formula>NOT(ISERROR(SEARCH("SICK",BH5)))</formula>
    </cfRule>
  </conditionalFormatting>
  <pageMargins left="0.7" right="0.7" top="0.75" bottom="0.75" header="0.3" footer="0.3"/>
  <pageSetup paperSize="9" scale="1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MD Imran Ali</vt:lpstr>
      <vt:lpstr>Abdul Hafiz</vt:lpstr>
      <vt:lpstr>Akter Hossain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2026-05-01T12:28:05Z</cp:lastPrinted>
  <dcterms:created xsi:type="dcterms:W3CDTF">2025-11-05T07:56:06Z</dcterms:created>
  <dcterms:modified xsi:type="dcterms:W3CDTF">2026-10-30T09:17:28Z</dcterms:modified>
</cp:coreProperties>
</file>