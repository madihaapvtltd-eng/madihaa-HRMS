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sept\"/>
    </mc:Choice>
  </mc:AlternateContent>
  <xr:revisionPtr revIDLastSave="0" documentId="13_ncr:1_{CE0CEE45-2132-4BAA-8F44-D061D7FC3F3C}" xr6:coauthVersionLast="47" xr6:coauthVersionMax="47" xr10:uidLastSave="{00000000-0000-0000-0000-000000000000}"/>
  <bookViews>
    <workbookView xWindow="-120" yWindow="-120" windowWidth="29040" windowHeight="15840" tabRatio="630" activeTab="1" xr2:uid="{7B5E2D85-C188-4C2A-B943-BB771193A8A7}"/>
  </bookViews>
  <sheets>
    <sheet name="MASTER" sheetId="1" r:id="rId1"/>
    <sheet name="Mithu" sheetId="18" r:id="rId2"/>
    <sheet name="Masom" sheetId="20" r:id="rId3"/>
    <sheet name="Anwar" sheetId="21" r:id="rId4"/>
    <sheet name="Rinosan" sheetId="22" r:id="rId5"/>
    <sheet name="Alisan" sheetId="23" r:id="rId6"/>
    <sheet name="Thirubhuwan" sheetId="24" r:id="rId7"/>
    <sheet name="Manikandhan" sheetId="25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Q7" i="1" l="1"/>
  <c r="BQ5" i="1"/>
  <c r="BQ6" i="1"/>
  <c r="BQ8" i="1"/>
  <c r="BQ9" i="1"/>
  <c r="BQ10" i="1"/>
  <c r="BQ11" i="1"/>
  <c r="BQ12" i="1"/>
  <c r="BQ13" i="1"/>
  <c r="BS6" i="1"/>
  <c r="BS7" i="1"/>
  <c r="BS17" i="1"/>
  <c r="BS8" i="1"/>
  <c r="BS5" i="1"/>
  <c r="AG16" i="25"/>
  <c r="AF16" i="25"/>
  <c r="AE16" i="25"/>
  <c r="AD16" i="25"/>
  <c r="AC16" i="25"/>
  <c r="AB16" i="25"/>
  <c r="AA16" i="25"/>
  <c r="Z16" i="25"/>
  <c r="Y16" i="25"/>
  <c r="X16" i="25"/>
  <c r="BS50" i="1"/>
  <c r="AG16" i="24" l="1"/>
  <c r="AF16" i="24"/>
  <c r="AE16" i="24"/>
  <c r="AD16" i="24"/>
  <c r="AC16" i="24"/>
  <c r="AB16" i="24"/>
  <c r="AA16" i="24"/>
  <c r="Z16" i="24"/>
  <c r="Y16" i="24"/>
  <c r="X16" i="24"/>
  <c r="AG16" i="23"/>
  <c r="AF16" i="23"/>
  <c r="AE16" i="23"/>
  <c r="AD16" i="23"/>
  <c r="AC16" i="23"/>
  <c r="AB16" i="23"/>
  <c r="AA16" i="23"/>
  <c r="Z16" i="23"/>
  <c r="Y16" i="23"/>
  <c r="X16" i="23"/>
  <c r="W16" i="23"/>
  <c r="AK15" i="22"/>
  <c r="AJ15" i="22"/>
  <c r="AI15" i="22"/>
  <c r="AH15" i="22"/>
  <c r="AG15" i="22"/>
  <c r="AF15" i="22"/>
  <c r="AE15" i="22"/>
  <c r="AD15" i="22"/>
  <c r="AC15" i="22"/>
  <c r="AB15" i="22"/>
  <c r="AA15" i="22"/>
  <c r="AK16" i="21"/>
  <c r="AJ16" i="21"/>
  <c r="AI16" i="21"/>
  <c r="AH16" i="21"/>
  <c r="AG16" i="21"/>
  <c r="AF16" i="21"/>
  <c r="AE16" i="21"/>
  <c r="AD16" i="21"/>
  <c r="AC16" i="21"/>
  <c r="AB16" i="21"/>
  <c r="AA16" i="21"/>
  <c r="AK16" i="20"/>
  <c r="AJ16" i="20"/>
  <c r="AI16" i="20"/>
  <c r="AH16" i="20"/>
  <c r="AG16" i="20"/>
  <c r="AF16" i="20"/>
  <c r="AE16" i="20"/>
  <c r="AD16" i="20"/>
  <c r="AC16" i="20"/>
  <c r="AB16" i="20"/>
  <c r="AA16" i="20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BS41" i="1"/>
  <c r="BS42" i="1"/>
  <c r="BS43" i="1"/>
  <c r="BS44" i="1"/>
  <c r="BS142" i="1"/>
  <c r="BS45" i="1"/>
  <c r="BS46" i="1"/>
  <c r="BS47" i="1"/>
  <c r="BS48" i="1"/>
  <c r="BS49" i="1"/>
  <c r="BS51" i="1"/>
  <c r="BS52" i="1"/>
  <c r="BS54" i="1"/>
  <c r="BS55" i="1"/>
  <c r="BS143" i="1"/>
  <c r="BS56" i="1"/>
  <c r="BS57" i="1"/>
  <c r="BS58" i="1"/>
  <c r="BS59" i="1"/>
  <c r="BS144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132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46" i="1"/>
  <c r="BS101" i="1"/>
  <c r="BS102" i="1"/>
  <c r="BS103" i="1"/>
  <c r="BS104" i="1"/>
  <c r="BS105" i="1"/>
  <c r="BS106" i="1"/>
  <c r="BS107" i="1"/>
  <c r="BS108" i="1"/>
  <c r="BS109" i="1"/>
  <c r="BS110" i="1"/>
  <c r="BS111" i="1"/>
  <c r="BS133" i="1"/>
  <c r="BS9" i="1"/>
  <c r="BS10" i="1"/>
  <c r="BS11" i="1"/>
  <c r="BS12" i="1"/>
  <c r="BS13" i="1"/>
  <c r="BS14" i="1"/>
  <c r="BS15" i="1"/>
  <c r="BS16" i="1"/>
  <c r="BS18" i="1"/>
  <c r="BS19" i="1"/>
  <c r="BS20" i="1"/>
  <c r="BS21" i="1"/>
  <c r="BS22" i="1"/>
  <c r="BS23" i="1"/>
  <c r="BS24" i="1"/>
  <c r="BS25" i="1"/>
  <c r="BS26" i="1"/>
  <c r="BS145" i="1"/>
  <c r="BS136" i="1"/>
  <c r="BS134" i="1"/>
  <c r="BS135" i="1"/>
  <c r="BT146" i="1"/>
  <c r="BU146" i="1"/>
  <c r="BV146" i="1"/>
  <c r="BW146" i="1"/>
  <c r="BX146" i="1"/>
  <c r="BY146" i="1"/>
  <c r="BZ146" i="1"/>
  <c r="CA146" i="1"/>
  <c r="CB146" i="1"/>
  <c r="CC146" i="1"/>
  <c r="CD146" i="1"/>
  <c r="BT105" i="1"/>
  <c r="BU105" i="1"/>
  <c r="BV105" i="1"/>
  <c r="BW105" i="1"/>
  <c r="BX105" i="1"/>
  <c r="BY105" i="1"/>
  <c r="BZ105" i="1"/>
  <c r="CA105" i="1"/>
  <c r="CB105" i="1"/>
  <c r="CC105" i="1"/>
  <c r="CD105" i="1"/>
  <c r="BT106" i="1"/>
  <c r="BU106" i="1"/>
  <c r="BV106" i="1"/>
  <c r="BW106" i="1"/>
  <c r="BX106" i="1"/>
  <c r="BY106" i="1"/>
  <c r="BZ106" i="1"/>
  <c r="CA106" i="1"/>
  <c r="CB106" i="1"/>
  <c r="CC106" i="1"/>
  <c r="CD106" i="1"/>
  <c r="BT107" i="1"/>
  <c r="BU107" i="1"/>
  <c r="BV107" i="1"/>
  <c r="BW107" i="1"/>
  <c r="BX107" i="1"/>
  <c r="BY107" i="1"/>
  <c r="BZ107" i="1"/>
  <c r="CA107" i="1"/>
  <c r="CB107" i="1"/>
  <c r="CC107" i="1"/>
  <c r="CD107" i="1"/>
  <c r="BT108" i="1"/>
  <c r="BU108" i="1"/>
  <c r="BV108" i="1"/>
  <c r="BW108" i="1"/>
  <c r="BX108" i="1"/>
  <c r="BY108" i="1"/>
  <c r="BZ108" i="1"/>
  <c r="CA108" i="1"/>
  <c r="CB108" i="1"/>
  <c r="CC108" i="1"/>
  <c r="CD108" i="1"/>
  <c r="BT109" i="1"/>
  <c r="BU109" i="1"/>
  <c r="BV109" i="1"/>
  <c r="BW109" i="1"/>
  <c r="BX109" i="1"/>
  <c r="BY109" i="1"/>
  <c r="BZ109" i="1"/>
  <c r="CA109" i="1"/>
  <c r="CB109" i="1"/>
  <c r="CC109" i="1"/>
  <c r="CD109" i="1"/>
  <c r="BT110" i="1"/>
  <c r="BU110" i="1"/>
  <c r="BV110" i="1"/>
  <c r="BW110" i="1"/>
  <c r="BX110" i="1"/>
  <c r="BY110" i="1"/>
  <c r="BZ110" i="1"/>
  <c r="CA110" i="1"/>
  <c r="CB110" i="1"/>
  <c r="CC110" i="1"/>
  <c r="CD110" i="1"/>
  <c r="BT111" i="1"/>
  <c r="BU111" i="1"/>
  <c r="BV111" i="1"/>
  <c r="BW111" i="1"/>
  <c r="BX111" i="1"/>
  <c r="BY111" i="1"/>
  <c r="BZ111" i="1"/>
  <c r="CA111" i="1"/>
  <c r="CB111" i="1"/>
  <c r="CC111" i="1"/>
  <c r="CD111" i="1"/>
  <c r="AK16" i="18"/>
  <c r="AJ16" i="18"/>
  <c r="AI16" i="18"/>
  <c r="AH16" i="18"/>
  <c r="AG16" i="18"/>
  <c r="AF16" i="18"/>
  <c r="AE16" i="18"/>
  <c r="AD16" i="18"/>
  <c r="AC16" i="18"/>
  <c r="AB16" i="18"/>
  <c r="AA16" i="18"/>
  <c r="E141" i="1"/>
  <c r="BV141" i="1" s="1"/>
  <c r="CQ141" i="1"/>
  <c r="BQ112" i="1" l="1"/>
  <c r="BQ105" i="1"/>
  <c r="BQ106" i="1"/>
  <c r="BQ109" i="1"/>
  <c r="BQ110" i="1"/>
  <c r="BQ146" i="1"/>
  <c r="BQ108" i="1"/>
  <c r="BQ111" i="1"/>
  <c r="BQ107" i="1"/>
  <c r="CC141" i="1"/>
  <c r="BU141" i="1"/>
  <c r="CB141" i="1"/>
  <c r="BX141" i="1"/>
  <c r="BT141" i="1"/>
  <c r="CA141" i="1"/>
  <c r="BW141" i="1"/>
  <c r="BS141" i="1"/>
  <c r="BY141" i="1"/>
  <c r="CD141" i="1"/>
  <c r="BZ141" i="1"/>
  <c r="BQ141" i="1" l="1"/>
  <c r="BU8" i="1" l="1"/>
  <c r="BV11" i="1"/>
  <c r="BU12" i="1"/>
  <c r="BU21" i="1"/>
  <c r="BU135" i="1"/>
  <c r="BV22" i="1"/>
  <c r="BT25" i="1"/>
  <c r="BT26" i="1"/>
  <c r="BT17" i="1"/>
  <c r="BV18" i="1"/>
  <c r="BU145" i="1"/>
  <c r="BW6" i="1"/>
  <c r="BV7" i="1"/>
  <c r="BV10" i="1"/>
  <c r="BT41" i="1"/>
  <c r="BU41" i="1"/>
  <c r="BV41" i="1"/>
  <c r="BW41" i="1"/>
  <c r="BX41" i="1"/>
  <c r="BY41" i="1"/>
  <c r="BZ41" i="1"/>
  <c r="CA41" i="1"/>
  <c r="CB41" i="1"/>
  <c r="CC41" i="1"/>
  <c r="CD41" i="1"/>
  <c r="BT42" i="1"/>
  <c r="BU42" i="1"/>
  <c r="BV42" i="1"/>
  <c r="BW42" i="1"/>
  <c r="BX42" i="1"/>
  <c r="BY42" i="1"/>
  <c r="BZ42" i="1"/>
  <c r="CA42" i="1"/>
  <c r="CB42" i="1"/>
  <c r="CC42" i="1"/>
  <c r="CD42" i="1"/>
  <c r="BT43" i="1"/>
  <c r="BU43" i="1"/>
  <c r="BV43" i="1"/>
  <c r="BW43" i="1"/>
  <c r="BX43" i="1"/>
  <c r="BY43" i="1"/>
  <c r="BZ43" i="1"/>
  <c r="CA43" i="1"/>
  <c r="CB43" i="1"/>
  <c r="CC43" i="1"/>
  <c r="CD43" i="1"/>
  <c r="BT44" i="1"/>
  <c r="BU44" i="1"/>
  <c r="BV44" i="1"/>
  <c r="BW44" i="1"/>
  <c r="BX44" i="1"/>
  <c r="BY44" i="1"/>
  <c r="BZ44" i="1"/>
  <c r="CA44" i="1"/>
  <c r="CB44" i="1"/>
  <c r="CC44" i="1"/>
  <c r="CD44" i="1"/>
  <c r="BT142" i="1"/>
  <c r="BU142" i="1"/>
  <c r="BV142" i="1"/>
  <c r="BW142" i="1"/>
  <c r="BX142" i="1"/>
  <c r="BY142" i="1"/>
  <c r="BZ142" i="1"/>
  <c r="CA142" i="1"/>
  <c r="CB142" i="1"/>
  <c r="CC142" i="1"/>
  <c r="CD142" i="1"/>
  <c r="BT45" i="1"/>
  <c r="BU45" i="1"/>
  <c r="BV45" i="1"/>
  <c r="BW45" i="1"/>
  <c r="BX45" i="1"/>
  <c r="BY45" i="1"/>
  <c r="BZ45" i="1"/>
  <c r="CA45" i="1"/>
  <c r="CB45" i="1"/>
  <c r="CC45" i="1"/>
  <c r="CD45" i="1"/>
  <c r="BT46" i="1"/>
  <c r="BU46" i="1"/>
  <c r="BV46" i="1"/>
  <c r="BW46" i="1"/>
  <c r="BX46" i="1"/>
  <c r="BY46" i="1"/>
  <c r="BZ46" i="1"/>
  <c r="CA46" i="1"/>
  <c r="CB46" i="1"/>
  <c r="CC46" i="1"/>
  <c r="CD46" i="1"/>
  <c r="BT47" i="1"/>
  <c r="BU47" i="1"/>
  <c r="BV47" i="1"/>
  <c r="BW47" i="1"/>
  <c r="BX47" i="1"/>
  <c r="BY47" i="1"/>
  <c r="BZ47" i="1"/>
  <c r="CA47" i="1"/>
  <c r="CB47" i="1"/>
  <c r="CC47" i="1"/>
  <c r="CD47" i="1"/>
  <c r="BT48" i="1"/>
  <c r="BU48" i="1"/>
  <c r="BV48" i="1"/>
  <c r="BW48" i="1"/>
  <c r="BX48" i="1"/>
  <c r="BY48" i="1"/>
  <c r="BZ48" i="1"/>
  <c r="CA48" i="1"/>
  <c r="CB48" i="1"/>
  <c r="CC48" i="1"/>
  <c r="CD48" i="1"/>
  <c r="BT49" i="1"/>
  <c r="BU49" i="1"/>
  <c r="BV49" i="1"/>
  <c r="BW49" i="1"/>
  <c r="BX49" i="1"/>
  <c r="BY49" i="1"/>
  <c r="BZ49" i="1"/>
  <c r="CA49" i="1"/>
  <c r="CB49" i="1"/>
  <c r="CC49" i="1"/>
  <c r="CD49" i="1"/>
  <c r="BT51" i="1"/>
  <c r="BU51" i="1"/>
  <c r="BV51" i="1"/>
  <c r="BW51" i="1"/>
  <c r="BX51" i="1"/>
  <c r="BY51" i="1"/>
  <c r="BZ51" i="1"/>
  <c r="CA51" i="1"/>
  <c r="CB51" i="1"/>
  <c r="CC51" i="1"/>
  <c r="CD51" i="1"/>
  <c r="BT52" i="1"/>
  <c r="BU52" i="1"/>
  <c r="BV52" i="1"/>
  <c r="BW52" i="1"/>
  <c r="BX52" i="1"/>
  <c r="BY52" i="1"/>
  <c r="BZ52" i="1"/>
  <c r="CA52" i="1"/>
  <c r="CB52" i="1"/>
  <c r="CC52" i="1"/>
  <c r="CD52" i="1"/>
  <c r="BT138" i="1"/>
  <c r="BU138" i="1"/>
  <c r="BV138" i="1"/>
  <c r="BW138" i="1"/>
  <c r="BX138" i="1"/>
  <c r="BY138" i="1"/>
  <c r="BZ138" i="1"/>
  <c r="CA138" i="1"/>
  <c r="CB138" i="1"/>
  <c r="CC138" i="1"/>
  <c r="CD138" i="1"/>
  <c r="BT143" i="1"/>
  <c r="BU143" i="1"/>
  <c r="BV143" i="1"/>
  <c r="BW143" i="1"/>
  <c r="BX143" i="1"/>
  <c r="BY143" i="1"/>
  <c r="BZ143" i="1"/>
  <c r="CA143" i="1"/>
  <c r="CB143" i="1"/>
  <c r="CC143" i="1"/>
  <c r="CD143" i="1"/>
  <c r="BT57" i="1"/>
  <c r="BU57" i="1"/>
  <c r="BV57" i="1"/>
  <c r="BW57" i="1"/>
  <c r="BX57" i="1"/>
  <c r="BY57" i="1"/>
  <c r="BZ57" i="1"/>
  <c r="CA57" i="1"/>
  <c r="CB57" i="1"/>
  <c r="CC57" i="1"/>
  <c r="CD57" i="1"/>
  <c r="BT58" i="1"/>
  <c r="BU58" i="1"/>
  <c r="BV58" i="1"/>
  <c r="BW58" i="1"/>
  <c r="BX58" i="1"/>
  <c r="BY58" i="1"/>
  <c r="BZ58" i="1"/>
  <c r="CA58" i="1"/>
  <c r="CB58" i="1"/>
  <c r="CC58" i="1"/>
  <c r="CD58" i="1"/>
  <c r="BT59" i="1"/>
  <c r="BU59" i="1"/>
  <c r="BV59" i="1"/>
  <c r="BW59" i="1"/>
  <c r="BX59" i="1"/>
  <c r="BY59" i="1"/>
  <c r="BZ59" i="1"/>
  <c r="CA59" i="1"/>
  <c r="CC59" i="1"/>
  <c r="CD59" i="1"/>
  <c r="BT144" i="1"/>
  <c r="BU144" i="1"/>
  <c r="BV144" i="1"/>
  <c r="BW144" i="1"/>
  <c r="BX144" i="1"/>
  <c r="BY144" i="1"/>
  <c r="BZ144" i="1"/>
  <c r="CA144" i="1"/>
  <c r="CB144" i="1"/>
  <c r="CC144" i="1"/>
  <c r="CD144" i="1"/>
  <c r="BT137" i="1"/>
  <c r="BU137" i="1"/>
  <c r="BV137" i="1"/>
  <c r="BW137" i="1"/>
  <c r="BX137" i="1"/>
  <c r="BY137" i="1"/>
  <c r="BZ137" i="1"/>
  <c r="CA137" i="1"/>
  <c r="CB137" i="1"/>
  <c r="CC137" i="1"/>
  <c r="CD137" i="1"/>
  <c r="BT60" i="1"/>
  <c r="BU60" i="1"/>
  <c r="BV60" i="1"/>
  <c r="BW60" i="1"/>
  <c r="BX60" i="1"/>
  <c r="BY60" i="1"/>
  <c r="BZ60" i="1"/>
  <c r="CA60" i="1"/>
  <c r="CB60" i="1"/>
  <c r="CC60" i="1"/>
  <c r="CD60" i="1"/>
  <c r="BT61" i="1"/>
  <c r="BU61" i="1"/>
  <c r="BV61" i="1"/>
  <c r="BW61" i="1"/>
  <c r="BX61" i="1"/>
  <c r="BY61" i="1"/>
  <c r="BZ61" i="1"/>
  <c r="CA61" i="1"/>
  <c r="CB61" i="1"/>
  <c r="CC61" i="1"/>
  <c r="CD61" i="1"/>
  <c r="BT62" i="1"/>
  <c r="BU62" i="1"/>
  <c r="BV62" i="1"/>
  <c r="BW62" i="1"/>
  <c r="BX62" i="1"/>
  <c r="BY62" i="1"/>
  <c r="BZ62" i="1"/>
  <c r="CA62" i="1"/>
  <c r="CB62" i="1"/>
  <c r="CC62" i="1"/>
  <c r="CD62" i="1"/>
  <c r="BT136" i="1"/>
  <c r="BU136" i="1"/>
  <c r="BV136" i="1"/>
  <c r="BW136" i="1"/>
  <c r="BX136" i="1"/>
  <c r="BY136" i="1"/>
  <c r="BZ136" i="1"/>
  <c r="CA136" i="1"/>
  <c r="CB136" i="1"/>
  <c r="CC136" i="1"/>
  <c r="CD136" i="1"/>
  <c r="BT63" i="1"/>
  <c r="BU63" i="1"/>
  <c r="BV63" i="1"/>
  <c r="BW63" i="1"/>
  <c r="BX63" i="1"/>
  <c r="BY63" i="1"/>
  <c r="BZ63" i="1"/>
  <c r="CA63" i="1"/>
  <c r="CB63" i="1"/>
  <c r="CC63" i="1"/>
  <c r="CD63" i="1"/>
  <c r="BT64" i="1"/>
  <c r="BU64" i="1"/>
  <c r="BV64" i="1"/>
  <c r="BW64" i="1"/>
  <c r="BX64" i="1"/>
  <c r="BY64" i="1"/>
  <c r="BZ64" i="1"/>
  <c r="CA64" i="1"/>
  <c r="CB64" i="1"/>
  <c r="CC64" i="1"/>
  <c r="CD64" i="1"/>
  <c r="BT65" i="1"/>
  <c r="BU65" i="1"/>
  <c r="BV65" i="1"/>
  <c r="BW65" i="1"/>
  <c r="BX65" i="1"/>
  <c r="BY65" i="1"/>
  <c r="BZ65" i="1"/>
  <c r="CA65" i="1"/>
  <c r="CB65" i="1"/>
  <c r="CC65" i="1"/>
  <c r="CD65" i="1"/>
  <c r="BT67" i="1"/>
  <c r="BU67" i="1"/>
  <c r="BV67" i="1"/>
  <c r="BW67" i="1"/>
  <c r="BX67" i="1"/>
  <c r="BY67" i="1"/>
  <c r="BZ67" i="1"/>
  <c r="CA67" i="1"/>
  <c r="CB67" i="1"/>
  <c r="CC67" i="1"/>
  <c r="CD67" i="1"/>
  <c r="BT68" i="1"/>
  <c r="BU68" i="1"/>
  <c r="BV68" i="1"/>
  <c r="BW68" i="1"/>
  <c r="BX68" i="1"/>
  <c r="BY68" i="1"/>
  <c r="BZ68" i="1"/>
  <c r="CA68" i="1"/>
  <c r="CB68" i="1"/>
  <c r="CC68" i="1"/>
  <c r="CD68" i="1"/>
  <c r="BT69" i="1"/>
  <c r="BU69" i="1"/>
  <c r="BV69" i="1"/>
  <c r="BW69" i="1"/>
  <c r="BX69" i="1"/>
  <c r="BY69" i="1"/>
  <c r="BZ69" i="1"/>
  <c r="CA69" i="1"/>
  <c r="CB69" i="1"/>
  <c r="CC69" i="1"/>
  <c r="CD69" i="1"/>
  <c r="BT70" i="1"/>
  <c r="BU70" i="1"/>
  <c r="BV70" i="1"/>
  <c r="BW70" i="1"/>
  <c r="BX70" i="1"/>
  <c r="BY70" i="1"/>
  <c r="BZ70" i="1"/>
  <c r="CA70" i="1"/>
  <c r="CB70" i="1"/>
  <c r="CC70" i="1"/>
  <c r="CD70" i="1"/>
  <c r="BT71" i="1"/>
  <c r="BU71" i="1"/>
  <c r="BV71" i="1"/>
  <c r="BW71" i="1"/>
  <c r="BX71" i="1"/>
  <c r="BY71" i="1"/>
  <c r="BZ71" i="1"/>
  <c r="CA71" i="1"/>
  <c r="CB71" i="1"/>
  <c r="CC71" i="1"/>
  <c r="CD71" i="1"/>
  <c r="BT72" i="1"/>
  <c r="BU72" i="1"/>
  <c r="BV72" i="1"/>
  <c r="BW72" i="1"/>
  <c r="BX72" i="1"/>
  <c r="BY72" i="1"/>
  <c r="BZ72" i="1"/>
  <c r="CA72" i="1"/>
  <c r="CB72" i="1"/>
  <c r="CC72" i="1"/>
  <c r="CD72" i="1"/>
  <c r="BT73" i="1"/>
  <c r="BU73" i="1"/>
  <c r="BV73" i="1"/>
  <c r="BW73" i="1"/>
  <c r="BX73" i="1"/>
  <c r="BY73" i="1"/>
  <c r="BZ73" i="1"/>
  <c r="CA73" i="1"/>
  <c r="CB73" i="1"/>
  <c r="CC73" i="1"/>
  <c r="CD73" i="1"/>
  <c r="BT74" i="1"/>
  <c r="BU74" i="1"/>
  <c r="BV74" i="1"/>
  <c r="BW74" i="1"/>
  <c r="BX74" i="1"/>
  <c r="BY74" i="1"/>
  <c r="BZ74" i="1"/>
  <c r="CA74" i="1"/>
  <c r="CB74" i="1"/>
  <c r="CC74" i="1"/>
  <c r="CD74" i="1"/>
  <c r="BT75" i="1"/>
  <c r="BU75" i="1"/>
  <c r="BV75" i="1"/>
  <c r="BW75" i="1"/>
  <c r="BX75" i="1"/>
  <c r="BY75" i="1"/>
  <c r="BZ75" i="1"/>
  <c r="CA75" i="1"/>
  <c r="CB75" i="1"/>
  <c r="CC75" i="1"/>
  <c r="CD75" i="1"/>
  <c r="BT76" i="1"/>
  <c r="BU76" i="1"/>
  <c r="BV76" i="1"/>
  <c r="BW76" i="1"/>
  <c r="BX76" i="1"/>
  <c r="BY76" i="1"/>
  <c r="BZ76" i="1"/>
  <c r="CA76" i="1"/>
  <c r="CB76" i="1"/>
  <c r="CC76" i="1"/>
  <c r="CD76" i="1"/>
  <c r="BT77" i="1"/>
  <c r="BU77" i="1"/>
  <c r="BV77" i="1"/>
  <c r="BW77" i="1"/>
  <c r="BX77" i="1"/>
  <c r="BY77" i="1"/>
  <c r="BZ77" i="1"/>
  <c r="CA77" i="1"/>
  <c r="CB77" i="1"/>
  <c r="CC77" i="1"/>
  <c r="CD77" i="1"/>
  <c r="BT78" i="1"/>
  <c r="BU78" i="1"/>
  <c r="BV78" i="1"/>
  <c r="BW78" i="1"/>
  <c r="BX78" i="1"/>
  <c r="BY78" i="1"/>
  <c r="BZ78" i="1"/>
  <c r="CA78" i="1"/>
  <c r="CB78" i="1"/>
  <c r="CC78" i="1"/>
  <c r="CD78" i="1"/>
  <c r="BT79" i="1"/>
  <c r="BU79" i="1"/>
  <c r="BV79" i="1"/>
  <c r="BW79" i="1"/>
  <c r="BX79" i="1"/>
  <c r="BY79" i="1"/>
  <c r="BZ79" i="1"/>
  <c r="CA79" i="1"/>
  <c r="CB79" i="1"/>
  <c r="CC79" i="1"/>
  <c r="CD79" i="1"/>
  <c r="BT80" i="1"/>
  <c r="BU80" i="1"/>
  <c r="BV80" i="1"/>
  <c r="BW80" i="1"/>
  <c r="BX80" i="1"/>
  <c r="BY80" i="1"/>
  <c r="BZ80" i="1"/>
  <c r="CA80" i="1"/>
  <c r="CB80" i="1"/>
  <c r="CC80" i="1"/>
  <c r="CD80" i="1"/>
  <c r="BT81" i="1"/>
  <c r="BU81" i="1"/>
  <c r="BV81" i="1"/>
  <c r="BW81" i="1"/>
  <c r="BX81" i="1"/>
  <c r="BY81" i="1"/>
  <c r="BZ81" i="1"/>
  <c r="CA81" i="1"/>
  <c r="CB81" i="1"/>
  <c r="CC81" i="1"/>
  <c r="CD81" i="1"/>
  <c r="BT82" i="1"/>
  <c r="BU82" i="1"/>
  <c r="BV82" i="1"/>
  <c r="BW82" i="1"/>
  <c r="BX82" i="1"/>
  <c r="BY82" i="1"/>
  <c r="BZ82" i="1"/>
  <c r="CA82" i="1"/>
  <c r="CB82" i="1"/>
  <c r="CC82" i="1"/>
  <c r="CD82" i="1"/>
  <c r="BT83" i="1"/>
  <c r="BU83" i="1"/>
  <c r="BV83" i="1"/>
  <c r="BW83" i="1"/>
  <c r="BX83" i="1"/>
  <c r="BY83" i="1"/>
  <c r="BZ83" i="1"/>
  <c r="CA83" i="1"/>
  <c r="CB83" i="1"/>
  <c r="CC83" i="1"/>
  <c r="CD83" i="1"/>
  <c r="BT132" i="1"/>
  <c r="BU132" i="1"/>
  <c r="BV132" i="1"/>
  <c r="BW132" i="1"/>
  <c r="BX132" i="1"/>
  <c r="BY132" i="1"/>
  <c r="BZ132" i="1"/>
  <c r="CA132" i="1"/>
  <c r="CB132" i="1"/>
  <c r="CC132" i="1"/>
  <c r="CD132" i="1"/>
  <c r="BT84" i="1"/>
  <c r="BU84" i="1"/>
  <c r="BV84" i="1"/>
  <c r="BW84" i="1"/>
  <c r="BX84" i="1"/>
  <c r="BY84" i="1"/>
  <c r="BZ84" i="1"/>
  <c r="CA84" i="1"/>
  <c r="CB84" i="1"/>
  <c r="CC84" i="1"/>
  <c r="CD84" i="1"/>
  <c r="BT85" i="1"/>
  <c r="BU85" i="1"/>
  <c r="BV85" i="1"/>
  <c r="BW85" i="1"/>
  <c r="BX85" i="1"/>
  <c r="BY85" i="1"/>
  <c r="BZ85" i="1"/>
  <c r="CA85" i="1"/>
  <c r="CB85" i="1"/>
  <c r="CC85" i="1"/>
  <c r="CD85" i="1"/>
  <c r="BT86" i="1"/>
  <c r="BU86" i="1"/>
  <c r="BV86" i="1"/>
  <c r="BW86" i="1"/>
  <c r="BX86" i="1"/>
  <c r="BY86" i="1"/>
  <c r="BZ86" i="1"/>
  <c r="CA86" i="1"/>
  <c r="CB86" i="1"/>
  <c r="CC86" i="1"/>
  <c r="CD86" i="1"/>
  <c r="BT87" i="1"/>
  <c r="BU87" i="1"/>
  <c r="BV87" i="1"/>
  <c r="BW87" i="1"/>
  <c r="BX87" i="1"/>
  <c r="BY87" i="1"/>
  <c r="BZ87" i="1"/>
  <c r="CA87" i="1"/>
  <c r="CB87" i="1"/>
  <c r="CC87" i="1"/>
  <c r="CD87" i="1"/>
  <c r="BT88" i="1"/>
  <c r="BU88" i="1"/>
  <c r="BV88" i="1"/>
  <c r="BW88" i="1"/>
  <c r="BX88" i="1"/>
  <c r="BY88" i="1"/>
  <c r="BZ88" i="1"/>
  <c r="CA88" i="1"/>
  <c r="CB88" i="1"/>
  <c r="CC88" i="1"/>
  <c r="CD88" i="1"/>
  <c r="BT89" i="1"/>
  <c r="BU89" i="1"/>
  <c r="BV89" i="1"/>
  <c r="BW89" i="1"/>
  <c r="BX89" i="1"/>
  <c r="BY89" i="1"/>
  <c r="BZ89" i="1"/>
  <c r="CA89" i="1"/>
  <c r="CB89" i="1"/>
  <c r="CC89" i="1"/>
  <c r="CD89" i="1"/>
  <c r="BT90" i="1"/>
  <c r="BU90" i="1"/>
  <c r="BV90" i="1"/>
  <c r="BW90" i="1"/>
  <c r="BX90" i="1"/>
  <c r="BY90" i="1"/>
  <c r="BZ90" i="1"/>
  <c r="CA90" i="1"/>
  <c r="CB90" i="1"/>
  <c r="CC90" i="1"/>
  <c r="CD90" i="1"/>
  <c r="BT91" i="1"/>
  <c r="BU91" i="1"/>
  <c r="BV91" i="1"/>
  <c r="BW91" i="1"/>
  <c r="BX91" i="1"/>
  <c r="BY91" i="1"/>
  <c r="BZ91" i="1"/>
  <c r="CA91" i="1"/>
  <c r="CB91" i="1"/>
  <c r="CC91" i="1"/>
  <c r="CD91" i="1"/>
  <c r="BT92" i="1"/>
  <c r="BU92" i="1"/>
  <c r="BV92" i="1"/>
  <c r="BW92" i="1"/>
  <c r="BX92" i="1"/>
  <c r="BY92" i="1"/>
  <c r="BZ92" i="1"/>
  <c r="CA92" i="1"/>
  <c r="CB92" i="1"/>
  <c r="CC92" i="1"/>
  <c r="CD92" i="1"/>
  <c r="BT93" i="1"/>
  <c r="BU93" i="1"/>
  <c r="BV93" i="1"/>
  <c r="BW93" i="1"/>
  <c r="BX93" i="1"/>
  <c r="BY93" i="1"/>
  <c r="BZ93" i="1"/>
  <c r="CA93" i="1"/>
  <c r="CB93" i="1"/>
  <c r="CC93" i="1"/>
  <c r="CD93" i="1"/>
  <c r="BT94" i="1"/>
  <c r="BU94" i="1"/>
  <c r="BV94" i="1"/>
  <c r="BW94" i="1"/>
  <c r="BX94" i="1"/>
  <c r="BY94" i="1"/>
  <c r="BZ94" i="1"/>
  <c r="CA94" i="1"/>
  <c r="CB94" i="1"/>
  <c r="CC94" i="1"/>
  <c r="CD94" i="1"/>
  <c r="BT95" i="1"/>
  <c r="BU95" i="1"/>
  <c r="BV95" i="1"/>
  <c r="BW95" i="1"/>
  <c r="BX95" i="1"/>
  <c r="BY95" i="1"/>
  <c r="BZ95" i="1"/>
  <c r="CA95" i="1"/>
  <c r="CB95" i="1"/>
  <c r="CC95" i="1"/>
  <c r="CD95" i="1"/>
  <c r="BT96" i="1"/>
  <c r="BU96" i="1"/>
  <c r="BV96" i="1"/>
  <c r="BW96" i="1"/>
  <c r="BX96" i="1"/>
  <c r="BY96" i="1"/>
  <c r="BZ96" i="1"/>
  <c r="CA96" i="1"/>
  <c r="CB96" i="1"/>
  <c r="CC96" i="1"/>
  <c r="CD96" i="1"/>
  <c r="BT97" i="1"/>
  <c r="BU97" i="1"/>
  <c r="BV97" i="1"/>
  <c r="BW97" i="1"/>
  <c r="BX97" i="1"/>
  <c r="BY97" i="1"/>
  <c r="BZ97" i="1"/>
  <c r="CA97" i="1"/>
  <c r="CB97" i="1"/>
  <c r="CC97" i="1"/>
  <c r="CD97" i="1"/>
  <c r="BT98" i="1"/>
  <c r="BU98" i="1"/>
  <c r="BV98" i="1"/>
  <c r="BW98" i="1"/>
  <c r="BX98" i="1"/>
  <c r="BY98" i="1"/>
  <c r="BZ98" i="1"/>
  <c r="CA98" i="1"/>
  <c r="CB98" i="1"/>
  <c r="CC98" i="1"/>
  <c r="CD98" i="1"/>
  <c r="BT99" i="1"/>
  <c r="BU99" i="1"/>
  <c r="BV99" i="1"/>
  <c r="BW99" i="1"/>
  <c r="BX99" i="1"/>
  <c r="BY99" i="1"/>
  <c r="BZ99" i="1"/>
  <c r="CA99" i="1"/>
  <c r="CB99" i="1"/>
  <c r="CC99" i="1"/>
  <c r="CD99" i="1"/>
  <c r="BT100" i="1"/>
  <c r="BU100" i="1"/>
  <c r="BV100" i="1"/>
  <c r="BW100" i="1"/>
  <c r="BX100" i="1"/>
  <c r="BY100" i="1"/>
  <c r="BZ100" i="1"/>
  <c r="CA100" i="1"/>
  <c r="CB100" i="1"/>
  <c r="CC100" i="1"/>
  <c r="CD100" i="1"/>
  <c r="BT101" i="1"/>
  <c r="BU101" i="1"/>
  <c r="BV101" i="1"/>
  <c r="BW101" i="1"/>
  <c r="BX101" i="1"/>
  <c r="BY101" i="1"/>
  <c r="BZ101" i="1"/>
  <c r="CA101" i="1"/>
  <c r="CB101" i="1"/>
  <c r="CC101" i="1"/>
  <c r="CD101" i="1"/>
  <c r="BT102" i="1"/>
  <c r="BU102" i="1"/>
  <c r="BV102" i="1"/>
  <c r="BW102" i="1"/>
  <c r="BX102" i="1"/>
  <c r="BY102" i="1"/>
  <c r="BZ102" i="1"/>
  <c r="CA102" i="1"/>
  <c r="CB102" i="1"/>
  <c r="CC102" i="1"/>
  <c r="CD102" i="1"/>
  <c r="BT103" i="1"/>
  <c r="BU103" i="1"/>
  <c r="BV103" i="1"/>
  <c r="BW103" i="1"/>
  <c r="BX103" i="1"/>
  <c r="BY103" i="1"/>
  <c r="BZ103" i="1"/>
  <c r="CA103" i="1"/>
  <c r="CB103" i="1"/>
  <c r="CC103" i="1"/>
  <c r="CD103" i="1"/>
  <c r="BT104" i="1"/>
  <c r="BU104" i="1"/>
  <c r="BV104" i="1"/>
  <c r="BW104" i="1"/>
  <c r="BX104" i="1"/>
  <c r="BY104" i="1"/>
  <c r="BZ104" i="1"/>
  <c r="CA104" i="1"/>
  <c r="CB104" i="1"/>
  <c r="CC104" i="1"/>
  <c r="CD104" i="1"/>
  <c r="BS138" i="1"/>
  <c r="BS137" i="1"/>
  <c r="CQ23" i="1"/>
  <c r="CQ104" i="1"/>
  <c r="CQ103" i="1"/>
  <c r="CQ102" i="1"/>
  <c r="CQ101" i="1"/>
  <c r="CQ100" i="1"/>
  <c r="CQ99" i="1"/>
  <c r="CQ98" i="1"/>
  <c r="CQ97" i="1"/>
  <c r="CQ96" i="1"/>
  <c r="CQ95" i="1"/>
  <c r="CQ94" i="1"/>
  <c r="CQ93" i="1"/>
  <c r="CQ92" i="1"/>
  <c r="CQ91" i="1"/>
  <c r="CQ90" i="1"/>
  <c r="CQ89" i="1"/>
  <c r="CQ88" i="1"/>
  <c r="CQ87" i="1"/>
  <c r="CQ86" i="1"/>
  <c r="CQ85" i="1"/>
  <c r="CQ84" i="1"/>
  <c r="CQ132" i="1"/>
  <c r="CQ83" i="1"/>
  <c r="CQ82" i="1"/>
  <c r="CQ81" i="1"/>
  <c r="CQ80" i="1"/>
  <c r="CQ79" i="1"/>
  <c r="CQ78" i="1"/>
  <c r="CQ77" i="1"/>
  <c r="CQ76" i="1"/>
  <c r="CQ75" i="1"/>
  <c r="CQ74" i="1"/>
  <c r="CQ73" i="1"/>
  <c r="CQ72" i="1"/>
  <c r="CQ71" i="1"/>
  <c r="CQ70" i="1"/>
  <c r="CQ69" i="1"/>
  <c r="CQ68" i="1"/>
  <c r="CQ67" i="1"/>
  <c r="CQ65" i="1"/>
  <c r="CQ64" i="1"/>
  <c r="CQ63" i="1"/>
  <c r="CQ136" i="1"/>
  <c r="CQ62" i="1"/>
  <c r="CQ61" i="1"/>
  <c r="CQ60" i="1"/>
  <c r="CQ137" i="1"/>
  <c r="CQ144" i="1"/>
  <c r="CQ59" i="1"/>
  <c r="CQ58" i="1"/>
  <c r="CQ57" i="1"/>
  <c r="CQ143" i="1"/>
  <c r="CQ138" i="1"/>
  <c r="CQ52" i="1"/>
  <c r="CQ51" i="1"/>
  <c r="CQ49" i="1"/>
  <c r="CQ47" i="1"/>
  <c r="CQ46" i="1"/>
  <c r="CQ45" i="1"/>
  <c r="CQ142" i="1"/>
  <c r="CQ44" i="1"/>
  <c r="CQ43" i="1"/>
  <c r="CQ42" i="1"/>
  <c r="CQ41" i="1"/>
  <c r="CQ133" i="1"/>
  <c r="CQ20" i="1"/>
  <c r="CQ13" i="1"/>
  <c r="CQ145" i="1"/>
  <c r="CQ19" i="1"/>
  <c r="CQ18" i="1"/>
  <c r="CQ17" i="1"/>
  <c r="CQ16" i="1"/>
  <c r="CQ26" i="1"/>
  <c r="CQ24" i="1"/>
  <c r="CQ135" i="1"/>
  <c r="CQ21" i="1"/>
  <c r="CQ134" i="1"/>
  <c r="CQ14" i="1"/>
  <c r="CQ12" i="1"/>
  <c r="CQ11" i="1"/>
  <c r="CQ10" i="1"/>
  <c r="CQ9" i="1"/>
  <c r="CQ8" i="1"/>
  <c r="CQ7" i="1"/>
  <c r="CQ6" i="1"/>
  <c r="CQ5" i="1"/>
  <c r="BT6" i="1"/>
  <c r="BU6" i="1"/>
  <c r="BV6" i="1"/>
  <c r="BX6" i="1"/>
  <c r="BY6" i="1"/>
  <c r="BZ6" i="1"/>
  <c r="CB6" i="1"/>
  <c r="CC6" i="1"/>
  <c r="CD6" i="1"/>
  <c r="BT13" i="1"/>
  <c r="BU13" i="1"/>
  <c r="BV13" i="1"/>
  <c r="BW13" i="1"/>
  <c r="BX13" i="1"/>
  <c r="BY13" i="1"/>
  <c r="BZ13" i="1"/>
  <c r="CA13" i="1"/>
  <c r="CB13" i="1"/>
  <c r="CC13" i="1"/>
  <c r="CD13" i="1"/>
  <c r="BX22" i="1" l="1"/>
  <c r="CD14" i="1"/>
  <c r="CA10" i="1"/>
  <c r="BY10" i="1"/>
  <c r="CD26" i="1"/>
  <c r="BZ26" i="1"/>
  <c r="BZ14" i="1"/>
  <c r="BY22" i="1"/>
  <c r="BX18" i="1"/>
  <c r="CA20" i="1"/>
  <c r="BW20" i="1"/>
  <c r="CB18" i="1"/>
  <c r="BT145" i="1"/>
  <c r="CB8" i="1"/>
  <c r="BU20" i="1"/>
  <c r="BW18" i="1"/>
  <c r="BY26" i="1"/>
  <c r="BX14" i="1"/>
  <c r="BU10" i="1"/>
  <c r="CB23" i="1"/>
  <c r="BT22" i="1"/>
  <c r="CB20" i="1"/>
  <c r="CC18" i="1"/>
  <c r="BX16" i="1"/>
  <c r="BU26" i="1"/>
  <c r="BT14" i="1"/>
  <c r="BT10" i="1"/>
  <c r="CC22" i="1"/>
  <c r="CC11" i="1"/>
  <c r="BY20" i="1"/>
  <c r="BT20" i="1"/>
  <c r="CA18" i="1"/>
  <c r="BU18" i="1"/>
  <c r="CC26" i="1"/>
  <c r="BW26" i="1"/>
  <c r="CB14" i="1"/>
  <c r="BW14" i="1"/>
  <c r="CC10" i="1"/>
  <c r="BX10" i="1"/>
  <c r="CB22" i="1"/>
  <c r="BW22" i="1"/>
  <c r="CC20" i="1"/>
  <c r="BX20" i="1"/>
  <c r="CC19" i="1"/>
  <c r="BY18" i="1"/>
  <c r="BT18" i="1"/>
  <c r="CA26" i="1"/>
  <c r="BV26" i="1"/>
  <c r="CA14" i="1"/>
  <c r="BV14" i="1"/>
  <c r="CB10" i="1"/>
  <c r="BW10" i="1"/>
  <c r="CA22" i="1"/>
  <c r="BU22" i="1"/>
  <c r="CD24" i="1"/>
  <c r="BZ24" i="1"/>
  <c r="CB21" i="1"/>
  <c r="CB16" i="1"/>
  <c r="BT12" i="1"/>
  <c r="CB134" i="1"/>
  <c r="CD20" i="1"/>
  <c r="BZ20" i="1"/>
  <c r="BV20" i="1"/>
  <c r="CD18" i="1"/>
  <c r="BZ18" i="1"/>
  <c r="CB26" i="1"/>
  <c r="BX26" i="1"/>
  <c r="CC14" i="1"/>
  <c r="BY14" i="1"/>
  <c r="BU14" i="1"/>
  <c r="CD10" i="1"/>
  <c r="BZ10" i="1"/>
  <c r="BX8" i="1"/>
  <c r="CA6" i="1"/>
  <c r="BX21" i="1"/>
  <c r="CD22" i="1"/>
  <c r="BZ22" i="1"/>
  <c r="CA17" i="1"/>
  <c r="CC9" i="1"/>
  <c r="CB135" i="1"/>
  <c r="BW5" i="1"/>
  <c r="CB145" i="1"/>
  <c r="BW17" i="1"/>
  <c r="CA25" i="1"/>
  <c r="BV24" i="1"/>
  <c r="CB12" i="1"/>
  <c r="BY9" i="1"/>
  <c r="BT8" i="1"/>
  <c r="BX135" i="1"/>
  <c r="BT21" i="1"/>
  <c r="BX145" i="1"/>
  <c r="BW25" i="1"/>
  <c r="BX12" i="1"/>
  <c r="BU9" i="1"/>
  <c r="BT135" i="1"/>
  <c r="CA145" i="1"/>
  <c r="CA12" i="1"/>
  <c r="BW12" i="1"/>
  <c r="CA8" i="1"/>
  <c r="CA21" i="1"/>
  <c r="BW21" i="1"/>
  <c r="CD145" i="1"/>
  <c r="BV145" i="1"/>
  <c r="BY19" i="1"/>
  <c r="BX24" i="1"/>
  <c r="BZ12" i="1"/>
  <c r="BY11" i="1"/>
  <c r="CD8" i="1"/>
  <c r="BV8" i="1"/>
  <c r="CD21" i="1"/>
  <c r="BV21" i="1"/>
  <c r="BX134" i="1"/>
  <c r="BX23" i="1"/>
  <c r="BW145" i="1"/>
  <c r="CC24" i="1"/>
  <c r="BY24" i="1"/>
  <c r="BU24" i="1"/>
  <c r="BW8" i="1"/>
  <c r="BZ145" i="1"/>
  <c r="BT16" i="1"/>
  <c r="CB24" i="1"/>
  <c r="BT24" i="1"/>
  <c r="CD12" i="1"/>
  <c r="BV12" i="1"/>
  <c r="BZ8" i="1"/>
  <c r="BZ21" i="1"/>
  <c r="CC145" i="1"/>
  <c r="BY145" i="1"/>
  <c r="BU19" i="1"/>
  <c r="CA24" i="1"/>
  <c r="BW24" i="1"/>
  <c r="CC12" i="1"/>
  <c r="BY12" i="1"/>
  <c r="BU11" i="1"/>
  <c r="CC8" i="1"/>
  <c r="BY8" i="1"/>
  <c r="CC21" i="1"/>
  <c r="BY21" i="1"/>
  <c r="BT134" i="1"/>
  <c r="BT23" i="1"/>
  <c r="BU7" i="1"/>
  <c r="BX19" i="1"/>
  <c r="BT19" i="1"/>
  <c r="CA16" i="1"/>
  <c r="BW16" i="1"/>
  <c r="CB11" i="1"/>
  <c r="BX11" i="1"/>
  <c r="BT11" i="1"/>
  <c r="CB7" i="1"/>
  <c r="BX7" i="1"/>
  <c r="BT7" i="1"/>
  <c r="CA134" i="1"/>
  <c r="BW134" i="1"/>
  <c r="CA23" i="1"/>
  <c r="BW23" i="1"/>
  <c r="CC7" i="1"/>
  <c r="CB19" i="1"/>
  <c r="CA19" i="1"/>
  <c r="BW19" i="1"/>
  <c r="CD16" i="1"/>
  <c r="BZ16" i="1"/>
  <c r="BV16" i="1"/>
  <c r="CA11" i="1"/>
  <c r="BW11" i="1"/>
  <c r="CA7" i="1"/>
  <c r="BW7" i="1"/>
  <c r="CD134" i="1"/>
  <c r="BZ134" i="1"/>
  <c r="BV134" i="1"/>
  <c r="CD23" i="1"/>
  <c r="BZ23" i="1"/>
  <c r="BV23" i="1"/>
  <c r="BY7" i="1"/>
  <c r="CD19" i="1"/>
  <c r="BZ19" i="1"/>
  <c r="BV19" i="1"/>
  <c r="CC16" i="1"/>
  <c r="BY16" i="1"/>
  <c r="BU16" i="1"/>
  <c r="CD11" i="1"/>
  <c r="BZ11" i="1"/>
  <c r="CD7" i="1"/>
  <c r="BZ7" i="1"/>
  <c r="CC134" i="1"/>
  <c r="BY134" i="1"/>
  <c r="BU134" i="1"/>
  <c r="CC23" i="1"/>
  <c r="BY23" i="1"/>
  <c r="BU23" i="1"/>
  <c r="CD17" i="1"/>
  <c r="BZ17" i="1"/>
  <c r="BV17" i="1"/>
  <c r="CD25" i="1"/>
  <c r="BZ25" i="1"/>
  <c r="BV25" i="1"/>
  <c r="CB9" i="1"/>
  <c r="BX9" i="1"/>
  <c r="BT9" i="1"/>
  <c r="CA135" i="1"/>
  <c r="BW135" i="1"/>
  <c r="CC17" i="1"/>
  <c r="BY17" i="1"/>
  <c r="BU17" i="1"/>
  <c r="CC25" i="1"/>
  <c r="BY25" i="1"/>
  <c r="BU25" i="1"/>
  <c r="CA9" i="1"/>
  <c r="BW9" i="1"/>
  <c r="CD135" i="1"/>
  <c r="BZ135" i="1"/>
  <c r="BV135" i="1"/>
  <c r="CB17" i="1"/>
  <c r="BX17" i="1"/>
  <c r="CB25" i="1"/>
  <c r="BX25" i="1"/>
  <c r="CD9" i="1"/>
  <c r="BZ9" i="1"/>
  <c r="BV9" i="1"/>
  <c r="CC135" i="1"/>
  <c r="BY135" i="1"/>
  <c r="BQ48" i="1"/>
  <c r="BQ57" i="1"/>
  <c r="BQ104" i="1"/>
  <c r="BQ103" i="1"/>
  <c r="BQ102" i="1"/>
  <c r="BQ101" i="1"/>
  <c r="BQ100" i="1"/>
  <c r="BQ99" i="1"/>
  <c r="BQ98" i="1"/>
  <c r="BQ97" i="1"/>
  <c r="BQ96" i="1"/>
  <c r="BQ95" i="1"/>
  <c r="BQ94" i="1"/>
  <c r="BQ93" i="1"/>
  <c r="BQ92" i="1"/>
  <c r="BQ91" i="1"/>
  <c r="BQ90" i="1"/>
  <c r="BQ89" i="1"/>
  <c r="BQ88" i="1"/>
  <c r="BQ87" i="1"/>
  <c r="BQ86" i="1"/>
  <c r="BQ85" i="1"/>
  <c r="BQ84" i="1"/>
  <c r="BQ132" i="1"/>
  <c r="BQ83" i="1"/>
  <c r="BQ82" i="1"/>
  <c r="BQ81" i="1"/>
  <c r="BQ80" i="1"/>
  <c r="BQ79" i="1"/>
  <c r="BQ78" i="1"/>
  <c r="BQ77" i="1"/>
  <c r="BQ76" i="1"/>
  <c r="BQ75" i="1"/>
  <c r="BQ74" i="1"/>
  <c r="BQ73" i="1"/>
  <c r="BQ72" i="1"/>
  <c r="BQ71" i="1"/>
  <c r="BQ70" i="1"/>
  <c r="BQ69" i="1"/>
  <c r="BQ68" i="1"/>
  <c r="BQ67" i="1"/>
  <c r="BQ65" i="1"/>
  <c r="BQ64" i="1"/>
  <c r="BQ63" i="1"/>
  <c r="BQ136" i="1"/>
  <c r="BQ62" i="1"/>
  <c r="BQ61" i="1"/>
  <c r="BQ60" i="1"/>
  <c r="BQ137" i="1"/>
  <c r="BQ144" i="1"/>
  <c r="BQ59" i="1"/>
  <c r="BQ58" i="1"/>
  <c r="BQ143" i="1"/>
  <c r="BQ138" i="1"/>
  <c r="BQ52" i="1"/>
  <c r="BQ51" i="1"/>
  <c r="BQ49" i="1"/>
  <c r="BQ47" i="1"/>
  <c r="BQ46" i="1"/>
  <c r="BQ45" i="1"/>
  <c r="BQ142" i="1"/>
  <c r="BQ44" i="1"/>
  <c r="BQ43" i="1"/>
  <c r="BQ42" i="1"/>
  <c r="BQ41" i="1"/>
  <c r="CQ25" i="1"/>
  <c r="BQ20" i="1" l="1"/>
  <c r="BQ145" i="1"/>
  <c r="BQ22" i="1"/>
  <c r="BQ14" i="1"/>
  <c r="BQ18" i="1"/>
  <c r="BQ26" i="1"/>
  <c r="BQ25" i="1"/>
  <c r="BQ17" i="1"/>
  <c r="BQ23" i="1"/>
  <c r="BQ24" i="1"/>
  <c r="BQ16" i="1"/>
  <c r="BQ19" i="1"/>
  <c r="BQ134" i="1"/>
  <c r="BQ21" i="1"/>
  <c r="BQ135" i="1"/>
  <c r="BT5" i="1"/>
  <c r="BS53" i="1"/>
  <c r="CA53" i="1"/>
  <c r="CB53" i="1"/>
  <c r="CC53" i="1"/>
  <c r="CD53" i="1"/>
  <c r="BT53" i="1"/>
  <c r="BU53" i="1"/>
  <c r="BV53" i="1"/>
  <c r="BW53" i="1"/>
  <c r="BX53" i="1"/>
  <c r="BY53" i="1"/>
  <c r="BY133" i="1"/>
  <c r="BZ5" i="1"/>
  <c r="BZ53" i="1"/>
  <c r="BZ133" i="1"/>
  <c r="BT55" i="1" l="1"/>
  <c r="BT56" i="1"/>
  <c r="BU55" i="1"/>
  <c r="BV55" i="1"/>
  <c r="BW55" i="1"/>
  <c r="BX55" i="1"/>
  <c r="BY55" i="1"/>
  <c r="BZ55" i="1"/>
  <c r="CA55" i="1"/>
  <c r="CB55" i="1"/>
  <c r="CC55" i="1"/>
  <c r="BT15" i="1" l="1"/>
  <c r="BU15" i="1"/>
  <c r="BV15" i="1"/>
  <c r="BW15" i="1"/>
  <c r="BX15" i="1"/>
  <c r="BY15" i="1"/>
  <c r="BZ15" i="1"/>
  <c r="CA15" i="1"/>
  <c r="CB15" i="1"/>
  <c r="CC15" i="1"/>
  <c r="CD15" i="1"/>
  <c r="BQ15" i="1" l="1"/>
  <c r="BT50" i="1" l="1"/>
  <c r="BU50" i="1"/>
  <c r="BV50" i="1"/>
  <c r="BW50" i="1"/>
  <c r="BX50" i="1"/>
  <c r="BY50" i="1"/>
  <c r="BZ50" i="1"/>
  <c r="CA50" i="1"/>
  <c r="CB50" i="1"/>
  <c r="CC50" i="1"/>
  <c r="CD50" i="1"/>
  <c r="BT54" i="1"/>
  <c r="BU54" i="1"/>
  <c r="BV54" i="1"/>
  <c r="BW54" i="1"/>
  <c r="BX54" i="1"/>
  <c r="BY54" i="1"/>
  <c r="BZ54" i="1"/>
  <c r="CA54" i="1"/>
  <c r="CB54" i="1"/>
  <c r="CC54" i="1"/>
  <c r="CD54" i="1"/>
  <c r="CD55" i="1"/>
  <c r="BQ55" i="1" s="1"/>
  <c r="BU56" i="1"/>
  <c r="BV56" i="1"/>
  <c r="BW56" i="1"/>
  <c r="BX56" i="1"/>
  <c r="BY56" i="1"/>
  <c r="BZ56" i="1"/>
  <c r="CA56" i="1"/>
  <c r="CB56" i="1"/>
  <c r="CC56" i="1"/>
  <c r="CD56" i="1"/>
  <c r="BT66" i="1"/>
  <c r="BU66" i="1"/>
  <c r="BV66" i="1"/>
  <c r="BW66" i="1"/>
  <c r="BX66" i="1"/>
  <c r="BY66" i="1"/>
  <c r="BZ66" i="1"/>
  <c r="CA66" i="1"/>
  <c r="CB66" i="1"/>
  <c r="CC66" i="1"/>
  <c r="CD66" i="1"/>
  <c r="BQ66" i="1" l="1"/>
  <c r="BQ56" i="1"/>
  <c r="BQ54" i="1"/>
  <c r="CQ54" i="1" l="1"/>
  <c r="CQ130" i="1"/>
  <c r="CQ50" i="1"/>
  <c r="CQ56" i="1"/>
  <c r="CQ66" i="1"/>
  <c r="CQ127" i="1"/>
  <c r="CQ126" i="1"/>
  <c r="CQ131" i="1"/>
  <c r="CD133" i="1"/>
  <c r="CC133" i="1"/>
  <c r="CB133" i="1"/>
  <c r="CA133" i="1"/>
  <c r="BX133" i="1"/>
  <c r="BW133" i="1"/>
  <c r="BV133" i="1"/>
  <c r="BU133" i="1"/>
  <c r="BT133" i="1"/>
  <c r="BQ133" i="1" l="1"/>
  <c r="CD5" i="1" l="1"/>
  <c r="CC5" i="1"/>
  <c r="CB5" i="1"/>
  <c r="CA5" i="1"/>
  <c r="BY5" i="1"/>
  <c r="BX5" i="1"/>
  <c r="BV5" i="1"/>
  <c r="BU5" i="1"/>
  <c r="CQ125" i="1" l="1"/>
</calcChain>
</file>

<file path=xl/sharedStrings.xml><?xml version="1.0" encoding="utf-8"?>
<sst xmlns="http://schemas.openxmlformats.org/spreadsheetml/2006/main" count="2267" uniqueCount="302">
  <si>
    <t>FOREIGN SENIOR STAFFS</t>
  </si>
  <si>
    <t>Wed</t>
  </si>
  <si>
    <t>Thu</t>
  </si>
  <si>
    <t>Fri</t>
  </si>
  <si>
    <t>Sat</t>
  </si>
  <si>
    <t>Sun</t>
  </si>
  <si>
    <t>Mon</t>
  </si>
  <si>
    <t>Tue</t>
  </si>
  <si>
    <t>Present Days</t>
  </si>
  <si>
    <t>Fridays</t>
  </si>
  <si>
    <t>S NO</t>
  </si>
  <si>
    <t>User ID</t>
  </si>
  <si>
    <t>Name</t>
  </si>
  <si>
    <t>IN</t>
  </si>
  <si>
    <t>OUT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</si>
  <si>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</si>
  <si>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</si>
  <si>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</si>
  <si>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</si>
  <si>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</si>
  <si>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</si>
  <si>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</si>
  <si>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</si>
  <si>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</si>
  <si>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</si>
  <si>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</si>
  <si>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</si>
  <si>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MAD0238</t>
  </si>
  <si>
    <t>Mohammed Fais Hamsa Lebbe</t>
  </si>
  <si>
    <t>MAD0083</t>
  </si>
  <si>
    <t>Rajasekaran Selvaraj</t>
  </si>
  <si>
    <t>MAD0427</t>
  </si>
  <si>
    <t>Janakiraman Sankaralingam</t>
  </si>
  <si>
    <t>MAD0040</t>
  </si>
  <si>
    <t>Younus Miah</t>
  </si>
  <si>
    <t>MAD0029</t>
  </si>
  <si>
    <t>Nazu Ahmed</t>
  </si>
  <si>
    <t>MAD0391</t>
  </si>
  <si>
    <t>Abdul Ameen</t>
  </si>
  <si>
    <t>MAD0541</t>
  </si>
  <si>
    <t>Malini Bal</t>
  </si>
  <si>
    <t>MAD0652</t>
  </si>
  <si>
    <t>MAD0599</t>
  </si>
  <si>
    <t>Suriya krishnan</t>
  </si>
  <si>
    <t>MAD0606</t>
  </si>
  <si>
    <t>MAD0670</t>
  </si>
  <si>
    <t xml:space="preserve">Mohideen Abdul Rahuman </t>
  </si>
  <si>
    <t>MAD0700</t>
  </si>
  <si>
    <t>Subail Ahmed</t>
  </si>
  <si>
    <t>MAD0016</t>
  </si>
  <si>
    <t>Abdur Rashid</t>
  </si>
  <si>
    <t>MAD0021</t>
  </si>
  <si>
    <t>Karim</t>
  </si>
  <si>
    <t>MAD0024</t>
  </si>
  <si>
    <t>Abul Hossain</t>
  </si>
  <si>
    <t>MAD0133</t>
  </si>
  <si>
    <t>Mir Hossain</t>
  </si>
  <si>
    <t>MAD0268</t>
  </si>
  <si>
    <t>Abdul Karim</t>
  </si>
  <si>
    <t>MAD0711</t>
  </si>
  <si>
    <t>Vijayakumar Kaliaraj</t>
  </si>
  <si>
    <t>MAD0717</t>
  </si>
  <si>
    <t>Prepared By:</t>
  </si>
  <si>
    <t>Checked By:</t>
  </si>
  <si>
    <t xml:space="preserve"> </t>
  </si>
  <si>
    <t>Approved By</t>
  </si>
  <si>
    <t>Hussain Mahir</t>
  </si>
  <si>
    <t>Moosa Ahmed</t>
  </si>
  <si>
    <t>HR Executive</t>
  </si>
  <si>
    <t>Office Manager</t>
  </si>
  <si>
    <t>Chairman</t>
  </si>
  <si>
    <t>Medical Certificate</t>
  </si>
  <si>
    <t>Half-Day</t>
  </si>
  <si>
    <t>Emergency Leave</t>
  </si>
  <si>
    <t>Absent</t>
  </si>
  <si>
    <t xml:space="preserve">Annual Leave                     </t>
  </si>
  <si>
    <t xml:space="preserve">No Pay Leave        </t>
  </si>
  <si>
    <t>Suspended</t>
  </si>
  <si>
    <t>Special Leave</t>
  </si>
  <si>
    <t>Family Leave</t>
  </si>
  <si>
    <t>MAD0027</t>
  </si>
  <si>
    <t>Masom</t>
  </si>
  <si>
    <t>MAD0232</t>
  </si>
  <si>
    <t>Lokman Hossain</t>
  </si>
  <si>
    <t>MAD0098</t>
  </si>
  <si>
    <t>Dukhu Miah</t>
  </si>
  <si>
    <t>MAD0156</t>
  </si>
  <si>
    <t>Mohammad Rubel Hossain</t>
  </si>
  <si>
    <t>MAD0132</t>
  </si>
  <si>
    <t>Anwar</t>
  </si>
  <si>
    <t>MAD0251</t>
  </si>
  <si>
    <t>Mohammad Akkas Miah</t>
  </si>
  <si>
    <t>MDA0241</t>
  </si>
  <si>
    <t>MD Hafizur Rahman</t>
  </si>
  <si>
    <t>MAD0104</t>
  </si>
  <si>
    <t>Mohammad Selim Raza</t>
  </si>
  <si>
    <t>MDA0418</t>
  </si>
  <si>
    <t>Sumon</t>
  </si>
  <si>
    <t>Deepak Yadav</t>
  </si>
  <si>
    <t>MAD0507</t>
  </si>
  <si>
    <t>Nazir Hussain</t>
  </si>
  <si>
    <t>MAD0426</t>
  </si>
  <si>
    <t>Ful Sah</t>
  </si>
  <si>
    <t>MAD0445</t>
  </si>
  <si>
    <t>Mir Rajib</t>
  </si>
  <si>
    <t>MAD0515</t>
  </si>
  <si>
    <t>MAD0517</t>
  </si>
  <si>
    <t>Pradip Kumar</t>
  </si>
  <si>
    <t>MAD0535</t>
  </si>
  <si>
    <t>MAD0559</t>
  </si>
  <si>
    <t>MAD0580</t>
  </si>
  <si>
    <t>MAD0585</t>
  </si>
  <si>
    <t>Rumi Miah</t>
  </si>
  <si>
    <t>MAD0587</t>
  </si>
  <si>
    <t>MAD0586</t>
  </si>
  <si>
    <t>MAD0594</t>
  </si>
  <si>
    <t>Bimol Rajbongshe</t>
  </si>
  <si>
    <t>MAD0601</t>
  </si>
  <si>
    <t>MD Mithu Hossain</t>
  </si>
  <si>
    <t>MAD0602</t>
  </si>
  <si>
    <t>MD Rokon Uddin</t>
  </si>
  <si>
    <t>MAD0603</t>
  </si>
  <si>
    <t>MD Al Amin</t>
  </si>
  <si>
    <t>MAD0613</t>
  </si>
  <si>
    <t>MAD0618</t>
  </si>
  <si>
    <t>MAD0623</t>
  </si>
  <si>
    <t>Yabuddin</t>
  </si>
  <si>
    <t>MAD0632</t>
  </si>
  <si>
    <t>Nabina Thapa</t>
  </si>
  <si>
    <t>MAD0636</t>
  </si>
  <si>
    <t>MAD0643</t>
  </si>
  <si>
    <t>NAJIR SHEKH</t>
  </si>
  <si>
    <t>MAD0668</t>
  </si>
  <si>
    <t>Arun Kumar Vettikattil</t>
  </si>
  <si>
    <t>MAD0669</t>
  </si>
  <si>
    <t>Shekh Kalamudin</t>
  </si>
  <si>
    <t>MAD0675</t>
  </si>
  <si>
    <t>Salam Shaikh</t>
  </si>
  <si>
    <t>MAD0676</t>
  </si>
  <si>
    <t>Atikur Shaikh</t>
  </si>
  <si>
    <t>MAD0677</t>
  </si>
  <si>
    <t>Abdul Odud Shaikh</t>
  </si>
  <si>
    <t>MAD0678</t>
  </si>
  <si>
    <t>Martha Ranapaheli</t>
  </si>
  <si>
    <t>MAD0680</t>
  </si>
  <si>
    <t>MD Farhad Hossain</t>
  </si>
  <si>
    <t>MAD0681</t>
  </si>
  <si>
    <t>MD Humayun Kobir</t>
  </si>
  <si>
    <t>MAD0682</t>
  </si>
  <si>
    <t>MAD0694</t>
  </si>
  <si>
    <t>Kazam Uddin</t>
  </si>
  <si>
    <t>MAD0696</t>
  </si>
  <si>
    <t>MD Milon Hossain</t>
  </si>
  <si>
    <t>MAD0701</t>
  </si>
  <si>
    <t>MAD0706</t>
  </si>
  <si>
    <t>MD Tufajjl Hosen</t>
  </si>
  <si>
    <t>MAD0713</t>
  </si>
  <si>
    <t>MD Suhel Mia</t>
  </si>
  <si>
    <t>MAD0714</t>
  </si>
  <si>
    <t>Ali Hossain</t>
  </si>
  <si>
    <t>MAD0716</t>
  </si>
  <si>
    <t>MAD0715</t>
  </si>
  <si>
    <t>Manikandan Selvaraj</t>
  </si>
  <si>
    <t>MAD0718</t>
  </si>
  <si>
    <t>Laikuzzaman Leon</t>
  </si>
  <si>
    <t>MAD0719</t>
  </si>
  <si>
    <t>Vigneshwaran kanagaraj</t>
  </si>
  <si>
    <t>MAD0723</t>
  </si>
  <si>
    <t>MD Sobuj Rana</t>
  </si>
  <si>
    <t>FOREIGN JUNIOR STAFFS</t>
  </si>
  <si>
    <t>SICK</t>
  </si>
  <si>
    <t>Biswajit Prasad Sah</t>
  </si>
  <si>
    <t>MAD0644</t>
  </si>
  <si>
    <t>Rinosan Muhamd</t>
  </si>
  <si>
    <t>MD Sahmad</t>
  </si>
  <si>
    <t>Anuj Mishra</t>
  </si>
  <si>
    <t>MD Ahad Gazi</t>
  </si>
  <si>
    <t>Puja Rai</t>
  </si>
  <si>
    <t>Nasir Ali</t>
  </si>
  <si>
    <t>MAD0726</t>
  </si>
  <si>
    <t>MD Tanvir Miah</t>
  </si>
  <si>
    <t>MAD0727</t>
  </si>
  <si>
    <t>MD Imran</t>
  </si>
  <si>
    <t>MAD0728</t>
  </si>
  <si>
    <t>Mushahid Mia</t>
  </si>
  <si>
    <t>MAD0731</t>
  </si>
  <si>
    <t>Nazmul Chowdhury</t>
  </si>
  <si>
    <t>Hasan Miah</t>
  </si>
  <si>
    <t>MAD0596</t>
  </si>
  <si>
    <t>Pls don’t Remove below data</t>
  </si>
  <si>
    <t>Total</t>
  </si>
  <si>
    <t>MAD0407</t>
  </si>
  <si>
    <t>Pratheesh Prasad</t>
  </si>
  <si>
    <t>MAD0733</t>
  </si>
  <si>
    <t>Sabbir Hossain</t>
  </si>
  <si>
    <t>MAD0233</t>
  </si>
  <si>
    <t>MAD0736</t>
  </si>
  <si>
    <t>MAD0737</t>
  </si>
  <si>
    <t>MD Shak Sabik</t>
  </si>
  <si>
    <t>Golam Sarowar Rubel</t>
  </si>
  <si>
    <t>MAD0739</t>
  </si>
  <si>
    <t>MD Sujon</t>
  </si>
  <si>
    <t>MAD0740</t>
  </si>
  <si>
    <t>MD Rayhan Bhuiya</t>
  </si>
  <si>
    <t>MAD0741</t>
  </si>
  <si>
    <t>MAD0742</t>
  </si>
  <si>
    <t>MD Hasana Ali</t>
  </si>
  <si>
    <t>MD Shamim Hoshen</t>
  </si>
  <si>
    <t>MAD0746</t>
  </si>
  <si>
    <t>Phoo Wai Myint</t>
  </si>
  <si>
    <t>MAD0672</t>
  </si>
  <si>
    <t>MAD0748</t>
  </si>
  <si>
    <t>MAD0749</t>
  </si>
  <si>
    <t>Pranav Muraleedharannair</t>
  </si>
  <si>
    <t>RamPrasath Ravipugal</t>
  </si>
  <si>
    <t>MAD0755</t>
  </si>
  <si>
    <t>Imran Hossian</t>
  </si>
  <si>
    <t>MAD0757</t>
  </si>
  <si>
    <t>MAD0758</t>
  </si>
  <si>
    <t>MAD0756</t>
  </si>
  <si>
    <t>MAD0759</t>
  </si>
  <si>
    <t>Shihub Mahmud</t>
  </si>
  <si>
    <t>MD Hasan Al Mamun</t>
  </si>
  <si>
    <t>MD Muktar Ali</t>
  </si>
  <si>
    <t>Vishnulal Jayalal</t>
  </si>
  <si>
    <t>MD Manik Hossain</t>
  </si>
  <si>
    <t>Adnan Abdul Majeed</t>
  </si>
  <si>
    <t>Thirugnanam Maruthai</t>
  </si>
  <si>
    <t>Mohammad Ajmal</t>
  </si>
  <si>
    <t>Raju Ahmed</t>
  </si>
  <si>
    <t>MD Naim Sarder</t>
  </si>
  <si>
    <t>MD Nahim Gazi</t>
  </si>
  <si>
    <t>MAD0762</t>
  </si>
  <si>
    <t>Tribhuwan Bhandari</t>
  </si>
  <si>
    <t>MAD0763</t>
  </si>
  <si>
    <t>Muneswari Sandrapalli</t>
  </si>
  <si>
    <t xml:space="preserve">Mohamed Aiyash Mohamed </t>
  </si>
  <si>
    <t>MAD0767</t>
  </si>
  <si>
    <t>Solaiappan Gurusamy</t>
  </si>
  <si>
    <t xml:space="preserve">Shahinur Alam </t>
  </si>
  <si>
    <t>MAD0769</t>
  </si>
  <si>
    <t>Prashanth Babu</t>
  </si>
  <si>
    <t>Mohammed Kalifa</t>
  </si>
  <si>
    <t xml:space="preserve">Used Leave Totals (Running Year, up to end of this month - June 2026) </t>
  </si>
  <si>
    <t>MAD0396</t>
  </si>
  <si>
    <t>Note:</t>
  </si>
  <si>
    <t>OT:</t>
  </si>
  <si>
    <t>Alisan</t>
  </si>
  <si>
    <t>MAD0637</t>
  </si>
  <si>
    <t>MAD0773</t>
  </si>
  <si>
    <t>Nabina Sarki</t>
  </si>
  <si>
    <t>Abu Sufian Rakib</t>
  </si>
  <si>
    <t>MAD0776</t>
  </si>
  <si>
    <t>MD Habibur Rahman</t>
  </si>
  <si>
    <t>MAD0777</t>
  </si>
  <si>
    <t>Sufal Das</t>
  </si>
  <si>
    <t>MAD0775</t>
  </si>
  <si>
    <t>Lila Ibrahim</t>
  </si>
  <si>
    <t>Bibi Rai</t>
  </si>
  <si>
    <t>Nitya Rai</t>
  </si>
  <si>
    <t>Deepu Yadav</t>
  </si>
  <si>
    <t>MAD0778</t>
  </si>
  <si>
    <t>MAD0779</t>
  </si>
  <si>
    <t>MAD0782</t>
  </si>
  <si>
    <t>1 friday of Jul added</t>
  </si>
  <si>
    <t>Attendance for SEPTEMBER 2026  - MALE SENIOR FOREIGN STAFFS</t>
  </si>
  <si>
    <t>Attendance for SEPTEMBER 2026   - MALE JUNIOR FOREIGN STAFFS</t>
  </si>
  <si>
    <t>MAD0785</t>
  </si>
  <si>
    <t>Veeravel Thangavel</t>
  </si>
  <si>
    <t>Settlement for MD Mithu Hossain - SEP 2026   - MALE JUNIOR FOREIGN STAFFS</t>
  </si>
  <si>
    <t>Settlement for Masom - SEP 2026   - MALE JUNIOR FOREIGN STAFFS</t>
  </si>
  <si>
    <t>Settlement for Anwar - SEP 2026   - MALE JUNIOR FOREIGN STAFFS</t>
  </si>
  <si>
    <t>Rinosan Muhamad</t>
  </si>
  <si>
    <t>Settlement for Rinosan Muhamad - SEP 2026   - MALE JUNIOR FOREIGN STAFFS</t>
  </si>
  <si>
    <t>DOJ 7th September 2026</t>
  </si>
  <si>
    <t xml:space="preserve">                Food Allowance for  18 days</t>
  </si>
  <si>
    <t>Including - 16th 17th &amp; 18th September ( Leaving on 19th September )</t>
  </si>
  <si>
    <t>Including - 16th 17th 18th &amp; 19th September ( Leaving on 20th September )</t>
  </si>
  <si>
    <t xml:space="preserve">                Food Allowance for  19 days</t>
  </si>
  <si>
    <t>Fixed OT  1000/-</t>
  </si>
  <si>
    <t xml:space="preserve">OT : </t>
  </si>
  <si>
    <t xml:space="preserve">OT: </t>
  </si>
  <si>
    <t>26th Aug - 17th Sep - 21 Days (38h)  MVR - 681.00</t>
  </si>
  <si>
    <t>26th Aug - 17th Sep - 21 Days (68h 06m)  MVR - 681.00</t>
  </si>
  <si>
    <t>26th Aug - 17th Sep - 21 Days (70h 85m)  MVR - 714.17</t>
  </si>
  <si>
    <t>26th Aug - 19th Sep  (25 Days )</t>
  </si>
  <si>
    <r>
      <rPr>
        <sz val="11"/>
        <color theme="1"/>
        <rFont val="Calibri"/>
        <family val="2"/>
        <scheme val="minor"/>
      </rPr>
      <t>Please Pay  incentive of USD 300.00 equivalent MVR. (</t>
    </r>
    <r>
      <rPr>
        <b/>
        <sz val="11"/>
        <color theme="1"/>
        <rFont val="Calibri"/>
        <family val="2"/>
        <scheme val="minor"/>
      </rPr>
      <t>Approved by Boss)</t>
    </r>
  </si>
  <si>
    <t>Settlement for Alisan - SEP 2026   - MALE JUNIOR FOREIGN STAFFS</t>
  </si>
  <si>
    <r>
      <rPr>
        <sz val="11"/>
        <color theme="1"/>
        <rFont val="Calibri"/>
        <family val="2"/>
        <scheme val="minor"/>
      </rPr>
      <t>(75h 38m)</t>
    </r>
    <r>
      <rPr>
        <b/>
        <sz val="11"/>
        <color theme="1"/>
        <rFont val="Calibri"/>
        <family val="2"/>
        <scheme val="minor"/>
      </rPr>
      <t xml:space="preserve">  MVR 763.83</t>
    </r>
  </si>
  <si>
    <t xml:space="preserve"> (Leaving on 22nd September 2026)</t>
  </si>
  <si>
    <t xml:space="preserve">        Food Allowance for  6 days</t>
  </si>
  <si>
    <t xml:space="preserve"> (Leaving on 29th September 2026)</t>
  </si>
  <si>
    <t>Settlement for Tribhuwan - SEP 2026   - MALE SENIOR FOREIGN STAFFS</t>
  </si>
  <si>
    <t xml:space="preserve">        Food Allowance for  13 days</t>
  </si>
  <si>
    <r>
      <rPr>
        <sz val="14"/>
        <color theme="1"/>
        <rFont val="Calibri"/>
        <family val="2"/>
        <scheme val="minor"/>
      </rPr>
      <t>(97h 86m)</t>
    </r>
    <r>
      <rPr>
        <b/>
        <sz val="14"/>
        <color theme="1"/>
        <rFont val="Calibri"/>
        <family val="2"/>
        <scheme val="minor"/>
      </rPr>
      <t xml:space="preserve">  MVR 984.33</t>
    </r>
  </si>
  <si>
    <t>Abdul Rahman Gasim</t>
  </si>
  <si>
    <t>Operations Manager</t>
  </si>
  <si>
    <t>Settlement for Manikandan - SEP 2026   - MALE SENIOR FOREIGN STAFFS</t>
  </si>
  <si>
    <t xml:space="preserve">        Food Allowance for  17 days</t>
  </si>
  <si>
    <t>MVR 897.50</t>
  </si>
  <si>
    <t>(Leaving on 03rd Oct 2026)</t>
  </si>
  <si>
    <t>Anamul Hoque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</si>
</sst>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6" formatCode="0;[Red]0"/>
  </numFmts>
  <fonts count="3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0"/>
      <color theme="1"/>
      <name val="Arial Black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Segoe UI"/>
      <family val="2"/>
    </font>
    <font>
      <b/>
      <sz val="12"/>
      <color theme="1"/>
      <name val="Segoe UI"/>
      <family val="2"/>
    </font>
    <font>
      <b/>
      <sz val="12"/>
      <name val="Arial"/>
      <family val="2"/>
    </font>
    <font>
      <sz val="9"/>
      <color theme="1"/>
      <name val="Segoe UI"/>
      <family val="2"/>
    </font>
    <font>
      <b/>
      <sz val="9"/>
      <color theme="1"/>
      <name val="Calibri"/>
      <family val="2"/>
      <scheme val="minor"/>
    </font>
    <font>
      <sz val="10"/>
      <name val="Segoe U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u/>
      <sz val="14"/>
      <color rgb="FFFF0000"/>
      <name val="Calibri"/>
      <family val="2"/>
      <scheme val="minor"/>
    </font>
    <font>
      <sz val="9.9"/>
      <color theme="1"/>
      <name val="Arial"/>
      <family val="2"/>
    </font>
    <font>
      <b/>
      <sz val="9.9"/>
      <color theme="1"/>
      <name val="Arial"/>
      <family val="2"/>
    </font>
    <font>
      <sz val="8"/>
      <color theme="1"/>
      <name val="Segoe UI"/>
      <family val="2"/>
    </font>
    <font>
      <sz val="9.9"/>
      <name val="Arial"/>
      <family val="2"/>
    </font>
    <font>
      <b/>
      <sz val="9.9"/>
      <name val="Arial"/>
      <family val="2"/>
    </font>
    <font>
      <sz val="12"/>
      <color theme="1"/>
      <name val="Arial Black"/>
      <family val="2"/>
    </font>
    <font>
      <sz val="12"/>
      <name val="Calibri"/>
      <family val="2"/>
      <scheme val="minor"/>
    </font>
    <font>
      <sz val="12"/>
      <color theme="1"/>
      <name val="Segoe UI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charset val="1"/>
      <scheme val="minor"/>
    </font>
    <font>
      <sz val="14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3" fillId="0" borderId="0"/>
  </cellStyleXfs>
  <cellXfs count="299">
    <xf numFmtId="0" fontId="0" fillId="0" borderId="0" xfId="0"/>
    <xf numFmtId="1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1" fontId="7" fillId="3" borderId="3" xfId="0" applyNumberFormat="1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1" fontId="7" fillId="5" borderId="5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164" fontId="15" fillId="0" borderId="0" xfId="0" applyNumberFormat="1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0" borderId="0" xfId="0" applyFont="1"/>
    <xf numFmtId="164" fontId="15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5" fillId="0" borderId="0" xfId="0" applyFont="1"/>
    <xf numFmtId="0" fontId="14" fillId="0" borderId="0" xfId="0" applyFont="1" applyAlignment="1">
      <alignment vertical="center"/>
    </xf>
    <xf numFmtId="164" fontId="14" fillId="0" borderId="0" xfId="0" applyNumberFormat="1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 wrapText="1"/>
    </xf>
    <xf numFmtId="0" fontId="19" fillId="6" borderId="0" xfId="0" applyFont="1" applyFill="1" applyAlignment="1">
      <alignment vertical="center"/>
    </xf>
    <xf numFmtId="0" fontId="19" fillId="6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9" fillId="7" borderId="0" xfId="0" applyFont="1" applyFill="1" applyAlignment="1">
      <alignment vertical="center"/>
    </xf>
    <xf numFmtId="0" fontId="19" fillId="7" borderId="0" xfId="0" applyFont="1" applyFill="1" applyAlignment="1">
      <alignment horizontal="left" vertical="center"/>
    </xf>
    <xf numFmtId="0" fontId="12" fillId="7" borderId="0" xfId="0" applyFont="1" applyFill="1"/>
    <xf numFmtId="0" fontId="20" fillId="0" borderId="0" xfId="0" applyFont="1" applyAlignment="1">
      <alignment vertical="center"/>
    </xf>
    <xf numFmtId="49" fontId="19" fillId="7" borderId="0" xfId="0" applyNumberFormat="1" applyFont="1" applyFill="1" applyAlignment="1">
      <alignment vertical="center"/>
    </xf>
    <xf numFmtId="49" fontId="19" fillId="7" borderId="0" xfId="0" applyNumberFormat="1" applyFont="1" applyFill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0" fillId="4" borderId="0" xfId="0" applyFill="1" applyAlignment="1">
      <alignment vertical="center"/>
    </xf>
    <xf numFmtId="1" fontId="7" fillId="3" borderId="7" xfId="0" applyNumberFormat="1" applyFont="1" applyFill="1" applyBorder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20" fontId="25" fillId="4" borderId="3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0" fillId="4" borderId="0" xfId="0" applyFill="1"/>
    <xf numFmtId="20" fontId="28" fillId="4" borderId="3" xfId="0" applyNumberFormat="1" applyFont="1" applyFill="1" applyBorder="1" applyAlignment="1">
      <alignment horizontal="center" vertical="center" wrapText="1"/>
    </xf>
    <xf numFmtId="20" fontId="25" fillId="4" borderId="1" xfId="0" applyNumberFormat="1" applyFont="1" applyFill="1" applyBorder="1" applyAlignment="1">
      <alignment horizontal="center" vertical="center" wrapText="1"/>
    </xf>
    <xf numFmtId="0" fontId="28" fillId="4" borderId="3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1" fontId="9" fillId="4" borderId="1" xfId="0" applyNumberFormat="1" applyFont="1" applyFill="1" applyBorder="1" applyAlignment="1">
      <alignment horizontal="left" vertical="center"/>
    </xf>
    <xf numFmtId="0" fontId="21" fillId="4" borderId="1" xfId="1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5" fontId="0" fillId="0" borderId="15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5" fontId="0" fillId="0" borderId="8" xfId="0" applyNumberFormat="1" applyBorder="1" applyAlignment="1">
      <alignment horizontal="center" vertical="center"/>
    </xf>
    <xf numFmtId="20" fontId="25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20" fontId="29" fillId="4" borderId="3" xfId="0" applyNumberFormat="1" applyFont="1" applyFill="1" applyBorder="1" applyAlignment="1">
      <alignment horizontal="center" vertical="center" wrapText="1"/>
    </xf>
    <xf numFmtId="0" fontId="29" fillId="4" borderId="3" xfId="0" applyFont="1" applyFill="1" applyBorder="1" applyAlignment="1">
      <alignment horizontal="center" vertical="center" wrapText="1"/>
    </xf>
    <xf numFmtId="1" fontId="9" fillId="4" borderId="3" xfId="0" applyNumberFormat="1" applyFont="1" applyFill="1" applyBorder="1" applyAlignment="1">
      <alignment horizontal="center" vertical="center"/>
    </xf>
    <xf numFmtId="15" fontId="0" fillId="4" borderId="8" xfId="0" applyNumberFormat="1" applyFill="1" applyBorder="1" applyAlignment="1">
      <alignment horizontal="center" vertical="center"/>
    </xf>
    <xf numFmtId="1" fontId="7" fillId="5" borderId="3" xfId="0" applyNumberFormat="1" applyFont="1" applyFill="1" applyBorder="1" applyAlignment="1">
      <alignment horizontal="center" vertical="center"/>
    </xf>
    <xf numFmtId="20" fontId="26" fillId="4" borderId="3" xfId="0" applyNumberFormat="1" applyFont="1" applyFill="1" applyBorder="1" applyAlignment="1">
      <alignment horizontal="center" vertical="center" wrapText="1"/>
    </xf>
    <xf numFmtId="0" fontId="26" fillId="4" borderId="3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15" fontId="8" fillId="2" borderId="3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20" fontId="28" fillId="4" borderId="0" xfId="0" applyNumberFormat="1" applyFont="1" applyFill="1" applyAlignment="1">
      <alignment horizontal="center" vertical="center" wrapText="1"/>
    </xf>
    <xf numFmtId="0" fontId="25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5" fontId="8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20" fontId="25" fillId="4" borderId="0" xfId="0" applyNumberFormat="1" applyFont="1" applyFill="1" applyAlignment="1">
      <alignment horizontal="center" vertical="center" wrapText="1"/>
    </xf>
    <xf numFmtId="0" fontId="28" fillId="4" borderId="0" xfId="0" applyFont="1" applyFill="1" applyAlignment="1">
      <alignment horizontal="center" vertical="center" wrapText="1"/>
    </xf>
    <xf numFmtId="0" fontId="29" fillId="4" borderId="0" xfId="0" applyFont="1" applyFill="1" applyAlignment="1">
      <alignment horizontal="center" vertical="center" wrapText="1"/>
    </xf>
    <xf numFmtId="0" fontId="22" fillId="10" borderId="3" xfId="0" applyFont="1" applyFill="1" applyBorder="1" applyAlignment="1">
      <alignment horizontal="center" vertical="center"/>
    </xf>
    <xf numFmtId="0" fontId="22" fillId="10" borderId="5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2" fillId="10" borderId="4" xfId="0" applyFont="1" applyFill="1" applyBorder="1" applyAlignment="1">
      <alignment horizontal="center" vertical="center"/>
    </xf>
    <xf numFmtId="0" fontId="22" fillId="10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0" fontId="28" fillId="4" borderId="5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8" borderId="3" xfId="0" applyNumberFormat="1" applyFill="1" applyBorder="1" applyAlignment="1">
      <alignment horizontal="center" vertical="center"/>
    </xf>
    <xf numFmtId="164" fontId="0" fillId="11" borderId="3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9" fillId="0" borderId="3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0" borderId="3" xfId="0" quotePrefix="1" applyNumberFormat="1" applyBorder="1" applyAlignment="1">
      <alignment horizontal="center" vertical="center"/>
    </xf>
    <xf numFmtId="0" fontId="5" fillId="0" borderId="3" xfId="0" applyFont="1" applyBorder="1" applyAlignment="1">
      <alignment horizontal="center" vertical="center" textRotation="90" wrapText="1"/>
    </xf>
    <xf numFmtId="0" fontId="7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164" fontId="15" fillId="0" borderId="0" xfId="0" applyNumberFormat="1" applyFont="1" applyAlignment="1">
      <alignment horizontal="right" vertical="center"/>
    </xf>
    <xf numFmtId="0" fontId="19" fillId="9" borderId="0" xfId="0" applyFont="1" applyFill="1" applyAlignment="1">
      <alignment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0" fillId="9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49" fontId="19" fillId="9" borderId="0" xfId="0" applyNumberFormat="1" applyFont="1" applyFill="1" applyAlignment="1">
      <alignment vertical="center"/>
    </xf>
    <xf numFmtId="0" fontId="12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49" fontId="19" fillId="9" borderId="0" xfId="0" applyNumberFormat="1" applyFont="1" applyFill="1" applyAlignment="1">
      <alignment horizontal="left" vertical="center"/>
    </xf>
    <xf numFmtId="0" fontId="12" fillId="9" borderId="0" xfId="0" applyFont="1" applyFill="1"/>
    <xf numFmtId="0" fontId="19" fillId="9" borderId="0" xfId="0" applyFont="1" applyFill="1" applyAlignment="1">
      <alignment horizontal="left" vertical="center"/>
    </xf>
    <xf numFmtId="0" fontId="1" fillId="0" borderId="0" xfId="0" applyFont="1" applyAlignment="1">
      <alignment horizontal="left"/>
    </xf>
    <xf numFmtId="164" fontId="25" fillId="4" borderId="3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left" vertical="center"/>
    </xf>
    <xf numFmtId="164" fontId="0" fillId="13" borderId="3" xfId="0" applyNumberForma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4" fontId="28" fillId="4" borderId="5" xfId="0" applyNumberFormat="1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/>
    </xf>
    <xf numFmtId="1" fontId="9" fillId="8" borderId="3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 wrapText="1"/>
    </xf>
    <xf numFmtId="15" fontId="0" fillId="8" borderId="8" xfId="0" applyNumberFormat="1" applyFill="1" applyBorder="1" applyAlignment="1">
      <alignment horizontal="center" vertical="center"/>
    </xf>
    <xf numFmtId="1" fontId="7" fillId="8" borderId="3" xfId="0" applyNumberFormat="1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1" fontId="2" fillId="8" borderId="3" xfId="0" applyNumberFormat="1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 wrapText="1"/>
    </xf>
    <xf numFmtId="0" fontId="0" fillId="8" borderId="0" xfId="0" applyFill="1"/>
    <xf numFmtId="0" fontId="22" fillId="8" borderId="5" xfId="0" applyFont="1" applyFill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3" xfId="0" applyNumberFormat="1" applyBorder="1" applyAlignment="1">
      <alignment vertical="center"/>
    </xf>
    <xf numFmtId="164" fontId="25" fillId="0" borderId="3" xfId="0" applyNumberFormat="1" applyFont="1" applyBorder="1" applyAlignment="1">
      <alignment horizontal="center" vertical="center" wrapText="1"/>
    </xf>
    <xf numFmtId="15" fontId="9" fillId="15" borderId="8" xfId="0" applyNumberFormat="1" applyFont="1" applyFill="1" applyBorder="1" applyAlignment="1">
      <alignment horizontal="center" vertical="center"/>
    </xf>
    <xf numFmtId="164" fontId="0" fillId="16" borderId="3" xfId="0" applyNumberFormat="1" applyFill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17" borderId="3" xfId="0" applyNumberFormat="1" applyFill="1" applyBorder="1" applyAlignment="1">
      <alignment horizontal="center" vertical="center"/>
    </xf>
    <xf numFmtId="164" fontId="1" fillId="16" borderId="3" xfId="0" applyNumberFormat="1" applyFont="1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20" fontId="28" fillId="0" borderId="0" xfId="0" applyNumberFormat="1" applyFont="1" applyAlignment="1">
      <alignment horizontal="center" vertical="center" wrapText="1"/>
    </xf>
    <xf numFmtId="20" fontId="28" fillId="0" borderId="5" xfId="0" applyNumberFormat="1" applyFont="1" applyBorder="1" applyAlignment="1">
      <alignment horizontal="center" vertical="center" wrapText="1"/>
    </xf>
    <xf numFmtId="1" fontId="7" fillId="0" borderId="5" xfId="0" applyNumberFormat="1" applyFont="1" applyBorder="1" applyAlignment="1">
      <alignment horizontal="center" vertical="center"/>
    </xf>
    <xf numFmtId="164" fontId="0" fillId="18" borderId="3" xfId="0" applyNumberForma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0" fontId="31" fillId="0" borderId="1" xfId="0" applyFont="1" applyBorder="1" applyAlignment="1">
      <alignment vertical="center"/>
    </xf>
    <xf numFmtId="15" fontId="22" fillId="0" borderId="15" xfId="0" applyNumberFormat="1" applyFont="1" applyBorder="1" applyAlignment="1">
      <alignment horizontal="center" vertical="center"/>
    </xf>
    <xf numFmtId="164" fontId="22" fillId="0" borderId="3" xfId="0" applyNumberFormat="1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15" fillId="4" borderId="0" xfId="0" applyFont="1" applyFill="1" applyAlignment="1">
      <alignment horizontal="center" vertical="center"/>
    </xf>
    <xf numFmtId="0" fontId="22" fillId="4" borderId="0" xfId="0" applyFont="1" applyFill="1" applyAlignment="1">
      <alignment vertical="center"/>
    </xf>
    <xf numFmtId="0" fontId="15" fillId="0" borderId="0" xfId="0" applyFont="1" applyAlignment="1">
      <alignment horizontal="right" vertical="center"/>
    </xf>
    <xf numFmtId="0" fontId="15" fillId="0" borderId="0" xfId="0" applyFont="1" applyAlignment="1">
      <alignment horizontal="right"/>
    </xf>
    <xf numFmtId="166" fontId="22" fillId="0" borderId="3" xfId="0" applyNumberFormat="1" applyFont="1" applyBorder="1" applyAlignment="1">
      <alignment horizontal="center" vertical="center"/>
    </xf>
    <xf numFmtId="0" fontId="22" fillId="4" borderId="0" xfId="0" applyFont="1" applyFill="1"/>
    <xf numFmtId="0" fontId="17" fillId="0" borderId="14" xfId="0" applyFont="1" applyBorder="1" applyAlignment="1">
      <alignment horizontal="center" vertical="center"/>
    </xf>
    <xf numFmtId="1" fontId="32" fillId="0" borderId="8" xfId="0" applyNumberFormat="1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textRotation="90" wrapText="1"/>
    </xf>
    <xf numFmtId="1" fontId="17" fillId="3" borderId="7" xfId="0" applyNumberFormat="1" applyFont="1" applyFill="1" applyBorder="1" applyAlignment="1">
      <alignment vertical="center"/>
    </xf>
    <xf numFmtId="0" fontId="18" fillId="0" borderId="3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20" fontId="34" fillId="0" borderId="3" xfId="0" applyNumberFormat="1" applyFont="1" applyBorder="1" applyAlignment="1">
      <alignment horizontal="center" vertical="center" wrapText="1"/>
    </xf>
    <xf numFmtId="20" fontId="33" fillId="4" borderId="3" xfId="0" applyNumberFormat="1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/>
    </xf>
    <xf numFmtId="0" fontId="33" fillId="4" borderId="3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1" fontId="17" fillId="5" borderId="3" xfId="0" applyNumberFormat="1" applyFont="1" applyFill="1" applyBorder="1" applyAlignment="1">
      <alignment horizontal="center" vertical="center"/>
    </xf>
    <xf numFmtId="0" fontId="35" fillId="4" borderId="3" xfId="0" applyFont="1" applyFill="1" applyBorder="1" applyAlignment="1">
      <alignment horizontal="center" vertical="center"/>
    </xf>
    <xf numFmtId="1" fontId="32" fillId="0" borderId="3" xfId="0" applyNumberFormat="1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36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  <xf numFmtId="0" fontId="36" fillId="0" borderId="0" xfId="0" applyFont="1" applyAlignment="1">
      <alignment vertical="center"/>
    </xf>
    <xf numFmtId="164" fontId="0" fillId="12" borderId="3" xfId="0" applyNumberFormat="1" applyFill="1" applyBorder="1" applyAlignment="1">
      <alignment horizontal="center" vertical="center"/>
    </xf>
    <xf numFmtId="164" fontId="0" fillId="14" borderId="3" xfId="0" applyNumberFormat="1" applyFill="1" applyBorder="1" applyAlignment="1">
      <alignment horizontal="center"/>
    </xf>
    <xf numFmtId="164" fontId="0" fillId="13" borderId="3" xfId="0" applyNumberFormat="1" applyFill="1" applyBorder="1" applyAlignment="1">
      <alignment horizontal="center"/>
    </xf>
    <xf numFmtId="164" fontId="0" fillId="12" borderId="3" xfId="0" applyNumberFormat="1" applyFill="1" applyBorder="1" applyAlignment="1">
      <alignment horizontal="center"/>
    </xf>
    <xf numFmtId="164" fontId="9" fillId="0" borderId="3" xfId="0" applyNumberFormat="1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14" borderId="3" xfId="0" applyNumberForma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0" fillId="12" borderId="1" xfId="0" applyNumberFormat="1" applyFill="1" applyBorder="1" applyAlignment="1">
      <alignment horizontal="center" vertical="center"/>
    </xf>
    <xf numFmtId="164" fontId="0" fillId="12" borderId="2" xfId="0" applyNumberFormat="1" applyFill="1" applyBorder="1" applyAlignment="1">
      <alignment horizontal="center" vertical="center"/>
    </xf>
    <xf numFmtId="164" fontId="0" fillId="12" borderId="5" xfId="0" applyNumberForma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5" fontId="8" fillId="2" borderId="3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5" fontId="8" fillId="2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 textRotation="90" wrapText="1"/>
    </xf>
    <xf numFmtId="0" fontId="5" fillId="0" borderId="6" xfId="0" applyFont="1" applyBorder="1" applyAlignment="1">
      <alignment horizontal="center" vertical="center" textRotation="90" wrapText="1"/>
    </xf>
    <xf numFmtId="0" fontId="5" fillId="0" borderId="7" xfId="0" applyFont="1" applyBorder="1" applyAlignment="1">
      <alignment horizontal="center" vertical="center" textRotation="90" wrapText="1"/>
    </xf>
    <xf numFmtId="0" fontId="4" fillId="2" borderId="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4" fillId="8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textRotation="90" wrapText="1"/>
    </xf>
    <xf numFmtId="0" fontId="6" fillId="3" borderId="3" xfId="0" applyFont="1" applyFill="1" applyBorder="1" applyAlignment="1">
      <alignment horizontal="center" vertical="center" textRotation="90" wrapText="1"/>
    </xf>
    <xf numFmtId="0" fontId="5" fillId="4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textRotation="90" wrapText="1"/>
    </xf>
    <xf numFmtId="0" fontId="5" fillId="0" borderId="3" xfId="0" applyFont="1" applyBorder="1" applyAlignment="1">
      <alignment horizontal="center" vertical="center" textRotation="90" wrapText="1"/>
    </xf>
    <xf numFmtId="0" fontId="6" fillId="3" borderId="4" xfId="0" applyFont="1" applyFill="1" applyBorder="1" applyAlignment="1">
      <alignment horizontal="center" vertical="center" textRotation="90" wrapText="1"/>
    </xf>
    <xf numFmtId="0" fontId="6" fillId="3" borderId="6" xfId="0" applyFont="1" applyFill="1" applyBorder="1" applyAlignment="1">
      <alignment horizontal="center" vertical="center" textRotation="90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15" fontId="8" fillId="2" borderId="5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5" fontId="22" fillId="2" borderId="1" xfId="0" applyNumberFormat="1" applyFont="1" applyFill="1" applyBorder="1" applyAlignment="1">
      <alignment horizontal="center" vertical="center"/>
    </xf>
    <xf numFmtId="15" fontId="22" fillId="2" borderId="5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 textRotation="90" wrapText="1"/>
    </xf>
    <xf numFmtId="0" fontId="17" fillId="3" borderId="7" xfId="0" applyFont="1" applyFill="1" applyBorder="1" applyAlignment="1">
      <alignment horizontal="center" vertical="center" textRotation="90" wrapText="1"/>
    </xf>
    <xf numFmtId="0" fontId="15" fillId="0" borderId="6" xfId="0" applyFont="1" applyBorder="1" applyAlignment="1">
      <alignment horizontal="center" vertical="center" textRotation="90" wrapText="1"/>
    </xf>
    <xf numFmtId="0" fontId="15" fillId="0" borderId="7" xfId="0" applyFont="1" applyBorder="1" applyAlignment="1">
      <alignment horizontal="center" vertical="center" textRotation="90" wrapText="1"/>
    </xf>
    <xf numFmtId="15" fontId="22" fillId="2" borderId="3" xfId="0" applyNumberFormat="1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30" fillId="2" borderId="9" xfId="0" applyFont="1" applyFill="1" applyBorder="1" applyAlignment="1">
      <alignment horizontal="center" vertical="center"/>
    </xf>
    <xf numFmtId="0" fontId="30" fillId="2" borderId="16" xfId="0" applyFont="1" applyFill="1" applyBorder="1" applyAlignment="1">
      <alignment horizontal="center" vertical="center"/>
    </xf>
    <xf numFmtId="0" fontId="30" fillId="2" borderId="10" xfId="0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/>
    </xf>
    <xf numFmtId="0" fontId="30" fillId="2" borderId="11" xfId="0" applyFont="1" applyFill="1" applyBorder="1" applyAlignment="1">
      <alignment horizontal="center" vertical="center"/>
    </xf>
    <xf numFmtId="0" fontId="30" fillId="2" borderId="12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A4EC3061-B914-4480-9893-F99140BDDDFD}"/>
  </cellStyles>
  <dxfs count="1718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HR&amp;Admin\0.%20ATTENDANCE\2026\08-August%202026\All%20Staff%20Daily%20Attendance%20-Augu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Sheet2"/>
      <sheetName val="01-08-2026"/>
      <sheetName val="02-08-2026"/>
      <sheetName val="03-08-2026"/>
      <sheetName val="04-08-2026"/>
      <sheetName val="05-08-2026"/>
      <sheetName val="06-08-2026"/>
      <sheetName val="07-08-2026"/>
      <sheetName val="08-08-2026"/>
      <sheetName val="09-08-2026"/>
      <sheetName val="10-08-2026 "/>
      <sheetName val="11-08-2026"/>
      <sheetName val="12-08-2026"/>
      <sheetName val="13-08-2026"/>
      <sheetName val="14-08-2026"/>
      <sheetName val="15-08-2026"/>
      <sheetName val="16-08-2026"/>
      <sheetName val="17-08-2026"/>
      <sheetName val="18-08-2026"/>
      <sheetName val="19-08-2026"/>
      <sheetName val="20-08-2026 "/>
      <sheetName val="21-08-2026"/>
      <sheetName val="22-08-2026"/>
      <sheetName val="23"/>
      <sheetName val="23-08-2026"/>
      <sheetName val="24-08-2026 "/>
      <sheetName val="25-08-2026)"/>
      <sheetName val="26-08-2026) "/>
      <sheetName val="27-08-2026"/>
      <sheetName val="28-08-2026"/>
      <sheetName val="29-08-2026"/>
      <sheetName val="30-08-2026 "/>
      <sheetName val="31-08-2026 "/>
      <sheetName val="Monthly"/>
      <sheetName val="Sheet1"/>
      <sheetName val="Sheet3"/>
      <sheetName val="Outti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4">
          <cell r="E4" t="str">
            <v>Male Local staff</v>
          </cell>
          <cell r="F4" t="str">
            <v>MAD0001</v>
          </cell>
          <cell r="G4" t="str">
            <v>Head Office</v>
          </cell>
          <cell r="H4" t="str">
            <v>Mohamd Ali Didi</v>
          </cell>
          <cell r="I4">
            <v>46235.321215277778</v>
          </cell>
          <cell r="J4">
            <v>1</v>
          </cell>
          <cell r="K4">
            <v>46236.322800925926</v>
          </cell>
          <cell r="L4">
            <v>1</v>
          </cell>
          <cell r="M4">
            <v>46237.351990740739</v>
          </cell>
          <cell r="N4">
            <v>1</v>
          </cell>
          <cell r="O4">
            <v>46238.323055555556</v>
          </cell>
          <cell r="P4">
            <v>1</v>
          </cell>
          <cell r="Q4">
            <v>46239.324282407404</v>
          </cell>
          <cell r="R4">
            <v>1</v>
          </cell>
          <cell r="S4">
            <v>46240.318506944444</v>
          </cell>
          <cell r="T4">
            <v>1</v>
          </cell>
          <cell r="U4">
            <v>46241.553518518522</v>
          </cell>
          <cell r="V4">
            <v>1</v>
          </cell>
          <cell r="W4">
            <v>46242.318229166667</v>
          </cell>
          <cell r="X4">
            <v>1</v>
          </cell>
          <cell r="Y4">
            <v>46243.324618055558</v>
          </cell>
          <cell r="Z4">
            <v>1</v>
          </cell>
          <cell r="AA4">
            <v>46244.319328703707</v>
          </cell>
          <cell r="AB4">
            <v>46244.733506944445</v>
          </cell>
          <cell r="AC4">
            <v>46245.323530092595</v>
          </cell>
          <cell r="AD4">
            <v>1</v>
          </cell>
          <cell r="AE4">
            <v>46246.321759259263</v>
          </cell>
        </row>
        <row r="5">
          <cell r="E5" t="str">
            <v>Male Local staff</v>
          </cell>
          <cell r="F5" t="str">
            <v>MAD0006</v>
          </cell>
          <cell r="G5" t="str">
            <v>Head Office</v>
          </cell>
          <cell r="H5" t="str">
            <v>Fathmath Hana</v>
          </cell>
          <cell r="I5" t="str">
            <v>AL</v>
          </cell>
          <cell r="J5" t="str">
            <v>AL</v>
          </cell>
          <cell r="K5" t="str">
            <v>AL</v>
          </cell>
          <cell r="L5" t="str">
            <v>AL</v>
          </cell>
          <cell r="M5" t="str">
            <v>AL</v>
          </cell>
          <cell r="N5" t="str">
            <v>AL</v>
          </cell>
          <cell r="O5" t="str">
            <v>AL</v>
          </cell>
          <cell r="P5" t="str">
            <v>AL</v>
          </cell>
          <cell r="Q5" t="str">
            <v>AL</v>
          </cell>
          <cell r="R5" t="str">
            <v>AL</v>
          </cell>
          <cell r="S5" t="str">
            <v>AL</v>
          </cell>
          <cell r="T5" t="str">
            <v>AL</v>
          </cell>
          <cell r="U5" t="str">
            <v>AL</v>
          </cell>
          <cell r="V5" t="str">
            <v>AL</v>
          </cell>
          <cell r="W5" t="str">
            <v>AL</v>
          </cell>
          <cell r="X5" t="str">
            <v>AL</v>
          </cell>
          <cell r="Y5" t="str">
            <v>AL</v>
          </cell>
          <cell r="Z5" t="str">
            <v>AL</v>
          </cell>
          <cell r="AA5" t="str">
            <v>AL</v>
          </cell>
          <cell r="AB5" t="str">
            <v>AL</v>
          </cell>
          <cell r="AC5" t="str">
            <v>AL</v>
          </cell>
          <cell r="AD5" t="str">
            <v>AL</v>
          </cell>
          <cell r="AE5" t="str">
            <v>AL</v>
          </cell>
        </row>
        <row r="6">
          <cell r="E6" t="str">
            <v>Fs male Local staff</v>
          </cell>
          <cell r="F6" t="str">
            <v>MAD0016</v>
          </cell>
          <cell r="G6" t="str">
            <v>Wholesale</v>
          </cell>
          <cell r="H6" t="str">
            <v xml:space="preserve">Abdur Rashid </v>
          </cell>
          <cell r="I6">
            <v>46235.328194444446</v>
          </cell>
          <cell r="J6">
            <v>1</v>
          </cell>
          <cell r="K6">
            <v>46236.338888888888</v>
          </cell>
          <cell r="L6">
            <v>1</v>
          </cell>
          <cell r="M6">
            <v>46237.007430555554</v>
          </cell>
          <cell r="N6">
            <v>46237.97415509259</v>
          </cell>
          <cell r="O6">
            <v>46238.349594907406</v>
          </cell>
          <cell r="P6">
            <v>1</v>
          </cell>
          <cell r="Q6">
            <v>46239.351643518516</v>
          </cell>
          <cell r="R6">
            <v>1</v>
          </cell>
          <cell r="S6">
            <v>46240.347870370373</v>
          </cell>
          <cell r="T6">
            <v>1</v>
          </cell>
          <cell r="U6" t="str">
            <v>OFF</v>
          </cell>
          <cell r="V6" t="str">
            <v>OFF</v>
          </cell>
          <cell r="W6">
            <v>46242.318229166667</v>
          </cell>
          <cell r="X6">
            <v>46242.992280092592</v>
          </cell>
          <cell r="Y6">
            <v>46243.324618055558</v>
          </cell>
          <cell r="Z6">
            <v>1</v>
          </cell>
          <cell r="AA6">
            <v>46244.319328703707</v>
          </cell>
          <cell r="AB6">
            <v>46244.97216435185</v>
          </cell>
          <cell r="AC6">
            <v>46245.329618055555</v>
          </cell>
          <cell r="AD6">
            <v>1</v>
          </cell>
          <cell r="AE6">
            <v>46246.348425925928</v>
          </cell>
        </row>
        <row r="7">
          <cell r="E7" t="str">
            <v>Fs male Local staff</v>
          </cell>
          <cell r="F7" t="str">
            <v>MAD0021</v>
          </cell>
          <cell r="G7" t="str">
            <v>Doores Godown</v>
          </cell>
          <cell r="H7" t="str">
            <v>Karim</v>
          </cell>
          <cell r="I7">
            <v>46235.348136574074</v>
          </cell>
          <cell r="J7">
            <v>46235.972638888888</v>
          </cell>
          <cell r="K7">
            <v>46236.352175925924</v>
          </cell>
          <cell r="L7">
            <v>46236.991712962961</v>
          </cell>
          <cell r="M7">
            <v>46237.34983796296</v>
          </cell>
          <cell r="N7">
            <v>46237.968460648146</v>
          </cell>
          <cell r="O7">
            <v>46238.346631944441</v>
          </cell>
          <cell r="P7">
            <v>46238.944722222222</v>
          </cell>
          <cell r="Q7">
            <v>46239.353692129633</v>
          </cell>
          <cell r="R7">
            <v>46239.965219907404</v>
          </cell>
          <cell r="S7">
            <v>46240.342418981483</v>
          </cell>
          <cell r="T7">
            <v>46240.970034722224</v>
          </cell>
          <cell r="U7" t="str">
            <v>OFF</v>
          </cell>
          <cell r="V7" t="str">
            <v>OFF</v>
          </cell>
          <cell r="W7">
            <v>46242.347175925926</v>
          </cell>
          <cell r="X7">
            <v>46242.988171296296</v>
          </cell>
          <cell r="Y7">
            <v>46243.349722222221</v>
          </cell>
          <cell r="Z7">
            <v>46243.9375</v>
          </cell>
          <cell r="AA7">
            <v>46244.346932870372</v>
          </cell>
          <cell r="AB7">
            <v>46244.965381944443</v>
          </cell>
          <cell r="AC7">
            <v>46245.345034722224</v>
          </cell>
          <cell r="AD7">
            <v>46245.927303240744</v>
          </cell>
          <cell r="AE7">
            <v>46246.342129629629</v>
          </cell>
        </row>
        <row r="8">
          <cell r="E8" t="str">
            <v>Fs male Local staff</v>
          </cell>
          <cell r="F8" t="str">
            <v>MAD0024</v>
          </cell>
          <cell r="G8" t="str">
            <v>Stock Keeper</v>
          </cell>
          <cell r="H8" t="str">
            <v>Abul Hossain</v>
          </cell>
          <cell r="I8">
            <v>46235.35261574074</v>
          </cell>
          <cell r="J8">
            <v>46235.977430555555</v>
          </cell>
          <cell r="K8">
            <v>46236.353460648148</v>
          </cell>
          <cell r="L8">
            <v>46236.99145833333</v>
          </cell>
          <cell r="M8">
            <v>46237.354224537034</v>
          </cell>
          <cell r="N8">
            <v>46237.968564814815</v>
          </cell>
          <cell r="O8">
            <v>46238.353865740741</v>
          </cell>
          <cell r="P8">
            <v>46238.959722222222</v>
          </cell>
          <cell r="Q8">
            <v>46239.353090277778</v>
          </cell>
          <cell r="R8">
            <v>46239.96974537037</v>
          </cell>
          <cell r="S8">
            <v>46240.351724537039</v>
          </cell>
          <cell r="T8">
            <v>46240.97347222222</v>
          </cell>
          <cell r="U8" t="str">
            <v>OFF</v>
          </cell>
          <cell r="V8" t="str">
            <v>OFF</v>
          </cell>
          <cell r="W8">
            <v>46242.350659722222</v>
          </cell>
          <cell r="X8">
            <v>46242.979861111111</v>
          </cell>
          <cell r="Y8">
            <v>46243.353136574071</v>
          </cell>
          <cell r="Z8">
            <v>46243.953298611108</v>
          </cell>
          <cell r="AA8">
            <v>46244.353113425925</v>
          </cell>
          <cell r="AB8">
            <v>46244.965752314813</v>
          </cell>
          <cell r="AC8">
            <v>46245.353634259256</v>
          </cell>
          <cell r="AD8">
            <v>46245.947175925925</v>
          </cell>
          <cell r="AE8">
            <v>46246.354004629633</v>
          </cell>
        </row>
        <row r="9">
          <cell r="E9" t="str">
            <v>Fj male Local staff</v>
          </cell>
          <cell r="F9" t="str">
            <v>MAD0026</v>
          </cell>
          <cell r="G9" t="str">
            <v>Retail Shop</v>
          </cell>
          <cell r="H9" t="str">
            <v>Ruhul Amin</v>
          </cell>
          <cell r="I9" t="str">
            <v>AL</v>
          </cell>
          <cell r="J9" t="str">
            <v>AL</v>
          </cell>
          <cell r="K9" t="str">
            <v>AL</v>
          </cell>
          <cell r="L9" t="str">
            <v>AL</v>
          </cell>
          <cell r="M9" t="str">
            <v>AL</v>
          </cell>
          <cell r="N9" t="str">
            <v>AL</v>
          </cell>
          <cell r="O9" t="str">
            <v>AL</v>
          </cell>
          <cell r="P9" t="str">
            <v>AL</v>
          </cell>
          <cell r="Q9" t="str">
            <v>AL</v>
          </cell>
          <cell r="R9" t="str">
            <v>AL</v>
          </cell>
          <cell r="S9" t="str">
            <v>AL</v>
          </cell>
          <cell r="T9" t="str">
            <v>AL</v>
          </cell>
          <cell r="U9" t="str">
            <v>AL</v>
          </cell>
          <cell r="V9" t="str">
            <v>AL</v>
          </cell>
          <cell r="W9" t="str">
            <v>AL</v>
          </cell>
          <cell r="X9" t="str">
            <v>AL</v>
          </cell>
          <cell r="Y9" t="str">
            <v>AL</v>
          </cell>
          <cell r="Z9" t="str">
            <v>AL</v>
          </cell>
          <cell r="AA9" t="str">
            <v>AL</v>
          </cell>
          <cell r="AB9" t="str">
            <v>AL</v>
          </cell>
          <cell r="AC9" t="str">
            <v>AL</v>
          </cell>
          <cell r="AD9" t="str">
            <v>AL</v>
          </cell>
          <cell r="AE9" t="str">
            <v>AL</v>
          </cell>
        </row>
        <row r="10">
          <cell r="E10" t="str">
            <v>FJ male Local staff</v>
          </cell>
          <cell r="F10" t="str">
            <v>MAD0027</v>
          </cell>
          <cell r="G10" t="str">
            <v>Doores Godown</v>
          </cell>
          <cell r="H10" t="str">
            <v>Masom</v>
          </cell>
          <cell r="I10">
            <v>46235.355347222219</v>
          </cell>
          <cell r="J10">
            <v>46235.969270833331</v>
          </cell>
          <cell r="K10">
            <v>46236.352060185185</v>
          </cell>
          <cell r="L10">
            <v>46236.968865740739</v>
          </cell>
          <cell r="M10">
            <v>46237.35496527778</v>
          </cell>
          <cell r="N10">
            <v>46237.968958333331</v>
          </cell>
          <cell r="O10">
            <v>46238.349641203706</v>
          </cell>
          <cell r="P10">
            <v>46238.945173611108</v>
          </cell>
          <cell r="Q10">
            <v>46239.351145833331</v>
          </cell>
          <cell r="R10">
            <v>1</v>
          </cell>
          <cell r="S10">
            <v>46240.35260416667</v>
          </cell>
          <cell r="T10">
            <v>46240.969814814816</v>
          </cell>
          <cell r="U10">
            <v>46241.578750000001</v>
          </cell>
          <cell r="V10">
            <v>46241.935370370367</v>
          </cell>
          <cell r="W10">
            <v>46242.350208333337</v>
          </cell>
          <cell r="X10">
            <v>46242.979768518519</v>
          </cell>
          <cell r="Y10">
            <v>46243.352777777778</v>
          </cell>
          <cell r="Z10">
            <v>1</v>
          </cell>
          <cell r="AA10">
            <v>46244.352812500001</v>
          </cell>
          <cell r="AB10">
            <v>1</v>
          </cell>
          <cell r="AC10">
            <v>46245.3515162037</v>
          </cell>
          <cell r="AD10">
            <v>46245.931087962963</v>
          </cell>
          <cell r="AE10">
            <v>46246.35297453704</v>
          </cell>
        </row>
        <row r="11">
          <cell r="E11" t="str">
            <v>Fs male Local staff</v>
          </cell>
          <cell r="F11" t="str">
            <v>MAD0029</v>
          </cell>
          <cell r="G11" t="str">
            <v>Bazaaru Shop</v>
          </cell>
          <cell r="H11" t="str">
            <v>Nazu Ahmed</v>
          </cell>
          <cell r="I11">
            <v>46235.382013888891</v>
          </cell>
          <cell r="J11">
            <v>46235.953645833331</v>
          </cell>
          <cell r="K11">
            <v>46236.384317129632</v>
          </cell>
          <cell r="L11">
            <v>46236.917488425926</v>
          </cell>
          <cell r="M11">
            <v>46237.379131944443</v>
          </cell>
          <cell r="N11">
            <v>1</v>
          </cell>
          <cell r="O11">
            <v>46238.362083333333</v>
          </cell>
          <cell r="P11">
            <v>46238.930474537039</v>
          </cell>
          <cell r="Q11">
            <v>46239.379189814812</v>
          </cell>
          <cell r="R11">
            <v>46239.926111111112</v>
          </cell>
          <cell r="S11">
            <v>46240.371342592596</v>
          </cell>
          <cell r="T11">
            <v>46240.95076388889</v>
          </cell>
          <cell r="U11" t="str">
            <v>OFF</v>
          </cell>
          <cell r="V11" t="str">
            <v>OFF</v>
          </cell>
          <cell r="W11">
            <v>46242.375833333332</v>
          </cell>
          <cell r="X11">
            <v>46242.941307870373</v>
          </cell>
          <cell r="Y11">
            <v>46243.369988425926</v>
          </cell>
          <cell r="Z11">
            <v>46243.921747685185</v>
          </cell>
          <cell r="AA11">
            <v>46244.352812500001</v>
          </cell>
          <cell r="AB11">
            <v>46244.924687500003</v>
          </cell>
          <cell r="AC11">
            <v>46245.378645833334</v>
          </cell>
          <cell r="AD11">
            <v>46245.93173611111</v>
          </cell>
          <cell r="AE11">
            <v>46246.362939814811</v>
          </cell>
        </row>
        <row r="12">
          <cell r="E12" t="str">
            <v>Fs male Local staff</v>
          </cell>
          <cell r="F12" t="str">
            <v>MAD0040</v>
          </cell>
          <cell r="G12" t="str">
            <v>Wholesale</v>
          </cell>
          <cell r="H12" t="str">
            <v>Younus Miah</v>
          </cell>
          <cell r="I12">
            <v>46235.354120370372</v>
          </cell>
          <cell r="J12">
            <v>46236.001458333332</v>
          </cell>
          <cell r="K12">
            <v>46236.379178240742</v>
          </cell>
          <cell r="L12">
            <v>46237.007557870369</v>
          </cell>
          <cell r="M12">
            <v>46237.007557870369</v>
          </cell>
          <cell r="N12">
            <v>46237.998553240737</v>
          </cell>
          <cell r="O12">
            <v>46238.353773148148</v>
          </cell>
          <cell r="P12">
            <v>46238.989259259259</v>
          </cell>
          <cell r="Q12">
            <v>46239.396851851852</v>
          </cell>
          <cell r="R12">
            <v>46239.985462962963</v>
          </cell>
          <cell r="S12">
            <v>46240.362500000003</v>
          </cell>
          <cell r="T12">
            <v>46241.011562500003</v>
          </cell>
          <cell r="U12">
            <v>46241.577939814815</v>
          </cell>
          <cell r="V12">
            <v>1</v>
          </cell>
          <cell r="W12">
            <v>46242.392210648148</v>
          </cell>
          <cell r="X12">
            <v>46243.003865740742</v>
          </cell>
          <cell r="Y12">
            <v>46243.368391203701</v>
          </cell>
          <cell r="Z12">
            <v>46243.985439814816</v>
          </cell>
          <cell r="AA12">
            <v>46244.355266203704</v>
          </cell>
          <cell r="AB12">
            <v>46244.994467592594</v>
          </cell>
          <cell r="AC12">
            <v>46245.388912037037</v>
          </cell>
          <cell r="AD12">
            <v>46245.987511574072</v>
          </cell>
          <cell r="AE12">
            <v>46246.35465277778</v>
          </cell>
        </row>
        <row r="13">
          <cell r="E13" t="str">
            <v>Fs male Local staff</v>
          </cell>
          <cell r="F13" t="str">
            <v>MAD0083</v>
          </cell>
          <cell r="G13" t="str">
            <v>Head Office</v>
          </cell>
          <cell r="H13" t="str">
            <v>Rajasekaran Selvaraj</v>
          </cell>
          <cell r="I13">
            <v>46235.381215277775</v>
          </cell>
          <cell r="J13">
            <v>1</v>
          </cell>
          <cell r="K13">
            <v>46236.385717592595</v>
          </cell>
          <cell r="L13">
            <v>1</v>
          </cell>
          <cell r="M13">
            <v>46237.383599537039</v>
          </cell>
          <cell r="N13">
            <v>1</v>
          </cell>
          <cell r="O13">
            <v>46238.39644675926</v>
          </cell>
          <cell r="P13">
            <v>1</v>
          </cell>
          <cell r="Q13">
            <v>46239.388067129628</v>
          </cell>
          <cell r="R13">
            <v>1</v>
          </cell>
          <cell r="S13">
            <v>46240.393622685187</v>
          </cell>
          <cell r="T13">
            <v>1</v>
          </cell>
          <cell r="U13" t="str">
            <v>OFF</v>
          </cell>
          <cell r="V13" t="str">
            <v>OFF</v>
          </cell>
          <cell r="W13">
            <v>46242.411666666667</v>
          </cell>
          <cell r="X13">
            <v>1</v>
          </cell>
          <cell r="Y13">
            <v>46243.416307870371</v>
          </cell>
          <cell r="Z13">
            <v>1</v>
          </cell>
          <cell r="AA13">
            <v>46244.420289351852</v>
          </cell>
          <cell r="AB13">
            <v>1</v>
          </cell>
          <cell r="AC13">
            <v>46245.407847222225</v>
          </cell>
          <cell r="AD13">
            <v>1</v>
          </cell>
          <cell r="AE13">
            <v>46246.415173611109</v>
          </cell>
        </row>
        <row r="14">
          <cell r="E14" t="str">
            <v>FJ male Local staff</v>
          </cell>
          <cell r="F14" t="str">
            <v>MAD0098</v>
          </cell>
          <cell r="G14" t="str">
            <v xml:space="preserve">Salas </v>
          </cell>
          <cell r="H14" t="str">
            <v>Dukhu Miah</v>
          </cell>
          <cell r="I14">
            <v>46235.346979166665</v>
          </cell>
          <cell r="J14">
            <v>46235.960532407407</v>
          </cell>
          <cell r="K14">
            <v>46236.348495370374</v>
          </cell>
          <cell r="L14">
            <v>46236.947581018518</v>
          </cell>
          <cell r="M14">
            <v>46237.349710648145</v>
          </cell>
          <cell r="N14">
            <v>46237.954351851855</v>
          </cell>
          <cell r="O14">
            <v>46238.348067129627</v>
          </cell>
          <cell r="P14">
            <v>46238.949872685182</v>
          </cell>
          <cell r="Q14">
            <v>46239.353368055556</v>
          </cell>
          <cell r="R14">
            <v>46239.943715277775</v>
          </cell>
          <cell r="S14">
            <v>46240.350312499999</v>
          </cell>
          <cell r="T14">
            <v>46240.967962962961</v>
          </cell>
          <cell r="U14" t="str">
            <v>OFF</v>
          </cell>
          <cell r="V14" t="str">
            <v>OFF</v>
          </cell>
          <cell r="W14">
            <v>46242.351203703707</v>
          </cell>
          <cell r="X14">
            <v>46242.975162037037</v>
          </cell>
          <cell r="Y14">
            <v>46243.352881944447</v>
          </cell>
          <cell r="Z14">
            <v>46243.942418981482</v>
          </cell>
          <cell r="AA14">
            <v>46244.349791666667</v>
          </cell>
          <cell r="AB14">
            <v>46244.947557870371</v>
          </cell>
          <cell r="AC14">
            <v>46245.351076388892</v>
          </cell>
          <cell r="AD14">
            <v>46245.939155092594</v>
          </cell>
          <cell r="AE14">
            <v>46246.353935185187</v>
          </cell>
        </row>
        <row r="15">
          <cell r="E15" t="str">
            <v>FJ male Local staff</v>
          </cell>
          <cell r="F15" t="str">
            <v>MAD0104</v>
          </cell>
          <cell r="G15" t="str">
            <v>Madihaa House Driver</v>
          </cell>
          <cell r="H15" t="str">
            <v>Mohammad Selim Raza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1</v>
          </cell>
          <cell r="U15">
            <v>1</v>
          </cell>
          <cell r="V15">
            <v>1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</row>
        <row r="16">
          <cell r="E16" t="str">
            <v>FJ male Local staff</v>
          </cell>
          <cell r="F16" t="str">
            <v>MAD0132</v>
          </cell>
          <cell r="G16" t="str">
            <v>Bazaaru Shop</v>
          </cell>
          <cell r="H16" t="str">
            <v>Anwar</v>
          </cell>
          <cell r="I16">
            <v>46235.348032407404</v>
          </cell>
          <cell r="J16">
            <v>46235.900497685187</v>
          </cell>
          <cell r="K16" t="str">
            <v>SICK</v>
          </cell>
          <cell r="L16" t="str">
            <v>SICK</v>
          </cell>
          <cell r="M16" t="str">
            <v>SICK</v>
          </cell>
          <cell r="N16" t="str">
            <v>SICK</v>
          </cell>
          <cell r="O16" t="str">
            <v>OFF</v>
          </cell>
          <cell r="P16" t="str">
            <v>OFF</v>
          </cell>
          <cell r="Q16">
            <v>46239.397789351853</v>
          </cell>
          <cell r="R16">
            <v>46239.915520833332</v>
          </cell>
          <cell r="S16">
            <v>46240.352951388886</v>
          </cell>
          <cell r="T16">
            <v>46240.92528935185</v>
          </cell>
          <cell r="U16">
            <v>46241.581631944442</v>
          </cell>
          <cell r="V16">
            <v>46241.893506944441</v>
          </cell>
          <cell r="W16">
            <v>46242.348553240743</v>
          </cell>
          <cell r="X16">
            <v>46242.900243055556</v>
          </cell>
          <cell r="Y16">
            <v>46243.346608796295</v>
          </cell>
          <cell r="Z16">
            <v>46243.896620370368</v>
          </cell>
          <cell r="AA16">
            <v>46244.35261574074</v>
          </cell>
          <cell r="AB16">
            <v>46244.900821759256</v>
          </cell>
          <cell r="AC16">
            <v>46245.348645833335</v>
          </cell>
          <cell r="AD16">
            <v>46245.904328703706</v>
          </cell>
          <cell r="AE16">
            <v>46246.347592592596</v>
          </cell>
        </row>
        <row r="17">
          <cell r="E17" t="str">
            <v>Fs male Local staff</v>
          </cell>
          <cell r="F17" t="str">
            <v>MAD0133</v>
          </cell>
          <cell r="G17" t="str">
            <v>Athulhu Shop</v>
          </cell>
          <cell r="H17" t="str">
            <v>Mir Hossain</v>
          </cell>
          <cell r="I17">
            <v>46235.341134259259</v>
          </cell>
          <cell r="J17">
            <v>46235.941759259258</v>
          </cell>
          <cell r="K17">
            <v>46236.337199074071</v>
          </cell>
          <cell r="L17">
            <v>46236.939398148148</v>
          </cell>
          <cell r="M17">
            <v>46237.341365740744</v>
          </cell>
          <cell r="N17">
            <v>1</v>
          </cell>
          <cell r="O17">
            <v>46238.341053240743</v>
          </cell>
          <cell r="P17">
            <v>1</v>
          </cell>
          <cell r="Q17">
            <v>46239.342662037037</v>
          </cell>
          <cell r="R17">
            <v>46239.929803240739</v>
          </cell>
          <cell r="S17">
            <v>46240.342604166668</v>
          </cell>
          <cell r="T17">
            <v>46240.939166666663</v>
          </cell>
          <cell r="U17">
            <v>46241.561226851853</v>
          </cell>
          <cell r="V17">
            <v>46241.911192129628</v>
          </cell>
          <cell r="W17">
            <v>46242.34302083333</v>
          </cell>
          <cell r="X17">
            <v>46242.942962962959</v>
          </cell>
          <cell r="Y17">
            <v>46243.343472222223</v>
          </cell>
          <cell r="Z17">
            <v>46243.936365740738</v>
          </cell>
          <cell r="AA17">
            <v>46244.342488425929</v>
          </cell>
          <cell r="AB17">
            <v>46244.917384259257</v>
          </cell>
          <cell r="AC17">
            <v>46245.341793981483</v>
          </cell>
          <cell r="AD17">
            <v>46245.916145833333</v>
          </cell>
          <cell r="AE17">
            <v>46246.342395833337</v>
          </cell>
        </row>
        <row r="18">
          <cell r="E18" t="str">
            <v>FJ male Local staff</v>
          </cell>
          <cell r="F18" t="str">
            <v>MAD0156</v>
          </cell>
          <cell r="G18" t="str">
            <v>Doores Godown</v>
          </cell>
          <cell r="H18" t="str">
            <v>Mohammad Rubel Hossain</v>
          </cell>
          <cell r="I18">
            <v>46235.348773148151</v>
          </cell>
          <cell r="J18">
            <v>1</v>
          </cell>
          <cell r="K18">
            <v>46236.346805555557</v>
          </cell>
          <cell r="L18">
            <v>1</v>
          </cell>
          <cell r="M18">
            <v>46237.343587962961</v>
          </cell>
          <cell r="N18">
            <v>1</v>
          </cell>
          <cell r="O18">
            <v>46238.345775462964</v>
          </cell>
          <cell r="P18">
            <v>1</v>
          </cell>
          <cell r="Q18">
            <v>46239.353032407409</v>
          </cell>
          <cell r="R18">
            <v>1</v>
          </cell>
          <cell r="S18">
            <v>46240.349930555552</v>
          </cell>
          <cell r="T18">
            <v>46240.970532407409</v>
          </cell>
          <cell r="U18">
            <v>46241.569398148145</v>
          </cell>
          <cell r="V18">
            <v>46241.933935185189</v>
          </cell>
          <cell r="W18">
            <v>46242.347372685188</v>
          </cell>
          <cell r="X18">
            <v>46242.985497685186</v>
          </cell>
          <cell r="Y18">
            <v>46243.348506944443</v>
          </cell>
          <cell r="Z18">
            <v>46243.936550925922</v>
          </cell>
          <cell r="AA18">
            <v>46244.349409722221</v>
          </cell>
          <cell r="AB18">
            <v>1</v>
          </cell>
          <cell r="AC18">
            <v>46245.35193287037</v>
          </cell>
          <cell r="AD18">
            <v>46245.927997685183</v>
          </cell>
          <cell r="AE18">
            <v>46246.34820601852</v>
          </cell>
        </row>
        <row r="19">
          <cell r="E19" t="str">
            <v>Hulhumale Senior staff</v>
          </cell>
          <cell r="F19" t="str">
            <v>MAD0196</v>
          </cell>
          <cell r="G19" t="str">
            <v>HM Shop1</v>
          </cell>
          <cell r="H19" t="str">
            <v>MD Rasel</v>
          </cell>
          <cell r="I19">
            <v>46235.333958333336</v>
          </cell>
          <cell r="J19">
            <v>1</v>
          </cell>
          <cell r="K19">
            <v>46236.33121527778</v>
          </cell>
          <cell r="L19">
            <v>46236.985000000001</v>
          </cell>
          <cell r="M19">
            <v>46237.333298611113</v>
          </cell>
          <cell r="N19">
            <v>1</v>
          </cell>
          <cell r="O19">
            <v>46238.332615740743</v>
          </cell>
          <cell r="P19">
            <v>1</v>
          </cell>
          <cell r="Q19">
            <v>46239.33048611111</v>
          </cell>
          <cell r="R19">
            <v>1</v>
          </cell>
          <cell r="S19">
            <v>46240.328761574077</v>
          </cell>
          <cell r="T19">
            <v>46240.995972222219</v>
          </cell>
          <cell r="U19" t="str">
            <v>OFF</v>
          </cell>
          <cell r="V19" t="str">
            <v>OFF</v>
          </cell>
          <cell r="W19">
            <v>46242.347372685188</v>
          </cell>
          <cell r="X19">
            <v>46242.992314814815</v>
          </cell>
          <cell r="Y19">
            <v>46243.330381944441</v>
          </cell>
          <cell r="Z19">
            <v>1</v>
          </cell>
          <cell r="AA19">
            <v>46244.331863425927</v>
          </cell>
          <cell r="AB19">
            <v>46244.988749999997</v>
          </cell>
          <cell r="AC19">
            <v>46245.330416666664</v>
          </cell>
          <cell r="AD19">
            <v>1</v>
          </cell>
          <cell r="AE19">
            <v>46246.33021990741</v>
          </cell>
        </row>
        <row r="20">
          <cell r="E20" t="str">
            <v>HM Junior staff</v>
          </cell>
          <cell r="F20" t="str">
            <v>MAD0207</v>
          </cell>
          <cell r="G20" t="str">
            <v>HM Site</v>
          </cell>
          <cell r="H20" t="str">
            <v>Abdul Hafiz</v>
          </cell>
          <cell r="I20" t="str">
            <v>AL</v>
          </cell>
          <cell r="J20" t="str">
            <v>AL</v>
          </cell>
          <cell r="K20" t="str">
            <v>AL</v>
          </cell>
          <cell r="L20" t="str">
            <v>AL</v>
          </cell>
          <cell r="M20" t="str">
            <v>AL</v>
          </cell>
          <cell r="N20" t="str">
            <v>AL</v>
          </cell>
          <cell r="O20" t="str">
            <v>AL</v>
          </cell>
          <cell r="P20" t="str">
            <v>AL</v>
          </cell>
          <cell r="Q20" t="str">
            <v>AL</v>
          </cell>
          <cell r="R20" t="str">
            <v>AL</v>
          </cell>
          <cell r="S20" t="str">
            <v>AL</v>
          </cell>
          <cell r="T20" t="str">
            <v>AL</v>
          </cell>
          <cell r="U20" t="str">
            <v>AL</v>
          </cell>
          <cell r="V20" t="str">
            <v>AL</v>
          </cell>
          <cell r="W20" t="str">
            <v>AL</v>
          </cell>
          <cell r="X20" t="str">
            <v>AL</v>
          </cell>
          <cell r="Y20" t="str">
            <v>AL</v>
          </cell>
          <cell r="Z20" t="str">
            <v>AL</v>
          </cell>
          <cell r="AA20" t="str">
            <v>AL</v>
          </cell>
          <cell r="AB20" t="str">
            <v>AL</v>
          </cell>
          <cell r="AC20" t="str">
            <v>AL</v>
          </cell>
          <cell r="AD20" t="str">
            <v>AL</v>
          </cell>
          <cell r="AE20" t="str">
            <v>AL</v>
          </cell>
        </row>
        <row r="21">
          <cell r="E21" t="str">
            <v>Hulhumale Senior staff</v>
          </cell>
          <cell r="F21" t="str">
            <v>MAD0226</v>
          </cell>
          <cell r="G21" t="str">
            <v>HM Shop2</v>
          </cell>
          <cell r="H21" t="str">
            <v>Akter Hossain</v>
          </cell>
          <cell r="I21">
            <v>46235.352430555555</v>
          </cell>
          <cell r="J21">
            <v>46236.000115740739</v>
          </cell>
          <cell r="K21">
            <v>46236.354745370372</v>
          </cell>
          <cell r="L21">
            <v>46236.988611111112</v>
          </cell>
          <cell r="M21">
            <v>46237.351666666669</v>
          </cell>
          <cell r="N21">
            <v>46237.988865740743</v>
          </cell>
          <cell r="O21">
            <v>46238.351655092592</v>
          </cell>
          <cell r="P21">
            <v>46238.976863425924</v>
          </cell>
          <cell r="Q21">
            <v>46239.354756944442</v>
          </cell>
          <cell r="R21">
            <v>46239.981006944443</v>
          </cell>
          <cell r="S21">
            <v>46240.3512962963</v>
          </cell>
          <cell r="T21">
            <v>46240.99722222222</v>
          </cell>
          <cell r="U21">
            <v>46241.560312499998</v>
          </cell>
          <cell r="V21">
            <v>46241.998796296299</v>
          </cell>
          <cell r="W21">
            <v>46242.35465277778</v>
          </cell>
          <cell r="X21">
            <v>46242.994143518517</v>
          </cell>
          <cell r="Y21">
            <v>46243.352129629631</v>
          </cell>
          <cell r="Z21">
            <v>46243.974143518521</v>
          </cell>
          <cell r="AA21">
            <v>46244.354942129627</v>
          </cell>
          <cell r="AB21">
            <v>46244.994421296295</v>
          </cell>
          <cell r="AC21">
            <v>46245.353900462964</v>
          </cell>
          <cell r="AD21">
            <v>46245.980567129627</v>
          </cell>
          <cell r="AE21">
            <v>46246.353136574071</v>
          </cell>
        </row>
        <row r="22">
          <cell r="E22" t="str">
            <v>FJ male Local staff</v>
          </cell>
          <cell r="F22" t="str">
            <v>MAD0232</v>
          </cell>
          <cell r="G22" t="str">
            <v>Retail Shop</v>
          </cell>
          <cell r="H22" t="str">
            <v>Lokman Hossain</v>
          </cell>
          <cell r="I22">
            <v>46235.351354166669</v>
          </cell>
          <cell r="J22">
            <v>46235.969641203701</v>
          </cell>
          <cell r="K22">
            <v>46236.351342592592</v>
          </cell>
          <cell r="L22">
            <v>46236.950162037036</v>
          </cell>
          <cell r="M22">
            <v>46237.3515162037</v>
          </cell>
          <cell r="N22">
            <v>46237.950324074074</v>
          </cell>
          <cell r="O22">
            <v>46238.351099537038</v>
          </cell>
          <cell r="P22">
            <v>46238.946585648147</v>
          </cell>
          <cell r="Q22">
            <v>46239.350821759261</v>
          </cell>
          <cell r="R22">
            <v>46239.948460648149</v>
          </cell>
          <cell r="S22">
            <v>46240.351238425923</v>
          </cell>
          <cell r="T22">
            <v>46240.977905092594</v>
          </cell>
          <cell r="U22" t="str">
            <v>OFF</v>
          </cell>
          <cell r="V22" t="str">
            <v>OFF</v>
          </cell>
          <cell r="W22">
            <v>46242.351261574076</v>
          </cell>
          <cell r="X22">
            <v>46242.972129629627</v>
          </cell>
          <cell r="Y22">
            <v>46243.351180555554</v>
          </cell>
          <cell r="Z22">
            <v>46243.963842592595</v>
          </cell>
          <cell r="AA22">
            <v>46244.351018518515</v>
          </cell>
          <cell r="AB22">
            <v>1</v>
          </cell>
          <cell r="AC22">
            <v>46245.351168981484</v>
          </cell>
          <cell r="AD22">
            <v>46245.949062500003</v>
          </cell>
          <cell r="AE22">
            <v>46246.350937499999</v>
          </cell>
        </row>
        <row r="23">
          <cell r="E23" t="str">
            <v>FJ male Local staff</v>
          </cell>
          <cell r="F23" t="str">
            <v>MAD0233</v>
          </cell>
          <cell r="G23" t="str">
            <v>Doores Godown</v>
          </cell>
          <cell r="H23" t="str">
            <v>Alam Shahinur</v>
          </cell>
          <cell r="I23">
            <v>46235.344259259262</v>
          </cell>
          <cell r="J23">
            <v>46235.968819444446</v>
          </cell>
          <cell r="K23">
            <v>46236.348738425928</v>
          </cell>
          <cell r="L23">
            <v>46236.97216435185</v>
          </cell>
          <cell r="M23">
            <v>46237.3437962963</v>
          </cell>
          <cell r="N23">
            <v>46237.968414351853</v>
          </cell>
          <cell r="O23">
            <v>46238.346539351849</v>
          </cell>
          <cell r="P23">
            <v>46238.945972222224</v>
          </cell>
          <cell r="Q23">
            <v>46239.349351851852</v>
          </cell>
          <cell r="R23">
            <v>46239.964641203704</v>
          </cell>
          <cell r="S23">
            <v>46240.349780092591</v>
          </cell>
          <cell r="T23">
            <v>46240.971331018518</v>
          </cell>
          <cell r="U23">
            <v>46241.580011574071</v>
          </cell>
          <cell r="V23">
            <v>46241.942569444444</v>
          </cell>
          <cell r="W23">
            <v>46242.348124999997</v>
          </cell>
          <cell r="X23">
            <v>46242.97693287037</v>
          </cell>
          <cell r="Y23">
            <v>46243.348414351851</v>
          </cell>
          <cell r="Z23">
            <v>46243.937627314815</v>
          </cell>
          <cell r="AA23">
            <v>46244.345185185186</v>
          </cell>
          <cell r="AB23">
            <v>46244.959745370368</v>
          </cell>
          <cell r="AC23">
            <v>46245.346122685187</v>
          </cell>
          <cell r="AD23">
            <v>46245.93582175926</v>
          </cell>
          <cell r="AE23">
            <v>46246.348599537036</v>
          </cell>
        </row>
        <row r="24">
          <cell r="E24" t="str">
            <v>Fs male Local staff</v>
          </cell>
          <cell r="F24" t="str">
            <v>MAD0238</v>
          </cell>
          <cell r="G24" t="str">
            <v>Head Office</v>
          </cell>
          <cell r="H24" t="str">
            <v>Mohammed Fais Hamsa Lebbe</v>
          </cell>
          <cell r="I24">
            <v>1</v>
          </cell>
          <cell r="J24">
            <v>46235.730590277781</v>
          </cell>
          <cell r="K24">
            <v>46238.439583333333</v>
          </cell>
          <cell r="L24">
            <v>46236.735011574077</v>
          </cell>
          <cell r="M24">
            <v>46238.439583333333</v>
          </cell>
          <cell r="N24">
            <v>46237.728344907409</v>
          </cell>
          <cell r="O24">
            <v>46238.439583333333</v>
          </cell>
          <cell r="P24">
            <v>46238.733877314815</v>
          </cell>
          <cell r="Q24">
            <v>46239.388877314814</v>
          </cell>
          <cell r="R24">
            <v>1</v>
          </cell>
          <cell r="S24">
            <v>46240.401956018519</v>
          </cell>
          <cell r="T24">
            <v>46240.751423611109</v>
          </cell>
          <cell r="U24" t="str">
            <v>OFF</v>
          </cell>
          <cell r="V24" t="str">
            <v>OFF</v>
          </cell>
          <cell r="W24">
            <v>0.43958333333333338</v>
          </cell>
          <cell r="X24">
            <v>46242.751273148147</v>
          </cell>
          <cell r="Y24">
            <v>46243.387245370373</v>
          </cell>
          <cell r="Z24">
            <v>46243.742337962962</v>
          </cell>
          <cell r="AA24">
            <v>46244.386342592596</v>
          </cell>
          <cell r="AB24">
            <v>46244.743773148148</v>
          </cell>
          <cell r="AC24">
            <v>46245.387870370374</v>
          </cell>
          <cell r="AD24">
            <v>46245.72042824074</v>
          </cell>
          <cell r="AE24">
            <v>46246.386030092595</v>
          </cell>
        </row>
        <row r="25">
          <cell r="E25" t="str">
            <v>FJ male Local staff</v>
          </cell>
          <cell r="F25" t="str">
            <v>MAD0241</v>
          </cell>
          <cell r="G25" t="str">
            <v>Doores Godown</v>
          </cell>
          <cell r="H25" t="str">
            <v xml:space="preserve"> MD Hafizur Rahman</v>
          </cell>
          <cell r="I25">
            <v>46235.334849537037</v>
          </cell>
          <cell r="J25">
            <v>1</v>
          </cell>
          <cell r="K25">
            <v>46236.333657407406</v>
          </cell>
          <cell r="L25">
            <v>46236.962500000001</v>
          </cell>
          <cell r="M25">
            <v>46237.356666666667</v>
          </cell>
          <cell r="N25">
            <v>46237.945497685185</v>
          </cell>
          <cell r="O25">
            <v>46238.331111111111</v>
          </cell>
          <cell r="P25">
            <v>46238.957372685189</v>
          </cell>
          <cell r="Q25">
            <v>46239.334930555553</v>
          </cell>
          <cell r="R25">
            <v>46239.94872685185</v>
          </cell>
          <cell r="S25">
            <v>46240.330578703702</v>
          </cell>
          <cell r="T25">
            <v>1</v>
          </cell>
          <cell r="U25">
            <v>46241.565601851849</v>
          </cell>
          <cell r="V25">
            <v>1</v>
          </cell>
          <cell r="W25">
            <v>46242.330810185187</v>
          </cell>
          <cell r="X25">
            <v>46242.948275462964</v>
          </cell>
          <cell r="Y25">
            <v>46243.332199074073</v>
          </cell>
          <cell r="Z25">
            <v>1</v>
          </cell>
          <cell r="AA25">
            <v>46244.329756944448</v>
          </cell>
          <cell r="AB25">
            <v>1</v>
          </cell>
          <cell r="AC25">
            <v>46245.337384259263</v>
          </cell>
          <cell r="AD25">
            <v>46245.972777777781</v>
          </cell>
          <cell r="AE25">
            <v>46246.328611111108</v>
          </cell>
        </row>
        <row r="26">
          <cell r="E26" t="str">
            <v>Hulhumale Senior staff</v>
          </cell>
          <cell r="F26" t="str">
            <v>MAD0244</v>
          </cell>
          <cell r="G26" t="str">
            <v>HM Site</v>
          </cell>
          <cell r="H26" t="str">
            <v>MD Al Amin</v>
          </cell>
          <cell r="I26">
            <v>46235.330254629633</v>
          </cell>
          <cell r="J26">
            <v>1</v>
          </cell>
          <cell r="K26">
            <v>46236.331875000003</v>
          </cell>
          <cell r="L26">
            <v>1</v>
          </cell>
          <cell r="M26">
            <v>46237.330821759257</v>
          </cell>
          <cell r="N26">
            <v>1</v>
          </cell>
          <cell r="O26">
            <v>46238.334328703706</v>
          </cell>
          <cell r="P26">
            <v>46238.975370370368</v>
          </cell>
          <cell r="Q26">
            <v>46239.35564814815</v>
          </cell>
          <cell r="R26">
            <v>1</v>
          </cell>
          <cell r="S26">
            <v>46240.353217592594</v>
          </cell>
          <cell r="T26">
            <v>1</v>
          </cell>
          <cell r="U26" t="str">
            <v>OFF</v>
          </cell>
          <cell r="V26" t="str">
            <v>OFF</v>
          </cell>
          <cell r="W26">
            <v>46242.354733796295</v>
          </cell>
          <cell r="X26">
            <v>1</v>
          </cell>
          <cell r="Y26">
            <v>46243.354421296295</v>
          </cell>
          <cell r="Z26">
            <v>1</v>
          </cell>
          <cell r="AA26">
            <v>46244.354629629626</v>
          </cell>
          <cell r="AB26">
            <v>1</v>
          </cell>
          <cell r="AC26">
            <v>46245.353750000002</v>
          </cell>
          <cell r="AD26">
            <v>1</v>
          </cell>
          <cell r="AE26">
            <v>46246.351990740739</v>
          </cell>
        </row>
        <row r="27">
          <cell r="E27" t="str">
            <v>HM Junior staff</v>
          </cell>
          <cell r="F27" t="str">
            <v>MAD0246</v>
          </cell>
          <cell r="G27" t="str">
            <v>HM Shop1</v>
          </cell>
          <cell r="H27" t="str">
            <v>Sharif Uddin</v>
          </cell>
          <cell r="I27">
            <v>46235.32953703704</v>
          </cell>
          <cell r="J27">
            <v>46235.997719907406</v>
          </cell>
          <cell r="K27">
            <v>46236.327847222223</v>
          </cell>
          <cell r="L27">
            <v>1</v>
          </cell>
          <cell r="M27">
            <v>46237.331076388888</v>
          </cell>
          <cell r="N27">
            <v>1</v>
          </cell>
          <cell r="O27">
            <v>46238.331504629627</v>
          </cell>
          <cell r="P27">
            <v>46238.999166666668</v>
          </cell>
          <cell r="Q27">
            <v>46239.35365740741</v>
          </cell>
          <cell r="R27">
            <v>1</v>
          </cell>
          <cell r="S27">
            <v>46240.351018518515</v>
          </cell>
          <cell r="T27">
            <v>1</v>
          </cell>
          <cell r="U27" t="str">
            <v>OFF</v>
          </cell>
          <cell r="V27" t="str">
            <v>OFF</v>
          </cell>
          <cell r="W27">
            <v>46242.354456018518</v>
          </cell>
          <cell r="X27">
            <v>1</v>
          </cell>
          <cell r="Y27">
            <v>46243.354155092595</v>
          </cell>
          <cell r="Z27">
            <v>46243.994050925925</v>
          </cell>
          <cell r="AA27">
            <v>46244.354270833333</v>
          </cell>
          <cell r="AB27">
            <v>1</v>
          </cell>
          <cell r="AC27">
            <v>46245.34878472222</v>
          </cell>
          <cell r="AD27">
            <v>1</v>
          </cell>
          <cell r="AE27">
            <v>46246.34574074074</v>
          </cell>
        </row>
        <row r="28">
          <cell r="E28" t="str">
            <v>Male Local staff</v>
          </cell>
          <cell r="F28" t="str">
            <v>MAD0248</v>
          </cell>
          <cell r="G28" t="str">
            <v>Retail Shop</v>
          </cell>
          <cell r="H28" t="str">
            <v>Abdulla Aboobakuru</v>
          </cell>
          <cell r="I28">
            <v>46235.343900462962</v>
          </cell>
          <cell r="J28">
            <v>0.97569444444444453</v>
          </cell>
          <cell r="K28" t="str">
            <v>AL</v>
          </cell>
          <cell r="L28" t="str">
            <v>AL</v>
          </cell>
          <cell r="M28" t="str">
            <v>AL</v>
          </cell>
          <cell r="N28" t="str">
            <v>AL</v>
          </cell>
          <cell r="O28" t="str">
            <v>AL</v>
          </cell>
          <cell r="P28" t="str">
            <v>AL</v>
          </cell>
          <cell r="Q28" t="str">
            <v>AL</v>
          </cell>
          <cell r="R28" t="str">
            <v>AL</v>
          </cell>
          <cell r="S28" t="str">
            <v>AL</v>
          </cell>
          <cell r="T28" t="str">
            <v>AL</v>
          </cell>
          <cell r="U28" t="str">
            <v>AL</v>
          </cell>
          <cell r="V28" t="str">
            <v>AL</v>
          </cell>
          <cell r="W28" t="str">
            <v>AL</v>
          </cell>
          <cell r="X28" t="str">
            <v>AL</v>
          </cell>
          <cell r="Y28" t="str">
            <v>AL</v>
          </cell>
          <cell r="Z28" t="str">
            <v>AL</v>
          </cell>
          <cell r="AA28" t="str">
            <v>AL</v>
          </cell>
          <cell r="AB28" t="str">
            <v>AL</v>
          </cell>
          <cell r="AC28" t="str">
            <v>AL</v>
          </cell>
          <cell r="AD28" t="str">
            <v>AL</v>
          </cell>
          <cell r="AE28" t="str">
            <v>AL</v>
          </cell>
        </row>
        <row r="29">
          <cell r="E29" t="str">
            <v>FJ male Local staff</v>
          </cell>
          <cell r="F29" t="str">
            <v>MAD0251</v>
          </cell>
          <cell r="G29" t="str">
            <v>Doores Godown</v>
          </cell>
          <cell r="H29" t="str">
            <v>Mohammad Akkas Miah</v>
          </cell>
          <cell r="I29">
            <v>46235.344074074077</v>
          </cell>
          <cell r="J29">
            <v>46235.980115740742</v>
          </cell>
          <cell r="K29">
            <v>46236.343865740739</v>
          </cell>
          <cell r="L29">
            <v>46236.992268518516</v>
          </cell>
          <cell r="M29">
            <v>46237.343715277777</v>
          </cell>
          <cell r="N29">
            <v>46237.968564814815</v>
          </cell>
          <cell r="O29">
            <v>46238.343854166669</v>
          </cell>
          <cell r="P29">
            <v>46238.948506944442</v>
          </cell>
          <cell r="Q29">
            <v>46239.344768518517</v>
          </cell>
          <cell r="R29">
            <v>46239.964571759258</v>
          </cell>
          <cell r="S29">
            <v>46240.344247685185</v>
          </cell>
          <cell r="T29">
            <v>46240.969143518516</v>
          </cell>
          <cell r="U29">
            <v>46241.581435185188</v>
          </cell>
          <cell r="V29">
            <v>46241.917060185187</v>
          </cell>
          <cell r="W29">
            <v>46242.323738425926</v>
          </cell>
          <cell r="X29">
            <v>46242.9375462963</v>
          </cell>
          <cell r="Y29">
            <v>46243.328148148146</v>
          </cell>
          <cell r="Z29">
            <v>46243.920787037037</v>
          </cell>
          <cell r="AA29">
            <v>46244.32545138889</v>
          </cell>
          <cell r="AB29">
            <v>46244.917986111112</v>
          </cell>
          <cell r="AC29">
            <v>46245.329699074071</v>
          </cell>
          <cell r="AD29">
            <v>46245.92895833333</v>
          </cell>
          <cell r="AE29">
            <v>46246.325150462966</v>
          </cell>
        </row>
        <row r="30">
          <cell r="E30" t="str">
            <v>Male Local staff</v>
          </cell>
          <cell r="F30" t="str">
            <v>MAD0257</v>
          </cell>
          <cell r="G30" t="str">
            <v>Head Office</v>
          </cell>
          <cell r="H30" t="str">
            <v>Hussain Mahir</v>
          </cell>
          <cell r="I30" t="str">
            <v>AL</v>
          </cell>
          <cell r="J30">
            <v>46236.001400462963</v>
          </cell>
          <cell r="K30">
            <v>46236.371620370373</v>
          </cell>
          <cell r="L30">
            <v>46236.769016203703</v>
          </cell>
          <cell r="M30">
            <v>46237.008240740739</v>
          </cell>
          <cell r="N30">
            <v>46237.88726851852</v>
          </cell>
          <cell r="O30">
            <v>46238.364803240744</v>
          </cell>
          <cell r="P30">
            <v>46238.989664351851</v>
          </cell>
          <cell r="Q30">
            <v>46239.37699074074</v>
          </cell>
          <cell r="R30">
            <v>46239.776944444442</v>
          </cell>
          <cell r="S30">
            <v>46240.378240740742</v>
          </cell>
          <cell r="T30">
            <v>46241.012974537036</v>
          </cell>
          <cell r="U30">
            <v>46241.581238425926</v>
          </cell>
          <cell r="V30">
            <v>46241.999328703707</v>
          </cell>
          <cell r="W30">
            <v>1</v>
          </cell>
          <cell r="X30">
            <v>46243.004201388889</v>
          </cell>
          <cell r="Y30">
            <v>46243.004201388889</v>
          </cell>
          <cell r="Z30">
            <v>46243.98574074074</v>
          </cell>
          <cell r="AA30">
            <v>1</v>
          </cell>
          <cell r="AB30">
            <v>46244.995115740741</v>
          </cell>
          <cell r="AC30">
            <v>46245.381840277776</v>
          </cell>
          <cell r="AD30">
            <v>46245.74800925926</v>
          </cell>
          <cell r="AE30">
            <v>46246.378645833334</v>
          </cell>
        </row>
        <row r="31">
          <cell r="E31" t="str">
            <v>Fs male Local staff</v>
          </cell>
          <cell r="F31" t="str">
            <v>MAD0268</v>
          </cell>
          <cell r="G31" t="str">
            <v>Galolhu Shop</v>
          </cell>
          <cell r="H31" t="str">
            <v>Abdul Karim</v>
          </cell>
          <cell r="I31">
            <v>46235.352916666663</v>
          </cell>
          <cell r="J31">
            <v>1</v>
          </cell>
          <cell r="K31">
            <v>46236.351875</v>
          </cell>
          <cell r="L31">
            <v>1</v>
          </cell>
          <cell r="M31">
            <v>46237.353217592594</v>
          </cell>
          <cell r="N31">
            <v>1</v>
          </cell>
          <cell r="O31">
            <v>1.0416666666666701</v>
          </cell>
          <cell r="P31">
            <v>1.0833333333333299</v>
          </cell>
          <cell r="Q31">
            <v>1.125</v>
          </cell>
          <cell r="R31">
            <v>1.1666666666666701</v>
          </cell>
          <cell r="S31">
            <v>1.2083333333333299</v>
          </cell>
          <cell r="T31">
            <v>1.25</v>
          </cell>
          <cell r="U31">
            <v>1.2916666666666701</v>
          </cell>
          <cell r="V31">
            <v>1.3333333333333299</v>
          </cell>
          <cell r="W31">
            <v>1.375</v>
          </cell>
          <cell r="X31">
            <v>1.4166666666666701</v>
          </cell>
          <cell r="Y31">
            <v>1.4583333333333299</v>
          </cell>
          <cell r="Z31">
            <v>1.5</v>
          </cell>
          <cell r="AA31">
            <v>1.5416666666666701</v>
          </cell>
          <cell r="AB31">
            <v>1.5833333333333299</v>
          </cell>
          <cell r="AC31">
            <v>1.625</v>
          </cell>
          <cell r="AD31">
            <v>1.6666666666666701</v>
          </cell>
          <cell r="AE31">
            <v>1.7083333333333299</v>
          </cell>
        </row>
        <row r="32">
          <cell r="E32" t="str">
            <v>Fs male Local staff</v>
          </cell>
          <cell r="F32" t="str">
            <v>MAD0391</v>
          </cell>
          <cell r="G32" t="str">
            <v>Head Office</v>
          </cell>
          <cell r="H32" t="str">
            <v>Abdul Ameen</v>
          </cell>
          <cell r="I32" t="str">
            <v>Going Madi Grand</v>
          </cell>
          <cell r="J32">
            <v>1</v>
          </cell>
          <cell r="K32">
            <v>46236.367719907408</v>
          </cell>
          <cell r="L32">
            <v>46236.733611111114</v>
          </cell>
          <cell r="M32">
            <v>46237.369016203702</v>
          </cell>
          <cell r="N32">
            <v>1</v>
          </cell>
          <cell r="O32">
            <v>46238.372997685183</v>
          </cell>
          <cell r="P32">
            <v>46238.734976851854</v>
          </cell>
          <cell r="Q32">
            <v>46239.373599537037</v>
          </cell>
          <cell r="R32">
            <v>46239.742430555554</v>
          </cell>
          <cell r="S32">
            <v>46240.374594907407</v>
          </cell>
          <cell r="T32">
            <v>46240.737291666665</v>
          </cell>
          <cell r="U32" t="str">
            <v>OFF</v>
          </cell>
          <cell r="V32" t="str">
            <v>OFF</v>
          </cell>
          <cell r="W32">
            <v>46242.41642361111</v>
          </cell>
          <cell r="X32">
            <v>46242.715902777774</v>
          </cell>
          <cell r="Y32" t="str">
            <v>SICK</v>
          </cell>
          <cell r="Z32" t="str">
            <v>SICK</v>
          </cell>
          <cell r="AA32">
            <v>46244.363321759258</v>
          </cell>
          <cell r="AB32">
            <v>46244.745428240742</v>
          </cell>
          <cell r="AC32">
            <v>46245.349699074075</v>
          </cell>
          <cell r="AD32">
            <v>46245.721053240741</v>
          </cell>
          <cell r="AE32">
            <v>46246.366076388891</v>
          </cell>
        </row>
        <row r="33">
          <cell r="E33" t="str">
            <v>Male Local staff</v>
          </cell>
          <cell r="F33" t="str">
            <v>MAD0393</v>
          </cell>
          <cell r="G33" t="str">
            <v>Wholesale</v>
          </cell>
          <cell r="H33" t="str">
            <v>Mariyam Hameedha</v>
          </cell>
          <cell r="I33" t="str">
            <v>SICK</v>
          </cell>
          <cell r="J33" t="str">
            <v>SICK</v>
          </cell>
          <cell r="K33">
            <v>46236.344930555555</v>
          </cell>
          <cell r="L33">
            <v>1</v>
          </cell>
          <cell r="M33">
            <v>46237.350138888891</v>
          </cell>
          <cell r="N33">
            <v>1</v>
          </cell>
          <cell r="O33">
            <v>46238.354745370372</v>
          </cell>
          <cell r="P33">
            <v>1</v>
          </cell>
          <cell r="Q33">
            <v>46239.351967592593</v>
          </cell>
          <cell r="R33">
            <v>1</v>
          </cell>
          <cell r="S33">
            <v>46240.345590277779</v>
          </cell>
          <cell r="T33">
            <v>46240.959224537037</v>
          </cell>
          <cell r="U33" t="str">
            <v>OFF</v>
          </cell>
          <cell r="V33" t="str">
            <v>OFF</v>
          </cell>
          <cell r="W33">
            <v>46242.345393518517</v>
          </cell>
          <cell r="X33">
            <v>46242.954027777778</v>
          </cell>
          <cell r="Y33">
            <v>46243.351550925923</v>
          </cell>
          <cell r="Z33">
            <v>1</v>
          </cell>
          <cell r="AA33">
            <v>46244.351701388892</v>
          </cell>
          <cell r="AB33">
            <v>1</v>
          </cell>
          <cell r="AC33">
            <v>46245.353715277779</v>
          </cell>
          <cell r="AD33">
            <v>46245.960532407407</v>
          </cell>
          <cell r="AE33">
            <v>46246.353703703702</v>
          </cell>
        </row>
        <row r="34">
          <cell r="E34" t="str">
            <v>FJ male Local staff</v>
          </cell>
          <cell r="F34" t="str">
            <v>MAD0396</v>
          </cell>
          <cell r="G34" t="str">
            <v>Bazaaru Shop</v>
          </cell>
          <cell r="H34" t="str">
            <v>Deepak Yadav</v>
          </cell>
          <cell r="I34">
            <v>46235.349224537036</v>
          </cell>
          <cell r="J34">
            <v>46235.940266203703</v>
          </cell>
          <cell r="K34">
            <v>46236.350335648145</v>
          </cell>
          <cell r="L34">
            <v>46236.915335648147</v>
          </cell>
          <cell r="M34">
            <v>46237.350219907406</v>
          </cell>
          <cell r="N34">
            <v>46237.927488425928</v>
          </cell>
          <cell r="O34">
            <v>46238.350659722222</v>
          </cell>
          <cell r="P34">
            <v>46238.925763888888</v>
          </cell>
          <cell r="Q34">
            <v>46239.349861111114</v>
          </cell>
          <cell r="R34">
            <v>46239.92150462963</v>
          </cell>
          <cell r="S34">
            <v>46240.350983796299</v>
          </cell>
          <cell r="T34">
            <v>46240.945</v>
          </cell>
          <cell r="U34" t="str">
            <v>OFF</v>
          </cell>
          <cell r="V34" t="str">
            <v>OFF</v>
          </cell>
          <cell r="W34">
            <v>46242.347974537035</v>
          </cell>
          <cell r="X34">
            <v>46242.936990740738</v>
          </cell>
          <cell r="Y34">
            <v>46243.35019675926</v>
          </cell>
          <cell r="Z34">
            <v>46243.921354166669</v>
          </cell>
          <cell r="AA34">
            <v>46244.34851851852</v>
          </cell>
          <cell r="AB34">
            <v>46244.920034722221</v>
          </cell>
          <cell r="AC34">
            <v>46245.346238425926</v>
          </cell>
          <cell r="AD34">
            <v>46245.926134259258</v>
          </cell>
          <cell r="AE34">
            <v>46246.347280092596</v>
          </cell>
        </row>
        <row r="35">
          <cell r="E35" t="str">
            <v>FJ male Local staff</v>
          </cell>
          <cell r="F35" t="str">
            <v>MAD0407</v>
          </cell>
          <cell r="G35" t="str">
            <v>Galolhu Shop</v>
          </cell>
          <cell r="H35" t="str">
            <v>Pratheesh Prasad</v>
          </cell>
          <cell r="I35">
            <v>46235.354629629626</v>
          </cell>
          <cell r="J35">
            <v>46235.973055555558</v>
          </cell>
          <cell r="K35">
            <v>46236.353692129633</v>
          </cell>
          <cell r="L35">
            <v>46236.950983796298</v>
          </cell>
          <cell r="M35">
            <v>46237.353634259256</v>
          </cell>
          <cell r="N35">
            <v>46237.950509259259</v>
          </cell>
          <cell r="O35">
            <v>46238.354537037034</v>
          </cell>
          <cell r="P35">
            <v>46238.953287037039</v>
          </cell>
          <cell r="Q35">
            <v>46239.354641203703</v>
          </cell>
          <cell r="R35">
            <v>46239.951238425929</v>
          </cell>
          <cell r="S35">
            <v>46240.352465277778</v>
          </cell>
          <cell r="T35">
            <v>1</v>
          </cell>
          <cell r="U35" t="str">
            <v>OFF</v>
          </cell>
          <cell r="V35" t="str">
            <v>OFF</v>
          </cell>
          <cell r="W35">
            <v>46242.352314814816</v>
          </cell>
          <cell r="X35">
            <v>1</v>
          </cell>
          <cell r="Y35">
            <v>46243.352824074071</v>
          </cell>
          <cell r="Z35">
            <v>1</v>
          </cell>
          <cell r="AA35">
            <v>46244.354189814818</v>
          </cell>
          <cell r="AB35">
            <v>1</v>
          </cell>
          <cell r="AC35">
            <v>46245.353865740741</v>
          </cell>
          <cell r="AD35">
            <v>1</v>
          </cell>
          <cell r="AE35">
            <v>46246.352407407408</v>
          </cell>
        </row>
        <row r="36">
          <cell r="E36" t="str">
            <v>FJ male Local staff</v>
          </cell>
          <cell r="F36" t="str">
            <v>MAD0418</v>
          </cell>
          <cell r="G36" t="str">
            <v xml:space="preserve">Salas </v>
          </cell>
          <cell r="H36" t="str">
            <v>Sumon</v>
          </cell>
          <cell r="I36" t="str">
            <v>AL</v>
          </cell>
          <cell r="J36" t="str">
            <v>AL</v>
          </cell>
          <cell r="K36" t="str">
            <v>AL</v>
          </cell>
          <cell r="L36" t="str">
            <v>AL</v>
          </cell>
          <cell r="M36" t="str">
            <v>AL</v>
          </cell>
          <cell r="N36" t="str">
            <v>AL</v>
          </cell>
          <cell r="O36" t="str">
            <v>AL</v>
          </cell>
          <cell r="P36" t="str">
            <v>AL</v>
          </cell>
          <cell r="Q36" t="str">
            <v>AL</v>
          </cell>
          <cell r="R36" t="str">
            <v>AL</v>
          </cell>
          <cell r="S36" t="str">
            <v>AL</v>
          </cell>
          <cell r="T36" t="str">
            <v>AL</v>
          </cell>
          <cell r="U36" t="str">
            <v>AL</v>
          </cell>
          <cell r="V36" t="str">
            <v>AL</v>
          </cell>
          <cell r="W36" t="str">
            <v>AL</v>
          </cell>
          <cell r="X36" t="str">
            <v>AL</v>
          </cell>
          <cell r="Y36" t="str">
            <v>AL</v>
          </cell>
          <cell r="Z36" t="str">
            <v>AL</v>
          </cell>
          <cell r="AA36" t="str">
            <v>AL</v>
          </cell>
          <cell r="AB36" t="str">
            <v>AL</v>
          </cell>
          <cell r="AC36" t="str">
            <v>AL</v>
          </cell>
          <cell r="AD36" t="str">
            <v>AL</v>
          </cell>
          <cell r="AE36" t="str">
            <v>AL</v>
          </cell>
        </row>
        <row r="37">
          <cell r="E37" t="str">
            <v>FJ male Local staff</v>
          </cell>
          <cell r="F37" t="str">
            <v>MAD0426</v>
          </cell>
          <cell r="G37" t="str">
            <v>Doores Godown</v>
          </cell>
          <cell r="H37" t="str">
            <v>Ful Sah</v>
          </cell>
          <cell r="I37">
            <v>46235.350868055553</v>
          </cell>
          <cell r="J37">
            <v>46235.972453703704</v>
          </cell>
          <cell r="K37">
            <v>46236.351793981485</v>
          </cell>
          <cell r="L37">
            <v>46236.991886574076</v>
          </cell>
          <cell r="M37">
            <v>46237.351018518515</v>
          </cell>
          <cell r="N37">
            <v>46237.968321759261</v>
          </cell>
          <cell r="O37">
            <v>46238.344583333332</v>
          </cell>
          <cell r="P37">
            <v>46238.944479166668</v>
          </cell>
          <cell r="Q37">
            <v>46239.356828703705</v>
          </cell>
          <cell r="R37">
            <v>46239.965682870374</v>
          </cell>
          <cell r="S37">
            <v>46240.352673611109</v>
          </cell>
          <cell r="T37">
            <v>46240.970138888886</v>
          </cell>
          <cell r="U37">
            <v>46241.579953703702</v>
          </cell>
          <cell r="V37">
            <v>46241.934108796297</v>
          </cell>
          <cell r="W37">
            <v>46242.345856481479</v>
          </cell>
          <cell r="X37">
            <v>46242.988020833334</v>
          </cell>
          <cell r="Y37">
            <v>46243.348171296297</v>
          </cell>
          <cell r="Z37">
            <v>46243.937152777777</v>
          </cell>
          <cell r="AA37">
            <v>46244.352662037039</v>
          </cell>
          <cell r="AB37">
            <v>46244.965150462966</v>
          </cell>
          <cell r="AC37">
            <v>46245.346863425926</v>
          </cell>
          <cell r="AD37">
            <v>46245.918611111112</v>
          </cell>
          <cell r="AE37">
            <v>46246.353032407409</v>
          </cell>
        </row>
        <row r="38">
          <cell r="E38" t="str">
            <v>Fs male Local staff</v>
          </cell>
          <cell r="F38" t="str">
            <v>MAD0427</v>
          </cell>
          <cell r="G38" t="str">
            <v>Head Office</v>
          </cell>
          <cell r="H38" t="str">
            <v>Janakiraman Sankaralingam</v>
          </cell>
          <cell r="I38" t="str">
            <v>EL</v>
          </cell>
          <cell r="J38" t="str">
            <v>EL</v>
          </cell>
          <cell r="K38" t="str">
            <v>EL</v>
          </cell>
          <cell r="L38">
            <v>1</v>
          </cell>
          <cell r="M38" t="str">
            <v>EL</v>
          </cell>
          <cell r="N38">
            <v>1</v>
          </cell>
          <cell r="O38" t="str">
            <v>EL</v>
          </cell>
          <cell r="P38">
            <v>1</v>
          </cell>
          <cell r="Q38" t="str">
            <v>EL</v>
          </cell>
          <cell r="R38">
            <v>1</v>
          </cell>
          <cell r="S38">
            <v>46240.373935185184</v>
          </cell>
          <cell r="T38">
            <v>46240.765763888892</v>
          </cell>
          <cell r="U38">
            <v>46241.583587962959</v>
          </cell>
          <cell r="V38">
            <v>46241.768738425926</v>
          </cell>
          <cell r="W38">
            <v>1</v>
          </cell>
          <cell r="X38">
            <v>46242.767083333332</v>
          </cell>
          <cell r="Y38">
            <v>46243.373900462961</v>
          </cell>
          <cell r="Z38">
            <v>46243.750925925924</v>
          </cell>
          <cell r="AA38">
            <v>46244.373692129629</v>
          </cell>
          <cell r="AB38">
            <v>46244.756666666668</v>
          </cell>
          <cell r="AC38">
            <v>46245.376192129632</v>
          </cell>
          <cell r="AD38">
            <v>46245.987870370373</v>
          </cell>
          <cell r="AE38">
            <v>46246.37023148148</v>
          </cell>
        </row>
        <row r="39">
          <cell r="E39" t="str">
            <v>FJ male Local staff</v>
          </cell>
          <cell r="F39" t="str">
            <v>MAD0445</v>
          </cell>
          <cell r="G39" t="str">
            <v>Doores Godown</v>
          </cell>
          <cell r="H39" t="str">
            <v>Mir Rajib</v>
          </cell>
          <cell r="I39">
            <v>46235.353437500002</v>
          </cell>
          <cell r="J39">
            <v>46235.961840277778</v>
          </cell>
          <cell r="K39">
            <v>46236.352939814817</v>
          </cell>
          <cell r="L39">
            <v>46236.938414351855</v>
          </cell>
          <cell r="M39">
            <v>46237.351226851853</v>
          </cell>
          <cell r="N39">
            <v>46237.934432870374</v>
          </cell>
          <cell r="O39">
            <v>46238.352083333331</v>
          </cell>
          <cell r="P39">
            <v>1</v>
          </cell>
          <cell r="Q39">
            <v>46239.354907407411</v>
          </cell>
          <cell r="R39">
            <v>46239.943240740744</v>
          </cell>
          <cell r="S39">
            <v>46240.351817129631</v>
          </cell>
          <cell r="T39">
            <v>46240.916701388887</v>
          </cell>
          <cell r="U39">
            <v>46241.560474537036</v>
          </cell>
          <cell r="V39">
            <v>46241.923171296294</v>
          </cell>
          <cell r="W39">
            <v>46242.353483796294</v>
          </cell>
          <cell r="X39">
            <v>46242.958564814813</v>
          </cell>
          <cell r="Y39">
            <v>46243.354537037034</v>
          </cell>
          <cell r="Z39">
            <v>46243.936631944445</v>
          </cell>
          <cell r="AA39">
            <v>46244.354502314818</v>
          </cell>
          <cell r="AB39">
            <v>46244.918229166666</v>
          </cell>
          <cell r="AC39">
            <v>46245.350092592591</v>
          </cell>
          <cell r="AD39">
            <v>46245.921041666668</v>
          </cell>
          <cell r="AE39">
            <v>46246.35564814815</v>
          </cell>
        </row>
        <row r="40">
          <cell r="E40" t="str">
            <v>Male Local staff</v>
          </cell>
          <cell r="F40" t="str">
            <v>MAD0449</v>
          </cell>
          <cell r="G40" t="str">
            <v>Retail Shop</v>
          </cell>
          <cell r="H40" t="str">
            <v>Hassan Sameer</v>
          </cell>
          <cell r="I40">
            <v>46235.325289351851</v>
          </cell>
          <cell r="J40">
            <v>1</v>
          </cell>
          <cell r="K40">
            <v>46236.334444444445</v>
          </cell>
          <cell r="L40">
            <v>1</v>
          </cell>
          <cell r="M40">
            <v>46237.350011574075</v>
          </cell>
          <cell r="N40">
            <v>1</v>
          </cell>
          <cell r="O40">
            <v>46238.335289351853</v>
          </cell>
          <cell r="P40">
            <v>1</v>
          </cell>
          <cell r="Q40">
            <v>46239.351006944446</v>
          </cell>
          <cell r="R40">
            <v>1</v>
          </cell>
          <cell r="S40">
            <v>46240.323530092595</v>
          </cell>
          <cell r="T40">
            <v>1</v>
          </cell>
          <cell r="U40" t="str">
            <v>OFF</v>
          </cell>
          <cell r="V40" t="str">
            <v>OFF</v>
          </cell>
          <cell r="W40">
            <v>46242.329108796293</v>
          </cell>
          <cell r="X40">
            <v>1</v>
          </cell>
          <cell r="Y40">
            <v>46243.348993055559</v>
          </cell>
          <cell r="Z40">
            <v>1</v>
          </cell>
          <cell r="AA40">
            <v>46244.325636574074</v>
          </cell>
          <cell r="AB40">
            <v>1</v>
          </cell>
          <cell r="AC40">
            <v>46245.341087962966</v>
          </cell>
          <cell r="AD40">
            <v>46245.944791666669</v>
          </cell>
          <cell r="AE40">
            <v>46246.341874999998</v>
          </cell>
        </row>
        <row r="41">
          <cell r="E41" t="str">
            <v>HM Junior staff</v>
          </cell>
          <cell r="F41" t="str">
            <v>MAD0454</v>
          </cell>
          <cell r="G41" t="str">
            <v>HM Shop1</v>
          </cell>
          <cell r="H41" t="str">
            <v>Mohamed Hidayathulla Abdeen</v>
          </cell>
          <cell r="I41">
            <v>46235.348402777781</v>
          </cell>
          <cell r="J41">
            <v>46235.96261574074</v>
          </cell>
          <cell r="K41">
            <v>46236.347800925927</v>
          </cell>
          <cell r="L41">
            <v>46236.945983796293</v>
          </cell>
          <cell r="M41">
            <v>46237.348483796297</v>
          </cell>
          <cell r="N41">
            <v>46237.948113425926</v>
          </cell>
          <cell r="O41">
            <v>46238.349224537036</v>
          </cell>
          <cell r="P41">
            <v>46238.944131944445</v>
          </cell>
          <cell r="Q41">
            <v>46239.352164351854</v>
          </cell>
          <cell r="R41">
            <v>46239.943124999998</v>
          </cell>
          <cell r="S41">
            <v>46240.351840277777</v>
          </cell>
          <cell r="T41">
            <v>46240.964166666665</v>
          </cell>
          <cell r="U41">
            <v>46241.577002314814</v>
          </cell>
          <cell r="V41">
            <v>46241.950150462966</v>
          </cell>
          <cell r="W41">
            <v>46242.352685185186</v>
          </cell>
          <cell r="X41">
            <v>46242.964236111111</v>
          </cell>
          <cell r="Y41">
            <v>46243.348379629628</v>
          </cell>
          <cell r="Z41">
            <v>46243.943402777775</v>
          </cell>
          <cell r="AA41">
            <v>46244.349097222221</v>
          </cell>
          <cell r="AB41">
            <v>46244.943113425928</v>
          </cell>
          <cell r="AC41">
            <v>46245.349699074075</v>
          </cell>
          <cell r="AD41">
            <v>46245.945671296293</v>
          </cell>
          <cell r="AE41">
            <v>46246.34578703704</v>
          </cell>
        </row>
        <row r="42">
          <cell r="E42" t="str">
            <v>Hulhumale Senior staff</v>
          </cell>
          <cell r="F42" t="str">
            <v>MAD0457</v>
          </cell>
          <cell r="G42" t="str">
            <v>HM Site</v>
          </cell>
          <cell r="H42" t="str">
            <v>Mohamed Rameez Kariapper</v>
          </cell>
          <cell r="I42" t="str">
            <v>AL</v>
          </cell>
          <cell r="J42" t="str">
            <v>AL</v>
          </cell>
          <cell r="K42" t="str">
            <v>AL</v>
          </cell>
          <cell r="L42" t="str">
            <v>AL</v>
          </cell>
          <cell r="M42" t="str">
            <v>AL</v>
          </cell>
          <cell r="N42" t="str">
            <v>AL</v>
          </cell>
          <cell r="O42" t="str">
            <v>AL</v>
          </cell>
          <cell r="P42" t="str">
            <v>AL</v>
          </cell>
          <cell r="Q42">
            <v>46239.358622685184</v>
          </cell>
          <cell r="R42">
            <v>1</v>
          </cell>
          <cell r="S42">
            <v>46240.02553240741</v>
          </cell>
          <cell r="T42">
            <v>1</v>
          </cell>
          <cell r="U42">
            <v>46241.581053240741</v>
          </cell>
          <cell r="V42">
            <v>1</v>
          </cell>
          <cell r="W42">
            <v>46242.371099537035</v>
          </cell>
          <cell r="X42">
            <v>1</v>
          </cell>
          <cell r="Y42">
            <v>46243.331875000003</v>
          </cell>
          <cell r="Z42">
            <v>1</v>
          </cell>
          <cell r="AA42">
            <v>46244.346979166665</v>
          </cell>
          <cell r="AB42">
            <v>1</v>
          </cell>
          <cell r="AC42">
            <v>46245.352349537039</v>
          </cell>
          <cell r="AD42">
            <v>1</v>
          </cell>
          <cell r="AE42">
            <v>46246.352430555555</v>
          </cell>
        </row>
        <row r="43">
          <cell r="E43" t="str">
            <v>FJ male Local staff</v>
          </cell>
          <cell r="F43" t="str">
            <v>MAD0507</v>
          </cell>
          <cell r="G43" t="str">
            <v>Doores Godown</v>
          </cell>
          <cell r="H43" t="str">
            <v>Nazir Hussain</v>
          </cell>
          <cell r="I43">
            <v>46235.349791666667</v>
          </cell>
          <cell r="J43">
            <v>46235.961018518516</v>
          </cell>
          <cell r="K43">
            <v>46236.351412037038</v>
          </cell>
          <cell r="L43">
            <v>46236.960219907407</v>
          </cell>
          <cell r="M43">
            <v>46237.350277777776</v>
          </cell>
          <cell r="N43">
            <v>46237.959305555552</v>
          </cell>
          <cell r="O43">
            <v>46238.351759259262</v>
          </cell>
          <cell r="P43">
            <v>46238.939305555556</v>
          </cell>
          <cell r="Q43">
            <v>46239.353310185186</v>
          </cell>
          <cell r="R43">
            <v>46239.964062500003</v>
          </cell>
          <cell r="S43">
            <v>46240.351898148147</v>
          </cell>
          <cell r="T43">
            <v>46240.961504629631</v>
          </cell>
          <cell r="U43">
            <v>46241.580694444441</v>
          </cell>
          <cell r="V43">
            <v>1</v>
          </cell>
          <cell r="W43">
            <v>46242.353009259263</v>
          </cell>
          <cell r="X43">
            <v>46242.959826388891</v>
          </cell>
          <cell r="Y43">
            <v>46243.351122685184</v>
          </cell>
          <cell r="Z43">
            <v>46243.918009259258</v>
          </cell>
          <cell r="AA43">
            <v>46244.353043981479</v>
          </cell>
          <cell r="AB43">
            <v>1</v>
          </cell>
          <cell r="AC43">
            <v>46245.350752314815</v>
          </cell>
          <cell r="AD43">
            <v>46245.924224537041</v>
          </cell>
          <cell r="AE43">
            <v>46246.355358796296</v>
          </cell>
        </row>
        <row r="44">
          <cell r="E44" t="str">
            <v>FJ male Local staff</v>
          </cell>
          <cell r="F44" t="str">
            <v>MAD0515</v>
          </cell>
          <cell r="G44" t="str">
            <v>Athulhu Shop</v>
          </cell>
          <cell r="H44" t="str">
            <v>Anuj Mishra</v>
          </cell>
          <cell r="I44" t="str">
            <v>AL</v>
          </cell>
          <cell r="J44" t="str">
            <v>AL</v>
          </cell>
          <cell r="K44" t="str">
            <v>AL</v>
          </cell>
          <cell r="L44" t="str">
            <v>AL</v>
          </cell>
          <cell r="M44" t="str">
            <v>AL</v>
          </cell>
          <cell r="N44" t="str">
            <v>AL</v>
          </cell>
          <cell r="O44" t="str">
            <v>AL</v>
          </cell>
          <cell r="P44" t="str">
            <v>AL</v>
          </cell>
          <cell r="Q44" t="str">
            <v>AL</v>
          </cell>
          <cell r="R44" t="str">
            <v>AL</v>
          </cell>
          <cell r="S44" t="str">
            <v>AL</v>
          </cell>
          <cell r="T44" t="str">
            <v>AL</v>
          </cell>
          <cell r="U44" t="str">
            <v>AL</v>
          </cell>
          <cell r="V44" t="str">
            <v>AL</v>
          </cell>
          <cell r="W44" t="str">
            <v>AL</v>
          </cell>
          <cell r="X44" t="str">
            <v>AL</v>
          </cell>
          <cell r="Y44" t="str">
            <v>AL</v>
          </cell>
          <cell r="Z44" t="str">
            <v>AL</v>
          </cell>
          <cell r="AA44" t="str">
            <v>AL</v>
          </cell>
          <cell r="AB44" t="str">
            <v>AL</v>
          </cell>
          <cell r="AC44" t="str">
            <v>AL</v>
          </cell>
          <cell r="AD44" t="str">
            <v>AL</v>
          </cell>
          <cell r="AE44" t="str">
            <v>AL</v>
          </cell>
        </row>
        <row r="45">
          <cell r="E45" t="str">
            <v>FJ male Local staff</v>
          </cell>
          <cell r="F45" t="str">
            <v>MAD0517</v>
          </cell>
          <cell r="G45" t="str">
            <v>Doores Godown</v>
          </cell>
          <cell r="H45" t="str">
            <v>Pradip Kumar</v>
          </cell>
          <cell r="I45">
            <v>46235.353854166664</v>
          </cell>
          <cell r="J45" t="str">
            <v>AL</v>
          </cell>
          <cell r="K45">
            <v>46236.353935185187</v>
          </cell>
          <cell r="L45">
            <v>0</v>
          </cell>
          <cell r="M45">
            <v>46237.352268518516</v>
          </cell>
          <cell r="N45">
            <v>0</v>
          </cell>
          <cell r="O45">
            <v>46238.349421296298</v>
          </cell>
          <cell r="P45">
            <v>0</v>
          </cell>
          <cell r="Q45" t="str">
            <v>AL</v>
          </cell>
          <cell r="R45" t="str">
            <v>AL</v>
          </cell>
          <cell r="S45" t="str">
            <v>AL</v>
          </cell>
          <cell r="T45" t="str">
            <v>AL</v>
          </cell>
          <cell r="U45" t="str">
            <v>AL</v>
          </cell>
          <cell r="V45" t="str">
            <v>AL</v>
          </cell>
          <cell r="W45" t="str">
            <v>AL</v>
          </cell>
          <cell r="X45" t="str">
            <v>AL</v>
          </cell>
          <cell r="Y45" t="str">
            <v>AL</v>
          </cell>
          <cell r="Z45" t="str">
            <v>AL</v>
          </cell>
          <cell r="AA45" t="str">
            <v>AL</v>
          </cell>
          <cell r="AB45" t="str">
            <v>AL</v>
          </cell>
          <cell r="AC45" t="str">
            <v>AL</v>
          </cell>
          <cell r="AD45" t="str">
            <v>AL</v>
          </cell>
          <cell r="AE45" t="str">
            <v>AL</v>
          </cell>
        </row>
        <row r="46">
          <cell r="E46" t="str">
            <v>Male Local staff</v>
          </cell>
          <cell r="F46" t="str">
            <v>MAD0523</v>
          </cell>
          <cell r="G46" t="str">
            <v>HM Shop1</v>
          </cell>
          <cell r="H46" t="str">
            <v>Aishath Naeema</v>
          </cell>
          <cell r="I46">
            <v>46235.352546296293</v>
          </cell>
          <cell r="J46">
            <v>1</v>
          </cell>
          <cell r="K46">
            <v>0</v>
          </cell>
          <cell r="L46">
            <v>46236.937696759262</v>
          </cell>
          <cell r="M46">
            <v>1</v>
          </cell>
          <cell r="N46">
            <v>46237.948645833334</v>
          </cell>
          <cell r="O46">
            <v>1</v>
          </cell>
          <cell r="P46">
            <v>46238.937314814815</v>
          </cell>
          <cell r="Q46">
            <v>1</v>
          </cell>
          <cell r="R46">
            <v>46239.938240740739</v>
          </cell>
          <cell r="S46">
            <v>46240.352384259262</v>
          </cell>
          <cell r="T46">
            <v>1</v>
          </cell>
          <cell r="U46" t="str">
            <v>OFF</v>
          </cell>
          <cell r="V46" t="str">
            <v>OFF</v>
          </cell>
          <cell r="W46">
            <v>1</v>
          </cell>
          <cell r="X46">
            <v>46242.967499999999</v>
          </cell>
          <cell r="Y46">
            <v>1</v>
          </cell>
          <cell r="Z46">
            <v>46243.949479166666</v>
          </cell>
          <cell r="AA46">
            <v>0.63055555555555554</v>
          </cell>
          <cell r="AB46">
            <v>1</v>
          </cell>
          <cell r="AC46">
            <v>0.63124999999999998</v>
          </cell>
          <cell r="AD46">
            <v>1</v>
          </cell>
          <cell r="AE46">
            <v>46246.345717592594</v>
          </cell>
        </row>
        <row r="47">
          <cell r="E47" t="str">
            <v>Fs male Local staff</v>
          </cell>
          <cell r="F47" t="str">
            <v>MAD0535</v>
          </cell>
          <cell r="G47" t="str">
            <v>Head Office</v>
          </cell>
          <cell r="H47" t="str">
            <v>Md Sahmad</v>
          </cell>
          <cell r="I47" t="str">
            <v>AL</v>
          </cell>
          <cell r="J47" t="str">
            <v>AL</v>
          </cell>
          <cell r="K47" t="str">
            <v>AL</v>
          </cell>
          <cell r="L47" t="str">
            <v>AL</v>
          </cell>
          <cell r="M47" t="str">
            <v>AL</v>
          </cell>
          <cell r="N47" t="str">
            <v>AL</v>
          </cell>
          <cell r="O47" t="str">
            <v>AL</v>
          </cell>
          <cell r="P47" t="str">
            <v>AL</v>
          </cell>
          <cell r="Q47" t="str">
            <v>AL</v>
          </cell>
          <cell r="R47" t="str">
            <v>AL</v>
          </cell>
          <cell r="S47" t="str">
            <v>AL</v>
          </cell>
          <cell r="T47" t="str">
            <v>AL</v>
          </cell>
          <cell r="U47">
            <v>46241.574641203704</v>
          </cell>
          <cell r="V47">
            <v>46241.90016203704</v>
          </cell>
          <cell r="W47">
            <v>46242.345011574071</v>
          </cell>
          <cell r="X47">
            <v>46242.948229166665</v>
          </cell>
          <cell r="Y47">
            <v>46243.346307870372</v>
          </cell>
          <cell r="Z47">
            <v>46243.931354166663</v>
          </cell>
          <cell r="AA47">
            <v>46244.349675925929</v>
          </cell>
          <cell r="AB47">
            <v>46244.939479166664</v>
          </cell>
          <cell r="AC47">
            <v>46245.348182870373</v>
          </cell>
          <cell r="AD47">
            <v>46245.936666666668</v>
          </cell>
          <cell r="AE47">
            <v>46246.350324074076</v>
          </cell>
        </row>
        <row r="48">
          <cell r="E48" t="str">
            <v>Fs male Local staff</v>
          </cell>
          <cell r="F48" t="str">
            <v>MAD0541</v>
          </cell>
          <cell r="G48" t="str">
            <v>Head Office</v>
          </cell>
          <cell r="H48" t="str">
            <v>Malini</v>
          </cell>
          <cell r="I48">
            <v>46235.3828125</v>
          </cell>
          <cell r="J48">
            <v>46235.717928240738</v>
          </cell>
          <cell r="K48">
            <v>46236.362476851849</v>
          </cell>
          <cell r="L48">
            <v>46236.727002314816</v>
          </cell>
          <cell r="M48">
            <v>46237.374803240738</v>
          </cell>
          <cell r="N48">
            <v>46237.725208333337</v>
          </cell>
          <cell r="O48">
            <v>46238.362199074072</v>
          </cell>
          <cell r="P48">
            <v>46238.724398148152</v>
          </cell>
          <cell r="Q48">
            <v>46239.370416666665</v>
          </cell>
          <cell r="R48">
            <v>46239.744085648148</v>
          </cell>
          <cell r="S48">
            <v>46240.369027777779</v>
          </cell>
          <cell r="T48">
            <v>1</v>
          </cell>
          <cell r="U48" t="str">
            <v>OFF</v>
          </cell>
          <cell r="V48" t="str">
            <v>OFF</v>
          </cell>
          <cell r="W48">
            <v>46242.337083333332</v>
          </cell>
          <cell r="X48">
            <v>46242.750694444447</v>
          </cell>
          <cell r="Y48">
            <v>46243.3669212963</v>
          </cell>
          <cell r="Z48">
            <v>46243.742060185185</v>
          </cell>
          <cell r="AA48">
            <v>46244.362442129626</v>
          </cell>
          <cell r="AB48">
            <v>46244.743287037039</v>
          </cell>
          <cell r="AC48">
            <v>46245.383113425924</v>
          </cell>
          <cell r="AD48">
            <v>46245.720543981479</v>
          </cell>
          <cell r="AE48">
            <v>46246.370474537034</v>
          </cell>
        </row>
        <row r="49">
          <cell r="E49" t="str">
            <v>Hulhumale Senior staff</v>
          </cell>
          <cell r="F49" t="str">
            <v>MAD0556</v>
          </cell>
          <cell r="G49" t="str">
            <v>HM Site</v>
          </cell>
          <cell r="H49" t="str">
            <v>Grapeson E</v>
          </cell>
          <cell r="I49">
            <v>1</v>
          </cell>
          <cell r="J49">
            <v>46235.85732638889</v>
          </cell>
          <cell r="K49">
            <v>46237.355497685188</v>
          </cell>
          <cell r="L49">
            <v>46236.835856481484</v>
          </cell>
          <cell r="M49">
            <v>46237.355497685188</v>
          </cell>
          <cell r="N49">
            <v>46237.837118055555</v>
          </cell>
          <cell r="O49">
            <v>46238.358888888892</v>
          </cell>
          <cell r="P49">
            <v>46238.865983796299</v>
          </cell>
          <cell r="Q49">
            <v>46239.379467592589</v>
          </cell>
          <cell r="R49">
            <v>46239.849212962959</v>
          </cell>
          <cell r="S49">
            <v>46240.37572916667</v>
          </cell>
          <cell r="T49">
            <v>46240.890706018516</v>
          </cell>
          <cell r="U49">
            <v>46241.332974537036</v>
          </cell>
          <cell r="V49">
            <v>46241.860162037039</v>
          </cell>
          <cell r="W49">
            <v>46242.376388888886</v>
          </cell>
          <cell r="X49">
            <v>46242.851921296293</v>
          </cell>
          <cell r="Y49">
            <v>46243.372928240744</v>
          </cell>
          <cell r="Z49">
            <v>46243.865370370368</v>
          </cell>
          <cell r="AA49">
            <v>46244.403009259258</v>
          </cell>
          <cell r="AB49">
            <v>46244.855381944442</v>
          </cell>
          <cell r="AC49">
            <v>46245.402094907404</v>
          </cell>
          <cell r="AD49">
            <v>46245.854699074072</v>
          </cell>
          <cell r="AE49">
            <v>46246.396909722222</v>
          </cell>
        </row>
        <row r="50">
          <cell r="E50" t="str">
            <v>FJ male Local staff</v>
          </cell>
          <cell r="F50" t="str">
            <v>MAD0559</v>
          </cell>
          <cell r="G50" t="str">
            <v>Doores Godown</v>
          </cell>
          <cell r="H50" t="str">
            <v>Rinosan Muhamad Muhamad Navas</v>
          </cell>
          <cell r="I50">
            <v>46235.353506944448</v>
          </cell>
          <cell r="J50">
            <v>46235.95884259259</v>
          </cell>
          <cell r="K50">
            <v>46236.351712962962</v>
          </cell>
          <cell r="L50">
            <v>46236.961168981485</v>
          </cell>
          <cell r="M50">
            <v>46237.350740740738</v>
          </cell>
          <cell r="N50">
            <v>46237.968888888892</v>
          </cell>
          <cell r="O50">
            <v>46238.354780092595</v>
          </cell>
          <cell r="P50">
            <v>46238.940196759257</v>
          </cell>
          <cell r="Q50">
            <v>46239.354259259257</v>
          </cell>
          <cell r="R50">
            <v>46239.956354166665</v>
          </cell>
          <cell r="S50">
            <v>46240.344699074078</v>
          </cell>
          <cell r="T50">
            <v>46240.956678240742</v>
          </cell>
          <cell r="U50" t="str">
            <v>OFF</v>
          </cell>
          <cell r="V50" t="str">
            <v>OFF</v>
          </cell>
          <cell r="W50">
            <v>46242.353298611109</v>
          </cell>
          <cell r="X50">
            <v>46242.940405092595</v>
          </cell>
          <cell r="Y50">
            <v>46243.353437500002</v>
          </cell>
          <cell r="Z50">
            <v>1</v>
          </cell>
          <cell r="AA50">
            <v>46244.340196759258</v>
          </cell>
          <cell r="AB50">
            <v>46244.942002314812</v>
          </cell>
          <cell r="AC50">
            <v>46245.351747685185</v>
          </cell>
          <cell r="AD50">
            <v>46245.921493055554</v>
          </cell>
          <cell r="AE50">
            <v>46246.345775462964</v>
          </cell>
        </row>
        <row r="51">
          <cell r="E51" t="str">
            <v>Hulhumale Senior staff</v>
          </cell>
          <cell r="F51" t="str">
            <v>MAD0569</v>
          </cell>
          <cell r="G51" t="str">
            <v>HM Site</v>
          </cell>
          <cell r="H51" t="str">
            <v>Rathnasiri Perera Egodage</v>
          </cell>
          <cell r="I51">
            <v>46235.286041666666</v>
          </cell>
          <cell r="J51">
            <v>46235.857002314813</v>
          </cell>
          <cell r="K51">
            <v>46236.315011574072</v>
          </cell>
          <cell r="L51">
            <v>46236.840196759258</v>
          </cell>
          <cell r="M51">
            <v>46237.310266203705</v>
          </cell>
          <cell r="N51">
            <v>46237.842245370368</v>
          </cell>
          <cell r="O51">
            <v>46238.271770833337</v>
          </cell>
          <cell r="P51">
            <v>46238.932557870372</v>
          </cell>
          <cell r="Q51">
            <v>46239.352939814817</v>
          </cell>
          <cell r="R51">
            <v>46239.899884259263</v>
          </cell>
          <cell r="S51">
            <v>46240.338125000002</v>
          </cell>
          <cell r="T51">
            <v>46240.968090277776</v>
          </cell>
          <cell r="U51">
            <v>46241.320590277777</v>
          </cell>
          <cell r="V51">
            <v>1</v>
          </cell>
          <cell r="W51">
            <v>46242.333807870367</v>
          </cell>
          <cell r="X51">
            <v>46242.908391203702</v>
          </cell>
          <cell r="Y51">
            <v>46243.332291666666</v>
          </cell>
          <cell r="Z51">
            <v>46243.873888888891</v>
          </cell>
          <cell r="AA51">
            <v>46244.325219907405</v>
          </cell>
          <cell r="AB51">
            <v>1</v>
          </cell>
          <cell r="AC51">
            <v>46245.329409722224</v>
          </cell>
          <cell r="AD51">
            <v>46245.884004629632</v>
          </cell>
          <cell r="AE51">
            <v>46246.329189814816</v>
          </cell>
        </row>
        <row r="52">
          <cell r="E52" t="str">
            <v>FJ male Local staff</v>
          </cell>
          <cell r="F52" t="str">
            <v>MAD0580</v>
          </cell>
          <cell r="G52" t="str">
            <v>Retail Shop</v>
          </cell>
          <cell r="H52" t="str">
            <v>Md Ahad Gazi</v>
          </cell>
          <cell r="I52">
            <v>46235.352962962963</v>
          </cell>
          <cell r="J52">
            <v>46235.97</v>
          </cell>
          <cell r="K52">
            <v>46236.353865740741</v>
          </cell>
          <cell r="L52">
            <v>46236.945648148147</v>
          </cell>
          <cell r="M52">
            <v>46237.353506944448</v>
          </cell>
          <cell r="N52">
            <v>46237.949513888889</v>
          </cell>
          <cell r="O52">
            <v>46238.353136574071</v>
          </cell>
          <cell r="P52">
            <v>46238.952731481484</v>
          </cell>
          <cell r="Q52">
            <v>46239.353773148148</v>
          </cell>
          <cell r="R52">
            <v>46239.944050925929</v>
          </cell>
          <cell r="S52">
            <v>46240.352777777778</v>
          </cell>
          <cell r="T52">
            <v>46240.9765162037</v>
          </cell>
          <cell r="U52">
            <v>46241.580937500003</v>
          </cell>
          <cell r="V52">
            <v>46241.955787037034</v>
          </cell>
          <cell r="W52">
            <v>46242.353182870371</v>
          </cell>
          <cell r="X52">
            <v>46242.971018518518</v>
          </cell>
          <cell r="Y52">
            <v>46243.353518518517</v>
          </cell>
          <cell r="Z52">
            <v>46243.963101851848</v>
          </cell>
          <cell r="AA52">
            <v>46244.353576388887</v>
          </cell>
          <cell r="AB52">
            <v>1</v>
          </cell>
          <cell r="AC52">
            <v>46245.353576388887</v>
          </cell>
          <cell r="AD52">
            <v>46245.956979166665</v>
          </cell>
          <cell r="AE52">
            <v>46246.354398148149</v>
          </cell>
        </row>
        <row r="53">
          <cell r="E53" t="str">
            <v>Fs male Local staff</v>
          </cell>
          <cell r="F53" t="str">
            <v>MAD0585</v>
          </cell>
          <cell r="G53" t="str">
            <v>Retail Shop</v>
          </cell>
          <cell r="H53" t="str">
            <v>Rumi Miah</v>
          </cell>
          <cell r="I53">
            <v>46235.324270833335</v>
          </cell>
          <cell r="J53">
            <v>46235.974270833336</v>
          </cell>
          <cell r="K53">
            <v>46236.329733796294</v>
          </cell>
          <cell r="L53">
            <v>46236.958634259259</v>
          </cell>
          <cell r="M53">
            <v>46237.330925925926</v>
          </cell>
          <cell r="N53">
            <v>46237.960381944446</v>
          </cell>
          <cell r="O53">
            <v>46238.328553240739</v>
          </cell>
          <cell r="P53">
            <v>46238.956724537034</v>
          </cell>
          <cell r="Q53">
            <v>46239.33016203704</v>
          </cell>
          <cell r="R53">
            <v>46239.955254629633</v>
          </cell>
          <cell r="S53">
            <v>46240.328981481478</v>
          </cell>
          <cell r="T53">
            <v>46240.982627314814</v>
          </cell>
          <cell r="U53">
            <v>46241.572418981479</v>
          </cell>
          <cell r="V53">
            <v>46241.958749999998</v>
          </cell>
          <cell r="W53">
            <v>46242.327118055553</v>
          </cell>
          <cell r="X53">
            <v>46242.973067129627</v>
          </cell>
          <cell r="Y53">
            <v>46243.328206018516</v>
          </cell>
          <cell r="Z53">
            <v>46243.96465277778</v>
          </cell>
          <cell r="AA53">
            <v>46244.325532407405</v>
          </cell>
          <cell r="AB53">
            <v>46244.957569444443</v>
          </cell>
          <cell r="AC53">
            <v>46245.330069444448</v>
          </cell>
          <cell r="AD53">
            <v>46245.959907407407</v>
          </cell>
          <cell r="AE53">
            <v>46246.32503472222</v>
          </cell>
        </row>
        <row r="54">
          <cell r="E54" t="str">
            <v>FJ male Local staff</v>
          </cell>
          <cell r="F54" t="str">
            <v>MAD0586</v>
          </cell>
          <cell r="G54" t="str">
            <v>Doores Godown</v>
          </cell>
          <cell r="H54" t="str">
            <v>Manik Hossain</v>
          </cell>
          <cell r="I54">
            <v>46235.345902777779</v>
          </cell>
          <cell r="J54">
            <v>46235.972812499997</v>
          </cell>
          <cell r="K54">
            <v>46236.349039351851</v>
          </cell>
          <cell r="L54">
            <v>46236.959490740737</v>
          </cell>
          <cell r="M54">
            <v>46237.349560185183</v>
          </cell>
          <cell r="N54">
            <v>46237.971550925926</v>
          </cell>
          <cell r="O54">
            <v>46238.349374999998</v>
          </cell>
          <cell r="P54">
            <v>46238.940324074072</v>
          </cell>
          <cell r="Q54">
            <v>46239.348819444444</v>
          </cell>
          <cell r="R54">
            <v>46239.965428240743</v>
          </cell>
          <cell r="S54">
            <v>46240.348587962966</v>
          </cell>
          <cell r="T54">
            <v>46240.958472222221</v>
          </cell>
          <cell r="U54" t="str">
            <v>OFF</v>
          </cell>
          <cell r="V54" t="str">
            <v>OFF</v>
          </cell>
          <cell r="W54">
            <v>46242.344884259262</v>
          </cell>
          <cell r="X54">
            <v>46242.95994212963</v>
          </cell>
          <cell r="Y54">
            <v>46243.346377314818</v>
          </cell>
          <cell r="Z54">
            <v>46243.937418981484</v>
          </cell>
          <cell r="AA54">
            <v>46244.346863425926</v>
          </cell>
          <cell r="AB54">
            <v>46244.939652777779</v>
          </cell>
          <cell r="AC54">
            <v>46245.345648148148</v>
          </cell>
          <cell r="AD54">
            <v>46245.938240740739</v>
          </cell>
          <cell r="AE54">
            <v>46246.349791666667</v>
          </cell>
        </row>
        <row r="55">
          <cell r="E55" t="str">
            <v>FJ male Local staff</v>
          </cell>
          <cell r="F55" t="str">
            <v>MAD0587</v>
          </cell>
          <cell r="G55" t="str">
            <v>Doores Godown</v>
          </cell>
          <cell r="H55" t="str">
            <v>Anamul Hoque</v>
          </cell>
          <cell r="I55" t="str">
            <v>AL</v>
          </cell>
          <cell r="J55" t="str">
            <v>AL</v>
          </cell>
          <cell r="K55" t="str">
            <v>AL</v>
          </cell>
          <cell r="L55" t="str">
            <v>AL</v>
          </cell>
          <cell r="M55" t="str">
            <v>AL</v>
          </cell>
          <cell r="N55" t="str">
            <v>AL</v>
          </cell>
          <cell r="O55" t="str">
            <v>AL</v>
          </cell>
          <cell r="P55" t="str">
            <v>AL</v>
          </cell>
          <cell r="Q55" t="str">
            <v>AL</v>
          </cell>
          <cell r="R55" t="str">
            <v>AL</v>
          </cell>
          <cell r="S55" t="str">
            <v>AL</v>
          </cell>
          <cell r="T55" t="str">
            <v>AL</v>
          </cell>
          <cell r="U55" t="str">
            <v>AL</v>
          </cell>
          <cell r="V55" t="str">
            <v>AL</v>
          </cell>
          <cell r="W55" t="str">
            <v>AL</v>
          </cell>
          <cell r="X55" t="str">
            <v>AL</v>
          </cell>
          <cell r="Y55" t="str">
            <v>AL</v>
          </cell>
          <cell r="Z55" t="str">
            <v>AL</v>
          </cell>
          <cell r="AA55" t="str">
            <v>AL</v>
          </cell>
          <cell r="AB55" t="str">
            <v>AL</v>
          </cell>
          <cell r="AC55" t="str">
            <v>AL</v>
          </cell>
          <cell r="AD55" t="str">
            <v>AL</v>
          </cell>
          <cell r="AE55" t="str">
            <v>AL</v>
          </cell>
        </row>
        <row r="56">
          <cell r="E56" t="str">
            <v>FJ male Local staff</v>
          </cell>
          <cell r="F56" t="str">
            <v>MAD0594</v>
          </cell>
          <cell r="G56" t="str">
            <v xml:space="preserve">Salas </v>
          </cell>
          <cell r="H56" t="str">
            <v xml:space="preserve">Bimol Rajbongshe </v>
          </cell>
          <cell r="I56">
            <v>46235.333194444444</v>
          </cell>
          <cell r="J56">
            <v>46235.962962962964</v>
          </cell>
          <cell r="K56">
            <v>46236.330393518518</v>
          </cell>
          <cell r="L56">
            <v>46236.947511574072</v>
          </cell>
          <cell r="M56">
            <v>46237.331296296295</v>
          </cell>
          <cell r="N56">
            <v>46237.969849537039</v>
          </cell>
          <cell r="O56">
            <v>46238.332731481481</v>
          </cell>
          <cell r="P56">
            <v>46238.942326388889</v>
          </cell>
          <cell r="Q56">
            <v>46239.331145833334</v>
          </cell>
          <cell r="R56">
            <v>46239.943796296298</v>
          </cell>
          <cell r="S56">
            <v>46240.332604166666</v>
          </cell>
          <cell r="T56">
            <v>46240.966006944444</v>
          </cell>
          <cell r="U56">
            <v>46241.572893518518</v>
          </cell>
          <cell r="V56">
            <v>46241.94090277778</v>
          </cell>
          <cell r="W56">
            <v>46242.329710648148</v>
          </cell>
          <cell r="X56">
            <v>1</v>
          </cell>
          <cell r="Y56">
            <v>46243.328831018516</v>
          </cell>
          <cell r="Z56">
            <v>46243.938518518517</v>
          </cell>
          <cell r="AA56">
            <v>46244.33016203704</v>
          </cell>
          <cell r="AB56">
            <v>46244.962395833332</v>
          </cell>
          <cell r="AC56">
            <v>46245.330925925926</v>
          </cell>
          <cell r="AD56">
            <v>46245.939351851855</v>
          </cell>
          <cell r="AE56">
            <v>46246.332037037035</v>
          </cell>
        </row>
        <row r="57">
          <cell r="E57" t="str">
            <v>FJ male Local staff</v>
          </cell>
          <cell r="F57" t="str">
            <v>MAD0596</v>
          </cell>
          <cell r="G57" t="str">
            <v>Bazaaru Shop</v>
          </cell>
          <cell r="H57" t="str">
            <v xml:space="preserve">Hasan Miah </v>
          </cell>
          <cell r="I57" t="str">
            <v>SICK</v>
          </cell>
          <cell r="J57" t="str">
            <v>SICK</v>
          </cell>
          <cell r="K57">
            <v>46236.353518518517</v>
          </cell>
          <cell r="L57">
            <v>46236.983090277776</v>
          </cell>
          <cell r="M57">
            <v>46237.353090277778</v>
          </cell>
          <cell r="N57">
            <v>46237.967974537038</v>
          </cell>
          <cell r="O57">
            <v>46238.353229166663</v>
          </cell>
          <cell r="P57">
            <v>46238.944664351853</v>
          </cell>
          <cell r="Q57">
            <v>46239.353831018518</v>
          </cell>
          <cell r="R57">
            <v>46239.967673611114</v>
          </cell>
          <cell r="S57">
            <v>46240.352870370371</v>
          </cell>
          <cell r="T57">
            <v>46240.970335648148</v>
          </cell>
          <cell r="U57" t="str">
            <v>OFF</v>
          </cell>
          <cell r="V57" t="str">
            <v>OFF</v>
          </cell>
          <cell r="W57">
            <v>46242.348703703705</v>
          </cell>
          <cell r="X57">
            <v>46242.988113425927</v>
          </cell>
          <cell r="Y57">
            <v>46243.352638888886</v>
          </cell>
          <cell r="Z57">
            <v>46243.935740740744</v>
          </cell>
          <cell r="AA57">
            <v>46244.352488425924</v>
          </cell>
          <cell r="AB57">
            <v>46244.965312499997</v>
          </cell>
          <cell r="AC57">
            <v>46245.351469907408</v>
          </cell>
          <cell r="AD57">
            <v>46245.922118055554</v>
          </cell>
          <cell r="AE57">
            <v>46246.352418981478</v>
          </cell>
        </row>
        <row r="58">
          <cell r="E58" t="str">
            <v>HM Junior staff</v>
          </cell>
          <cell r="F58" t="str">
            <v>MAD0598</v>
          </cell>
          <cell r="G58" t="str">
            <v>HM Shop1</v>
          </cell>
          <cell r="H58" t="str">
            <v>MD Jihad Hossain</v>
          </cell>
          <cell r="I58">
            <v>46235.354247685187</v>
          </cell>
          <cell r="J58">
            <v>46235.977418981478</v>
          </cell>
          <cell r="K58">
            <v>46236.355266203704</v>
          </cell>
          <cell r="L58">
            <v>46236.967233796298</v>
          </cell>
          <cell r="M58">
            <v>46237.350659722222</v>
          </cell>
          <cell r="N58">
            <v>46237.956030092595</v>
          </cell>
          <cell r="O58">
            <v>46238.353773148148</v>
          </cell>
          <cell r="P58">
            <v>46238.956828703704</v>
          </cell>
          <cell r="Q58">
            <v>46239.352708333332</v>
          </cell>
          <cell r="R58">
            <v>1</v>
          </cell>
          <cell r="S58">
            <v>46240.352592592593</v>
          </cell>
          <cell r="T58">
            <v>46240.976157407407</v>
          </cell>
          <cell r="U58" t="str">
            <v>OFF</v>
          </cell>
          <cell r="V58" t="str">
            <v>OFF</v>
          </cell>
          <cell r="W58">
            <v>46242.351863425924</v>
          </cell>
          <cell r="X58">
            <v>46242.972766203704</v>
          </cell>
          <cell r="Y58">
            <v>46243.354398148149</v>
          </cell>
          <cell r="Z58">
            <v>46243.955266203702</v>
          </cell>
          <cell r="AA58">
            <v>46244.354849537034</v>
          </cell>
          <cell r="AB58">
            <v>46244.95621527778</v>
          </cell>
          <cell r="AC58">
            <v>46245.353113425925</v>
          </cell>
          <cell r="AD58">
            <v>46245.954780092594</v>
          </cell>
          <cell r="AE58">
            <v>46246.382592592592</v>
          </cell>
        </row>
        <row r="59">
          <cell r="E59" t="str">
            <v>Fs male Local staff</v>
          </cell>
          <cell r="F59" t="str">
            <v>MAD0599</v>
          </cell>
          <cell r="G59" t="str">
            <v>Clearance</v>
          </cell>
          <cell r="H59" t="str">
            <v>Suriyakrishnan Baskaran</v>
          </cell>
          <cell r="I59">
            <v>46235.320787037039</v>
          </cell>
          <cell r="J59">
            <v>46235.956701388888</v>
          </cell>
          <cell r="K59">
            <v>46236.322337962964</v>
          </cell>
          <cell r="L59">
            <v>46236.938773148147</v>
          </cell>
          <cell r="M59">
            <v>46237.327638888892</v>
          </cell>
          <cell r="N59">
            <v>46237.949293981481</v>
          </cell>
          <cell r="O59">
            <v>46238.322997685187</v>
          </cell>
          <cell r="P59">
            <v>46238.951192129629</v>
          </cell>
          <cell r="Q59">
            <v>46239.324166666665</v>
          </cell>
          <cell r="R59">
            <v>46239.95453703704</v>
          </cell>
          <cell r="S59">
            <v>46240.318101851852</v>
          </cell>
          <cell r="T59">
            <v>46240.998738425929</v>
          </cell>
          <cell r="U59">
            <v>46241.562060185184</v>
          </cell>
          <cell r="V59">
            <v>46241.932256944441</v>
          </cell>
          <cell r="W59">
            <v>46242.321620370371</v>
          </cell>
          <cell r="X59">
            <v>46242.986284722225</v>
          </cell>
          <cell r="Y59">
            <v>46243.324525462966</v>
          </cell>
          <cell r="Z59">
            <v>46243.945057870369</v>
          </cell>
          <cell r="AA59">
            <v>46244.323391203703</v>
          </cell>
          <cell r="AB59">
            <v>1</v>
          </cell>
          <cell r="AC59">
            <v>46245.323634259257</v>
          </cell>
          <cell r="AD59">
            <v>1</v>
          </cell>
          <cell r="AE59">
            <v>46246.321631944447</v>
          </cell>
        </row>
        <row r="60">
          <cell r="E60" t="str">
            <v>HM Junior staff</v>
          </cell>
          <cell r="F60" t="str">
            <v>MAD0600</v>
          </cell>
          <cell r="G60" t="str">
            <v>HM Site</v>
          </cell>
          <cell r="H60" t="str">
            <v xml:space="preserve">	Kabir Hossain</v>
          </cell>
          <cell r="I60" t="str">
            <v>AL</v>
          </cell>
          <cell r="J60" t="str">
            <v>AL</v>
          </cell>
          <cell r="K60" t="str">
            <v>AL</v>
          </cell>
          <cell r="L60" t="str">
            <v>AL</v>
          </cell>
          <cell r="M60" t="str">
            <v>AL</v>
          </cell>
          <cell r="N60" t="str">
            <v>AL</v>
          </cell>
          <cell r="O60" t="str">
            <v>AL</v>
          </cell>
          <cell r="P60" t="str">
            <v>AL</v>
          </cell>
          <cell r="Q60" t="str">
            <v>AL</v>
          </cell>
          <cell r="R60" t="str">
            <v>AL</v>
          </cell>
          <cell r="S60" t="str">
            <v>AL</v>
          </cell>
          <cell r="T60" t="str">
            <v>AL</v>
          </cell>
          <cell r="U60" t="str">
            <v>AL</v>
          </cell>
          <cell r="V60" t="str">
            <v>AL</v>
          </cell>
          <cell r="W60" t="str">
            <v>AL</v>
          </cell>
          <cell r="X60" t="str">
            <v>AL</v>
          </cell>
          <cell r="Y60" t="str">
            <v>AL</v>
          </cell>
          <cell r="Z60" t="str">
            <v>AL</v>
          </cell>
          <cell r="AA60" t="str">
            <v>AL</v>
          </cell>
          <cell r="AB60" t="str">
            <v>AL</v>
          </cell>
          <cell r="AC60" t="str">
            <v>AL</v>
          </cell>
          <cell r="AD60" t="str">
            <v>AL</v>
          </cell>
          <cell r="AE60" t="str">
            <v>AL</v>
          </cell>
        </row>
        <row r="61">
          <cell r="E61" t="str">
            <v>FJ male Local staff</v>
          </cell>
          <cell r="F61" t="str">
            <v>MAD0601</v>
          </cell>
          <cell r="G61" t="str">
            <v xml:space="preserve">Salas </v>
          </cell>
          <cell r="H61" t="str">
            <v xml:space="preserve">MD Mithu Hossain   </v>
          </cell>
          <cell r="I61">
            <v>46235.334374999999</v>
          </cell>
          <cell r="J61">
            <v>46235.962789351855</v>
          </cell>
          <cell r="K61">
            <v>46236.343692129631</v>
          </cell>
          <cell r="L61">
            <v>46236.948194444441</v>
          </cell>
          <cell r="M61">
            <v>46237.341458333336</v>
          </cell>
          <cell r="N61">
            <v>46237.970358796294</v>
          </cell>
          <cell r="O61">
            <v>46238.347141203703</v>
          </cell>
          <cell r="P61">
            <v>46238.942418981482</v>
          </cell>
          <cell r="Q61">
            <v>46239.346030092594</v>
          </cell>
          <cell r="R61">
            <v>46239.944293981483</v>
          </cell>
          <cell r="S61">
            <v>46240.342233796298</v>
          </cell>
          <cell r="T61">
            <v>46240.966099537036</v>
          </cell>
          <cell r="U61" t="str">
            <v>OFF</v>
          </cell>
          <cell r="V61" t="str">
            <v>OFF</v>
          </cell>
          <cell r="W61">
            <v>46242.348449074074</v>
          </cell>
          <cell r="X61">
            <v>46242.961134259262</v>
          </cell>
          <cell r="Y61">
            <v>46243.34269675926</v>
          </cell>
          <cell r="Z61">
            <v>46243.941099537034</v>
          </cell>
          <cell r="AA61">
            <v>46244.345069444447</v>
          </cell>
          <cell r="AB61">
            <v>46244.961724537039</v>
          </cell>
          <cell r="AC61">
            <v>46245.339837962965</v>
          </cell>
          <cell r="AD61">
            <v>46245.934895833336</v>
          </cell>
          <cell r="AE61">
            <v>46246.345648148148</v>
          </cell>
        </row>
        <row r="62">
          <cell r="E62" t="str">
            <v>FJ male Local staff</v>
          </cell>
          <cell r="F62" t="str">
            <v>MAD0602</v>
          </cell>
          <cell r="G62" t="str">
            <v>Doores Godown</v>
          </cell>
          <cell r="H62" t="str">
            <v>MD Rokon Uddin</v>
          </cell>
          <cell r="I62" t="str">
            <v>AL</v>
          </cell>
          <cell r="J62" t="str">
            <v>AL</v>
          </cell>
          <cell r="K62" t="str">
            <v>AL</v>
          </cell>
          <cell r="L62" t="str">
            <v>AL</v>
          </cell>
          <cell r="M62" t="str">
            <v>AL</v>
          </cell>
          <cell r="N62" t="str">
            <v>AL</v>
          </cell>
          <cell r="O62" t="str">
            <v>AL</v>
          </cell>
          <cell r="P62" t="str">
            <v>AL</v>
          </cell>
          <cell r="Q62" t="str">
            <v>AL</v>
          </cell>
          <cell r="R62" t="str">
            <v>AL</v>
          </cell>
          <cell r="S62" t="str">
            <v>AL</v>
          </cell>
          <cell r="T62" t="str">
            <v>AL</v>
          </cell>
          <cell r="U62" t="str">
            <v>AL</v>
          </cell>
          <cell r="V62" t="str">
            <v>AL</v>
          </cell>
          <cell r="W62" t="str">
            <v>AL</v>
          </cell>
          <cell r="X62" t="str">
            <v>AL</v>
          </cell>
          <cell r="Y62" t="str">
            <v>AL</v>
          </cell>
          <cell r="Z62" t="str">
            <v>AL</v>
          </cell>
          <cell r="AA62" t="str">
            <v>AL</v>
          </cell>
          <cell r="AB62" t="str">
            <v>AL</v>
          </cell>
          <cell r="AC62" t="str">
            <v>AL</v>
          </cell>
          <cell r="AD62" t="str">
            <v>AL</v>
          </cell>
          <cell r="AE62" t="str">
            <v>AL</v>
          </cell>
        </row>
        <row r="63">
          <cell r="E63" t="str">
            <v>FJ male Local staff</v>
          </cell>
          <cell r="F63" t="str">
            <v>MAD0603</v>
          </cell>
          <cell r="G63" t="str">
            <v>Athulhu Shop</v>
          </cell>
          <cell r="H63" t="str">
            <v>MD Al Amin</v>
          </cell>
          <cell r="I63">
            <v>46235.348877314813</v>
          </cell>
          <cell r="J63">
            <v>46235.957280092596</v>
          </cell>
          <cell r="K63">
            <v>46236.349409722221</v>
          </cell>
          <cell r="L63">
            <v>46236.942256944443</v>
          </cell>
          <cell r="M63">
            <v>46237.350532407407</v>
          </cell>
          <cell r="N63">
            <v>46237.943136574075</v>
          </cell>
          <cell r="O63">
            <v>46238.349317129629</v>
          </cell>
          <cell r="P63">
            <v>46238.9453587963</v>
          </cell>
          <cell r="Q63">
            <v>46239.348738425928</v>
          </cell>
          <cell r="R63">
            <v>46239.93377314815</v>
          </cell>
          <cell r="S63">
            <v>46240.34814814815</v>
          </cell>
          <cell r="T63">
            <v>46240.929340277777</v>
          </cell>
          <cell r="U63" t="str">
            <v>OFF</v>
          </cell>
          <cell r="V63" t="str">
            <v>OFF</v>
          </cell>
          <cell r="W63">
            <v>46242.34784722222</v>
          </cell>
          <cell r="X63">
            <v>46242.968460648146</v>
          </cell>
          <cell r="Y63">
            <v>46243.345729166664</v>
          </cell>
          <cell r="Z63">
            <v>46243.958553240744</v>
          </cell>
          <cell r="AA63">
            <v>46244.353321759256</v>
          </cell>
          <cell r="AB63">
            <v>46244.939270833333</v>
          </cell>
          <cell r="AC63">
            <v>46245.346631944441</v>
          </cell>
          <cell r="AD63">
            <v>46245.936759259261</v>
          </cell>
          <cell r="AE63">
            <v>46246.345995370371</v>
          </cell>
        </row>
        <row r="64">
          <cell r="E64" t="str">
            <v>HM Junior staff</v>
          </cell>
          <cell r="F64" t="str">
            <v>MAD0605</v>
          </cell>
          <cell r="G64" t="str">
            <v>HM Shop1</v>
          </cell>
          <cell r="H64" t="str">
            <v>MD Zahir Mia</v>
          </cell>
          <cell r="I64">
            <v>46235.355879629627</v>
          </cell>
          <cell r="J64">
            <v>46235.962407407409</v>
          </cell>
          <cell r="K64">
            <v>46236.348379629628</v>
          </cell>
          <cell r="L64">
            <v>46236.959074074075</v>
          </cell>
          <cell r="M64">
            <v>46237.349733796298</v>
          </cell>
          <cell r="N64">
            <v>46237.954375000001</v>
          </cell>
          <cell r="O64">
            <v>46238.351319444446</v>
          </cell>
          <cell r="P64">
            <v>46238.951840277776</v>
          </cell>
          <cell r="Q64">
            <v>46239.358252314814</v>
          </cell>
          <cell r="R64">
            <v>1</v>
          </cell>
          <cell r="S64">
            <v>46240.353182870371</v>
          </cell>
          <cell r="T64">
            <v>46240.966261574074</v>
          </cell>
          <cell r="U64" t="str">
            <v>OFF</v>
          </cell>
          <cell r="V64" t="str">
            <v>OFF</v>
          </cell>
          <cell r="W64">
            <v>46242.353564814817</v>
          </cell>
          <cell r="X64">
            <v>1</v>
          </cell>
          <cell r="Y64">
            <v>46243.350381944445</v>
          </cell>
          <cell r="Z64">
            <v>46243.941030092596</v>
          </cell>
          <cell r="AA64">
            <v>46244.349930555552</v>
          </cell>
          <cell r="AB64">
            <v>1</v>
          </cell>
          <cell r="AC64">
            <v>46245.354270833333</v>
          </cell>
          <cell r="AD64">
            <v>1</v>
          </cell>
          <cell r="AE64">
            <v>46246.345914351848</v>
          </cell>
        </row>
        <row r="65">
          <cell r="E65" t="str">
            <v>Fs male Local staff</v>
          </cell>
          <cell r="F65" t="str">
            <v>MAD0606</v>
          </cell>
          <cell r="G65" t="str">
            <v>Doores Godown</v>
          </cell>
          <cell r="H65" t="str">
            <v>Thirugnanam Maruthai</v>
          </cell>
          <cell r="I65">
            <v>46235.354849537034</v>
          </cell>
          <cell r="J65">
            <v>46235.972974537035</v>
          </cell>
          <cell r="K65">
            <v>46236.353067129632</v>
          </cell>
          <cell r="L65">
            <v>46236.9921875</v>
          </cell>
          <cell r="M65">
            <v>46237.354479166665</v>
          </cell>
          <cell r="N65">
            <v>46237.969687500001</v>
          </cell>
          <cell r="O65">
            <v>46238.355775462966</v>
          </cell>
          <cell r="P65">
            <v>46238.948287037034</v>
          </cell>
          <cell r="Q65">
            <v>46239.354791666665</v>
          </cell>
          <cell r="R65">
            <v>46239.967037037037</v>
          </cell>
          <cell r="S65">
            <v>46240.354432870372</v>
          </cell>
          <cell r="T65">
            <v>46240.972662037035</v>
          </cell>
          <cell r="U65" t="str">
            <v>OFF</v>
          </cell>
          <cell r="V65" t="str">
            <v>OFF</v>
          </cell>
          <cell r="W65">
            <v>46242.354814814818</v>
          </cell>
          <cell r="X65">
            <v>46242.989571759259</v>
          </cell>
          <cell r="Y65">
            <v>46243.354768518519</v>
          </cell>
          <cell r="Z65">
            <v>46243.938437500001</v>
          </cell>
          <cell r="AA65">
            <v>46244.355219907404</v>
          </cell>
          <cell r="AB65">
            <v>46244.969421296293</v>
          </cell>
          <cell r="AC65">
            <v>46245.356030092589</v>
          </cell>
          <cell r="AD65">
            <v>46245.942546296297</v>
          </cell>
          <cell r="AE65">
            <v>46246.35497685185</v>
          </cell>
        </row>
        <row r="66">
          <cell r="E66" t="str">
            <v>HM Junior staff</v>
          </cell>
          <cell r="F66" t="str">
            <v>MAD0607</v>
          </cell>
          <cell r="G66" t="str">
            <v>HM Shop2</v>
          </cell>
          <cell r="H66" t="str">
            <v>Md Mukul Ali</v>
          </cell>
          <cell r="I66" t="str">
            <v>AL</v>
          </cell>
          <cell r="J66" t="str">
            <v>AL</v>
          </cell>
          <cell r="K66" t="str">
            <v>AL</v>
          </cell>
          <cell r="L66" t="str">
            <v>AL</v>
          </cell>
          <cell r="M66" t="str">
            <v>AL</v>
          </cell>
          <cell r="N66" t="str">
            <v>AL</v>
          </cell>
          <cell r="O66" t="str">
            <v>AL</v>
          </cell>
          <cell r="P66" t="str">
            <v>AL</v>
          </cell>
          <cell r="Q66" t="str">
            <v>AL</v>
          </cell>
          <cell r="R66" t="str">
            <v>AL</v>
          </cell>
          <cell r="S66" t="str">
            <v>AL</v>
          </cell>
          <cell r="T66" t="str">
            <v>AL</v>
          </cell>
          <cell r="U66" t="str">
            <v>AL</v>
          </cell>
          <cell r="V66" t="str">
            <v>AL</v>
          </cell>
          <cell r="W66" t="str">
            <v>AL</v>
          </cell>
          <cell r="X66" t="str">
            <v>AL</v>
          </cell>
          <cell r="Y66" t="str">
            <v>AL</v>
          </cell>
          <cell r="Z66" t="str">
            <v>AL</v>
          </cell>
          <cell r="AA66" t="str">
            <v>AL</v>
          </cell>
          <cell r="AB66" t="str">
            <v>AL</v>
          </cell>
          <cell r="AC66" t="str">
            <v>AL</v>
          </cell>
          <cell r="AD66" t="str">
            <v>AL</v>
          </cell>
          <cell r="AE66" t="str">
            <v>AL</v>
          </cell>
        </row>
        <row r="67">
          <cell r="E67" t="str">
            <v>FJ male Local staff</v>
          </cell>
          <cell r="F67" t="str">
            <v>MAD0613</v>
          </cell>
          <cell r="G67" t="str">
            <v>Athulhu Shop</v>
          </cell>
          <cell r="H67" t="str">
            <v xml:space="preserve">	PUJA RAI</v>
          </cell>
          <cell r="I67">
            <v>46235.352199074077</v>
          </cell>
          <cell r="J67">
            <v>46235.937800925924</v>
          </cell>
          <cell r="K67">
            <v>46236.346377314818</v>
          </cell>
          <cell r="L67">
            <v>46236.935266203705</v>
          </cell>
          <cell r="M67">
            <v>46237.347303240742</v>
          </cell>
          <cell r="N67">
            <v>46237.925532407404</v>
          </cell>
          <cell r="O67">
            <v>46238.351493055554</v>
          </cell>
          <cell r="P67">
            <v>46238.922407407408</v>
          </cell>
          <cell r="Q67">
            <v>46239.349675925929</v>
          </cell>
          <cell r="R67">
            <v>46239.923993055556</v>
          </cell>
          <cell r="S67">
            <v>46240.346041666664</v>
          </cell>
          <cell r="T67">
            <v>46240.936608796299</v>
          </cell>
          <cell r="U67" t="str">
            <v>OFF</v>
          </cell>
          <cell r="V67" t="str">
            <v>OFF</v>
          </cell>
          <cell r="W67">
            <v>46242.345462962963</v>
          </cell>
          <cell r="X67">
            <v>46242.938993055555</v>
          </cell>
          <cell r="Y67">
            <v>46243.346168981479</v>
          </cell>
          <cell r="Z67">
            <v>46243.921863425923</v>
          </cell>
          <cell r="AA67">
            <v>46244.349351851852</v>
          </cell>
          <cell r="AB67">
            <v>46244.912488425929</v>
          </cell>
          <cell r="AC67">
            <v>46245.344490740739</v>
          </cell>
          <cell r="AD67">
            <v>46245.911643518521</v>
          </cell>
          <cell r="AE67">
            <v>46246.351585648146</v>
          </cell>
        </row>
        <row r="68">
          <cell r="E68" t="str">
            <v>FJ male Local staff</v>
          </cell>
          <cell r="F68" t="str">
            <v>MAD0618</v>
          </cell>
          <cell r="G68" t="str">
            <v>Galolhu Shop</v>
          </cell>
          <cell r="H68" t="str">
            <v>NASIR ALI</v>
          </cell>
          <cell r="I68">
            <v>46235.354884259257</v>
          </cell>
          <cell r="J68">
            <v>46235.968576388892</v>
          </cell>
          <cell r="K68">
            <v>46236.355428240742</v>
          </cell>
          <cell r="L68">
            <v>1</v>
          </cell>
          <cell r="M68">
            <v>46237.354328703703</v>
          </cell>
          <cell r="N68">
            <v>46237.949664351851</v>
          </cell>
          <cell r="O68">
            <v>46238.355555555558</v>
          </cell>
          <cell r="P68">
            <v>46238.948020833333</v>
          </cell>
          <cell r="Q68">
            <v>46239.354756944442</v>
          </cell>
          <cell r="R68">
            <v>46239.947337962964</v>
          </cell>
          <cell r="S68">
            <v>46240.353958333333</v>
          </cell>
          <cell r="T68">
            <v>1</v>
          </cell>
          <cell r="U68">
            <v>46241.583587962959</v>
          </cell>
          <cell r="V68">
            <v>46241.946620370371</v>
          </cell>
          <cell r="W68">
            <v>46242.354895833334</v>
          </cell>
          <cell r="X68">
            <v>1</v>
          </cell>
          <cell r="Y68">
            <v>46243.354942129627</v>
          </cell>
          <cell r="Z68">
            <v>46243.950590277775</v>
          </cell>
          <cell r="AA68">
            <v>46244.354016203702</v>
          </cell>
          <cell r="AB68">
            <v>46244.94872685185</v>
          </cell>
          <cell r="AC68">
            <v>46245.353726851848</v>
          </cell>
          <cell r="AD68">
            <v>46245.946400462963</v>
          </cell>
          <cell r="AE68">
            <v>46246.354004629633</v>
          </cell>
        </row>
        <row r="69">
          <cell r="E69" t="str">
            <v>FJ male Local staff</v>
          </cell>
          <cell r="F69" t="str">
            <v>MAD0623</v>
          </cell>
          <cell r="G69" t="str">
            <v>Doores Godown</v>
          </cell>
          <cell r="H69" t="str">
            <v xml:space="preserve">Yabuddin </v>
          </cell>
          <cell r="I69">
            <v>46235.353703703702</v>
          </cell>
          <cell r="J69">
            <v>46235.980462962965</v>
          </cell>
          <cell r="K69">
            <v>46236.354444444441</v>
          </cell>
          <cell r="L69">
            <v>46236.991655092592</v>
          </cell>
          <cell r="M69">
            <v>46237.353680555556</v>
          </cell>
          <cell r="N69">
            <v>46237.969293981485</v>
          </cell>
          <cell r="O69">
            <v>46238.353321759256</v>
          </cell>
          <cell r="P69">
            <v>46238.944537037038</v>
          </cell>
          <cell r="Q69">
            <v>46239.353182870371</v>
          </cell>
          <cell r="R69">
            <v>46239.965127314812</v>
          </cell>
          <cell r="S69">
            <v>46240.354062500002</v>
          </cell>
          <cell r="T69">
            <v>46240.970486111109</v>
          </cell>
          <cell r="U69">
            <v>46241.582152777781</v>
          </cell>
          <cell r="V69">
            <v>46241.93408564815</v>
          </cell>
          <cell r="W69">
            <v>46242.353055555555</v>
          </cell>
          <cell r="X69">
            <v>46242.987881944442</v>
          </cell>
          <cell r="Y69">
            <v>46243.353622685187</v>
          </cell>
          <cell r="Z69">
            <v>46243.937581018516</v>
          </cell>
          <cell r="AA69">
            <v>46244.353460648148</v>
          </cell>
          <cell r="AB69">
            <v>46244.966226851851</v>
          </cell>
          <cell r="AC69">
            <v>46245.352141203701</v>
          </cell>
          <cell r="AD69">
            <v>46245.92597222222</v>
          </cell>
          <cell r="AE69">
            <v>46246.352268518516</v>
          </cell>
        </row>
        <row r="70">
          <cell r="E70" t="str">
            <v>Male Local staff</v>
          </cell>
          <cell r="F70" t="str">
            <v>MAD0625</v>
          </cell>
          <cell r="G70" t="str">
            <v>HM Shop1</v>
          </cell>
          <cell r="H70" t="str">
            <v>Aishath Nihaza</v>
          </cell>
          <cell r="I70" t="str">
            <v>AL</v>
          </cell>
          <cell r="J70" t="str">
            <v>AL</v>
          </cell>
          <cell r="K70" t="str">
            <v>AL</v>
          </cell>
          <cell r="L70" t="str">
            <v>AL</v>
          </cell>
          <cell r="M70" t="str">
            <v>AL</v>
          </cell>
          <cell r="N70" t="str">
            <v>AL</v>
          </cell>
          <cell r="O70" t="str">
            <v>AL</v>
          </cell>
          <cell r="P70" t="str">
            <v>AL</v>
          </cell>
          <cell r="Q70">
            <v>0.64236111111111105</v>
          </cell>
          <cell r="R70">
            <v>1</v>
          </cell>
          <cell r="S70">
            <v>0.64722222222222225</v>
          </cell>
          <cell r="T70">
            <v>46240.975798611114</v>
          </cell>
          <cell r="U70">
            <v>46241.576018518521</v>
          </cell>
          <cell r="V70">
            <v>46241.956458333334</v>
          </cell>
          <cell r="W70">
            <v>46242.353506944448</v>
          </cell>
          <cell r="X70">
            <v>1</v>
          </cell>
          <cell r="Y70">
            <v>46243.354143518518</v>
          </cell>
          <cell r="Z70">
            <v>1</v>
          </cell>
          <cell r="AA70" t="str">
            <v>OFF</v>
          </cell>
          <cell r="AB70" t="str">
            <v>OFF</v>
          </cell>
          <cell r="AC70">
            <v>46245.352442129632</v>
          </cell>
          <cell r="AD70">
            <v>1</v>
          </cell>
          <cell r="AE70">
            <v>1</v>
          </cell>
        </row>
        <row r="71">
          <cell r="E71" t="str">
            <v>HM Junior staff</v>
          </cell>
          <cell r="F71" t="str">
            <v>MAD0627</v>
          </cell>
          <cell r="G71" t="str">
            <v>HM Shop1</v>
          </cell>
          <cell r="H71" t="str">
            <v>Manirul Laskar</v>
          </cell>
          <cell r="I71">
            <v>46235.348749999997</v>
          </cell>
          <cell r="J71">
            <v>46235.96329861111</v>
          </cell>
          <cell r="K71">
            <v>46236.347986111112</v>
          </cell>
          <cell r="L71">
            <v>46236.946435185186</v>
          </cell>
          <cell r="M71">
            <v>46237.348703703705</v>
          </cell>
          <cell r="N71">
            <v>46237.955347222225</v>
          </cell>
          <cell r="O71">
            <v>46238.349398148152</v>
          </cell>
          <cell r="P71">
            <v>46238.939409722225</v>
          </cell>
          <cell r="Q71">
            <v>46239.352256944447</v>
          </cell>
          <cell r="R71">
            <v>46239.943749999999</v>
          </cell>
          <cell r="S71">
            <v>46240.352083333331</v>
          </cell>
          <cell r="T71">
            <v>46240.964317129627</v>
          </cell>
          <cell r="U71">
            <v>46241.576412037037</v>
          </cell>
          <cell r="V71">
            <v>46241.946388888886</v>
          </cell>
          <cell r="W71">
            <v>46242.352777777778</v>
          </cell>
          <cell r="X71">
            <v>46242.966851851852</v>
          </cell>
          <cell r="Y71">
            <v>46243.348553240743</v>
          </cell>
          <cell r="Z71">
            <v>46243.941458333335</v>
          </cell>
          <cell r="AA71">
            <v>46244.349247685182</v>
          </cell>
          <cell r="AB71">
            <v>46244.954456018517</v>
          </cell>
          <cell r="AC71">
            <v>46245.353194444448</v>
          </cell>
          <cell r="AD71">
            <v>46245.944212962961</v>
          </cell>
          <cell r="AE71">
            <v>46246.349641203706</v>
          </cell>
        </row>
        <row r="72">
          <cell r="E72" t="str">
            <v>Male Local staff</v>
          </cell>
          <cell r="F72" t="str">
            <v>MAD0631</v>
          </cell>
          <cell r="G72" t="str">
            <v>HM Shop2</v>
          </cell>
          <cell r="H72" t="str">
            <v>Zumna Ahmed</v>
          </cell>
          <cell r="I72">
            <v>1</v>
          </cell>
          <cell r="J72">
            <v>1</v>
          </cell>
          <cell r="K72">
            <v>0</v>
          </cell>
          <cell r="L72">
            <v>46236.951874999999</v>
          </cell>
          <cell r="M72">
            <v>1</v>
          </cell>
          <cell r="N72">
            <v>46237.952106481483</v>
          </cell>
          <cell r="O72">
            <v>1</v>
          </cell>
          <cell r="P72">
            <v>46238.950995370367</v>
          </cell>
          <cell r="Q72">
            <v>1</v>
          </cell>
          <cell r="R72">
            <v>46239.943622685183</v>
          </cell>
          <cell r="S72">
            <v>1</v>
          </cell>
          <cell r="T72">
            <v>46240.970671296294</v>
          </cell>
          <cell r="U72">
            <v>46241.584432870368</v>
          </cell>
          <cell r="V72">
            <v>46241.953414351854</v>
          </cell>
          <cell r="W72">
            <v>46242.356435185182</v>
          </cell>
          <cell r="X72">
            <v>1</v>
          </cell>
          <cell r="Y72">
            <v>1</v>
          </cell>
          <cell r="Z72">
            <v>1</v>
          </cell>
          <cell r="AA72">
            <v>46244.352881944447</v>
          </cell>
          <cell r="AB72">
            <v>1</v>
          </cell>
          <cell r="AC72">
            <v>46245.353530092594</v>
          </cell>
          <cell r="AD72">
            <v>1</v>
          </cell>
          <cell r="AE72">
            <v>46246.353032407409</v>
          </cell>
        </row>
        <row r="73">
          <cell r="E73" t="str">
            <v>FJ male Local staff</v>
          </cell>
          <cell r="F73" t="str">
            <v>MAD0632</v>
          </cell>
          <cell r="G73" t="str">
            <v>Retail Shop</v>
          </cell>
          <cell r="H73" t="str">
            <v>Nabina Thapa</v>
          </cell>
          <cell r="I73">
            <v>46235.352858796294</v>
          </cell>
          <cell r="J73">
            <v>46235.975428240738</v>
          </cell>
          <cell r="K73">
            <v>46236.352349537039</v>
          </cell>
          <cell r="L73">
            <v>46236.958449074074</v>
          </cell>
          <cell r="M73">
            <v>46237.351458333331</v>
          </cell>
          <cell r="N73">
            <v>46237.960590277777</v>
          </cell>
          <cell r="O73">
            <v>46238.352997685186</v>
          </cell>
          <cell r="P73">
            <v>46238.957256944443</v>
          </cell>
          <cell r="Q73">
            <v>46239.352881944447</v>
          </cell>
          <cell r="R73">
            <v>46239.955601851849</v>
          </cell>
          <cell r="S73">
            <v>46240.351643518516</v>
          </cell>
          <cell r="T73">
            <v>46240.981770833336</v>
          </cell>
          <cell r="U73" t="str">
            <v>OFF</v>
          </cell>
          <cell r="V73" t="str">
            <v>OFF</v>
          </cell>
          <cell r="W73">
            <v>46242.349861111114</v>
          </cell>
          <cell r="X73">
            <v>46242.97314814815</v>
          </cell>
          <cell r="Y73">
            <v>46243.352037037039</v>
          </cell>
          <cell r="Z73">
            <v>46243.966296296298</v>
          </cell>
          <cell r="AA73">
            <v>46244.352094907408</v>
          </cell>
          <cell r="AB73">
            <v>46244.957731481481</v>
          </cell>
          <cell r="AC73">
            <v>46245.352916666663</v>
          </cell>
          <cell r="AD73">
            <v>46245.960821759261</v>
          </cell>
          <cell r="AE73">
            <v>46246.352152777778</v>
          </cell>
        </row>
        <row r="74">
          <cell r="E74" t="str">
            <v>FJ male Local staff</v>
          </cell>
          <cell r="F74" t="str">
            <v>MAD0636</v>
          </cell>
          <cell r="G74" t="str">
            <v>Doores Godown</v>
          </cell>
          <cell r="H74" t="str">
            <v>Mohammad Ajmal</v>
          </cell>
          <cell r="I74">
            <v>46235.352546296293</v>
          </cell>
          <cell r="J74">
            <v>46235.970532407409</v>
          </cell>
          <cell r="K74">
            <v>46236.353761574072</v>
          </cell>
          <cell r="L74">
            <v>46236.991759259261</v>
          </cell>
          <cell r="M74">
            <v>46237.353946759256</v>
          </cell>
          <cell r="N74">
            <v>46237.968217592592</v>
          </cell>
          <cell r="O74">
            <v>46238.353495370371</v>
          </cell>
          <cell r="P74">
            <v>46238.944143518522</v>
          </cell>
          <cell r="Q74">
            <v>46239.352094907408</v>
          </cell>
          <cell r="R74">
            <v>46239.965300925927</v>
          </cell>
          <cell r="S74">
            <v>46240.352349537039</v>
          </cell>
          <cell r="T74">
            <v>46240.969513888886</v>
          </cell>
          <cell r="U74" t="str">
            <v>OFF</v>
          </cell>
          <cell r="V74" t="str">
            <v>OFF</v>
          </cell>
          <cell r="W74">
            <v>46242.348819444444</v>
          </cell>
          <cell r="X74">
            <v>46242.989652777775</v>
          </cell>
          <cell r="Y74">
            <v>46243.352303240739</v>
          </cell>
          <cell r="Z74">
            <v>1</v>
          </cell>
          <cell r="AA74">
            <v>46244.349039351851</v>
          </cell>
          <cell r="AB74">
            <v>46244.967476851853</v>
          </cell>
          <cell r="AC74">
            <v>46245.349710648145</v>
          </cell>
          <cell r="AD74">
            <v>46245.925092592595</v>
          </cell>
          <cell r="AE74">
            <v>46246.350972222222</v>
          </cell>
        </row>
        <row r="75">
          <cell r="E75" t="str">
            <v>FJ male Local staff</v>
          </cell>
          <cell r="F75" t="str">
            <v>MAD0637</v>
          </cell>
          <cell r="G75" t="str">
            <v>HM Shop2</v>
          </cell>
          <cell r="H75" t="str">
            <v xml:space="preserve"> Alisan</v>
          </cell>
          <cell r="I75">
            <v>46235.317499999997</v>
          </cell>
          <cell r="J75">
            <v>1</v>
          </cell>
          <cell r="K75">
            <v>46236.351076388892</v>
          </cell>
          <cell r="L75">
            <v>46236.952222222222</v>
          </cell>
          <cell r="M75">
            <v>46237.353518518517</v>
          </cell>
          <cell r="N75">
            <v>46237.957199074073</v>
          </cell>
          <cell r="O75">
            <v>46238.428379629629</v>
          </cell>
          <cell r="P75">
            <v>1</v>
          </cell>
          <cell r="Q75">
            <v>46239.352280092593</v>
          </cell>
          <cell r="R75">
            <v>46239.965601851851</v>
          </cell>
          <cell r="S75">
            <v>46240.347314814811</v>
          </cell>
          <cell r="T75">
            <v>46240.971226851849</v>
          </cell>
          <cell r="U75">
            <v>46241.575729166667</v>
          </cell>
          <cell r="V75">
            <v>46241.934016203704</v>
          </cell>
          <cell r="W75">
            <v>46242.351747685185</v>
          </cell>
          <cell r="X75">
            <v>1</v>
          </cell>
          <cell r="Y75" t="str">
            <v>SICK</v>
          </cell>
          <cell r="Z75" t="str">
            <v>SICK</v>
          </cell>
          <cell r="AA75">
            <v>46244.354687500003</v>
          </cell>
          <cell r="AB75">
            <v>46244.967523148145</v>
          </cell>
          <cell r="AC75">
            <v>46245.348761574074</v>
          </cell>
          <cell r="AD75">
            <v>46245.922893518517</v>
          </cell>
          <cell r="AE75">
            <v>46246.351053240738</v>
          </cell>
        </row>
        <row r="76">
          <cell r="E76" t="str">
            <v>FJ male Local staff</v>
          </cell>
          <cell r="F76" t="str">
            <v>MAD0643</v>
          </cell>
          <cell r="G76" t="str">
            <v>Doores Godown</v>
          </cell>
          <cell r="H76" t="str">
            <v>NAJIR SHEKH</v>
          </cell>
          <cell r="I76">
            <v>46235.361956018518</v>
          </cell>
          <cell r="J76">
            <v>1</v>
          </cell>
          <cell r="K76">
            <v>0</v>
          </cell>
          <cell r="L76">
            <v>46236.93953703704</v>
          </cell>
          <cell r="M76">
            <v>46237.34883101852</v>
          </cell>
          <cell r="N76">
            <v>46237.916724537034</v>
          </cell>
          <cell r="O76">
            <v>46238.346724537034</v>
          </cell>
          <cell r="P76">
            <v>1</v>
          </cell>
          <cell r="Q76">
            <v>46239.354537037034</v>
          </cell>
          <cell r="R76">
            <v>1</v>
          </cell>
          <cell r="S76">
            <v>46240.345196759263</v>
          </cell>
          <cell r="T76">
            <v>1</v>
          </cell>
          <cell r="U76">
            <v>46241.564282407409</v>
          </cell>
          <cell r="V76">
            <v>46241.914942129632</v>
          </cell>
          <cell r="W76">
            <v>46242.361122685186</v>
          </cell>
          <cell r="X76">
            <v>46242.916724537034</v>
          </cell>
          <cell r="Y76">
            <v>46243.333981481483</v>
          </cell>
          <cell r="Z76">
            <v>1</v>
          </cell>
          <cell r="AA76">
            <v>46244.427777777775</v>
          </cell>
          <cell r="AB76">
            <v>46244.919814814813</v>
          </cell>
          <cell r="AC76">
            <v>46245.418796296297</v>
          </cell>
          <cell r="AD76">
            <v>46245.939236111109</v>
          </cell>
          <cell r="AE76">
            <v>1</v>
          </cell>
        </row>
        <row r="77">
          <cell r="E77" t="str">
            <v>FJ male Local staff</v>
          </cell>
          <cell r="F77" t="str">
            <v>MAD0644</v>
          </cell>
          <cell r="G77" t="str">
            <v>Bazaaru Shop</v>
          </cell>
          <cell r="H77" t="str">
            <v>Biswajit Prasad Sah</v>
          </cell>
          <cell r="I77">
            <v>46235.349050925928</v>
          </cell>
          <cell r="J77">
            <v>46235.940023148149</v>
          </cell>
          <cell r="K77">
            <v>46236.347349537034</v>
          </cell>
          <cell r="L77">
            <v>46236.93677083333</v>
          </cell>
          <cell r="M77">
            <v>46237.347245370373</v>
          </cell>
          <cell r="N77">
            <v>46237.927430555559</v>
          </cell>
          <cell r="O77">
            <v>46238.34684027778</v>
          </cell>
          <cell r="P77">
            <v>46238.925844907404</v>
          </cell>
          <cell r="Q77">
            <v>46239.347245370373</v>
          </cell>
          <cell r="R77">
            <v>46239.921423611115</v>
          </cell>
          <cell r="S77">
            <v>46240.345983796295</v>
          </cell>
          <cell r="T77">
            <v>46240.945208333331</v>
          </cell>
          <cell r="U77">
            <v>46241.57707175926</v>
          </cell>
          <cell r="V77">
            <v>46241.914710648147</v>
          </cell>
          <cell r="W77">
            <v>46242.345937500002</v>
          </cell>
          <cell r="X77">
            <v>46242.936967592592</v>
          </cell>
          <cell r="Y77">
            <v>46243.344849537039</v>
          </cell>
          <cell r="Z77">
            <v>46243.911400462966</v>
          </cell>
          <cell r="AA77">
            <v>46244.347002314818</v>
          </cell>
          <cell r="AB77">
            <v>46244.920115740744</v>
          </cell>
          <cell r="AC77">
            <v>46245.344317129631</v>
          </cell>
          <cell r="AD77">
            <v>46245.926249999997</v>
          </cell>
          <cell r="AE77">
            <v>46246.346064814818</v>
          </cell>
        </row>
        <row r="78">
          <cell r="E78" t="str">
            <v>Male Local staff</v>
          </cell>
          <cell r="F78" t="str">
            <v>MAD0645</v>
          </cell>
          <cell r="G78" t="str">
            <v>Purchasing Office</v>
          </cell>
          <cell r="H78" t="str">
            <v>Hassan Azeem</v>
          </cell>
          <cell r="I78">
            <v>46235.374583333331</v>
          </cell>
          <cell r="J78">
            <v>46235.860844907409</v>
          </cell>
          <cell r="K78">
            <v>46236.371493055558</v>
          </cell>
          <cell r="L78">
            <v>46236.729189814818</v>
          </cell>
          <cell r="M78">
            <v>46237.370856481481</v>
          </cell>
          <cell r="N78">
            <v>46237.725949074076</v>
          </cell>
          <cell r="O78">
            <v>46238.371944444443</v>
          </cell>
          <cell r="P78">
            <v>1</v>
          </cell>
          <cell r="Q78">
            <v>46239.363854166666</v>
          </cell>
          <cell r="R78">
            <v>46239.842314814814</v>
          </cell>
          <cell r="S78">
            <v>46240.367314814815</v>
          </cell>
          <cell r="T78">
            <v>1</v>
          </cell>
          <cell r="U78">
            <v>46241.580543981479</v>
          </cell>
          <cell r="V78">
            <v>1</v>
          </cell>
          <cell r="W78">
            <v>46242.400729166664</v>
          </cell>
          <cell r="X78">
            <v>1</v>
          </cell>
          <cell r="Y78" t="str">
            <v>SICK</v>
          </cell>
          <cell r="Z78" t="str">
            <v>SICK</v>
          </cell>
          <cell r="AA78">
            <v>46244.366620370369</v>
          </cell>
          <cell r="AB78">
            <v>46244.847418981481</v>
          </cell>
          <cell r="AC78">
            <v>46245.39261574074</v>
          </cell>
          <cell r="AD78">
            <v>1</v>
          </cell>
          <cell r="AE78">
            <v>46246.37059027778</v>
          </cell>
        </row>
        <row r="79">
          <cell r="E79" t="str">
            <v>Fs male Local staff</v>
          </cell>
          <cell r="F79" t="str">
            <v>MAD0652</v>
          </cell>
          <cell r="G79" t="str">
            <v>Head Office</v>
          </cell>
          <cell r="H79" t="str">
            <v>ADNAN ABDUL MAJEED NAZIR</v>
          </cell>
          <cell r="I79">
            <v>46238.371944444443</v>
          </cell>
          <cell r="J79">
            <v>1</v>
          </cell>
          <cell r="K79">
            <v>46238.371944444443</v>
          </cell>
          <cell r="L79">
            <v>1</v>
          </cell>
          <cell r="M79">
            <v>46237.373969907407</v>
          </cell>
          <cell r="N79">
            <v>46237.9996875</v>
          </cell>
          <cell r="O79">
            <v>46238.371944444443</v>
          </cell>
          <cell r="P79">
            <v>46238.98946759259</v>
          </cell>
          <cell r="Q79">
            <v>46238.371944444443</v>
          </cell>
          <cell r="R79">
            <v>46239.986331018517</v>
          </cell>
          <cell r="S79">
            <v>46240.379780092589</v>
          </cell>
          <cell r="T79">
            <v>46241.012928240743</v>
          </cell>
          <cell r="U79" t="str">
            <v>OFF</v>
          </cell>
          <cell r="V79" t="str">
            <v>OFF</v>
          </cell>
          <cell r="W79">
            <v>46242.420868055553</v>
          </cell>
          <cell r="X79">
            <v>46243.004155092596</v>
          </cell>
          <cell r="Y79">
            <v>46243.376157407409</v>
          </cell>
          <cell r="Z79">
            <v>46243.985775462963</v>
          </cell>
          <cell r="AA79">
            <v>46244.381307870368</v>
          </cell>
          <cell r="AB79">
            <v>46244.994814814818</v>
          </cell>
          <cell r="AC79">
            <v>46245.377268518518</v>
          </cell>
          <cell r="AD79">
            <v>46245.988541666666</v>
          </cell>
          <cell r="AE79">
            <v>46246.379583333335</v>
          </cell>
        </row>
        <row r="80">
          <cell r="E80" t="str">
            <v>Hulhumale Senior staff</v>
          </cell>
          <cell r="F80" t="str">
            <v>MAD0655</v>
          </cell>
          <cell r="G80" t="str">
            <v>HM Shop2</v>
          </cell>
          <cell r="H80" t="str">
            <v>Arulmani Kumaresan</v>
          </cell>
          <cell r="I80">
            <v>46235.332175925927</v>
          </cell>
          <cell r="J80">
            <v>46235.971076388887</v>
          </cell>
          <cell r="K80" t="str">
            <v>SICK</v>
          </cell>
          <cell r="L80" t="str">
            <v>SICK</v>
          </cell>
          <cell r="M80">
            <v>46237.33152777778</v>
          </cell>
          <cell r="N80">
            <v>46237.95752314815</v>
          </cell>
          <cell r="O80">
            <v>1</v>
          </cell>
          <cell r="P80">
            <v>1</v>
          </cell>
          <cell r="Q80">
            <v>46239.371944386578</v>
          </cell>
          <cell r="R80">
            <v>46239.981122685182</v>
          </cell>
          <cell r="S80">
            <v>46240.333171296297</v>
          </cell>
          <cell r="T80">
            <v>1</v>
          </cell>
          <cell r="U80">
            <v>46241.580914351849</v>
          </cell>
          <cell r="V80">
            <v>46241.990543981483</v>
          </cell>
          <cell r="W80">
            <v>46242.339641203704</v>
          </cell>
          <cell r="X80">
            <v>46242.992581018516</v>
          </cell>
          <cell r="Y80">
            <v>46243.329976851855</v>
          </cell>
          <cell r="Z80">
            <v>1</v>
          </cell>
          <cell r="AA80">
            <v>46244.332314814812</v>
          </cell>
          <cell r="AB80">
            <v>46244.989710648151</v>
          </cell>
          <cell r="AC80">
            <v>46245.331145833334</v>
          </cell>
          <cell r="AD80">
            <v>46245.977789351855</v>
          </cell>
          <cell r="AE80">
            <v>46246.330694444441</v>
          </cell>
        </row>
        <row r="81">
          <cell r="E81" t="str">
            <v>HM Junior staff</v>
          </cell>
          <cell r="F81" t="str">
            <v>MAD0657</v>
          </cell>
          <cell r="G81" t="str">
            <v>HM Site</v>
          </cell>
          <cell r="H81" t="str">
            <v xml:space="preserve"> Firoj Pawariya</v>
          </cell>
          <cell r="I81">
            <v>46235.326840277776</v>
          </cell>
          <cell r="J81">
            <v>46235.891342592593</v>
          </cell>
          <cell r="K81">
            <v>46236.32068287037</v>
          </cell>
          <cell r="L81">
            <v>46236.882881944446</v>
          </cell>
          <cell r="M81">
            <v>46237.308842592596</v>
          </cell>
          <cell r="N81">
            <v>46237.8825462963</v>
          </cell>
          <cell r="O81">
            <v>46238.334016203706</v>
          </cell>
          <cell r="P81">
            <v>46238.921875</v>
          </cell>
          <cell r="Q81">
            <v>46239.364027777781</v>
          </cell>
          <cell r="R81">
            <v>46239.909814814811</v>
          </cell>
          <cell r="S81">
            <v>46240.330729166664</v>
          </cell>
          <cell r="T81">
            <v>46240.922384259262</v>
          </cell>
          <cell r="U81" t="str">
            <v>OFF</v>
          </cell>
          <cell r="V81" t="str">
            <v>OFF</v>
          </cell>
          <cell r="W81">
            <v>46242.335601851853</v>
          </cell>
          <cell r="X81">
            <v>46242.902337962965</v>
          </cell>
          <cell r="Y81">
            <v>46243.344733796293</v>
          </cell>
          <cell r="Z81">
            <v>46243.901226851849</v>
          </cell>
          <cell r="AA81">
            <v>46244.353310185186</v>
          </cell>
          <cell r="AB81">
            <v>46244.90185185185</v>
          </cell>
          <cell r="AC81">
            <v>46245.330659722225</v>
          </cell>
          <cell r="AD81">
            <v>46245.903043981481</v>
          </cell>
          <cell r="AE81">
            <v>46246.33321759259</v>
          </cell>
        </row>
        <row r="82">
          <cell r="E82" t="str">
            <v>HM Junior staff</v>
          </cell>
          <cell r="F82" t="str">
            <v>MAD0658</v>
          </cell>
          <cell r="G82" t="str">
            <v>HM Site</v>
          </cell>
          <cell r="H82" t="str">
            <v>Javed Alam</v>
          </cell>
          <cell r="I82" t="str">
            <v>AL</v>
          </cell>
          <cell r="J82" t="str">
            <v>AL</v>
          </cell>
          <cell r="K82" t="str">
            <v>AL</v>
          </cell>
          <cell r="L82" t="str">
            <v>AL</v>
          </cell>
          <cell r="M82" t="str">
            <v>AL</v>
          </cell>
          <cell r="N82" t="str">
            <v>AL</v>
          </cell>
          <cell r="O82" t="str">
            <v>AL</v>
          </cell>
          <cell r="P82" t="str">
            <v>AL</v>
          </cell>
          <cell r="Q82" t="str">
            <v>AL</v>
          </cell>
          <cell r="R82" t="str">
            <v>AL</v>
          </cell>
          <cell r="S82" t="str">
            <v>AL</v>
          </cell>
          <cell r="T82" t="str">
            <v>AL</v>
          </cell>
          <cell r="U82" t="str">
            <v>AL</v>
          </cell>
          <cell r="V82" t="str">
            <v>AL</v>
          </cell>
          <cell r="W82" t="str">
            <v>AL</v>
          </cell>
          <cell r="X82" t="str">
            <v>AL</v>
          </cell>
          <cell r="Y82" t="str">
            <v>AL</v>
          </cell>
          <cell r="Z82" t="str">
            <v>AL</v>
          </cell>
          <cell r="AA82" t="str">
            <v>AL</v>
          </cell>
          <cell r="AB82" t="str">
            <v>AL</v>
          </cell>
          <cell r="AC82" t="str">
            <v>AL</v>
          </cell>
          <cell r="AD82" t="str">
            <v>AL</v>
          </cell>
          <cell r="AE82" t="str">
            <v>AL</v>
          </cell>
        </row>
        <row r="83">
          <cell r="E83" t="str">
            <v>Batuta</v>
          </cell>
          <cell r="F83" t="str">
            <v>MAD0661</v>
          </cell>
          <cell r="G83" t="str">
            <v>Head Office</v>
          </cell>
          <cell r="H83" t="str">
            <v>Jose Francis</v>
          </cell>
          <cell r="I83">
            <v>46235.375486111108</v>
          </cell>
          <cell r="J83">
            <v>46235.735034722224</v>
          </cell>
          <cell r="K83">
            <v>46236.375474537039</v>
          </cell>
          <cell r="L83">
            <v>46236.748703703706</v>
          </cell>
          <cell r="M83">
            <v>46237.375486111108</v>
          </cell>
          <cell r="N83">
            <v>46237.741909722223</v>
          </cell>
          <cell r="O83">
            <v>46238.374282407407</v>
          </cell>
          <cell r="P83">
            <v>46238.743564814817</v>
          </cell>
          <cell r="Q83">
            <v>46239.374039351853</v>
          </cell>
          <cell r="R83">
            <v>1</v>
          </cell>
          <cell r="S83">
            <v>46240.374351851853</v>
          </cell>
          <cell r="T83">
            <v>46240.754062499997</v>
          </cell>
          <cell r="U83" t="str">
            <v>OFF</v>
          </cell>
          <cell r="V83" t="str">
            <v>OFF</v>
          </cell>
          <cell r="W83">
            <v>46242.374745370369</v>
          </cell>
          <cell r="X83">
            <v>46242.743472222224</v>
          </cell>
          <cell r="Y83">
            <v>46243.374988425923</v>
          </cell>
          <cell r="Z83">
            <v>46243.737384259257</v>
          </cell>
          <cell r="AA83">
            <v>46244.37363425926</v>
          </cell>
          <cell r="AB83">
            <v>46244.725416666668</v>
          </cell>
          <cell r="AC83">
            <v>46245.375023148146</v>
          </cell>
          <cell r="AD83">
            <v>46245.74019675926</v>
          </cell>
          <cell r="AE83">
            <v>46246.374571759261</v>
          </cell>
        </row>
        <row r="84">
          <cell r="E84" t="str">
            <v>FJ male Local staff</v>
          </cell>
          <cell r="F84" t="str">
            <v>MAD0668</v>
          </cell>
          <cell r="G84" t="str">
            <v>Maintenance</v>
          </cell>
          <cell r="H84" t="str">
            <v>Arun Kumar Vettikattil</v>
          </cell>
          <cell r="I84">
            <v>46235.351747685185</v>
          </cell>
          <cell r="J84">
            <v>46235.961585648147</v>
          </cell>
          <cell r="K84">
            <v>46236.350115740737</v>
          </cell>
          <cell r="L84">
            <v>46236.937800925924</v>
          </cell>
          <cell r="M84">
            <v>46237.350428240738</v>
          </cell>
          <cell r="N84">
            <v>46237.9377662037</v>
          </cell>
          <cell r="O84">
            <v>46238.352465277778</v>
          </cell>
          <cell r="P84">
            <v>46238.939918981479</v>
          </cell>
          <cell r="Q84">
            <v>46239.352731481478</v>
          </cell>
          <cell r="R84">
            <v>46239.938796296294</v>
          </cell>
          <cell r="S84">
            <v>46240.350243055553</v>
          </cell>
          <cell r="T84">
            <v>46240.937476851854</v>
          </cell>
          <cell r="U84">
            <v>46241.576053240744</v>
          </cell>
          <cell r="V84">
            <v>46241.937928240739</v>
          </cell>
          <cell r="W84">
            <v>46242.395335648151</v>
          </cell>
          <cell r="X84">
            <v>46242.937650462962</v>
          </cell>
          <cell r="Y84">
            <v>46243.350752314815</v>
          </cell>
          <cell r="Z84">
            <v>46243.937673611108</v>
          </cell>
          <cell r="AA84" t="str">
            <v>SICK</v>
          </cell>
          <cell r="AB84" t="str">
            <v>SICK</v>
          </cell>
          <cell r="AC84">
            <v>46245.352581018517</v>
          </cell>
          <cell r="AD84">
            <v>46245.948842592596</v>
          </cell>
          <cell r="AE84">
            <v>46246.3512962963</v>
          </cell>
        </row>
        <row r="85">
          <cell r="E85" t="str">
            <v>FJ male Local staff</v>
          </cell>
          <cell r="F85" t="str">
            <v>MAD0669</v>
          </cell>
          <cell r="G85" t="str">
            <v>Doores Godown</v>
          </cell>
          <cell r="H85" t="str">
            <v>Shekh Kalamudin</v>
          </cell>
          <cell r="I85">
            <v>46235.34988425926</v>
          </cell>
          <cell r="J85">
            <v>46235.959537037037</v>
          </cell>
          <cell r="K85">
            <v>46236.354027777779</v>
          </cell>
          <cell r="L85">
            <v>46236.991064814814</v>
          </cell>
          <cell r="M85">
            <v>46237.347361111111</v>
          </cell>
          <cell r="N85">
            <v>46237.968993055554</v>
          </cell>
          <cell r="O85">
            <v>46238.350706018522</v>
          </cell>
          <cell r="P85">
            <v>46238.94427083333</v>
          </cell>
          <cell r="Q85">
            <v>46239.35460648148</v>
          </cell>
          <cell r="R85">
            <v>46239.940312500003</v>
          </cell>
          <cell r="S85">
            <v>46240.347233796296</v>
          </cell>
          <cell r="T85">
            <v>46240.919548611113</v>
          </cell>
          <cell r="U85" t="str">
            <v>OFF</v>
          </cell>
          <cell r="V85" t="str">
            <v>OFF</v>
          </cell>
          <cell r="W85">
            <v>46242.352314814816</v>
          </cell>
          <cell r="X85">
            <v>46242.98809027778</v>
          </cell>
          <cell r="Y85">
            <v>46243.353217592594</v>
          </cell>
          <cell r="Z85">
            <v>46243.937060185184</v>
          </cell>
          <cell r="AA85">
            <v>46244.352164351854</v>
          </cell>
          <cell r="AB85">
            <v>46244.967569444445</v>
          </cell>
          <cell r="AC85">
            <v>46245.346712962964</v>
          </cell>
          <cell r="AD85">
            <v>46245.921122685184</v>
          </cell>
          <cell r="AE85">
            <v>46246.350810185184</v>
          </cell>
        </row>
        <row r="86">
          <cell r="E86" t="str">
            <v>Fs male Local staff</v>
          </cell>
          <cell r="F86" t="str">
            <v>MAD0670</v>
          </cell>
          <cell r="G86" t="str">
            <v>Purchasing Office</v>
          </cell>
          <cell r="H86" t="str">
            <v>Mohideen Abdul Rahuman Mohamed Ismail</v>
          </cell>
          <cell r="I86">
            <v>46235.335393518515</v>
          </cell>
          <cell r="J86">
            <v>46235.941689814812</v>
          </cell>
          <cell r="K86">
            <v>46236.346990740742</v>
          </cell>
          <cell r="L86">
            <v>46236.939432870371</v>
          </cell>
          <cell r="M86">
            <v>46237.340520833335</v>
          </cell>
          <cell r="N86">
            <v>46237.937708333331</v>
          </cell>
          <cell r="O86">
            <v>46238.341111111113</v>
          </cell>
          <cell r="P86">
            <v>46238.945254629631</v>
          </cell>
          <cell r="Q86">
            <v>46239.353298611109</v>
          </cell>
          <cell r="R86">
            <v>46239.932511574072</v>
          </cell>
          <cell r="S86">
            <v>46240.336284722223</v>
          </cell>
          <cell r="T86">
            <v>46240.93849537037</v>
          </cell>
          <cell r="U86">
            <v>46241.562777777777</v>
          </cell>
          <cell r="V86">
            <v>1</v>
          </cell>
          <cell r="W86">
            <v>46242.349259259259</v>
          </cell>
          <cell r="X86">
            <v>46242.938287037039</v>
          </cell>
          <cell r="Y86">
            <v>46243.344386574077</v>
          </cell>
          <cell r="Z86">
            <v>46243.936354166668</v>
          </cell>
          <cell r="AA86">
            <v>46244.341585648152</v>
          </cell>
          <cell r="AB86">
            <v>46244.937928240739</v>
          </cell>
          <cell r="AC86">
            <v>46245.330937500003</v>
          </cell>
          <cell r="AD86">
            <v>46245.933981481481</v>
          </cell>
          <cell r="AE86">
            <v>46246.335312499999</v>
          </cell>
        </row>
        <row r="87">
          <cell r="E87" t="str">
            <v>HM Junior staff</v>
          </cell>
          <cell r="F87" t="str">
            <v>MAD0671</v>
          </cell>
          <cell r="G87" t="str">
            <v>HM Shop2</v>
          </cell>
          <cell r="H87" t="str">
            <v xml:space="preserve"> Najare Alam Ansari</v>
          </cell>
          <cell r="I87">
            <v>46235.333402777775</v>
          </cell>
          <cell r="J87">
            <v>1</v>
          </cell>
          <cell r="K87">
            <v>46236.322650462964</v>
          </cell>
          <cell r="L87">
            <v>1</v>
          </cell>
          <cell r="M87">
            <v>46237.332638888889</v>
          </cell>
          <cell r="N87">
            <v>1</v>
          </cell>
          <cell r="O87">
            <v>46238.332870370374</v>
          </cell>
          <cell r="P87">
            <v>1</v>
          </cell>
          <cell r="Q87">
            <v>46239.364803240744</v>
          </cell>
          <cell r="R87">
            <v>1</v>
          </cell>
          <cell r="S87" t="str">
            <v>SICK</v>
          </cell>
          <cell r="T87" t="str">
            <v>SICK</v>
          </cell>
          <cell r="U87" t="str">
            <v>SICK</v>
          </cell>
          <cell r="V87" t="str">
            <v>SICK</v>
          </cell>
          <cell r="W87">
            <v>46242.349236111113</v>
          </cell>
          <cell r="X87">
            <v>1</v>
          </cell>
          <cell r="Y87">
            <v>46243.352303240739</v>
          </cell>
          <cell r="Z87">
            <v>1</v>
          </cell>
          <cell r="AA87">
            <v>46244.325150462966</v>
          </cell>
          <cell r="AB87">
            <v>1</v>
          </cell>
          <cell r="AC87">
            <v>46245.356550925928</v>
          </cell>
          <cell r="AD87">
            <v>1</v>
          </cell>
          <cell r="AE87">
            <v>46246.35224537037</v>
          </cell>
        </row>
        <row r="88">
          <cell r="E88" t="str">
            <v>Fs male Local staff</v>
          </cell>
          <cell r="F88" t="str">
            <v>MAD0672</v>
          </cell>
          <cell r="G88" t="str">
            <v>Doores Godown</v>
          </cell>
          <cell r="H88" t="str">
            <v>Mohammed Kalifa</v>
          </cell>
          <cell r="I88">
            <v>711</v>
          </cell>
          <cell r="J88">
            <v>46235.980543981481</v>
          </cell>
          <cell r="K88" t="str">
            <v>MC</v>
          </cell>
          <cell r="L88">
            <v>1</v>
          </cell>
          <cell r="M88">
            <v>46237.351863425924</v>
          </cell>
          <cell r="N88">
            <v>46237.970069444447</v>
          </cell>
          <cell r="O88">
            <v>46238.348344907405</v>
          </cell>
          <cell r="P88">
            <v>46238.948368055557</v>
          </cell>
          <cell r="Q88">
            <v>46239.351226851853</v>
          </cell>
          <cell r="R88">
            <v>46239.966782407406</v>
          </cell>
          <cell r="S88">
            <v>46240.352060185185</v>
          </cell>
          <cell r="T88">
            <v>46240.97247685185</v>
          </cell>
          <cell r="U88">
            <v>46241.573888888888</v>
          </cell>
          <cell r="V88">
            <v>46241.945370370369</v>
          </cell>
          <cell r="W88">
            <v>46242.352060185185</v>
          </cell>
          <cell r="X88">
            <v>46242.989374999997</v>
          </cell>
          <cell r="Y88">
            <v>46243.35328703704</v>
          </cell>
          <cell r="Z88">
            <v>46243.938576388886</v>
          </cell>
          <cell r="AA88">
            <v>46244.354085648149</v>
          </cell>
          <cell r="AB88">
            <v>46244.969178240739</v>
          </cell>
          <cell r="AC88">
            <v>46245.352465277778</v>
          </cell>
          <cell r="AD88">
            <v>46245.94263888889</v>
          </cell>
          <cell r="AE88">
            <v>46246.352893518517</v>
          </cell>
        </row>
        <row r="89">
          <cell r="E89" t="str">
            <v>FJ male Local staff</v>
          </cell>
          <cell r="F89" t="str">
            <v>MAD0675</v>
          </cell>
          <cell r="G89" t="str">
            <v>Wholesale</v>
          </cell>
          <cell r="H89" t="str">
            <v>Salam Shaikh</v>
          </cell>
          <cell r="I89">
            <v>46235.346006944441</v>
          </cell>
          <cell r="J89">
            <v>46235.975277777776</v>
          </cell>
          <cell r="K89">
            <v>46236.34103009259</v>
          </cell>
          <cell r="L89">
            <v>46236.991331018522</v>
          </cell>
          <cell r="M89">
            <v>46237.341122685182</v>
          </cell>
          <cell r="N89">
            <v>46237.971458333333</v>
          </cell>
          <cell r="O89">
            <v>46238.345937500002</v>
          </cell>
          <cell r="P89">
            <v>46238.966319444444</v>
          </cell>
          <cell r="Q89">
            <v>46239.351400462961</v>
          </cell>
          <cell r="R89">
            <v>46239.967245370368</v>
          </cell>
          <cell r="S89">
            <v>46240.329050925924</v>
          </cell>
          <cell r="T89">
            <v>46240.99181712963</v>
          </cell>
          <cell r="U89">
            <v>46241.576122685183</v>
          </cell>
          <cell r="V89">
            <v>46241.969548611109</v>
          </cell>
          <cell r="W89">
            <v>46242.353402777779</v>
          </cell>
          <cell r="X89">
            <v>46242.985439814816</v>
          </cell>
          <cell r="Y89">
            <v>46243.354247685187</v>
          </cell>
          <cell r="Z89">
            <v>46243.96665509259</v>
          </cell>
          <cell r="AA89">
            <v>46244.353148148148</v>
          </cell>
          <cell r="AB89">
            <v>46244.968275462961</v>
          </cell>
          <cell r="AC89">
            <v>46245.346956018519</v>
          </cell>
          <cell r="AD89">
            <v>46245.967476851853</v>
          </cell>
          <cell r="AE89">
            <v>46246.346319444441</v>
          </cell>
        </row>
        <row r="90">
          <cell r="E90" t="str">
            <v>FJ male Local staff</v>
          </cell>
          <cell r="F90" t="str">
            <v>MAD0676</v>
          </cell>
          <cell r="G90" t="str">
            <v>Masjid</v>
          </cell>
          <cell r="H90" t="str">
            <v xml:space="preserve"> Atikur Shaikh</v>
          </cell>
          <cell r="I90" t="str">
            <v>Masjid</v>
          </cell>
          <cell r="J90" t="str">
            <v>Masjid</v>
          </cell>
          <cell r="K90">
            <v>0</v>
          </cell>
          <cell r="L90">
            <v>46236.952384259261</v>
          </cell>
          <cell r="M90" t="str">
            <v>OFF</v>
          </cell>
          <cell r="N90">
            <v>46237.947916666664</v>
          </cell>
          <cell r="O90">
            <v>46238.417581018519</v>
          </cell>
          <cell r="P90">
            <v>46238.949618055558</v>
          </cell>
          <cell r="Q90">
            <v>46239.409571759257</v>
          </cell>
          <cell r="R90">
            <v>46239.942881944444</v>
          </cell>
          <cell r="S90">
            <v>46240.409594907411</v>
          </cell>
          <cell r="T90">
            <v>46240.977962962963</v>
          </cell>
          <cell r="U90">
            <v>1</v>
          </cell>
          <cell r="V90">
            <v>46241.953229166669</v>
          </cell>
          <cell r="W90">
            <v>46242.40347222222</v>
          </cell>
          <cell r="X90">
            <v>46242.967858796299</v>
          </cell>
          <cell r="Y90" t="str">
            <v>Masjid</v>
          </cell>
          <cell r="Z90">
            <v>46243.964050925926</v>
          </cell>
          <cell r="AA90" t="str">
            <v>Masjid</v>
          </cell>
          <cell r="AB90">
            <v>1</v>
          </cell>
          <cell r="AC90" t="str">
            <v>Masjid</v>
          </cell>
          <cell r="AD90">
            <v>46245.949201388888</v>
          </cell>
          <cell r="AE90" t="str">
            <v>Masjid</v>
          </cell>
        </row>
        <row r="91">
          <cell r="E91" t="str">
            <v>FJ male Local staff</v>
          </cell>
          <cell r="F91" t="str">
            <v>MAD0677</v>
          </cell>
          <cell r="G91" t="str">
            <v>Doores Godown</v>
          </cell>
          <cell r="H91" t="str">
            <v xml:space="preserve"> Abdul Odud Shaikh</v>
          </cell>
          <cell r="I91">
            <v>46235.342870370368</v>
          </cell>
          <cell r="J91">
            <v>46235.972245370373</v>
          </cell>
          <cell r="K91">
            <v>46236.342361111114</v>
          </cell>
          <cell r="L91">
            <v>46236.991828703707</v>
          </cell>
          <cell r="M91">
            <v>46237.342835648145</v>
          </cell>
          <cell r="N91">
            <v>46237.937673611108</v>
          </cell>
          <cell r="O91">
            <v>46238.339571759258</v>
          </cell>
          <cell r="P91">
            <v>46238.950092592589</v>
          </cell>
          <cell r="Q91">
            <v>46239.341608796298</v>
          </cell>
          <cell r="R91">
            <v>46239.965486111112</v>
          </cell>
          <cell r="S91">
            <v>46240.343819444446</v>
          </cell>
          <cell r="T91">
            <v>46240.970636574071</v>
          </cell>
          <cell r="U91">
            <v>46241.58053240741</v>
          </cell>
          <cell r="V91">
            <v>46241.942118055558</v>
          </cell>
          <cell r="W91">
            <v>46242.346238425926</v>
          </cell>
          <cell r="X91">
            <v>46242.961805555555</v>
          </cell>
          <cell r="Y91">
            <v>46243.345289351855</v>
          </cell>
          <cell r="Z91">
            <v>46243.941354166665</v>
          </cell>
          <cell r="AA91">
            <v>46244.345300925925</v>
          </cell>
          <cell r="AB91">
            <v>46244.965578703705</v>
          </cell>
          <cell r="AC91">
            <v>46245.344375000001</v>
          </cell>
          <cell r="AD91">
            <v>46245.943171296298</v>
          </cell>
          <cell r="AE91">
            <v>46246.343993055554</v>
          </cell>
        </row>
        <row r="92">
          <cell r="E92" t="str">
            <v>FJ male Local staff</v>
          </cell>
          <cell r="F92" t="str">
            <v>MAD0678</v>
          </cell>
          <cell r="G92" t="str">
            <v>Retail Shop</v>
          </cell>
          <cell r="H92" t="str">
            <v xml:space="preserve"> Martha Ranapaheli</v>
          </cell>
          <cell r="I92">
            <v>46235.352800925924</v>
          </cell>
          <cell r="J92">
            <v>46235.975486111114</v>
          </cell>
          <cell r="K92">
            <v>46236.352303240739</v>
          </cell>
          <cell r="L92">
            <v>46236.958553240744</v>
          </cell>
          <cell r="M92">
            <v>46237.351412037038</v>
          </cell>
          <cell r="N92">
            <v>46237.960046296299</v>
          </cell>
          <cell r="O92">
            <v>46238.353055555555</v>
          </cell>
          <cell r="P92">
            <v>46238.957442129627</v>
          </cell>
          <cell r="Q92">
            <v>46239.352847222224</v>
          </cell>
          <cell r="R92">
            <v>46239.955543981479</v>
          </cell>
          <cell r="S92">
            <v>46240.351597222223</v>
          </cell>
          <cell r="T92">
            <v>46240.981898148151</v>
          </cell>
          <cell r="U92">
            <v>46241.578032407408</v>
          </cell>
          <cell r="V92">
            <v>46241.958657407406</v>
          </cell>
          <cell r="W92">
            <v>46242.349814814814</v>
          </cell>
          <cell r="X92">
            <v>46242.973240740743</v>
          </cell>
          <cell r="Y92">
            <v>46243.351979166669</v>
          </cell>
          <cell r="Z92">
            <v>1</v>
          </cell>
          <cell r="AA92">
            <v>46244.352013888885</v>
          </cell>
          <cell r="AB92">
            <v>46244.957812499997</v>
          </cell>
          <cell r="AC92">
            <v>46245.352962962963</v>
          </cell>
          <cell r="AD92">
            <v>46245.960879629631</v>
          </cell>
          <cell r="AE92">
            <v>46246.352118055554</v>
          </cell>
        </row>
        <row r="93">
          <cell r="E93" t="str">
            <v>FJ male Local staff</v>
          </cell>
          <cell r="F93" t="str">
            <v>MAD0680</v>
          </cell>
          <cell r="G93" t="str">
            <v>Retail Shop</v>
          </cell>
          <cell r="H93" t="str">
            <v xml:space="preserve"> MD Farhad Hossain</v>
          </cell>
          <cell r="I93">
            <v>46235.351469907408</v>
          </cell>
          <cell r="J93">
            <v>46235.973969907405</v>
          </cell>
          <cell r="K93">
            <v>46236.34884259259</v>
          </cell>
          <cell r="L93">
            <v>46236.952928240738</v>
          </cell>
          <cell r="M93">
            <v>46237.352395833332</v>
          </cell>
          <cell r="N93">
            <v>46237.949861111112</v>
          </cell>
          <cell r="O93">
            <v>46238.352395833332</v>
          </cell>
          <cell r="P93">
            <v>46238.953113425923</v>
          </cell>
          <cell r="Q93">
            <v>46239.351817129631</v>
          </cell>
          <cell r="R93">
            <v>46239.950856481482</v>
          </cell>
          <cell r="S93">
            <v>46240.351377314815</v>
          </cell>
          <cell r="T93">
            <v>46240.981157407405</v>
          </cell>
          <cell r="U93">
            <v>46241.577488425923</v>
          </cell>
          <cell r="V93">
            <v>46241.959189814814</v>
          </cell>
          <cell r="W93">
            <v>46242.349004629628</v>
          </cell>
          <cell r="X93">
            <v>46242.97079861111</v>
          </cell>
          <cell r="Y93">
            <v>46243.35125</v>
          </cell>
          <cell r="Z93">
            <v>46243.964745370373</v>
          </cell>
          <cell r="AA93">
            <v>46244.349583333336</v>
          </cell>
          <cell r="AB93">
            <v>1</v>
          </cell>
          <cell r="AC93">
            <v>46245.351319444446</v>
          </cell>
          <cell r="AD93">
            <v>46245.952650462961</v>
          </cell>
          <cell r="AE93">
            <v>46246.350648148145</v>
          </cell>
        </row>
        <row r="94">
          <cell r="E94" t="str">
            <v>FJ male Local staff</v>
          </cell>
          <cell r="F94" t="str">
            <v>MAD0681</v>
          </cell>
          <cell r="G94" t="str">
            <v>Doores Godown</v>
          </cell>
          <cell r="H94" t="str">
            <v xml:space="preserve"> MD Humayun Kobir</v>
          </cell>
          <cell r="I94">
            <v>46235.35428240741</v>
          </cell>
          <cell r="J94">
            <v>46235.969722222224</v>
          </cell>
          <cell r="K94">
            <v>46236.354108796295</v>
          </cell>
          <cell r="L94">
            <v>46236.968391203707</v>
          </cell>
          <cell r="M94">
            <v>46237.354571759257</v>
          </cell>
          <cell r="N94">
            <v>46237.969224537039</v>
          </cell>
          <cell r="O94">
            <v>46238.354398148149</v>
          </cell>
          <cell r="P94">
            <v>46238.947141203702</v>
          </cell>
          <cell r="Q94">
            <v>46239.353877314818</v>
          </cell>
          <cell r="R94">
            <v>46239.966574074075</v>
          </cell>
          <cell r="S94">
            <v>46240.353831018518</v>
          </cell>
          <cell r="T94">
            <v>46240.970335648148</v>
          </cell>
          <cell r="U94" t="str">
            <v>OFF</v>
          </cell>
          <cell r="V94" t="str">
            <v>OFF</v>
          </cell>
          <cell r="W94">
            <v>46242.354270833333</v>
          </cell>
          <cell r="X94">
            <v>46242.979444444441</v>
          </cell>
          <cell r="Y94">
            <v>46243.353784722225</v>
          </cell>
          <cell r="Z94">
            <v>46243.94059027778</v>
          </cell>
          <cell r="AA94">
            <v>46244.354189814818</v>
          </cell>
          <cell r="AB94">
            <v>46244.9608912037</v>
          </cell>
          <cell r="AC94">
            <v>46245.354178240741</v>
          </cell>
          <cell r="AD94">
            <v>46245.930601851855</v>
          </cell>
          <cell r="AE94">
            <v>46246.353854166664</v>
          </cell>
        </row>
        <row r="95">
          <cell r="E95" t="str">
            <v>FJ male Local staff</v>
          </cell>
          <cell r="F95" t="str">
            <v>MAD0682</v>
          </cell>
          <cell r="G95" t="str">
            <v>Retail Shop</v>
          </cell>
          <cell r="H95" t="str">
            <v xml:space="preserve"> RAJU AHMED</v>
          </cell>
          <cell r="I95">
            <v>46235.353136574071</v>
          </cell>
          <cell r="J95">
            <v>46235.975231481483</v>
          </cell>
          <cell r="K95">
            <v>46236.351979166669</v>
          </cell>
          <cell r="L95">
            <v>46236.958738425928</v>
          </cell>
          <cell r="M95">
            <v>46237.352546296293</v>
          </cell>
          <cell r="N95">
            <v>46237.960451388892</v>
          </cell>
          <cell r="O95">
            <v>46238.352731481478</v>
          </cell>
          <cell r="P95">
            <v>46238.95721064815</v>
          </cell>
          <cell r="Q95">
            <v>46239.353414351855</v>
          </cell>
          <cell r="R95">
            <v>46239.955451388887</v>
          </cell>
          <cell r="S95">
            <v>46240.353032407409</v>
          </cell>
          <cell r="T95">
            <v>46240.979166666664</v>
          </cell>
          <cell r="U95" t="str">
            <v>OFF</v>
          </cell>
          <cell r="V95" t="str">
            <v>OFF</v>
          </cell>
          <cell r="W95">
            <v>46242.352164351854</v>
          </cell>
          <cell r="X95">
            <v>46242.973576388889</v>
          </cell>
          <cell r="Y95">
            <v>46243.353368055556</v>
          </cell>
          <cell r="Z95">
            <v>46243.966365740744</v>
          </cell>
          <cell r="AA95">
            <v>46244.352256944447</v>
          </cell>
          <cell r="AB95">
            <v>1</v>
          </cell>
          <cell r="AC95">
            <v>46245.353506944448</v>
          </cell>
          <cell r="AD95">
            <v>46245.960949074077</v>
          </cell>
          <cell r="AE95">
            <v>46246.35324074074</v>
          </cell>
        </row>
        <row r="96">
          <cell r="E96" t="str">
            <v>HM Junior staff</v>
          </cell>
          <cell r="F96" t="str">
            <v>MAD0685</v>
          </cell>
          <cell r="G96" t="str">
            <v>HM Shop2</v>
          </cell>
          <cell r="H96" t="str">
            <v xml:space="preserve"> MD ABDUS SAMAD</v>
          </cell>
          <cell r="I96" t="str">
            <v>Late Coming</v>
          </cell>
          <cell r="J96">
            <v>46235.971631944441</v>
          </cell>
          <cell r="K96">
            <v>46236.350995370369</v>
          </cell>
          <cell r="L96">
            <v>46236.953958333332</v>
          </cell>
          <cell r="M96">
            <v>46237.353460648148</v>
          </cell>
          <cell r="N96">
            <v>46237.956944444442</v>
          </cell>
          <cell r="O96">
            <v>46238.352175925924</v>
          </cell>
          <cell r="P96">
            <v>46238.952256944445</v>
          </cell>
          <cell r="Q96">
            <v>46239.355358796296</v>
          </cell>
          <cell r="R96">
            <v>46239.95103009259</v>
          </cell>
          <cell r="S96">
            <v>46240.354780092595</v>
          </cell>
          <cell r="T96">
            <v>46240.972569444442</v>
          </cell>
          <cell r="U96" t="str">
            <v>OFF</v>
          </cell>
          <cell r="V96" t="str">
            <v>OFF</v>
          </cell>
          <cell r="W96">
            <v>46242.356400462966</v>
          </cell>
          <cell r="X96">
            <v>46242.971180555556</v>
          </cell>
          <cell r="Y96">
            <v>46243.352037037039</v>
          </cell>
          <cell r="Z96">
            <v>46243.951493055552</v>
          </cell>
          <cell r="AA96">
            <v>46244.347268518519</v>
          </cell>
          <cell r="AB96">
            <v>1</v>
          </cell>
          <cell r="AC96">
            <v>46245.35328703704</v>
          </cell>
          <cell r="AD96">
            <v>46245.956030092595</v>
          </cell>
          <cell r="AE96">
            <v>46246.349930555552</v>
          </cell>
        </row>
        <row r="97">
          <cell r="E97" t="str">
            <v>Male Local staff</v>
          </cell>
          <cell r="F97" t="str">
            <v>MAD0687</v>
          </cell>
          <cell r="G97" t="str">
            <v>Doores Godown</v>
          </cell>
          <cell r="H97" t="str">
            <v>Ibrahim Riyaz</v>
          </cell>
          <cell r="I97">
            <v>46235.326562499999</v>
          </cell>
          <cell r="J97">
            <v>46236.001215277778</v>
          </cell>
          <cell r="K97">
            <v>46236.336111111108</v>
          </cell>
          <cell r="L97">
            <v>46236.992152777777</v>
          </cell>
          <cell r="M97">
            <v>46237.342766203707</v>
          </cell>
          <cell r="N97">
            <v>46237.977141203701</v>
          </cell>
          <cell r="O97">
            <v>46238.343645833331</v>
          </cell>
          <cell r="P97">
            <v>46238.946192129632</v>
          </cell>
          <cell r="Q97">
            <v>46239.347939814812</v>
          </cell>
          <cell r="R97">
            <v>46239.975497685184</v>
          </cell>
          <cell r="S97">
            <v>46240.340995370374</v>
          </cell>
          <cell r="T97">
            <v>46240.976053240738</v>
          </cell>
          <cell r="U97" t="str">
            <v>OFF</v>
          </cell>
          <cell r="V97" t="str">
            <v>OFF</v>
          </cell>
          <cell r="W97">
            <v>46242.346805555557</v>
          </cell>
          <cell r="X97">
            <v>46243.003680555557</v>
          </cell>
          <cell r="Y97">
            <v>46243.347280092596</v>
          </cell>
          <cell r="Z97">
            <v>46243.985162037039</v>
          </cell>
          <cell r="AA97">
            <v>46244.347268518519</v>
          </cell>
          <cell r="AB97">
            <v>46244.970497685186</v>
          </cell>
          <cell r="AC97">
            <v>46245.338530092595</v>
          </cell>
          <cell r="AD97">
            <v>46245.963946759257</v>
          </cell>
          <cell r="AE97">
            <v>46246.347442129627</v>
          </cell>
        </row>
        <row r="98">
          <cell r="E98" t="str">
            <v>Male Local staff</v>
          </cell>
          <cell r="F98" t="str">
            <v>MAD0689</v>
          </cell>
          <cell r="G98" t="str">
            <v>HM Site</v>
          </cell>
          <cell r="H98" t="str">
            <v>Ahmed Rizny</v>
          </cell>
          <cell r="I98">
            <v>46235.363194444442</v>
          </cell>
          <cell r="J98">
            <v>1</v>
          </cell>
          <cell r="K98">
            <v>0</v>
          </cell>
          <cell r="L98">
            <v>1</v>
          </cell>
          <cell r="M98">
            <v>1</v>
          </cell>
          <cell r="N98">
            <v>1</v>
          </cell>
          <cell r="O98">
            <v>46238.322789351849</v>
          </cell>
          <cell r="P98">
            <v>1</v>
          </cell>
          <cell r="Q98">
            <v>46239.375439814816</v>
          </cell>
          <cell r="R98">
            <v>1</v>
          </cell>
          <cell r="S98">
            <v>46240.416990740741</v>
          </cell>
          <cell r="T98">
            <v>46240.972511574073</v>
          </cell>
          <cell r="U98">
            <v>46241.461956018517</v>
          </cell>
          <cell r="V98">
            <v>46240.972511574073</v>
          </cell>
          <cell r="W98">
            <v>46242.389270833337</v>
          </cell>
          <cell r="X98">
            <v>1</v>
          </cell>
          <cell r="Y98">
            <v>46243.35434027778</v>
          </cell>
          <cell r="Z98">
            <v>1</v>
          </cell>
          <cell r="AA98">
            <v>46244.358391203707</v>
          </cell>
          <cell r="AB98">
            <v>1</v>
          </cell>
          <cell r="AC98">
            <v>46245.4059837963</v>
          </cell>
          <cell r="AD98">
            <v>1</v>
          </cell>
          <cell r="AE98">
            <v>46246.374062499999</v>
          </cell>
        </row>
        <row r="99">
          <cell r="E99" t="str">
            <v>HM Junior staff</v>
          </cell>
          <cell r="F99" t="str">
            <v>MAD0691</v>
          </cell>
          <cell r="G99" t="str">
            <v>HM Site</v>
          </cell>
          <cell r="H99" t="str">
            <v>Sahadat Hossen</v>
          </cell>
          <cell r="I99">
            <v>46235.331828703704</v>
          </cell>
          <cell r="J99">
            <v>46235.851898148147</v>
          </cell>
          <cell r="K99">
            <v>46236.32708333333</v>
          </cell>
          <cell r="L99">
            <v>1</v>
          </cell>
          <cell r="M99">
            <v>46237.32880787037</v>
          </cell>
          <cell r="N99">
            <v>46237.844699074078</v>
          </cell>
          <cell r="O99">
            <v>46238.329699074071</v>
          </cell>
          <cell r="P99">
            <v>1</v>
          </cell>
          <cell r="Q99">
            <v>46239.350023148145</v>
          </cell>
          <cell r="R99">
            <v>1</v>
          </cell>
          <cell r="S99">
            <v>46240.355636574073</v>
          </cell>
          <cell r="T99">
            <v>1</v>
          </cell>
          <cell r="U99" t="str">
            <v>OFF</v>
          </cell>
          <cell r="V99" t="str">
            <v>OFF</v>
          </cell>
          <cell r="W99">
            <v>46242.347141203703</v>
          </cell>
          <cell r="X99">
            <v>46242.900555555556</v>
          </cell>
          <cell r="Y99">
            <v>46243.351469907408</v>
          </cell>
          <cell r="Z99">
            <v>46243.839745370373</v>
          </cell>
          <cell r="AA99">
            <v>46244.351446759261</v>
          </cell>
          <cell r="AB99">
            <v>1</v>
          </cell>
          <cell r="AC99">
            <v>46245.351863425924</v>
          </cell>
          <cell r="AD99">
            <v>1</v>
          </cell>
          <cell r="AE99">
            <v>46246.348877314813</v>
          </cell>
        </row>
        <row r="100">
          <cell r="E100" t="str">
            <v>HM Junior staff</v>
          </cell>
          <cell r="F100" t="str">
            <v>MAD0692</v>
          </cell>
          <cell r="G100" t="str">
            <v>HM Shop2</v>
          </cell>
          <cell r="H100" t="str">
            <v>MD Aman Miea</v>
          </cell>
          <cell r="I100">
            <v>46235.352453703701</v>
          </cell>
          <cell r="J100">
            <v>46235.971562500003</v>
          </cell>
          <cell r="K100">
            <v>46236.351319444446</v>
          </cell>
          <cell r="L100">
            <v>46236.9528125</v>
          </cell>
          <cell r="M100">
            <v>46237.353819444441</v>
          </cell>
          <cell r="N100">
            <v>46237.955428240741</v>
          </cell>
          <cell r="O100">
            <v>46238.352256944447</v>
          </cell>
          <cell r="P100">
            <v>46238.952372685184</v>
          </cell>
          <cell r="Q100">
            <v>46239.355706018519</v>
          </cell>
          <cell r="R100">
            <v>46239.950532407405</v>
          </cell>
          <cell r="S100">
            <v>46240.355023148149</v>
          </cell>
          <cell r="T100">
            <v>1</v>
          </cell>
          <cell r="U100">
            <v>46241.592893518522</v>
          </cell>
          <cell r="V100">
            <v>46241.959722222222</v>
          </cell>
          <cell r="W100">
            <v>46242.356504629628</v>
          </cell>
          <cell r="X100">
            <v>1</v>
          </cell>
          <cell r="Y100">
            <v>46243.352175925924</v>
          </cell>
          <cell r="Z100">
            <v>46243.949733796297</v>
          </cell>
          <cell r="AA100">
            <v>46244.352962962963</v>
          </cell>
          <cell r="AB100">
            <v>46244.967013888891</v>
          </cell>
          <cell r="AC100">
            <v>46245.352962962963</v>
          </cell>
          <cell r="AD100">
            <v>1</v>
          </cell>
          <cell r="AE100">
            <v>46246.35019675926</v>
          </cell>
        </row>
        <row r="101">
          <cell r="E101" t="str">
            <v>FJ male Local staff</v>
          </cell>
          <cell r="F101" t="str">
            <v>MAD0694</v>
          </cell>
          <cell r="G101" t="str">
            <v>Athulhu Shop</v>
          </cell>
          <cell r="H101" t="str">
            <v>Kazam Uddin</v>
          </cell>
          <cell r="I101">
            <v>46235.350393518522</v>
          </cell>
          <cell r="J101">
            <v>46235.946574074071</v>
          </cell>
          <cell r="K101">
            <v>46236.350266203706</v>
          </cell>
          <cell r="L101">
            <v>46236.950729166667</v>
          </cell>
          <cell r="M101">
            <v>46237.350358796299</v>
          </cell>
          <cell r="N101">
            <v>46237.929155092592</v>
          </cell>
          <cell r="O101">
            <v>46238.351979166669</v>
          </cell>
          <cell r="P101">
            <v>46238.93341435185</v>
          </cell>
          <cell r="Q101">
            <v>46239.349456018521</v>
          </cell>
          <cell r="R101">
            <v>46239.925219907411</v>
          </cell>
          <cell r="S101">
            <v>46240.350821759261</v>
          </cell>
          <cell r="T101">
            <v>46240.936701388891</v>
          </cell>
          <cell r="U101" t="str">
            <v>OFF</v>
          </cell>
          <cell r="V101" t="str">
            <v>OFF</v>
          </cell>
          <cell r="W101">
            <v>46242.346921296295</v>
          </cell>
          <cell r="X101">
            <v>46242.939259259256</v>
          </cell>
          <cell r="Y101">
            <v>46243.347951388889</v>
          </cell>
          <cell r="Z101">
            <v>46243.942291666666</v>
          </cell>
          <cell r="AA101">
            <v>46244.345925925925</v>
          </cell>
          <cell r="AB101">
            <v>46244.966122685182</v>
          </cell>
          <cell r="AC101">
            <v>46245.346192129633</v>
          </cell>
          <cell r="AD101">
            <v>46245.934201388889</v>
          </cell>
          <cell r="AE101">
            <v>46246.347233796296</v>
          </cell>
        </row>
        <row r="102">
          <cell r="E102" t="str">
            <v>FJ male Local staff</v>
          </cell>
          <cell r="F102" t="str">
            <v>MAD0696</v>
          </cell>
          <cell r="G102" t="str">
            <v>Van Driver</v>
          </cell>
          <cell r="H102" t="str">
            <v>MD Milon</v>
          </cell>
          <cell r="I102">
            <v>46235.359699074077</v>
          </cell>
          <cell r="J102">
            <v>1</v>
          </cell>
          <cell r="K102">
            <v>46236.361261574071</v>
          </cell>
          <cell r="L102">
            <v>46236.940787037034</v>
          </cell>
          <cell r="M102">
            <v>46237.354618055557</v>
          </cell>
          <cell r="N102">
            <v>46237.939212962963</v>
          </cell>
          <cell r="O102">
            <v>46238.354456018518</v>
          </cell>
          <cell r="P102">
            <v>46238.940289351849</v>
          </cell>
          <cell r="Q102">
            <v>46239.354699074072</v>
          </cell>
          <cell r="R102">
            <v>1</v>
          </cell>
          <cell r="S102">
            <v>46240.354733796295</v>
          </cell>
          <cell r="T102">
            <v>1</v>
          </cell>
          <cell r="U102">
            <v>46241.580451388887</v>
          </cell>
          <cell r="V102">
            <v>1</v>
          </cell>
          <cell r="W102">
            <v>46242.35565972222</v>
          </cell>
          <cell r="X102">
            <v>46242.96770833333</v>
          </cell>
          <cell r="Y102">
            <v>46243.355034722219</v>
          </cell>
          <cell r="Z102">
            <v>46243.937916666669</v>
          </cell>
          <cell r="AA102">
            <v>46244.354641203703</v>
          </cell>
          <cell r="AB102">
            <v>46244.942060185182</v>
          </cell>
          <cell r="AC102">
            <v>46245.353425925925</v>
          </cell>
          <cell r="AD102">
            <v>46245.929502314815</v>
          </cell>
          <cell r="AE102">
            <v>46246.355428240742</v>
          </cell>
        </row>
        <row r="103">
          <cell r="E103" t="str">
            <v>Male Local staff</v>
          </cell>
          <cell r="F103" t="str">
            <v>MAD0697</v>
          </cell>
          <cell r="G103" t="str">
            <v>Head Office</v>
          </cell>
          <cell r="H103" t="str">
            <v>Abdul Rahman Gasim</v>
          </cell>
          <cell r="I103">
            <v>46235.349803240744</v>
          </cell>
          <cell r="J103">
            <v>1</v>
          </cell>
          <cell r="K103">
            <v>46236.337650462963</v>
          </cell>
          <cell r="L103">
            <v>1</v>
          </cell>
          <cell r="M103">
            <v>46237.350069444445</v>
          </cell>
          <cell r="N103">
            <v>46237.9996875</v>
          </cell>
          <cell r="O103">
            <v>46238.348715277774</v>
          </cell>
          <cell r="P103">
            <v>46238.98946759259</v>
          </cell>
          <cell r="Q103">
            <v>46239.342129629629</v>
          </cell>
          <cell r="R103">
            <v>46239.986331018517</v>
          </cell>
          <cell r="S103">
            <v>46240.344293981485</v>
          </cell>
          <cell r="T103">
            <v>46241.012928240743</v>
          </cell>
          <cell r="U103">
            <v>46241.577060185184</v>
          </cell>
          <cell r="V103">
            <v>46241.999432870369</v>
          </cell>
          <cell r="W103">
            <v>46242.35429398148</v>
          </cell>
          <cell r="X103">
            <v>46243.004155092596</v>
          </cell>
          <cell r="Y103">
            <v>46243.354351851849</v>
          </cell>
          <cell r="Z103">
            <v>46243.985775462963</v>
          </cell>
          <cell r="AA103">
            <v>46244.345150462963</v>
          </cell>
          <cell r="AB103">
            <v>46244.994814814818</v>
          </cell>
          <cell r="AC103">
            <v>46245.350810185184</v>
          </cell>
          <cell r="AD103">
            <v>46245.988541666666</v>
          </cell>
          <cell r="AE103">
            <v>46246.349965277775</v>
          </cell>
        </row>
        <row r="104">
          <cell r="E104" t="str">
            <v>Hulhumale Senior staff</v>
          </cell>
          <cell r="F104" t="str">
            <v>MAD0699</v>
          </cell>
          <cell r="G104" t="str">
            <v>HM Site</v>
          </cell>
          <cell r="H104" t="str">
            <v>James Chinnappan</v>
          </cell>
          <cell r="I104">
            <v>46235.319837962961</v>
          </cell>
          <cell r="J104">
            <v>1</v>
          </cell>
          <cell r="K104">
            <v>46236.321655092594</v>
          </cell>
          <cell r="L104">
            <v>1</v>
          </cell>
          <cell r="M104">
            <v>46237.320405092592</v>
          </cell>
          <cell r="N104">
            <v>1</v>
          </cell>
          <cell r="O104">
            <v>46238.320081018515</v>
          </cell>
          <cell r="P104">
            <v>1</v>
          </cell>
          <cell r="Q104">
            <v>46239.344907407409</v>
          </cell>
          <cell r="R104">
            <v>1</v>
          </cell>
          <cell r="S104">
            <v>46240.344317129631</v>
          </cell>
          <cell r="T104">
            <v>1</v>
          </cell>
          <cell r="U104">
            <v>46241.583090277774</v>
          </cell>
          <cell r="V104">
            <v>1</v>
          </cell>
          <cell r="W104">
            <v>46242.343935185185</v>
          </cell>
          <cell r="X104">
            <v>1</v>
          </cell>
          <cell r="Y104">
            <v>46243.342430555553</v>
          </cell>
          <cell r="Z104">
            <v>1</v>
          </cell>
          <cell r="AA104">
            <v>46244.349108796298</v>
          </cell>
          <cell r="AB104">
            <v>1</v>
          </cell>
          <cell r="AC104">
            <v>46245.335092592592</v>
          </cell>
          <cell r="AD104">
            <v>1</v>
          </cell>
          <cell r="AE104">
            <v>46246.342488425929</v>
          </cell>
        </row>
        <row r="105">
          <cell r="E105" t="str">
            <v>Fs male Local staff</v>
          </cell>
          <cell r="F105" t="str">
            <v>MAD0700</v>
          </cell>
          <cell r="G105" t="str">
            <v>Head Office</v>
          </cell>
          <cell r="H105" t="str">
            <v>Subail Ahmed</v>
          </cell>
          <cell r="I105">
            <v>46235.343865740739</v>
          </cell>
          <cell r="J105">
            <v>46235.970833333333</v>
          </cell>
          <cell r="K105">
            <v>46236.342951388891</v>
          </cell>
          <cell r="L105">
            <v>1</v>
          </cell>
          <cell r="M105">
            <v>46237.354571759257</v>
          </cell>
          <cell r="N105">
            <v>46237.950127314813</v>
          </cell>
          <cell r="O105">
            <v>46238.341064814813</v>
          </cell>
          <cell r="P105">
            <v>1</v>
          </cell>
          <cell r="Q105">
            <v>46239.348587962966</v>
          </cell>
          <cell r="R105">
            <v>1</v>
          </cell>
          <cell r="S105">
            <v>46240.3515625</v>
          </cell>
          <cell r="T105">
            <v>46240.963773148149</v>
          </cell>
          <cell r="U105">
            <v>46241.581006944441</v>
          </cell>
          <cell r="V105">
            <v>46240.963773148149</v>
          </cell>
          <cell r="W105">
            <v>46242.339907407404</v>
          </cell>
          <cell r="X105">
            <v>1</v>
          </cell>
          <cell r="Y105">
            <v>46243.353946759256</v>
          </cell>
          <cell r="Z105">
            <v>1</v>
          </cell>
          <cell r="AA105">
            <v>46244.342789351853</v>
          </cell>
          <cell r="AB105">
            <v>1</v>
          </cell>
          <cell r="AC105">
            <v>46245.348298611112</v>
          </cell>
          <cell r="AD105">
            <v>46245.972719907404</v>
          </cell>
          <cell r="AE105">
            <v>46246.347118055557</v>
          </cell>
        </row>
        <row r="106">
          <cell r="E106" t="str">
            <v>FJ male Local staff</v>
          </cell>
          <cell r="F106" t="str">
            <v>MAD0701</v>
          </cell>
          <cell r="G106" t="str">
            <v>Doores Godown</v>
          </cell>
          <cell r="H106" t="str">
            <v>MD NAIM SARDER</v>
          </cell>
          <cell r="I106">
            <v>46235.350474537037</v>
          </cell>
          <cell r="J106">
            <v>46235.969224537039</v>
          </cell>
          <cell r="K106">
            <v>46236.351122685184</v>
          </cell>
          <cell r="L106">
            <v>46236.968113425923</v>
          </cell>
          <cell r="M106">
            <v>46237.351574074077</v>
          </cell>
          <cell r="N106">
            <v>46237.970138888886</v>
          </cell>
          <cell r="O106">
            <v>46238.3516087963</v>
          </cell>
          <cell r="P106">
            <v>46238.944884259261</v>
          </cell>
          <cell r="Q106" t="str">
            <v>SICK</v>
          </cell>
          <cell r="R106" t="str">
            <v>SICK</v>
          </cell>
          <cell r="S106">
            <v>46240.351458333331</v>
          </cell>
          <cell r="T106">
            <v>46240.969907407409</v>
          </cell>
          <cell r="U106">
            <v>46241.577060185184</v>
          </cell>
          <cell r="V106">
            <v>46240.969907407409</v>
          </cell>
          <cell r="W106">
            <v>46242.351319444446</v>
          </cell>
          <cell r="X106">
            <v>46242.979351851849</v>
          </cell>
          <cell r="Y106">
            <v>46243.350925925923</v>
          </cell>
          <cell r="Z106">
            <v>46243.936539351853</v>
          </cell>
          <cell r="AA106">
            <v>46244.351446759261</v>
          </cell>
          <cell r="AB106">
            <v>46244.960219907407</v>
          </cell>
          <cell r="AC106">
            <v>46245.351377314815</v>
          </cell>
          <cell r="AD106">
            <v>46245.933749999997</v>
          </cell>
          <cell r="AE106">
            <v>46246.352233796293</v>
          </cell>
        </row>
        <row r="107">
          <cell r="E107" t="str">
            <v>FJ male Local staff</v>
          </cell>
          <cell r="F107" t="str">
            <v>MAD0706</v>
          </cell>
          <cell r="G107" t="str">
            <v>Retail Shop</v>
          </cell>
          <cell r="H107" t="str">
            <v>MD Tufajjal Hosen</v>
          </cell>
          <cell r="I107">
            <v>46235.351689814815</v>
          </cell>
          <cell r="J107">
            <v>46235.969895833332</v>
          </cell>
          <cell r="K107">
            <v>46236.351574074077</v>
          </cell>
          <cell r="L107">
            <v>46236.945740740739</v>
          </cell>
          <cell r="M107">
            <v>46237.352187500001</v>
          </cell>
          <cell r="N107">
            <v>46237.947685185187</v>
          </cell>
          <cell r="O107">
            <v>46238.353379629632</v>
          </cell>
          <cell r="P107">
            <v>46238.946782407409</v>
          </cell>
          <cell r="Q107">
            <v>46239.353495370371</v>
          </cell>
          <cell r="R107">
            <v>46239.943981481483</v>
          </cell>
          <cell r="S107">
            <v>46240.351087962961</v>
          </cell>
          <cell r="T107">
            <v>46240.97761574074</v>
          </cell>
          <cell r="U107">
            <v>46241.577060185184</v>
          </cell>
          <cell r="V107">
            <v>46240.97761574074</v>
          </cell>
          <cell r="W107">
            <v>46242.351666666669</v>
          </cell>
          <cell r="X107">
            <v>1</v>
          </cell>
          <cell r="Y107">
            <v>46243.353009259263</v>
          </cell>
          <cell r="Z107">
            <v>46243.964953703704</v>
          </cell>
          <cell r="AA107">
            <v>46244.356620370374</v>
          </cell>
          <cell r="AB107">
            <v>1</v>
          </cell>
          <cell r="AC107">
            <v>46245.351377314815</v>
          </cell>
          <cell r="AD107">
            <v>46245.951354166667</v>
          </cell>
          <cell r="AE107">
            <v>46246.352766203701</v>
          </cell>
        </row>
        <row r="108">
          <cell r="E108" t="str">
            <v>Fs male Local staff</v>
          </cell>
          <cell r="F108" t="str">
            <v>MAD0711</v>
          </cell>
          <cell r="G108" t="str">
            <v>Stock Keeper</v>
          </cell>
          <cell r="H108" t="str">
            <v>Vijayakumar Kaliaraj</v>
          </cell>
          <cell r="I108">
            <v>46235.320833333331</v>
          </cell>
          <cell r="J108">
            <v>1</v>
          </cell>
          <cell r="K108">
            <v>46236.322384259256</v>
          </cell>
          <cell r="L108">
            <v>1</v>
          </cell>
          <cell r="M108">
            <v>46237.327696759261</v>
          </cell>
          <cell r="N108">
            <v>46237.958865740744</v>
          </cell>
          <cell r="O108">
            <v>46238.323113425926</v>
          </cell>
          <cell r="P108">
            <v>1</v>
          </cell>
          <cell r="Q108">
            <v>46239.324224537035</v>
          </cell>
          <cell r="R108">
            <v>46239.953645833331</v>
          </cell>
          <cell r="S108">
            <v>46240.318136574075</v>
          </cell>
          <cell r="T108">
            <v>1</v>
          </cell>
          <cell r="U108">
            <v>46241.565358796295</v>
          </cell>
          <cell r="V108">
            <v>46241.94158564815</v>
          </cell>
          <cell r="W108">
            <v>46242.321574074071</v>
          </cell>
          <cell r="X108">
            <v>46242.967858796299</v>
          </cell>
          <cell r="Y108">
            <v>46243.324571759258</v>
          </cell>
          <cell r="Z108">
            <v>46243.941759259258</v>
          </cell>
          <cell r="AA108">
            <v>46244.318877314814</v>
          </cell>
          <cell r="AB108">
            <v>1</v>
          </cell>
          <cell r="AC108">
            <v>46245.32304398148</v>
          </cell>
          <cell r="AD108">
            <v>46245.958831018521</v>
          </cell>
          <cell r="AE108">
            <v>46246.32167824074</v>
          </cell>
        </row>
        <row r="109">
          <cell r="E109" t="str">
            <v>HM Junior staff</v>
          </cell>
          <cell r="F109" t="str">
            <v>MAD0712</v>
          </cell>
          <cell r="G109" t="str">
            <v>HM Shop1</v>
          </cell>
          <cell r="H109" t="str">
            <v>MD Rumon Ali</v>
          </cell>
          <cell r="I109">
            <v>46235.353530092594</v>
          </cell>
          <cell r="J109">
            <v>1</v>
          </cell>
          <cell r="K109">
            <v>46236.358043981483</v>
          </cell>
          <cell r="L109">
            <v>1</v>
          </cell>
          <cell r="M109">
            <v>46237.35087962963</v>
          </cell>
          <cell r="N109">
            <v>1</v>
          </cell>
          <cell r="O109">
            <v>46238.353344907409</v>
          </cell>
          <cell r="P109">
            <v>1</v>
          </cell>
          <cell r="Q109">
            <v>46239.352766203701</v>
          </cell>
          <cell r="R109">
            <v>1</v>
          </cell>
          <cell r="S109">
            <v>46240.354166666664</v>
          </cell>
          <cell r="T109">
            <v>1</v>
          </cell>
          <cell r="U109">
            <v>46241.575798611113</v>
          </cell>
          <cell r="V109">
            <v>1</v>
          </cell>
          <cell r="W109">
            <v>46242.34747685185</v>
          </cell>
          <cell r="X109">
            <v>46242.976319444446</v>
          </cell>
          <cell r="Y109">
            <v>46243.354456018518</v>
          </cell>
          <cell r="Z109">
            <v>46243.941157407404</v>
          </cell>
          <cell r="AA109">
            <v>46244.354942129627</v>
          </cell>
          <cell r="AB109">
            <v>1</v>
          </cell>
          <cell r="AC109">
            <v>46245.352881944447</v>
          </cell>
          <cell r="AD109">
            <v>1</v>
          </cell>
          <cell r="AE109">
            <v>46246.348935185182</v>
          </cell>
        </row>
        <row r="110">
          <cell r="E110" t="str">
            <v>FJ male Local staff</v>
          </cell>
          <cell r="F110" t="str">
            <v>MAD0713</v>
          </cell>
          <cell r="G110" t="str">
            <v>Wholesale</v>
          </cell>
          <cell r="H110" t="str">
            <v>MD Suhel Mia</v>
          </cell>
          <cell r="I110">
            <v>46235.350115740737</v>
          </cell>
          <cell r="J110">
            <v>46235.981493055559</v>
          </cell>
          <cell r="K110">
            <v>46236.34642361111</v>
          </cell>
          <cell r="L110">
            <v>46236.992789351854</v>
          </cell>
          <cell r="M110">
            <v>46237.350821759261</v>
          </cell>
          <cell r="N110">
            <v>46237.97215277778</v>
          </cell>
          <cell r="O110">
            <v>46238.351307870369</v>
          </cell>
          <cell r="P110">
            <v>46238.966458333336</v>
          </cell>
          <cell r="Q110">
            <v>46239.348287037035</v>
          </cell>
          <cell r="R110">
            <v>46239.967511574076</v>
          </cell>
          <cell r="S110" t="str">
            <v>SICK</v>
          </cell>
          <cell r="T110" t="str">
            <v>SICK</v>
          </cell>
          <cell r="U110" t="str">
            <v>SICK</v>
          </cell>
          <cell r="V110" t="str">
            <v>SICK</v>
          </cell>
          <cell r="W110">
            <v>46242.352905092594</v>
          </cell>
          <cell r="X110">
            <v>1</v>
          </cell>
          <cell r="Y110">
            <v>46243.35050925926</v>
          </cell>
          <cell r="Z110">
            <v>46243.971817129626</v>
          </cell>
          <cell r="AA110">
            <v>46244.350173611114</v>
          </cell>
          <cell r="AB110">
            <v>46244.969664351855</v>
          </cell>
          <cell r="AC110">
            <v>46245.353263888886</v>
          </cell>
          <cell r="AD110">
            <v>1</v>
          </cell>
          <cell r="AE110">
            <v>46246.349826388891</v>
          </cell>
        </row>
        <row r="111">
          <cell r="E111" t="str">
            <v>FJ male Local staff</v>
          </cell>
          <cell r="F111" t="str">
            <v>MAD0714</v>
          </cell>
          <cell r="G111" t="str">
            <v>Bazaaru Shop</v>
          </cell>
          <cell r="H111" t="str">
            <v>Ali Hossain</v>
          </cell>
          <cell r="I111">
            <v>46235.34847222222</v>
          </cell>
          <cell r="J111">
            <v>46235.911157407405</v>
          </cell>
          <cell r="K111">
            <v>46236.349918981483</v>
          </cell>
          <cell r="L111">
            <v>46236.879780092589</v>
          </cell>
          <cell r="M111">
            <v>46237.347488425927</v>
          </cell>
          <cell r="N111">
            <v>46237.920914351853</v>
          </cell>
          <cell r="O111">
            <v>46238.347395833334</v>
          </cell>
          <cell r="P111">
            <v>46238.921296296299</v>
          </cell>
          <cell r="Q111">
            <v>46239.351319444446</v>
          </cell>
          <cell r="R111">
            <v>46239.897974537038</v>
          </cell>
          <cell r="S111">
            <v>46240.349421296298</v>
          </cell>
          <cell r="T111">
            <v>46240.936805555553</v>
          </cell>
          <cell r="U111">
            <v>46241.575462962966</v>
          </cell>
          <cell r="V111">
            <v>46240.936805555553</v>
          </cell>
          <cell r="W111">
            <v>46242.347777777781</v>
          </cell>
          <cell r="X111">
            <v>46242.940138888887</v>
          </cell>
          <cell r="Y111">
            <v>46243.347569444442</v>
          </cell>
          <cell r="Z111">
            <v>46243.896527777775</v>
          </cell>
          <cell r="AA111">
            <v>46244.348993055559</v>
          </cell>
          <cell r="AB111">
            <v>46244.87740740741</v>
          </cell>
          <cell r="AC111">
            <v>46245.339965277781</v>
          </cell>
          <cell r="AD111">
            <v>46245.918391203704</v>
          </cell>
          <cell r="AE111">
            <v>46246.342499999999</v>
          </cell>
        </row>
        <row r="112">
          <cell r="E112" t="str">
            <v>FJ male Local staff</v>
          </cell>
          <cell r="F112" t="str">
            <v>MAD0715</v>
          </cell>
          <cell r="G112" t="str">
            <v>Doores Godown</v>
          </cell>
          <cell r="H112" t="str">
            <v>Manikandan Selvaraj</v>
          </cell>
          <cell r="I112">
            <v>46235.329074074078</v>
          </cell>
          <cell r="J112">
            <v>46235.958622685182</v>
          </cell>
          <cell r="K112">
            <v>46236.330682870372</v>
          </cell>
          <cell r="L112">
            <v>46236.918530092589</v>
          </cell>
          <cell r="M112">
            <v>46237.332384259258</v>
          </cell>
          <cell r="N112">
            <v>46237.927893518521</v>
          </cell>
          <cell r="O112">
            <v>46238.330601851849</v>
          </cell>
          <cell r="P112">
            <v>1</v>
          </cell>
          <cell r="Q112">
            <v>46239.333449074074</v>
          </cell>
          <cell r="R112">
            <v>46239.924861111111</v>
          </cell>
          <cell r="S112">
            <v>46240.335636574076</v>
          </cell>
          <cell r="T112">
            <v>1</v>
          </cell>
          <cell r="U112" t="str">
            <v>OFF</v>
          </cell>
          <cell r="V112" t="str">
            <v>OFF</v>
          </cell>
          <cell r="W112">
            <v>46242.35392361111</v>
          </cell>
          <cell r="X112">
            <v>46242.97929398148</v>
          </cell>
          <cell r="Y112">
            <v>46243.351886574077</v>
          </cell>
          <cell r="Z112">
            <v>46243.939027777778</v>
          </cell>
          <cell r="AA112">
            <v>46244.352962962963</v>
          </cell>
          <cell r="AB112">
            <v>46244.962118055555</v>
          </cell>
          <cell r="AC112">
            <v>46245.351886574077</v>
          </cell>
          <cell r="AD112">
            <v>1</v>
          </cell>
          <cell r="AE112">
            <v>46246.349351851852</v>
          </cell>
        </row>
        <row r="113">
          <cell r="E113" t="str">
            <v>FJ male Local staff</v>
          </cell>
          <cell r="F113" t="str">
            <v>MAD0716</v>
          </cell>
          <cell r="G113" t="str">
            <v>Retail Shop</v>
          </cell>
          <cell r="H113" t="str">
            <v>MD Nahim Gazi</v>
          </cell>
          <cell r="I113">
            <v>46235.346435185187</v>
          </cell>
          <cell r="J113">
            <v>46235.970532407409</v>
          </cell>
          <cell r="K113">
            <v>46236.347696759258</v>
          </cell>
          <cell r="L113">
            <v>46236.948148148149</v>
          </cell>
          <cell r="M113">
            <v>46237.349236111113</v>
          </cell>
          <cell r="N113">
            <v>46237.949965277781</v>
          </cell>
          <cell r="O113">
            <v>46238.349537037036</v>
          </cell>
          <cell r="P113">
            <v>46238.948946759258</v>
          </cell>
          <cell r="Q113">
            <v>46239.34784722222</v>
          </cell>
          <cell r="R113">
            <v>46239.951504629629</v>
          </cell>
          <cell r="S113">
            <v>46240.346458333333</v>
          </cell>
          <cell r="T113">
            <v>46240.984375</v>
          </cell>
          <cell r="U113" t="str">
            <v>OFF</v>
          </cell>
          <cell r="V113" t="str">
            <v>OFF</v>
          </cell>
          <cell r="W113">
            <v>46242.348368055558</v>
          </cell>
          <cell r="X113">
            <v>1</v>
          </cell>
          <cell r="Y113">
            <v>46243.350613425922</v>
          </cell>
          <cell r="Z113">
            <v>46243.95144675926</v>
          </cell>
          <cell r="AA113">
            <v>46244.349166666667</v>
          </cell>
          <cell r="AB113">
            <v>46244.949467592596</v>
          </cell>
          <cell r="AC113">
            <v>46245.350590277776</v>
          </cell>
          <cell r="AD113">
            <v>46245.954131944447</v>
          </cell>
          <cell r="AE113">
            <v>46246.349687499998</v>
          </cell>
        </row>
        <row r="114">
          <cell r="E114" t="str">
            <v>FJ male Local staff</v>
          </cell>
          <cell r="F114" t="str">
            <v>MAD0718</v>
          </cell>
          <cell r="G114" t="str">
            <v>Bazaaru Shop</v>
          </cell>
          <cell r="H114" t="str">
            <v>Laikuzzaman</v>
          </cell>
          <cell r="I114">
            <v>46235.346863425926</v>
          </cell>
          <cell r="J114">
            <v>46235.940381944441</v>
          </cell>
          <cell r="K114">
            <v>46236.348194444443</v>
          </cell>
          <cell r="L114">
            <v>46236.908043981479</v>
          </cell>
          <cell r="M114">
            <v>1</v>
          </cell>
          <cell r="N114">
            <v>1</v>
          </cell>
          <cell r="O114">
            <v>46238.343368055554</v>
          </cell>
          <cell r="P114">
            <v>46238.920173611114</v>
          </cell>
          <cell r="Q114">
            <v>46239.348553240743</v>
          </cell>
          <cell r="R114">
            <v>46239.922511574077</v>
          </cell>
          <cell r="S114">
            <v>46240.346620370372</v>
          </cell>
          <cell r="T114">
            <v>46240.939965277779</v>
          </cell>
          <cell r="U114">
            <v>46241.561724537038</v>
          </cell>
          <cell r="V114">
            <v>46240.939965277779</v>
          </cell>
          <cell r="W114">
            <v>46242.348599537036</v>
          </cell>
          <cell r="X114">
            <v>46242.929571759261</v>
          </cell>
          <cell r="Y114">
            <v>46243.350115740737</v>
          </cell>
          <cell r="Z114">
            <v>46243.918611111112</v>
          </cell>
          <cell r="AA114">
            <v>46244.347650462965</v>
          </cell>
          <cell r="AB114">
            <v>46244.920185185183</v>
          </cell>
          <cell r="AC114">
            <v>46245.345937500002</v>
          </cell>
          <cell r="AD114">
            <v>46245.925810185188</v>
          </cell>
          <cell r="AE114">
            <v>46246.345486111109</v>
          </cell>
        </row>
        <row r="115">
          <cell r="E115" t="str">
            <v>Fs male Local staff</v>
          </cell>
          <cell r="F115" t="str">
            <v>MAD0719</v>
          </cell>
          <cell r="G115" t="str">
            <v>Clearance</v>
          </cell>
          <cell r="H115" t="str">
            <v>Vigneshwaran Kanagaraj</v>
          </cell>
          <cell r="I115">
            <v>46235.331620370373</v>
          </cell>
          <cell r="J115">
            <v>46235.956782407404</v>
          </cell>
          <cell r="K115">
            <v>46236.331111111111</v>
          </cell>
          <cell r="L115">
            <v>46236.93886574074</v>
          </cell>
          <cell r="M115">
            <v>46237.334374999999</v>
          </cell>
          <cell r="N115">
            <v>46237.949363425927</v>
          </cell>
          <cell r="O115">
            <v>46238.329513888886</v>
          </cell>
          <cell r="P115">
            <v>46238.951643518521</v>
          </cell>
          <cell r="Q115">
            <v>46239.333252314813</v>
          </cell>
          <cell r="R115">
            <v>46239.954618055555</v>
          </cell>
          <cell r="S115">
            <v>46240.33148148148</v>
          </cell>
          <cell r="T115">
            <v>46240.998807870368</v>
          </cell>
          <cell r="U115">
            <v>46241.5622337963</v>
          </cell>
          <cell r="V115">
            <v>46241.933541666665</v>
          </cell>
          <cell r="W115">
            <v>46242.337187500001</v>
          </cell>
          <cell r="X115">
            <v>46242.987210648149</v>
          </cell>
          <cell r="Y115">
            <v>46243.340451388889</v>
          </cell>
          <cell r="Z115">
            <v>46243.945335648146</v>
          </cell>
          <cell r="AA115">
            <v>46244.337152777778</v>
          </cell>
          <cell r="AB115">
            <v>1</v>
          </cell>
          <cell r="AC115">
            <v>46245.342951388891</v>
          </cell>
          <cell r="AD115">
            <v>1</v>
          </cell>
          <cell r="AE115">
            <v>46246.342013888891</v>
          </cell>
        </row>
        <row r="116">
          <cell r="E116" t="str">
            <v>HM Junior staff</v>
          </cell>
          <cell r="F116" t="str">
            <v>MAD0722</v>
          </cell>
          <cell r="G116" t="str">
            <v>HM Shop2</v>
          </cell>
          <cell r="H116" t="str">
            <v>Saddam Hossen</v>
          </cell>
          <cell r="I116">
            <v>46235.352766203701</v>
          </cell>
          <cell r="J116">
            <v>46235.971215277779</v>
          </cell>
          <cell r="K116" t="str">
            <v>SICK</v>
          </cell>
          <cell r="L116" t="str">
            <v>SICK</v>
          </cell>
          <cell r="M116">
            <v>46237.353796296295</v>
          </cell>
          <cell r="N116">
            <v>46237.954618055555</v>
          </cell>
          <cell r="O116" t="str">
            <v>SICK</v>
          </cell>
          <cell r="P116" t="str">
            <v>SICK</v>
          </cell>
          <cell r="Q116">
            <v>46239.355462962965</v>
          </cell>
          <cell r="R116">
            <v>46239.950254629628</v>
          </cell>
          <cell r="S116">
            <v>46240.354907407411</v>
          </cell>
          <cell r="T116">
            <v>46240.97252314815</v>
          </cell>
          <cell r="U116">
            <v>46241.579768518517</v>
          </cell>
          <cell r="V116">
            <v>46240.97252314815</v>
          </cell>
          <cell r="W116">
            <v>46242.356678240743</v>
          </cell>
          <cell r="X116">
            <v>46242.970613425925</v>
          </cell>
          <cell r="Y116">
            <v>46243.351979166669</v>
          </cell>
          <cell r="Z116">
            <v>46243.949270833335</v>
          </cell>
          <cell r="AA116">
            <v>46244.353171296294</v>
          </cell>
          <cell r="AB116">
            <v>46244.966782407406</v>
          </cell>
          <cell r="AC116">
            <v>46245.353101851855</v>
          </cell>
          <cell r="AD116">
            <v>46245.952303240738</v>
          </cell>
          <cell r="AE116">
            <v>46246.35056712963</v>
          </cell>
        </row>
        <row r="117">
          <cell r="E117" t="str">
            <v>FJ male Local staff</v>
          </cell>
          <cell r="F117" t="str">
            <v>MAD0723</v>
          </cell>
          <cell r="G117" t="str">
            <v>Galolhu Shop</v>
          </cell>
          <cell r="H117" t="str">
            <v>MD Sobuj Rana</v>
          </cell>
          <cell r="I117">
            <v>46235.352997685186</v>
          </cell>
          <cell r="J117">
            <v>46235.966990740744</v>
          </cell>
          <cell r="K117">
            <v>46236.353518518517</v>
          </cell>
          <cell r="L117">
            <v>46236.947395833333</v>
          </cell>
          <cell r="M117">
            <v>46237.354039351849</v>
          </cell>
          <cell r="N117">
            <v>46237.948067129626</v>
          </cell>
          <cell r="O117">
            <v>46238.354699074072</v>
          </cell>
          <cell r="P117">
            <v>46238.94940972222</v>
          </cell>
          <cell r="Q117">
            <v>46239.353993055556</v>
          </cell>
          <cell r="R117">
            <v>46239.947256944448</v>
          </cell>
          <cell r="S117">
            <v>46240.352824074071</v>
          </cell>
          <cell r="T117">
            <v>46240.983761574076</v>
          </cell>
          <cell r="U117" t="str">
            <v>OFF</v>
          </cell>
          <cell r="V117" t="str">
            <v>OFF</v>
          </cell>
          <cell r="W117">
            <v>46242.352465277778</v>
          </cell>
          <cell r="X117">
            <v>46242.969583333332</v>
          </cell>
          <cell r="Y117">
            <v>46243.353113425925</v>
          </cell>
          <cell r="Z117">
            <v>46243.949733796297</v>
          </cell>
          <cell r="AA117">
            <v>46244.354166666664</v>
          </cell>
          <cell r="AB117">
            <v>46244.948252314818</v>
          </cell>
          <cell r="AC117">
            <v>46245.353831018518</v>
          </cell>
          <cell r="AD117">
            <v>46245.944988425923</v>
          </cell>
          <cell r="AE117">
            <v>46246.352650462963</v>
          </cell>
        </row>
        <row r="118">
          <cell r="E118" t="str">
            <v>FJ male Local staff</v>
          </cell>
          <cell r="F118" t="str">
            <v>MAD0726</v>
          </cell>
          <cell r="G118" t="str">
            <v>Maintenance</v>
          </cell>
          <cell r="H118" t="str">
            <v>MD Tanvir Miah</v>
          </cell>
          <cell r="I118">
            <v>46235.351273148146</v>
          </cell>
          <cell r="J118">
            <v>46235.941377314812</v>
          </cell>
          <cell r="K118">
            <v>46236.347500000003</v>
          </cell>
          <cell r="L118">
            <v>46236.937835648147</v>
          </cell>
          <cell r="M118">
            <v>46237.3512962963</v>
          </cell>
          <cell r="N118">
            <v>46237.940243055556</v>
          </cell>
          <cell r="O118">
            <v>46238.351388888892</v>
          </cell>
          <cell r="P118">
            <v>46238.939826388887</v>
          </cell>
          <cell r="Q118">
            <v>46239.351770833331</v>
          </cell>
          <cell r="R118">
            <v>46239.939733796295</v>
          </cell>
          <cell r="S118">
            <v>46240.350185185183</v>
          </cell>
          <cell r="T118">
            <v>46240.959606481483</v>
          </cell>
          <cell r="U118" t="str">
            <v>OFF</v>
          </cell>
          <cell r="V118" t="str">
            <v>OFF</v>
          </cell>
          <cell r="W118">
            <v>46242.350462962961</v>
          </cell>
          <cell r="X118">
            <v>46242.958368055559</v>
          </cell>
          <cell r="Y118">
            <v>46243.351342592592</v>
          </cell>
          <cell r="Z118">
            <v>46243.940775462965</v>
          </cell>
          <cell r="AA118">
            <v>46244.350775462961</v>
          </cell>
          <cell r="AB118">
            <v>1</v>
          </cell>
          <cell r="AC118">
            <v>46245.351412037038</v>
          </cell>
          <cell r="AD118">
            <v>46245.94940972222</v>
          </cell>
          <cell r="AE118">
            <v>46246.351678240739</v>
          </cell>
        </row>
        <row r="119">
          <cell r="E119" t="str">
            <v>FJ male Local staff</v>
          </cell>
          <cell r="F119" t="str">
            <v>MAD0727</v>
          </cell>
          <cell r="G119" t="str">
            <v>Bazaaru Shop</v>
          </cell>
          <cell r="H119" t="str">
            <v>MD Imran</v>
          </cell>
          <cell r="I119">
            <v>46235.3518287037</v>
          </cell>
          <cell r="J119">
            <v>46235.920520833337</v>
          </cell>
          <cell r="K119">
            <v>46236.345289351855</v>
          </cell>
          <cell r="L119">
            <v>46236.913657407407</v>
          </cell>
          <cell r="M119">
            <v>46237.348495370374</v>
          </cell>
          <cell r="N119">
            <v>46237.92559027778</v>
          </cell>
          <cell r="O119">
            <v>46238.348622685182</v>
          </cell>
          <cell r="P119">
            <v>46238.896215277775</v>
          </cell>
          <cell r="Q119">
            <v>46239.347534722219</v>
          </cell>
          <cell r="R119">
            <v>46239.906608796293</v>
          </cell>
          <cell r="S119">
            <v>46240.349710648145</v>
          </cell>
          <cell r="T119">
            <v>46240.936736111114</v>
          </cell>
          <cell r="U119" t="str">
            <v>OFF</v>
          </cell>
          <cell r="V119" t="str">
            <v>OFF</v>
          </cell>
          <cell r="W119">
            <v>46242.344976851855</v>
          </cell>
          <cell r="X119">
            <v>46242.935833333337</v>
          </cell>
          <cell r="Y119">
            <v>46243.350682870368</v>
          </cell>
          <cell r="Z119">
            <v>46243.906087962961</v>
          </cell>
          <cell r="AA119">
            <v>46244.349907407406</v>
          </cell>
          <cell r="AB119">
            <v>46244.877465277779</v>
          </cell>
          <cell r="AC119">
            <v>46245.350011574075</v>
          </cell>
          <cell r="AD119">
            <v>46245.91810185185</v>
          </cell>
          <cell r="AE119">
            <v>46246.350011574075</v>
          </cell>
        </row>
        <row r="120">
          <cell r="E120" t="str">
            <v>FJ male Local staff</v>
          </cell>
          <cell r="F120" t="str">
            <v>MAD0728</v>
          </cell>
          <cell r="G120" t="str">
            <v xml:space="preserve">Vakara House </v>
          </cell>
          <cell r="H120" t="str">
            <v>Munshahid mia</v>
          </cell>
          <cell r="I120">
            <v>46235.333657407406</v>
          </cell>
          <cell r="J120">
            <v>1</v>
          </cell>
          <cell r="K120">
            <v>46236.332777777781</v>
          </cell>
          <cell r="L120">
            <v>1</v>
          </cell>
          <cell r="M120">
            <v>46237.332997685182</v>
          </cell>
          <cell r="N120">
            <v>1</v>
          </cell>
          <cell r="O120">
            <v>46238.335104166668</v>
          </cell>
          <cell r="P120">
            <v>1</v>
          </cell>
          <cell r="Q120">
            <v>46239.332395833335</v>
          </cell>
          <cell r="R120">
            <v>1</v>
          </cell>
          <cell r="S120">
            <v>46240.328506944446</v>
          </cell>
          <cell r="T120">
            <v>1</v>
          </cell>
          <cell r="U120">
            <v>46241.581041666665</v>
          </cell>
          <cell r="V120">
            <v>1</v>
          </cell>
          <cell r="W120">
            <v>46242.334097222221</v>
          </cell>
          <cell r="X120">
            <v>1</v>
          </cell>
          <cell r="Y120">
            <v>46243.332280092596</v>
          </cell>
          <cell r="Z120">
            <v>1</v>
          </cell>
          <cell r="AA120">
            <v>46244.331076388888</v>
          </cell>
          <cell r="AB120">
            <v>1</v>
          </cell>
          <cell r="AC120">
            <v>46245.333379629628</v>
          </cell>
          <cell r="AD120">
            <v>1</v>
          </cell>
          <cell r="AE120">
            <v>46246.332569444443</v>
          </cell>
        </row>
        <row r="121">
          <cell r="E121" t="str">
            <v>Madi Grand Local</v>
          </cell>
          <cell r="F121" t="str">
            <v>MAD0729</v>
          </cell>
          <cell r="G121" t="str">
            <v>Head Office / Madigrand</v>
          </cell>
          <cell r="H121" t="str">
            <v>Seena Saeed</v>
          </cell>
          <cell r="I121">
            <v>46235.37599537037</v>
          </cell>
          <cell r="J121">
            <v>1</v>
          </cell>
          <cell r="K121">
            <v>1</v>
          </cell>
          <cell r="L121">
            <v>46236.779293981483</v>
          </cell>
          <cell r="M121">
            <v>46237.367650462962</v>
          </cell>
          <cell r="N121">
            <v>46237.785879629628</v>
          </cell>
          <cell r="O121">
            <v>46238.373726851853</v>
          </cell>
          <cell r="P121">
            <v>46238.85428240741</v>
          </cell>
          <cell r="Q121">
            <v>46239.375451388885</v>
          </cell>
          <cell r="R121">
            <v>1</v>
          </cell>
          <cell r="S121">
            <v>46240.378101851849</v>
          </cell>
          <cell r="T121">
            <v>1</v>
          </cell>
          <cell r="U121" t="str">
            <v>OFF</v>
          </cell>
          <cell r="V121" t="str">
            <v>OFF</v>
          </cell>
          <cell r="W121">
            <v>46242.373831018522</v>
          </cell>
          <cell r="X121">
            <v>1</v>
          </cell>
          <cell r="Y121" t="str">
            <v>SICK</v>
          </cell>
          <cell r="Z121" t="str">
            <v>SICK</v>
          </cell>
          <cell r="AA121">
            <v>46244.380613425928</v>
          </cell>
          <cell r="AB121">
            <v>46244.769317129627</v>
          </cell>
          <cell r="AC121">
            <v>46245.381053240744</v>
          </cell>
          <cell r="AD121">
            <v>1</v>
          </cell>
          <cell r="AE121">
            <v>46246.380416666667</v>
          </cell>
        </row>
        <row r="122">
          <cell r="E122" t="str">
            <v>Male Local staff</v>
          </cell>
          <cell r="F122" t="str">
            <v>MAD0730</v>
          </cell>
          <cell r="G122" t="str">
            <v>Head Office</v>
          </cell>
          <cell r="H122" t="str">
            <v>Shezaa Ahmed Quraish</v>
          </cell>
          <cell r="I122">
            <v>46235.367893518516</v>
          </cell>
          <cell r="J122">
            <v>1</v>
          </cell>
          <cell r="K122">
            <v>46238.447916666664</v>
          </cell>
          <cell r="L122">
            <v>1</v>
          </cell>
          <cell r="M122">
            <v>46238.447916666664</v>
          </cell>
          <cell r="N122">
            <v>46237.720381944448</v>
          </cell>
          <cell r="O122">
            <v>46238.447916666664</v>
          </cell>
          <cell r="P122">
            <v>46238.732060185182</v>
          </cell>
          <cell r="Q122">
            <v>46239.37394675926</v>
          </cell>
          <cell r="R122">
            <v>46239.727465277778</v>
          </cell>
          <cell r="S122">
            <v>46240.371041666665</v>
          </cell>
          <cell r="T122">
            <v>1</v>
          </cell>
          <cell r="U122" t="str">
            <v>OFF</v>
          </cell>
          <cell r="V122" t="str">
            <v>OFF</v>
          </cell>
          <cell r="W122">
            <v>46242.382071759261</v>
          </cell>
          <cell r="X122">
            <v>1</v>
          </cell>
          <cell r="Y122">
            <v>46243.384502314817</v>
          </cell>
          <cell r="Z122">
            <v>46243.717824074076</v>
          </cell>
          <cell r="AA122">
            <v>46244.380648148152</v>
          </cell>
          <cell r="AB122">
            <v>46244.708738425928</v>
          </cell>
          <cell r="AC122">
            <v>1</v>
          </cell>
          <cell r="AD122">
            <v>1</v>
          </cell>
          <cell r="AE122" t="str">
            <v>SICK</v>
          </cell>
        </row>
        <row r="123">
          <cell r="E123" t="str">
            <v>FJ male Local staff</v>
          </cell>
          <cell r="F123" t="str">
            <v>MAD0731</v>
          </cell>
          <cell r="G123" t="str">
            <v>Head Office</v>
          </cell>
          <cell r="H123" t="str">
            <v>Nazmul Chowdhury</v>
          </cell>
          <cell r="I123">
            <v>46235.355185185188</v>
          </cell>
          <cell r="J123">
            <v>46235.96638888889</v>
          </cell>
          <cell r="K123">
            <v>46236.354259259257</v>
          </cell>
          <cell r="L123">
            <v>46236.96297453704</v>
          </cell>
          <cell r="M123">
            <v>46237.353796296295</v>
          </cell>
          <cell r="N123">
            <v>46237.973182870373</v>
          </cell>
          <cell r="O123">
            <v>46238.352847222224</v>
          </cell>
          <cell r="P123">
            <v>46238.954293981478</v>
          </cell>
          <cell r="Q123">
            <v>46239.352997685186</v>
          </cell>
          <cell r="R123">
            <v>46239.95684027778</v>
          </cell>
          <cell r="S123">
            <v>46240.354375000003</v>
          </cell>
          <cell r="T123">
            <v>46240.971053240741</v>
          </cell>
          <cell r="U123" t="str">
            <v>OFF</v>
          </cell>
          <cell r="V123" t="str">
            <v>OFF</v>
          </cell>
          <cell r="W123">
            <v>46242.35528935185</v>
          </cell>
          <cell r="X123">
            <v>46242.957696759258</v>
          </cell>
          <cell r="Y123">
            <v>46243.351620370369</v>
          </cell>
          <cell r="Z123">
            <v>46243.960752314815</v>
          </cell>
          <cell r="AA123">
            <v>46244.356469907405</v>
          </cell>
          <cell r="AB123">
            <v>46244.963842592595</v>
          </cell>
          <cell r="AC123">
            <v>46245.356435185182</v>
          </cell>
          <cell r="AD123">
            <v>46245.953958333332</v>
          </cell>
          <cell r="AE123">
            <v>46246.350844907407</v>
          </cell>
        </row>
        <row r="124">
          <cell r="E124" t="str">
            <v>Male Local staff</v>
          </cell>
          <cell r="F124" t="str">
            <v>MAD0732</v>
          </cell>
          <cell r="G124" t="str">
            <v>Galolhu Shop</v>
          </cell>
          <cell r="H124" t="str">
            <v>Fathmth Nuha</v>
          </cell>
          <cell r="I124">
            <v>46235.353414351855</v>
          </cell>
          <cell r="J124">
            <v>1</v>
          </cell>
          <cell r="K124">
            <v>46236.355104166665</v>
          </cell>
          <cell r="L124">
            <v>1</v>
          </cell>
          <cell r="M124">
            <v>46237.353298611109</v>
          </cell>
          <cell r="N124">
            <v>1</v>
          </cell>
          <cell r="O124">
            <v>46238.354409722226</v>
          </cell>
          <cell r="P124">
            <v>1</v>
          </cell>
          <cell r="Q124">
            <v>46239.353888888887</v>
          </cell>
          <cell r="R124">
            <v>1</v>
          </cell>
          <cell r="S124">
            <v>46240.352152777778</v>
          </cell>
          <cell r="T124">
            <v>1</v>
          </cell>
          <cell r="U124" t="str">
            <v>OFF</v>
          </cell>
          <cell r="V124" t="str">
            <v>OFF</v>
          </cell>
          <cell r="W124" t="str">
            <v>SICK</v>
          </cell>
          <cell r="X124" t="str">
            <v>SICK</v>
          </cell>
          <cell r="Y124">
            <v>46243.35297453704</v>
          </cell>
          <cell r="Z124">
            <v>1</v>
          </cell>
          <cell r="AA124">
            <v>46244.354131944441</v>
          </cell>
          <cell r="AB124">
            <v>1</v>
          </cell>
          <cell r="AC124">
            <v>46245.353900462964</v>
          </cell>
          <cell r="AD124">
            <v>1</v>
          </cell>
          <cell r="AE124">
            <v>46246.352349537039</v>
          </cell>
        </row>
        <row r="125">
          <cell r="E125" t="str">
            <v>FJ male Local staff</v>
          </cell>
          <cell r="F125" t="str">
            <v>MAD0733</v>
          </cell>
          <cell r="G125" t="str">
            <v>Galolhu Shop</v>
          </cell>
          <cell r="H125" t="str">
            <v>Sabbir Hossain</v>
          </cell>
          <cell r="I125">
            <v>46235.352662037039</v>
          </cell>
          <cell r="J125">
            <v>46235.969293981485</v>
          </cell>
          <cell r="K125">
            <v>46236.351724537039</v>
          </cell>
          <cell r="L125">
            <v>46236.948020833333</v>
          </cell>
          <cell r="M125">
            <v>46237.35324074074</v>
          </cell>
          <cell r="N125">
            <v>1</v>
          </cell>
          <cell r="O125">
            <v>46238.354456018518</v>
          </cell>
          <cell r="P125">
            <v>46238.9533912037</v>
          </cell>
          <cell r="Q125">
            <v>46239.353854166664</v>
          </cell>
          <cell r="R125">
            <v>46239.951331018521</v>
          </cell>
          <cell r="S125">
            <v>46240.352395833332</v>
          </cell>
          <cell r="T125">
            <v>46240.983530092592</v>
          </cell>
          <cell r="U125" t="str">
            <v>OFF</v>
          </cell>
          <cell r="V125" t="str">
            <v>OFF</v>
          </cell>
          <cell r="W125">
            <v>46242.352384259262</v>
          </cell>
          <cell r="X125">
            <v>1</v>
          </cell>
          <cell r="Y125">
            <v>46243.352754629632</v>
          </cell>
          <cell r="Z125">
            <v>46243.955138888887</v>
          </cell>
          <cell r="AA125">
            <v>46244.354085648149</v>
          </cell>
          <cell r="AB125">
            <v>46244.952222222222</v>
          </cell>
          <cell r="AC125">
            <v>46245.351099537038</v>
          </cell>
          <cell r="AD125">
            <v>46245.956689814811</v>
          </cell>
          <cell r="AE125">
            <v>46246.352824074071</v>
          </cell>
        </row>
        <row r="126">
          <cell r="E126" t="str">
            <v>FJ male Local staff</v>
          </cell>
          <cell r="F126" t="str">
            <v>MAD0736</v>
          </cell>
          <cell r="G126" t="str">
            <v>Doores Godown</v>
          </cell>
          <cell r="H126" t="str">
            <v>MD Shak Sabik</v>
          </cell>
          <cell r="I126">
            <v>46235.348252314812</v>
          </cell>
          <cell r="J126">
            <v>46235.980196759258</v>
          </cell>
          <cell r="K126">
            <v>46236.344606481478</v>
          </cell>
          <cell r="L126">
            <v>46236.991122685184</v>
          </cell>
          <cell r="M126">
            <v>46237.350486111114</v>
          </cell>
          <cell r="N126">
            <v>46237.968124999999</v>
          </cell>
          <cell r="O126">
            <v>46238.348657407405</v>
          </cell>
          <cell r="P126">
            <v>46238.944398148145</v>
          </cell>
          <cell r="Q126">
            <v>46239.348599537036</v>
          </cell>
          <cell r="R126">
            <v>46239.964953703704</v>
          </cell>
          <cell r="S126">
            <v>46240.348067129627</v>
          </cell>
          <cell r="T126">
            <v>46240.96980324074</v>
          </cell>
          <cell r="U126" t="str">
            <v>OFF</v>
          </cell>
          <cell r="V126" t="str">
            <v>OFF</v>
          </cell>
          <cell r="W126">
            <v>46242.349328703705</v>
          </cell>
          <cell r="X126">
            <v>46242.987812500003</v>
          </cell>
          <cell r="Y126">
            <v>46243.350995370369</v>
          </cell>
          <cell r="Z126">
            <v>46243.937847222223</v>
          </cell>
          <cell r="AA126">
            <v>46244.347939814812</v>
          </cell>
          <cell r="AB126">
            <v>46244.965428240743</v>
          </cell>
          <cell r="AC126">
            <v>46245.349421296298</v>
          </cell>
          <cell r="AD126">
            <v>46245.925659722219</v>
          </cell>
          <cell r="AE126">
            <v>46246.347881944443</v>
          </cell>
        </row>
        <row r="127">
          <cell r="E127" t="str">
            <v>FJ male Local staff</v>
          </cell>
          <cell r="F127" t="str">
            <v>MAD0737</v>
          </cell>
          <cell r="G127" t="str">
            <v>Galolhu Shop</v>
          </cell>
          <cell r="H127" t="str">
            <v>Golam Sarowar Rubel</v>
          </cell>
          <cell r="I127">
            <v>46235.352743055555</v>
          </cell>
          <cell r="J127">
            <v>46235.971331018518</v>
          </cell>
          <cell r="K127">
            <v>46236.35255787037</v>
          </cell>
          <cell r="L127">
            <v>46236.948287037034</v>
          </cell>
          <cell r="M127">
            <v>46237.353356481479</v>
          </cell>
          <cell r="N127">
            <v>46237.950185185182</v>
          </cell>
          <cell r="O127">
            <v>46238.354502314818</v>
          </cell>
          <cell r="P127">
            <v>46238.951493055552</v>
          </cell>
          <cell r="Q127">
            <v>46239.353807870371</v>
          </cell>
          <cell r="R127">
            <v>46239.948460648149</v>
          </cell>
          <cell r="S127">
            <v>46240.353159722225</v>
          </cell>
          <cell r="T127">
            <v>46240.983657407407</v>
          </cell>
          <cell r="U127">
            <v>46241.579525462963</v>
          </cell>
          <cell r="V127">
            <v>46241.945856481485</v>
          </cell>
          <cell r="W127">
            <v>46242.35255787037</v>
          </cell>
          <cell r="X127">
            <v>46242.973287037035</v>
          </cell>
          <cell r="Y127">
            <v>46243.353055555555</v>
          </cell>
          <cell r="Z127">
            <v>46243.955034722225</v>
          </cell>
          <cell r="AA127">
            <v>46244.354050925926</v>
          </cell>
          <cell r="AB127">
            <v>46244.949513888889</v>
          </cell>
          <cell r="AC127">
            <v>46245.352939814817</v>
          </cell>
          <cell r="AD127">
            <v>46245.945196759261</v>
          </cell>
          <cell r="AE127">
            <v>46246.353368055556</v>
          </cell>
        </row>
        <row r="128">
          <cell r="E128" t="str">
            <v>FJ male Local staff</v>
          </cell>
          <cell r="F128" t="str">
            <v>MAD0739</v>
          </cell>
          <cell r="G128" t="str">
            <v>Athulhu Shop</v>
          </cell>
          <cell r="H128" t="str">
            <v>MD Sujon</v>
          </cell>
          <cell r="I128">
            <v>46235.352314814816</v>
          </cell>
          <cell r="J128">
            <v>46235.962384259263</v>
          </cell>
          <cell r="K128">
            <v>46236.351631944446</v>
          </cell>
          <cell r="L128">
            <v>46236.958379629628</v>
          </cell>
          <cell r="M128">
            <v>46237.352326388886</v>
          </cell>
          <cell r="N128">
            <v>46237.945150462961</v>
          </cell>
          <cell r="O128">
            <v>46238.352881944447</v>
          </cell>
          <cell r="P128">
            <v>46238.945729166669</v>
          </cell>
          <cell r="Q128">
            <v>46239.353252314817</v>
          </cell>
          <cell r="R128">
            <v>46239.94021990741</v>
          </cell>
          <cell r="S128">
            <v>46240.352013888885</v>
          </cell>
          <cell r="T128">
            <v>46240.941319444442</v>
          </cell>
          <cell r="U128">
            <v>46241.582233796296</v>
          </cell>
          <cell r="V128">
            <v>46241.910775462966</v>
          </cell>
          <cell r="W128">
            <v>46242.352418981478</v>
          </cell>
          <cell r="X128">
            <v>46242.966782407406</v>
          </cell>
          <cell r="Y128">
            <v>46243.352719907409</v>
          </cell>
          <cell r="Z128">
            <v>46243.96193287037</v>
          </cell>
          <cell r="AA128">
            <v>46244.352349537039</v>
          </cell>
          <cell r="AB128">
            <v>46244.958055555559</v>
          </cell>
          <cell r="AC128">
            <v>46245.35229166667</v>
          </cell>
          <cell r="AD128">
            <v>46245.9375462963</v>
          </cell>
          <cell r="AE128">
            <v>46246.351840277777</v>
          </cell>
        </row>
        <row r="129">
          <cell r="E129" t="str">
            <v>FJ male Local staff</v>
          </cell>
          <cell r="F129" t="str">
            <v>MAD0740</v>
          </cell>
          <cell r="G129" t="str">
            <v>Retail Shop</v>
          </cell>
          <cell r="H129" t="str">
            <v>MD Rayhan Bhuiya</v>
          </cell>
          <cell r="I129">
            <v>46235.324178240742</v>
          </cell>
          <cell r="J129">
            <v>46235.97457175926</v>
          </cell>
          <cell r="K129">
            <v>46236.330243055556</v>
          </cell>
          <cell r="L129">
            <v>46236.958692129629</v>
          </cell>
          <cell r="M129">
            <v>46237.33085648148</v>
          </cell>
          <cell r="N129">
            <v>46237.960277777776</v>
          </cell>
          <cell r="O129">
            <v>46238.32880787037</v>
          </cell>
          <cell r="P129">
            <v>46238.956597222219</v>
          </cell>
          <cell r="Q129">
            <v>46239.330092592594</v>
          </cell>
          <cell r="R129">
            <v>46239.955347222225</v>
          </cell>
          <cell r="S129">
            <v>46240.323900462965</v>
          </cell>
          <cell r="T129">
            <v>46240.982685185183</v>
          </cell>
          <cell r="U129">
            <v>46241.577222222222</v>
          </cell>
          <cell r="V129">
            <v>46241.958993055552</v>
          </cell>
          <cell r="W129">
            <v>46242.327592592592</v>
          </cell>
          <cell r="X129">
            <v>46242.973298611112</v>
          </cell>
          <cell r="Y129">
            <v>46243.328263888892</v>
          </cell>
          <cell r="Z129">
            <v>46243.965150462966</v>
          </cell>
          <cell r="AA129">
            <v>46244.341053240743</v>
          </cell>
          <cell r="AB129">
            <v>46244.957870370374</v>
          </cell>
          <cell r="AC129">
            <v>46245.331782407404</v>
          </cell>
          <cell r="AD129">
            <v>46245.962245370371</v>
          </cell>
          <cell r="AE129">
            <v>46246.330300925925</v>
          </cell>
        </row>
        <row r="130">
          <cell r="E130" t="str">
            <v>FJ male Local staff</v>
          </cell>
          <cell r="F130" t="str">
            <v>MAD0741</v>
          </cell>
          <cell r="G130" t="str">
            <v>Doores Godown</v>
          </cell>
          <cell r="H130" t="str">
            <v>MD Hasan Ali</v>
          </cell>
          <cell r="I130">
            <v>46235.342627314814</v>
          </cell>
          <cell r="J130">
            <v>46235.972754629627</v>
          </cell>
          <cell r="K130">
            <v>46236.346990740742</v>
          </cell>
          <cell r="L130">
            <v>46236.991608796299</v>
          </cell>
          <cell r="M130">
            <v>46237.342141203706</v>
          </cell>
          <cell r="N130">
            <v>46237.968402777777</v>
          </cell>
          <cell r="O130">
            <v>46238.344675925924</v>
          </cell>
          <cell r="P130">
            <v>46238.94431712963</v>
          </cell>
          <cell r="Q130">
            <v>46239.346087962964</v>
          </cell>
          <cell r="R130">
            <v>46239.96534722222</v>
          </cell>
          <cell r="S130">
            <v>46240.342974537038</v>
          </cell>
          <cell r="T130">
            <v>46240.970185185186</v>
          </cell>
          <cell r="U130" t="str">
            <v>OFF</v>
          </cell>
          <cell r="V130" t="str">
            <v>OFF</v>
          </cell>
          <cell r="W130">
            <v>46242.344409722224</v>
          </cell>
          <cell r="X130">
            <v>46242.988229166665</v>
          </cell>
          <cell r="Y130">
            <v>46243.340543981481</v>
          </cell>
          <cell r="Z130">
            <v>46243.93818287037</v>
          </cell>
          <cell r="AA130">
            <v>46244.340601851851</v>
          </cell>
          <cell r="AB130">
            <v>46244.967847222222</v>
          </cell>
          <cell r="AC130">
            <v>46245.341226851851</v>
          </cell>
          <cell r="AD130">
            <v>46245.922488425924</v>
          </cell>
          <cell r="AE130">
            <v>46246.34097222222</v>
          </cell>
        </row>
        <row r="131">
          <cell r="E131" t="str">
            <v>FJ male Local staff</v>
          </cell>
          <cell r="F131" t="str">
            <v>MAD0742</v>
          </cell>
          <cell r="G131" t="str">
            <v>Doores Godown</v>
          </cell>
          <cell r="H131" t="str">
            <v>MD Shamim Hoshen</v>
          </cell>
          <cell r="I131">
            <v>46235.334282407406</v>
          </cell>
          <cell r="J131">
            <v>46235.972546296296</v>
          </cell>
          <cell r="K131">
            <v>46236.336875000001</v>
          </cell>
          <cell r="L131">
            <v>46236.992060185185</v>
          </cell>
          <cell r="M131">
            <v>46237.34165509259</v>
          </cell>
          <cell r="N131">
            <v>46237.968969907408</v>
          </cell>
          <cell r="O131">
            <v>46238.344363425924</v>
          </cell>
          <cell r="P131">
            <v>46238.944803240738</v>
          </cell>
          <cell r="Q131">
            <v>46239.339675925927</v>
          </cell>
          <cell r="R131">
            <v>46239.965439814812</v>
          </cell>
          <cell r="S131">
            <v>46240.344780092593</v>
          </cell>
          <cell r="T131">
            <v>46240.970416666663</v>
          </cell>
          <cell r="U131">
            <v>46241.583784722221</v>
          </cell>
          <cell r="V131">
            <v>46241.938379629632</v>
          </cell>
          <cell r="W131">
            <v>46242.343981481485</v>
          </cell>
          <cell r="X131">
            <v>46242.987962962965</v>
          </cell>
          <cell r="Y131">
            <v>46243.340752314813</v>
          </cell>
          <cell r="Z131">
            <v>46243.938125000001</v>
          </cell>
          <cell r="AA131">
            <v>46244.343356481484</v>
          </cell>
          <cell r="AB131">
            <v>46244.965497685182</v>
          </cell>
          <cell r="AC131">
            <v>46245.343055555553</v>
          </cell>
          <cell r="AD131">
            <v>46245.926018518519</v>
          </cell>
          <cell r="AE131">
            <v>46246.345567129632</v>
          </cell>
        </row>
        <row r="132">
          <cell r="E132" t="str">
            <v>HM Junior staff</v>
          </cell>
          <cell r="F132" t="str">
            <v>MAD0744</v>
          </cell>
          <cell r="G132" t="str">
            <v>HM Site</v>
          </cell>
          <cell r="H132" t="str">
            <v>Alamgir Hosain</v>
          </cell>
          <cell r="I132">
            <v>46235.328900462962</v>
          </cell>
          <cell r="J132">
            <v>46235.851053240738</v>
          </cell>
          <cell r="K132">
            <v>46236.330196759256</v>
          </cell>
          <cell r="L132">
            <v>1</v>
          </cell>
          <cell r="M132">
            <v>46237.327476851853</v>
          </cell>
          <cell r="N132">
            <v>46237.844849537039</v>
          </cell>
          <cell r="O132">
            <v>46238.328750000001</v>
          </cell>
          <cell r="P132">
            <v>1</v>
          </cell>
          <cell r="Q132">
            <v>46239.351342592592</v>
          </cell>
          <cell r="R132">
            <v>1</v>
          </cell>
          <cell r="S132">
            <v>46240.350613425922</v>
          </cell>
          <cell r="T132">
            <v>1</v>
          </cell>
          <cell r="U132" t="str">
            <v>OFF</v>
          </cell>
          <cell r="V132" t="str">
            <v>OFF</v>
          </cell>
          <cell r="W132">
            <v>46242.340798611112</v>
          </cell>
          <cell r="X132">
            <v>46242.90079861111</v>
          </cell>
          <cell r="Y132">
            <v>46243.350069444445</v>
          </cell>
          <cell r="Z132">
            <v>46243.839583333334</v>
          </cell>
          <cell r="AA132">
            <v>46244.351365740738</v>
          </cell>
          <cell r="AB132">
            <v>1</v>
          </cell>
          <cell r="AC132">
            <v>46245.350648148145</v>
          </cell>
          <cell r="AD132">
            <v>1</v>
          </cell>
          <cell r="AE132">
            <v>46246.355046296296</v>
          </cell>
        </row>
        <row r="133">
          <cell r="E133" t="str">
            <v>HM Junior staff</v>
          </cell>
          <cell r="F133" t="str">
            <v>MAD0745</v>
          </cell>
          <cell r="G133" t="str">
            <v>HM Shop1</v>
          </cell>
          <cell r="H133" t="str">
            <v>Saddam Hossian</v>
          </cell>
          <cell r="I133">
            <v>46235.349664351852</v>
          </cell>
          <cell r="J133">
            <v>46235.966400462959</v>
          </cell>
          <cell r="K133">
            <v>46236.349965277775</v>
          </cell>
          <cell r="L133">
            <v>46236.954259259262</v>
          </cell>
          <cell r="M133">
            <v>46237.350127314814</v>
          </cell>
          <cell r="N133">
            <v>46237.955138888887</v>
          </cell>
          <cell r="O133">
            <v>46238.350949074076</v>
          </cell>
          <cell r="P133">
            <v>46238.945925925924</v>
          </cell>
          <cell r="Q133">
            <v>46239.352511574078</v>
          </cell>
          <cell r="R133">
            <v>46239.945162037038</v>
          </cell>
          <cell r="S133">
            <v>46240.351979166669</v>
          </cell>
          <cell r="T133">
            <v>46240.96361111111</v>
          </cell>
          <cell r="U133" t="str">
            <v>OFF</v>
          </cell>
          <cell r="V133" t="str">
            <v>OFF</v>
          </cell>
          <cell r="W133">
            <v>46242.35292824074</v>
          </cell>
          <cell r="X133">
            <v>46242.961030092592</v>
          </cell>
          <cell r="Y133">
            <v>46243.349189814813</v>
          </cell>
          <cell r="Z133">
            <v>46243.940925925926</v>
          </cell>
          <cell r="AA133">
            <v>46244.351550925923</v>
          </cell>
          <cell r="AB133">
            <v>46244.944537037038</v>
          </cell>
          <cell r="AC133">
            <v>46245.350752314815</v>
          </cell>
          <cell r="AD133">
            <v>46245.94871527778</v>
          </cell>
          <cell r="AE133">
            <v>46246.348715277774</v>
          </cell>
        </row>
        <row r="134">
          <cell r="E134" t="str">
            <v>FJ male Local staff</v>
          </cell>
          <cell r="F134" t="str">
            <v>MAD0746</v>
          </cell>
          <cell r="G134" t="str">
            <v>Galolhu Shop</v>
          </cell>
          <cell r="H134" t="str">
            <v>Phoo Wai Myint</v>
          </cell>
          <cell r="I134">
            <v>46235.353946759256</v>
          </cell>
          <cell r="J134">
            <v>46235.968206018515</v>
          </cell>
          <cell r="K134">
            <v>46236.352835648147</v>
          </cell>
          <cell r="L134">
            <v>46236.949652777781</v>
          </cell>
          <cell r="M134">
            <v>46237.353958333333</v>
          </cell>
          <cell r="N134">
            <v>46237.946493055555</v>
          </cell>
          <cell r="O134">
            <v>46238.354479166665</v>
          </cell>
          <cell r="P134">
            <v>46238.949178240742</v>
          </cell>
          <cell r="Q134">
            <v>46239.35496527778</v>
          </cell>
          <cell r="R134">
            <v>46239.948645833334</v>
          </cell>
          <cell r="S134">
            <v>46240.352280092593</v>
          </cell>
          <cell r="T134">
            <v>46240.972800925927</v>
          </cell>
          <cell r="U134">
            <v>46241.58152777778</v>
          </cell>
          <cell r="V134">
            <v>46241.943958333337</v>
          </cell>
          <cell r="W134">
            <v>46242.352893518517</v>
          </cell>
          <cell r="X134">
            <v>46242.97252314815</v>
          </cell>
          <cell r="Y134">
            <v>46243.353171296294</v>
          </cell>
          <cell r="Z134">
            <v>46243.952418981484</v>
          </cell>
          <cell r="AA134">
            <v>46244.353981481479</v>
          </cell>
          <cell r="AB134">
            <v>1</v>
          </cell>
          <cell r="AC134">
            <v>46245.353692129633</v>
          </cell>
          <cell r="AD134">
            <v>46245.951226851852</v>
          </cell>
          <cell r="AE134">
            <v>46246.353437500002</v>
          </cell>
        </row>
        <row r="135">
          <cell r="E135" t="str">
            <v>FJ male Local staff</v>
          </cell>
          <cell r="F135" t="str">
            <v>MAD0748</v>
          </cell>
          <cell r="G135" t="str">
            <v>Doores Godown</v>
          </cell>
          <cell r="H135" t="str">
            <v>Pranav Muraleedha</v>
          </cell>
          <cell r="I135">
            <v>46235.348333333335</v>
          </cell>
          <cell r="J135">
            <v>46235.965416666666</v>
          </cell>
          <cell r="K135">
            <v>46236.350555555553</v>
          </cell>
          <cell r="L135">
            <v>46236.971400462964</v>
          </cell>
          <cell r="M135">
            <v>46237.352465277778</v>
          </cell>
          <cell r="N135">
            <v>46237.963680555556</v>
          </cell>
          <cell r="O135">
            <v>46238.353206018517</v>
          </cell>
          <cell r="P135">
            <v>46238.940428240741</v>
          </cell>
          <cell r="Q135">
            <v>46239.344606481478</v>
          </cell>
          <cell r="R135">
            <v>46239.958414351851</v>
          </cell>
          <cell r="S135">
            <v>46240.346909722219</v>
          </cell>
          <cell r="T135">
            <v>46240.9690625</v>
          </cell>
          <cell r="U135">
            <v>46241.574189814812</v>
          </cell>
          <cell r="V135">
            <v>46241.937650462962</v>
          </cell>
          <cell r="W135">
            <v>46242.351018518515</v>
          </cell>
          <cell r="X135">
            <v>46242.979189814818</v>
          </cell>
          <cell r="Y135">
            <v>46243.346446759257</v>
          </cell>
          <cell r="Z135">
            <v>46243.938402777778</v>
          </cell>
          <cell r="AA135">
            <v>46244.350335648145</v>
          </cell>
          <cell r="AB135">
            <v>1</v>
          </cell>
          <cell r="AC135">
            <v>46245.344768518517</v>
          </cell>
          <cell r="AD135">
            <v>46245.923680555556</v>
          </cell>
          <cell r="AE135">
            <v>46246.351238425923</v>
          </cell>
        </row>
        <row r="136">
          <cell r="E136" t="str">
            <v>Fs male Local staff</v>
          </cell>
          <cell r="F136" t="str">
            <v>MAD0749</v>
          </cell>
          <cell r="G136" t="str">
            <v>Stock Keeper</v>
          </cell>
          <cell r="H136" t="str">
            <v>RamPrasath</v>
          </cell>
          <cell r="I136">
            <v>46235.349537037036</v>
          </cell>
          <cell r="J136">
            <v>46235.973275462966</v>
          </cell>
          <cell r="K136">
            <v>46236.35533564815</v>
          </cell>
          <cell r="L136">
            <v>46236.995266203703</v>
          </cell>
          <cell r="M136">
            <v>46237.350127314814</v>
          </cell>
          <cell r="N136">
            <v>46237.969583333332</v>
          </cell>
          <cell r="O136">
            <v>46238.353645833333</v>
          </cell>
          <cell r="P136">
            <v>46238.948958333334</v>
          </cell>
          <cell r="Q136">
            <v>46239.353761574072</v>
          </cell>
          <cell r="R136">
            <v>46239.970914351848</v>
          </cell>
          <cell r="S136">
            <v>46240.35396990741</v>
          </cell>
          <cell r="T136">
            <v>46240.974027777775</v>
          </cell>
          <cell r="U136" t="str">
            <v>OFF</v>
          </cell>
          <cell r="V136" t="str">
            <v>OFF</v>
          </cell>
          <cell r="W136">
            <v>46242.349629629629</v>
          </cell>
          <cell r="X136">
            <v>46242.990624999999</v>
          </cell>
          <cell r="Y136">
            <v>46243.353090277778</v>
          </cell>
          <cell r="Z136">
            <v>46243.940115740741</v>
          </cell>
          <cell r="AA136">
            <v>46244.348078703704</v>
          </cell>
          <cell r="AB136">
            <v>46244.971886574072</v>
          </cell>
          <cell r="AC136">
            <v>46245.352442129632</v>
          </cell>
          <cell r="AD136">
            <v>46245.928344907406</v>
          </cell>
          <cell r="AE136">
            <v>46246.346770833334</v>
          </cell>
        </row>
        <row r="137">
          <cell r="E137" t="str">
            <v>FJ male Local staff</v>
          </cell>
          <cell r="F137" t="str">
            <v>MAD0755</v>
          </cell>
          <cell r="G137" t="str">
            <v xml:space="preserve">Salas </v>
          </cell>
          <cell r="H137" t="str">
            <v>Imran Hossian</v>
          </cell>
          <cell r="I137">
            <v>46235.345069444447</v>
          </cell>
          <cell r="J137">
            <v>46235.962870370371</v>
          </cell>
          <cell r="K137">
            <v>46236.341145833336</v>
          </cell>
          <cell r="L137">
            <v>46236.949756944443</v>
          </cell>
          <cell r="M137">
            <v>46237.344340277778</v>
          </cell>
          <cell r="N137">
            <v>46237.953796296293</v>
          </cell>
          <cell r="O137">
            <v>46238.344513888886</v>
          </cell>
          <cell r="P137">
            <v>46238.948437500003</v>
          </cell>
          <cell r="Q137">
            <v>46239.345104166663</v>
          </cell>
          <cell r="R137">
            <v>46239.944907407407</v>
          </cell>
          <cell r="S137">
            <v>46240.34615740741</v>
          </cell>
          <cell r="T137">
            <v>46240.9766087963</v>
          </cell>
          <cell r="U137">
            <v>46241.580127314817</v>
          </cell>
          <cell r="V137">
            <v>46241.942037037035</v>
          </cell>
          <cell r="W137">
            <v>46242.343425925923</v>
          </cell>
          <cell r="X137">
            <v>46242.961041666669</v>
          </cell>
          <cell r="Y137">
            <v>46243.344895833332</v>
          </cell>
          <cell r="Z137">
            <v>46243.942337962966</v>
          </cell>
          <cell r="AA137">
            <v>46244.342928240738</v>
          </cell>
          <cell r="AB137">
            <v>46244.965648148151</v>
          </cell>
          <cell r="AC137">
            <v>46245.346504629626</v>
          </cell>
          <cell r="AD137">
            <v>46245.942754629628</v>
          </cell>
          <cell r="AE137">
            <v>46246.342743055553</v>
          </cell>
        </row>
        <row r="138">
          <cell r="E138" t="str">
            <v>FJ male Local staff</v>
          </cell>
          <cell r="F138" t="str">
            <v>MAD0756</v>
          </cell>
          <cell r="G138" t="str">
            <v>Athulhu Shop</v>
          </cell>
          <cell r="H138" t="str">
            <v>Shihub Mahmud</v>
          </cell>
          <cell r="I138">
            <v>46235.352731481478</v>
          </cell>
          <cell r="J138">
            <v>46235.946469907409</v>
          </cell>
          <cell r="K138">
            <v>46236.353634259256</v>
          </cell>
          <cell r="L138">
            <v>46236.9531712963</v>
          </cell>
          <cell r="M138">
            <v>46237.351747685185</v>
          </cell>
          <cell r="N138">
            <v>1</v>
          </cell>
          <cell r="O138">
            <v>46238.354305555556</v>
          </cell>
          <cell r="P138">
            <v>46238.934513888889</v>
          </cell>
          <cell r="Q138">
            <v>46239.352361111109</v>
          </cell>
          <cell r="R138">
            <v>46239.947337962964</v>
          </cell>
          <cell r="S138">
            <v>46240.354571759257</v>
          </cell>
          <cell r="T138">
            <v>46240.950069444443</v>
          </cell>
          <cell r="U138">
            <v>46241.565844907411</v>
          </cell>
          <cell r="V138">
            <v>46241.907870370371</v>
          </cell>
          <cell r="W138">
            <v>46242.354189814818</v>
          </cell>
          <cell r="X138">
            <v>46242.95890046296</v>
          </cell>
          <cell r="Y138">
            <v>46243.35596064815</v>
          </cell>
          <cell r="Z138">
            <v>46243.951342592591</v>
          </cell>
          <cell r="AA138">
            <v>46244.351921296293</v>
          </cell>
          <cell r="AB138">
            <v>46244.93953703704</v>
          </cell>
          <cell r="AC138">
            <v>46245.356585648151</v>
          </cell>
          <cell r="AD138">
            <v>46245.935914351852</v>
          </cell>
          <cell r="AE138">
            <v>46246.352465277778</v>
          </cell>
        </row>
        <row r="139">
          <cell r="E139" t="str">
            <v>FJ male Local staff</v>
          </cell>
          <cell r="F139" t="str">
            <v>MAD0757</v>
          </cell>
          <cell r="G139" t="str">
            <v>Doores Godown</v>
          </cell>
          <cell r="H139" t="str">
            <v>MD Hasan Al Mamun</v>
          </cell>
          <cell r="I139">
            <v>46235.333275462966</v>
          </cell>
          <cell r="J139">
            <v>46235.972372685188</v>
          </cell>
          <cell r="K139">
            <v>46236.332060185188</v>
          </cell>
          <cell r="L139">
            <v>46236.991979166669</v>
          </cell>
          <cell r="M139">
            <v>46237.344270833331</v>
          </cell>
          <cell r="N139">
            <v>46237.968252314815</v>
          </cell>
          <cell r="O139">
            <v>46238.343576388892</v>
          </cell>
          <cell r="P139">
            <v>46238.944212962961</v>
          </cell>
          <cell r="Q139">
            <v>46239.346145833333</v>
          </cell>
          <cell r="R139">
            <v>46239.966261574074</v>
          </cell>
          <cell r="S139">
            <v>46240.343124999999</v>
          </cell>
          <cell r="T139">
            <v>46240.970266203702</v>
          </cell>
          <cell r="U139" t="str">
            <v>OFF</v>
          </cell>
          <cell r="V139" t="str">
            <v>OFF</v>
          </cell>
          <cell r="W139">
            <v>46242.341817129629</v>
          </cell>
          <cell r="X139">
            <v>46242.987743055557</v>
          </cell>
          <cell r="Y139">
            <v>46243.336076388892</v>
          </cell>
          <cell r="Z139">
            <v>46243.938356481478</v>
          </cell>
          <cell r="AA139">
            <v>46244.342870370368</v>
          </cell>
          <cell r="AB139">
            <v>46244.965682870374</v>
          </cell>
          <cell r="AC139">
            <v>46245.346412037034</v>
          </cell>
          <cell r="AD139">
            <v>46245.942337962966</v>
          </cell>
          <cell r="AE139">
            <v>46246.342928240738</v>
          </cell>
        </row>
        <row r="140">
          <cell r="E140" t="str">
            <v>FJ male Local staff</v>
          </cell>
          <cell r="F140" t="str">
            <v>MAD0758</v>
          </cell>
          <cell r="G140" t="str">
            <v>Doores Godown</v>
          </cell>
          <cell r="H140" t="str">
            <v>MD Muktar Ali</v>
          </cell>
          <cell r="I140">
            <v>46235.347326388888</v>
          </cell>
          <cell r="J140">
            <v>46235.946423611109</v>
          </cell>
          <cell r="K140">
            <v>46236.344548611109</v>
          </cell>
          <cell r="L140">
            <v>46236.942685185182</v>
          </cell>
          <cell r="M140">
            <v>46237.349374999998</v>
          </cell>
          <cell r="N140">
            <v>46237.937418981484</v>
          </cell>
          <cell r="O140">
            <v>46238.350416666668</v>
          </cell>
          <cell r="P140">
            <v>46238.93172453704</v>
          </cell>
          <cell r="Q140">
            <v>46239.349606481483</v>
          </cell>
          <cell r="R140">
            <v>46239.938113425924</v>
          </cell>
          <cell r="S140">
            <v>46240.348935185182</v>
          </cell>
          <cell r="T140">
            <v>46240.944641203707</v>
          </cell>
          <cell r="U140">
            <v>46241.580300925925</v>
          </cell>
          <cell r="V140">
            <v>46241.932291666664</v>
          </cell>
          <cell r="W140">
            <v>46242.348055555558</v>
          </cell>
          <cell r="X140">
            <v>46242.98741898148</v>
          </cell>
          <cell r="Y140">
            <v>46243.350289351853</v>
          </cell>
          <cell r="Z140">
            <v>46243.940150462964</v>
          </cell>
          <cell r="AA140">
            <v>46244.349270833336</v>
          </cell>
          <cell r="AB140">
            <v>46244.966064814813</v>
          </cell>
          <cell r="AC140">
            <v>46245.350474537037</v>
          </cell>
          <cell r="AD140">
            <v>46245.940300925926</v>
          </cell>
          <cell r="AE140">
            <v>46246.350891203707</v>
          </cell>
        </row>
        <row r="141">
          <cell r="E141" t="str">
            <v>Fs male Local staff</v>
          </cell>
          <cell r="F141" t="str">
            <v>MAD0759</v>
          </cell>
          <cell r="G141" t="str">
            <v>Stock Keeper</v>
          </cell>
          <cell r="H141" t="str">
            <v>Vishnulal Jayalal</v>
          </cell>
          <cell r="I141">
            <v>46235.354201388887</v>
          </cell>
          <cell r="J141">
            <v>46235.974699074075</v>
          </cell>
          <cell r="K141">
            <v>46236.353645833333</v>
          </cell>
          <cell r="L141">
            <v>46236.995949074073</v>
          </cell>
          <cell r="M141">
            <v>46237.355081018519</v>
          </cell>
          <cell r="N141">
            <v>46237.970312500001</v>
          </cell>
          <cell r="O141">
            <v>46238.353449074071</v>
          </cell>
          <cell r="P141">
            <v>46238.95349537037</v>
          </cell>
          <cell r="Q141">
            <v>46239.353715277779</v>
          </cell>
          <cell r="R141">
            <v>46239.973368055558</v>
          </cell>
          <cell r="S141">
            <v>46240.352060185185</v>
          </cell>
          <cell r="T141">
            <v>46240.97347222222</v>
          </cell>
          <cell r="U141">
            <v>46241.578020833331</v>
          </cell>
          <cell r="V141">
            <v>46241.958506944444</v>
          </cell>
          <cell r="W141">
            <v>46242.354004629633</v>
          </cell>
          <cell r="X141">
            <v>46242.984594907408</v>
          </cell>
          <cell r="Y141">
            <v>46243.353888888887</v>
          </cell>
          <cell r="Z141">
            <v>46243.956041666665</v>
          </cell>
          <cell r="AA141">
            <v>46244.351643518516</v>
          </cell>
          <cell r="AB141">
            <v>46244.971932870372</v>
          </cell>
          <cell r="AC141">
            <v>46245.354120370372</v>
          </cell>
          <cell r="AD141">
            <v>46245.953240740739</v>
          </cell>
          <cell r="AE141">
            <v>46246.35428240741</v>
          </cell>
        </row>
        <row r="142">
          <cell r="E142" t="str">
            <v>HM Junior staff</v>
          </cell>
          <cell r="F142" t="str">
            <v>MAD0760</v>
          </cell>
          <cell r="G142" t="str">
            <v>HM Shop2</v>
          </cell>
          <cell r="H142" t="str">
            <v>MD Tarikul Islam tarik</v>
          </cell>
          <cell r="I142">
            <v>46235.352881944447</v>
          </cell>
          <cell r="J142">
            <v>46235.970972222225</v>
          </cell>
          <cell r="K142">
            <v>46236.351180555554</v>
          </cell>
          <cell r="L142">
            <v>46236.952291666668</v>
          </cell>
          <cell r="M142">
            <v>46237.35361111111</v>
          </cell>
          <cell r="N142">
            <v>46237.955081018517</v>
          </cell>
          <cell r="O142">
            <v>46238.352337962962</v>
          </cell>
          <cell r="P142">
            <v>46238.952199074076</v>
          </cell>
          <cell r="Q142">
            <v>46239.355428240742</v>
          </cell>
          <cell r="R142">
            <v>46239.950115740743</v>
          </cell>
          <cell r="S142">
            <v>46240.354814814818</v>
          </cell>
          <cell r="T142">
            <v>46240.97246527778</v>
          </cell>
          <cell r="U142" t="str">
            <v>OFF</v>
          </cell>
          <cell r="V142" t="str">
            <v>OFF</v>
          </cell>
          <cell r="W142">
            <v>46242.356631944444</v>
          </cell>
          <cell r="X142">
            <v>46242.970960648148</v>
          </cell>
          <cell r="Y142">
            <v>46243.351944444446</v>
          </cell>
          <cell r="Z142">
            <v>46243.949629629627</v>
          </cell>
          <cell r="AA142">
            <v>46244.353680555556</v>
          </cell>
          <cell r="AB142">
            <v>46244.967997685184</v>
          </cell>
          <cell r="AC142">
            <v>46245.353182870371</v>
          </cell>
          <cell r="AD142">
            <v>46245.956053240741</v>
          </cell>
          <cell r="AE142">
            <v>46246.350127314814</v>
          </cell>
        </row>
        <row r="143">
          <cell r="E143" t="str">
            <v>HM Junior staff</v>
          </cell>
          <cell r="F143" t="str">
            <v>MAD0761</v>
          </cell>
          <cell r="G143" t="str">
            <v>HM Site</v>
          </cell>
          <cell r="H143" t="str">
            <v>MD Soriful Islam</v>
          </cell>
          <cell r="I143">
            <v>46235.33153935185</v>
          </cell>
          <cell r="J143">
            <v>46235.851111111115</v>
          </cell>
          <cell r="K143">
            <v>46236.328900462962</v>
          </cell>
          <cell r="L143">
            <v>1</v>
          </cell>
          <cell r="M143">
            <v>46237.329768518517</v>
          </cell>
          <cell r="N143">
            <v>46237.844513888886</v>
          </cell>
          <cell r="O143">
            <v>46238.332233796296</v>
          </cell>
          <cell r="P143">
            <v>1</v>
          </cell>
          <cell r="Q143">
            <v>46239.350081018521</v>
          </cell>
          <cell r="R143">
            <v>1</v>
          </cell>
          <cell r="S143">
            <v>46240.355844907404</v>
          </cell>
          <cell r="T143">
            <v>1</v>
          </cell>
          <cell r="U143">
            <v>46241.581446759257</v>
          </cell>
          <cell r="V143">
            <v>1</v>
          </cell>
          <cell r="W143">
            <v>46242.349976851852</v>
          </cell>
          <cell r="X143">
            <v>46242.900995370372</v>
          </cell>
          <cell r="Y143">
            <v>46243.352986111109</v>
          </cell>
          <cell r="Z143">
            <v>46243.83966435185</v>
          </cell>
          <cell r="AA143">
            <v>46244.350486111114</v>
          </cell>
          <cell r="AB143">
            <v>1</v>
          </cell>
          <cell r="AC143">
            <v>46245.352453703701</v>
          </cell>
          <cell r="AD143">
            <v>1</v>
          </cell>
          <cell r="AE143">
            <v>46246.35056712963</v>
          </cell>
        </row>
        <row r="144">
          <cell r="E144" t="str">
            <v>Fs male Local staff</v>
          </cell>
          <cell r="F144" t="str">
            <v>MAD0762</v>
          </cell>
          <cell r="G144" t="str">
            <v>Retail Shop</v>
          </cell>
          <cell r="H144" t="str">
            <v>Tribhuwan Bhandari</v>
          </cell>
          <cell r="I144">
            <v>46235.332650462966</v>
          </cell>
          <cell r="J144">
            <v>46235.975127314814</v>
          </cell>
          <cell r="K144">
            <v>46236.332499999997</v>
          </cell>
          <cell r="L144">
            <v>46236.949247685188</v>
          </cell>
          <cell r="M144">
            <v>46237.343935185185</v>
          </cell>
          <cell r="N144">
            <v>46237.960520833331</v>
          </cell>
          <cell r="O144">
            <v>46238.344849537039</v>
          </cell>
          <cell r="P144">
            <v>46238.957326388889</v>
          </cell>
          <cell r="Q144">
            <v>46239.344189814816</v>
          </cell>
          <cell r="R144">
            <v>46239.95516203704</v>
          </cell>
          <cell r="S144">
            <v>46240.341782407406</v>
          </cell>
          <cell r="T144">
            <v>46240.982546296298</v>
          </cell>
          <cell r="U144" t="str">
            <v>OFF</v>
          </cell>
          <cell r="V144" t="str">
            <v>OFF</v>
          </cell>
          <cell r="W144">
            <v>46242.344351851854</v>
          </cell>
          <cell r="X144">
            <v>46242.973414351851</v>
          </cell>
          <cell r="Y144">
            <v>46243.341215277775</v>
          </cell>
          <cell r="Z144">
            <v>46243.965266203704</v>
          </cell>
          <cell r="AA144">
            <v>46244.341967592591</v>
          </cell>
          <cell r="AB144">
            <v>46244.977719907409</v>
          </cell>
          <cell r="AC144">
            <v>46245.341423611113</v>
          </cell>
          <cell r="AD144">
            <v>46245.961006944446</v>
          </cell>
          <cell r="AE144">
            <v>46246.342835648145</v>
          </cell>
        </row>
        <row r="145">
          <cell r="E145" t="str">
            <v>Fs male Local staff</v>
          </cell>
          <cell r="F145" t="str">
            <v>MAD0763</v>
          </cell>
          <cell r="G145" t="str">
            <v>Head Office</v>
          </cell>
          <cell r="H145" t="str">
            <v>Mohamed Aiyash Mohamed Hismath</v>
          </cell>
          <cell r="I145">
            <v>46239.373518518521</v>
          </cell>
          <cell r="J145">
            <v>46235.742002314815</v>
          </cell>
          <cell r="K145">
            <v>46236.377638888887</v>
          </cell>
          <cell r="L145">
            <v>46236.726111111115</v>
          </cell>
          <cell r="M145">
            <v>1</v>
          </cell>
          <cell r="N145">
            <v>46237.72855324074</v>
          </cell>
          <cell r="O145">
            <v>46238.376539351855</v>
          </cell>
          <cell r="P145">
            <v>46238.736574074072</v>
          </cell>
          <cell r="Q145">
            <v>46239.373518518521</v>
          </cell>
          <cell r="R145">
            <v>46239.74417824074</v>
          </cell>
          <cell r="S145">
            <v>46240.382708333331</v>
          </cell>
          <cell r="T145">
            <v>46240.753935185188</v>
          </cell>
          <cell r="U145" t="str">
            <v>OFF</v>
          </cell>
          <cell r="V145" t="str">
            <v>OFF</v>
          </cell>
          <cell r="W145">
            <v>46242.414849537039</v>
          </cell>
          <cell r="X145">
            <v>46242.751064814816</v>
          </cell>
          <cell r="Y145">
            <v>46243.371481481481</v>
          </cell>
          <cell r="Z145">
            <v>46243.727349537039</v>
          </cell>
          <cell r="AA145">
            <v>46244.375011574077</v>
          </cell>
          <cell r="AB145">
            <v>1</v>
          </cell>
          <cell r="AC145">
            <v>46245.417638888888</v>
          </cell>
          <cell r="AD145">
            <v>46245.720891203702</v>
          </cell>
          <cell r="AE145">
            <v>46246.381377314814</v>
          </cell>
        </row>
        <row r="146">
          <cell r="E146" t="str">
            <v>HM Junior staff</v>
          </cell>
          <cell r="F146" t="str">
            <v>MAD0766</v>
          </cell>
          <cell r="G146" t="str">
            <v>HM Site</v>
          </cell>
          <cell r="H146" t="str">
            <v>MD Nahid Mia</v>
          </cell>
          <cell r="I146">
            <v>46235.329618055555</v>
          </cell>
          <cell r="J146">
            <v>46235.851319444446</v>
          </cell>
          <cell r="K146">
            <v>46236.322870370372</v>
          </cell>
          <cell r="L146">
            <v>1</v>
          </cell>
          <cell r="M146">
            <v>46237.330983796295</v>
          </cell>
          <cell r="N146">
            <v>46237.844768518517</v>
          </cell>
          <cell r="O146">
            <v>46238.329780092594</v>
          </cell>
          <cell r="P146">
            <v>1</v>
          </cell>
          <cell r="Q146">
            <v>46239.351493055554</v>
          </cell>
          <cell r="R146">
            <v>1</v>
          </cell>
          <cell r="S146">
            <v>46240.353391203702</v>
          </cell>
          <cell r="T146">
            <v>1</v>
          </cell>
          <cell r="U146">
            <v>46241.583356481482</v>
          </cell>
          <cell r="V146">
            <v>1</v>
          </cell>
          <cell r="W146">
            <v>46242.350335648145</v>
          </cell>
          <cell r="X146">
            <v>46242.900879629633</v>
          </cell>
          <cell r="Y146">
            <v>46243.351898148147</v>
          </cell>
          <cell r="Z146">
            <v>46243.839942129627</v>
          </cell>
          <cell r="AA146">
            <v>46244.350648148145</v>
          </cell>
          <cell r="AB146">
            <v>1</v>
          </cell>
          <cell r="AC146">
            <v>46245.348969907405</v>
          </cell>
          <cell r="AD146">
            <v>1</v>
          </cell>
          <cell r="AE146">
            <v>46246.34710648148</v>
          </cell>
        </row>
        <row r="147">
          <cell r="E147" t="str">
            <v>FJ male Local staff</v>
          </cell>
          <cell r="F147" t="str">
            <v>MAD0767</v>
          </cell>
          <cell r="G147" t="str">
            <v>Doores Godown</v>
          </cell>
          <cell r="H147" t="str">
            <v>Solaiappan Gurusamy</v>
          </cell>
          <cell r="I147">
            <v>46235.352465277778</v>
          </cell>
          <cell r="J147">
            <v>46235.95857638889</v>
          </cell>
          <cell r="K147">
            <v>46236.351203703707</v>
          </cell>
          <cell r="L147">
            <v>46236.960046296299</v>
          </cell>
          <cell r="M147">
            <v>46237.353263888886</v>
          </cell>
          <cell r="N147">
            <v>46237.968807870369</v>
          </cell>
          <cell r="O147">
            <v>46238.353425925925</v>
          </cell>
          <cell r="P147">
            <v>46238.91851851852</v>
          </cell>
          <cell r="Q147" t="str">
            <v>SICK</v>
          </cell>
          <cell r="R147" t="str">
            <v>SICK</v>
          </cell>
          <cell r="S147">
            <v>46240.353495370371</v>
          </cell>
          <cell r="T147">
            <v>46240.958668981482</v>
          </cell>
          <cell r="U147">
            <v>46241.581956018519</v>
          </cell>
          <cell r="V147">
            <v>46241.91715277778</v>
          </cell>
          <cell r="W147">
            <v>46242.353125000001</v>
          </cell>
          <cell r="X147">
            <v>46242.97855324074</v>
          </cell>
          <cell r="Y147">
            <v>46243.354479166665</v>
          </cell>
          <cell r="Z147">
            <v>46243.939085648148</v>
          </cell>
          <cell r="AA147">
            <v>46244.353506944448</v>
          </cell>
          <cell r="AB147">
            <v>46244.960069444445</v>
          </cell>
          <cell r="AC147">
            <v>46245.35423611111</v>
          </cell>
          <cell r="AD147">
            <v>46245.931168981479</v>
          </cell>
          <cell r="AE147">
            <v>46246.353935185187</v>
          </cell>
        </row>
        <row r="148">
          <cell r="E148" t="str">
            <v>Male Local staff</v>
          </cell>
          <cell r="F148" t="str">
            <v>MAD0768</v>
          </cell>
          <cell r="G148" t="str">
            <v>HM Shop2</v>
          </cell>
          <cell r="H148" t="str">
            <v>Aishath Suhama</v>
          </cell>
          <cell r="I148">
            <v>1</v>
          </cell>
          <cell r="J148">
            <v>1</v>
          </cell>
          <cell r="K148">
            <v>0</v>
          </cell>
          <cell r="L148">
            <v>46236.962002314816</v>
          </cell>
          <cell r="M148" t="str">
            <v>OFF</v>
          </cell>
          <cell r="N148" t="str">
            <v>OFF</v>
          </cell>
          <cell r="O148">
            <v>0.64861111111111114</v>
          </cell>
          <cell r="P148">
            <v>1</v>
          </cell>
          <cell r="Q148">
            <v>0.3520833333333333</v>
          </cell>
          <cell r="R148">
            <v>0.65</v>
          </cell>
          <cell r="S148">
            <v>46240.352222222224</v>
          </cell>
          <cell r="T148">
            <v>1</v>
          </cell>
          <cell r="U148">
            <v>46241.585462962961</v>
          </cell>
          <cell r="V148">
            <v>46241.956585648149</v>
          </cell>
          <cell r="W148">
            <v>0.64861111111111114</v>
          </cell>
          <cell r="X148">
            <v>46242.967592592591</v>
          </cell>
          <cell r="Y148">
            <v>1</v>
          </cell>
          <cell r="Z148">
            <v>46243.949571759258</v>
          </cell>
          <cell r="AA148">
            <v>1</v>
          </cell>
          <cell r="AB148">
            <v>46244.956041666665</v>
          </cell>
          <cell r="AC148">
            <v>1</v>
          </cell>
          <cell r="AD148">
            <v>46245.950821759259</v>
          </cell>
          <cell r="AE148">
            <v>1</v>
          </cell>
        </row>
        <row r="149">
          <cell r="E149" t="str">
            <v>Fs male Local staff</v>
          </cell>
          <cell r="F149" t="str">
            <v>MAD0769</v>
          </cell>
          <cell r="G149" t="str">
            <v>Stock Keeper</v>
          </cell>
          <cell r="H149" t="str">
            <v>Prashanth Babu</v>
          </cell>
          <cell r="I149">
            <v>46235.344560185185</v>
          </cell>
          <cell r="J149">
            <v>46235.974618055552</v>
          </cell>
          <cell r="K149">
            <v>46236.3515625</v>
          </cell>
          <cell r="L149">
            <v>46236.996979166666</v>
          </cell>
          <cell r="M149">
            <v>46237.3440625</v>
          </cell>
          <cell r="N149">
            <v>46237.971562500003</v>
          </cell>
          <cell r="O149">
            <v>46238.344942129632</v>
          </cell>
          <cell r="P149">
            <v>46238.953576388885</v>
          </cell>
          <cell r="Q149">
            <v>46239.346932870372</v>
          </cell>
          <cell r="R149">
            <v>46239.973680555559</v>
          </cell>
          <cell r="S149">
            <v>46240.349189814813</v>
          </cell>
          <cell r="T149">
            <v>46240.988298611112</v>
          </cell>
          <cell r="U149">
            <v>46241.569016203706</v>
          </cell>
          <cell r="V149">
            <v>46241.950046296297</v>
          </cell>
          <cell r="W149">
            <v>46242.350624999999</v>
          </cell>
          <cell r="X149">
            <v>46242.991423611114</v>
          </cell>
          <cell r="Y149">
            <v>46243.345636574071</v>
          </cell>
          <cell r="Z149">
            <v>46243.942048611112</v>
          </cell>
          <cell r="AA149">
            <v>46244.349803240744</v>
          </cell>
          <cell r="AB149">
            <v>46244.972083333334</v>
          </cell>
          <cell r="AC149">
            <v>46245.348912037036</v>
          </cell>
          <cell r="AD149">
            <v>46245.929236111115</v>
          </cell>
          <cell r="AE149">
            <v>46246.348067129627</v>
          </cell>
        </row>
        <row r="150">
          <cell r="E150" t="str">
            <v>Male Local staff</v>
          </cell>
          <cell r="F150" t="str">
            <v>MAD0770</v>
          </cell>
          <cell r="G150" t="str">
            <v>HeadOffice</v>
          </cell>
          <cell r="H150" t="str">
            <v>Zainab Ahmed Marzoog</v>
          </cell>
          <cell r="I150">
            <v>1</v>
          </cell>
          <cell r="J150">
            <v>1</v>
          </cell>
          <cell r="K150">
            <v>1</v>
          </cell>
          <cell r="L150">
            <v>1</v>
          </cell>
          <cell r="M150">
            <v>1</v>
          </cell>
          <cell r="N150">
            <v>1</v>
          </cell>
          <cell r="O150">
            <v>1</v>
          </cell>
          <cell r="P150">
            <v>1</v>
          </cell>
          <cell r="Q150">
            <v>1</v>
          </cell>
          <cell r="R150">
            <v>1</v>
          </cell>
          <cell r="S150">
            <v>1</v>
          </cell>
          <cell r="T150">
            <v>1</v>
          </cell>
          <cell r="U150" t="str">
            <v>OFF</v>
          </cell>
          <cell r="V150" t="str">
            <v>OFF</v>
          </cell>
          <cell r="W150">
            <v>1</v>
          </cell>
          <cell r="X150">
            <v>1</v>
          </cell>
          <cell r="Y150">
            <v>1</v>
          </cell>
          <cell r="Z150">
            <v>1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1</v>
          </cell>
        </row>
        <row r="151">
          <cell r="E151" t="str">
            <v>Male Local staff</v>
          </cell>
          <cell r="F151" t="str">
            <v>MAD0771</v>
          </cell>
          <cell r="G151" t="str">
            <v>HM Shop1</v>
          </cell>
          <cell r="H151" t="str">
            <v>Saamila Ibrahim</v>
          </cell>
          <cell r="I151">
            <v>46235.352627314816</v>
          </cell>
          <cell r="J151">
            <v>1</v>
          </cell>
          <cell r="K151">
            <v>46236.356064814812</v>
          </cell>
          <cell r="L151">
            <v>1</v>
          </cell>
          <cell r="M151">
            <v>46237.353321759256</v>
          </cell>
          <cell r="N151">
            <v>1</v>
          </cell>
          <cell r="O151">
            <v>46238.357164351852</v>
          </cell>
          <cell r="P151">
            <v>1</v>
          </cell>
          <cell r="Q151">
            <v>46239.356423611112</v>
          </cell>
          <cell r="R151">
            <v>1</v>
          </cell>
          <cell r="S151">
            <v>1</v>
          </cell>
          <cell r="T151">
            <v>46240.975601851853</v>
          </cell>
          <cell r="U151" t="str">
            <v>OFF</v>
          </cell>
          <cell r="V151" t="str">
            <v>OFF</v>
          </cell>
          <cell r="W151">
            <v>1</v>
          </cell>
          <cell r="X151">
            <v>1</v>
          </cell>
          <cell r="Y151">
            <v>46243.354560185187</v>
          </cell>
          <cell r="Z151">
            <v>1</v>
          </cell>
          <cell r="AA151">
            <v>46244.355000000003</v>
          </cell>
          <cell r="AB151">
            <v>1</v>
          </cell>
          <cell r="AC151">
            <v>46245.357465277775</v>
          </cell>
          <cell r="AD151">
            <v>1</v>
          </cell>
          <cell r="AE151">
            <v>46246.352314814816</v>
          </cell>
        </row>
        <row r="152">
          <cell r="E152" t="str">
            <v>HM Junior staff</v>
          </cell>
          <cell r="F152" t="str">
            <v>MAD0772</v>
          </cell>
          <cell r="G152" t="str">
            <v>HM Shop1</v>
          </cell>
          <cell r="H152" t="str">
            <v>Tarek Ahmed</v>
          </cell>
          <cell r="I152">
            <v>46235.352893518517</v>
          </cell>
          <cell r="J152">
            <v>46235.976053240738</v>
          </cell>
          <cell r="K152">
            <v>46236.352349537039</v>
          </cell>
          <cell r="L152">
            <v>46236.96665509259</v>
          </cell>
          <cell r="M152">
            <v>46237.352372685185</v>
          </cell>
          <cell r="N152">
            <v>46237.95553240741</v>
          </cell>
          <cell r="O152">
            <v>46238.351053240738</v>
          </cell>
          <cell r="P152">
            <v>46238.95616898148</v>
          </cell>
          <cell r="Q152">
            <v>46239.35260416667</v>
          </cell>
          <cell r="R152">
            <v>46239.951145833336</v>
          </cell>
          <cell r="S152">
            <v>46240.352546296293</v>
          </cell>
          <cell r="T152">
            <v>46240.975868055553</v>
          </cell>
          <cell r="U152">
            <v>46241.577719907407</v>
          </cell>
          <cell r="V152">
            <v>46241.956377314818</v>
          </cell>
          <cell r="W152">
            <v>46242.355509259258</v>
          </cell>
          <cell r="X152">
            <v>46242.972083333334</v>
          </cell>
          <cell r="Y152">
            <v>46243.348819444444</v>
          </cell>
          <cell r="Z152">
            <v>46243.954710648148</v>
          </cell>
          <cell r="AA152">
            <v>46244.352488425924</v>
          </cell>
          <cell r="AB152">
            <v>46244.956296296295</v>
          </cell>
          <cell r="AC152">
            <v>46245.352083333331</v>
          </cell>
          <cell r="AD152">
            <v>46245.954872685186</v>
          </cell>
          <cell r="AE152">
            <v>46246.347824074073</v>
          </cell>
        </row>
        <row r="153">
          <cell r="E153" t="str">
            <v>FJ male Local staff</v>
          </cell>
          <cell r="F153" t="str">
            <v>MAD0773</v>
          </cell>
          <cell r="G153" t="str">
            <v>Wholesale</v>
          </cell>
          <cell r="H153" t="str">
            <v>Nabina Sarki</v>
          </cell>
          <cell r="I153">
            <v>46235.349537037036</v>
          </cell>
          <cell r="J153">
            <v>46235.955104166664</v>
          </cell>
          <cell r="K153">
            <v>46236.348368055558</v>
          </cell>
          <cell r="L153">
            <v>46236.955706018518</v>
          </cell>
          <cell r="M153">
            <v>46237.340601851851</v>
          </cell>
          <cell r="N153">
            <v>46237.95952546296</v>
          </cell>
          <cell r="O153">
            <v>46238.349780092591</v>
          </cell>
          <cell r="P153">
            <v>46238.946898148148</v>
          </cell>
          <cell r="Q153">
            <v>46239.349120370367</v>
          </cell>
          <cell r="R153">
            <v>46239.939432870371</v>
          </cell>
          <cell r="S153">
            <v>46240.339166666665</v>
          </cell>
          <cell r="T153">
            <v>46240.958981481483</v>
          </cell>
          <cell r="U153">
            <v>46241.577777777777</v>
          </cell>
          <cell r="V153">
            <v>46241.951516203706</v>
          </cell>
          <cell r="W153">
            <v>46242.343310185184</v>
          </cell>
          <cell r="X153">
            <v>46242.949513888889</v>
          </cell>
          <cell r="Y153">
            <v>46243.343275462961</v>
          </cell>
          <cell r="Z153">
            <v>46243.950497685182</v>
          </cell>
          <cell r="AA153">
            <v>46244.343923611108</v>
          </cell>
          <cell r="AB153">
            <v>46244.94321759259</v>
          </cell>
          <cell r="AC153">
            <v>46245.338414351849</v>
          </cell>
          <cell r="AD153">
            <v>46245.945914351854</v>
          </cell>
          <cell r="AE153">
            <v>46246.343344907407</v>
          </cell>
        </row>
        <row r="154">
          <cell r="E154" t="str">
            <v>FJ male Local staff</v>
          </cell>
          <cell r="F154" t="str">
            <v>MAD0774</v>
          </cell>
          <cell r="G154" t="str">
            <v>HM Shop2</v>
          </cell>
          <cell r="H154" t="str">
            <v>MD Rakib Mia</v>
          </cell>
          <cell r="I154">
            <v>46235.348564814813</v>
          </cell>
          <cell r="J154">
            <v>46249.337534722225</v>
          </cell>
          <cell r="K154">
            <v>46236.352418981478</v>
          </cell>
          <cell r="L154">
            <v>46236.952650462961</v>
          </cell>
          <cell r="M154">
            <v>46237.341273148151</v>
          </cell>
          <cell r="N154">
            <v>46237.950810185182</v>
          </cell>
          <cell r="O154">
            <v>46238.343726851854</v>
          </cell>
          <cell r="P154">
            <v>46238.951261574075</v>
          </cell>
          <cell r="Q154">
            <v>46239.344108796293</v>
          </cell>
          <cell r="R154">
            <v>46239.949513888889</v>
          </cell>
          <cell r="S154">
            <v>46240.343530092592</v>
          </cell>
          <cell r="T154">
            <v>46240.972662037035</v>
          </cell>
          <cell r="U154" t="str">
            <v>OFF</v>
          </cell>
          <cell r="V154" t="str">
            <v>OFF</v>
          </cell>
          <cell r="W154">
            <v>46242.345092592594</v>
          </cell>
          <cell r="X154">
            <v>46242.971284722225</v>
          </cell>
          <cell r="Y154">
            <v>46243.340104166666</v>
          </cell>
          <cell r="Z154">
            <v>46243.949571759258</v>
          </cell>
          <cell r="AA154">
            <v>46244.353136574071</v>
          </cell>
          <cell r="AB154">
            <v>46244.959374999999</v>
          </cell>
          <cell r="AC154">
            <v>46245.353009259263</v>
          </cell>
          <cell r="AD154">
            <v>46245.956134259257</v>
          </cell>
          <cell r="AE154">
            <v>46246.350532407407</v>
          </cell>
        </row>
        <row r="155">
          <cell r="E155" t="str">
            <v>FJ male Local staff</v>
          </cell>
          <cell r="F155" t="str">
            <v>MAD0775</v>
          </cell>
          <cell r="G155" t="str">
            <v>Retail Shop</v>
          </cell>
          <cell r="H155" t="str">
            <v>Abu Sufian Rakib</v>
          </cell>
          <cell r="I155">
            <v>46235.344166666669</v>
          </cell>
          <cell r="J155">
            <v>46235.973391203705</v>
          </cell>
          <cell r="K155">
            <v>46236.348923611113</v>
          </cell>
          <cell r="L155">
            <v>46236.949687499997</v>
          </cell>
          <cell r="M155">
            <v>46237.344004629631</v>
          </cell>
          <cell r="N155">
            <v>46237.947731481479</v>
          </cell>
          <cell r="O155">
            <v>46238.351238425923</v>
          </cell>
          <cell r="P155">
            <v>46238.94635416667</v>
          </cell>
          <cell r="Q155">
            <v>46239.35056712963</v>
          </cell>
          <cell r="R155">
            <v>46239.944444444445</v>
          </cell>
          <cell r="S155">
            <v>46240.351145833331</v>
          </cell>
          <cell r="T155">
            <v>46240.98060185185</v>
          </cell>
          <cell r="U155">
            <v>46241.580370370371</v>
          </cell>
          <cell r="V155">
            <v>46241.954293981478</v>
          </cell>
          <cell r="W155">
            <v>46242.3516087963</v>
          </cell>
          <cell r="X155">
            <v>46242.971296296295</v>
          </cell>
          <cell r="Y155">
            <v>46243.352233796293</v>
          </cell>
          <cell r="Z155">
            <v>46243.96502314815</v>
          </cell>
          <cell r="AA155">
            <v>46244.352893518517</v>
          </cell>
          <cell r="AB155">
            <v>1</v>
          </cell>
          <cell r="AC155">
            <v>46245.351666666669</v>
          </cell>
          <cell r="AD155">
            <v>46245.951435185183</v>
          </cell>
          <cell r="AE155">
            <v>46246.352847222224</v>
          </cell>
        </row>
        <row r="156">
          <cell r="E156" t="str">
            <v>FJ male Local staff</v>
          </cell>
          <cell r="F156" t="str">
            <v>MAD0776</v>
          </cell>
          <cell r="G156" t="str">
            <v>Doores Godown</v>
          </cell>
          <cell r="H156" t="str">
            <v>MD Habibur Rahman</v>
          </cell>
          <cell r="I156"/>
          <cell r="J156"/>
          <cell r="K156"/>
          <cell r="L156"/>
          <cell r="M156"/>
          <cell r="N156"/>
          <cell r="O156"/>
          <cell r="P156"/>
          <cell r="Q156">
            <v>46239.347361111111</v>
          </cell>
          <cell r="R156">
            <v>46239.965011574073</v>
          </cell>
          <cell r="S156">
            <v>46240.344606481478</v>
          </cell>
          <cell r="T156">
            <v>1</v>
          </cell>
          <cell r="U156">
            <v>46241.575532407405</v>
          </cell>
          <cell r="V156">
            <v>46241.933796296296</v>
          </cell>
          <cell r="W156">
            <v>46242.348252314812</v>
          </cell>
          <cell r="X156">
            <v>46242.988495370373</v>
          </cell>
          <cell r="Y156">
            <v>46243.350555555553</v>
          </cell>
          <cell r="Z156">
            <v>46245.950844907406</v>
          </cell>
          <cell r="AA156" t="str">
            <v>SICK</v>
          </cell>
          <cell r="AB156" t="str">
            <v>SICK</v>
          </cell>
          <cell r="AC156" t="str">
            <v>SICK</v>
          </cell>
          <cell r="AD156" t="str">
            <v>SICK</v>
          </cell>
          <cell r="AE156">
            <v>46246.349247685182</v>
          </cell>
        </row>
        <row r="157">
          <cell r="E157" t="str">
            <v>FJ male Local staff</v>
          </cell>
          <cell r="F157" t="str">
            <v>MAD0777</v>
          </cell>
          <cell r="G157" t="str">
            <v>Doores Godown</v>
          </cell>
          <cell r="H157" t="str">
            <v>Sufal Das</v>
          </cell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>
            <v>46241.581921296296</v>
          </cell>
          <cell r="V157">
            <v>46241.933865740742</v>
          </cell>
          <cell r="W157">
            <v>46242.348310185182</v>
          </cell>
          <cell r="X157">
            <v>46242.931481481479</v>
          </cell>
          <cell r="Y157">
            <v>46243.345648148148</v>
          </cell>
          <cell r="Z157">
            <v>46243.936712962961</v>
          </cell>
          <cell r="AA157">
            <v>46244.352407407408</v>
          </cell>
          <cell r="AB157">
            <v>46244.965208333335</v>
          </cell>
          <cell r="AC157">
            <v>46245.351226851853</v>
          </cell>
          <cell r="AD157">
            <v>46245.928240740737</v>
          </cell>
          <cell r="AE157" t="str">
            <v>SICK</v>
          </cell>
        </row>
      </sheetData>
      <sheetData sheetId="35"/>
      <sheetData sheetId="36"/>
      <sheetData sheetId="3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309D74-53D8-451C-BBF6-C79A1162CA3E}" name="Table1" displayName="Table1" ref="CG4:CQ27" totalsRowShown="0" headerRowDxfId="1717" dataDxfId="1715" headerRowBorderDxfId="1716" tableBorderDxfId="1714" totalsRowBorderDxfId="1713">
  <autoFilter ref="CG4:CQ27" xr:uid="{C5309D74-53D8-451C-BBF6-C79A1162CA3E}"/>
  <tableColumns count="11">
    <tableColumn id="1" xr3:uid="{77A0E13E-5799-4C51-9B9D-764F7EC3B2A2}" name="MC" dataDxfId="1712"/>
    <tableColumn id="2" xr3:uid="{EB5D1FE6-2099-48DC-843A-922345D1799C}" name="EL" dataDxfId="1711"/>
    <tableColumn id="3" xr3:uid="{273122D7-D3D7-4F6A-9E6D-E93DF2DF0B27}" name="AL" dataDxfId="1710"/>
    <tableColumn id="4" xr3:uid="{B7AA7E3F-797D-4E59-ABF4-A10DED797705}" name="SUS" dataDxfId="1709"/>
    <tableColumn id="5" xr3:uid="{FF39316F-7211-4A90-81FC-66B156DA3370}" name="FL" dataDxfId="1708"/>
    <tableColumn id="6" xr3:uid="{C1AC8A82-6AED-43E8-BC9E-B08DBA59F3CB}" name="S" dataDxfId="1707"/>
    <tableColumn id="7" xr3:uid="{9F1B4AC5-FE14-4372-9A6B-3C39BF751A75}" name="HD" dataDxfId="1706"/>
    <tableColumn id="8" xr3:uid="{C1782C61-8577-4048-80AA-855C84FC8A55}" name="AB" dataDxfId="1705"/>
    <tableColumn id="9" xr3:uid="{06E98CE2-1D98-4581-9F55-176721D2D094}" name="NL" dataDxfId="1704"/>
    <tableColumn id="10" xr3:uid="{AD8D1379-4ABC-49D0-8269-2F105F33CF9F}" name="SP" dataDxfId="1703"/>
    <tableColumn id="11" xr3:uid="{578C8149-ECDB-4F46-B84E-C814E33BCF50}" name="Total" dataDxfId="170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8E39F-17DB-4701-914B-A818E8D02BA0}">
  <sheetPr>
    <pageSetUpPr fitToPage="1"/>
  </sheetPr>
  <dimension ref="A1:CQ147"/>
  <sheetViews>
    <sheetView zoomScale="85" zoomScaleNormal="85" workbookViewId="0">
      <pane xSplit="4" ySplit="4" topLeftCell="BA5" activePane="bottomRight" state="frozen"/>
      <selection pane="topRight" activeCell="E1" sqref="E1"/>
      <selection pane="bottomLeft" activeCell="A5" sqref="A5"/>
      <selection pane="bottomRight" activeCell="BR55" sqref="BR55"/>
    </sheetView>
  </sheetViews>
  <sheetFormatPr defaultRowHeight="15" x14ac:dyDescent="0.25"/>
  <cols>
    <col min="1" max="1" width="5.140625" style="45" customWidth="1"/>
    <col min="2" max="2" width="12" style="15" customWidth="1"/>
    <col min="3" max="3" width="29" customWidth="1"/>
    <col min="4" max="4" width="12.140625" hidden="1" customWidth="1"/>
    <col min="5" max="5" width="6.5703125" customWidth="1"/>
    <col min="6" max="6" width="7.28515625" customWidth="1"/>
    <col min="7" max="7" width="6.5703125" customWidth="1"/>
    <col min="8" max="8" width="8.7109375" customWidth="1"/>
    <col min="9" max="9" width="6.5703125" customWidth="1"/>
    <col min="10" max="10" width="7.7109375" customWidth="1"/>
    <col min="11" max="34" width="6.5703125" customWidth="1"/>
    <col min="35" max="35" width="5" style="73" customWidth="1"/>
    <col min="36" max="36" width="5.140625" style="57" customWidth="1"/>
    <col min="37" max="66" width="6.5703125" customWidth="1"/>
    <col min="67" max="68" width="6.5703125" hidden="1" customWidth="1"/>
    <col min="69" max="69" width="5.85546875" style="15" customWidth="1"/>
    <col min="70" max="77" width="5" customWidth="1"/>
    <col min="78" max="78" width="5.85546875" customWidth="1"/>
    <col min="79" max="82" width="5" customWidth="1"/>
    <col min="83" max="83" width="24" customWidth="1"/>
    <col min="85" max="95" width="6" customWidth="1"/>
  </cols>
  <sheetData>
    <row r="1" spans="1:95" ht="25.5" customHeight="1" x14ac:dyDescent="0.25">
      <c r="A1" s="255" t="s">
        <v>265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  <c r="AA1" s="256"/>
      <c r="AB1" s="256"/>
      <c r="AC1" s="256"/>
      <c r="AD1" s="256"/>
      <c r="AE1" s="256"/>
      <c r="AF1" s="256"/>
      <c r="AG1" s="256"/>
      <c r="AH1" s="257"/>
      <c r="AI1" s="106"/>
      <c r="AJ1" s="269" t="s">
        <v>265</v>
      </c>
      <c r="AK1" s="269"/>
      <c r="AL1" s="269"/>
      <c r="AM1" s="269"/>
      <c r="AN1" s="269"/>
      <c r="AO1" s="269"/>
      <c r="AP1" s="269"/>
      <c r="AQ1" s="269"/>
      <c r="AR1" s="269"/>
      <c r="AS1" s="269"/>
      <c r="AT1" s="269"/>
      <c r="AU1" s="269"/>
      <c r="AV1" s="269"/>
      <c r="AW1" s="269"/>
      <c r="AX1" s="269"/>
      <c r="AY1" s="269"/>
      <c r="AZ1" s="269"/>
      <c r="BA1" s="269"/>
      <c r="BB1" s="269"/>
      <c r="BC1" s="269"/>
      <c r="BD1" s="269"/>
      <c r="BE1" s="269"/>
      <c r="BF1" s="269"/>
      <c r="BG1" s="269"/>
      <c r="BH1" s="269"/>
      <c r="BI1" s="269"/>
      <c r="BJ1" s="269"/>
      <c r="BK1" s="269"/>
      <c r="BL1" s="269"/>
      <c r="BM1" s="269"/>
      <c r="BN1" s="269"/>
      <c r="BO1" s="269"/>
      <c r="BP1" s="269"/>
      <c r="BQ1" s="269"/>
      <c r="BR1" s="269"/>
      <c r="BS1" s="269"/>
      <c r="BT1" s="269"/>
      <c r="BU1" s="269"/>
      <c r="BV1" s="269"/>
      <c r="BW1" s="269"/>
      <c r="BX1" s="269"/>
      <c r="BY1" s="269"/>
      <c r="BZ1" s="269"/>
      <c r="CA1" s="269"/>
      <c r="CB1" s="269"/>
      <c r="CC1" s="269"/>
      <c r="CD1" s="269"/>
      <c r="CE1" s="269"/>
    </row>
    <row r="2" spans="1:95" ht="22.5" customHeight="1" x14ac:dyDescent="0.25">
      <c r="A2" s="262" t="s">
        <v>0</v>
      </c>
      <c r="B2" s="262"/>
      <c r="C2" s="262"/>
      <c r="D2" s="84"/>
      <c r="E2" s="240" t="s">
        <v>7</v>
      </c>
      <c r="F2" s="240"/>
      <c r="G2" s="240" t="s">
        <v>1</v>
      </c>
      <c r="H2" s="240"/>
      <c r="I2" s="240" t="s">
        <v>2</v>
      </c>
      <c r="J2" s="240"/>
      <c r="K2" s="240" t="s">
        <v>3</v>
      </c>
      <c r="L2" s="240"/>
      <c r="M2" s="240" t="s">
        <v>4</v>
      </c>
      <c r="N2" s="240"/>
      <c r="O2" s="240" t="s">
        <v>5</v>
      </c>
      <c r="P2" s="240"/>
      <c r="Q2" s="240" t="s">
        <v>6</v>
      </c>
      <c r="R2" s="240"/>
      <c r="S2" s="240" t="s">
        <v>7</v>
      </c>
      <c r="T2" s="240"/>
      <c r="U2" s="240" t="s">
        <v>1</v>
      </c>
      <c r="V2" s="240"/>
      <c r="W2" s="240" t="s">
        <v>2</v>
      </c>
      <c r="X2" s="240"/>
      <c r="Y2" s="240" t="s">
        <v>3</v>
      </c>
      <c r="Z2" s="240"/>
      <c r="AA2" s="240" t="s">
        <v>4</v>
      </c>
      <c r="AB2" s="240"/>
      <c r="AC2" s="240" t="s">
        <v>5</v>
      </c>
      <c r="AD2" s="240"/>
      <c r="AE2" s="240" t="s">
        <v>6</v>
      </c>
      <c r="AF2" s="240"/>
      <c r="AG2" s="240" t="s">
        <v>7</v>
      </c>
      <c r="AH2" s="240"/>
      <c r="AI2" s="107"/>
      <c r="AJ2" s="268"/>
      <c r="AK2" s="240" t="s">
        <v>1</v>
      </c>
      <c r="AL2" s="241"/>
      <c r="AM2" s="240" t="s">
        <v>2</v>
      </c>
      <c r="AN2" s="241"/>
      <c r="AO2" s="240" t="s">
        <v>3</v>
      </c>
      <c r="AP2" s="241"/>
      <c r="AQ2" s="240" t="s">
        <v>4</v>
      </c>
      <c r="AR2" s="241"/>
      <c r="AS2" s="240" t="s">
        <v>5</v>
      </c>
      <c r="AT2" s="241"/>
      <c r="AU2" s="240" t="s">
        <v>6</v>
      </c>
      <c r="AV2" s="241"/>
      <c r="AW2" s="240" t="s">
        <v>7</v>
      </c>
      <c r="AX2" s="241"/>
      <c r="AY2" s="240" t="s">
        <v>1</v>
      </c>
      <c r="AZ2" s="241"/>
      <c r="BA2" s="240" t="s">
        <v>2</v>
      </c>
      <c r="BB2" s="241"/>
      <c r="BC2" s="240" t="s">
        <v>3</v>
      </c>
      <c r="BD2" s="241"/>
      <c r="BE2" s="240" t="s">
        <v>4</v>
      </c>
      <c r="BF2" s="241"/>
      <c r="BG2" s="240" t="s">
        <v>5</v>
      </c>
      <c r="BH2" s="241"/>
      <c r="BI2" s="240" t="s">
        <v>6</v>
      </c>
      <c r="BJ2" s="241"/>
      <c r="BK2" s="240" t="s">
        <v>7</v>
      </c>
      <c r="BL2" s="241"/>
      <c r="BM2" s="240" t="s">
        <v>1</v>
      </c>
      <c r="BN2" s="241"/>
      <c r="BO2" s="240" t="s">
        <v>2</v>
      </c>
      <c r="BP2" s="241"/>
      <c r="BQ2" s="273" t="s">
        <v>8</v>
      </c>
      <c r="BR2" s="246" t="s">
        <v>9</v>
      </c>
      <c r="BS2" s="259"/>
      <c r="BT2" s="260"/>
      <c r="BU2" s="260"/>
      <c r="BV2" s="260"/>
      <c r="BW2" s="260"/>
      <c r="BX2" s="260"/>
      <c r="BY2" s="260"/>
      <c r="BZ2" s="260"/>
      <c r="CA2" s="260"/>
      <c r="CB2" s="260"/>
      <c r="CC2" s="260"/>
      <c r="CD2" s="260"/>
      <c r="CE2" s="261"/>
      <c r="CG2" s="258" t="s">
        <v>189</v>
      </c>
      <c r="CH2" s="258"/>
      <c r="CI2" s="258"/>
      <c r="CJ2" s="258"/>
      <c r="CK2" s="258"/>
      <c r="CL2" s="258"/>
      <c r="CM2" s="258"/>
      <c r="CN2" s="258"/>
      <c r="CO2" s="258"/>
      <c r="CP2" s="258"/>
      <c r="CQ2" s="46"/>
    </row>
    <row r="3" spans="1:95" ht="22.5" customHeight="1" x14ac:dyDescent="0.25">
      <c r="A3" s="262"/>
      <c r="B3" s="262"/>
      <c r="C3" s="262"/>
      <c r="D3" s="84"/>
      <c r="E3" s="242">
        <v>46266</v>
      </c>
      <c r="F3" s="242"/>
      <c r="G3" s="242">
        <v>46267</v>
      </c>
      <c r="H3" s="242"/>
      <c r="I3" s="242">
        <v>46268</v>
      </c>
      <c r="J3" s="242"/>
      <c r="K3" s="242">
        <v>46269</v>
      </c>
      <c r="L3" s="242"/>
      <c r="M3" s="242">
        <v>46270</v>
      </c>
      <c r="N3" s="242"/>
      <c r="O3" s="242">
        <v>46271</v>
      </c>
      <c r="P3" s="242"/>
      <c r="Q3" s="242">
        <v>46272</v>
      </c>
      <c r="R3" s="242"/>
      <c r="S3" s="242">
        <v>46273</v>
      </c>
      <c r="T3" s="242"/>
      <c r="U3" s="242">
        <v>46274</v>
      </c>
      <c r="V3" s="242"/>
      <c r="W3" s="242">
        <v>46275</v>
      </c>
      <c r="X3" s="242"/>
      <c r="Y3" s="242">
        <v>46276</v>
      </c>
      <c r="Z3" s="242"/>
      <c r="AA3" s="242">
        <v>46277</v>
      </c>
      <c r="AB3" s="242"/>
      <c r="AC3" s="242">
        <v>46278</v>
      </c>
      <c r="AD3" s="242"/>
      <c r="AE3" s="242">
        <v>46279</v>
      </c>
      <c r="AF3" s="242"/>
      <c r="AG3" s="242">
        <v>46280</v>
      </c>
      <c r="AH3" s="242"/>
      <c r="AI3" s="108"/>
      <c r="AJ3" s="268"/>
      <c r="AK3" s="242">
        <v>46281</v>
      </c>
      <c r="AL3" s="244"/>
      <c r="AM3" s="242">
        <v>46282</v>
      </c>
      <c r="AN3" s="244"/>
      <c r="AO3" s="242">
        <v>46283</v>
      </c>
      <c r="AP3" s="244"/>
      <c r="AQ3" s="242">
        <v>46284</v>
      </c>
      <c r="AR3" s="244"/>
      <c r="AS3" s="242">
        <v>46285</v>
      </c>
      <c r="AT3" s="244"/>
      <c r="AU3" s="242">
        <v>46286</v>
      </c>
      <c r="AV3" s="244"/>
      <c r="AW3" s="242">
        <v>46287</v>
      </c>
      <c r="AX3" s="244"/>
      <c r="AY3" s="242">
        <v>46288</v>
      </c>
      <c r="AZ3" s="244"/>
      <c r="BA3" s="242">
        <v>46289</v>
      </c>
      <c r="BB3" s="244"/>
      <c r="BC3" s="242">
        <v>46290</v>
      </c>
      <c r="BD3" s="244"/>
      <c r="BE3" s="242">
        <v>46291</v>
      </c>
      <c r="BF3" s="244"/>
      <c r="BG3" s="242">
        <v>46292</v>
      </c>
      <c r="BH3" s="244"/>
      <c r="BI3" s="242">
        <v>46293</v>
      </c>
      <c r="BJ3" s="244"/>
      <c r="BK3" s="242">
        <v>46294</v>
      </c>
      <c r="BL3" s="244"/>
      <c r="BM3" s="242">
        <v>46295</v>
      </c>
      <c r="BN3" s="244"/>
      <c r="BO3" s="242">
        <v>46296</v>
      </c>
      <c r="BP3" s="244"/>
      <c r="BQ3" s="274"/>
      <c r="BR3" s="247"/>
      <c r="BS3" s="1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3"/>
      <c r="CG3" s="56" t="s">
        <v>243</v>
      </c>
      <c r="CH3" s="56"/>
      <c r="CI3" s="56"/>
      <c r="CJ3" s="56"/>
      <c r="CK3" s="56"/>
      <c r="CL3" s="56"/>
      <c r="CM3" s="56"/>
      <c r="CN3" s="56"/>
      <c r="CO3" s="56"/>
      <c r="CP3" s="56"/>
      <c r="CQ3" s="46"/>
    </row>
    <row r="4" spans="1:95" ht="20.25" customHeight="1" x14ac:dyDescent="0.25">
      <c r="A4" s="4" t="s">
        <v>10</v>
      </c>
      <c r="B4" s="4" t="s">
        <v>11</v>
      </c>
      <c r="C4" s="4" t="s">
        <v>12</v>
      </c>
      <c r="D4" s="13"/>
      <c r="E4" s="13" t="s">
        <v>13</v>
      </c>
      <c r="F4" s="13" t="s">
        <v>14</v>
      </c>
      <c r="G4" s="13" t="s">
        <v>13</v>
      </c>
      <c r="H4" s="13" t="s">
        <v>14</v>
      </c>
      <c r="I4" s="13" t="s">
        <v>13</v>
      </c>
      <c r="J4" s="13" t="s">
        <v>14</v>
      </c>
      <c r="K4" s="13" t="s">
        <v>13</v>
      </c>
      <c r="L4" s="13" t="s">
        <v>14</v>
      </c>
      <c r="M4" s="13" t="s">
        <v>13</v>
      </c>
      <c r="N4" s="13" t="s">
        <v>14</v>
      </c>
      <c r="O4" s="13" t="s">
        <v>13</v>
      </c>
      <c r="P4" s="13" t="s">
        <v>14</v>
      </c>
      <c r="Q4" s="13" t="s">
        <v>13</v>
      </c>
      <c r="R4" s="13" t="s">
        <v>14</v>
      </c>
      <c r="S4" s="13" t="s">
        <v>13</v>
      </c>
      <c r="T4" s="13" t="s">
        <v>14</v>
      </c>
      <c r="U4" s="13" t="s">
        <v>13</v>
      </c>
      <c r="V4" s="13" t="s">
        <v>14</v>
      </c>
      <c r="W4" s="13" t="s">
        <v>13</v>
      </c>
      <c r="X4" s="13" t="s">
        <v>14</v>
      </c>
      <c r="Y4" s="13" t="s">
        <v>13</v>
      </c>
      <c r="Z4" s="13" t="s">
        <v>14</v>
      </c>
      <c r="AA4" s="13" t="s">
        <v>13</v>
      </c>
      <c r="AB4" s="13" t="s">
        <v>14</v>
      </c>
      <c r="AC4" s="13" t="s">
        <v>13</v>
      </c>
      <c r="AD4" s="13" t="s">
        <v>14</v>
      </c>
      <c r="AE4" s="13" t="s">
        <v>13</v>
      </c>
      <c r="AF4" s="13" t="s">
        <v>14</v>
      </c>
      <c r="AG4" s="13" t="s">
        <v>13</v>
      </c>
      <c r="AH4" s="13" t="s">
        <v>14</v>
      </c>
      <c r="AI4" s="109"/>
      <c r="AJ4" s="268"/>
      <c r="AK4" s="13" t="s">
        <v>13</v>
      </c>
      <c r="AL4" s="14" t="s">
        <v>14</v>
      </c>
      <c r="AM4" s="13" t="s">
        <v>13</v>
      </c>
      <c r="AN4" s="14" t="s">
        <v>14</v>
      </c>
      <c r="AO4" s="13" t="s">
        <v>13</v>
      </c>
      <c r="AP4" s="14" t="s">
        <v>14</v>
      </c>
      <c r="AQ4" s="13" t="s">
        <v>13</v>
      </c>
      <c r="AR4" s="14" t="s">
        <v>14</v>
      </c>
      <c r="AS4" s="13" t="s">
        <v>13</v>
      </c>
      <c r="AT4" s="14" t="s">
        <v>14</v>
      </c>
      <c r="AU4" s="13" t="s">
        <v>13</v>
      </c>
      <c r="AV4" s="14" t="s">
        <v>14</v>
      </c>
      <c r="AW4" s="13" t="s">
        <v>13</v>
      </c>
      <c r="AX4" s="14" t="s">
        <v>14</v>
      </c>
      <c r="AY4" s="13" t="s">
        <v>13</v>
      </c>
      <c r="AZ4" s="14" t="s">
        <v>14</v>
      </c>
      <c r="BA4" s="13" t="s">
        <v>13</v>
      </c>
      <c r="BB4" s="14" t="s">
        <v>14</v>
      </c>
      <c r="BC4" s="13" t="s">
        <v>13</v>
      </c>
      <c r="BD4" s="14" t="s">
        <v>14</v>
      </c>
      <c r="BE4" s="13" t="s">
        <v>13</v>
      </c>
      <c r="BF4" s="14" t="s">
        <v>14</v>
      </c>
      <c r="BG4" s="13" t="s">
        <v>13</v>
      </c>
      <c r="BH4" s="14" t="s">
        <v>14</v>
      </c>
      <c r="BI4" s="13" t="s">
        <v>13</v>
      </c>
      <c r="BJ4" s="14" t="s">
        <v>14</v>
      </c>
      <c r="BK4" s="13" t="s">
        <v>13</v>
      </c>
      <c r="BL4" s="14" t="s">
        <v>14</v>
      </c>
      <c r="BM4" s="13" t="s">
        <v>13</v>
      </c>
      <c r="BN4" s="14" t="s">
        <v>14</v>
      </c>
      <c r="BO4" s="13" t="s">
        <v>13</v>
      </c>
      <c r="BP4" s="14" t="s">
        <v>14</v>
      </c>
      <c r="BQ4" s="266"/>
      <c r="BR4" s="248"/>
      <c r="BS4" s="5"/>
      <c r="BT4" s="91" t="s">
        <v>15</v>
      </c>
      <c r="BU4" s="90" t="s">
        <v>16</v>
      </c>
      <c r="BV4" s="90" t="s">
        <v>17</v>
      </c>
      <c r="BW4" s="88" t="s">
        <v>18</v>
      </c>
      <c r="BX4" s="90" t="s">
        <v>19</v>
      </c>
      <c r="BY4" s="90" t="s">
        <v>20</v>
      </c>
      <c r="BZ4" s="74" t="s">
        <v>170</v>
      </c>
      <c r="CA4" s="6" t="s">
        <v>22</v>
      </c>
      <c r="CB4" s="76" t="s">
        <v>23</v>
      </c>
      <c r="CC4" s="76" t="s">
        <v>24</v>
      </c>
      <c r="CD4" s="76" t="s">
        <v>25</v>
      </c>
      <c r="CE4" s="7" t="s">
        <v>26</v>
      </c>
      <c r="CG4" s="50" t="s">
        <v>16</v>
      </c>
      <c r="CH4" s="51" t="s">
        <v>17</v>
      </c>
      <c r="CI4" s="51" t="s">
        <v>18</v>
      </c>
      <c r="CJ4" s="51" t="s">
        <v>19</v>
      </c>
      <c r="CK4" s="51" t="s">
        <v>20</v>
      </c>
      <c r="CL4" s="51" t="s">
        <v>21</v>
      </c>
      <c r="CM4" s="51" t="s">
        <v>22</v>
      </c>
      <c r="CN4" s="51" t="s">
        <v>23</v>
      </c>
      <c r="CO4" s="51" t="s">
        <v>24</v>
      </c>
      <c r="CP4" s="51" t="s">
        <v>25</v>
      </c>
      <c r="CQ4" s="52" t="s">
        <v>190</v>
      </c>
    </row>
    <row r="5" spans="1:95" ht="22.5" customHeight="1" x14ac:dyDescent="0.25">
      <c r="A5" s="158">
        <v>1</v>
      </c>
      <c r="B5" s="11" t="s">
        <v>27</v>
      </c>
      <c r="C5" s="8" t="s">
        <v>28</v>
      </c>
      <c r="D5" s="85">
        <v>44045</v>
      </c>
      <c r="E5" s="124">
        <v>46266.371712962966</v>
      </c>
      <c r="F5" s="124">
        <v>46264.964074074072</v>
      </c>
      <c r="G5" s="124">
        <v>46267.37195601852</v>
      </c>
      <c r="H5" s="124">
        <v>46267.743078703701</v>
      </c>
      <c r="I5" s="124">
        <v>46268.374525462961</v>
      </c>
      <c r="J5" s="124">
        <v>46268.729675925926</v>
      </c>
      <c r="K5" s="178" t="s">
        <v>15</v>
      </c>
      <c r="L5" s="178" t="s">
        <v>15</v>
      </c>
      <c r="M5" s="124">
        <v>46270.401296296295</v>
      </c>
      <c r="N5" s="124">
        <v>46270.749583333331</v>
      </c>
      <c r="O5" s="124">
        <v>46271.373287037037</v>
      </c>
      <c r="P5" s="124">
        <v>0</v>
      </c>
      <c r="Q5" s="124">
        <v>46272.372199074074</v>
      </c>
      <c r="R5" s="124">
        <v>46272.75445601852</v>
      </c>
      <c r="S5" s="124">
        <v>46273.376493055555</v>
      </c>
      <c r="T5" s="124">
        <v>46273.741412037038</v>
      </c>
      <c r="U5" s="124">
        <v>46274.375590277778</v>
      </c>
      <c r="V5" s="124">
        <v>46274.741689814815</v>
      </c>
      <c r="W5" s="124">
        <v>46275.377881944441</v>
      </c>
      <c r="X5" s="124">
        <v>46275.72625</v>
      </c>
      <c r="Y5" s="178" t="s">
        <v>15</v>
      </c>
      <c r="Z5" s="178" t="s">
        <v>15</v>
      </c>
      <c r="AA5" s="124">
        <v>46277.418391203704</v>
      </c>
      <c r="AB5" s="124">
        <v>46277.725856481484</v>
      </c>
      <c r="AC5" s="124">
        <v>46278.418680555558</v>
      </c>
      <c r="AD5" s="124">
        <v>46278.716469907406</v>
      </c>
      <c r="AE5" s="124">
        <v>46279.376655092594</v>
      </c>
      <c r="AF5" s="124">
        <v>46279.725775462961</v>
      </c>
      <c r="AG5" s="124">
        <v>46280.375069444446</v>
      </c>
      <c r="AH5" s="124">
        <v>0</v>
      </c>
      <c r="AI5" s="124"/>
      <c r="AJ5" s="44">
        <v>1</v>
      </c>
      <c r="AK5" s="124">
        <v>46281.410868055558</v>
      </c>
      <c r="AL5" s="124">
        <v>46281.715266203704</v>
      </c>
      <c r="AM5" s="124">
        <v>46282.376307870371</v>
      </c>
      <c r="AN5" s="124">
        <v>46282.739085648151</v>
      </c>
      <c r="AO5" s="228" t="s">
        <v>15</v>
      </c>
      <c r="AP5" s="228" t="s">
        <v>15</v>
      </c>
      <c r="AQ5" s="124">
        <v>46284.523958333331</v>
      </c>
      <c r="AR5" s="124">
        <v>46284.736215277779</v>
      </c>
      <c r="AS5" s="124">
        <v>46285.380497685182</v>
      </c>
      <c r="AT5" s="124">
        <v>46285.734513888892</v>
      </c>
      <c r="AU5" s="124">
        <v>46286.380995370368</v>
      </c>
      <c r="AV5" s="124">
        <v>46286.725682870368</v>
      </c>
      <c r="AW5" s="124">
        <v>46287.381666666668</v>
      </c>
      <c r="AX5" s="124">
        <v>46287.729548611111</v>
      </c>
      <c r="AY5" s="124">
        <v>46288.380925925929</v>
      </c>
      <c r="AZ5" s="124">
        <v>46288.73982638889</v>
      </c>
      <c r="BA5" s="124">
        <v>46289.374456018515</v>
      </c>
      <c r="BB5" s="124">
        <v>0</v>
      </c>
      <c r="BC5" s="228" t="s">
        <v>15</v>
      </c>
      <c r="BD5" s="228" t="s">
        <v>15</v>
      </c>
      <c r="BE5" s="124">
        <v>46291.42931712963</v>
      </c>
      <c r="BF5" s="124">
        <v>46291.751307870371</v>
      </c>
      <c r="BG5" s="124">
        <v>46292.378541666665</v>
      </c>
      <c r="BH5" s="124">
        <v>46292.726319444446</v>
      </c>
      <c r="BI5" s="124">
        <v>46293.383634259262</v>
      </c>
      <c r="BJ5" s="124">
        <v>46293.759398148148</v>
      </c>
      <c r="BK5" s="124">
        <v>46294.402025462965</v>
      </c>
      <c r="BL5" s="124">
        <v>46294.754212962966</v>
      </c>
      <c r="BM5" s="124">
        <v>46295.382534722223</v>
      </c>
      <c r="BN5" s="124">
        <v>46295.736319444448</v>
      </c>
      <c r="BO5" s="124">
        <v>46265.386377314811</v>
      </c>
      <c r="BP5" s="124">
        <v>46265.730821759258</v>
      </c>
      <c r="BQ5" s="96">
        <f t="shared" ref="BQ5:BQ26" si="0">BS5+BT5+BV5+CA5+BY5+BZ5+CD5+BU5</f>
        <v>30</v>
      </c>
      <c r="BR5" s="67">
        <v>0</v>
      </c>
      <c r="BS5" s="1">
        <f>COUNT(E5:AH5)/2+COUNT(AK5:BN5)/2</f>
        <v>26</v>
      </c>
      <c r="BT5" s="2">
        <f t="shared" ref="BT5:BT26" si="1">COUNTIF(E5:BN5,"OFF")/2</f>
        <v>4</v>
      </c>
      <c r="BU5" s="2">
        <f t="shared" ref="BU5:BU26" si="2">COUNTIF(E5:BN5,"MC")/2</f>
        <v>0</v>
      </c>
      <c r="BV5" s="2">
        <f t="shared" ref="BV5:BV26" si="3">COUNTIF(E5:BN5,"EL")/2</f>
        <v>0</v>
      </c>
      <c r="BW5" s="2">
        <f t="shared" ref="BW5:BW26" si="4">COUNTIF(E5:BN5,"AL")/2</f>
        <v>0</v>
      </c>
      <c r="BX5" s="2">
        <f t="shared" ref="BX5:BX26" si="5">COUNTIF(E5:BN5,"SUS")/2</f>
        <v>0</v>
      </c>
      <c r="BY5" s="2">
        <f t="shared" ref="BY5:BY26" si="6">COUNTIF(E5:BN5,"FL")/2</f>
        <v>0</v>
      </c>
      <c r="BZ5" s="2">
        <f t="shared" ref="BZ5:BZ26" si="7">COUNTIF(E5:BN5,"SICK")/2</f>
        <v>0</v>
      </c>
      <c r="CA5" s="2">
        <f t="shared" ref="CA5:CA26" si="8">COUNTIF(E5:BN5,"HD")/2</f>
        <v>0</v>
      </c>
      <c r="CB5" s="2">
        <f t="shared" ref="CB5:CB26" si="9">COUNTIF(E5:BN5,"AB")/2</f>
        <v>0</v>
      </c>
      <c r="CC5" s="2">
        <f t="shared" ref="CC5:CC26" si="10">COUNTIF(E5:BN5,"NL")/2</f>
        <v>0</v>
      </c>
      <c r="CD5" s="2">
        <f t="shared" ref="CD5:CD26" si="11">COUNTIF(E5:BN5,"SP")/2</f>
        <v>0</v>
      </c>
      <c r="CE5" s="3"/>
      <c r="CG5" s="53">
        <v>0</v>
      </c>
      <c r="CH5" s="53">
        <v>0</v>
      </c>
      <c r="CI5" s="54">
        <v>77</v>
      </c>
      <c r="CJ5" s="53">
        <v>0</v>
      </c>
      <c r="CK5" s="54">
        <v>1</v>
      </c>
      <c r="CL5" s="54">
        <v>5</v>
      </c>
      <c r="CM5" s="53">
        <v>0</v>
      </c>
      <c r="CN5" s="53">
        <v>0</v>
      </c>
      <c r="CO5" s="53">
        <v>0</v>
      </c>
      <c r="CP5" s="53">
        <v>0</v>
      </c>
      <c r="CQ5" s="49">
        <f t="shared" ref="CQ5:CQ21" si="12">SUM(CG5:CP5)</f>
        <v>83</v>
      </c>
    </row>
    <row r="6" spans="1:95" ht="21" customHeight="1" x14ac:dyDescent="0.25">
      <c r="A6" s="158">
        <v>2</v>
      </c>
      <c r="B6" s="11" t="s">
        <v>29</v>
      </c>
      <c r="C6" s="77" t="s">
        <v>30</v>
      </c>
      <c r="D6" s="85">
        <v>41972</v>
      </c>
      <c r="E6" s="124">
        <v>46266.383923611109</v>
      </c>
      <c r="F6" s="124">
        <v>46264.960509259261</v>
      </c>
      <c r="G6" s="124">
        <v>46267.380949074075</v>
      </c>
      <c r="H6" s="124">
        <v>0</v>
      </c>
      <c r="I6" s="124">
        <v>46268.410370370373</v>
      </c>
      <c r="J6" s="124">
        <v>0</v>
      </c>
      <c r="K6" s="124">
        <v>46269.572291666664</v>
      </c>
      <c r="L6" s="124">
        <v>0</v>
      </c>
      <c r="M6" s="124">
        <v>46270.410798611112</v>
      </c>
      <c r="N6" s="124">
        <v>0</v>
      </c>
      <c r="O6" s="124">
        <v>46271.397233796299</v>
      </c>
      <c r="P6" s="124">
        <v>0</v>
      </c>
      <c r="Q6" s="124">
        <v>46272.409189814818</v>
      </c>
      <c r="R6" s="124">
        <v>0</v>
      </c>
      <c r="S6" s="124">
        <v>46273.396041666667</v>
      </c>
      <c r="T6" s="124">
        <v>0</v>
      </c>
      <c r="U6" s="124">
        <v>46274.389594907407</v>
      </c>
      <c r="V6" s="124">
        <v>0</v>
      </c>
      <c r="W6" s="124">
        <v>46275.386712962965</v>
      </c>
      <c r="X6" s="124">
        <v>0</v>
      </c>
      <c r="Y6" s="124">
        <v>46276.610937500001</v>
      </c>
      <c r="Z6" s="124">
        <v>0</v>
      </c>
      <c r="AA6" s="124">
        <v>46277.382604166669</v>
      </c>
      <c r="AB6" s="124">
        <v>0</v>
      </c>
      <c r="AC6" s="124">
        <v>46278.39571759259</v>
      </c>
      <c r="AD6" s="124">
        <v>0</v>
      </c>
      <c r="AE6" s="124">
        <v>0</v>
      </c>
      <c r="AF6" s="124">
        <v>0</v>
      </c>
      <c r="AG6" s="124">
        <v>46280.416944444441</v>
      </c>
      <c r="AH6" s="124">
        <v>0</v>
      </c>
      <c r="AI6" s="124"/>
      <c r="AJ6" s="44">
        <v>2</v>
      </c>
      <c r="AK6" s="124">
        <v>46281.401539351849</v>
      </c>
      <c r="AL6" s="124">
        <v>0</v>
      </c>
      <c r="AM6" s="131">
        <v>0</v>
      </c>
      <c r="AN6" s="124">
        <v>0</v>
      </c>
      <c r="AO6" s="124">
        <v>0</v>
      </c>
      <c r="AP6" s="124">
        <v>0</v>
      </c>
      <c r="AQ6" s="124">
        <v>46284.436527777776</v>
      </c>
      <c r="AR6" s="124">
        <v>0</v>
      </c>
      <c r="AS6" s="124">
        <v>46285.404652777775</v>
      </c>
      <c r="AT6" s="124">
        <v>0</v>
      </c>
      <c r="AU6" s="124">
        <v>0.41666666666666669</v>
      </c>
      <c r="AV6" s="124">
        <v>0</v>
      </c>
      <c r="AW6" s="124">
        <v>0</v>
      </c>
      <c r="AX6" s="124">
        <v>0</v>
      </c>
      <c r="AY6" s="125" t="s">
        <v>17</v>
      </c>
      <c r="AZ6" s="125" t="s">
        <v>17</v>
      </c>
      <c r="BA6" s="125" t="s">
        <v>17</v>
      </c>
      <c r="BB6" s="125" t="s">
        <v>17</v>
      </c>
      <c r="BC6" s="125" t="s">
        <v>17</v>
      </c>
      <c r="BD6" s="125" t="s">
        <v>17</v>
      </c>
      <c r="BE6" s="125" t="s">
        <v>17</v>
      </c>
      <c r="BF6" s="125" t="s">
        <v>17</v>
      </c>
      <c r="BG6" s="125" t="s">
        <v>17</v>
      </c>
      <c r="BH6" s="125" t="s">
        <v>17</v>
      </c>
      <c r="BI6" s="125" t="s">
        <v>17</v>
      </c>
      <c r="BJ6" s="125" t="s">
        <v>17</v>
      </c>
      <c r="BK6" s="125" t="s">
        <v>17</v>
      </c>
      <c r="BL6" s="125" t="s">
        <v>17</v>
      </c>
      <c r="BM6" s="124">
        <v>0.41666666666666669</v>
      </c>
      <c r="BN6" s="124">
        <v>0</v>
      </c>
      <c r="BO6" s="124">
        <v>46265.409143518518</v>
      </c>
      <c r="BP6" s="124">
        <v>0</v>
      </c>
      <c r="BQ6" s="96">
        <f t="shared" si="0"/>
        <v>30</v>
      </c>
      <c r="BR6" s="159">
        <v>3</v>
      </c>
      <c r="BS6" s="1">
        <f>COUNT(E6:AH6)/2+COUNT(AK6:BN6)/2</f>
        <v>23</v>
      </c>
      <c r="BT6" s="2">
        <f t="shared" si="1"/>
        <v>0</v>
      </c>
      <c r="BU6" s="2">
        <f t="shared" si="2"/>
        <v>0</v>
      </c>
      <c r="BV6" s="2">
        <f t="shared" si="3"/>
        <v>7</v>
      </c>
      <c r="BW6" s="2">
        <f t="shared" si="4"/>
        <v>0</v>
      </c>
      <c r="BX6" s="2">
        <f t="shared" si="5"/>
        <v>0</v>
      </c>
      <c r="BY6" s="2">
        <f t="shared" si="6"/>
        <v>0</v>
      </c>
      <c r="BZ6" s="2">
        <f t="shared" si="7"/>
        <v>0</v>
      </c>
      <c r="CA6" s="2">
        <f t="shared" si="8"/>
        <v>0</v>
      </c>
      <c r="CB6" s="2">
        <f t="shared" si="9"/>
        <v>0</v>
      </c>
      <c r="CC6" s="2">
        <f t="shared" si="10"/>
        <v>0</v>
      </c>
      <c r="CD6" s="2">
        <f t="shared" si="11"/>
        <v>0</v>
      </c>
      <c r="CE6" s="70"/>
      <c r="CG6" s="53">
        <v>0</v>
      </c>
      <c r="CH6" s="53">
        <v>39</v>
      </c>
      <c r="CI6" s="54">
        <v>0</v>
      </c>
      <c r="CJ6" s="53">
        <v>0</v>
      </c>
      <c r="CK6" s="53">
        <v>0</v>
      </c>
      <c r="CL6" s="53">
        <v>1</v>
      </c>
      <c r="CM6" s="53">
        <v>0</v>
      </c>
      <c r="CN6" s="53">
        <v>0</v>
      </c>
      <c r="CO6" s="53">
        <v>0</v>
      </c>
      <c r="CP6" s="53">
        <v>0</v>
      </c>
      <c r="CQ6" s="49">
        <f t="shared" si="12"/>
        <v>40</v>
      </c>
    </row>
    <row r="7" spans="1:95" ht="21" customHeight="1" x14ac:dyDescent="0.25">
      <c r="A7" s="158">
        <v>3</v>
      </c>
      <c r="B7" s="11" t="s">
        <v>31</v>
      </c>
      <c r="C7" s="77" t="s">
        <v>32</v>
      </c>
      <c r="D7" s="85">
        <v>44650</v>
      </c>
      <c r="E7" s="124">
        <v>46266.392685185187</v>
      </c>
      <c r="F7" s="124">
        <v>46264.959733796299</v>
      </c>
      <c r="G7" s="124">
        <v>46267.37327546296</v>
      </c>
      <c r="H7" s="124">
        <v>46267.994537037041</v>
      </c>
      <c r="I7" s="124">
        <v>46268.376319444447</v>
      </c>
      <c r="J7" s="124">
        <v>0</v>
      </c>
      <c r="K7" s="124">
        <v>46269.585358796299</v>
      </c>
      <c r="L7" s="124">
        <v>46269.771631944444</v>
      </c>
      <c r="M7" s="124">
        <v>46270.414375</v>
      </c>
      <c r="N7" s="124">
        <v>46270.765787037039</v>
      </c>
      <c r="O7" s="124">
        <v>46271.374548611115</v>
      </c>
      <c r="P7" s="124">
        <v>46271.980069444442</v>
      </c>
      <c r="Q7" s="124">
        <v>46272.374062499999</v>
      </c>
      <c r="R7" s="124">
        <v>46272.989560185182</v>
      </c>
      <c r="S7" s="124">
        <v>46273.377800925926</v>
      </c>
      <c r="T7" s="124">
        <v>0</v>
      </c>
      <c r="U7" s="125" t="s">
        <v>18</v>
      </c>
      <c r="V7" s="125" t="s">
        <v>18</v>
      </c>
      <c r="W7" s="125" t="s">
        <v>18</v>
      </c>
      <c r="X7" s="125" t="s">
        <v>18</v>
      </c>
      <c r="Y7" s="125" t="s">
        <v>18</v>
      </c>
      <c r="Z7" s="125" t="s">
        <v>18</v>
      </c>
      <c r="AA7" s="125" t="s">
        <v>18</v>
      </c>
      <c r="AB7" s="125" t="s">
        <v>18</v>
      </c>
      <c r="AC7" s="125" t="s">
        <v>18</v>
      </c>
      <c r="AD7" s="125" t="s">
        <v>18</v>
      </c>
      <c r="AE7" s="125" t="s">
        <v>18</v>
      </c>
      <c r="AF7" s="125" t="s">
        <v>18</v>
      </c>
      <c r="AG7" s="124">
        <v>46280.3752662037</v>
      </c>
      <c r="AH7" s="124">
        <v>46280.978576388887</v>
      </c>
      <c r="AI7" s="124"/>
      <c r="AJ7" s="44">
        <v>3</v>
      </c>
      <c r="AK7" s="124">
        <v>46281.375833333332</v>
      </c>
      <c r="AL7" s="124">
        <v>46281.73641203704</v>
      </c>
      <c r="AM7" s="131">
        <v>46282.374942129631</v>
      </c>
      <c r="AN7" s="124">
        <v>46282.747777777775</v>
      </c>
      <c r="AO7" s="228" t="s">
        <v>15</v>
      </c>
      <c r="AP7" s="228" t="s">
        <v>15</v>
      </c>
      <c r="AQ7" s="124">
        <v>46284.416145833333</v>
      </c>
      <c r="AR7" s="124">
        <v>46284.757916666669</v>
      </c>
      <c r="AS7" s="124">
        <v>46285.378136574072</v>
      </c>
      <c r="AT7" s="124">
        <v>46285.762812499997</v>
      </c>
      <c r="AU7" s="124">
        <v>46286.374976851854</v>
      </c>
      <c r="AV7" s="124">
        <v>46286.752592592595</v>
      </c>
      <c r="AW7" s="124">
        <v>46287.373900462961</v>
      </c>
      <c r="AX7" s="124">
        <v>46287.762708333335</v>
      </c>
      <c r="AY7" s="124">
        <v>46288.374976851854</v>
      </c>
      <c r="AZ7" s="124">
        <v>46288.747430555559</v>
      </c>
      <c r="BA7" s="124">
        <v>46289.377430555556</v>
      </c>
      <c r="BB7" s="124">
        <v>46289.751631944448</v>
      </c>
      <c r="BC7" s="124">
        <v>46290.006215277775</v>
      </c>
      <c r="BD7" s="124">
        <v>46290.77952546296</v>
      </c>
      <c r="BE7" s="124">
        <v>46291.397291666668</v>
      </c>
      <c r="BF7" s="124">
        <v>46291.761631944442</v>
      </c>
      <c r="BG7" s="124">
        <v>46292.376099537039</v>
      </c>
      <c r="BH7" s="124">
        <v>46292.759108796294</v>
      </c>
      <c r="BI7" s="124">
        <v>46293.375717592593</v>
      </c>
      <c r="BJ7" s="124">
        <v>0</v>
      </c>
      <c r="BK7" s="124">
        <v>46294.374502314815</v>
      </c>
      <c r="BL7" s="124">
        <v>46294.756064814814</v>
      </c>
      <c r="BM7" s="124">
        <v>46295.374976851854</v>
      </c>
      <c r="BN7" s="124">
        <v>46295.752395833333</v>
      </c>
      <c r="BO7" s="124">
        <v>46265.3746875</v>
      </c>
      <c r="BP7" s="124">
        <v>46265.97928240741</v>
      </c>
      <c r="BQ7" s="96">
        <f>BS7+BT7+BV7+CA7+BY7+BZ7+CD7+BU7+BW7</f>
        <v>30</v>
      </c>
      <c r="BR7" s="67">
        <v>3</v>
      </c>
      <c r="BS7" s="1">
        <f>COUNT(E7:AH7)/2+COUNT(AK7:BN7)/2</f>
        <v>23</v>
      </c>
      <c r="BT7" s="2">
        <f t="shared" si="1"/>
        <v>1</v>
      </c>
      <c r="BU7" s="2">
        <f t="shared" si="2"/>
        <v>0</v>
      </c>
      <c r="BV7" s="2">
        <f t="shared" si="3"/>
        <v>0</v>
      </c>
      <c r="BW7" s="2">
        <f t="shared" si="4"/>
        <v>6</v>
      </c>
      <c r="BX7" s="2">
        <f t="shared" si="5"/>
        <v>0</v>
      </c>
      <c r="BY7" s="2">
        <f t="shared" si="6"/>
        <v>0</v>
      </c>
      <c r="BZ7" s="2">
        <f t="shared" si="7"/>
        <v>0</v>
      </c>
      <c r="CA7" s="2">
        <f t="shared" si="8"/>
        <v>0</v>
      </c>
      <c r="CB7" s="2">
        <f t="shared" si="9"/>
        <v>0</v>
      </c>
      <c r="CC7" s="2">
        <f t="shared" si="10"/>
        <v>0</v>
      </c>
      <c r="CD7" s="2">
        <f t="shared" si="11"/>
        <v>0</v>
      </c>
      <c r="CE7" s="70"/>
      <c r="CG7" s="53">
        <v>0</v>
      </c>
      <c r="CH7" s="53">
        <v>5</v>
      </c>
      <c r="CI7" s="54">
        <v>65</v>
      </c>
      <c r="CJ7" s="53">
        <v>0</v>
      </c>
      <c r="CK7" s="53">
        <v>1</v>
      </c>
      <c r="CL7" s="53">
        <v>2</v>
      </c>
      <c r="CM7" s="53">
        <v>0</v>
      </c>
      <c r="CN7" s="53">
        <v>0</v>
      </c>
      <c r="CO7" s="53">
        <v>0</v>
      </c>
      <c r="CP7" s="53">
        <v>0</v>
      </c>
      <c r="CQ7" s="55">
        <f t="shared" si="12"/>
        <v>73</v>
      </c>
    </row>
    <row r="8" spans="1:95" ht="21" customHeight="1" x14ac:dyDescent="0.25">
      <c r="A8" s="158">
        <v>4</v>
      </c>
      <c r="B8" s="11" t="s">
        <v>33</v>
      </c>
      <c r="C8" s="77" t="s">
        <v>34</v>
      </c>
      <c r="D8" s="85">
        <v>37431</v>
      </c>
      <c r="E8" s="124">
        <v>46266.355439814812</v>
      </c>
      <c r="F8" s="124">
        <v>46264.923159722224</v>
      </c>
      <c r="G8" s="124">
        <v>46267.367951388886</v>
      </c>
      <c r="H8" s="124">
        <v>0</v>
      </c>
      <c r="I8" s="124">
        <v>46268.354363425926</v>
      </c>
      <c r="J8" s="124">
        <v>0</v>
      </c>
      <c r="K8" s="124">
        <v>46269.576504629629</v>
      </c>
      <c r="L8" s="124">
        <v>46269.997025462966</v>
      </c>
      <c r="M8" s="124">
        <v>46270.375740740739</v>
      </c>
      <c r="N8" s="124">
        <v>46270.999930555554</v>
      </c>
      <c r="O8" s="124">
        <v>46271.382731481484</v>
      </c>
      <c r="P8" s="124">
        <v>46271.980185185188</v>
      </c>
      <c r="Q8" s="124">
        <v>46272.368634259263</v>
      </c>
      <c r="R8" s="124">
        <v>46272.989768518521</v>
      </c>
      <c r="S8" s="124">
        <v>46273.355393518519</v>
      </c>
      <c r="T8" s="124">
        <v>46273.994270833333</v>
      </c>
      <c r="U8" s="124">
        <v>46274.35732638889</v>
      </c>
      <c r="V8" s="124">
        <v>46274.988912037035</v>
      </c>
      <c r="W8" s="124">
        <v>46275.375381944446</v>
      </c>
      <c r="X8" s="124">
        <v>0</v>
      </c>
      <c r="Y8" s="178" t="s">
        <v>15</v>
      </c>
      <c r="Z8" s="178" t="s">
        <v>15</v>
      </c>
      <c r="AA8" s="124">
        <v>46277.364953703705</v>
      </c>
      <c r="AB8" s="124">
        <v>0</v>
      </c>
      <c r="AC8" s="124">
        <v>46278.368877314817</v>
      </c>
      <c r="AD8" s="124">
        <v>46278.983067129629</v>
      </c>
      <c r="AE8" s="124">
        <v>46279.356134259258</v>
      </c>
      <c r="AF8" s="124">
        <v>46279.98673611111</v>
      </c>
      <c r="AG8" s="124">
        <v>46280.362384259257</v>
      </c>
      <c r="AH8" s="124">
        <v>46280.983483796299</v>
      </c>
      <c r="AI8" s="124"/>
      <c r="AJ8" s="44">
        <v>4</v>
      </c>
      <c r="AK8" s="124">
        <v>46281.374699074076</v>
      </c>
      <c r="AL8" s="124">
        <v>46281.990856481483</v>
      </c>
      <c r="AM8" s="124">
        <v>46282.357557870368</v>
      </c>
      <c r="AN8" s="124">
        <v>0</v>
      </c>
      <c r="AO8" s="124">
        <v>46283.577870370369</v>
      </c>
      <c r="AP8" s="124">
        <v>46283.979247685187</v>
      </c>
      <c r="AQ8" s="124">
        <v>46284.368113425924</v>
      </c>
      <c r="AR8" s="124">
        <v>0</v>
      </c>
      <c r="AS8" s="124">
        <v>46285.371192129627</v>
      </c>
      <c r="AT8" s="124">
        <v>46285.983391203707</v>
      </c>
      <c r="AU8" s="124">
        <v>46286.361770833333</v>
      </c>
      <c r="AV8" s="124">
        <v>46286.978530092594</v>
      </c>
      <c r="AW8" s="124">
        <v>46287.375289351854</v>
      </c>
      <c r="AX8" s="124">
        <v>46287.986655092594</v>
      </c>
      <c r="AY8" s="124">
        <v>46288.362199074072</v>
      </c>
      <c r="AZ8" s="124">
        <v>46288.98233796296</v>
      </c>
      <c r="BA8" s="124">
        <v>46289.382349537038</v>
      </c>
      <c r="BB8" s="124">
        <v>0</v>
      </c>
      <c r="BC8" s="228" t="s">
        <v>15</v>
      </c>
      <c r="BD8" s="228" t="s">
        <v>15</v>
      </c>
      <c r="BE8" s="124">
        <v>46291.376331018517</v>
      </c>
      <c r="BF8" s="124">
        <v>0</v>
      </c>
      <c r="BG8" s="124">
        <v>46292.371747685182</v>
      </c>
      <c r="BH8" s="124">
        <v>46292.988263888888</v>
      </c>
      <c r="BI8" s="124">
        <v>46293.360844907409</v>
      </c>
      <c r="BJ8" s="124">
        <v>46293.983020833337</v>
      </c>
      <c r="BK8" s="124">
        <v>46294.376018518517</v>
      </c>
      <c r="BL8" s="124">
        <v>46294.983043981483</v>
      </c>
      <c r="BM8" s="124">
        <v>46295.381168981483</v>
      </c>
      <c r="BN8" s="124">
        <v>46295.988657407404</v>
      </c>
      <c r="BO8" s="124">
        <v>46265.354803240742</v>
      </c>
      <c r="BP8" s="124">
        <v>46265.979004629633</v>
      </c>
      <c r="BQ8" s="96">
        <f t="shared" si="0"/>
        <v>30</v>
      </c>
      <c r="BR8" s="67">
        <v>2</v>
      </c>
      <c r="BS8" s="1">
        <f>COUNT(E8:AH8)/2+COUNT(AK8:BN8)/2</f>
        <v>28</v>
      </c>
      <c r="BT8" s="2">
        <f t="shared" si="1"/>
        <v>2</v>
      </c>
      <c r="BU8" s="2">
        <f t="shared" si="2"/>
        <v>0</v>
      </c>
      <c r="BV8" s="2">
        <f t="shared" si="3"/>
        <v>0</v>
      </c>
      <c r="BW8" s="2">
        <f t="shared" si="4"/>
        <v>0</v>
      </c>
      <c r="BX8" s="2">
        <f t="shared" si="5"/>
        <v>0</v>
      </c>
      <c r="BY8" s="2">
        <f t="shared" si="6"/>
        <v>0</v>
      </c>
      <c r="BZ8" s="2">
        <f t="shared" si="7"/>
        <v>0</v>
      </c>
      <c r="CA8" s="2">
        <f t="shared" si="8"/>
        <v>0</v>
      </c>
      <c r="CB8" s="2">
        <f t="shared" si="9"/>
        <v>0</v>
      </c>
      <c r="CC8" s="2">
        <f t="shared" si="10"/>
        <v>0</v>
      </c>
      <c r="CD8" s="2">
        <f t="shared" si="11"/>
        <v>0</v>
      </c>
      <c r="CE8" s="70"/>
      <c r="CG8" s="53">
        <v>0</v>
      </c>
      <c r="CH8" s="53">
        <v>0</v>
      </c>
      <c r="CI8" s="54">
        <v>23</v>
      </c>
      <c r="CJ8" s="53">
        <v>0</v>
      </c>
      <c r="CK8" s="53">
        <v>0</v>
      </c>
      <c r="CL8" s="53">
        <v>0</v>
      </c>
      <c r="CM8" s="53">
        <v>0</v>
      </c>
      <c r="CN8" s="53">
        <v>0</v>
      </c>
      <c r="CO8" s="53">
        <v>0</v>
      </c>
      <c r="CP8" s="53">
        <v>0</v>
      </c>
      <c r="CQ8" s="55">
        <f t="shared" si="12"/>
        <v>23</v>
      </c>
    </row>
    <row r="9" spans="1:95" ht="21" customHeight="1" x14ac:dyDescent="0.25">
      <c r="A9" s="158">
        <v>5</v>
      </c>
      <c r="B9" s="11" t="s">
        <v>35</v>
      </c>
      <c r="C9" s="77" t="s">
        <v>36</v>
      </c>
      <c r="D9" s="85">
        <v>38630</v>
      </c>
      <c r="E9" s="124">
        <v>46266.358969907407</v>
      </c>
      <c r="F9" s="124">
        <v>46264.903229166666</v>
      </c>
      <c r="G9" s="124">
        <v>46267.36078703704</v>
      </c>
      <c r="H9" s="124">
        <v>46267.943414351852</v>
      </c>
      <c r="I9" s="124">
        <v>46268.360127314816</v>
      </c>
      <c r="J9" s="124">
        <v>46268.940983796296</v>
      </c>
      <c r="K9" s="178" t="s">
        <v>15</v>
      </c>
      <c r="L9" s="178" t="s">
        <v>15</v>
      </c>
      <c r="M9" s="124">
        <v>46270.356712962966</v>
      </c>
      <c r="N9" s="124">
        <v>46270.945150462961</v>
      </c>
      <c r="O9" s="124">
        <v>46271.387685185182</v>
      </c>
      <c r="P9" s="124">
        <v>46271.940300925926</v>
      </c>
      <c r="Q9" s="124">
        <v>46272.380798611113</v>
      </c>
      <c r="R9" s="124">
        <v>46272.93</v>
      </c>
      <c r="S9" s="124">
        <v>46273.360185185185</v>
      </c>
      <c r="T9" s="124">
        <v>46273.938194444447</v>
      </c>
      <c r="U9" s="124">
        <v>46274.364548611113</v>
      </c>
      <c r="V9" s="124">
        <v>46274.953912037039</v>
      </c>
      <c r="W9" s="124">
        <v>46275.379212962966</v>
      </c>
      <c r="X9" s="124">
        <v>46275.9608912037</v>
      </c>
      <c r="Y9" s="124">
        <v>46276.575115740743</v>
      </c>
      <c r="Z9" s="124">
        <v>0</v>
      </c>
      <c r="AA9" s="124">
        <v>46277.373680555553</v>
      </c>
      <c r="AB9" s="124">
        <v>46277.932175925926</v>
      </c>
      <c r="AC9" s="124">
        <v>46278.37773148148</v>
      </c>
      <c r="AD9" s="124">
        <v>46278.921851851854</v>
      </c>
      <c r="AE9" s="124">
        <v>46279.362337962964</v>
      </c>
      <c r="AF9" s="124">
        <v>46279.916979166665</v>
      </c>
      <c r="AG9" s="124">
        <v>46280.370034722226</v>
      </c>
      <c r="AH9" s="124">
        <v>46280.915231481478</v>
      </c>
      <c r="AI9" s="124"/>
      <c r="AJ9" s="44">
        <v>5</v>
      </c>
      <c r="AK9" s="124">
        <v>46281.374374999999</v>
      </c>
      <c r="AL9" s="124">
        <v>46281.928749999999</v>
      </c>
      <c r="AM9" s="124">
        <v>46282.364918981482</v>
      </c>
      <c r="AN9" s="124">
        <v>46282.945162037038</v>
      </c>
      <c r="AO9" s="228" t="s">
        <v>15</v>
      </c>
      <c r="AP9" s="228" t="s">
        <v>15</v>
      </c>
      <c r="AQ9" s="124">
        <v>46284.354143518518</v>
      </c>
      <c r="AR9" s="124">
        <v>46284.945381944446</v>
      </c>
      <c r="AS9" s="124">
        <v>46285.355509259258</v>
      </c>
      <c r="AT9" s="124">
        <v>46285.928124999999</v>
      </c>
      <c r="AU9" s="124">
        <v>46286.363391203704</v>
      </c>
      <c r="AV9" s="124">
        <v>46286.926527777781</v>
      </c>
      <c r="AW9" s="124">
        <v>46287.379699074074</v>
      </c>
      <c r="AX9" s="124">
        <v>46287.933449074073</v>
      </c>
      <c r="AY9" s="124">
        <v>46288.369444444441</v>
      </c>
      <c r="AZ9" s="124">
        <v>0</v>
      </c>
      <c r="BA9" s="124">
        <v>46289.36928240741</v>
      </c>
      <c r="BB9" s="124">
        <v>46289.961481481485</v>
      </c>
      <c r="BC9" s="124">
        <v>46290.55976851852</v>
      </c>
      <c r="BD9" s="124">
        <v>46290.898969907408</v>
      </c>
      <c r="BE9" s="124">
        <v>46291.379004629627</v>
      </c>
      <c r="BF9" s="124">
        <v>46291.954432870371</v>
      </c>
      <c r="BG9" s="124">
        <v>46292.366354166668</v>
      </c>
      <c r="BH9" s="124">
        <v>46292.945972222224</v>
      </c>
      <c r="BI9" s="124">
        <v>46293.349895833337</v>
      </c>
      <c r="BJ9" s="124">
        <v>46293.927685185183</v>
      </c>
      <c r="BK9" s="124">
        <v>46294.378113425926</v>
      </c>
      <c r="BL9" s="124">
        <v>46294.928993055553</v>
      </c>
      <c r="BM9" s="124">
        <v>46295.383518518516</v>
      </c>
      <c r="BN9" s="124">
        <v>46295.947141203702</v>
      </c>
      <c r="BO9" s="124">
        <v>46265.360243055555</v>
      </c>
      <c r="BP9" s="124">
        <v>46265.918344907404</v>
      </c>
      <c r="BQ9" s="96">
        <f t="shared" si="0"/>
        <v>30</v>
      </c>
      <c r="BR9" s="67">
        <v>2</v>
      </c>
      <c r="BS9" s="1">
        <f t="shared" ref="BS9:BS26" si="13">COUNT(E9:AH9)/2+COUNT(AK9:BN9)/2</f>
        <v>28</v>
      </c>
      <c r="BT9" s="2">
        <f t="shared" si="1"/>
        <v>2</v>
      </c>
      <c r="BU9" s="2">
        <f t="shared" si="2"/>
        <v>0</v>
      </c>
      <c r="BV9" s="2">
        <f t="shared" si="3"/>
        <v>0</v>
      </c>
      <c r="BW9" s="2">
        <f t="shared" si="4"/>
        <v>0</v>
      </c>
      <c r="BX9" s="2">
        <f t="shared" si="5"/>
        <v>0</v>
      </c>
      <c r="BY9" s="2">
        <f t="shared" si="6"/>
        <v>0</v>
      </c>
      <c r="BZ9" s="2">
        <f t="shared" si="7"/>
        <v>0</v>
      </c>
      <c r="CA9" s="2">
        <f t="shared" si="8"/>
        <v>0</v>
      </c>
      <c r="CB9" s="2">
        <f t="shared" si="9"/>
        <v>0</v>
      </c>
      <c r="CC9" s="2">
        <f t="shared" si="10"/>
        <v>0</v>
      </c>
      <c r="CD9" s="2">
        <f t="shared" si="11"/>
        <v>0</v>
      </c>
      <c r="CE9" s="70"/>
      <c r="CG9" s="53">
        <v>0</v>
      </c>
      <c r="CH9" s="53">
        <v>0</v>
      </c>
      <c r="CI9" s="54">
        <v>30</v>
      </c>
      <c r="CJ9" s="53">
        <v>0</v>
      </c>
      <c r="CK9" s="53">
        <v>0</v>
      </c>
      <c r="CL9" s="53">
        <v>4</v>
      </c>
      <c r="CM9" s="53">
        <v>0</v>
      </c>
      <c r="CN9" s="53">
        <v>0</v>
      </c>
      <c r="CO9" s="53">
        <v>0</v>
      </c>
      <c r="CP9" s="53">
        <v>0</v>
      </c>
      <c r="CQ9" s="55">
        <f t="shared" si="12"/>
        <v>34</v>
      </c>
    </row>
    <row r="10" spans="1:95" ht="21" customHeight="1" x14ac:dyDescent="0.25">
      <c r="A10" s="158">
        <v>6</v>
      </c>
      <c r="B10" s="11" t="s">
        <v>37</v>
      </c>
      <c r="C10" s="77" t="s">
        <v>38</v>
      </c>
      <c r="D10" s="85">
        <v>44509</v>
      </c>
      <c r="E10" s="124">
        <v>46266.375162037039</v>
      </c>
      <c r="F10" s="124">
        <v>46264.935543981483</v>
      </c>
      <c r="G10" s="124">
        <v>46267.369004629632</v>
      </c>
      <c r="H10" s="124">
        <v>46267.739583333336</v>
      </c>
      <c r="I10" s="124">
        <v>46268.364722222221</v>
      </c>
      <c r="J10" s="124">
        <v>0</v>
      </c>
      <c r="K10" s="178" t="s">
        <v>15</v>
      </c>
      <c r="L10" s="178" t="s">
        <v>15</v>
      </c>
      <c r="M10" s="124">
        <v>46270.411087962966</v>
      </c>
      <c r="N10" s="124">
        <v>46270.754305555558</v>
      </c>
      <c r="O10" s="124">
        <v>46271.344490740739</v>
      </c>
      <c r="P10" s="124">
        <v>46271.738668981481</v>
      </c>
      <c r="Q10" s="124">
        <v>0</v>
      </c>
      <c r="R10" s="124">
        <v>46272.731898148151</v>
      </c>
      <c r="S10" s="124">
        <v>46273.369606481479</v>
      </c>
      <c r="T10" s="124">
        <v>46273.740347222221</v>
      </c>
      <c r="U10" s="124">
        <v>46274.367905092593</v>
      </c>
      <c r="V10" s="124">
        <v>46274.734513888892</v>
      </c>
      <c r="W10" s="124">
        <v>46275.377199074072</v>
      </c>
      <c r="X10" s="124">
        <v>46275.735590277778</v>
      </c>
      <c r="Y10" s="178" t="s">
        <v>15</v>
      </c>
      <c r="Z10" s="178" t="s">
        <v>15</v>
      </c>
      <c r="AA10" s="124">
        <v>46277.419722222221</v>
      </c>
      <c r="AB10" s="124">
        <v>46277.724953703706</v>
      </c>
      <c r="AC10" s="124">
        <v>46278.41065972222</v>
      </c>
      <c r="AD10" s="124">
        <v>46278.718182870369</v>
      </c>
      <c r="AE10" s="124">
        <v>46279.374641203707</v>
      </c>
      <c r="AF10" s="124">
        <v>46279.72760416667</v>
      </c>
      <c r="AG10" s="124">
        <v>46280.372766203705</v>
      </c>
      <c r="AH10" s="124">
        <v>0</v>
      </c>
      <c r="AI10" s="124"/>
      <c r="AJ10" s="44">
        <v>6</v>
      </c>
      <c r="AK10" s="124">
        <v>46281.373240740744</v>
      </c>
      <c r="AL10" s="124">
        <v>46281.714548611111</v>
      </c>
      <c r="AM10" s="124">
        <v>46282.373483796298</v>
      </c>
      <c r="AN10" s="124">
        <v>46282.744270833333</v>
      </c>
      <c r="AO10" s="228" t="s">
        <v>15</v>
      </c>
      <c r="AP10" s="228" t="s">
        <v>15</v>
      </c>
      <c r="AQ10" s="124">
        <v>46284.411203703705</v>
      </c>
      <c r="AR10" s="124">
        <v>0</v>
      </c>
      <c r="AS10" s="124">
        <v>46285.370868055557</v>
      </c>
      <c r="AT10" s="124">
        <v>46285.722812499997</v>
      </c>
      <c r="AU10" s="124">
        <v>46286.379444444443</v>
      </c>
      <c r="AV10" s="124">
        <v>46286.718935185185</v>
      </c>
      <c r="AW10" s="124">
        <v>0</v>
      </c>
      <c r="AX10" s="124">
        <v>46287.727743055555</v>
      </c>
      <c r="AY10" s="124">
        <v>46288.370451388888</v>
      </c>
      <c r="AZ10" s="124">
        <v>46288.726863425924</v>
      </c>
      <c r="BA10" s="124">
        <v>46289.372673611113</v>
      </c>
      <c r="BB10" s="124">
        <v>0</v>
      </c>
      <c r="BC10" s="228" t="s">
        <v>15</v>
      </c>
      <c r="BD10" s="228" t="s">
        <v>15</v>
      </c>
      <c r="BE10" s="124">
        <v>46291.410983796297</v>
      </c>
      <c r="BF10" s="124">
        <v>0</v>
      </c>
      <c r="BG10" s="124">
        <v>46292.374236111114</v>
      </c>
      <c r="BH10" s="124">
        <v>46292.725613425922</v>
      </c>
      <c r="BI10" s="124">
        <v>46293.362395833334</v>
      </c>
      <c r="BJ10" s="124">
        <v>0</v>
      </c>
      <c r="BK10" s="124">
        <v>46294.365810185183</v>
      </c>
      <c r="BL10" s="124">
        <v>46294.733506944445</v>
      </c>
      <c r="BM10" s="124">
        <v>46295.372789351852</v>
      </c>
      <c r="BN10" s="124">
        <v>46295.730729166666</v>
      </c>
      <c r="BO10" s="124">
        <v>46265.373807870368</v>
      </c>
      <c r="BP10" s="124">
        <v>46265.72929398148</v>
      </c>
      <c r="BQ10" s="96">
        <f t="shared" si="0"/>
        <v>30</v>
      </c>
      <c r="BR10" s="67">
        <v>0</v>
      </c>
      <c r="BS10" s="1">
        <f t="shared" si="13"/>
        <v>26</v>
      </c>
      <c r="BT10" s="2">
        <f t="shared" si="1"/>
        <v>4</v>
      </c>
      <c r="BU10" s="2">
        <f t="shared" si="2"/>
        <v>0</v>
      </c>
      <c r="BV10" s="2">
        <f t="shared" si="3"/>
        <v>0</v>
      </c>
      <c r="BW10" s="2">
        <f t="shared" si="4"/>
        <v>0</v>
      </c>
      <c r="BX10" s="2">
        <f t="shared" si="5"/>
        <v>0</v>
      </c>
      <c r="BY10" s="2">
        <f t="shared" si="6"/>
        <v>0</v>
      </c>
      <c r="BZ10" s="2">
        <f t="shared" si="7"/>
        <v>0</v>
      </c>
      <c r="CA10" s="2">
        <f t="shared" si="8"/>
        <v>0</v>
      </c>
      <c r="CB10" s="2">
        <f t="shared" si="9"/>
        <v>0</v>
      </c>
      <c r="CC10" s="2">
        <f t="shared" si="10"/>
        <v>0</v>
      </c>
      <c r="CD10" s="2">
        <f t="shared" si="11"/>
        <v>0</v>
      </c>
      <c r="CE10" s="70"/>
      <c r="CG10" s="53">
        <v>1</v>
      </c>
      <c r="CH10" s="53">
        <v>0</v>
      </c>
      <c r="CI10" s="54">
        <v>22</v>
      </c>
      <c r="CJ10" s="53">
        <v>0</v>
      </c>
      <c r="CK10" s="54">
        <v>3</v>
      </c>
      <c r="CL10" s="54">
        <v>2</v>
      </c>
      <c r="CM10" s="54">
        <v>4</v>
      </c>
      <c r="CN10" s="53">
        <v>0</v>
      </c>
      <c r="CO10" s="53">
        <v>0</v>
      </c>
      <c r="CP10" s="53">
        <v>0</v>
      </c>
      <c r="CQ10" s="55">
        <f t="shared" si="12"/>
        <v>32</v>
      </c>
    </row>
    <row r="11" spans="1:95" ht="21" customHeight="1" x14ac:dyDescent="0.25">
      <c r="A11" s="158">
        <v>7</v>
      </c>
      <c r="B11" s="11" t="s">
        <v>39</v>
      </c>
      <c r="C11" s="77" t="s">
        <v>40</v>
      </c>
      <c r="D11" s="86">
        <v>45183</v>
      </c>
      <c r="E11" s="124">
        <v>46266.372847222221</v>
      </c>
      <c r="F11" s="124">
        <v>46264.951111111113</v>
      </c>
      <c r="G11" s="124">
        <v>46267.365034722221</v>
      </c>
      <c r="H11" s="124">
        <v>46267.743831018517</v>
      </c>
      <c r="I11" s="124">
        <v>46268.373981481483</v>
      </c>
      <c r="J11" s="124">
        <v>46268.729386574072</v>
      </c>
      <c r="K11" s="178" t="s">
        <v>15</v>
      </c>
      <c r="L11" s="178" t="s">
        <v>15</v>
      </c>
      <c r="M11" s="124">
        <v>46270.384189814817</v>
      </c>
      <c r="N11" s="124">
        <v>46270.728773148148</v>
      </c>
      <c r="O11" s="124">
        <v>46271.372384259259</v>
      </c>
      <c r="P11" s="124">
        <v>46271.729363425926</v>
      </c>
      <c r="Q11" s="124">
        <v>46272.368379629632</v>
      </c>
      <c r="R11" s="124">
        <v>46272.754120370373</v>
      </c>
      <c r="S11" s="124">
        <v>46273.370057870372</v>
      </c>
      <c r="T11" s="124">
        <v>46273.740231481483</v>
      </c>
      <c r="U11" s="124">
        <v>46274.367974537039</v>
      </c>
      <c r="V11" s="124">
        <v>0</v>
      </c>
      <c r="W11" s="124">
        <v>46275.368576388886</v>
      </c>
      <c r="X11" s="124">
        <v>46275.726203703707</v>
      </c>
      <c r="Y11" s="178" t="s">
        <v>15</v>
      </c>
      <c r="Z11" s="178" t="s">
        <v>15</v>
      </c>
      <c r="AA11" s="124">
        <v>46277.388923611114</v>
      </c>
      <c r="AB11" s="124">
        <v>46277.774201388886</v>
      </c>
      <c r="AC11" s="124">
        <v>46278.410057870373</v>
      </c>
      <c r="AD11" s="124">
        <v>46278.715729166666</v>
      </c>
      <c r="AE11" s="124">
        <v>0.37152777777777773</v>
      </c>
      <c r="AF11" s="124">
        <v>46279.72314814815</v>
      </c>
      <c r="AG11" s="124">
        <v>46280.371192129627</v>
      </c>
      <c r="AH11" s="124">
        <v>46280.732407407406</v>
      </c>
      <c r="AI11" s="124"/>
      <c r="AJ11" s="44">
        <v>7</v>
      </c>
      <c r="AK11" s="124">
        <v>46281.373923611114</v>
      </c>
      <c r="AL11" s="124">
        <v>0</v>
      </c>
      <c r="AM11" s="124">
        <v>46282.372175925928</v>
      </c>
      <c r="AN11" s="124">
        <v>46282.738321759258</v>
      </c>
      <c r="AO11" s="229" t="s">
        <v>15</v>
      </c>
      <c r="AP11" s="229" t="s">
        <v>15</v>
      </c>
      <c r="AQ11" s="124">
        <v>46284.404027777775</v>
      </c>
      <c r="AR11" s="124">
        <v>46284.728310185186</v>
      </c>
      <c r="AS11" s="124">
        <v>46285.361041666663</v>
      </c>
      <c r="AT11" s="124">
        <v>46285.733888888892</v>
      </c>
      <c r="AU11" s="124">
        <v>46286.374224537038</v>
      </c>
      <c r="AV11" s="124">
        <v>46286.725474537037</v>
      </c>
      <c r="AW11" s="124">
        <v>46287.375347222223</v>
      </c>
      <c r="AX11" s="124">
        <v>46287.72824074074</v>
      </c>
      <c r="AY11" s="124">
        <v>46288.373576388891</v>
      </c>
      <c r="AZ11" s="124">
        <v>46288.737824074073</v>
      </c>
      <c r="BA11" s="124">
        <v>46289.372569444444</v>
      </c>
      <c r="BB11" s="124">
        <v>46289.72210648148</v>
      </c>
      <c r="BC11" s="229" t="s">
        <v>15</v>
      </c>
      <c r="BD11" s="229" t="s">
        <v>15</v>
      </c>
      <c r="BE11" s="124">
        <v>46291.409317129626</v>
      </c>
      <c r="BF11" s="124">
        <v>46291.72519675926</v>
      </c>
      <c r="BG11" s="124">
        <v>46292.369780092595</v>
      </c>
      <c r="BH11" s="124">
        <v>46292.725659722222</v>
      </c>
      <c r="BI11" s="124">
        <v>46293.374155092592</v>
      </c>
      <c r="BJ11" s="124">
        <v>46293.759259259263</v>
      </c>
      <c r="BK11" s="124">
        <v>46294.372928240744</v>
      </c>
      <c r="BL11" s="124">
        <v>46294.754062499997</v>
      </c>
      <c r="BM11" s="124">
        <v>46295.373391203706</v>
      </c>
      <c r="BN11" s="124">
        <v>0</v>
      </c>
      <c r="BO11" s="124">
        <v>46265.372708333336</v>
      </c>
      <c r="BP11" s="124">
        <v>46265.730509259258</v>
      </c>
      <c r="BQ11" s="96">
        <f t="shared" si="0"/>
        <v>30</v>
      </c>
      <c r="BR11" s="67">
        <v>0</v>
      </c>
      <c r="BS11" s="1">
        <f t="shared" si="13"/>
        <v>26</v>
      </c>
      <c r="BT11" s="2">
        <f t="shared" si="1"/>
        <v>4</v>
      </c>
      <c r="BU11" s="2">
        <f t="shared" si="2"/>
        <v>0</v>
      </c>
      <c r="BV11" s="2">
        <f t="shared" si="3"/>
        <v>0</v>
      </c>
      <c r="BW11" s="2">
        <f t="shared" si="4"/>
        <v>0</v>
      </c>
      <c r="BX11" s="2">
        <f t="shared" si="5"/>
        <v>0</v>
      </c>
      <c r="BY11" s="2">
        <f t="shared" si="6"/>
        <v>0</v>
      </c>
      <c r="BZ11" s="2">
        <f t="shared" si="7"/>
        <v>0</v>
      </c>
      <c r="CA11" s="2">
        <f t="shared" si="8"/>
        <v>0</v>
      </c>
      <c r="CB11" s="2">
        <f t="shared" si="9"/>
        <v>0</v>
      </c>
      <c r="CC11" s="2">
        <f t="shared" si="10"/>
        <v>0</v>
      </c>
      <c r="CD11" s="2">
        <f t="shared" si="11"/>
        <v>0</v>
      </c>
      <c r="CE11" s="70"/>
      <c r="CG11" s="53">
        <v>0</v>
      </c>
      <c r="CH11" s="53">
        <v>0</v>
      </c>
      <c r="CI11" s="53">
        <v>0</v>
      </c>
      <c r="CJ11" s="53">
        <v>0</v>
      </c>
      <c r="CK11" s="53">
        <v>0</v>
      </c>
      <c r="CL11" s="53">
        <v>11</v>
      </c>
      <c r="CM11" s="53">
        <v>0</v>
      </c>
      <c r="CN11" s="53">
        <v>0</v>
      </c>
      <c r="CO11" s="53">
        <v>0</v>
      </c>
      <c r="CP11" s="53">
        <v>0</v>
      </c>
      <c r="CQ11" s="55">
        <f t="shared" si="12"/>
        <v>11</v>
      </c>
    </row>
    <row r="12" spans="1:95" ht="21" customHeight="1" x14ac:dyDescent="0.25">
      <c r="A12" s="158">
        <v>8</v>
      </c>
      <c r="B12" s="11" t="s">
        <v>41</v>
      </c>
      <c r="C12" s="77" t="s">
        <v>226</v>
      </c>
      <c r="D12" s="87">
        <v>45592</v>
      </c>
      <c r="E12" s="124">
        <v>46266.373356481483</v>
      </c>
      <c r="F12" s="124">
        <v>46264.952106481483</v>
      </c>
      <c r="G12" s="124">
        <v>46267.380891203706</v>
      </c>
      <c r="H12" s="124">
        <v>46267.744050925925</v>
      </c>
      <c r="I12" s="124">
        <v>46268.376481481479</v>
      </c>
      <c r="J12" s="124">
        <v>46268.729178240741</v>
      </c>
      <c r="K12" s="178" t="s">
        <v>15</v>
      </c>
      <c r="L12" s="178" t="s">
        <v>15</v>
      </c>
      <c r="M12" s="124">
        <v>46270.417638888888</v>
      </c>
      <c r="N12" s="124">
        <v>46270.732870370368</v>
      </c>
      <c r="O12" s="124">
        <v>46271.374328703707</v>
      </c>
      <c r="P12" s="124">
        <v>46271.741168981483</v>
      </c>
      <c r="Q12" s="124">
        <v>46272.370173611111</v>
      </c>
      <c r="R12" s="124">
        <v>46272.731828703705</v>
      </c>
      <c r="S12" s="124">
        <v>46273.376331018517</v>
      </c>
      <c r="T12" s="124">
        <v>46273.732754629629</v>
      </c>
      <c r="U12" s="124">
        <v>46274.379907407405</v>
      </c>
      <c r="V12" s="124">
        <v>46274.7340625</v>
      </c>
      <c r="W12" s="124">
        <v>0</v>
      </c>
      <c r="X12" s="124">
        <v>46275.726307870369</v>
      </c>
      <c r="Y12" s="178" t="s">
        <v>15</v>
      </c>
      <c r="Z12" s="178" t="s">
        <v>15</v>
      </c>
      <c r="AA12" s="124">
        <v>46277.413958333331</v>
      </c>
      <c r="AB12" s="124">
        <v>46277.724849537037</v>
      </c>
      <c r="AC12" s="124">
        <v>46278.413842592592</v>
      </c>
      <c r="AD12" s="124">
        <v>46278.715775462966</v>
      </c>
      <c r="AE12" s="124">
        <v>46279.374189814815</v>
      </c>
      <c r="AF12" s="124">
        <v>46279.723252314812</v>
      </c>
      <c r="AG12" s="124">
        <v>46280.375914351855</v>
      </c>
      <c r="AH12" s="124">
        <v>0</v>
      </c>
      <c r="AI12" s="124"/>
      <c r="AJ12" s="44">
        <v>8</v>
      </c>
      <c r="AK12" s="124">
        <v>46281.376944444448</v>
      </c>
      <c r="AL12" s="124">
        <v>46281.714282407411</v>
      </c>
      <c r="AM12" s="230" t="s">
        <v>170</v>
      </c>
      <c r="AN12" s="230" t="s">
        <v>170</v>
      </c>
      <c r="AO12" s="231" t="s">
        <v>15</v>
      </c>
      <c r="AP12" s="231" t="s">
        <v>15</v>
      </c>
      <c r="AQ12" s="124">
        <v>46284.41574074074</v>
      </c>
      <c r="AR12" s="124">
        <v>46284.737337962964</v>
      </c>
      <c r="AS12" s="124">
        <v>46285.381701388891</v>
      </c>
      <c r="AT12" s="124">
        <v>0</v>
      </c>
      <c r="AU12" s="124">
        <v>46286.377893518518</v>
      </c>
      <c r="AV12" s="124">
        <v>46286.719224537039</v>
      </c>
      <c r="AW12" s="124">
        <v>46287.375798611109</v>
      </c>
      <c r="AX12" s="124">
        <v>46287.728171296294</v>
      </c>
      <c r="AY12" s="124">
        <v>46288.376666666663</v>
      </c>
      <c r="AZ12" s="124">
        <v>46288.730173611111</v>
      </c>
      <c r="BA12" s="124">
        <v>46289.371527777781</v>
      </c>
      <c r="BB12" s="124">
        <v>46289.722905092596</v>
      </c>
      <c r="BC12" s="229" t="s">
        <v>15</v>
      </c>
      <c r="BD12" s="229" t="s">
        <v>15</v>
      </c>
      <c r="BE12" s="124">
        <v>46291.418599537035</v>
      </c>
      <c r="BF12" s="124">
        <v>46291.731817129628</v>
      </c>
      <c r="BG12" s="124">
        <v>46292.373819444445</v>
      </c>
      <c r="BH12" s="124">
        <v>46292.725555555553</v>
      </c>
      <c r="BI12" s="124">
        <v>46293.373761574076</v>
      </c>
      <c r="BJ12" s="124">
        <v>46293.742638888885</v>
      </c>
      <c r="BK12" s="124">
        <v>46294.380057870374</v>
      </c>
      <c r="BL12" s="124">
        <v>0</v>
      </c>
      <c r="BM12" s="124">
        <v>0</v>
      </c>
      <c r="BN12" s="124">
        <v>46295.729583333334</v>
      </c>
      <c r="BO12" s="124">
        <v>0</v>
      </c>
      <c r="BP12" s="124">
        <v>46265.730590277781</v>
      </c>
      <c r="BQ12" s="96">
        <f t="shared" si="0"/>
        <v>30</v>
      </c>
      <c r="BR12" s="67">
        <v>0</v>
      </c>
      <c r="BS12" s="1">
        <f t="shared" si="13"/>
        <v>25</v>
      </c>
      <c r="BT12" s="2">
        <f t="shared" si="1"/>
        <v>4</v>
      </c>
      <c r="BU12" s="2">
        <f t="shared" si="2"/>
        <v>0</v>
      </c>
      <c r="BV12" s="2">
        <f t="shared" si="3"/>
        <v>0</v>
      </c>
      <c r="BW12" s="2">
        <f t="shared" si="4"/>
        <v>0</v>
      </c>
      <c r="BX12" s="2">
        <f t="shared" si="5"/>
        <v>0</v>
      </c>
      <c r="BY12" s="2">
        <f t="shared" si="6"/>
        <v>0</v>
      </c>
      <c r="BZ12" s="2">
        <f t="shared" si="7"/>
        <v>1</v>
      </c>
      <c r="CA12" s="2">
        <f t="shared" si="8"/>
        <v>0</v>
      </c>
      <c r="CB12" s="2">
        <f t="shared" si="9"/>
        <v>0</v>
      </c>
      <c r="CC12" s="2">
        <f t="shared" si="10"/>
        <v>0</v>
      </c>
      <c r="CD12" s="2">
        <f t="shared" si="11"/>
        <v>0</v>
      </c>
      <c r="CE12" s="70"/>
      <c r="CG12" s="53">
        <v>0</v>
      </c>
      <c r="CH12" s="53">
        <v>0</v>
      </c>
      <c r="CI12" s="53">
        <v>38</v>
      </c>
      <c r="CJ12" s="53">
        <v>0</v>
      </c>
      <c r="CK12" s="53">
        <v>0</v>
      </c>
      <c r="CL12" s="54">
        <v>9</v>
      </c>
      <c r="CM12" s="54">
        <v>0</v>
      </c>
      <c r="CN12" s="54">
        <v>0</v>
      </c>
      <c r="CO12" s="53">
        <v>0</v>
      </c>
      <c r="CP12" s="53">
        <v>0</v>
      </c>
      <c r="CQ12" s="55">
        <f t="shared" si="12"/>
        <v>47</v>
      </c>
    </row>
    <row r="13" spans="1:95" ht="22.5" customHeight="1" x14ac:dyDescent="0.25">
      <c r="A13" s="158">
        <v>9</v>
      </c>
      <c r="B13" s="44" t="s">
        <v>234</v>
      </c>
      <c r="C13" s="72" t="s">
        <v>236</v>
      </c>
      <c r="D13" s="87">
        <v>46097</v>
      </c>
      <c r="E13" s="124">
        <v>46266.372372685182</v>
      </c>
      <c r="F13" s="124">
        <v>46266.958425925928</v>
      </c>
      <c r="G13" s="124">
        <v>46267.346770833334</v>
      </c>
      <c r="H13" s="124">
        <v>46267.743900462963</v>
      </c>
      <c r="I13" s="124">
        <v>46268.346967592595</v>
      </c>
      <c r="J13" s="124">
        <v>46268.72928240741</v>
      </c>
      <c r="K13" s="178" t="s">
        <v>15</v>
      </c>
      <c r="L13" s="178" t="s">
        <v>15</v>
      </c>
      <c r="M13" s="124">
        <v>0.4145833333333333</v>
      </c>
      <c r="N13" s="124">
        <v>46270.732905092591</v>
      </c>
      <c r="O13" s="124">
        <v>46271.369664351849</v>
      </c>
      <c r="P13" s="124">
        <v>46271.738738425927</v>
      </c>
      <c r="Q13" s="124">
        <v>46272.372361111113</v>
      </c>
      <c r="R13" s="124">
        <v>46272.73201388889</v>
      </c>
      <c r="S13" s="124">
        <v>46273.369513888887</v>
      </c>
      <c r="T13" s="124">
        <v>46273.732662037037</v>
      </c>
      <c r="U13" s="124">
        <v>46274.372650462959</v>
      </c>
      <c r="V13" s="124">
        <v>46274.734131944446</v>
      </c>
      <c r="W13" s="124">
        <v>46275.373969907407</v>
      </c>
      <c r="X13" s="124">
        <v>46275.726921296293</v>
      </c>
      <c r="Y13" s="178" t="s">
        <v>15</v>
      </c>
      <c r="Z13" s="178" t="s">
        <v>15</v>
      </c>
      <c r="AA13" s="124">
        <v>46277.416805555556</v>
      </c>
      <c r="AB13" s="124">
        <v>46277.732974537037</v>
      </c>
      <c r="AC13" s="124">
        <v>46278.412835648145</v>
      </c>
      <c r="AD13" s="124">
        <v>46278.718275462961</v>
      </c>
      <c r="AE13" s="124">
        <v>46279.371527777781</v>
      </c>
      <c r="AF13" s="124">
        <v>46279.723217592589</v>
      </c>
      <c r="AG13" s="124">
        <v>46280.423657407409</v>
      </c>
      <c r="AH13" s="124">
        <v>46280.732453703706</v>
      </c>
      <c r="AI13" s="124"/>
      <c r="AJ13" s="44">
        <v>9</v>
      </c>
      <c r="AK13" s="124">
        <v>46281.418252314812</v>
      </c>
      <c r="AL13" s="124">
        <v>0</v>
      </c>
      <c r="AM13" s="230" t="s">
        <v>170</v>
      </c>
      <c r="AN13" s="230" t="s">
        <v>170</v>
      </c>
      <c r="AO13" s="231" t="s">
        <v>15</v>
      </c>
      <c r="AP13" s="231" t="s">
        <v>15</v>
      </c>
      <c r="AQ13" s="124">
        <v>46284.417905092596</v>
      </c>
      <c r="AR13" s="124">
        <v>46284.735046296293</v>
      </c>
      <c r="AS13" s="124">
        <v>46285.3747337963</v>
      </c>
      <c r="AT13" s="124">
        <v>46285.734629629631</v>
      </c>
      <c r="AU13" s="124">
        <v>46286.370185185187</v>
      </c>
      <c r="AV13" s="124">
        <v>46286.712222222224</v>
      </c>
      <c r="AW13" s="124">
        <v>46287.373611111114</v>
      </c>
      <c r="AX13" s="124">
        <v>46287.72861111111</v>
      </c>
      <c r="AY13" s="124">
        <v>46288.373460648145</v>
      </c>
      <c r="AZ13" s="124">
        <v>46288.737881944442</v>
      </c>
      <c r="BA13" s="124">
        <v>46289.375115740739</v>
      </c>
      <c r="BB13" s="124">
        <v>46289.722754629627</v>
      </c>
      <c r="BC13" s="229" t="s">
        <v>15</v>
      </c>
      <c r="BD13" s="229" t="s">
        <v>15</v>
      </c>
      <c r="BE13" s="124">
        <v>46291.414722222224</v>
      </c>
      <c r="BF13" s="124">
        <v>46291.751192129632</v>
      </c>
      <c r="BG13" s="124">
        <v>46292.372893518521</v>
      </c>
      <c r="BH13" s="124">
        <v>46292.725798611114</v>
      </c>
      <c r="BI13" s="124">
        <v>46293.373495370368</v>
      </c>
      <c r="BJ13" s="124">
        <v>46293.73574074074</v>
      </c>
      <c r="BK13" s="124">
        <v>46294.408020833333</v>
      </c>
      <c r="BL13" s="124">
        <v>46294.73033564815</v>
      </c>
      <c r="BM13" s="124">
        <v>46295.369756944441</v>
      </c>
      <c r="BN13" s="124">
        <v>46295.735231481478</v>
      </c>
      <c r="BO13" s="124">
        <v>46265.367442129631</v>
      </c>
      <c r="BP13" s="124">
        <v>46265.730358796296</v>
      </c>
      <c r="BQ13" s="96">
        <f t="shared" si="0"/>
        <v>30</v>
      </c>
      <c r="BR13" s="67">
        <v>0</v>
      </c>
      <c r="BS13" s="1">
        <f t="shared" si="13"/>
        <v>25</v>
      </c>
      <c r="BT13" s="2">
        <f>COUNTIF(F13:BN13,"OFF")/2</f>
        <v>4</v>
      </c>
      <c r="BU13" s="2">
        <f>COUNTIF(F13:BN13,"MC")/2</f>
        <v>0</v>
      </c>
      <c r="BV13" s="2">
        <f>COUNTIF(F13:BN13,"EL")/2</f>
        <v>0</v>
      </c>
      <c r="BW13" s="2">
        <f>COUNTIF(F13:BN13,"AL")/2</f>
        <v>0</v>
      </c>
      <c r="BX13" s="2">
        <f>COUNTIF(F13:BN13,"SUS")/2</f>
        <v>0</v>
      </c>
      <c r="BY13" s="2">
        <f>COUNTIF(F13:BN13,"FL")/2</f>
        <v>0</v>
      </c>
      <c r="BZ13" s="2">
        <f>COUNTIF(F13:BN13,"SICK")/2</f>
        <v>1</v>
      </c>
      <c r="CA13" s="2">
        <f>COUNTIF(F13:BN13,"HD")/2</f>
        <v>0</v>
      </c>
      <c r="CB13" s="2">
        <f>COUNTIF(F13:BN13,"AB")/2</f>
        <v>0</v>
      </c>
      <c r="CC13" s="2">
        <f>COUNTIF(F13:BN13,"NL")/2</f>
        <v>0</v>
      </c>
      <c r="CD13" s="2">
        <f>COUNTIF(F13:BN13,"SP")/2</f>
        <v>0</v>
      </c>
      <c r="CE13" s="70"/>
      <c r="CG13" s="66">
        <v>0</v>
      </c>
      <c r="CH13" s="66">
        <v>0</v>
      </c>
      <c r="CI13" s="66">
        <v>0</v>
      </c>
      <c r="CJ13" s="66">
        <v>0</v>
      </c>
      <c r="CK13" s="66">
        <v>0</v>
      </c>
      <c r="CL13" s="66">
        <v>0</v>
      </c>
      <c r="CM13" s="66">
        <v>0</v>
      </c>
      <c r="CN13" s="66">
        <v>0</v>
      </c>
      <c r="CO13" s="66">
        <v>0</v>
      </c>
      <c r="CP13" s="66">
        <v>0</v>
      </c>
      <c r="CQ13" s="55">
        <f>SUM(CG13:CP13)</f>
        <v>0</v>
      </c>
    </row>
    <row r="14" spans="1:95" ht="21" customHeight="1" x14ac:dyDescent="0.25">
      <c r="A14" s="158">
        <v>10</v>
      </c>
      <c r="B14" s="11" t="s">
        <v>44</v>
      </c>
      <c r="C14" s="77" t="s">
        <v>227</v>
      </c>
      <c r="D14" s="87">
        <v>45386</v>
      </c>
      <c r="E14" s="124">
        <v>0</v>
      </c>
      <c r="F14" s="124">
        <v>46264.955405092594</v>
      </c>
      <c r="G14" s="124">
        <v>46267.352824074071</v>
      </c>
      <c r="H14" s="124">
        <v>46267.983032407406</v>
      </c>
      <c r="I14" s="124">
        <v>46268.353101851855</v>
      </c>
      <c r="J14" s="124">
        <v>46268.965219907404</v>
      </c>
      <c r="K14" s="178" t="s">
        <v>15</v>
      </c>
      <c r="L14" s="178" t="s">
        <v>15</v>
      </c>
      <c r="M14" s="124">
        <v>46270.346053240741</v>
      </c>
      <c r="N14" s="124">
        <v>46270.9762962963</v>
      </c>
      <c r="O14" s="124">
        <v>46271.351875</v>
      </c>
      <c r="P14" s="124">
        <v>46271.944791666669</v>
      </c>
      <c r="Q14" s="124">
        <v>46272.349803240744</v>
      </c>
      <c r="R14" s="124">
        <v>46272.943078703705</v>
      </c>
      <c r="S14" s="124">
        <v>46273.349652777775</v>
      </c>
      <c r="T14" s="124">
        <v>46273.959548611114</v>
      </c>
      <c r="U14" s="124">
        <v>46274.350011574075</v>
      </c>
      <c r="V14" s="124">
        <v>46274.965497685182</v>
      </c>
      <c r="W14" s="124">
        <v>46275.350138888891</v>
      </c>
      <c r="X14" s="124">
        <v>46275.982372685183</v>
      </c>
      <c r="Y14" s="124">
        <v>46276.574502314812</v>
      </c>
      <c r="Z14" s="124">
        <v>46276.961701388886</v>
      </c>
      <c r="AA14" s="124">
        <v>46277.354814814818</v>
      </c>
      <c r="AB14" s="124">
        <v>0</v>
      </c>
      <c r="AC14" s="124">
        <v>46278.350937499999</v>
      </c>
      <c r="AD14" s="124">
        <v>46278.955833333333</v>
      </c>
      <c r="AE14" s="124">
        <v>46279.34920138889</v>
      </c>
      <c r="AF14" s="124">
        <v>46279.953229166669</v>
      </c>
      <c r="AG14" s="124">
        <v>46280.348425925928</v>
      </c>
      <c r="AH14" s="124">
        <v>46280.94153935185</v>
      </c>
      <c r="AI14" s="124"/>
      <c r="AJ14" s="44">
        <v>10</v>
      </c>
      <c r="AK14" s="124">
        <v>46281.34710648148</v>
      </c>
      <c r="AL14" s="124">
        <v>46281.965208333335</v>
      </c>
      <c r="AM14" s="124">
        <v>46282.346805555557</v>
      </c>
      <c r="AN14" s="124">
        <v>46282.975370370368</v>
      </c>
      <c r="AO14" s="228" t="s">
        <v>15</v>
      </c>
      <c r="AP14" s="228" t="s">
        <v>15</v>
      </c>
      <c r="AQ14" s="124">
        <v>46284.350347222222</v>
      </c>
      <c r="AR14" s="124">
        <v>0</v>
      </c>
      <c r="AS14" s="124">
        <v>46285.348576388889</v>
      </c>
      <c r="AT14" s="124">
        <v>46285.955416666664</v>
      </c>
      <c r="AU14" s="124">
        <v>46286.34752314815</v>
      </c>
      <c r="AV14" s="124">
        <v>46286.952465277776</v>
      </c>
      <c r="AW14" s="124">
        <v>46287.346365740741</v>
      </c>
      <c r="AX14" s="124">
        <v>0</v>
      </c>
      <c r="AY14" s="124">
        <v>46288.34715277778</v>
      </c>
      <c r="AZ14" s="124">
        <v>46288.952881944446</v>
      </c>
      <c r="BA14" s="124">
        <v>46289.346273148149</v>
      </c>
      <c r="BB14" s="124">
        <v>46289.978449074071</v>
      </c>
      <c r="BC14" s="124">
        <v>46290.580520833333</v>
      </c>
      <c r="BD14" s="124">
        <v>0</v>
      </c>
      <c r="BE14" s="124">
        <v>46291.347175925926</v>
      </c>
      <c r="BF14" s="124">
        <v>46291.959224537037</v>
      </c>
      <c r="BG14" s="124">
        <v>46292.353379629632</v>
      </c>
      <c r="BH14" s="124">
        <v>46292.968993055554</v>
      </c>
      <c r="BI14" s="124">
        <v>46293.349432870367</v>
      </c>
      <c r="BJ14" s="124">
        <v>46293.941851851851</v>
      </c>
      <c r="BK14" s="124">
        <v>46294.349745370368</v>
      </c>
      <c r="BL14" s="124">
        <v>46294.950335648151</v>
      </c>
      <c r="BM14" s="124">
        <v>46295.349363425928</v>
      </c>
      <c r="BN14" s="124">
        <v>46295.98537037037</v>
      </c>
      <c r="BO14" s="124">
        <v>46265.348715277774</v>
      </c>
      <c r="BP14" s="124">
        <v>46265.953518518516</v>
      </c>
      <c r="BQ14" s="96">
        <f t="shared" si="0"/>
        <v>30</v>
      </c>
      <c r="BR14" s="67">
        <v>2</v>
      </c>
      <c r="BS14" s="1">
        <f t="shared" si="13"/>
        <v>28</v>
      </c>
      <c r="BT14" s="2">
        <f t="shared" si="1"/>
        <v>2</v>
      </c>
      <c r="BU14" s="2">
        <f t="shared" si="2"/>
        <v>0</v>
      </c>
      <c r="BV14" s="2">
        <f t="shared" si="3"/>
        <v>0</v>
      </c>
      <c r="BW14" s="2">
        <f t="shared" si="4"/>
        <v>0</v>
      </c>
      <c r="BX14" s="2">
        <f t="shared" si="5"/>
        <v>0</v>
      </c>
      <c r="BY14" s="2">
        <f t="shared" si="6"/>
        <v>0</v>
      </c>
      <c r="BZ14" s="2">
        <f t="shared" si="7"/>
        <v>0</v>
      </c>
      <c r="CA14" s="2">
        <f t="shared" si="8"/>
        <v>0</v>
      </c>
      <c r="CB14" s="2">
        <f t="shared" si="9"/>
        <v>0</v>
      </c>
      <c r="CC14" s="2">
        <f t="shared" si="10"/>
        <v>0</v>
      </c>
      <c r="CD14" s="2">
        <f t="shared" si="11"/>
        <v>0</v>
      </c>
      <c r="CE14" s="70"/>
      <c r="CG14" s="53">
        <v>0</v>
      </c>
      <c r="CH14" s="53">
        <v>0</v>
      </c>
      <c r="CI14" s="54">
        <v>28</v>
      </c>
      <c r="CJ14" s="53">
        <v>0</v>
      </c>
      <c r="CK14" s="53">
        <v>0</v>
      </c>
      <c r="CL14" s="54">
        <v>1</v>
      </c>
      <c r="CM14" s="53">
        <v>0</v>
      </c>
      <c r="CN14" s="53">
        <v>0</v>
      </c>
      <c r="CO14" s="53">
        <v>0</v>
      </c>
      <c r="CP14" s="53">
        <v>0</v>
      </c>
      <c r="CQ14" s="55">
        <f t="shared" si="12"/>
        <v>29</v>
      </c>
    </row>
    <row r="15" spans="1:95" ht="21" customHeight="1" x14ac:dyDescent="0.25">
      <c r="A15" s="158">
        <v>11</v>
      </c>
      <c r="B15" s="11" t="s">
        <v>42</v>
      </c>
      <c r="C15" s="77" t="s">
        <v>43</v>
      </c>
      <c r="D15" s="87">
        <v>45381</v>
      </c>
      <c r="E15" s="124">
        <v>46266.326342592591</v>
      </c>
      <c r="F15" s="124">
        <v>46264.938333333332</v>
      </c>
      <c r="G15" s="124">
        <v>46267.321840277778</v>
      </c>
      <c r="H15" s="124">
        <v>46267.95034722222</v>
      </c>
      <c r="I15" s="124">
        <v>46268.321122685185</v>
      </c>
      <c r="J15" s="124">
        <v>46268.929293981484</v>
      </c>
      <c r="K15" s="124">
        <v>46269.565196759257</v>
      </c>
      <c r="L15" s="124">
        <v>46269.918136574073</v>
      </c>
      <c r="M15" s="124">
        <v>46270.319016203706</v>
      </c>
      <c r="N15" s="124">
        <v>46270.925740740742</v>
      </c>
      <c r="O15" s="124">
        <v>46271.317361111112</v>
      </c>
      <c r="P15" s="124">
        <v>0</v>
      </c>
      <c r="Q15" s="124">
        <v>46272.322731481479</v>
      </c>
      <c r="R15" s="124">
        <v>46272.965474537035</v>
      </c>
      <c r="S15" s="124">
        <v>46273.317812499998</v>
      </c>
      <c r="T15" s="124">
        <v>0</v>
      </c>
      <c r="U15" s="124">
        <v>46274.321458333332</v>
      </c>
      <c r="V15" s="124">
        <v>46274.962650462963</v>
      </c>
      <c r="W15" s="124">
        <v>46275.320509259262</v>
      </c>
      <c r="X15" s="124">
        <v>46275.935868055552</v>
      </c>
      <c r="Y15" s="124">
        <v>46276.574305555558</v>
      </c>
      <c r="Z15" s="124">
        <v>46276.930509259262</v>
      </c>
      <c r="AA15" s="124">
        <v>46277.331365740742</v>
      </c>
      <c r="AB15" s="124">
        <v>46277.982534722221</v>
      </c>
      <c r="AC15" s="124">
        <v>46278.32608796296</v>
      </c>
      <c r="AD15" s="124">
        <v>46278.963599537034</v>
      </c>
      <c r="AE15" s="124">
        <v>46279.326701388891</v>
      </c>
      <c r="AF15" s="124">
        <v>46279.955474537041</v>
      </c>
      <c r="AG15" s="124">
        <v>46280.32508101852</v>
      </c>
      <c r="AH15" s="124">
        <v>46280.939421296294</v>
      </c>
      <c r="AI15" s="124"/>
      <c r="AJ15" s="44">
        <v>11</v>
      </c>
      <c r="AK15" s="124">
        <v>46281.323078703703</v>
      </c>
      <c r="AL15" s="124">
        <v>46281.958854166667</v>
      </c>
      <c r="AM15" s="131">
        <v>46282.321909722225</v>
      </c>
      <c r="AN15" s="124">
        <v>46282.987083333333</v>
      </c>
      <c r="AO15" s="124">
        <v>46283.566157407404</v>
      </c>
      <c r="AP15" s="124">
        <v>46283.955914351849</v>
      </c>
      <c r="AQ15" s="124">
        <v>46284.321770833332</v>
      </c>
      <c r="AR15" s="124">
        <v>46284.93273148148</v>
      </c>
      <c r="AS15" s="124">
        <v>46285.324340277781</v>
      </c>
      <c r="AT15" s="124">
        <v>0</v>
      </c>
      <c r="AU15" s="124">
        <v>46286.320891203701</v>
      </c>
      <c r="AV15" s="124">
        <v>0</v>
      </c>
      <c r="AW15" s="124">
        <v>46287.320960648147</v>
      </c>
      <c r="AX15" s="124">
        <v>46287.979583333334</v>
      </c>
      <c r="AY15" s="124">
        <v>46288.323576388888</v>
      </c>
      <c r="AZ15" s="124">
        <v>46288.940798611111</v>
      </c>
      <c r="BA15" s="124">
        <v>46289.322164351855</v>
      </c>
      <c r="BB15" s="124">
        <v>46289.972893518519</v>
      </c>
      <c r="BC15" s="124">
        <v>46290.577418981484</v>
      </c>
      <c r="BD15" s="124">
        <v>46290.918946759259</v>
      </c>
      <c r="BE15" s="124">
        <v>46291.322754629633</v>
      </c>
      <c r="BF15" s="124">
        <v>0</v>
      </c>
      <c r="BG15" s="124">
        <v>46292.355219907404</v>
      </c>
      <c r="BH15" s="124">
        <v>46292.922048611108</v>
      </c>
      <c r="BI15" s="124">
        <v>46293.356307870374</v>
      </c>
      <c r="BJ15" s="124">
        <v>46293.934351851851</v>
      </c>
      <c r="BK15" s="124">
        <v>46294.361134259256</v>
      </c>
      <c r="BL15" s="124">
        <v>46294.937986111108</v>
      </c>
      <c r="BM15" s="124">
        <v>46295.3518287037</v>
      </c>
      <c r="BN15" s="124">
        <v>46295.947939814818</v>
      </c>
      <c r="BO15" s="124">
        <v>46265.325173611112</v>
      </c>
      <c r="BP15" s="124">
        <v>0</v>
      </c>
      <c r="BQ15" s="9">
        <f>BS15+BT15+BV15+BW15+CA15+BY15+BZ15+CD15</f>
        <v>30</v>
      </c>
      <c r="BR15" s="67">
        <v>4</v>
      </c>
      <c r="BS15" s="1">
        <f t="shared" si="13"/>
        <v>30</v>
      </c>
      <c r="BT15" s="2">
        <f t="shared" ref="BT15:BT20" si="14">COUNTIF(E15:BN15,"OFF")/2</f>
        <v>0</v>
      </c>
      <c r="BU15" s="2">
        <f t="shared" ref="BU15:BU20" si="15">COUNTIF(E15:BN15,"MC")/2</f>
        <v>0</v>
      </c>
      <c r="BV15" s="2">
        <f t="shared" ref="BV15:BV20" si="16">COUNTIF(E15:BN15,"EL")/2</f>
        <v>0</v>
      </c>
      <c r="BW15" s="2">
        <f t="shared" ref="BW15:BW20" si="17">COUNTIF(E15:BN15,"AL")/2</f>
        <v>0</v>
      </c>
      <c r="BX15" s="2">
        <f t="shared" ref="BX15:BX20" si="18">COUNTIF(E15:BN15,"SUS")/2</f>
        <v>0</v>
      </c>
      <c r="BY15" s="2">
        <f t="shared" ref="BY15:BY20" si="19">COUNTIF(E15:BN15,"FL")/2</f>
        <v>0</v>
      </c>
      <c r="BZ15" s="2">
        <f t="shared" ref="BZ15:BZ20" si="20">COUNTIF(E15:BN15,"SICK")/2</f>
        <v>0</v>
      </c>
      <c r="CA15" s="2">
        <f t="shared" ref="CA15:CA20" si="21">COUNTIF(E15:BN15,"HD")/2</f>
        <v>0</v>
      </c>
      <c r="CB15" s="2">
        <f t="shared" ref="CB15:CB20" si="22">COUNTIF(E15:BN15,"AB")/2</f>
        <v>0</v>
      </c>
      <c r="CC15" s="2">
        <f t="shared" ref="CC15:CC20" si="23">COUNTIF(E15:BN15,"NL")/2</f>
        <v>0</v>
      </c>
      <c r="CD15" s="2">
        <f t="shared" ref="CD15:CD20" si="24">COUNTIF(E15:BN15,"SP")/2</f>
        <v>0</v>
      </c>
      <c r="CE15" s="70"/>
    </row>
    <row r="16" spans="1:95" ht="21" customHeight="1" x14ac:dyDescent="0.25">
      <c r="A16" s="158">
        <v>12</v>
      </c>
      <c r="B16" s="11" t="s">
        <v>59</v>
      </c>
      <c r="C16" s="8" t="s">
        <v>60</v>
      </c>
      <c r="D16" s="87">
        <v>45881</v>
      </c>
      <c r="E16" s="124">
        <v>46266.326388888891</v>
      </c>
      <c r="F16" s="124">
        <v>46264.930949074071</v>
      </c>
      <c r="G16" s="124">
        <v>46267.321886574071</v>
      </c>
      <c r="H16" s="124">
        <v>46267.976574074077</v>
      </c>
      <c r="I16" s="124">
        <v>46268.316435185188</v>
      </c>
      <c r="J16" s="124">
        <v>46268.971562500003</v>
      </c>
      <c r="K16" s="124">
        <v>0</v>
      </c>
      <c r="L16" s="124">
        <v>0</v>
      </c>
      <c r="M16" s="124">
        <v>46270.353703703702</v>
      </c>
      <c r="N16" s="124">
        <v>46270.968206018515</v>
      </c>
      <c r="O16" s="124">
        <v>46271.354224537034</v>
      </c>
      <c r="P16" s="124">
        <v>46271.952604166669</v>
      </c>
      <c r="Q16" s="124">
        <v>46272.354664351849</v>
      </c>
      <c r="R16" s="124">
        <v>46272.946261574078</v>
      </c>
      <c r="S16" s="124">
        <v>46273.354363425926</v>
      </c>
      <c r="T16" s="124">
        <v>0</v>
      </c>
      <c r="U16" s="124">
        <v>46274.321504629632</v>
      </c>
      <c r="V16" s="124">
        <v>0</v>
      </c>
      <c r="W16" s="124">
        <v>46275.354560185187</v>
      </c>
      <c r="X16" s="124">
        <v>46275.967928240738</v>
      </c>
      <c r="Y16" s="124">
        <v>0</v>
      </c>
      <c r="Z16" s="124">
        <v>0</v>
      </c>
      <c r="AA16" s="124">
        <v>46277.331400462965</v>
      </c>
      <c r="AB16" s="124">
        <v>0</v>
      </c>
      <c r="AC16" s="124">
        <v>46278.323159722226</v>
      </c>
      <c r="AD16" s="124">
        <v>0</v>
      </c>
      <c r="AE16" s="124">
        <v>46279.326747685183</v>
      </c>
      <c r="AF16" s="124">
        <v>46279.948865740742</v>
      </c>
      <c r="AG16" s="124">
        <v>46280.325231481482</v>
      </c>
      <c r="AH16" s="124">
        <v>0</v>
      </c>
      <c r="AI16" s="124"/>
      <c r="AJ16" s="44">
        <v>12</v>
      </c>
      <c r="AK16" s="124">
        <v>46281.323148148149</v>
      </c>
      <c r="AL16" s="124">
        <v>46281.946909722225</v>
      </c>
      <c r="AM16" s="124">
        <v>46282.321828703702</v>
      </c>
      <c r="AN16" s="124">
        <v>46282.970381944448</v>
      </c>
      <c r="AO16" s="124">
        <v>46283.566736111112</v>
      </c>
      <c r="AP16" s="124">
        <v>0</v>
      </c>
      <c r="AQ16" s="124">
        <v>46284.31826388889</v>
      </c>
      <c r="AR16" s="124">
        <v>46284.967766203707</v>
      </c>
      <c r="AS16" s="124">
        <v>46285.324236111112</v>
      </c>
      <c r="AT16" s="124">
        <v>46285.95039351852</v>
      </c>
      <c r="AU16" s="124">
        <v>46286.316863425927</v>
      </c>
      <c r="AV16" s="124">
        <v>46286.94908564815</v>
      </c>
      <c r="AW16" s="124">
        <v>46287.320879629631</v>
      </c>
      <c r="AX16" s="124">
        <v>46287.949305555558</v>
      </c>
      <c r="AY16" s="124">
        <v>0</v>
      </c>
      <c r="AZ16" s="124">
        <v>0</v>
      </c>
      <c r="BA16" s="124">
        <v>46289.322106481479</v>
      </c>
      <c r="BB16" s="124">
        <v>46289.973668981482</v>
      </c>
      <c r="BC16" s="124">
        <v>46290.570127314815</v>
      </c>
      <c r="BD16" s="124">
        <v>46290.952638888892</v>
      </c>
      <c r="BE16" s="124">
        <v>46291.322662037041</v>
      </c>
      <c r="BF16" s="124">
        <v>46291.970092592594</v>
      </c>
      <c r="BG16" s="124">
        <v>46292.325740740744</v>
      </c>
      <c r="BH16" s="124">
        <v>0</v>
      </c>
      <c r="BI16" s="124">
        <v>46293.321585648147</v>
      </c>
      <c r="BJ16" s="124">
        <v>0</v>
      </c>
      <c r="BK16" s="124">
        <v>46294.325636574074</v>
      </c>
      <c r="BL16" s="124">
        <v>46294.949583333335</v>
      </c>
      <c r="BM16" s="124">
        <v>46295.323414351849</v>
      </c>
      <c r="BN16" s="124">
        <v>46295.955752314818</v>
      </c>
      <c r="BO16" s="124">
        <v>46265.318391203706</v>
      </c>
      <c r="BP16" s="124">
        <v>46265.967592592591</v>
      </c>
      <c r="BQ16" s="96">
        <f>BS16+BT16+BV16+CA16+BY16+BZ16+CD16+BU16</f>
        <v>30</v>
      </c>
      <c r="BR16" s="159">
        <v>4</v>
      </c>
      <c r="BS16" s="1">
        <f t="shared" si="13"/>
        <v>30</v>
      </c>
      <c r="BT16" s="2">
        <f t="shared" si="14"/>
        <v>0</v>
      </c>
      <c r="BU16" s="2">
        <f t="shared" si="15"/>
        <v>0</v>
      </c>
      <c r="BV16" s="2">
        <f t="shared" si="16"/>
        <v>0</v>
      </c>
      <c r="BW16" s="2">
        <f t="shared" si="17"/>
        <v>0</v>
      </c>
      <c r="BX16" s="2">
        <f t="shared" si="18"/>
        <v>0</v>
      </c>
      <c r="BY16" s="2">
        <f t="shared" si="19"/>
        <v>0</v>
      </c>
      <c r="BZ16" s="2">
        <f t="shared" si="20"/>
        <v>0</v>
      </c>
      <c r="CA16" s="2">
        <f t="shared" si="21"/>
        <v>0</v>
      </c>
      <c r="CB16" s="2">
        <f t="shared" si="22"/>
        <v>0</v>
      </c>
      <c r="CC16" s="2">
        <f t="shared" si="23"/>
        <v>0</v>
      </c>
      <c r="CD16" s="2">
        <f t="shared" si="24"/>
        <v>0</v>
      </c>
      <c r="CE16" s="3"/>
      <c r="CG16" s="53">
        <v>0</v>
      </c>
      <c r="CH16" s="53">
        <v>0</v>
      </c>
      <c r="CI16" s="53">
        <v>0</v>
      </c>
      <c r="CJ16" s="53">
        <v>0</v>
      </c>
      <c r="CK16" s="53">
        <v>0</v>
      </c>
      <c r="CL16" s="53">
        <v>0</v>
      </c>
      <c r="CM16" s="53">
        <v>0</v>
      </c>
      <c r="CN16" s="53">
        <v>0</v>
      </c>
      <c r="CO16" s="53">
        <v>0</v>
      </c>
      <c r="CP16" s="53">
        <v>0</v>
      </c>
      <c r="CQ16" s="55">
        <f>SUM(CG16:CP16)</f>
        <v>0</v>
      </c>
    </row>
    <row r="17" spans="1:95" ht="21.75" customHeight="1" x14ac:dyDescent="0.25">
      <c r="A17" s="158">
        <v>13</v>
      </c>
      <c r="B17" s="44" t="s">
        <v>165</v>
      </c>
      <c r="C17" s="121" t="s">
        <v>166</v>
      </c>
      <c r="D17" s="87">
        <v>45945</v>
      </c>
      <c r="E17" s="124">
        <v>46266.344259259262</v>
      </c>
      <c r="F17" s="124">
        <v>46264.959432870368</v>
      </c>
      <c r="G17" s="124">
        <v>46267.345324074071</v>
      </c>
      <c r="H17" s="124">
        <v>46267.976643518516</v>
      </c>
      <c r="I17" s="124">
        <v>46268.341874999998</v>
      </c>
      <c r="J17" s="124">
        <v>46268.927847222221</v>
      </c>
      <c r="K17" s="124">
        <v>46269.560358796298</v>
      </c>
      <c r="L17" s="124">
        <v>46269.908043981479</v>
      </c>
      <c r="M17" s="124">
        <v>46270.346296296295</v>
      </c>
      <c r="N17" s="124">
        <v>46270.927557870367</v>
      </c>
      <c r="O17" s="124">
        <v>46271.345497685186</v>
      </c>
      <c r="P17" s="124">
        <v>46271.922500000001</v>
      </c>
      <c r="Q17" s="124">
        <v>46272.346747685187</v>
      </c>
      <c r="R17" s="124">
        <v>46272.965578703705</v>
      </c>
      <c r="S17" s="124">
        <v>46273.346006944441</v>
      </c>
      <c r="T17" s="124">
        <v>46273.989421296297</v>
      </c>
      <c r="U17" s="124">
        <v>46274.336435185185</v>
      </c>
      <c r="V17" s="124">
        <v>0</v>
      </c>
      <c r="W17" s="124">
        <v>46275.346388888887</v>
      </c>
      <c r="X17" s="124">
        <v>46275.935983796298</v>
      </c>
      <c r="Y17" s="124">
        <v>0</v>
      </c>
      <c r="Z17" s="124">
        <v>46276.931631944448</v>
      </c>
      <c r="AA17" s="124">
        <v>46277.347997685189</v>
      </c>
      <c r="AB17" s="124">
        <v>46277.987372685187</v>
      </c>
      <c r="AC17" s="124">
        <v>46278.344780092593</v>
      </c>
      <c r="AD17" s="124">
        <v>46278.963738425926</v>
      </c>
      <c r="AE17" s="124">
        <v>46279.340289351851</v>
      </c>
      <c r="AF17" s="124">
        <v>46279.957233796296</v>
      </c>
      <c r="AG17" s="124">
        <v>46280.347881944443</v>
      </c>
      <c r="AH17" s="124">
        <v>46280.939467592594</v>
      </c>
      <c r="AI17" s="124"/>
      <c r="AJ17" s="44">
        <v>13</v>
      </c>
      <c r="AK17" s="124">
        <v>46281.341284722221</v>
      </c>
      <c r="AL17" s="124">
        <v>46281.927662037036</v>
      </c>
      <c r="AM17" s="124">
        <v>46282.342314814814</v>
      </c>
      <c r="AN17" s="124">
        <v>46282.940023148149</v>
      </c>
      <c r="AO17" s="124">
        <v>46283.566250000003</v>
      </c>
      <c r="AP17" s="124">
        <v>0</v>
      </c>
      <c r="AQ17" s="124">
        <v>46284.350254629629</v>
      </c>
      <c r="AR17" s="124">
        <v>0</v>
      </c>
      <c r="AS17" s="124">
        <v>46285.347766203704</v>
      </c>
      <c r="AT17" s="124">
        <v>46285.926712962966</v>
      </c>
      <c r="AU17" s="124">
        <v>46286.343298611115</v>
      </c>
      <c r="AV17" s="124">
        <v>46286.923576388886</v>
      </c>
      <c r="AW17" s="124">
        <v>46287.343402777777</v>
      </c>
      <c r="AX17" s="124">
        <v>46287.929236111115</v>
      </c>
      <c r="AY17" s="124">
        <v>46288.340196759258</v>
      </c>
      <c r="AZ17" s="124">
        <v>46288.941064814811</v>
      </c>
      <c r="BA17" s="124">
        <v>46289.343668981484</v>
      </c>
      <c r="BB17" s="124">
        <v>46289.951840277776</v>
      </c>
      <c r="BC17" s="228" t="s">
        <v>15</v>
      </c>
      <c r="BD17" s="228" t="s">
        <v>15</v>
      </c>
      <c r="BE17" s="124">
        <v>46291.344861111109</v>
      </c>
      <c r="BF17" s="124">
        <v>46291.951192129629</v>
      </c>
      <c r="BG17" s="124">
        <v>46292.332488425927</v>
      </c>
      <c r="BH17" s="124">
        <v>46292.943136574075</v>
      </c>
      <c r="BI17" s="124">
        <v>46293.344282407408</v>
      </c>
      <c r="BJ17" s="124">
        <v>46293.934421296297</v>
      </c>
      <c r="BK17" s="124">
        <v>46294.339120370372</v>
      </c>
      <c r="BL17" s="124">
        <v>46294.926388888889</v>
      </c>
      <c r="BM17" s="124">
        <v>46295.333298611113</v>
      </c>
      <c r="BN17" s="124">
        <v>46295.929965277777</v>
      </c>
      <c r="BO17" s="124">
        <v>46265.337800925925</v>
      </c>
      <c r="BP17" s="124">
        <v>0</v>
      </c>
      <c r="BQ17" s="96">
        <f>BS17+BT17+BV17+CA17+BY17+BZ17+CD17+BU17</f>
        <v>30</v>
      </c>
      <c r="BR17" s="67">
        <v>3</v>
      </c>
      <c r="BS17" s="1">
        <f>COUNT(E17:AH17)/2+COUNT(AK17:BN17)/2</f>
        <v>29</v>
      </c>
      <c r="BT17" s="2">
        <f t="shared" si="14"/>
        <v>1</v>
      </c>
      <c r="BU17" s="2">
        <f t="shared" si="15"/>
        <v>0</v>
      </c>
      <c r="BV17" s="2">
        <f t="shared" si="16"/>
        <v>0</v>
      </c>
      <c r="BW17" s="2">
        <f t="shared" si="17"/>
        <v>0</v>
      </c>
      <c r="BX17" s="2">
        <f t="shared" si="18"/>
        <v>0</v>
      </c>
      <c r="BY17" s="2">
        <f t="shared" si="19"/>
        <v>0</v>
      </c>
      <c r="BZ17" s="2">
        <f t="shared" si="20"/>
        <v>0</v>
      </c>
      <c r="CA17" s="2">
        <f t="shared" si="21"/>
        <v>0</v>
      </c>
      <c r="CB17" s="2">
        <f t="shared" si="22"/>
        <v>0</v>
      </c>
      <c r="CC17" s="2">
        <f t="shared" si="23"/>
        <v>0</v>
      </c>
      <c r="CD17" s="2">
        <f t="shared" si="24"/>
        <v>0</v>
      </c>
      <c r="CE17" s="70"/>
      <c r="CG17" s="53">
        <v>0</v>
      </c>
      <c r="CH17" s="53">
        <v>0</v>
      </c>
      <c r="CI17" s="53">
        <v>0</v>
      </c>
      <c r="CJ17" s="53">
        <v>0</v>
      </c>
      <c r="CK17" s="53">
        <v>0</v>
      </c>
      <c r="CL17" s="53">
        <v>0</v>
      </c>
      <c r="CM17" s="53">
        <v>0</v>
      </c>
      <c r="CN17" s="53">
        <v>0</v>
      </c>
      <c r="CO17" s="53">
        <v>0</v>
      </c>
      <c r="CP17" s="53">
        <v>0</v>
      </c>
      <c r="CQ17" s="55">
        <f>SUM(CG17:CP17)</f>
        <v>0</v>
      </c>
    </row>
    <row r="18" spans="1:95" ht="22.5" customHeight="1" x14ac:dyDescent="0.25">
      <c r="A18" s="158">
        <v>14</v>
      </c>
      <c r="B18" s="44" t="s">
        <v>212</v>
      </c>
      <c r="C18" s="72" t="s">
        <v>214</v>
      </c>
      <c r="D18" s="87">
        <v>46052</v>
      </c>
      <c r="E18" s="124">
        <v>46266.352280092593</v>
      </c>
      <c r="F18" s="124">
        <v>46266.928402777776</v>
      </c>
      <c r="G18" s="124">
        <v>46267.331990740742</v>
      </c>
      <c r="H18" s="124">
        <v>46267.98709490741</v>
      </c>
      <c r="I18" s="124">
        <v>46268.348726851851</v>
      </c>
      <c r="J18" s="124">
        <v>46268.943541666667</v>
      </c>
      <c r="K18" s="124">
        <v>46269.56753472222</v>
      </c>
      <c r="L18" s="124">
        <v>46269.918796296297</v>
      </c>
      <c r="M18" s="124">
        <v>46270.351261574076</v>
      </c>
      <c r="N18" s="124">
        <v>46270.988391203704</v>
      </c>
      <c r="O18" s="124">
        <v>46271.34207175926</v>
      </c>
      <c r="P18" s="124">
        <v>46271.961215277777</v>
      </c>
      <c r="Q18" s="124">
        <v>46272.346782407411</v>
      </c>
      <c r="R18" s="124">
        <v>46272.95621527778</v>
      </c>
      <c r="S18" s="124">
        <v>46273.346550925926</v>
      </c>
      <c r="T18" s="124">
        <v>46273.964953703704</v>
      </c>
      <c r="U18" s="124">
        <v>46274.343553240738</v>
      </c>
      <c r="V18" s="124">
        <v>46274.965532407405</v>
      </c>
      <c r="W18" s="124">
        <v>46275.349803240744</v>
      </c>
      <c r="X18" s="124">
        <v>46275.982164351852</v>
      </c>
      <c r="Y18" s="124">
        <v>0</v>
      </c>
      <c r="Z18" s="124">
        <v>46276.9377662037</v>
      </c>
      <c r="AA18" s="124">
        <v>46277.355231481481</v>
      </c>
      <c r="AB18" s="124">
        <v>46277.989722222221</v>
      </c>
      <c r="AC18" s="124">
        <v>46278.350659722222</v>
      </c>
      <c r="AD18" s="124">
        <v>46278.963842592595</v>
      </c>
      <c r="AE18" s="124">
        <v>46279.354537037034</v>
      </c>
      <c r="AF18" s="124">
        <v>46279.957199074073</v>
      </c>
      <c r="AG18" s="124">
        <v>46280.351550925923</v>
      </c>
      <c r="AH18" s="124">
        <v>46280.942175925928</v>
      </c>
      <c r="AI18" s="124"/>
      <c r="AJ18" s="44">
        <v>14</v>
      </c>
      <c r="AK18" s="124">
        <v>46281.348946759259</v>
      </c>
      <c r="AL18" s="124">
        <v>46281.980752314812</v>
      </c>
      <c r="AM18" s="124">
        <v>46282.345358796294</v>
      </c>
      <c r="AN18" s="124">
        <v>46282.973900462966</v>
      </c>
      <c r="AO18" s="228" t="s">
        <v>15</v>
      </c>
      <c r="AP18" s="228" t="s">
        <v>15</v>
      </c>
      <c r="AQ18" s="124">
        <v>46284.350972222222</v>
      </c>
      <c r="AR18" s="124">
        <v>46284.972777777781</v>
      </c>
      <c r="AS18" s="124">
        <v>46285.354305555556</v>
      </c>
      <c r="AT18" s="124">
        <v>46285.952233796299</v>
      </c>
      <c r="AU18" s="124">
        <v>46286.352002314816</v>
      </c>
      <c r="AV18" s="124">
        <v>46286.944594907407</v>
      </c>
      <c r="AW18" s="124">
        <v>46287.353252314817</v>
      </c>
      <c r="AX18" s="124">
        <v>46287.982951388891</v>
      </c>
      <c r="AY18" s="124">
        <v>46288.352442129632</v>
      </c>
      <c r="AZ18" s="124">
        <v>46288.953657407408</v>
      </c>
      <c r="BA18" s="124">
        <v>46289.351365740738</v>
      </c>
      <c r="BB18" s="124">
        <v>46289.965671296297</v>
      </c>
      <c r="BC18" s="124">
        <v>46290.57440972222</v>
      </c>
      <c r="BD18" s="124">
        <v>46290.923657407409</v>
      </c>
      <c r="BE18" s="124">
        <v>46291.347939814812</v>
      </c>
      <c r="BF18" s="124">
        <v>46291.944606481484</v>
      </c>
      <c r="BG18" s="124">
        <v>46292.348067129627</v>
      </c>
      <c r="BH18" s="124">
        <v>46292.966620370367</v>
      </c>
      <c r="BI18" s="124">
        <v>46293.348287037035</v>
      </c>
      <c r="BJ18" s="124">
        <v>46293.949953703705</v>
      </c>
      <c r="BK18" s="124">
        <v>46294.349803240744</v>
      </c>
      <c r="BL18" s="127">
        <v>46294.966782407406</v>
      </c>
      <c r="BM18" s="124">
        <v>46295.342592592591</v>
      </c>
      <c r="BN18" s="124">
        <v>46295.986435185187</v>
      </c>
      <c r="BO18" s="124">
        <v>46265.354224537034</v>
      </c>
      <c r="BP18" s="124">
        <v>46265.946250000001</v>
      </c>
      <c r="BQ18" s="96">
        <f>BS18+BT18+BV18+CA18+BY18+BZ18+CD18+BU18</f>
        <v>30</v>
      </c>
      <c r="BR18" s="67">
        <v>3</v>
      </c>
      <c r="BS18" s="1">
        <f t="shared" si="13"/>
        <v>29</v>
      </c>
      <c r="BT18" s="2">
        <f t="shared" si="14"/>
        <v>1</v>
      </c>
      <c r="BU18" s="2">
        <f t="shared" si="15"/>
        <v>0</v>
      </c>
      <c r="BV18" s="2">
        <f t="shared" si="16"/>
        <v>0</v>
      </c>
      <c r="BW18" s="2">
        <f t="shared" si="17"/>
        <v>0</v>
      </c>
      <c r="BX18" s="2">
        <f t="shared" si="18"/>
        <v>0</v>
      </c>
      <c r="BY18" s="2">
        <f t="shared" si="19"/>
        <v>0</v>
      </c>
      <c r="BZ18" s="2">
        <f t="shared" si="20"/>
        <v>0</v>
      </c>
      <c r="CA18" s="2">
        <f t="shared" si="21"/>
        <v>0</v>
      </c>
      <c r="CB18" s="2">
        <f t="shared" si="22"/>
        <v>0</v>
      </c>
      <c r="CC18" s="2">
        <f t="shared" si="23"/>
        <v>0</v>
      </c>
      <c r="CD18" s="2">
        <f t="shared" si="24"/>
        <v>0</v>
      </c>
      <c r="CE18" s="70"/>
      <c r="CG18" s="66">
        <v>0</v>
      </c>
      <c r="CH18" s="66">
        <v>0</v>
      </c>
      <c r="CI18" s="66">
        <v>0</v>
      </c>
      <c r="CJ18" s="66">
        <v>0</v>
      </c>
      <c r="CK18" s="66">
        <v>0</v>
      </c>
      <c r="CL18" s="66">
        <v>0</v>
      </c>
      <c r="CM18" s="66">
        <v>0</v>
      </c>
      <c r="CN18" s="66">
        <v>0</v>
      </c>
      <c r="CO18" s="66">
        <v>0</v>
      </c>
      <c r="CP18" s="66">
        <v>0</v>
      </c>
      <c r="CQ18" s="55">
        <f>SUM(CG18:CP18)</f>
        <v>0</v>
      </c>
    </row>
    <row r="19" spans="1:95" ht="22.5" customHeight="1" x14ac:dyDescent="0.25">
      <c r="A19" s="158">
        <v>15</v>
      </c>
      <c r="B19" s="44" t="s">
        <v>220</v>
      </c>
      <c r="C19" s="72" t="s">
        <v>224</v>
      </c>
      <c r="D19" s="87">
        <v>46070</v>
      </c>
      <c r="E19" s="124">
        <v>46266.349236111113</v>
      </c>
      <c r="F19" s="124">
        <v>46266.972870370373</v>
      </c>
      <c r="G19" s="124">
        <v>46267.351574074077</v>
      </c>
      <c r="H19" s="124">
        <v>46267.981840277775</v>
      </c>
      <c r="I19" s="124">
        <v>46268.353009259263</v>
      </c>
      <c r="J19" s="124">
        <v>46268.976041666669</v>
      </c>
      <c r="K19" s="124">
        <v>46269.576574074075</v>
      </c>
      <c r="L19" s="124">
        <v>46269.995034722226</v>
      </c>
      <c r="M19" s="124">
        <v>46270.354768518519</v>
      </c>
      <c r="N19" s="124">
        <v>46270.98809027778</v>
      </c>
      <c r="O19" s="124">
        <v>46271.353877314818</v>
      </c>
      <c r="P19" s="124">
        <v>46271.960462962961</v>
      </c>
      <c r="Q19" s="124">
        <v>46272.352870370371</v>
      </c>
      <c r="R19" s="124">
        <v>46272.961944444447</v>
      </c>
      <c r="S19" s="124">
        <v>46273.354155092595</v>
      </c>
      <c r="T19" s="124">
        <v>46273.96875</v>
      </c>
      <c r="U19" s="124">
        <v>46274.349918981483</v>
      </c>
      <c r="V19" s="124">
        <v>0</v>
      </c>
      <c r="W19" s="124">
        <v>46275.343136574076</v>
      </c>
      <c r="X19" s="124">
        <v>46275.980173611111</v>
      </c>
      <c r="Y19" s="124" t="s">
        <v>15</v>
      </c>
      <c r="Z19" s="124" t="s">
        <v>15</v>
      </c>
      <c r="AA19" s="124">
        <v>46277.354560185187</v>
      </c>
      <c r="AB19" s="124">
        <v>46277.982789351852</v>
      </c>
      <c r="AC19" s="124">
        <v>46278.349953703706</v>
      </c>
      <c r="AD19" s="124">
        <v>46278.955706018518</v>
      </c>
      <c r="AE19" s="124">
        <v>46279.344166666669</v>
      </c>
      <c r="AF19" s="124">
        <v>46279.958298611113</v>
      </c>
      <c r="AG19" s="124">
        <v>46280.354594907411</v>
      </c>
      <c r="AH19" s="124">
        <v>46280.953703703701</v>
      </c>
      <c r="AI19" s="124"/>
      <c r="AJ19" s="44">
        <v>15</v>
      </c>
      <c r="AK19" s="124">
        <v>46281.350532407407</v>
      </c>
      <c r="AL19" s="124">
        <v>46281.990289351852</v>
      </c>
      <c r="AM19" s="124">
        <v>46282.351469907408</v>
      </c>
      <c r="AN19" s="124">
        <v>46282.969861111109</v>
      </c>
      <c r="AO19" s="124">
        <v>46283.579513888886</v>
      </c>
      <c r="AP19" s="124">
        <v>46283.939259259256</v>
      </c>
      <c r="AQ19" s="124">
        <v>46284.358425925922</v>
      </c>
      <c r="AR19" s="124">
        <v>46284.96912037037</v>
      </c>
      <c r="AS19" s="124">
        <v>46285.354375000003</v>
      </c>
      <c r="AT19" s="124">
        <v>0</v>
      </c>
      <c r="AU19" s="124">
        <v>46286.35050925926</v>
      </c>
      <c r="AV19" s="124">
        <v>46286.941192129627</v>
      </c>
      <c r="AW19" s="124">
        <v>46287.353194444448</v>
      </c>
      <c r="AX19" s="124">
        <v>46287.978946759256</v>
      </c>
      <c r="AY19" s="124">
        <v>46288.35434027778</v>
      </c>
      <c r="AZ19" s="124">
        <v>46288.953622685185</v>
      </c>
      <c r="BA19" s="124">
        <v>46289.351446759261</v>
      </c>
      <c r="BB19" s="124">
        <v>46289.939340277779</v>
      </c>
      <c r="BC19" s="228" t="s">
        <v>15</v>
      </c>
      <c r="BD19" s="228" t="s">
        <v>15</v>
      </c>
      <c r="BE19" s="124">
        <v>46291.352372685185</v>
      </c>
      <c r="BF19" s="124">
        <v>46291.939756944441</v>
      </c>
      <c r="BG19" s="124">
        <v>46292.356956018521</v>
      </c>
      <c r="BH19" s="124">
        <v>46292.939328703702</v>
      </c>
      <c r="BI19" s="124">
        <v>46293.354062500002</v>
      </c>
      <c r="BJ19" s="124">
        <v>46293.94872685185</v>
      </c>
      <c r="BK19" s="124">
        <v>46294.353530092594</v>
      </c>
      <c r="BL19" s="124">
        <v>46294.951840277776</v>
      </c>
      <c r="BM19" s="124">
        <v>46295.355462962965</v>
      </c>
      <c r="BN19" s="124">
        <v>46295.982268518521</v>
      </c>
      <c r="BO19" s="124">
        <v>46265.355694444443</v>
      </c>
      <c r="BP19" s="124">
        <v>46265.946967592594</v>
      </c>
      <c r="BQ19" s="96">
        <f>BS19+BT19+BV19+CA19+BY19+BZ19+CD19+BU19</f>
        <v>30</v>
      </c>
      <c r="BR19" s="67">
        <v>2</v>
      </c>
      <c r="BS19" s="1">
        <f t="shared" si="13"/>
        <v>28</v>
      </c>
      <c r="BT19" s="2">
        <f t="shared" si="14"/>
        <v>2</v>
      </c>
      <c r="BU19" s="2">
        <f t="shared" si="15"/>
        <v>0</v>
      </c>
      <c r="BV19" s="2">
        <f t="shared" si="16"/>
        <v>0</v>
      </c>
      <c r="BW19" s="2">
        <f t="shared" si="17"/>
        <v>0</v>
      </c>
      <c r="BX19" s="2">
        <f t="shared" si="18"/>
        <v>0</v>
      </c>
      <c r="BY19" s="2">
        <f t="shared" si="19"/>
        <v>0</v>
      </c>
      <c r="BZ19" s="2">
        <f t="shared" si="20"/>
        <v>0</v>
      </c>
      <c r="CA19" s="2">
        <f t="shared" si="21"/>
        <v>0</v>
      </c>
      <c r="CB19" s="2">
        <f t="shared" si="22"/>
        <v>0</v>
      </c>
      <c r="CC19" s="2">
        <f t="shared" si="23"/>
        <v>0</v>
      </c>
      <c r="CD19" s="2">
        <f t="shared" si="24"/>
        <v>0</v>
      </c>
      <c r="CE19" s="70"/>
      <c r="CG19" s="66">
        <v>0</v>
      </c>
      <c r="CH19" s="66">
        <v>0</v>
      </c>
      <c r="CI19" s="66">
        <v>0</v>
      </c>
      <c r="CJ19" s="66">
        <v>0</v>
      </c>
      <c r="CK19" s="66">
        <v>1</v>
      </c>
      <c r="CL19" s="66">
        <v>3</v>
      </c>
      <c r="CM19" s="66">
        <v>0</v>
      </c>
      <c r="CN19" s="66">
        <v>0</v>
      </c>
      <c r="CO19" s="66">
        <v>0</v>
      </c>
      <c r="CP19" s="66">
        <v>0</v>
      </c>
      <c r="CQ19" s="55">
        <f>SUM(CG19:CP19)</f>
        <v>4</v>
      </c>
    </row>
    <row r="20" spans="1:95" ht="22.5" customHeight="1" x14ac:dyDescent="0.25">
      <c r="A20" s="158">
        <v>16</v>
      </c>
      <c r="B20" s="44" t="s">
        <v>240</v>
      </c>
      <c r="C20" s="72" t="s">
        <v>241</v>
      </c>
      <c r="D20" s="87"/>
      <c r="E20" s="124">
        <v>46266.347083333334</v>
      </c>
      <c r="F20" s="124">
        <v>46266.955636574072</v>
      </c>
      <c r="G20" s="124">
        <v>0</v>
      </c>
      <c r="H20" s="124">
        <v>46267.984606481485</v>
      </c>
      <c r="I20" s="124">
        <v>0</v>
      </c>
      <c r="J20" s="124">
        <v>46268.969687500001</v>
      </c>
      <c r="K20" s="124">
        <v>46269.571377314816</v>
      </c>
      <c r="L20" s="124">
        <v>46269.996898148151</v>
      </c>
      <c r="M20" s="124">
        <v>46270.347627314812</v>
      </c>
      <c r="N20" s="124">
        <v>46270.978217592594</v>
      </c>
      <c r="O20" s="124">
        <v>46271.346296296295</v>
      </c>
      <c r="P20" s="124">
        <v>46271.958472222221</v>
      </c>
      <c r="Q20" s="124">
        <v>46272.347858796296</v>
      </c>
      <c r="R20" s="124">
        <v>46272.957291666666</v>
      </c>
      <c r="S20" s="124">
        <v>46273.351064814815</v>
      </c>
      <c r="T20" s="124">
        <v>46273.970289351855</v>
      </c>
      <c r="U20" s="124">
        <v>46274.345555555556</v>
      </c>
      <c r="V20" s="124">
        <v>46274.966585648152</v>
      </c>
      <c r="W20" s="124">
        <v>46275.350416666668</v>
      </c>
      <c r="X20" s="124">
        <v>46275.983888888892</v>
      </c>
      <c r="Y20" s="124" t="s">
        <v>15</v>
      </c>
      <c r="Z20" s="124" t="s">
        <v>15</v>
      </c>
      <c r="AA20" s="124">
        <v>46277.349490740744</v>
      </c>
      <c r="AB20" s="124">
        <v>46277.989675925928</v>
      </c>
      <c r="AC20" s="124">
        <v>46278.350138888891</v>
      </c>
      <c r="AD20" s="124">
        <v>46278.960462962961</v>
      </c>
      <c r="AE20" s="124">
        <v>46279.348506944443</v>
      </c>
      <c r="AF20" s="124">
        <v>46279.958402777775</v>
      </c>
      <c r="AG20" s="124">
        <v>46280.350405092591</v>
      </c>
      <c r="AH20" s="124">
        <v>46280.94222222222</v>
      </c>
      <c r="AI20" s="124"/>
      <c r="AJ20" s="44">
        <v>16</v>
      </c>
      <c r="AK20" s="124">
        <v>46281.349768518521</v>
      </c>
      <c r="AL20" s="124">
        <v>46281.962673611109</v>
      </c>
      <c r="AM20" s="124">
        <v>46282.351585648146</v>
      </c>
      <c r="AN20" s="124">
        <v>46282.976284722223</v>
      </c>
      <c r="AO20" s="124">
        <v>46283.575983796298</v>
      </c>
      <c r="AP20" s="124">
        <v>46283.940706018519</v>
      </c>
      <c r="AQ20" s="124">
        <v>46284.350914351853</v>
      </c>
      <c r="AR20" s="124">
        <v>0</v>
      </c>
      <c r="AS20" s="124">
        <v>46285.341643518521</v>
      </c>
      <c r="AT20" s="124">
        <v>46285.959050925929</v>
      </c>
      <c r="AU20" s="124">
        <v>46286.348101851851</v>
      </c>
      <c r="AV20" s="124">
        <v>46286.946932870371</v>
      </c>
      <c r="AW20" s="124">
        <v>46287.349317129629</v>
      </c>
      <c r="AX20" s="124">
        <v>46287.982581018521</v>
      </c>
      <c r="AY20" s="124">
        <v>46288.352881944447</v>
      </c>
      <c r="AZ20" s="124">
        <v>46288.957291666666</v>
      </c>
      <c r="BA20" s="124">
        <v>46289.341631944444</v>
      </c>
      <c r="BB20" s="124">
        <v>46289.978321759256</v>
      </c>
      <c r="BC20" s="228" t="s">
        <v>15</v>
      </c>
      <c r="BD20" s="228" t="s">
        <v>15</v>
      </c>
      <c r="BE20" s="124">
        <v>46291.350115740737</v>
      </c>
      <c r="BF20" s="124">
        <v>0</v>
      </c>
      <c r="BG20" s="124">
        <v>46292.353321759256</v>
      </c>
      <c r="BH20" s="124">
        <v>46292.988333333335</v>
      </c>
      <c r="BI20" s="124">
        <v>46293.349293981482</v>
      </c>
      <c r="BJ20" s="124">
        <v>46293.951122685183</v>
      </c>
      <c r="BK20" s="124">
        <v>46294.351030092592</v>
      </c>
      <c r="BL20" s="124">
        <v>46294.953761574077</v>
      </c>
      <c r="BM20" s="124">
        <v>46295.343078703707</v>
      </c>
      <c r="BN20" s="124">
        <v>46295.985844907409</v>
      </c>
      <c r="BO20" s="124">
        <v>46265.34820601852</v>
      </c>
      <c r="BP20" s="124">
        <v>46265.947118055556</v>
      </c>
      <c r="BQ20" s="96">
        <f>BS20+BT20+BV20+CA20+BY20+BZ20+CD20+BU20</f>
        <v>30</v>
      </c>
      <c r="BR20" s="67">
        <v>2</v>
      </c>
      <c r="BS20" s="1">
        <f t="shared" si="13"/>
        <v>28</v>
      </c>
      <c r="BT20" s="2">
        <f t="shared" si="14"/>
        <v>2</v>
      </c>
      <c r="BU20" s="2">
        <f t="shared" si="15"/>
        <v>0</v>
      </c>
      <c r="BV20" s="2">
        <f t="shared" si="16"/>
        <v>0</v>
      </c>
      <c r="BW20" s="2">
        <f t="shared" si="17"/>
        <v>0</v>
      </c>
      <c r="BX20" s="2">
        <f t="shared" si="18"/>
        <v>0</v>
      </c>
      <c r="BY20" s="2">
        <f t="shared" si="19"/>
        <v>0</v>
      </c>
      <c r="BZ20" s="2">
        <f t="shared" si="20"/>
        <v>0</v>
      </c>
      <c r="CA20" s="2">
        <f t="shared" si="21"/>
        <v>0</v>
      </c>
      <c r="CB20" s="2">
        <f t="shared" si="22"/>
        <v>0</v>
      </c>
      <c r="CC20" s="2">
        <f t="shared" si="23"/>
        <v>0</v>
      </c>
      <c r="CD20" s="2">
        <f t="shared" si="24"/>
        <v>0</v>
      </c>
      <c r="CE20" s="3"/>
      <c r="CG20" s="66">
        <v>0</v>
      </c>
      <c r="CH20" s="66">
        <v>0</v>
      </c>
      <c r="CI20" s="66">
        <v>0</v>
      </c>
      <c r="CJ20" s="66">
        <v>0</v>
      </c>
      <c r="CK20" s="66">
        <v>0</v>
      </c>
      <c r="CL20" s="66">
        <v>0</v>
      </c>
      <c r="CM20" s="66">
        <v>0</v>
      </c>
      <c r="CN20" s="66">
        <v>0</v>
      </c>
      <c r="CO20" s="66">
        <v>0</v>
      </c>
      <c r="CP20" s="66">
        <v>0</v>
      </c>
      <c r="CQ20" s="55">
        <f>SUM(CG20:CP20)</f>
        <v>0</v>
      </c>
    </row>
    <row r="21" spans="1:95" ht="21" customHeight="1" x14ac:dyDescent="0.25">
      <c r="A21" s="158">
        <v>17</v>
      </c>
      <c r="B21" s="11" t="s">
        <v>47</v>
      </c>
      <c r="C21" s="77" t="s">
        <v>48</v>
      </c>
      <c r="D21" s="87">
        <v>45837</v>
      </c>
      <c r="E21" s="124">
        <v>46266.364849537036</v>
      </c>
      <c r="F21" s="124">
        <v>46264.956134259257</v>
      </c>
      <c r="G21" s="124">
        <v>46267.337013888886</v>
      </c>
      <c r="H21" s="124">
        <v>0</v>
      </c>
      <c r="I21" s="124">
        <v>46268.342488425929</v>
      </c>
      <c r="J21" s="124">
        <v>0</v>
      </c>
      <c r="K21" s="178" t="s">
        <v>15</v>
      </c>
      <c r="L21" s="178" t="s">
        <v>15</v>
      </c>
      <c r="M21" s="124">
        <v>46270.340046296296</v>
      </c>
      <c r="N21" s="124">
        <v>0</v>
      </c>
      <c r="O21" s="124">
        <v>46271.340555555558</v>
      </c>
      <c r="P21" s="124">
        <v>0</v>
      </c>
      <c r="Q21" s="124">
        <v>46272.339699074073</v>
      </c>
      <c r="R21" s="124">
        <v>0</v>
      </c>
      <c r="S21" s="124">
        <v>46273.339548611111</v>
      </c>
      <c r="T21" s="124">
        <v>0</v>
      </c>
      <c r="U21" s="124">
        <v>46274.340497685182</v>
      </c>
      <c r="V21" s="124">
        <v>0</v>
      </c>
      <c r="W21" s="124">
        <v>46275.32953703704</v>
      </c>
      <c r="X21" s="124">
        <v>0</v>
      </c>
      <c r="Y21" s="124">
        <v>0</v>
      </c>
      <c r="Z21" s="124">
        <v>46276.974328703705</v>
      </c>
      <c r="AA21" s="124">
        <v>46277.345439814817</v>
      </c>
      <c r="AB21" s="124">
        <v>46277.905543981484</v>
      </c>
      <c r="AC21" s="124">
        <v>46278.326435185183</v>
      </c>
      <c r="AD21" s="124">
        <v>46278.960509259261</v>
      </c>
      <c r="AE21" s="124">
        <v>46279.344537037039</v>
      </c>
      <c r="AF21" s="124">
        <v>0</v>
      </c>
      <c r="AG21" s="124">
        <v>46280.343321759261</v>
      </c>
      <c r="AH21" s="124">
        <v>0</v>
      </c>
      <c r="AI21" s="124"/>
      <c r="AJ21" s="44">
        <v>17</v>
      </c>
      <c r="AK21" s="124">
        <v>46281.334247685183</v>
      </c>
      <c r="AL21" s="124">
        <v>0</v>
      </c>
      <c r="AM21" s="124">
        <v>46282.34412037037</v>
      </c>
      <c r="AN21" s="124">
        <v>0</v>
      </c>
      <c r="AO21" s="124">
        <v>46283.588310185187</v>
      </c>
      <c r="AP21" s="124">
        <v>0</v>
      </c>
      <c r="AQ21" s="124">
        <v>46284.346701388888</v>
      </c>
      <c r="AR21" s="124">
        <v>0</v>
      </c>
      <c r="AS21" s="124">
        <v>46285.349143518521</v>
      </c>
      <c r="AT21" s="124">
        <v>46285.734444444446</v>
      </c>
      <c r="AU21" s="124">
        <v>46286.34579861111</v>
      </c>
      <c r="AV21" s="124">
        <v>0</v>
      </c>
      <c r="AW21" s="124">
        <v>46287.34784722222</v>
      </c>
      <c r="AX21" s="124">
        <v>0</v>
      </c>
      <c r="AY21" s="124">
        <v>46288.344814814816</v>
      </c>
      <c r="AZ21" s="124">
        <v>46288.962268518517</v>
      </c>
      <c r="BA21" s="124">
        <v>46289.350810185184</v>
      </c>
      <c r="BB21" s="124">
        <v>0</v>
      </c>
      <c r="BC21" s="228" t="s">
        <v>15</v>
      </c>
      <c r="BD21" s="228" t="s">
        <v>15</v>
      </c>
      <c r="BE21" s="124">
        <v>46291.323113425926</v>
      </c>
      <c r="BF21" s="124">
        <v>0</v>
      </c>
      <c r="BG21" s="124">
        <v>46292.338090277779</v>
      </c>
      <c r="BH21" s="124">
        <v>0</v>
      </c>
      <c r="BI21" s="124">
        <v>46293.354305555556</v>
      </c>
      <c r="BJ21" s="124">
        <v>46293.968229166669</v>
      </c>
      <c r="BK21" s="124">
        <v>46294.342349537037</v>
      </c>
      <c r="BL21" s="124">
        <v>0</v>
      </c>
      <c r="BM21" s="124">
        <v>46295.345775462964</v>
      </c>
      <c r="BN21" s="124">
        <v>0</v>
      </c>
      <c r="BO21" s="124">
        <v>46265.349768518521</v>
      </c>
      <c r="BP21" s="124">
        <v>0</v>
      </c>
      <c r="BQ21" s="96">
        <f t="shared" si="0"/>
        <v>30</v>
      </c>
      <c r="BR21" s="67">
        <v>2</v>
      </c>
      <c r="BS21" s="1">
        <f t="shared" si="13"/>
        <v>28</v>
      </c>
      <c r="BT21" s="2">
        <f t="shared" si="1"/>
        <v>2</v>
      </c>
      <c r="BU21" s="2">
        <f t="shared" si="2"/>
        <v>0</v>
      </c>
      <c r="BV21" s="2">
        <f t="shared" si="3"/>
        <v>0</v>
      </c>
      <c r="BW21" s="2">
        <f t="shared" si="4"/>
        <v>0</v>
      </c>
      <c r="BX21" s="2">
        <f t="shared" si="5"/>
        <v>0</v>
      </c>
      <c r="BY21" s="2">
        <f t="shared" si="6"/>
        <v>0</v>
      </c>
      <c r="BZ21" s="2">
        <f t="shared" si="7"/>
        <v>0</v>
      </c>
      <c r="CA21" s="2">
        <f t="shared" si="8"/>
        <v>0</v>
      </c>
      <c r="CB21" s="2">
        <f t="shared" si="9"/>
        <v>0</v>
      </c>
      <c r="CC21" s="2">
        <f t="shared" si="10"/>
        <v>0</v>
      </c>
      <c r="CD21" s="2">
        <f t="shared" si="11"/>
        <v>0</v>
      </c>
      <c r="CE21" s="70"/>
      <c r="CG21" s="53">
        <v>0</v>
      </c>
      <c r="CH21" s="53">
        <v>0</v>
      </c>
      <c r="CI21" s="53">
        <v>0</v>
      </c>
      <c r="CJ21" s="53">
        <v>0</v>
      </c>
      <c r="CK21" s="53">
        <v>0</v>
      </c>
      <c r="CL21" s="53">
        <v>0</v>
      </c>
      <c r="CM21" s="53">
        <v>0</v>
      </c>
      <c r="CN21" s="53">
        <v>0</v>
      </c>
      <c r="CO21" s="53">
        <v>0</v>
      </c>
      <c r="CP21" s="53">
        <v>0</v>
      </c>
      <c r="CQ21" s="55">
        <f t="shared" si="12"/>
        <v>0</v>
      </c>
    </row>
    <row r="22" spans="1:95" ht="21" customHeight="1" x14ac:dyDescent="0.25">
      <c r="A22" s="158">
        <v>18</v>
      </c>
      <c r="B22" s="11" t="s">
        <v>51</v>
      </c>
      <c r="C22" s="77" t="s">
        <v>52</v>
      </c>
      <c r="D22" s="85"/>
      <c r="E22" s="124">
        <v>46266.350798611114</v>
      </c>
      <c r="F22" s="124">
        <v>46264.951770833337</v>
      </c>
      <c r="G22" s="124">
        <v>46267.351597222223</v>
      </c>
      <c r="H22" s="124">
        <v>46267.979224537034</v>
      </c>
      <c r="I22" s="124">
        <v>46268.351446759261</v>
      </c>
      <c r="J22" s="124">
        <v>46268.96534722222</v>
      </c>
      <c r="K22" s="178" t="s">
        <v>15</v>
      </c>
      <c r="L22" s="178" t="s">
        <v>15</v>
      </c>
      <c r="M22" s="124">
        <v>46270.353888888887</v>
      </c>
      <c r="N22" s="124">
        <v>46270.975092592591</v>
      </c>
      <c r="O22" s="124">
        <v>46271.33797453704</v>
      </c>
      <c r="P22" s="124">
        <v>46271.94121527778</v>
      </c>
      <c r="Q22" s="124">
        <v>46272.350763888891</v>
      </c>
      <c r="R22" s="124">
        <v>46272.938055555554</v>
      </c>
      <c r="S22" s="124">
        <v>46273.352662037039</v>
      </c>
      <c r="T22" s="124">
        <v>46273.959456018521</v>
      </c>
      <c r="U22" s="124">
        <v>46274.34820601852</v>
      </c>
      <c r="V22" s="124">
        <v>46274.959502314814</v>
      </c>
      <c r="W22" s="124">
        <v>46275.353634259256</v>
      </c>
      <c r="X22" s="124">
        <v>46275.981412037036</v>
      </c>
      <c r="Y22" s="124">
        <v>46276.581932870373</v>
      </c>
      <c r="Z22" s="124">
        <v>46276.959814814814</v>
      </c>
      <c r="AA22" s="124">
        <v>46277.350671296299</v>
      </c>
      <c r="AB22" s="124">
        <v>46277.982777777775</v>
      </c>
      <c r="AC22" s="124">
        <v>46278.353310185186</v>
      </c>
      <c r="AD22" s="124">
        <v>46278.960486111115</v>
      </c>
      <c r="AE22" s="124">
        <v>46279.348124999997</v>
      </c>
      <c r="AF22" s="124">
        <v>46279.946770833332</v>
      </c>
      <c r="AG22" s="124">
        <v>46280.348738425928</v>
      </c>
      <c r="AH22" s="124">
        <v>46280.932013888887</v>
      </c>
      <c r="AI22" s="124"/>
      <c r="AJ22" s="44">
        <v>18</v>
      </c>
      <c r="AK22" s="124">
        <v>46281.350497685184</v>
      </c>
      <c r="AL22" s="124">
        <v>46281.969201388885</v>
      </c>
      <c r="AM22" s="124">
        <v>46282.347210648149</v>
      </c>
      <c r="AN22" s="124">
        <v>46282.978159722225</v>
      </c>
      <c r="AO22" s="228" t="s">
        <v>15</v>
      </c>
      <c r="AP22" s="228" t="s">
        <v>15</v>
      </c>
      <c r="AQ22" s="124">
        <v>46284.347569444442</v>
      </c>
      <c r="AR22" s="124">
        <v>46284.969641203701</v>
      </c>
      <c r="AS22" s="124">
        <v>46285.348090277781</v>
      </c>
      <c r="AT22" s="124">
        <v>46285.959050925929</v>
      </c>
      <c r="AU22" s="124">
        <v>46286.350300925929</v>
      </c>
      <c r="AV22" s="124">
        <v>46286.948969907404</v>
      </c>
      <c r="AW22" s="124">
        <v>46287.353252314817</v>
      </c>
      <c r="AX22" s="124">
        <v>46287.980578703704</v>
      </c>
      <c r="AY22" s="124">
        <v>46288.350555555553</v>
      </c>
      <c r="AZ22" s="124">
        <v>46288.951550925929</v>
      </c>
      <c r="BA22" s="124">
        <v>46289.34946759259</v>
      </c>
      <c r="BB22" s="124">
        <v>46289.979247685187</v>
      </c>
      <c r="BC22" s="124">
        <v>46290.579826388886</v>
      </c>
      <c r="BD22" s="124">
        <v>46290.920891203707</v>
      </c>
      <c r="BE22" s="124">
        <v>46291.346932870372</v>
      </c>
      <c r="BF22" s="124">
        <v>46291.939652777779</v>
      </c>
      <c r="BG22" s="124">
        <v>46292.35125</v>
      </c>
      <c r="BH22" s="124">
        <v>46292.968680555554</v>
      </c>
      <c r="BI22" s="124">
        <v>46293.352164351854</v>
      </c>
      <c r="BJ22" s="124">
        <v>46293.940578703703</v>
      </c>
      <c r="BK22" s="124">
        <v>46294.347766203704</v>
      </c>
      <c r="BL22" s="124">
        <v>46294.943298611113</v>
      </c>
      <c r="BM22" s="124">
        <v>46295.349236111113</v>
      </c>
      <c r="BN22" s="124">
        <v>46295.983749999999</v>
      </c>
      <c r="BO22" s="124">
        <v>46265.351990740739</v>
      </c>
      <c r="BP22" s="124">
        <v>46265.941145833334</v>
      </c>
      <c r="BQ22" s="96">
        <f t="shared" si="0"/>
        <v>30</v>
      </c>
      <c r="BR22" s="67">
        <v>2</v>
      </c>
      <c r="BS22" s="1">
        <f t="shared" si="13"/>
        <v>28</v>
      </c>
      <c r="BT22" s="2">
        <f t="shared" si="1"/>
        <v>2</v>
      </c>
      <c r="BU22" s="2">
        <f t="shared" si="2"/>
        <v>0</v>
      </c>
      <c r="BV22" s="2">
        <f t="shared" si="3"/>
        <v>0</v>
      </c>
      <c r="BW22" s="2">
        <f t="shared" si="4"/>
        <v>0</v>
      </c>
      <c r="BX22" s="2">
        <f t="shared" si="5"/>
        <v>0</v>
      </c>
      <c r="BY22" s="2">
        <f t="shared" si="6"/>
        <v>0</v>
      </c>
      <c r="BZ22" s="2">
        <f t="shared" si="7"/>
        <v>0</v>
      </c>
      <c r="CA22" s="2">
        <f t="shared" si="8"/>
        <v>0</v>
      </c>
      <c r="CB22" s="2">
        <f t="shared" si="9"/>
        <v>0</v>
      </c>
      <c r="CC22" s="2">
        <f t="shared" si="10"/>
        <v>0</v>
      </c>
      <c r="CD22" s="2">
        <f t="shared" si="11"/>
        <v>0</v>
      </c>
      <c r="CE22" s="70"/>
      <c r="CG22" s="53"/>
      <c r="CH22" s="53"/>
      <c r="CI22" s="53"/>
      <c r="CJ22" s="53"/>
      <c r="CK22" s="53"/>
      <c r="CL22" s="53"/>
      <c r="CM22" s="53"/>
      <c r="CN22" s="53"/>
      <c r="CO22" s="53"/>
      <c r="CP22" s="53"/>
      <c r="CQ22" s="55"/>
    </row>
    <row r="23" spans="1:95" ht="21" customHeight="1" x14ac:dyDescent="0.25">
      <c r="A23" s="158">
        <v>19</v>
      </c>
      <c r="B23" s="12" t="s">
        <v>53</v>
      </c>
      <c r="C23" s="8" t="s">
        <v>54</v>
      </c>
      <c r="D23" s="85">
        <v>40896</v>
      </c>
      <c r="E23" s="124">
        <v>46266.353148148148</v>
      </c>
      <c r="F23" s="124">
        <v>46264.933032407411</v>
      </c>
      <c r="G23" s="124">
        <v>46267.353194444448</v>
      </c>
      <c r="H23" s="124">
        <v>46267.981400462966</v>
      </c>
      <c r="I23" s="124">
        <v>46268.354780092595</v>
      </c>
      <c r="J23" s="124">
        <v>46268.958854166667</v>
      </c>
      <c r="K23" s="178" t="s">
        <v>15</v>
      </c>
      <c r="L23" s="178" t="s">
        <v>15</v>
      </c>
      <c r="M23" s="124">
        <v>46270.355300925927</v>
      </c>
      <c r="N23" s="124">
        <v>46270.959733796299</v>
      </c>
      <c r="O23" s="124">
        <v>46271.354571759257</v>
      </c>
      <c r="P23" s="124">
        <v>46271.951597222222</v>
      </c>
      <c r="Q23" s="124">
        <v>46272.353854166664</v>
      </c>
      <c r="R23" s="124">
        <v>46272.948854166665</v>
      </c>
      <c r="S23" s="124">
        <v>46273.354270833333</v>
      </c>
      <c r="T23" s="124">
        <v>46273.958981481483</v>
      </c>
      <c r="U23" s="124">
        <v>46274.354363425926</v>
      </c>
      <c r="V23" s="124">
        <v>46274.96539351852</v>
      </c>
      <c r="W23" s="124">
        <v>46275.355868055558</v>
      </c>
      <c r="X23" s="124">
        <v>46275.982824074075</v>
      </c>
      <c r="Y23" s="124">
        <v>46276.58258101852</v>
      </c>
      <c r="Z23" s="124">
        <v>46276.95988425926</v>
      </c>
      <c r="AA23" s="124">
        <v>46277.355428240742</v>
      </c>
      <c r="AB23" s="124">
        <v>46277.967326388891</v>
      </c>
      <c r="AC23" s="124">
        <v>46278.354351851849</v>
      </c>
      <c r="AD23" s="124">
        <v>46278.95653935185</v>
      </c>
      <c r="AE23" s="124">
        <v>46279.354467592595</v>
      </c>
      <c r="AF23" s="124">
        <v>46279.954953703702</v>
      </c>
      <c r="AG23" s="124">
        <v>46280.355902777781</v>
      </c>
      <c r="AH23" s="124">
        <v>46280.939629629633</v>
      </c>
      <c r="AI23" s="124"/>
      <c r="AJ23" s="44">
        <v>19</v>
      </c>
      <c r="AK23" s="124">
        <v>46281.353854166664</v>
      </c>
      <c r="AL23" s="124">
        <v>46281.964999999997</v>
      </c>
      <c r="AM23" s="124">
        <v>46282.353912037041</v>
      </c>
      <c r="AN23" s="124">
        <v>46282.975798611114</v>
      </c>
      <c r="AO23" s="228" t="s">
        <v>15</v>
      </c>
      <c r="AP23" s="228" t="s">
        <v>15</v>
      </c>
      <c r="AQ23" s="124">
        <v>46284.356076388889</v>
      </c>
      <c r="AR23" s="124">
        <v>46284.970335648148</v>
      </c>
      <c r="AS23" s="124">
        <v>46285.353715277779</v>
      </c>
      <c r="AT23" s="124">
        <v>46285.952245370368</v>
      </c>
      <c r="AU23" s="124">
        <v>46286.35533564815</v>
      </c>
      <c r="AV23" s="124">
        <v>46286.94767361111</v>
      </c>
      <c r="AW23" s="124">
        <v>46287.354618055557</v>
      </c>
      <c r="AX23" s="124">
        <v>46287.951527777775</v>
      </c>
      <c r="AY23" s="124">
        <v>46288.354039351849</v>
      </c>
      <c r="AZ23" s="124">
        <v>46288.953773148147</v>
      </c>
      <c r="BA23" s="124">
        <v>46289.354733796295</v>
      </c>
      <c r="BB23" s="124">
        <v>46289.980532407404</v>
      </c>
      <c r="BC23" s="124">
        <v>46290.583124999997</v>
      </c>
      <c r="BD23" s="124">
        <v>46290.9374537037</v>
      </c>
      <c r="BE23" s="124">
        <v>46291.35428240741</v>
      </c>
      <c r="BF23" s="124">
        <v>46291.95894675926</v>
      </c>
      <c r="BG23" s="124">
        <v>46292.354421296295</v>
      </c>
      <c r="BH23" s="124">
        <v>46292.971145833333</v>
      </c>
      <c r="BI23" s="124">
        <v>46293.353900462964</v>
      </c>
      <c r="BJ23" s="124">
        <v>46293.954965277779</v>
      </c>
      <c r="BK23" s="124">
        <v>46294.354444444441</v>
      </c>
      <c r="BL23" s="124">
        <v>46294.950543981482</v>
      </c>
      <c r="BM23" s="124">
        <v>46295.354444444441</v>
      </c>
      <c r="BN23" s="124">
        <v>46295.985995370371</v>
      </c>
      <c r="BO23" s="124">
        <v>46265.351921296293</v>
      </c>
      <c r="BP23" s="124">
        <v>46265.947615740741</v>
      </c>
      <c r="BQ23" s="96">
        <f t="shared" si="0"/>
        <v>30</v>
      </c>
      <c r="BR23" s="67">
        <v>2</v>
      </c>
      <c r="BS23" s="1">
        <f t="shared" si="13"/>
        <v>28</v>
      </c>
      <c r="BT23" s="2">
        <f t="shared" si="1"/>
        <v>2</v>
      </c>
      <c r="BU23" s="2">
        <f t="shared" si="2"/>
        <v>0</v>
      </c>
      <c r="BV23" s="2">
        <f t="shared" si="3"/>
        <v>0</v>
      </c>
      <c r="BW23" s="2">
        <f t="shared" si="4"/>
        <v>0</v>
      </c>
      <c r="BX23" s="2">
        <f t="shared" si="5"/>
        <v>0</v>
      </c>
      <c r="BY23" s="2">
        <f t="shared" si="6"/>
        <v>0</v>
      </c>
      <c r="BZ23" s="2">
        <f t="shared" si="7"/>
        <v>0</v>
      </c>
      <c r="CA23" s="2">
        <f t="shared" si="8"/>
        <v>0</v>
      </c>
      <c r="CB23" s="2">
        <f t="shared" si="9"/>
        <v>0</v>
      </c>
      <c r="CC23" s="2">
        <f t="shared" si="10"/>
        <v>0</v>
      </c>
      <c r="CD23" s="2">
        <f t="shared" si="11"/>
        <v>0</v>
      </c>
      <c r="CE23" s="70"/>
      <c r="CG23" s="53">
        <v>0</v>
      </c>
      <c r="CH23" s="53">
        <v>0</v>
      </c>
      <c r="CI23" s="53">
        <v>0</v>
      </c>
      <c r="CJ23" s="53">
        <v>0</v>
      </c>
      <c r="CK23" s="53">
        <v>0</v>
      </c>
      <c r="CL23" s="54">
        <v>1</v>
      </c>
      <c r="CM23" s="53">
        <v>0</v>
      </c>
      <c r="CN23" s="53">
        <v>0</v>
      </c>
      <c r="CO23" s="53">
        <v>0</v>
      </c>
      <c r="CP23" s="53">
        <v>0</v>
      </c>
      <c r="CQ23" s="55">
        <f t="shared" ref="CQ23:CQ26" si="25">SUM(CG23:CP23)</f>
        <v>1</v>
      </c>
    </row>
    <row r="24" spans="1:95" ht="21" customHeight="1" x14ac:dyDescent="0.25">
      <c r="A24" s="158">
        <v>20</v>
      </c>
      <c r="B24" s="11" t="s">
        <v>55</v>
      </c>
      <c r="C24" s="8" t="s">
        <v>56</v>
      </c>
      <c r="D24" s="85">
        <v>42446</v>
      </c>
      <c r="E24" s="124">
        <v>46266.346030092594</v>
      </c>
      <c r="F24" s="124">
        <v>46264.959421296298</v>
      </c>
      <c r="G24" s="124">
        <v>46267.344097222223</v>
      </c>
      <c r="H24" s="124">
        <v>0</v>
      </c>
      <c r="I24" s="124">
        <v>46268.344282407408</v>
      </c>
      <c r="J24" s="124">
        <v>46268.930763888886</v>
      </c>
      <c r="K24" s="124">
        <v>46269.559884259259</v>
      </c>
      <c r="L24" s="124">
        <v>46269.930810185186</v>
      </c>
      <c r="M24" s="124">
        <v>46270.345462962963</v>
      </c>
      <c r="N24" s="124">
        <v>46270.929351851853</v>
      </c>
      <c r="O24" s="124">
        <v>46271.345196759263</v>
      </c>
      <c r="P24" s="124">
        <v>46271.917928240742</v>
      </c>
      <c r="Q24" s="124">
        <v>46272.34642361111</v>
      </c>
      <c r="R24" s="124">
        <v>46272.925069444442</v>
      </c>
      <c r="S24" s="124">
        <v>46273.345173611109</v>
      </c>
      <c r="T24" s="124">
        <v>46273.932789351849</v>
      </c>
      <c r="U24" s="124">
        <v>46274.345381944448</v>
      </c>
      <c r="V24" s="124">
        <v>46274.920798611114</v>
      </c>
      <c r="W24" s="124">
        <v>46275.345856481479</v>
      </c>
      <c r="X24" s="124">
        <v>46275.937638888892</v>
      </c>
      <c r="Y24" s="178" t="s">
        <v>15</v>
      </c>
      <c r="Z24" s="178" t="s">
        <v>15</v>
      </c>
      <c r="AA24" s="124">
        <v>46277.345509259256</v>
      </c>
      <c r="AB24" s="124">
        <v>46277.930879629632</v>
      </c>
      <c r="AC24" s="124">
        <v>46278.345000000001</v>
      </c>
      <c r="AD24" s="124">
        <v>46278.934166666666</v>
      </c>
      <c r="AE24" s="124">
        <v>46279.345196759263</v>
      </c>
      <c r="AF24" s="124">
        <v>46279.920347222222</v>
      </c>
      <c r="AG24" s="124">
        <v>46280.344375000001</v>
      </c>
      <c r="AH24" s="124">
        <v>46280.920995370368</v>
      </c>
      <c r="AI24" s="124"/>
      <c r="AJ24" s="44">
        <v>20</v>
      </c>
      <c r="AK24" s="124">
        <v>46281.34443287037</v>
      </c>
      <c r="AL24" s="124">
        <v>46281.918506944443</v>
      </c>
      <c r="AM24" s="124">
        <v>46282.347025462965</v>
      </c>
      <c r="AN24" s="124">
        <v>46282.947291666664</v>
      </c>
      <c r="AO24" s="124">
        <v>46283.559537037036</v>
      </c>
      <c r="AP24" s="124">
        <v>46283.907476851855</v>
      </c>
      <c r="AQ24" s="124">
        <v>46284.345254629632</v>
      </c>
      <c r="AR24" s="124">
        <v>46284.94321759259</v>
      </c>
      <c r="AS24" s="124">
        <v>46285.345937500002</v>
      </c>
      <c r="AT24" s="124">
        <v>46285.938148148147</v>
      </c>
      <c r="AU24" s="124">
        <v>46286.345104166663</v>
      </c>
      <c r="AV24" s="124">
        <v>46286.910428240742</v>
      </c>
      <c r="AW24" s="124">
        <v>46287.345347222225</v>
      </c>
      <c r="AX24" s="124">
        <v>46287.931597222225</v>
      </c>
      <c r="AY24" s="124">
        <v>46288.34511574074</v>
      </c>
      <c r="AZ24" s="124">
        <v>46288.936331018522</v>
      </c>
      <c r="BA24" s="124">
        <v>46289.344722222224</v>
      </c>
      <c r="BB24" s="124">
        <v>46289.92732638889</v>
      </c>
      <c r="BC24" s="228" t="s">
        <v>15</v>
      </c>
      <c r="BD24" s="228" t="s">
        <v>15</v>
      </c>
      <c r="BE24" s="124">
        <v>46291.34542824074</v>
      </c>
      <c r="BF24" s="124">
        <v>46291.939606481479</v>
      </c>
      <c r="BG24" s="124">
        <v>46292.344247685185</v>
      </c>
      <c r="BH24" s="124">
        <v>46292.917071759257</v>
      </c>
      <c r="BI24" s="124">
        <v>46293.34443287037</v>
      </c>
      <c r="BJ24" s="124">
        <v>46293.918738425928</v>
      </c>
      <c r="BK24" s="124">
        <v>46294.344375000001</v>
      </c>
      <c r="BL24" s="124">
        <v>46294.917013888888</v>
      </c>
      <c r="BM24" s="124">
        <v>46295.345266203702</v>
      </c>
      <c r="BN24" s="124">
        <v>46295.939479166664</v>
      </c>
      <c r="BO24" s="124">
        <v>46265.344166666669</v>
      </c>
      <c r="BP24" s="124">
        <v>46265.927337962959</v>
      </c>
      <c r="BQ24" s="96">
        <f t="shared" si="0"/>
        <v>30</v>
      </c>
      <c r="BR24" s="67">
        <v>2</v>
      </c>
      <c r="BS24" s="1">
        <f t="shared" si="13"/>
        <v>28</v>
      </c>
      <c r="BT24" s="2">
        <f t="shared" si="1"/>
        <v>2</v>
      </c>
      <c r="BU24" s="2">
        <f t="shared" si="2"/>
        <v>0</v>
      </c>
      <c r="BV24" s="2">
        <f t="shared" si="3"/>
        <v>0</v>
      </c>
      <c r="BW24" s="2">
        <f t="shared" si="4"/>
        <v>0</v>
      </c>
      <c r="BX24" s="2">
        <f t="shared" si="5"/>
        <v>0</v>
      </c>
      <c r="BY24" s="2">
        <f t="shared" si="6"/>
        <v>0</v>
      </c>
      <c r="BZ24" s="2">
        <f t="shared" si="7"/>
        <v>0</v>
      </c>
      <c r="CA24" s="2">
        <f t="shared" si="8"/>
        <v>0</v>
      </c>
      <c r="CB24" s="2">
        <f t="shared" si="9"/>
        <v>0</v>
      </c>
      <c r="CC24" s="2">
        <f t="shared" si="10"/>
        <v>0</v>
      </c>
      <c r="CD24" s="2">
        <f t="shared" si="11"/>
        <v>0</v>
      </c>
      <c r="CE24" s="70"/>
      <c r="CG24" s="53">
        <v>0</v>
      </c>
      <c r="CH24" s="53">
        <v>0</v>
      </c>
      <c r="CI24" s="54">
        <v>2</v>
      </c>
      <c r="CJ24" s="53">
        <v>0</v>
      </c>
      <c r="CK24" s="53">
        <v>0</v>
      </c>
      <c r="CL24" s="53">
        <v>0</v>
      </c>
      <c r="CM24" s="53">
        <v>0</v>
      </c>
      <c r="CN24" s="53">
        <v>0</v>
      </c>
      <c r="CO24" s="53">
        <v>0</v>
      </c>
      <c r="CP24" s="53">
        <v>0</v>
      </c>
      <c r="CQ24" s="55">
        <f t="shared" si="25"/>
        <v>2</v>
      </c>
    </row>
    <row r="25" spans="1:95" ht="21" customHeight="1" x14ac:dyDescent="0.25">
      <c r="A25" s="158">
        <v>21</v>
      </c>
      <c r="B25" s="11" t="s">
        <v>57</v>
      </c>
      <c r="C25" s="8" t="s">
        <v>58</v>
      </c>
      <c r="D25" s="85">
        <v>42640</v>
      </c>
      <c r="E25" s="124">
        <v>46266.352476851855</v>
      </c>
      <c r="F25" s="124">
        <v>46264.958518518521</v>
      </c>
      <c r="G25" s="124">
        <v>46267.35260416667</v>
      </c>
      <c r="H25" s="124">
        <v>0</v>
      </c>
      <c r="I25" s="124">
        <v>46268.352650462963</v>
      </c>
      <c r="J25" s="124">
        <v>0</v>
      </c>
      <c r="K25" s="124">
        <v>46269.575844907406</v>
      </c>
      <c r="L25" s="124">
        <v>0</v>
      </c>
      <c r="M25" s="124">
        <v>46270.353750000002</v>
      </c>
      <c r="N25" s="124">
        <v>0</v>
      </c>
      <c r="O25" s="124">
        <v>46271.354143518518</v>
      </c>
      <c r="P25" s="124">
        <v>0</v>
      </c>
      <c r="Q25" s="124">
        <v>46272.352141203701</v>
      </c>
      <c r="R25" s="124">
        <v>0</v>
      </c>
      <c r="S25" s="124">
        <v>46273.353402777779</v>
      </c>
      <c r="T25" s="124">
        <v>0</v>
      </c>
      <c r="U25" s="124">
        <v>46274.353437500002</v>
      </c>
      <c r="V25" s="124">
        <v>0</v>
      </c>
      <c r="W25" s="124">
        <v>46275.355324074073</v>
      </c>
      <c r="X25" s="124">
        <v>0</v>
      </c>
      <c r="Y25" s="178" t="s">
        <v>15</v>
      </c>
      <c r="Z25" s="178" t="s">
        <v>15</v>
      </c>
      <c r="AA25" s="124">
        <v>46277.354780092595</v>
      </c>
      <c r="AB25" s="124">
        <v>0</v>
      </c>
      <c r="AC25" s="124">
        <v>46278.353622685187</v>
      </c>
      <c r="AD25" s="124">
        <v>0</v>
      </c>
      <c r="AE25" s="124">
        <v>46279.35396990741</v>
      </c>
      <c r="AF25" s="124">
        <v>0</v>
      </c>
      <c r="AG25" s="124">
        <v>46280.354548611111</v>
      </c>
      <c r="AH25" s="124">
        <v>0</v>
      </c>
      <c r="AI25" s="124"/>
      <c r="AJ25" s="44">
        <v>21</v>
      </c>
      <c r="AK25" s="124">
        <v>46281.353668981479</v>
      </c>
      <c r="AL25" s="124">
        <v>0</v>
      </c>
      <c r="AM25" s="131">
        <v>46282.353541666664</v>
      </c>
      <c r="AN25" s="124">
        <v>0</v>
      </c>
      <c r="AO25" s="124">
        <v>46283.576180555552</v>
      </c>
      <c r="AP25" s="124">
        <v>0</v>
      </c>
      <c r="AQ25" s="124">
        <v>46284.353842592594</v>
      </c>
      <c r="AR25" s="124">
        <v>0</v>
      </c>
      <c r="AS25" s="124">
        <v>46285.355590277781</v>
      </c>
      <c r="AT25" s="124">
        <v>0</v>
      </c>
      <c r="AU25" s="124">
        <v>46286.354375000003</v>
      </c>
      <c r="AV25" s="124">
        <v>0</v>
      </c>
      <c r="AW25" s="124">
        <v>46287.354039351849</v>
      </c>
      <c r="AX25" s="124">
        <v>0</v>
      </c>
      <c r="AY25" s="124">
        <v>46288.354780092595</v>
      </c>
      <c r="AZ25" s="124">
        <v>0</v>
      </c>
      <c r="BA25" s="124">
        <v>46289.355324074073</v>
      </c>
      <c r="BB25" s="124">
        <v>0</v>
      </c>
      <c r="BC25" s="124">
        <v>46290.578518518516</v>
      </c>
      <c r="BD25" s="124">
        <v>0</v>
      </c>
      <c r="BE25" s="124">
        <v>46291.351782407408</v>
      </c>
      <c r="BF25" s="124">
        <v>0</v>
      </c>
      <c r="BG25" s="124">
        <v>46292.351435185185</v>
      </c>
      <c r="BH25" s="124">
        <v>0</v>
      </c>
      <c r="BI25" s="124">
        <v>46293.351354166669</v>
      </c>
      <c r="BJ25" s="124">
        <v>0</v>
      </c>
      <c r="BK25" s="124">
        <v>46294.351886574077</v>
      </c>
      <c r="BL25" s="124">
        <v>0</v>
      </c>
      <c r="BM25" s="124">
        <v>46295.351701388892</v>
      </c>
      <c r="BN25" s="124">
        <v>0</v>
      </c>
      <c r="BO25" s="124">
        <v>46265.351550925923</v>
      </c>
      <c r="BP25" s="124">
        <v>0</v>
      </c>
      <c r="BQ25" s="96">
        <f t="shared" si="0"/>
        <v>30</v>
      </c>
      <c r="BR25" s="67">
        <v>3</v>
      </c>
      <c r="BS25" s="1">
        <f t="shared" si="13"/>
        <v>29</v>
      </c>
      <c r="BT25" s="2">
        <f t="shared" si="1"/>
        <v>1</v>
      </c>
      <c r="BU25" s="2">
        <f t="shared" si="2"/>
        <v>0</v>
      </c>
      <c r="BV25" s="2">
        <f t="shared" si="3"/>
        <v>0</v>
      </c>
      <c r="BW25" s="2">
        <f t="shared" si="4"/>
        <v>0</v>
      </c>
      <c r="BX25" s="2">
        <f t="shared" si="5"/>
        <v>0</v>
      </c>
      <c r="BY25" s="2">
        <f t="shared" si="6"/>
        <v>0</v>
      </c>
      <c r="BZ25" s="2">
        <f t="shared" si="7"/>
        <v>0</v>
      </c>
      <c r="CA25" s="2">
        <f t="shared" si="8"/>
        <v>0</v>
      </c>
      <c r="CB25" s="2">
        <f t="shared" si="9"/>
        <v>0</v>
      </c>
      <c r="CC25" s="2">
        <f t="shared" si="10"/>
        <v>0</v>
      </c>
      <c r="CD25" s="2">
        <f t="shared" si="11"/>
        <v>0</v>
      </c>
      <c r="CE25" s="70"/>
      <c r="CG25" s="53">
        <v>0</v>
      </c>
      <c r="CH25" s="53">
        <v>0</v>
      </c>
      <c r="CI25" s="54">
        <v>49</v>
      </c>
      <c r="CJ25" s="53">
        <v>0</v>
      </c>
      <c r="CK25" s="53">
        <v>0</v>
      </c>
      <c r="CL25" s="53">
        <v>0</v>
      </c>
      <c r="CM25" s="53">
        <v>0</v>
      </c>
      <c r="CN25" s="53">
        <v>0</v>
      </c>
      <c r="CO25" s="53">
        <v>0</v>
      </c>
      <c r="CP25" s="53">
        <v>0</v>
      </c>
      <c r="CQ25" s="55">
        <f t="shared" si="25"/>
        <v>49</v>
      </c>
    </row>
    <row r="26" spans="1:95" ht="21" customHeight="1" x14ac:dyDescent="0.25">
      <c r="A26" s="158">
        <v>22</v>
      </c>
      <c r="B26" s="11" t="s">
        <v>210</v>
      </c>
      <c r="C26" s="8" t="s">
        <v>242</v>
      </c>
      <c r="D26" s="103"/>
      <c r="E26" s="124">
        <v>46266.351458333331</v>
      </c>
      <c r="F26" s="124">
        <v>46264.965914351851</v>
      </c>
      <c r="G26" s="124">
        <v>46267.353425925925</v>
      </c>
      <c r="H26" s="124">
        <v>0</v>
      </c>
      <c r="I26" s="124">
        <v>46268.34652777778</v>
      </c>
      <c r="J26" s="124">
        <v>0</v>
      </c>
      <c r="K26" s="124">
        <v>46269.577916666669</v>
      </c>
      <c r="L26" s="124">
        <v>0</v>
      </c>
      <c r="M26" s="124">
        <v>46270.343900462962</v>
      </c>
      <c r="N26" s="124">
        <v>0</v>
      </c>
      <c r="O26" s="124">
        <v>46271.346307870372</v>
      </c>
      <c r="P26" s="124">
        <v>0</v>
      </c>
      <c r="Q26" s="124">
        <v>46272.350173611114</v>
      </c>
      <c r="R26" s="124">
        <v>46272.943182870367</v>
      </c>
      <c r="S26" s="124">
        <v>46273.345949074072</v>
      </c>
      <c r="T26" s="124">
        <v>46273.959664351853</v>
      </c>
      <c r="U26" s="124">
        <v>46274.353263888886</v>
      </c>
      <c r="V26" s="124">
        <v>46274.966539351852</v>
      </c>
      <c r="W26" s="124">
        <v>46275.339247685188</v>
      </c>
      <c r="X26" s="124">
        <v>46275.981076388889</v>
      </c>
      <c r="Y26" s="178" t="s">
        <v>15</v>
      </c>
      <c r="Z26" s="178" t="s">
        <v>15</v>
      </c>
      <c r="AA26" s="124">
        <v>46277.352905092594</v>
      </c>
      <c r="AB26" s="124">
        <v>46277.985555555555</v>
      </c>
      <c r="AC26" s="124">
        <v>46278.350092592591</v>
      </c>
      <c r="AD26" s="124">
        <v>0</v>
      </c>
      <c r="AE26" s="124">
        <v>46279.351712962962</v>
      </c>
      <c r="AF26" s="124">
        <v>46279.953541666669</v>
      </c>
      <c r="AG26" s="124">
        <v>46280.350590277776</v>
      </c>
      <c r="AH26" s="124">
        <v>46280.942002314812</v>
      </c>
      <c r="AI26" s="124"/>
      <c r="AJ26" s="44">
        <v>22</v>
      </c>
      <c r="AK26" s="124">
        <v>46281.350706018522</v>
      </c>
      <c r="AL26" s="124">
        <v>0</v>
      </c>
      <c r="AM26" s="124">
        <v>46282.352384259262</v>
      </c>
      <c r="AN26" s="124">
        <v>0</v>
      </c>
      <c r="AO26" s="124">
        <v>46283.582303240742</v>
      </c>
      <c r="AP26" s="124">
        <v>0</v>
      </c>
      <c r="AQ26" s="124">
        <v>46284.352870370371</v>
      </c>
      <c r="AR26" s="124">
        <v>0</v>
      </c>
      <c r="AS26" s="124">
        <v>46285.351481481484</v>
      </c>
      <c r="AT26" s="124">
        <v>0</v>
      </c>
      <c r="AU26" s="124">
        <v>46286.352743055555</v>
      </c>
      <c r="AV26" s="124">
        <v>0</v>
      </c>
      <c r="AW26" s="124">
        <v>46287.351736111108</v>
      </c>
      <c r="AX26" s="124">
        <v>0</v>
      </c>
      <c r="AY26" s="124">
        <v>46288.349849537037</v>
      </c>
      <c r="AZ26" s="124">
        <v>46288.954143518517</v>
      </c>
      <c r="BA26" s="124">
        <v>46289.349988425929</v>
      </c>
      <c r="BB26" s="124">
        <v>0</v>
      </c>
      <c r="BC26" s="228" t="s">
        <v>15</v>
      </c>
      <c r="BD26" s="228" t="s">
        <v>15</v>
      </c>
      <c r="BE26" s="124">
        <v>46291.351793981485</v>
      </c>
      <c r="BF26" s="124">
        <v>0</v>
      </c>
      <c r="BG26" s="124">
        <v>46292.349652777775</v>
      </c>
      <c r="BH26" s="124">
        <v>0</v>
      </c>
      <c r="BI26" s="124">
        <v>46293.34951388889</v>
      </c>
      <c r="BJ26" s="124">
        <v>46293.942245370374</v>
      </c>
      <c r="BK26" s="124">
        <v>46294.352800925924</v>
      </c>
      <c r="BL26" s="124">
        <v>0</v>
      </c>
      <c r="BM26" s="124">
        <v>46295.35260416667</v>
      </c>
      <c r="BN26" s="124">
        <v>0</v>
      </c>
      <c r="BO26" s="124">
        <v>46265.353182870371</v>
      </c>
      <c r="BP26" s="124">
        <v>46265.954699074071</v>
      </c>
      <c r="BQ26" s="96">
        <f t="shared" si="0"/>
        <v>30</v>
      </c>
      <c r="BR26" s="67">
        <v>2</v>
      </c>
      <c r="BS26" s="1">
        <f t="shared" si="13"/>
        <v>28</v>
      </c>
      <c r="BT26" s="2">
        <f t="shared" si="1"/>
        <v>2</v>
      </c>
      <c r="BU26" s="2">
        <f t="shared" si="2"/>
        <v>0</v>
      </c>
      <c r="BV26" s="2">
        <f t="shared" si="3"/>
        <v>0</v>
      </c>
      <c r="BW26" s="2">
        <f t="shared" si="4"/>
        <v>0</v>
      </c>
      <c r="BX26" s="2">
        <f t="shared" si="5"/>
        <v>0</v>
      </c>
      <c r="BY26" s="2">
        <f t="shared" si="6"/>
        <v>0</v>
      </c>
      <c r="BZ26" s="2">
        <f t="shared" si="7"/>
        <v>0</v>
      </c>
      <c r="CA26" s="2">
        <f t="shared" si="8"/>
        <v>0</v>
      </c>
      <c r="CB26" s="2">
        <f t="shared" si="9"/>
        <v>0</v>
      </c>
      <c r="CC26" s="2">
        <f t="shared" si="10"/>
        <v>0</v>
      </c>
      <c r="CD26" s="2">
        <f t="shared" si="11"/>
        <v>0</v>
      </c>
      <c r="CE26" s="70"/>
      <c r="CG26" s="53">
        <v>0</v>
      </c>
      <c r="CH26" s="53">
        <v>0</v>
      </c>
      <c r="CI26" s="53">
        <v>30</v>
      </c>
      <c r="CJ26" s="53">
        <v>0</v>
      </c>
      <c r="CK26" s="53">
        <v>0</v>
      </c>
      <c r="CL26" s="53">
        <v>0</v>
      </c>
      <c r="CM26" s="53">
        <v>0</v>
      </c>
      <c r="CN26" s="53">
        <v>0</v>
      </c>
      <c r="CO26" s="53">
        <v>40</v>
      </c>
      <c r="CP26" s="53">
        <v>0</v>
      </c>
      <c r="CQ26" s="55">
        <f t="shared" si="25"/>
        <v>70</v>
      </c>
    </row>
    <row r="28" spans="1:95" x14ac:dyDescent="0.25">
      <c r="BS28" s="101"/>
      <c r="BT28" s="102"/>
      <c r="BU28" s="102"/>
      <c r="BV28" s="102"/>
      <c r="BW28" s="102"/>
      <c r="BX28" s="102"/>
      <c r="BY28" s="102"/>
      <c r="BZ28" s="102"/>
      <c r="CA28" s="102"/>
      <c r="CB28" s="102"/>
      <c r="CC28" s="102"/>
      <c r="CD28" s="102"/>
    </row>
    <row r="29" spans="1:95" ht="15.75" x14ac:dyDescent="0.25">
      <c r="AO29" s="16"/>
      <c r="AP29" s="17" t="s">
        <v>62</v>
      </c>
      <c r="AQ29" s="18"/>
      <c r="AR29" s="17"/>
      <c r="AS29" s="19"/>
      <c r="AV29" s="19"/>
      <c r="AW29" s="20"/>
      <c r="AX29" s="21"/>
      <c r="AY29" s="21"/>
      <c r="AZ29" s="22" t="s">
        <v>63</v>
      </c>
      <c r="BA29" s="22"/>
      <c r="BB29" s="20"/>
      <c r="BC29" s="20"/>
      <c r="BD29" s="20"/>
      <c r="BE29" s="20"/>
      <c r="BF29" s="20" t="s">
        <v>64</v>
      </c>
      <c r="BG29" s="20"/>
      <c r="BH29" s="20"/>
      <c r="BI29" s="20"/>
      <c r="BJ29" s="22" t="s">
        <v>65</v>
      </c>
      <c r="BK29" s="20"/>
    </row>
    <row r="30" spans="1:95" ht="17.25" x14ac:dyDescent="0.25">
      <c r="E30" s="16"/>
      <c r="F30" s="17" t="s">
        <v>62</v>
      </c>
      <c r="G30" s="18"/>
      <c r="H30" s="17"/>
      <c r="I30" s="19"/>
      <c r="L30" s="19"/>
      <c r="M30" s="20"/>
      <c r="N30" s="21"/>
      <c r="O30" s="21"/>
      <c r="P30" s="22" t="s">
        <v>63</v>
      </c>
      <c r="Q30" s="22"/>
      <c r="R30" s="20"/>
      <c r="S30" s="20"/>
      <c r="T30" s="20"/>
      <c r="U30" s="20"/>
      <c r="V30" s="20" t="s">
        <v>64</v>
      </c>
      <c r="W30" s="20"/>
      <c r="X30" s="20"/>
      <c r="Y30" s="20"/>
      <c r="Z30" s="22" t="s">
        <v>65</v>
      </c>
      <c r="AA30" s="20"/>
      <c r="AO30" s="23"/>
      <c r="AP30" s="19"/>
      <c r="AQ30" s="19"/>
      <c r="AR30" s="19"/>
      <c r="AS30" s="19"/>
      <c r="AV30" s="19"/>
      <c r="AW30" s="19"/>
      <c r="AX30" s="24"/>
      <c r="AY30" s="24"/>
      <c r="AZ30" s="24"/>
      <c r="BA30" s="19"/>
      <c r="BB30" s="19"/>
      <c r="BC30" s="19"/>
      <c r="BD30" s="25"/>
      <c r="BE30" s="25"/>
      <c r="BF30" s="25"/>
      <c r="BG30" s="25"/>
      <c r="BH30" s="25"/>
      <c r="BI30" s="25"/>
      <c r="BJ30" s="26"/>
      <c r="BK30" s="26"/>
      <c r="BR30" s="34" t="s">
        <v>73</v>
      </c>
      <c r="BS30" s="35"/>
      <c r="BT30" s="35"/>
      <c r="BU30" s="36" t="s">
        <v>17</v>
      </c>
      <c r="BV30" s="37"/>
      <c r="BW30" s="42" t="s">
        <v>74</v>
      </c>
      <c r="BX30" s="43"/>
      <c r="BY30" s="43"/>
      <c r="BZ30" s="40"/>
      <c r="CA30" s="41" t="s">
        <v>23</v>
      </c>
    </row>
    <row r="31" spans="1:95" ht="23.25" customHeight="1" x14ac:dyDescent="0.25">
      <c r="E31" s="23"/>
      <c r="F31" s="19"/>
      <c r="G31" s="19"/>
      <c r="H31" s="19"/>
      <c r="I31" s="19"/>
      <c r="L31" s="19"/>
      <c r="M31" s="19"/>
      <c r="N31" s="24"/>
      <c r="O31" s="24"/>
      <c r="P31" s="24"/>
      <c r="Q31" s="19"/>
      <c r="R31" s="19"/>
      <c r="S31" s="19"/>
      <c r="T31" s="25"/>
      <c r="U31" s="25"/>
      <c r="V31" s="25"/>
      <c r="W31" s="25"/>
      <c r="X31" s="25"/>
      <c r="Y31" s="25"/>
      <c r="Z31" s="26"/>
      <c r="AA31" s="26"/>
      <c r="AO31" s="23"/>
      <c r="AP31" s="27"/>
      <c r="AQ31" s="19"/>
      <c r="AR31" s="27"/>
      <c r="AS31" s="19"/>
      <c r="AV31" s="19"/>
      <c r="AW31" s="27" t="s">
        <v>64</v>
      </c>
      <c r="AX31" s="28"/>
      <c r="AY31" s="28"/>
      <c r="AZ31" s="24"/>
      <c r="BA31" s="19"/>
      <c r="BB31" s="27"/>
      <c r="BC31" s="27"/>
      <c r="BD31" s="20"/>
      <c r="BE31" s="19"/>
      <c r="BF31" s="19"/>
      <c r="BG31" s="19"/>
      <c r="BH31" s="19"/>
      <c r="BI31" s="19"/>
      <c r="BJ31" s="29"/>
      <c r="BK31" s="29"/>
      <c r="BR31" s="34" t="s">
        <v>75</v>
      </c>
      <c r="BS31" s="35"/>
      <c r="BT31" s="35"/>
      <c r="BU31" s="36" t="s">
        <v>18</v>
      </c>
      <c r="BV31" s="37"/>
      <c r="BW31" s="38" t="s">
        <v>76</v>
      </c>
      <c r="BX31" s="39"/>
      <c r="BY31" s="39"/>
      <c r="BZ31" s="40"/>
      <c r="CA31" s="41" t="s">
        <v>24</v>
      </c>
    </row>
    <row r="32" spans="1:95" ht="17.25" x14ac:dyDescent="0.25">
      <c r="E32" s="23"/>
      <c r="F32" s="27"/>
      <c r="G32" s="19"/>
      <c r="H32" s="27"/>
      <c r="I32" s="19"/>
      <c r="L32" s="19"/>
      <c r="M32" s="27" t="s">
        <v>64</v>
      </c>
      <c r="N32" s="28"/>
      <c r="O32" s="28"/>
      <c r="P32" s="24"/>
      <c r="Q32" s="19"/>
      <c r="R32" s="27"/>
      <c r="S32" s="27"/>
      <c r="T32" s="20"/>
      <c r="U32" s="19"/>
      <c r="V32" s="19"/>
      <c r="W32" s="19"/>
      <c r="X32" s="19"/>
      <c r="Y32" s="19"/>
      <c r="Z32" s="29"/>
      <c r="AA32" s="29"/>
      <c r="AO32" s="30"/>
      <c r="AP32" s="27"/>
      <c r="AQ32" s="19"/>
      <c r="AR32" s="27"/>
      <c r="AS32" s="19"/>
      <c r="AV32" s="19"/>
      <c r="AW32" s="27"/>
      <c r="AX32" s="28"/>
      <c r="AY32" s="28"/>
      <c r="AZ32" s="24"/>
      <c r="BA32" s="20"/>
      <c r="BB32" s="27"/>
      <c r="BC32" s="27"/>
      <c r="BD32" s="20"/>
      <c r="BE32" s="19"/>
      <c r="BF32" s="19"/>
      <c r="BG32" s="19"/>
      <c r="BH32" s="19"/>
      <c r="BI32" s="19"/>
      <c r="BJ32" s="29"/>
      <c r="BK32" s="29"/>
      <c r="BR32" s="34" t="s">
        <v>77</v>
      </c>
      <c r="BS32" s="35"/>
      <c r="BT32" s="35"/>
      <c r="BU32" s="36" t="s">
        <v>19</v>
      </c>
      <c r="BV32" s="37"/>
      <c r="BW32" s="38" t="s">
        <v>78</v>
      </c>
      <c r="BX32" s="39"/>
      <c r="BY32" s="39"/>
      <c r="BZ32" s="40"/>
      <c r="CA32" s="41" t="s">
        <v>25</v>
      </c>
    </row>
    <row r="33" spans="1:95" ht="17.25" x14ac:dyDescent="0.25">
      <c r="E33" s="30"/>
      <c r="F33" s="27"/>
      <c r="G33" s="19"/>
      <c r="H33" s="27"/>
      <c r="I33" s="19"/>
      <c r="L33" s="19"/>
      <c r="M33" s="27"/>
      <c r="N33" s="28"/>
      <c r="O33" s="28"/>
      <c r="P33" s="24"/>
      <c r="Q33" s="20"/>
      <c r="R33" s="27"/>
      <c r="S33" s="27"/>
      <c r="T33" s="20"/>
      <c r="U33" s="19"/>
      <c r="V33" s="19"/>
      <c r="W33" s="19"/>
      <c r="X33" s="19"/>
      <c r="Y33" s="19"/>
      <c r="Z33" s="29"/>
      <c r="AA33" s="29"/>
      <c r="AO33" s="243" t="s">
        <v>257</v>
      </c>
      <c r="AP33" s="243"/>
      <c r="AQ33" s="243"/>
      <c r="AR33" s="31"/>
      <c r="AS33" s="19"/>
      <c r="AV33" s="19"/>
      <c r="AW33" s="27"/>
      <c r="AX33" s="24"/>
      <c r="AY33" s="28"/>
      <c r="AZ33" s="18" t="s">
        <v>66</v>
      </c>
      <c r="BA33" s="19"/>
      <c r="BB33" s="27"/>
      <c r="BC33" s="20"/>
      <c r="BD33" s="19"/>
      <c r="BE33" s="19"/>
      <c r="BF33" s="19"/>
      <c r="BG33" s="19"/>
      <c r="BH33" s="19"/>
      <c r="BI33" s="19"/>
      <c r="BJ33" s="18" t="s">
        <v>67</v>
      </c>
      <c r="BK33" s="29"/>
      <c r="BR33" s="34" t="s">
        <v>79</v>
      </c>
      <c r="BS33" s="35"/>
      <c r="BT33" s="35"/>
      <c r="BU33" s="36" t="s">
        <v>20</v>
      </c>
      <c r="BV33" s="37"/>
      <c r="BW33" s="37"/>
      <c r="BX33" s="37"/>
      <c r="BY33" s="37"/>
      <c r="BZ33" s="37"/>
      <c r="CA33" s="37"/>
    </row>
    <row r="34" spans="1:95" ht="17.25" x14ac:dyDescent="0.25">
      <c r="E34" s="243" t="s">
        <v>257</v>
      </c>
      <c r="F34" s="243"/>
      <c r="G34" s="243"/>
      <c r="H34" s="31"/>
      <c r="I34" s="19"/>
      <c r="L34" s="19"/>
      <c r="M34" s="27"/>
      <c r="N34" s="24"/>
      <c r="O34" s="28"/>
      <c r="P34" s="18" t="s">
        <v>66</v>
      </c>
      <c r="Q34" s="19"/>
      <c r="R34" s="27"/>
      <c r="S34" s="20"/>
      <c r="T34" s="19"/>
      <c r="U34" s="19"/>
      <c r="V34" s="19"/>
      <c r="W34" s="19"/>
      <c r="X34" s="19"/>
      <c r="Y34" s="19"/>
      <c r="Z34" s="18" t="s">
        <v>67</v>
      </c>
      <c r="AA34" s="29"/>
      <c r="AO34" s="243" t="s">
        <v>68</v>
      </c>
      <c r="AP34" s="243"/>
      <c r="AQ34" s="243"/>
      <c r="AR34" s="30"/>
      <c r="AS34" s="19"/>
      <c r="AV34" s="19"/>
      <c r="AW34" s="18"/>
      <c r="AX34" s="32"/>
      <c r="AY34" s="32"/>
      <c r="AZ34" s="18" t="s">
        <v>69</v>
      </c>
      <c r="BA34" s="18"/>
      <c r="BB34" s="18"/>
      <c r="BC34" s="20"/>
      <c r="BD34" s="18"/>
      <c r="BE34" s="19"/>
      <c r="BF34" s="19"/>
      <c r="BG34" s="19"/>
      <c r="BH34" s="19"/>
      <c r="BI34" s="19"/>
      <c r="BJ34" s="18" t="s">
        <v>70</v>
      </c>
      <c r="BK34" s="29"/>
    </row>
    <row r="35" spans="1:95" ht="17.25" x14ac:dyDescent="0.25">
      <c r="E35" s="243" t="s">
        <v>68</v>
      </c>
      <c r="F35" s="243"/>
      <c r="G35" s="243"/>
      <c r="H35" s="30"/>
      <c r="I35" s="19"/>
      <c r="L35" s="19"/>
      <c r="M35" s="18"/>
      <c r="N35" s="32"/>
      <c r="O35" s="32"/>
      <c r="P35" s="18" t="s">
        <v>69</v>
      </c>
      <c r="Q35" s="18"/>
      <c r="R35" s="18"/>
      <c r="S35" s="20"/>
      <c r="T35" s="18"/>
      <c r="U35" s="19"/>
      <c r="V35" s="19"/>
      <c r="W35" s="19"/>
      <c r="X35" s="19"/>
      <c r="Y35" s="19"/>
      <c r="Z35" s="18" t="s">
        <v>70</v>
      </c>
      <c r="AA35" s="29"/>
    </row>
    <row r="36" spans="1:95" ht="15.75" x14ac:dyDescent="0.25"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33"/>
      <c r="Y36" s="33"/>
    </row>
    <row r="37" spans="1:95" ht="25.5" customHeight="1" x14ac:dyDescent="0.25">
      <c r="A37" s="255" t="s">
        <v>266</v>
      </c>
      <c r="B37" s="256"/>
      <c r="C37" s="256"/>
      <c r="D37" s="256"/>
      <c r="E37" s="256"/>
      <c r="F37" s="256"/>
      <c r="G37" s="256"/>
      <c r="H37" s="256"/>
      <c r="I37" s="256"/>
      <c r="J37" s="256"/>
      <c r="K37" s="256"/>
      <c r="L37" s="256"/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  <c r="AA37" s="256"/>
      <c r="AB37" s="256"/>
      <c r="AC37" s="256"/>
      <c r="AD37" s="256"/>
      <c r="AE37" s="256"/>
      <c r="AF37" s="256"/>
      <c r="AG37" s="256"/>
      <c r="AH37" s="257"/>
      <c r="AI37" s="106"/>
      <c r="AJ37" s="269" t="s">
        <v>266</v>
      </c>
      <c r="AK37" s="269"/>
      <c r="AL37" s="269"/>
      <c r="AM37" s="269"/>
      <c r="AN37" s="269"/>
      <c r="AO37" s="269"/>
      <c r="AP37" s="269"/>
      <c r="AQ37" s="269"/>
      <c r="AR37" s="269"/>
      <c r="AS37" s="269"/>
      <c r="AT37" s="269"/>
      <c r="AU37" s="269"/>
      <c r="AV37" s="269"/>
      <c r="AW37" s="269"/>
      <c r="AX37" s="269"/>
      <c r="AY37" s="269"/>
      <c r="AZ37" s="269"/>
      <c r="BA37" s="269"/>
      <c r="BB37" s="269"/>
      <c r="BC37" s="269"/>
      <c r="BD37" s="269"/>
      <c r="BE37" s="269"/>
      <c r="BF37" s="269"/>
      <c r="BG37" s="269"/>
      <c r="BH37" s="269"/>
      <c r="BI37" s="269"/>
      <c r="BJ37" s="269"/>
      <c r="BK37" s="269"/>
      <c r="BL37" s="269"/>
      <c r="BM37" s="269"/>
      <c r="BN37" s="269"/>
      <c r="BO37" s="269"/>
      <c r="BP37" s="269"/>
      <c r="BQ37" s="269"/>
      <c r="BR37" s="269"/>
      <c r="BS37" s="269"/>
      <c r="BT37" s="269"/>
      <c r="BU37" s="269"/>
      <c r="BV37" s="269"/>
      <c r="BW37" s="269"/>
      <c r="BX37" s="269"/>
      <c r="BY37" s="269"/>
      <c r="BZ37" s="269"/>
      <c r="CA37" s="269"/>
      <c r="CB37" s="269"/>
      <c r="CC37" s="269"/>
      <c r="CD37" s="269"/>
      <c r="CE37" s="269"/>
    </row>
    <row r="38" spans="1:95" ht="22.5" customHeight="1" x14ac:dyDescent="0.25">
      <c r="A38" s="249" t="s">
        <v>169</v>
      </c>
      <c r="B38" s="250"/>
      <c r="C38" s="251"/>
      <c r="D38" s="84"/>
      <c r="E38" s="240" t="s">
        <v>7</v>
      </c>
      <c r="F38" s="240"/>
      <c r="G38" s="240" t="s">
        <v>1</v>
      </c>
      <c r="H38" s="240"/>
      <c r="I38" s="240" t="s">
        <v>2</v>
      </c>
      <c r="J38" s="240"/>
      <c r="K38" s="240" t="s">
        <v>3</v>
      </c>
      <c r="L38" s="240"/>
      <c r="M38" s="240" t="s">
        <v>4</v>
      </c>
      <c r="N38" s="240"/>
      <c r="O38" s="240" t="s">
        <v>5</v>
      </c>
      <c r="P38" s="240"/>
      <c r="Q38" s="240" t="s">
        <v>6</v>
      </c>
      <c r="R38" s="240"/>
      <c r="S38" s="240" t="s">
        <v>7</v>
      </c>
      <c r="T38" s="240"/>
      <c r="U38" s="240" t="s">
        <v>1</v>
      </c>
      <c r="V38" s="240"/>
      <c r="W38" s="240" t="s">
        <v>2</v>
      </c>
      <c r="X38" s="240"/>
      <c r="Y38" s="240" t="s">
        <v>3</v>
      </c>
      <c r="Z38" s="240"/>
      <c r="AA38" s="240" t="s">
        <v>4</v>
      </c>
      <c r="AB38" s="240"/>
      <c r="AC38" s="240" t="s">
        <v>5</v>
      </c>
      <c r="AD38" s="240"/>
      <c r="AE38" s="240" t="s">
        <v>6</v>
      </c>
      <c r="AF38" s="240"/>
      <c r="AG38" s="240" t="s">
        <v>7</v>
      </c>
      <c r="AH38" s="240"/>
      <c r="AI38" s="107"/>
      <c r="AJ38" s="123"/>
      <c r="AK38" s="240" t="s">
        <v>1</v>
      </c>
      <c r="AL38" s="241"/>
      <c r="AM38" s="240" t="s">
        <v>2</v>
      </c>
      <c r="AN38" s="241"/>
      <c r="AO38" s="240" t="s">
        <v>3</v>
      </c>
      <c r="AP38" s="241"/>
      <c r="AQ38" s="240" t="s">
        <v>4</v>
      </c>
      <c r="AR38" s="241"/>
      <c r="AS38" s="240" t="s">
        <v>5</v>
      </c>
      <c r="AT38" s="241"/>
      <c r="AU38" s="240" t="s">
        <v>6</v>
      </c>
      <c r="AV38" s="241"/>
      <c r="AW38" s="240" t="s">
        <v>7</v>
      </c>
      <c r="AX38" s="241"/>
      <c r="AY38" s="240" t="s">
        <v>1</v>
      </c>
      <c r="AZ38" s="241"/>
      <c r="BA38" s="240" t="s">
        <v>2</v>
      </c>
      <c r="BB38" s="241"/>
      <c r="BC38" s="240" t="s">
        <v>3</v>
      </c>
      <c r="BD38" s="241"/>
      <c r="BE38" s="240" t="s">
        <v>4</v>
      </c>
      <c r="BF38" s="241"/>
      <c r="BG38" s="240" t="s">
        <v>5</v>
      </c>
      <c r="BH38" s="241"/>
      <c r="BI38" s="240" t="s">
        <v>6</v>
      </c>
      <c r="BJ38" s="241"/>
      <c r="BK38" s="240" t="s">
        <v>7</v>
      </c>
      <c r="BL38" s="241"/>
      <c r="BM38" s="240" t="s">
        <v>1</v>
      </c>
      <c r="BN38" s="241"/>
      <c r="BO38" s="240" t="s">
        <v>6</v>
      </c>
      <c r="BP38" s="241"/>
      <c r="BQ38" s="266" t="s">
        <v>8</v>
      </c>
      <c r="BR38" s="270" t="s">
        <v>9</v>
      </c>
      <c r="BS38" s="263"/>
      <c r="BT38" s="264"/>
      <c r="BU38" s="264"/>
      <c r="BV38" s="264"/>
      <c r="BW38" s="264"/>
      <c r="BX38" s="264"/>
      <c r="BY38" s="264"/>
      <c r="BZ38" s="264"/>
      <c r="CA38" s="264"/>
      <c r="CB38" s="264"/>
      <c r="CC38" s="264"/>
      <c r="CD38" s="264"/>
      <c r="CE38" s="265"/>
      <c r="CG38" s="258" t="s">
        <v>189</v>
      </c>
      <c r="CH38" s="258"/>
      <c r="CI38" s="258"/>
      <c r="CJ38" s="258"/>
      <c r="CK38" s="258"/>
      <c r="CL38" s="258"/>
      <c r="CM38" s="258"/>
      <c r="CN38" s="258"/>
      <c r="CO38" s="258"/>
      <c r="CP38" s="258"/>
      <c r="CQ38" s="46"/>
    </row>
    <row r="39" spans="1:95" ht="22.5" customHeight="1" x14ac:dyDescent="0.25">
      <c r="A39" s="252"/>
      <c r="B39" s="253"/>
      <c r="C39" s="254"/>
      <c r="D39" s="84"/>
      <c r="E39" s="242">
        <v>46266</v>
      </c>
      <c r="F39" s="242"/>
      <c r="G39" s="242">
        <v>46267</v>
      </c>
      <c r="H39" s="242"/>
      <c r="I39" s="242">
        <v>46268</v>
      </c>
      <c r="J39" s="242"/>
      <c r="K39" s="242">
        <v>46269</v>
      </c>
      <c r="L39" s="242"/>
      <c r="M39" s="242">
        <v>46270</v>
      </c>
      <c r="N39" s="242"/>
      <c r="O39" s="242">
        <v>46271</v>
      </c>
      <c r="P39" s="242"/>
      <c r="Q39" s="242">
        <v>46272</v>
      </c>
      <c r="R39" s="242"/>
      <c r="S39" s="242">
        <v>46273</v>
      </c>
      <c r="T39" s="242"/>
      <c r="U39" s="242">
        <v>46274</v>
      </c>
      <c r="V39" s="242"/>
      <c r="W39" s="242">
        <v>46275</v>
      </c>
      <c r="X39" s="242"/>
      <c r="Y39" s="242">
        <v>46276</v>
      </c>
      <c r="Z39" s="242"/>
      <c r="AA39" s="242">
        <v>46277</v>
      </c>
      <c r="AB39" s="242"/>
      <c r="AC39" s="242">
        <v>46278</v>
      </c>
      <c r="AD39" s="242"/>
      <c r="AE39" s="242">
        <v>46279</v>
      </c>
      <c r="AF39" s="242"/>
      <c r="AG39" s="242">
        <v>46280</v>
      </c>
      <c r="AH39" s="242"/>
      <c r="AI39" s="108"/>
      <c r="AJ39" s="100"/>
      <c r="AK39" s="242">
        <v>46281</v>
      </c>
      <c r="AL39" s="244"/>
      <c r="AM39" s="242">
        <v>46282</v>
      </c>
      <c r="AN39" s="244"/>
      <c r="AO39" s="242">
        <v>46283</v>
      </c>
      <c r="AP39" s="244"/>
      <c r="AQ39" s="242">
        <v>46284</v>
      </c>
      <c r="AR39" s="244"/>
      <c r="AS39" s="242">
        <v>46285</v>
      </c>
      <c r="AT39" s="244"/>
      <c r="AU39" s="242">
        <v>46286</v>
      </c>
      <c r="AV39" s="244"/>
      <c r="AW39" s="242">
        <v>46287</v>
      </c>
      <c r="AX39" s="244"/>
      <c r="AY39" s="242">
        <v>46288</v>
      </c>
      <c r="AZ39" s="244"/>
      <c r="BA39" s="242">
        <v>46289</v>
      </c>
      <c r="BB39" s="244"/>
      <c r="BC39" s="242">
        <v>46290</v>
      </c>
      <c r="BD39" s="244"/>
      <c r="BE39" s="242">
        <v>46291</v>
      </c>
      <c r="BF39" s="244"/>
      <c r="BG39" s="242">
        <v>46292</v>
      </c>
      <c r="BH39" s="244"/>
      <c r="BI39" s="242">
        <v>46293</v>
      </c>
      <c r="BJ39" s="244"/>
      <c r="BK39" s="242">
        <v>46294</v>
      </c>
      <c r="BL39" s="244"/>
      <c r="BM39" s="242">
        <v>46295</v>
      </c>
      <c r="BN39" s="244"/>
      <c r="BO39" s="242">
        <v>46265</v>
      </c>
      <c r="BP39" s="244"/>
      <c r="BQ39" s="267"/>
      <c r="BR39" s="271"/>
      <c r="BS39" s="61"/>
      <c r="BT39" s="62"/>
      <c r="BU39" s="62"/>
      <c r="BV39" s="62"/>
      <c r="BW39" s="62"/>
      <c r="BX39" s="62"/>
      <c r="BY39" s="62"/>
      <c r="BZ39" s="62"/>
      <c r="CA39" s="62"/>
      <c r="CB39" s="62"/>
      <c r="CC39" s="62"/>
      <c r="CD39" s="62"/>
      <c r="CE39" s="63"/>
      <c r="CG39" s="56" t="s">
        <v>243</v>
      </c>
      <c r="CH39" s="56"/>
      <c r="CI39" s="56"/>
      <c r="CJ39" s="56"/>
      <c r="CK39" s="56"/>
      <c r="CL39" s="56"/>
      <c r="CM39" s="56"/>
      <c r="CN39" s="56"/>
      <c r="CO39" s="56"/>
      <c r="CP39" s="56"/>
      <c r="CQ39" s="46"/>
    </row>
    <row r="40" spans="1:95" ht="20.25" customHeight="1" x14ac:dyDescent="0.25">
      <c r="A40" s="4" t="s">
        <v>10</v>
      </c>
      <c r="B40" s="4" t="s">
        <v>11</v>
      </c>
      <c r="C40" s="4" t="s">
        <v>12</v>
      </c>
      <c r="D40" s="13"/>
      <c r="E40" s="13" t="s">
        <v>13</v>
      </c>
      <c r="F40" s="13" t="s">
        <v>14</v>
      </c>
      <c r="G40" s="13" t="s">
        <v>13</v>
      </c>
      <c r="H40" s="13" t="s">
        <v>14</v>
      </c>
      <c r="I40" s="13" t="s">
        <v>13</v>
      </c>
      <c r="J40" s="13" t="s">
        <v>14</v>
      </c>
      <c r="K40" s="13" t="s">
        <v>13</v>
      </c>
      <c r="L40" s="13" t="s">
        <v>14</v>
      </c>
      <c r="M40" s="13" t="s">
        <v>13</v>
      </c>
      <c r="N40" s="13" t="s">
        <v>14</v>
      </c>
      <c r="O40" s="13" t="s">
        <v>13</v>
      </c>
      <c r="P40" s="13" t="s">
        <v>14</v>
      </c>
      <c r="Q40" s="13" t="s">
        <v>13</v>
      </c>
      <c r="R40" s="13" t="s">
        <v>14</v>
      </c>
      <c r="S40" s="13" t="s">
        <v>13</v>
      </c>
      <c r="T40" s="13" t="s">
        <v>14</v>
      </c>
      <c r="U40" s="13" t="s">
        <v>13</v>
      </c>
      <c r="V40" s="13" t="s">
        <v>14</v>
      </c>
      <c r="W40" s="13" t="s">
        <v>13</v>
      </c>
      <c r="X40" s="13" t="s">
        <v>14</v>
      </c>
      <c r="Y40" s="4" t="s">
        <v>13</v>
      </c>
      <c r="Z40" s="4" t="s">
        <v>14</v>
      </c>
      <c r="AA40" s="4" t="s">
        <v>13</v>
      </c>
      <c r="AB40" s="4" t="s">
        <v>14</v>
      </c>
      <c r="AC40" s="4" t="s">
        <v>13</v>
      </c>
      <c r="AD40" s="4" t="s">
        <v>14</v>
      </c>
      <c r="AE40" s="4" t="s">
        <v>13</v>
      </c>
      <c r="AF40" s="4" t="s">
        <v>14</v>
      </c>
      <c r="AG40" s="4" t="s">
        <v>13</v>
      </c>
      <c r="AH40" s="4" t="s">
        <v>14</v>
      </c>
      <c r="AI40" s="109"/>
      <c r="AJ40" s="4"/>
      <c r="AK40" s="4" t="s">
        <v>13</v>
      </c>
      <c r="AL40" s="4" t="s">
        <v>14</v>
      </c>
      <c r="AM40" s="4" t="s">
        <v>13</v>
      </c>
      <c r="AN40" s="4" t="s">
        <v>14</v>
      </c>
      <c r="AO40" s="4" t="s">
        <v>13</v>
      </c>
      <c r="AP40" s="4" t="s">
        <v>14</v>
      </c>
      <c r="AQ40" s="4" t="s">
        <v>13</v>
      </c>
      <c r="AR40" s="4" t="s">
        <v>14</v>
      </c>
      <c r="AS40" s="4" t="s">
        <v>13</v>
      </c>
      <c r="AT40" s="4" t="s">
        <v>14</v>
      </c>
      <c r="AU40" s="13" t="s">
        <v>13</v>
      </c>
      <c r="AV40" s="13" t="s">
        <v>14</v>
      </c>
      <c r="AW40" s="13" t="s">
        <v>13</v>
      </c>
      <c r="AX40" s="13" t="s">
        <v>14</v>
      </c>
      <c r="AY40" s="13" t="s">
        <v>13</v>
      </c>
      <c r="AZ40" s="13" t="s">
        <v>14</v>
      </c>
      <c r="BA40" s="13" t="s">
        <v>13</v>
      </c>
      <c r="BB40" s="13" t="s">
        <v>14</v>
      </c>
      <c r="BC40" s="13" t="s">
        <v>13</v>
      </c>
      <c r="BD40" s="13" t="s">
        <v>14</v>
      </c>
      <c r="BE40" s="4" t="s">
        <v>13</v>
      </c>
      <c r="BF40" s="4" t="s">
        <v>14</v>
      </c>
      <c r="BG40" s="4" t="s">
        <v>13</v>
      </c>
      <c r="BH40" s="4" t="s">
        <v>14</v>
      </c>
      <c r="BI40" s="4" t="s">
        <v>13</v>
      </c>
      <c r="BJ40" s="4" t="s">
        <v>14</v>
      </c>
      <c r="BK40" s="4" t="s">
        <v>13</v>
      </c>
      <c r="BL40" s="4" t="s">
        <v>14</v>
      </c>
      <c r="BM40" s="4" t="s">
        <v>13</v>
      </c>
      <c r="BN40" s="4" t="s">
        <v>14</v>
      </c>
      <c r="BO40" s="4" t="s">
        <v>13</v>
      </c>
      <c r="BP40" s="4" t="s">
        <v>14</v>
      </c>
      <c r="BQ40" s="267"/>
      <c r="BR40" s="272"/>
      <c r="BS40" s="58"/>
      <c r="BT40" s="91" t="s">
        <v>15</v>
      </c>
      <c r="BU40" s="90" t="s">
        <v>16</v>
      </c>
      <c r="BV40" s="90" t="s">
        <v>17</v>
      </c>
      <c r="BW40" s="88" t="s">
        <v>18</v>
      </c>
      <c r="BX40" s="90" t="s">
        <v>19</v>
      </c>
      <c r="BY40" s="90" t="s">
        <v>20</v>
      </c>
      <c r="BZ40" s="74" t="s">
        <v>170</v>
      </c>
      <c r="CA40" s="59" t="s">
        <v>22</v>
      </c>
      <c r="CB40" s="76" t="s">
        <v>23</v>
      </c>
      <c r="CC40" s="76" t="s">
        <v>24</v>
      </c>
      <c r="CD40" s="76" t="s">
        <v>25</v>
      </c>
      <c r="CE40" s="60" t="s">
        <v>26</v>
      </c>
      <c r="CG40" s="50" t="s">
        <v>16</v>
      </c>
      <c r="CH40" s="51" t="s">
        <v>17</v>
      </c>
      <c r="CI40" s="51" t="s">
        <v>18</v>
      </c>
      <c r="CJ40" s="51" t="s">
        <v>19</v>
      </c>
      <c r="CK40" s="51" t="s">
        <v>20</v>
      </c>
      <c r="CL40" s="51" t="s">
        <v>21</v>
      </c>
      <c r="CM40" s="51" t="s">
        <v>22</v>
      </c>
      <c r="CN40" s="51" t="s">
        <v>23</v>
      </c>
      <c r="CO40" s="51" t="s">
        <v>24</v>
      </c>
      <c r="CP40" s="51" t="s">
        <v>25</v>
      </c>
      <c r="CQ40" s="52" t="s">
        <v>190</v>
      </c>
    </row>
    <row r="41" spans="1:95" ht="21.75" customHeight="1" x14ac:dyDescent="0.25">
      <c r="A41" s="44">
        <v>23</v>
      </c>
      <c r="B41" s="11" t="s">
        <v>82</v>
      </c>
      <c r="C41" s="77" t="s">
        <v>83</v>
      </c>
      <c r="D41" s="87">
        <v>43466</v>
      </c>
      <c r="E41" s="124">
        <v>46266.352858796294</v>
      </c>
      <c r="F41" s="124">
        <v>46264.979178240741</v>
      </c>
      <c r="G41" s="124">
        <v>46267.352986111109</v>
      </c>
      <c r="H41" s="124">
        <v>46267.978333333333</v>
      </c>
      <c r="I41" s="124">
        <v>46268.352951388886</v>
      </c>
      <c r="J41" s="124">
        <v>46268.971759259257</v>
      </c>
      <c r="K41" s="178" t="s">
        <v>15</v>
      </c>
      <c r="L41" s="178" t="s">
        <v>15</v>
      </c>
      <c r="M41" s="124">
        <v>46270.352395833332</v>
      </c>
      <c r="N41" s="124">
        <v>46270.968553240738</v>
      </c>
      <c r="O41" s="124">
        <v>46271.352233796293</v>
      </c>
      <c r="P41" s="124">
        <v>46271.951643518521</v>
      </c>
      <c r="Q41" s="124">
        <v>46272.35193287037</v>
      </c>
      <c r="R41" s="124">
        <v>46272.955069444448</v>
      </c>
      <c r="S41" s="124">
        <v>46273.35260416667</v>
      </c>
      <c r="T41" s="124">
        <v>46273.951458333337</v>
      </c>
      <c r="U41" s="124">
        <v>46274.352465277778</v>
      </c>
      <c r="V41" s="124">
        <v>46274.95071759259</v>
      </c>
      <c r="W41" s="124">
        <v>46275.352094907408</v>
      </c>
      <c r="X41" s="124">
        <v>46275.969988425924</v>
      </c>
      <c r="Y41" s="124">
        <v>46276.577962962961</v>
      </c>
      <c r="Z41" s="124">
        <v>46276.951643518521</v>
      </c>
      <c r="AA41" s="124">
        <v>46277.352187500001</v>
      </c>
      <c r="AB41" s="124">
        <v>46277.961400462962</v>
      </c>
      <c r="AC41" s="124">
        <v>46278.352395833332</v>
      </c>
      <c r="AD41" s="124">
        <v>46278.948564814818</v>
      </c>
      <c r="AE41" s="124">
        <v>46279.352222222224</v>
      </c>
      <c r="AF41" s="124">
        <v>46279.951932870368</v>
      </c>
      <c r="AG41" s="124">
        <v>46280.35224537037</v>
      </c>
      <c r="AH41" s="124">
        <v>46280.949791666666</v>
      </c>
      <c r="AI41" s="110"/>
      <c r="AJ41" s="44">
        <v>23</v>
      </c>
      <c r="AK41" s="124">
        <v>46281.352129629631</v>
      </c>
      <c r="AL41" s="124">
        <v>46281.949212962965</v>
      </c>
      <c r="AM41" s="124">
        <v>46282.352222222224</v>
      </c>
      <c r="AN41" s="124">
        <v>46282.972025462965</v>
      </c>
      <c r="AO41" s="229" t="s">
        <v>15</v>
      </c>
      <c r="AP41" s="229" t="s">
        <v>15</v>
      </c>
      <c r="AQ41" s="124">
        <v>46284.352384259262</v>
      </c>
      <c r="AR41" s="124">
        <v>46284.968402777777</v>
      </c>
      <c r="AS41" s="124">
        <v>46285.352314814816</v>
      </c>
      <c r="AT41" s="124">
        <v>46285.949756944443</v>
      </c>
      <c r="AU41" s="124">
        <v>46286.352233796293</v>
      </c>
      <c r="AV41" s="124">
        <v>46286.949259259258</v>
      </c>
      <c r="AW41" s="124">
        <v>46287.352256944447</v>
      </c>
      <c r="AX41" s="124">
        <v>46287.949895833335</v>
      </c>
      <c r="AY41" s="124">
        <v>46288.35260416667</v>
      </c>
      <c r="AZ41" s="124">
        <v>46288.949861111112</v>
      </c>
      <c r="BA41" s="124">
        <v>46289.352199074077</v>
      </c>
      <c r="BB41" s="124">
        <v>46289.972916666666</v>
      </c>
      <c r="BC41" s="124">
        <v>46290.57849537037</v>
      </c>
      <c r="BD41" s="124">
        <v>46290.95385416667</v>
      </c>
      <c r="BE41" s="124">
        <v>46291.352870370371</v>
      </c>
      <c r="BF41" s="124">
        <v>46291.970300925925</v>
      </c>
      <c r="BG41" s="124">
        <v>46292.35229166667</v>
      </c>
      <c r="BH41" s="124">
        <v>0</v>
      </c>
      <c r="BI41" s="124">
        <v>46293.352418981478</v>
      </c>
      <c r="BJ41" s="124">
        <v>46293.953750000001</v>
      </c>
      <c r="BK41" s="124">
        <v>46294.35255787037</v>
      </c>
      <c r="BL41" s="124">
        <v>46294.949340277781</v>
      </c>
      <c r="BM41" s="124">
        <v>46295.352407407408</v>
      </c>
      <c r="BN41" s="124">
        <v>46295.954259259262</v>
      </c>
      <c r="BO41" s="152">
        <v>46265.351030092592</v>
      </c>
      <c r="BP41" s="152">
        <v>46265.95103009259</v>
      </c>
      <c r="BQ41" s="96">
        <f t="shared" ref="BQ41:BQ71" si="26">BS41+BT41+BV41+CA41+BY41+BZ41+CD41+BU41</f>
        <v>30</v>
      </c>
      <c r="BR41" s="67">
        <v>2</v>
      </c>
      <c r="BS41" s="1">
        <f t="shared" ref="BS41:BS101" si="27">COUNT(E41:AH41)/2+COUNT(AK41:BN41)/2</f>
        <v>28</v>
      </c>
      <c r="BT41" s="2">
        <f t="shared" ref="BT41:BT71" si="28">COUNTIF(E41:BN41,"OFF")/2</f>
        <v>2</v>
      </c>
      <c r="BU41" s="2">
        <f t="shared" ref="BU41:BU71" si="29">COUNTIF(E41:BN41,"MC")/2</f>
        <v>0</v>
      </c>
      <c r="BV41" s="2">
        <f t="shared" ref="BV41:BV71" si="30">COUNTIF(E41:BN41,"EL")/2</f>
        <v>0</v>
      </c>
      <c r="BW41" s="2">
        <f t="shared" ref="BW41:BW71" si="31">COUNTIF(E41:BN41,"AL")/2</f>
        <v>0</v>
      </c>
      <c r="BX41" s="2">
        <f t="shared" ref="BX41:BX71" si="32">COUNTIF(E41:BN41,"SUS")/2</f>
        <v>0</v>
      </c>
      <c r="BY41" s="2">
        <f t="shared" ref="BY41:BY71" si="33">COUNTIF(E41:BN41,"FL")/2</f>
        <v>0</v>
      </c>
      <c r="BZ41" s="2">
        <f t="shared" ref="BZ41:BZ71" si="34">COUNTIF(E41:BN41,"SICK")/2</f>
        <v>0</v>
      </c>
      <c r="CA41" s="2">
        <f t="shared" ref="CA41:CA71" si="35">COUNTIF(E41:BN41,"HD")/2</f>
        <v>0</v>
      </c>
      <c r="CB41" s="2">
        <f t="shared" ref="CB41:CB71" si="36">COUNTIF(E41:BN41,"AB")/2</f>
        <v>0</v>
      </c>
      <c r="CC41" s="2">
        <f t="shared" ref="CC41:CC71" si="37">COUNTIF(E41:BN41,"NL")/2</f>
        <v>0</v>
      </c>
      <c r="CD41" s="2">
        <f t="shared" ref="CD41:CD71" si="38">COUNTIF(E41:BN41,"SP")/2</f>
        <v>0</v>
      </c>
      <c r="CE41" s="3"/>
      <c r="CG41" s="113">
        <v>0</v>
      </c>
      <c r="CH41" s="114">
        <v>0</v>
      </c>
      <c r="CI41" s="114">
        <v>13</v>
      </c>
      <c r="CJ41" s="114">
        <v>0</v>
      </c>
      <c r="CK41" s="114">
        <v>0</v>
      </c>
      <c r="CL41" s="114">
        <v>0</v>
      </c>
      <c r="CM41" s="114">
        <v>0</v>
      </c>
      <c r="CN41" s="114">
        <v>0</v>
      </c>
      <c r="CO41" s="114">
        <v>0</v>
      </c>
      <c r="CP41" s="114">
        <v>0</v>
      </c>
      <c r="CQ41" s="116">
        <f t="shared" ref="CQ41:CQ47" si="39">SUM(CG41:CP41)</f>
        <v>13</v>
      </c>
    </row>
    <row r="42" spans="1:95" ht="21.75" customHeight="1" x14ac:dyDescent="0.25">
      <c r="A42" s="44">
        <v>24</v>
      </c>
      <c r="B42" s="11" t="s">
        <v>84</v>
      </c>
      <c r="C42" s="8" t="s">
        <v>85</v>
      </c>
      <c r="D42" s="77"/>
      <c r="E42" s="124">
        <v>46266.349050925928</v>
      </c>
      <c r="F42" s="124">
        <v>46264.971643518518</v>
      </c>
      <c r="G42" s="124">
        <v>46267.352766203701</v>
      </c>
      <c r="H42" s="124">
        <v>46267.953773148147</v>
      </c>
      <c r="I42" s="124">
        <v>46268.350312499999</v>
      </c>
      <c r="J42" s="124">
        <v>46268.962824074071</v>
      </c>
      <c r="K42" s="178" t="s">
        <v>15</v>
      </c>
      <c r="L42" s="178" t="s">
        <v>15</v>
      </c>
      <c r="M42" s="124">
        <v>46270.354571759257</v>
      </c>
      <c r="N42" s="124">
        <v>46270.960879629631</v>
      </c>
      <c r="O42" s="124">
        <v>46271.351898148147</v>
      </c>
      <c r="P42" s="124">
        <v>46271.942916666667</v>
      </c>
      <c r="Q42" s="124">
        <v>46272.34851851852</v>
      </c>
      <c r="R42" s="124">
        <v>46272.94190972222</v>
      </c>
      <c r="S42" s="124">
        <v>46273.352164351854</v>
      </c>
      <c r="T42" s="124">
        <v>46273.940682870372</v>
      </c>
      <c r="U42" s="124">
        <v>46274.347048611111</v>
      </c>
      <c r="V42" s="124">
        <v>46274.943726851852</v>
      </c>
      <c r="W42" s="124">
        <v>46275.350081018521</v>
      </c>
      <c r="X42" s="124">
        <v>46275.950729166667</v>
      </c>
      <c r="Y42" s="124">
        <v>46276.581087962964</v>
      </c>
      <c r="Z42" s="124">
        <v>46276.940844907411</v>
      </c>
      <c r="AA42" s="124">
        <v>46277.349062499998</v>
      </c>
      <c r="AB42" s="124">
        <v>46277.959826388891</v>
      </c>
      <c r="AC42" s="124">
        <v>46278.349062499998</v>
      </c>
      <c r="AD42" s="124">
        <v>46278.942256944443</v>
      </c>
      <c r="AE42" s="124">
        <v>0</v>
      </c>
      <c r="AF42" s="124">
        <v>46279.945289351854</v>
      </c>
      <c r="AG42" s="124">
        <v>46280.349166666667</v>
      </c>
      <c r="AH42" s="124">
        <v>46280.946840277778</v>
      </c>
      <c r="AI42" s="110"/>
      <c r="AJ42" s="44">
        <v>24</v>
      </c>
      <c r="AK42" s="124">
        <v>46281.353379629632</v>
      </c>
      <c r="AL42" s="124">
        <v>46281.945821759262</v>
      </c>
      <c r="AM42" s="124">
        <v>46282.349039351851</v>
      </c>
      <c r="AN42" s="124">
        <v>46282.964432870373</v>
      </c>
      <c r="AO42" s="229" t="s">
        <v>15</v>
      </c>
      <c r="AP42" s="229" t="s">
        <v>15</v>
      </c>
      <c r="AQ42" s="124">
        <v>46284.350937499999</v>
      </c>
      <c r="AR42" s="124">
        <v>46284.959745370368</v>
      </c>
      <c r="AS42" s="124">
        <v>46285.351180555554</v>
      </c>
      <c r="AT42" s="124">
        <v>46285.943287037036</v>
      </c>
      <c r="AU42" s="124">
        <v>46286.353263888886</v>
      </c>
      <c r="AV42" s="124">
        <v>46286.94158564815</v>
      </c>
      <c r="AW42" s="124">
        <v>46287.35125</v>
      </c>
      <c r="AX42" s="124">
        <v>46287.942708333336</v>
      </c>
      <c r="AY42" s="124">
        <v>46288.349108796298</v>
      </c>
      <c r="AZ42" s="124">
        <v>46288.945127314815</v>
      </c>
      <c r="BA42" s="124">
        <v>46289.349386574075</v>
      </c>
      <c r="BB42" s="124">
        <v>46289.96875</v>
      </c>
      <c r="BC42" s="124">
        <v>46290.581909722219</v>
      </c>
      <c r="BD42" s="124">
        <v>46290.945208333331</v>
      </c>
      <c r="BE42" s="124">
        <v>46291.351493055554</v>
      </c>
      <c r="BF42" s="124">
        <v>46291.964120370372</v>
      </c>
      <c r="BG42" s="124">
        <v>46292.349791666667</v>
      </c>
      <c r="BH42" s="124">
        <v>46292.951597222222</v>
      </c>
      <c r="BI42" s="124">
        <v>46293.349259259259</v>
      </c>
      <c r="BJ42" s="124">
        <v>46293.943935185183</v>
      </c>
      <c r="BK42" s="124">
        <v>46294.351712962962</v>
      </c>
      <c r="BL42" s="124">
        <v>46294.944386574076</v>
      </c>
      <c r="BM42" s="124">
        <v>46295.351574074077</v>
      </c>
      <c r="BN42" s="124">
        <v>46295.943773148145</v>
      </c>
      <c r="BO42" s="152">
        <v>46265.351319444446</v>
      </c>
      <c r="BP42" s="152">
        <v>46265.943564814814</v>
      </c>
      <c r="BQ42" s="96">
        <f t="shared" si="26"/>
        <v>30</v>
      </c>
      <c r="BR42" s="67">
        <v>2</v>
      </c>
      <c r="BS42" s="1">
        <f t="shared" si="27"/>
        <v>28</v>
      </c>
      <c r="BT42" s="2">
        <f t="shared" si="28"/>
        <v>2</v>
      </c>
      <c r="BU42" s="2">
        <f t="shared" si="29"/>
        <v>0</v>
      </c>
      <c r="BV42" s="2">
        <f t="shared" si="30"/>
        <v>0</v>
      </c>
      <c r="BW42" s="2">
        <f t="shared" si="31"/>
        <v>0</v>
      </c>
      <c r="BX42" s="2">
        <f t="shared" si="32"/>
        <v>0</v>
      </c>
      <c r="BY42" s="2">
        <f t="shared" si="33"/>
        <v>0</v>
      </c>
      <c r="BZ42" s="2">
        <f t="shared" si="34"/>
        <v>0</v>
      </c>
      <c r="CA42" s="2">
        <f t="shared" si="35"/>
        <v>0</v>
      </c>
      <c r="CB42" s="2">
        <f t="shared" si="36"/>
        <v>0</v>
      </c>
      <c r="CC42" s="2">
        <f t="shared" si="37"/>
        <v>0</v>
      </c>
      <c r="CD42" s="2">
        <f t="shared" si="38"/>
        <v>0</v>
      </c>
      <c r="CE42" s="3"/>
      <c r="CG42" s="54">
        <v>0</v>
      </c>
      <c r="CH42" s="53">
        <v>0</v>
      </c>
      <c r="CI42" s="54">
        <v>4</v>
      </c>
      <c r="CJ42" s="53">
        <v>0</v>
      </c>
      <c r="CK42" s="53">
        <v>0</v>
      </c>
      <c r="CL42" s="54">
        <v>11</v>
      </c>
      <c r="CM42" s="53">
        <v>0</v>
      </c>
      <c r="CN42" s="54">
        <v>2</v>
      </c>
      <c r="CO42" s="53">
        <v>0</v>
      </c>
      <c r="CP42" s="53">
        <v>0</v>
      </c>
      <c r="CQ42" s="117">
        <f t="shared" si="39"/>
        <v>17</v>
      </c>
    </row>
    <row r="43" spans="1:95" ht="21.75" customHeight="1" x14ac:dyDescent="0.25">
      <c r="A43" s="44">
        <v>25</v>
      </c>
      <c r="B43" s="11" t="s">
        <v>195</v>
      </c>
      <c r="C43" s="80" t="s">
        <v>239</v>
      </c>
      <c r="D43" s="87">
        <v>43468</v>
      </c>
      <c r="E43" s="124">
        <v>46266.349374999998</v>
      </c>
      <c r="F43" s="124">
        <v>46264.722731481481</v>
      </c>
      <c r="G43" s="124">
        <v>46267.349722222221</v>
      </c>
      <c r="H43" s="124">
        <v>46267.975543981483</v>
      </c>
      <c r="I43" s="124">
        <v>46268.350891203707</v>
      </c>
      <c r="J43" s="124">
        <v>46268.958437499998</v>
      </c>
      <c r="K43" s="124">
        <v>46269.578923611109</v>
      </c>
      <c r="L43" s="124">
        <v>46269.991539351853</v>
      </c>
      <c r="M43" s="124">
        <v>46270.350497685184</v>
      </c>
      <c r="N43" s="124">
        <v>46270.958761574075</v>
      </c>
      <c r="O43" s="124">
        <v>46271.349594907406</v>
      </c>
      <c r="P43" s="124">
        <v>46271.9375462963</v>
      </c>
      <c r="Q43" s="124">
        <v>46272.350023148145</v>
      </c>
      <c r="R43" s="124">
        <v>46272.939710648148</v>
      </c>
      <c r="S43" s="124">
        <v>46273.350914351853</v>
      </c>
      <c r="T43" s="124">
        <v>46273.95722222222</v>
      </c>
      <c r="U43" s="124">
        <v>46274.349629629629</v>
      </c>
      <c r="V43" s="124">
        <v>46274.965173611112</v>
      </c>
      <c r="W43" s="124">
        <v>46275.350127314814</v>
      </c>
      <c r="X43" s="124">
        <v>46275.979444444441</v>
      </c>
      <c r="Y43" s="178" t="s">
        <v>15</v>
      </c>
      <c r="Z43" s="178" t="s">
        <v>15</v>
      </c>
      <c r="AA43" s="124">
        <v>46277.34883101852</v>
      </c>
      <c r="AB43" s="124">
        <v>46277.982627314814</v>
      </c>
      <c r="AC43" s="124">
        <v>46278.350648148145</v>
      </c>
      <c r="AD43" s="124">
        <v>46278.947384259256</v>
      </c>
      <c r="AE43" s="124">
        <v>46279.348969907405</v>
      </c>
      <c r="AF43" s="124">
        <v>46279.949259259258</v>
      </c>
      <c r="AG43" s="124">
        <v>46280.34983796296</v>
      </c>
      <c r="AH43" s="124">
        <v>46280.931122685186</v>
      </c>
      <c r="AI43" s="110"/>
      <c r="AJ43" s="44">
        <v>25</v>
      </c>
      <c r="AK43" s="124">
        <v>46281.350439814814</v>
      </c>
      <c r="AL43" s="124">
        <v>46281.958831018521</v>
      </c>
      <c r="AM43" s="124">
        <v>46282.350312499999</v>
      </c>
      <c r="AN43" s="124">
        <v>46282.969953703701</v>
      </c>
      <c r="AO43" s="124">
        <v>46283.578912037039</v>
      </c>
      <c r="AP43" s="124">
        <v>46283.931944444441</v>
      </c>
      <c r="AQ43" s="124">
        <v>46284.349803240744</v>
      </c>
      <c r="AR43" s="124">
        <v>46284.96665509259</v>
      </c>
      <c r="AS43" s="124">
        <v>46285.350219907406</v>
      </c>
      <c r="AT43" s="124">
        <v>46285.952997685185</v>
      </c>
      <c r="AU43" s="124">
        <v>46286.349942129629</v>
      </c>
      <c r="AV43" s="124">
        <v>46286.945324074077</v>
      </c>
      <c r="AW43" s="124">
        <v>46287.350798611114</v>
      </c>
      <c r="AX43" s="124">
        <v>46287.949016203704</v>
      </c>
      <c r="AY43" s="124">
        <v>46288.350428240738</v>
      </c>
      <c r="AZ43" s="124">
        <v>46288.951909722222</v>
      </c>
      <c r="BA43" s="124">
        <v>46289.350219907406</v>
      </c>
      <c r="BB43" s="124">
        <v>46289.975787037038</v>
      </c>
      <c r="BC43" s="229" t="s">
        <v>15</v>
      </c>
      <c r="BD43" s="229" t="s">
        <v>15</v>
      </c>
      <c r="BE43" s="124">
        <v>46291.349317129629</v>
      </c>
      <c r="BF43" s="124">
        <v>46291.955393518518</v>
      </c>
      <c r="BG43" s="124">
        <v>46292.349953703706</v>
      </c>
      <c r="BH43" s="124">
        <v>46292.963622685187</v>
      </c>
      <c r="BI43" s="124">
        <v>46293.350312499999</v>
      </c>
      <c r="BJ43" s="124">
        <v>46293.937835648147</v>
      </c>
      <c r="BK43" s="124">
        <v>46294.349652777775</v>
      </c>
      <c r="BL43" s="124">
        <v>46294.945370370369</v>
      </c>
      <c r="BM43" s="124">
        <v>46295.350312499999</v>
      </c>
      <c r="BN43" s="124">
        <v>46295.95921296296</v>
      </c>
      <c r="BO43" s="152">
        <v>46265.348171296297</v>
      </c>
      <c r="BP43" s="152">
        <v>46265.943784722222</v>
      </c>
      <c r="BQ43" s="96">
        <f t="shared" si="26"/>
        <v>30</v>
      </c>
      <c r="BR43" s="67">
        <v>2</v>
      </c>
      <c r="BS43" s="1">
        <f t="shared" si="27"/>
        <v>28</v>
      </c>
      <c r="BT43" s="2">
        <f t="shared" si="28"/>
        <v>2</v>
      </c>
      <c r="BU43" s="2">
        <f t="shared" si="29"/>
        <v>0</v>
      </c>
      <c r="BV43" s="2">
        <f t="shared" si="30"/>
        <v>0</v>
      </c>
      <c r="BW43" s="2">
        <f t="shared" si="31"/>
        <v>0</v>
      </c>
      <c r="BX43" s="2">
        <f t="shared" si="32"/>
        <v>0</v>
      </c>
      <c r="BY43" s="2">
        <f t="shared" si="33"/>
        <v>0</v>
      </c>
      <c r="BZ43" s="2">
        <f t="shared" si="34"/>
        <v>0</v>
      </c>
      <c r="CA43" s="2">
        <f t="shared" si="35"/>
        <v>0</v>
      </c>
      <c r="CB43" s="2">
        <f t="shared" si="36"/>
        <v>0</v>
      </c>
      <c r="CC43" s="2">
        <f t="shared" si="37"/>
        <v>0</v>
      </c>
      <c r="CD43" s="2">
        <f t="shared" si="38"/>
        <v>0</v>
      </c>
      <c r="CE43" s="3"/>
      <c r="CG43" s="113">
        <v>0</v>
      </c>
      <c r="CH43" s="114">
        <v>0</v>
      </c>
      <c r="CI43" s="114">
        <v>0</v>
      </c>
      <c r="CJ43" s="114">
        <v>0</v>
      </c>
      <c r="CK43" s="114">
        <v>0</v>
      </c>
      <c r="CL43" s="113">
        <v>6</v>
      </c>
      <c r="CM43" s="114">
        <v>0</v>
      </c>
      <c r="CN43" s="114">
        <v>0</v>
      </c>
      <c r="CO43" s="114">
        <v>0</v>
      </c>
      <c r="CP43" s="114">
        <v>0</v>
      </c>
      <c r="CQ43" s="116">
        <f t="shared" si="39"/>
        <v>6</v>
      </c>
    </row>
    <row r="44" spans="1:95" ht="21.75" customHeight="1" x14ac:dyDescent="0.25">
      <c r="A44" s="44">
        <v>26</v>
      </c>
      <c r="B44" s="11" t="s">
        <v>86</v>
      </c>
      <c r="C44" s="77" t="s">
        <v>87</v>
      </c>
      <c r="D44" s="87">
        <v>42522</v>
      </c>
      <c r="E44" s="124">
        <v>46266.350462962961</v>
      </c>
      <c r="F44" s="124">
        <v>46264.744120370371</v>
      </c>
      <c r="G44" s="124">
        <v>46267.353981481479</v>
      </c>
      <c r="H44" s="124">
        <v>0</v>
      </c>
      <c r="I44" s="124">
        <v>46268.353229166663</v>
      </c>
      <c r="J44" s="124">
        <v>0</v>
      </c>
      <c r="K44" s="124">
        <v>46269.578831018516</v>
      </c>
      <c r="L44" s="124">
        <v>0</v>
      </c>
      <c r="M44" s="124">
        <v>46270.351909722223</v>
      </c>
      <c r="N44" s="124">
        <v>46270.976238425923</v>
      </c>
      <c r="O44" s="124">
        <v>46271.350636574076</v>
      </c>
      <c r="P44" s="124">
        <v>46271.936192129629</v>
      </c>
      <c r="Q44" s="124">
        <v>46272.350671296299</v>
      </c>
      <c r="R44" s="124">
        <v>0</v>
      </c>
      <c r="S44" s="124">
        <v>46273.351365740738</v>
      </c>
      <c r="T44" s="124">
        <v>46273.962916666664</v>
      </c>
      <c r="U44" s="124">
        <v>46274.349826388891</v>
      </c>
      <c r="V44" s="124">
        <v>0</v>
      </c>
      <c r="W44" s="124">
        <v>46275.349027777775</v>
      </c>
      <c r="X44" s="124">
        <v>46275.979247685187</v>
      </c>
      <c r="Y44" s="178" t="s">
        <v>15</v>
      </c>
      <c r="Z44" s="178" t="s">
        <v>15</v>
      </c>
      <c r="AA44" s="124">
        <v>46277.349918981483</v>
      </c>
      <c r="AB44" s="124">
        <v>46277.982268518521</v>
      </c>
      <c r="AC44" s="124">
        <v>46278.352071759262</v>
      </c>
      <c r="AD44" s="124">
        <v>46278.95417824074</v>
      </c>
      <c r="AE44" s="124">
        <v>46279.351956018516</v>
      </c>
      <c r="AF44" s="124">
        <v>46279.946284722224</v>
      </c>
      <c r="AG44" s="124">
        <v>46280.350277777776</v>
      </c>
      <c r="AH44" s="124">
        <v>46280.936192129629</v>
      </c>
      <c r="AI44" s="105"/>
      <c r="AJ44" s="44">
        <v>26</v>
      </c>
      <c r="AK44" s="124">
        <v>46281.351180555554</v>
      </c>
      <c r="AL44" s="124">
        <v>46281.972824074073</v>
      </c>
      <c r="AM44" s="124">
        <v>46282.351574074077</v>
      </c>
      <c r="AN44" s="124">
        <v>46282.97079861111</v>
      </c>
      <c r="AO44" s="124">
        <v>46283.576851851853</v>
      </c>
      <c r="AP44" s="124">
        <v>46283.932280092595</v>
      </c>
      <c r="AQ44" s="124">
        <v>46284.350844907407</v>
      </c>
      <c r="AR44" s="124">
        <v>46284.970277777778</v>
      </c>
      <c r="AS44" s="124">
        <v>46285.350636574076</v>
      </c>
      <c r="AT44" s="124">
        <v>46285.953773148147</v>
      </c>
      <c r="AU44" s="124">
        <v>46286.349328703705</v>
      </c>
      <c r="AV44" s="124">
        <v>0</v>
      </c>
      <c r="AW44" s="124">
        <v>46287.351805555554</v>
      </c>
      <c r="AX44" s="124">
        <v>46287.980150462965</v>
      </c>
      <c r="AY44" s="124">
        <v>46288.352789351855</v>
      </c>
      <c r="AZ44" s="124">
        <v>46288.947002314817</v>
      </c>
      <c r="BA44" s="124">
        <v>46289.345856481479</v>
      </c>
      <c r="BB44" s="124">
        <v>0</v>
      </c>
      <c r="BC44" s="229" t="s">
        <v>15</v>
      </c>
      <c r="BD44" s="229" t="s">
        <v>15</v>
      </c>
      <c r="BE44" s="124">
        <v>46291.347488425927</v>
      </c>
      <c r="BF44" s="124">
        <v>0</v>
      </c>
      <c r="BG44" s="124">
        <v>46292.349259259259</v>
      </c>
      <c r="BH44" s="124">
        <v>0</v>
      </c>
      <c r="BI44" s="124">
        <v>46293.352627314816</v>
      </c>
      <c r="BJ44" s="124">
        <v>0</v>
      </c>
      <c r="BK44" s="124">
        <v>46294.353831018518</v>
      </c>
      <c r="BL44" s="124">
        <v>0</v>
      </c>
      <c r="BM44" s="124">
        <v>46295.350648148145</v>
      </c>
      <c r="BN44" s="124">
        <v>0</v>
      </c>
      <c r="BO44" s="152">
        <v>46265.350127314814</v>
      </c>
      <c r="BP44" s="152">
        <v>46265.942164351851</v>
      </c>
      <c r="BQ44" s="96">
        <f t="shared" si="26"/>
        <v>30</v>
      </c>
      <c r="BR44" s="67">
        <v>2</v>
      </c>
      <c r="BS44" s="1">
        <f t="shared" si="27"/>
        <v>28</v>
      </c>
      <c r="BT44" s="2">
        <f t="shared" si="28"/>
        <v>2</v>
      </c>
      <c r="BU44" s="2">
        <f t="shared" si="29"/>
        <v>0</v>
      </c>
      <c r="BV44" s="2">
        <f t="shared" si="30"/>
        <v>0</v>
      </c>
      <c r="BW44" s="2">
        <f t="shared" si="31"/>
        <v>0</v>
      </c>
      <c r="BX44" s="2">
        <f t="shared" si="32"/>
        <v>0</v>
      </c>
      <c r="BY44" s="2">
        <f t="shared" si="33"/>
        <v>0</v>
      </c>
      <c r="BZ44" s="2">
        <f t="shared" si="34"/>
        <v>0</v>
      </c>
      <c r="CA44" s="2">
        <f t="shared" si="35"/>
        <v>0</v>
      </c>
      <c r="CB44" s="2">
        <f t="shared" si="36"/>
        <v>0</v>
      </c>
      <c r="CC44" s="2">
        <f t="shared" si="37"/>
        <v>0</v>
      </c>
      <c r="CD44" s="2">
        <f t="shared" si="38"/>
        <v>0</v>
      </c>
      <c r="CE44" s="3"/>
      <c r="CG44" s="54">
        <v>0</v>
      </c>
      <c r="CH44" s="53">
        <v>0</v>
      </c>
      <c r="CI44" s="53">
        <v>0</v>
      </c>
      <c r="CJ44" s="53">
        <v>0</v>
      </c>
      <c r="CK44" s="53">
        <v>0</v>
      </c>
      <c r="CL44" s="54">
        <v>2</v>
      </c>
      <c r="CM44" s="53">
        <v>0</v>
      </c>
      <c r="CN44" s="54">
        <v>19</v>
      </c>
      <c r="CO44" s="53">
        <v>0</v>
      </c>
      <c r="CP44" s="53">
        <v>0</v>
      </c>
      <c r="CQ44" s="117">
        <f t="shared" si="39"/>
        <v>21</v>
      </c>
    </row>
    <row r="45" spans="1:95" ht="23.25" customHeight="1" x14ac:dyDescent="0.25">
      <c r="A45" s="44">
        <v>27</v>
      </c>
      <c r="B45" s="11" t="s">
        <v>90</v>
      </c>
      <c r="C45" s="77" t="s">
        <v>91</v>
      </c>
      <c r="D45" s="87">
        <v>43566</v>
      </c>
      <c r="E45" s="124">
        <v>46266.344155092593</v>
      </c>
      <c r="F45" s="124">
        <v>46264.939791666664</v>
      </c>
      <c r="G45" s="124">
        <v>46267.344178240739</v>
      </c>
      <c r="H45" s="124">
        <v>46267.975682870368</v>
      </c>
      <c r="I45" s="124">
        <v>46268.344895833332</v>
      </c>
      <c r="J45" s="124">
        <v>46268.951886574076</v>
      </c>
      <c r="K45" s="124">
        <v>46269.565729166665</v>
      </c>
      <c r="L45" s="124">
        <v>46269.991805555554</v>
      </c>
      <c r="M45" s="124">
        <v>46270.344583333332</v>
      </c>
      <c r="N45" s="124">
        <v>46270.9375462963</v>
      </c>
      <c r="O45" s="124">
        <v>46271.343807870369</v>
      </c>
      <c r="P45" s="124">
        <v>46271.943576388891</v>
      </c>
      <c r="Q45" s="124">
        <v>46272.344340277778</v>
      </c>
      <c r="R45" s="124">
        <v>46272.937384259261</v>
      </c>
      <c r="S45" s="124">
        <v>46273.34412037037</v>
      </c>
      <c r="T45" s="124">
        <v>46273.941967592589</v>
      </c>
      <c r="U45" s="124">
        <v>46274.344131944446</v>
      </c>
      <c r="V45" s="124">
        <v>46274.958368055559</v>
      </c>
      <c r="W45" s="124">
        <v>46275.343738425923</v>
      </c>
      <c r="X45" s="124">
        <v>46275.979363425926</v>
      </c>
      <c r="Y45" s="178" t="s">
        <v>15</v>
      </c>
      <c r="Z45" s="178" t="s">
        <v>15</v>
      </c>
      <c r="AA45" s="124">
        <v>46277.354780092595</v>
      </c>
      <c r="AB45" s="124">
        <v>46277.981319444443</v>
      </c>
      <c r="AC45" s="124">
        <v>46278.344212962962</v>
      </c>
      <c r="AD45" s="124">
        <v>46278.951655092591</v>
      </c>
      <c r="AE45" s="124">
        <v>46279.343888888892</v>
      </c>
      <c r="AF45" s="124">
        <v>46279.947974537034</v>
      </c>
      <c r="AG45" s="124">
        <v>46280.344293981485</v>
      </c>
      <c r="AH45" s="124">
        <v>46280.938425925924</v>
      </c>
      <c r="AI45" s="110"/>
      <c r="AJ45" s="44">
        <v>27</v>
      </c>
      <c r="AK45" s="124">
        <v>46281.344571759262</v>
      </c>
      <c r="AL45" s="124">
        <v>46281.964675925927</v>
      </c>
      <c r="AM45" s="124">
        <v>46282.344444444447</v>
      </c>
      <c r="AN45" s="124">
        <v>46282.960914351854</v>
      </c>
      <c r="AO45" s="124">
        <v>46283.577604166669</v>
      </c>
      <c r="AP45" s="124">
        <v>0</v>
      </c>
      <c r="AQ45" s="124">
        <v>46284.343715277777</v>
      </c>
      <c r="AR45" s="124">
        <v>0</v>
      </c>
      <c r="AS45" s="124">
        <v>46285.344502314816</v>
      </c>
      <c r="AT45" s="124">
        <v>46285.951585648145</v>
      </c>
      <c r="AU45" s="124">
        <v>46286.343854166669</v>
      </c>
      <c r="AV45" s="124">
        <v>46286.94427083333</v>
      </c>
      <c r="AW45" s="124">
        <v>46287.343946759262</v>
      </c>
      <c r="AX45" s="124">
        <v>46287.959131944444</v>
      </c>
      <c r="AY45" s="124">
        <v>46288.344189814816</v>
      </c>
      <c r="AZ45" s="124">
        <v>46288.951354166667</v>
      </c>
      <c r="BA45" s="124">
        <v>46289.34443287037</v>
      </c>
      <c r="BB45" s="124">
        <v>46289.975856481484</v>
      </c>
      <c r="BC45" s="229" t="s">
        <v>15</v>
      </c>
      <c r="BD45" s="229" t="s">
        <v>15</v>
      </c>
      <c r="BE45" s="124">
        <v>46291.344456018516</v>
      </c>
      <c r="BF45" s="124">
        <v>46291.953101851854</v>
      </c>
      <c r="BG45" s="124">
        <v>46292.344548611109</v>
      </c>
      <c r="BH45" s="124">
        <v>46292.959791666668</v>
      </c>
      <c r="BI45" s="124">
        <v>46293.344305555554</v>
      </c>
      <c r="BJ45" s="124">
        <v>46293.938726851855</v>
      </c>
      <c r="BK45" s="124">
        <v>46294.344652777778</v>
      </c>
      <c r="BL45" s="124">
        <v>46294.917233796295</v>
      </c>
      <c r="BM45" s="124">
        <v>46295.345914351848</v>
      </c>
      <c r="BN45" s="124">
        <v>46295.978379629632</v>
      </c>
      <c r="BO45" s="152">
        <v>46265.343368055554</v>
      </c>
      <c r="BP45" s="152">
        <v>46265.940335648149</v>
      </c>
      <c r="BQ45" s="96">
        <f t="shared" si="26"/>
        <v>30</v>
      </c>
      <c r="BR45" s="67">
        <v>2</v>
      </c>
      <c r="BS45" s="1">
        <f t="shared" si="27"/>
        <v>28</v>
      </c>
      <c r="BT45" s="2">
        <f t="shared" si="28"/>
        <v>2</v>
      </c>
      <c r="BU45" s="2">
        <f t="shared" si="29"/>
        <v>0</v>
      </c>
      <c r="BV45" s="2">
        <f t="shared" si="30"/>
        <v>0</v>
      </c>
      <c r="BW45" s="2">
        <f t="shared" si="31"/>
        <v>0</v>
      </c>
      <c r="BX45" s="2">
        <f t="shared" si="32"/>
        <v>0</v>
      </c>
      <c r="BY45" s="2">
        <f t="shared" si="33"/>
        <v>0</v>
      </c>
      <c r="BZ45" s="2">
        <f t="shared" si="34"/>
        <v>0</v>
      </c>
      <c r="CA45" s="2">
        <f t="shared" si="35"/>
        <v>0</v>
      </c>
      <c r="CB45" s="2">
        <f t="shared" si="36"/>
        <v>0</v>
      </c>
      <c r="CC45" s="2">
        <f t="shared" si="37"/>
        <v>0</v>
      </c>
      <c r="CD45" s="2">
        <f t="shared" si="38"/>
        <v>0</v>
      </c>
      <c r="CE45" s="3"/>
      <c r="CG45" s="54">
        <v>0</v>
      </c>
      <c r="CH45" s="53">
        <v>0</v>
      </c>
      <c r="CI45" s="53">
        <v>0</v>
      </c>
      <c r="CJ45" s="54">
        <v>15</v>
      </c>
      <c r="CK45" s="53">
        <v>0</v>
      </c>
      <c r="CL45" s="54">
        <v>5</v>
      </c>
      <c r="CM45" s="54">
        <v>2</v>
      </c>
      <c r="CN45" s="54">
        <v>1</v>
      </c>
      <c r="CO45" s="53">
        <v>0</v>
      </c>
      <c r="CP45" s="53">
        <v>0</v>
      </c>
      <c r="CQ45" s="117">
        <f t="shared" si="39"/>
        <v>23</v>
      </c>
    </row>
    <row r="46" spans="1:95" ht="21.75" customHeight="1" x14ac:dyDescent="0.25">
      <c r="A46" s="44">
        <v>28</v>
      </c>
      <c r="B46" s="11" t="s">
        <v>92</v>
      </c>
      <c r="C46" s="77" t="s">
        <v>93</v>
      </c>
      <c r="D46" s="87">
        <v>45707</v>
      </c>
      <c r="E46" s="124">
        <v>46266.333553240744</v>
      </c>
      <c r="F46" s="124">
        <v>46264.929016203707</v>
      </c>
      <c r="G46" s="124">
        <v>46267.330150462964</v>
      </c>
      <c r="H46" s="124">
        <v>46267.954675925925</v>
      </c>
      <c r="I46" s="124">
        <v>46268.329375000001</v>
      </c>
      <c r="J46" s="124">
        <v>0</v>
      </c>
      <c r="K46" s="124">
        <v>46269.553622685184</v>
      </c>
      <c r="L46" s="124">
        <v>46269.94903935185</v>
      </c>
      <c r="M46" s="124">
        <v>46270.33494212963</v>
      </c>
      <c r="N46" s="124">
        <v>0</v>
      </c>
      <c r="O46" s="124">
        <v>46271.333287037036</v>
      </c>
      <c r="P46" s="124">
        <v>0</v>
      </c>
      <c r="Q46" s="124">
        <v>46272.339131944442</v>
      </c>
      <c r="R46" s="124">
        <v>0</v>
      </c>
      <c r="S46" s="124">
        <v>46273.327349537038</v>
      </c>
      <c r="T46" s="124">
        <v>46273.955150462964</v>
      </c>
      <c r="U46" s="124">
        <v>46274.331458333334</v>
      </c>
      <c r="V46" s="124">
        <v>46274.962326388886</v>
      </c>
      <c r="W46" s="124">
        <v>46275.353761574072</v>
      </c>
      <c r="X46" s="124">
        <v>46275.957175925927</v>
      </c>
      <c r="Y46" s="178" t="s">
        <v>15</v>
      </c>
      <c r="Z46" s="178" t="s">
        <v>15</v>
      </c>
      <c r="AA46" s="124">
        <v>46277.33803240741</v>
      </c>
      <c r="AB46" s="124">
        <v>0</v>
      </c>
      <c r="AC46" s="124">
        <v>46278.333472222221</v>
      </c>
      <c r="AD46" s="124">
        <v>0</v>
      </c>
      <c r="AE46" s="124">
        <v>46279.33221064815</v>
      </c>
      <c r="AF46" s="124">
        <v>0</v>
      </c>
      <c r="AG46" s="124">
        <v>46280.334502314814</v>
      </c>
      <c r="AH46" s="124">
        <v>46280.949050925927</v>
      </c>
      <c r="AI46" s="105"/>
      <c r="AJ46" s="44">
        <v>28</v>
      </c>
      <c r="AK46" s="124">
        <v>46281.331238425926</v>
      </c>
      <c r="AL46" s="124">
        <v>0</v>
      </c>
      <c r="AM46" s="131">
        <v>46282.331331018519</v>
      </c>
      <c r="AN46" s="124">
        <v>0</v>
      </c>
      <c r="AO46" s="124">
        <v>46283.560231481482</v>
      </c>
      <c r="AP46" s="124">
        <v>0</v>
      </c>
      <c r="AQ46" s="124">
        <v>46284.33871527778</v>
      </c>
      <c r="AR46" s="124">
        <v>0</v>
      </c>
      <c r="AS46" s="124">
        <v>46285.337025462963</v>
      </c>
      <c r="AT46" s="124">
        <v>0</v>
      </c>
      <c r="AU46" s="124">
        <v>46286.331377314818</v>
      </c>
      <c r="AV46" s="124">
        <v>0</v>
      </c>
      <c r="AW46" s="124">
        <v>46287.3440625</v>
      </c>
      <c r="AX46" s="124">
        <v>0</v>
      </c>
      <c r="AY46" s="124">
        <v>46288.330636574072</v>
      </c>
      <c r="AZ46" s="124">
        <v>46288.941747685189</v>
      </c>
      <c r="BA46" s="124">
        <v>46289.340555555558</v>
      </c>
      <c r="BB46" s="124">
        <v>0</v>
      </c>
      <c r="BC46" s="229" t="s">
        <v>15</v>
      </c>
      <c r="BD46" s="229" t="s">
        <v>15</v>
      </c>
      <c r="BE46" s="124">
        <v>46291.331134259257</v>
      </c>
      <c r="BF46" s="124">
        <v>0</v>
      </c>
      <c r="BG46" s="124">
        <v>46292.340439814812</v>
      </c>
      <c r="BH46" s="124">
        <v>0</v>
      </c>
      <c r="BI46" s="124">
        <v>46293.330081018517</v>
      </c>
      <c r="BJ46" s="124">
        <v>0</v>
      </c>
      <c r="BK46" s="124">
        <v>46294.340879629628</v>
      </c>
      <c r="BL46" s="124">
        <v>0</v>
      </c>
      <c r="BM46" s="124">
        <v>46295.33965277778</v>
      </c>
      <c r="BN46" s="124">
        <v>0</v>
      </c>
      <c r="BO46" s="152">
        <v>46265.332905092589</v>
      </c>
      <c r="BP46" s="152">
        <v>0</v>
      </c>
      <c r="BQ46" s="96">
        <f t="shared" si="26"/>
        <v>30</v>
      </c>
      <c r="BR46" s="67">
        <v>2</v>
      </c>
      <c r="BS46" s="1">
        <f t="shared" si="27"/>
        <v>28</v>
      </c>
      <c r="BT46" s="2">
        <f t="shared" si="28"/>
        <v>2</v>
      </c>
      <c r="BU46" s="2">
        <f t="shared" si="29"/>
        <v>0</v>
      </c>
      <c r="BV46" s="2">
        <f t="shared" si="30"/>
        <v>0</v>
      </c>
      <c r="BW46" s="2">
        <f t="shared" si="31"/>
        <v>0</v>
      </c>
      <c r="BX46" s="2">
        <f t="shared" si="32"/>
        <v>0</v>
      </c>
      <c r="BY46" s="2">
        <f t="shared" si="33"/>
        <v>0</v>
      </c>
      <c r="BZ46" s="2">
        <f t="shared" si="34"/>
        <v>0</v>
      </c>
      <c r="CA46" s="2">
        <f t="shared" si="35"/>
        <v>0</v>
      </c>
      <c r="CB46" s="2">
        <f t="shared" si="36"/>
        <v>0</v>
      </c>
      <c r="CC46" s="2">
        <f t="shared" si="37"/>
        <v>0</v>
      </c>
      <c r="CD46" s="2">
        <f t="shared" si="38"/>
        <v>0</v>
      </c>
      <c r="CE46" s="3"/>
      <c r="CG46" s="113">
        <v>0</v>
      </c>
      <c r="CH46" s="114">
        <v>0</v>
      </c>
      <c r="CI46" s="114">
        <v>0</v>
      </c>
      <c r="CJ46" s="114">
        <v>0</v>
      </c>
      <c r="CK46" s="114">
        <v>0</v>
      </c>
      <c r="CL46" s="113">
        <v>1</v>
      </c>
      <c r="CM46" s="113">
        <v>0</v>
      </c>
      <c r="CN46" s="113">
        <v>3</v>
      </c>
      <c r="CO46" s="114">
        <v>0</v>
      </c>
      <c r="CP46" s="114">
        <v>0</v>
      </c>
      <c r="CQ46" s="116">
        <f t="shared" si="39"/>
        <v>4</v>
      </c>
    </row>
    <row r="47" spans="1:95" ht="21.75" customHeight="1" x14ac:dyDescent="0.25">
      <c r="A47" s="44">
        <v>29</v>
      </c>
      <c r="B47" s="11" t="s">
        <v>94</v>
      </c>
      <c r="C47" s="77" t="s">
        <v>95</v>
      </c>
      <c r="D47" s="87">
        <v>42262</v>
      </c>
      <c r="E47" s="124">
        <v>46266.33222222222</v>
      </c>
      <c r="F47" s="124">
        <v>46264.977731481478</v>
      </c>
      <c r="G47" s="124">
        <v>0</v>
      </c>
      <c r="H47" s="124">
        <v>0</v>
      </c>
      <c r="I47" s="124">
        <v>0</v>
      </c>
      <c r="J47" s="124">
        <v>0</v>
      </c>
      <c r="K47" s="124">
        <v>0</v>
      </c>
      <c r="L47" s="124">
        <v>0</v>
      </c>
      <c r="M47" s="124">
        <v>0</v>
      </c>
      <c r="N47" s="124">
        <v>0</v>
      </c>
      <c r="O47" s="124">
        <v>0</v>
      </c>
      <c r="P47" s="124">
        <v>0</v>
      </c>
      <c r="Q47" s="124">
        <v>0</v>
      </c>
      <c r="R47" s="124">
        <v>0</v>
      </c>
      <c r="S47" s="124">
        <v>0</v>
      </c>
      <c r="T47" s="124">
        <v>0</v>
      </c>
      <c r="U47" s="124">
        <v>0</v>
      </c>
      <c r="V47" s="124">
        <v>0</v>
      </c>
      <c r="W47" s="124">
        <v>46275.362210648149</v>
      </c>
      <c r="X47" s="124">
        <v>0</v>
      </c>
      <c r="Y47" s="124">
        <v>0</v>
      </c>
      <c r="Z47" s="124">
        <v>0</v>
      </c>
      <c r="AA47" s="124">
        <v>0</v>
      </c>
      <c r="AB47" s="124">
        <v>0</v>
      </c>
      <c r="AC47" s="124">
        <v>0</v>
      </c>
      <c r="AD47" s="124">
        <v>0</v>
      </c>
      <c r="AE47" s="124">
        <v>0</v>
      </c>
      <c r="AF47" s="124">
        <v>0</v>
      </c>
      <c r="AG47" s="124">
        <v>0</v>
      </c>
      <c r="AH47" s="124">
        <v>0</v>
      </c>
      <c r="AI47" s="110"/>
      <c r="AJ47" s="44">
        <v>29</v>
      </c>
      <c r="AK47" s="130">
        <v>0</v>
      </c>
      <c r="AL47" s="174">
        <v>0</v>
      </c>
      <c r="AM47" s="124">
        <v>0</v>
      </c>
      <c r="AN47" s="124">
        <v>0</v>
      </c>
      <c r="AO47" s="124">
        <v>0</v>
      </c>
      <c r="AP47" s="124">
        <v>0</v>
      </c>
      <c r="AQ47" s="124">
        <v>0</v>
      </c>
      <c r="AR47" s="124">
        <v>0</v>
      </c>
      <c r="AS47" s="124">
        <v>0</v>
      </c>
      <c r="AT47" s="124">
        <v>0</v>
      </c>
      <c r="AU47" s="124">
        <v>46286.334398148145</v>
      </c>
      <c r="AV47" s="124">
        <v>0</v>
      </c>
      <c r="AW47" s="124">
        <v>0</v>
      </c>
      <c r="AX47" s="124">
        <v>0</v>
      </c>
      <c r="AY47" s="124">
        <v>0</v>
      </c>
      <c r="AZ47" s="124">
        <v>0</v>
      </c>
      <c r="BA47" s="124">
        <v>0</v>
      </c>
      <c r="BB47" s="124">
        <v>0</v>
      </c>
      <c r="BC47" s="124">
        <v>0</v>
      </c>
      <c r="BD47" s="124">
        <v>0</v>
      </c>
      <c r="BE47" s="124">
        <v>0</v>
      </c>
      <c r="BF47" s="124">
        <v>0</v>
      </c>
      <c r="BG47" s="124">
        <v>0</v>
      </c>
      <c r="BH47" s="124">
        <v>0</v>
      </c>
      <c r="BI47" s="124">
        <v>0</v>
      </c>
      <c r="BJ47" s="124">
        <v>0</v>
      </c>
      <c r="BK47" s="124">
        <v>0</v>
      </c>
      <c r="BL47" s="124">
        <v>0</v>
      </c>
      <c r="BM47" s="124">
        <v>0</v>
      </c>
      <c r="BN47" s="124">
        <v>0</v>
      </c>
      <c r="BO47" s="152">
        <v>0</v>
      </c>
      <c r="BP47" s="152">
        <v>0</v>
      </c>
      <c r="BQ47" s="96">
        <f t="shared" si="26"/>
        <v>30</v>
      </c>
      <c r="BR47" s="67">
        <v>4</v>
      </c>
      <c r="BS47" s="1">
        <f t="shared" si="27"/>
        <v>30</v>
      </c>
      <c r="BT47" s="2">
        <f t="shared" si="28"/>
        <v>0</v>
      </c>
      <c r="BU47" s="2">
        <f t="shared" si="29"/>
        <v>0</v>
      </c>
      <c r="BV47" s="2">
        <f t="shared" si="30"/>
        <v>0</v>
      </c>
      <c r="BW47" s="2">
        <f t="shared" si="31"/>
        <v>0</v>
      </c>
      <c r="BX47" s="2">
        <f t="shared" si="32"/>
        <v>0</v>
      </c>
      <c r="BY47" s="2">
        <f t="shared" si="33"/>
        <v>0</v>
      </c>
      <c r="BZ47" s="2">
        <f t="shared" si="34"/>
        <v>0</v>
      </c>
      <c r="CA47" s="2">
        <f t="shared" si="35"/>
        <v>0</v>
      </c>
      <c r="CB47" s="2">
        <f t="shared" si="36"/>
        <v>0</v>
      </c>
      <c r="CC47" s="2">
        <f t="shared" si="37"/>
        <v>0</v>
      </c>
      <c r="CD47" s="2">
        <f t="shared" si="38"/>
        <v>0</v>
      </c>
      <c r="CE47" s="3"/>
      <c r="CG47" s="54">
        <v>0</v>
      </c>
      <c r="CH47" s="53">
        <v>0</v>
      </c>
      <c r="CI47" s="54">
        <v>14</v>
      </c>
      <c r="CJ47" s="53">
        <v>0</v>
      </c>
      <c r="CK47" s="53">
        <v>0</v>
      </c>
      <c r="CL47" s="54">
        <v>1</v>
      </c>
      <c r="CM47" s="54">
        <v>0</v>
      </c>
      <c r="CN47" s="53">
        <v>0</v>
      </c>
      <c r="CO47" s="53">
        <v>0</v>
      </c>
      <c r="CP47" s="53">
        <v>0</v>
      </c>
      <c r="CQ47" s="117">
        <f t="shared" si="39"/>
        <v>15</v>
      </c>
    </row>
    <row r="48" spans="1:95" ht="21.75" customHeight="1" x14ac:dyDescent="0.25">
      <c r="A48" s="44">
        <v>30</v>
      </c>
      <c r="B48" s="11" t="s">
        <v>244</v>
      </c>
      <c r="C48" s="77" t="s">
        <v>98</v>
      </c>
      <c r="D48" s="87"/>
      <c r="E48" s="124">
        <v>46266.351145833331</v>
      </c>
      <c r="F48" s="124">
        <v>46264.859305555554</v>
      </c>
      <c r="G48" s="124">
        <v>46267.350613425922</v>
      </c>
      <c r="H48" s="124">
        <v>46267.979016203702</v>
      </c>
      <c r="I48" s="124">
        <v>46268.352233796293</v>
      </c>
      <c r="J48" s="124">
        <v>46268.938402777778</v>
      </c>
      <c r="K48" s="178" t="s">
        <v>15</v>
      </c>
      <c r="L48" s="178" t="s">
        <v>15</v>
      </c>
      <c r="M48" s="124">
        <v>46270.352847222224</v>
      </c>
      <c r="N48" s="124">
        <v>46270.940451388888</v>
      </c>
      <c r="O48" s="124">
        <v>46271.352523148147</v>
      </c>
      <c r="P48" s="124">
        <v>46271.938587962963</v>
      </c>
      <c r="Q48" s="124">
        <v>46272.351643518516</v>
      </c>
      <c r="R48" s="124">
        <v>46272.921979166669</v>
      </c>
      <c r="S48" s="124">
        <v>46273.353391203702</v>
      </c>
      <c r="T48" s="124">
        <v>46273.93540509259</v>
      </c>
      <c r="U48" s="124">
        <v>46274.352060185185</v>
      </c>
      <c r="V48" s="124">
        <v>46274.950636574074</v>
      </c>
      <c r="W48" s="124">
        <v>46275.351550925923</v>
      </c>
      <c r="X48" s="124">
        <v>46275.958796296298</v>
      </c>
      <c r="Y48" s="124">
        <v>46276.583402777775</v>
      </c>
      <c r="Z48" s="124">
        <v>0</v>
      </c>
      <c r="AA48" s="124">
        <v>46277.350428240738</v>
      </c>
      <c r="AB48" s="124">
        <v>46277.983900462961</v>
      </c>
      <c r="AC48" s="124">
        <v>46278.352523148147</v>
      </c>
      <c r="AD48" s="124">
        <v>46278.918935185182</v>
      </c>
      <c r="AE48" s="124">
        <v>46279.350254629629</v>
      </c>
      <c r="AF48" s="124">
        <v>46279.915092592593</v>
      </c>
      <c r="AG48" s="124">
        <v>46280.351446759261</v>
      </c>
      <c r="AH48" s="124">
        <v>46280.912997685184</v>
      </c>
      <c r="AI48" s="110"/>
      <c r="AJ48" s="44">
        <v>30</v>
      </c>
      <c r="AK48" s="124">
        <v>46281.351481481484</v>
      </c>
      <c r="AL48" s="124">
        <v>46281.926539351851</v>
      </c>
      <c r="AM48" s="124">
        <v>46282.352002314816</v>
      </c>
      <c r="AN48" s="124">
        <v>46282.939259259256</v>
      </c>
      <c r="AO48" s="229" t="s">
        <v>15</v>
      </c>
      <c r="AP48" s="229" t="s">
        <v>15</v>
      </c>
      <c r="AQ48" s="124">
        <v>46284.351666666669</v>
      </c>
      <c r="AR48" s="124">
        <v>46284.971296296295</v>
      </c>
      <c r="AS48" s="124">
        <v>46285.347280092596</v>
      </c>
      <c r="AT48" s="124">
        <v>46285.918020833335</v>
      </c>
      <c r="AU48" s="124">
        <v>46286.349270833336</v>
      </c>
      <c r="AV48" s="124">
        <v>46286.921550925923</v>
      </c>
      <c r="AW48" s="124">
        <v>46287.353726851848</v>
      </c>
      <c r="AX48" s="124">
        <v>46287.908032407409</v>
      </c>
      <c r="AY48" s="124">
        <v>46288.352071759262</v>
      </c>
      <c r="AZ48" s="124">
        <v>46288.937094907407</v>
      </c>
      <c r="BA48" s="124">
        <v>46289.349085648151</v>
      </c>
      <c r="BB48" s="124">
        <v>46289.938668981478</v>
      </c>
      <c r="BC48" s="124">
        <v>46290.579293981478</v>
      </c>
      <c r="BD48" s="124">
        <v>46290.896319444444</v>
      </c>
      <c r="BE48" s="124">
        <v>46291.351122685184</v>
      </c>
      <c r="BF48" s="124">
        <v>46291.950104166666</v>
      </c>
      <c r="BG48" s="124">
        <v>46292.352500000001</v>
      </c>
      <c r="BH48" s="124">
        <v>46292.925254629627</v>
      </c>
      <c r="BI48" s="124">
        <v>46293.350810185184</v>
      </c>
      <c r="BJ48" s="124">
        <v>46293.917314814818</v>
      </c>
      <c r="BK48" s="124">
        <v>46294.349745370368</v>
      </c>
      <c r="BL48" s="124">
        <v>46294.917974537035</v>
      </c>
      <c r="BM48" s="124">
        <v>46295.351458333331</v>
      </c>
      <c r="BN48" s="124">
        <v>46295.920023148145</v>
      </c>
      <c r="BO48" s="152">
        <v>46265.352523148147</v>
      </c>
      <c r="BP48" s="152">
        <v>46265.915231481478</v>
      </c>
      <c r="BQ48" s="96">
        <f>BS48+BT48+BV48+CA48+BY48+BZ48+CD48+BU48</f>
        <v>30</v>
      </c>
      <c r="BR48" s="67">
        <v>2</v>
      </c>
      <c r="BS48" s="1">
        <f t="shared" si="27"/>
        <v>28</v>
      </c>
      <c r="BT48" s="2">
        <f>COUNTIF(E48:BN48,"OFF")/2</f>
        <v>2</v>
      </c>
      <c r="BU48" s="2">
        <f>COUNTIF(E48:BN48,"MC")/2</f>
        <v>0</v>
      </c>
      <c r="BV48" s="2">
        <f>COUNTIF(E48:BN48,"EL")/2</f>
        <v>0</v>
      </c>
      <c r="BW48" s="2">
        <f>COUNTIF(E48:BN48,"AL")/2</f>
        <v>0</v>
      </c>
      <c r="BX48" s="2">
        <f>COUNTIF(E48:BN48,"SUS")/2</f>
        <v>0</v>
      </c>
      <c r="BY48" s="2">
        <f>COUNTIF(E48:BN48,"FL")/2</f>
        <v>0</v>
      </c>
      <c r="BZ48" s="2">
        <f>COUNTIF(E48:BN48,"SICK")/2</f>
        <v>0</v>
      </c>
      <c r="CA48" s="2">
        <f>COUNTIF(E48:BN48,"HD")/2</f>
        <v>0</v>
      </c>
      <c r="CB48" s="2">
        <f>COUNTIF(E48:BN48,"AB")/2</f>
        <v>0</v>
      </c>
      <c r="CC48" s="2">
        <f>COUNTIF(E48:BN48,"NL")/2</f>
        <v>0</v>
      </c>
      <c r="CD48" s="2">
        <f>COUNTIF(E48:BN48,"SP")/2</f>
        <v>0</v>
      </c>
      <c r="CE48" s="3"/>
      <c r="CG48" s="54"/>
      <c r="CH48" s="53"/>
      <c r="CI48" s="53"/>
      <c r="CJ48" s="53"/>
      <c r="CK48" s="53"/>
      <c r="CL48" s="54"/>
      <c r="CM48" s="54"/>
      <c r="CN48" s="53"/>
      <c r="CO48" s="53"/>
      <c r="CP48" s="53"/>
      <c r="CQ48" s="117"/>
    </row>
    <row r="49" spans="1:95" ht="21.75" customHeight="1" x14ac:dyDescent="0.25">
      <c r="A49" s="44">
        <v>31</v>
      </c>
      <c r="B49" s="44" t="s">
        <v>99</v>
      </c>
      <c r="C49" s="77" t="s">
        <v>100</v>
      </c>
      <c r="D49" s="87">
        <v>44920</v>
      </c>
      <c r="E49" s="124">
        <v>46266.352743055555</v>
      </c>
      <c r="F49" s="124">
        <v>46264.94090277778</v>
      </c>
      <c r="G49" s="124">
        <v>46267.352916666663</v>
      </c>
      <c r="H49" s="124">
        <v>46267.981921296298</v>
      </c>
      <c r="I49" s="124">
        <v>46268.354895833334</v>
      </c>
      <c r="J49" s="124">
        <v>46268.966296296298</v>
      </c>
      <c r="K49" s="124">
        <v>46269.580335648148</v>
      </c>
      <c r="L49" s="124">
        <v>46269.934166666666</v>
      </c>
      <c r="M49" s="124">
        <v>46270.329224537039</v>
      </c>
      <c r="N49" s="124">
        <v>46270.938807870371</v>
      </c>
      <c r="O49" s="124">
        <v>46271.329629629632</v>
      </c>
      <c r="P49" s="124">
        <v>46271.937835648147</v>
      </c>
      <c r="Q49" s="124">
        <v>46272.329942129632</v>
      </c>
      <c r="R49" s="124">
        <v>46272.939976851849</v>
      </c>
      <c r="S49" s="124">
        <v>46273.330393518518</v>
      </c>
      <c r="T49" s="124">
        <v>46273.942164351851</v>
      </c>
      <c r="U49" s="124">
        <v>46274.330300925925</v>
      </c>
      <c r="V49" s="124">
        <v>46274.942118055558</v>
      </c>
      <c r="W49" s="124">
        <v>46275.33185185185</v>
      </c>
      <c r="X49" s="124">
        <v>46275.961354166669</v>
      </c>
      <c r="Y49" s="178" t="s">
        <v>15</v>
      </c>
      <c r="Z49" s="178" t="s">
        <v>15</v>
      </c>
      <c r="AA49" s="124">
        <v>46277.351053240738</v>
      </c>
      <c r="AB49" s="124">
        <v>46277.981516203705</v>
      </c>
      <c r="AC49" s="124">
        <v>46278.352847222224</v>
      </c>
      <c r="AD49" s="124">
        <v>46278.959872685184</v>
      </c>
      <c r="AE49" s="124">
        <v>46279.350601851853</v>
      </c>
      <c r="AF49" s="124">
        <v>46279.959247685183</v>
      </c>
      <c r="AG49" s="124">
        <v>46280.3512962963</v>
      </c>
      <c r="AH49" s="124">
        <v>46280.938761574071</v>
      </c>
      <c r="AI49" s="105"/>
      <c r="AJ49" s="44">
        <v>31</v>
      </c>
      <c r="AK49" s="124">
        <v>46281.35229166667</v>
      </c>
      <c r="AL49" s="124">
        <v>46281.970983796295</v>
      </c>
      <c r="AM49" s="124">
        <v>46282.352905092594</v>
      </c>
      <c r="AN49" s="124">
        <v>46282.960439814815</v>
      </c>
      <c r="AO49" s="124">
        <v>46283.577499999999</v>
      </c>
      <c r="AP49" s="124">
        <v>46283.924560185187</v>
      </c>
      <c r="AQ49" s="124">
        <v>46284.352500000001</v>
      </c>
      <c r="AR49" s="124">
        <v>46284.974606481483</v>
      </c>
      <c r="AS49" s="124">
        <v>46285.351400462961</v>
      </c>
      <c r="AT49" s="124">
        <v>46285.960509259261</v>
      </c>
      <c r="AU49" s="124">
        <v>46286.352407407408</v>
      </c>
      <c r="AV49" s="124">
        <v>46286.959710648145</v>
      </c>
      <c r="AW49" s="124">
        <v>46287.353680555556</v>
      </c>
      <c r="AX49" s="124">
        <v>46287.980520833335</v>
      </c>
      <c r="AY49" s="124">
        <v>46288.352129629631</v>
      </c>
      <c r="AZ49" s="124">
        <v>46288.956203703703</v>
      </c>
      <c r="BA49" s="124">
        <v>46289.350671296299</v>
      </c>
      <c r="BB49" s="124">
        <v>46289.959699074076</v>
      </c>
      <c r="BC49" s="229" t="s">
        <v>15</v>
      </c>
      <c r="BD49" s="229" t="s">
        <v>15</v>
      </c>
      <c r="BE49" s="124">
        <v>46291.352719907409</v>
      </c>
      <c r="BF49" s="124">
        <v>46291.940625000003</v>
      </c>
      <c r="BG49" s="124">
        <v>46292.353587962964</v>
      </c>
      <c r="BH49" s="124">
        <v>46292.958506944444</v>
      </c>
      <c r="BI49" s="124">
        <v>46293.352731481478</v>
      </c>
      <c r="BJ49" s="124">
        <v>46293.940069444441</v>
      </c>
      <c r="BK49" s="124">
        <v>46294.351782407408</v>
      </c>
      <c r="BL49" s="124">
        <v>46294.941041666665</v>
      </c>
      <c r="BM49" s="124">
        <v>46295.351400462961</v>
      </c>
      <c r="BN49" s="124">
        <v>46295.959317129629</v>
      </c>
      <c r="BO49" s="152">
        <v>46265.354444444441</v>
      </c>
      <c r="BP49" s="152">
        <v>46265.943032407406</v>
      </c>
      <c r="BQ49" s="96">
        <f t="shared" si="26"/>
        <v>30</v>
      </c>
      <c r="BR49" s="67">
        <v>2</v>
      </c>
      <c r="BS49" s="1">
        <f t="shared" si="27"/>
        <v>28</v>
      </c>
      <c r="BT49" s="2">
        <f t="shared" si="28"/>
        <v>2</v>
      </c>
      <c r="BU49" s="2">
        <f t="shared" si="29"/>
        <v>0</v>
      </c>
      <c r="BV49" s="2">
        <f t="shared" si="30"/>
        <v>0</v>
      </c>
      <c r="BW49" s="2">
        <f t="shared" si="31"/>
        <v>0</v>
      </c>
      <c r="BX49" s="2">
        <f t="shared" si="32"/>
        <v>0</v>
      </c>
      <c r="BY49" s="2">
        <f t="shared" si="33"/>
        <v>0</v>
      </c>
      <c r="BZ49" s="2">
        <f t="shared" si="34"/>
        <v>0</v>
      </c>
      <c r="CA49" s="2">
        <f t="shared" si="35"/>
        <v>0</v>
      </c>
      <c r="CB49" s="2">
        <f t="shared" si="36"/>
        <v>0</v>
      </c>
      <c r="CC49" s="2">
        <f t="shared" si="37"/>
        <v>0</v>
      </c>
      <c r="CD49" s="2">
        <f t="shared" si="38"/>
        <v>0</v>
      </c>
      <c r="CE49" s="3"/>
      <c r="CG49" s="113">
        <v>0</v>
      </c>
      <c r="CH49" s="114">
        <v>0</v>
      </c>
      <c r="CI49" s="114">
        <v>0</v>
      </c>
      <c r="CJ49" s="113">
        <v>8</v>
      </c>
      <c r="CK49" s="114">
        <v>0</v>
      </c>
      <c r="CL49" s="113">
        <v>3</v>
      </c>
      <c r="CM49" s="113">
        <v>0</v>
      </c>
      <c r="CN49" s="113">
        <v>4</v>
      </c>
      <c r="CO49" s="114">
        <v>0</v>
      </c>
      <c r="CP49" s="114">
        <v>0</v>
      </c>
      <c r="CQ49" s="116">
        <f t="shared" ref="CQ49:CQ81" si="40">SUM(CG49:CP49)</f>
        <v>15</v>
      </c>
    </row>
    <row r="50" spans="1:95" ht="24" customHeight="1" x14ac:dyDescent="0.25">
      <c r="A50" s="44">
        <v>32</v>
      </c>
      <c r="B50" s="11" t="s">
        <v>96</v>
      </c>
      <c r="C50" s="77" t="s">
        <v>97</v>
      </c>
      <c r="D50" s="87">
        <v>44485</v>
      </c>
      <c r="E50" s="125" t="s">
        <v>18</v>
      </c>
      <c r="F50" s="125" t="s">
        <v>18</v>
      </c>
      <c r="G50" s="125" t="s">
        <v>18</v>
      </c>
      <c r="H50" s="125" t="s">
        <v>18</v>
      </c>
      <c r="I50" s="125" t="s">
        <v>18</v>
      </c>
      <c r="J50" s="125" t="s">
        <v>18</v>
      </c>
      <c r="K50" s="125" t="s">
        <v>18</v>
      </c>
      <c r="L50" s="125" t="s">
        <v>18</v>
      </c>
      <c r="M50" s="125" t="s">
        <v>18</v>
      </c>
      <c r="N50" s="125" t="s">
        <v>18</v>
      </c>
      <c r="O50" s="125" t="s">
        <v>18</v>
      </c>
      <c r="P50" s="125" t="s">
        <v>18</v>
      </c>
      <c r="Q50" s="125" t="s">
        <v>18</v>
      </c>
      <c r="R50" s="125" t="s">
        <v>18</v>
      </c>
      <c r="S50" s="125" t="s">
        <v>18</v>
      </c>
      <c r="T50" s="125" t="s">
        <v>18</v>
      </c>
      <c r="U50" s="125" t="s">
        <v>18</v>
      </c>
      <c r="V50" s="125" t="s">
        <v>18</v>
      </c>
      <c r="W50" s="125" t="s">
        <v>18</v>
      </c>
      <c r="X50" s="125" t="s">
        <v>18</v>
      </c>
      <c r="Y50" s="125" t="s">
        <v>18</v>
      </c>
      <c r="Z50" s="125" t="s">
        <v>18</v>
      </c>
      <c r="AA50" s="125" t="s">
        <v>18</v>
      </c>
      <c r="AB50" s="125" t="s">
        <v>18</v>
      </c>
      <c r="AC50" s="125" t="s">
        <v>18</v>
      </c>
      <c r="AD50" s="125" t="s">
        <v>18</v>
      </c>
      <c r="AE50" s="125" t="s">
        <v>18</v>
      </c>
      <c r="AF50" s="125" t="s">
        <v>18</v>
      </c>
      <c r="AG50" s="125" t="s">
        <v>18</v>
      </c>
      <c r="AH50" s="125" t="s">
        <v>18</v>
      </c>
      <c r="AI50" s="104"/>
      <c r="AJ50" s="44">
        <v>32</v>
      </c>
      <c r="AK50" s="125" t="s">
        <v>18</v>
      </c>
      <c r="AL50" s="125" t="s">
        <v>18</v>
      </c>
      <c r="AM50" s="125" t="s">
        <v>18</v>
      </c>
      <c r="AN50" s="125" t="s">
        <v>18</v>
      </c>
      <c r="AO50" s="125" t="s">
        <v>18</v>
      </c>
      <c r="AP50" s="125" t="s">
        <v>18</v>
      </c>
      <c r="AQ50" s="125" t="s">
        <v>18</v>
      </c>
      <c r="AR50" s="125" t="s">
        <v>18</v>
      </c>
      <c r="AS50" s="125" t="s">
        <v>18</v>
      </c>
      <c r="AT50" s="125" t="s">
        <v>18</v>
      </c>
      <c r="AU50" s="125" t="s">
        <v>18</v>
      </c>
      <c r="AV50" s="125" t="s">
        <v>18</v>
      </c>
      <c r="AW50" s="125" t="s">
        <v>18</v>
      </c>
      <c r="AX50" s="125" t="s">
        <v>18</v>
      </c>
      <c r="AY50" s="125" t="s">
        <v>18</v>
      </c>
      <c r="AZ50" s="125" t="s">
        <v>18</v>
      </c>
      <c r="BA50" s="125" t="s">
        <v>18</v>
      </c>
      <c r="BB50" s="125" t="s">
        <v>18</v>
      </c>
      <c r="BC50" s="232">
        <v>46290.584560185183</v>
      </c>
      <c r="BD50" s="232">
        <v>46290.945104166669</v>
      </c>
      <c r="BE50" s="232">
        <v>0.35138888888888892</v>
      </c>
      <c r="BF50" s="232">
        <v>46291.96471064815</v>
      </c>
      <c r="BG50" s="232">
        <v>46292.35355324074</v>
      </c>
      <c r="BH50" s="232">
        <v>46292.955277777779</v>
      </c>
      <c r="BI50" s="232">
        <v>46293.353009259263</v>
      </c>
      <c r="BJ50" s="232">
        <v>46293.939467592594</v>
      </c>
      <c r="BK50" s="232">
        <v>46294.3515162037</v>
      </c>
      <c r="BL50" s="232">
        <v>46294.939259259256</v>
      </c>
      <c r="BM50" s="232">
        <v>46295.353530092594</v>
      </c>
      <c r="BN50" s="232">
        <v>46295.943182870367</v>
      </c>
      <c r="BO50" s="122"/>
      <c r="BP50" s="122"/>
      <c r="BQ50" s="9">
        <v>6</v>
      </c>
      <c r="BR50" s="67">
        <v>1</v>
      </c>
      <c r="BS50" s="1">
        <f t="shared" si="27"/>
        <v>6</v>
      </c>
      <c r="BT50" s="2">
        <f>COUNTIF(E50:BN50,"OFF")/2</f>
        <v>0</v>
      </c>
      <c r="BU50" s="2">
        <f>COUNTIF(E50:BN50,"MC")/2</f>
        <v>0</v>
      </c>
      <c r="BV50" s="2">
        <f>COUNTIF(E50:BN50,"EL")/2</f>
        <v>0</v>
      </c>
      <c r="BW50" s="2">
        <f>COUNTIF(E50:BN50,"AL")/2</f>
        <v>24</v>
      </c>
      <c r="BX50" s="2">
        <f>COUNTIF(E50:BN50,"SUS")/2</f>
        <v>0</v>
      </c>
      <c r="BY50" s="2">
        <f>COUNTIF(E50:BN50,"FL")/2</f>
        <v>0</v>
      </c>
      <c r="BZ50" s="2">
        <f>COUNTIF(E50:BN50,"SICK")/2</f>
        <v>0</v>
      </c>
      <c r="CA50" s="2">
        <f>COUNTIF(E50:BN50,"HD")/2</f>
        <v>0</v>
      </c>
      <c r="CB50" s="2">
        <f>COUNTIF(E50:BN50,"AB")/2</f>
        <v>0</v>
      </c>
      <c r="CC50" s="2">
        <f>COUNTIF(E50:BN50,"NL")/2</f>
        <v>0</v>
      </c>
      <c r="CD50" s="2">
        <f>COUNTIF(E50:BN50,"SP")/2</f>
        <v>0</v>
      </c>
      <c r="CE50" s="3"/>
      <c r="CG50" s="53">
        <v>0</v>
      </c>
      <c r="CH50" s="53">
        <v>0</v>
      </c>
      <c r="CI50" s="53">
        <v>0</v>
      </c>
      <c r="CJ50" s="53">
        <v>0</v>
      </c>
      <c r="CK50" s="53">
        <v>0</v>
      </c>
      <c r="CL50" s="53">
        <v>0</v>
      </c>
      <c r="CM50" s="54">
        <v>0</v>
      </c>
      <c r="CN50" s="54">
        <v>0</v>
      </c>
      <c r="CO50" s="53">
        <v>0</v>
      </c>
      <c r="CP50" s="53">
        <v>0</v>
      </c>
      <c r="CQ50" s="55">
        <f>SUM(CG50:CP50)</f>
        <v>0</v>
      </c>
    </row>
    <row r="51" spans="1:95" ht="21.75" customHeight="1" x14ac:dyDescent="0.25">
      <c r="A51" s="44">
        <v>33</v>
      </c>
      <c r="B51" s="11" t="s">
        <v>101</v>
      </c>
      <c r="C51" s="77" t="s">
        <v>102</v>
      </c>
      <c r="D51" s="87">
        <v>44641</v>
      </c>
      <c r="E51" s="124">
        <v>46266.351956018516</v>
      </c>
      <c r="F51" s="124">
        <v>46264.95511574074</v>
      </c>
      <c r="G51" s="124">
        <v>0</v>
      </c>
      <c r="H51" s="124">
        <v>0</v>
      </c>
      <c r="I51" s="124">
        <v>46268.35328703704</v>
      </c>
      <c r="J51" s="124">
        <v>46268.965381944443</v>
      </c>
      <c r="K51" s="124">
        <v>46269.579016203701</v>
      </c>
      <c r="L51" s="124">
        <v>46269.981828703705</v>
      </c>
      <c r="M51" s="124">
        <v>46270.352997685186</v>
      </c>
      <c r="N51" s="124">
        <v>46270.974803240744</v>
      </c>
      <c r="O51" s="124">
        <v>46271.352962962963</v>
      </c>
      <c r="P51" s="124">
        <v>46271.939513888887</v>
      </c>
      <c r="Q51" s="124">
        <v>46272.352268518516</v>
      </c>
      <c r="R51" s="124">
        <v>46272.940682870372</v>
      </c>
      <c r="S51" s="124">
        <v>46273.352002314816</v>
      </c>
      <c r="T51" s="124">
        <v>46273.95716435185</v>
      </c>
      <c r="U51" s="124">
        <v>46274.351574074077</v>
      </c>
      <c r="V51" s="124">
        <v>46274.959548611114</v>
      </c>
      <c r="W51" s="124">
        <v>46275.353958333333</v>
      </c>
      <c r="X51" s="124">
        <v>46275.982175925928</v>
      </c>
      <c r="Y51" s="178" t="s">
        <v>15</v>
      </c>
      <c r="Z51" s="178" t="s">
        <v>15</v>
      </c>
      <c r="AA51" s="124">
        <v>46277.353680555556</v>
      </c>
      <c r="AB51" s="124">
        <v>46277.981747685182</v>
      </c>
      <c r="AC51" s="124">
        <v>46278.345729166664</v>
      </c>
      <c r="AD51" s="124">
        <v>46278.955034722225</v>
      </c>
      <c r="AE51" s="124">
        <v>46279.352407407408</v>
      </c>
      <c r="AF51" s="124">
        <v>46279.946481481478</v>
      </c>
      <c r="AG51" s="124">
        <v>46280.35460648148</v>
      </c>
      <c r="AH51" s="124">
        <v>46280.934490740743</v>
      </c>
      <c r="AI51" s="110"/>
      <c r="AJ51" s="44">
        <v>33</v>
      </c>
      <c r="AK51" s="124">
        <v>46281.349722222221</v>
      </c>
      <c r="AL51" s="124">
        <v>46281.968842592592</v>
      </c>
      <c r="AM51" s="124">
        <v>46282.353634259256</v>
      </c>
      <c r="AN51" s="124">
        <v>46282.975324074076</v>
      </c>
      <c r="AO51" s="124">
        <v>46283.579965277779</v>
      </c>
      <c r="AP51" s="124">
        <v>46283.940324074072</v>
      </c>
      <c r="AQ51" s="124">
        <v>46284.351620370369</v>
      </c>
      <c r="AR51" s="124">
        <v>46284.968900462962</v>
      </c>
      <c r="AS51" s="124">
        <v>46285.3515625</v>
      </c>
      <c r="AT51" s="124">
        <v>46285.960844907408</v>
      </c>
      <c r="AU51" s="124">
        <v>46286.344699074078</v>
      </c>
      <c r="AV51" s="124">
        <v>46286.94840277778</v>
      </c>
      <c r="AW51" s="124">
        <v>46287.352164351854</v>
      </c>
      <c r="AX51" s="124">
        <v>46287.981261574074</v>
      </c>
      <c r="AY51" s="124">
        <v>46288.354085648149</v>
      </c>
      <c r="AZ51" s="124">
        <v>46288.950821759259</v>
      </c>
      <c r="BA51" s="124">
        <v>46289.352256944447</v>
      </c>
      <c r="BB51" s="124">
        <v>46289.977719907409</v>
      </c>
      <c r="BC51" s="229" t="s">
        <v>15</v>
      </c>
      <c r="BD51" s="229" t="s">
        <v>15</v>
      </c>
      <c r="BE51" s="124">
        <v>46291.351377314815</v>
      </c>
      <c r="BF51" s="124">
        <v>46291.940509259257</v>
      </c>
      <c r="BG51" s="124">
        <v>46292.353506944448</v>
      </c>
      <c r="BH51" s="124">
        <v>46292.968761574077</v>
      </c>
      <c r="BI51" s="124">
        <v>46293.355173611111</v>
      </c>
      <c r="BJ51" s="124">
        <v>46293.940150462964</v>
      </c>
      <c r="BK51" s="124">
        <v>46294.351006944446</v>
      </c>
      <c r="BL51" s="124">
        <v>46294.938657407409</v>
      </c>
      <c r="BM51" s="124">
        <v>46295.351759259262</v>
      </c>
      <c r="BN51" s="124">
        <v>46295.984120370369</v>
      </c>
      <c r="BO51" s="152">
        <v>46265.345416666663</v>
      </c>
      <c r="BP51" s="152">
        <v>46265.942118055558</v>
      </c>
      <c r="BQ51" s="96">
        <f t="shared" si="26"/>
        <v>30</v>
      </c>
      <c r="BR51" s="67">
        <v>2</v>
      </c>
      <c r="BS51" s="1">
        <f t="shared" si="27"/>
        <v>28</v>
      </c>
      <c r="BT51" s="2">
        <f t="shared" si="28"/>
        <v>2</v>
      </c>
      <c r="BU51" s="2">
        <f t="shared" si="29"/>
        <v>0</v>
      </c>
      <c r="BV51" s="2">
        <f t="shared" si="30"/>
        <v>0</v>
      </c>
      <c r="BW51" s="2">
        <f t="shared" si="31"/>
        <v>0</v>
      </c>
      <c r="BX51" s="2">
        <f t="shared" si="32"/>
        <v>0</v>
      </c>
      <c r="BY51" s="2">
        <f t="shared" si="33"/>
        <v>0</v>
      </c>
      <c r="BZ51" s="2">
        <f t="shared" si="34"/>
        <v>0</v>
      </c>
      <c r="CA51" s="2">
        <f t="shared" si="35"/>
        <v>0</v>
      </c>
      <c r="CB51" s="2">
        <f t="shared" si="36"/>
        <v>0</v>
      </c>
      <c r="CC51" s="2">
        <f t="shared" si="37"/>
        <v>0</v>
      </c>
      <c r="CD51" s="2">
        <f t="shared" si="38"/>
        <v>0</v>
      </c>
      <c r="CE51" s="3"/>
      <c r="CG51" s="54">
        <v>0</v>
      </c>
      <c r="CH51" s="53">
        <v>0</v>
      </c>
      <c r="CI51" s="53">
        <v>0</v>
      </c>
      <c r="CJ51" s="53">
        <v>0</v>
      </c>
      <c r="CK51" s="53">
        <v>0</v>
      </c>
      <c r="CL51" s="54">
        <v>1</v>
      </c>
      <c r="CM51" s="54">
        <v>0</v>
      </c>
      <c r="CN51" s="54">
        <v>0</v>
      </c>
      <c r="CO51" s="53">
        <v>0</v>
      </c>
      <c r="CP51" s="53">
        <v>0</v>
      </c>
      <c r="CQ51" s="117">
        <f t="shared" si="40"/>
        <v>1</v>
      </c>
    </row>
    <row r="52" spans="1:95" ht="21.75" customHeight="1" x14ac:dyDescent="0.25">
      <c r="A52" s="44">
        <v>34</v>
      </c>
      <c r="B52" s="11" t="s">
        <v>103</v>
      </c>
      <c r="C52" s="77" t="s">
        <v>104</v>
      </c>
      <c r="D52" s="87">
        <v>45283</v>
      </c>
      <c r="E52" s="124">
        <v>46266.353067129632</v>
      </c>
      <c r="F52" s="124">
        <v>46264.959930555553</v>
      </c>
      <c r="G52" s="124">
        <v>46267.352465277778</v>
      </c>
      <c r="H52" s="124">
        <v>46267.982187499998</v>
      </c>
      <c r="I52" s="124">
        <v>46268.355370370373</v>
      </c>
      <c r="J52" s="124">
        <v>46268.959155092591</v>
      </c>
      <c r="K52" s="124">
        <v>46269.578773148147</v>
      </c>
      <c r="L52" s="124">
        <v>46269.981932870367</v>
      </c>
      <c r="M52" s="124">
        <v>46270.355000000003</v>
      </c>
      <c r="N52" s="124">
        <v>46270.975682870368</v>
      </c>
      <c r="O52" s="124">
        <v>46271.355254629627</v>
      </c>
      <c r="P52" s="124">
        <v>46271.933344907404</v>
      </c>
      <c r="Q52" s="124">
        <v>46272.355451388888</v>
      </c>
      <c r="R52" s="124">
        <v>0</v>
      </c>
      <c r="S52" s="124">
        <v>46273.354050925926</v>
      </c>
      <c r="T52" s="124">
        <v>46273.956932870373</v>
      </c>
      <c r="U52" s="124">
        <v>46274.349374999998</v>
      </c>
      <c r="V52" s="124">
        <v>46274.961354166669</v>
      </c>
      <c r="W52" s="124">
        <v>46275.354270833333</v>
      </c>
      <c r="X52" s="124">
        <v>46275.925312500003</v>
      </c>
      <c r="Y52" s="178" t="s">
        <v>15</v>
      </c>
      <c r="Z52" s="178" t="s">
        <v>15</v>
      </c>
      <c r="AA52" s="124">
        <v>46277.337557870371</v>
      </c>
      <c r="AB52" s="124">
        <v>46277.93787037037</v>
      </c>
      <c r="AC52" s="124">
        <v>46278.329097222224</v>
      </c>
      <c r="AD52" s="124">
        <v>0</v>
      </c>
      <c r="AE52" s="124">
        <v>46279.334618055553</v>
      </c>
      <c r="AF52" s="124">
        <v>46279.934664351851</v>
      </c>
      <c r="AG52" s="124">
        <v>46280.332013888888</v>
      </c>
      <c r="AH52" s="124">
        <v>46280.929548611108</v>
      </c>
      <c r="AI52" s="110"/>
      <c r="AJ52" s="44">
        <v>34</v>
      </c>
      <c r="AK52" s="124">
        <v>46281.327731481484</v>
      </c>
      <c r="AL52" s="124">
        <v>46281.970081018517</v>
      </c>
      <c r="AM52" s="131">
        <v>46282.328090277777</v>
      </c>
      <c r="AN52" s="124">
        <v>46282.941006944442</v>
      </c>
      <c r="AO52" s="124">
        <v>46283.57739583333</v>
      </c>
      <c r="AP52" s="124">
        <v>46283.933703703704</v>
      </c>
      <c r="AQ52" s="124">
        <v>46284.353703703702</v>
      </c>
      <c r="AR52" s="124">
        <v>46284.969224537039</v>
      </c>
      <c r="AS52" s="124">
        <v>46285.35355324074</v>
      </c>
      <c r="AT52" s="124">
        <v>46285.950358796297</v>
      </c>
      <c r="AU52" s="124">
        <v>46286.353020833332</v>
      </c>
      <c r="AV52" s="124">
        <v>46286.947627314818</v>
      </c>
      <c r="AW52" s="124">
        <v>46287.355081018519</v>
      </c>
      <c r="AX52" s="124">
        <v>46287.941377314812</v>
      </c>
      <c r="AY52" s="124">
        <v>46288.352025462962</v>
      </c>
      <c r="AZ52" s="124">
        <v>46288.946759259263</v>
      </c>
      <c r="BA52" s="124">
        <v>46289.354050925926</v>
      </c>
      <c r="BB52" s="124">
        <v>46289.961377314816</v>
      </c>
      <c r="BC52" s="229" t="s">
        <v>15</v>
      </c>
      <c r="BD52" s="229" t="s">
        <v>15</v>
      </c>
      <c r="BE52" s="124">
        <v>46291.353275462963</v>
      </c>
      <c r="BF52" s="124">
        <v>46291.918738425928</v>
      </c>
      <c r="BG52" s="124">
        <v>46292.353761574072</v>
      </c>
      <c r="BH52" s="124">
        <v>0</v>
      </c>
      <c r="BI52" s="124">
        <v>46293.353773148148</v>
      </c>
      <c r="BJ52" s="124">
        <v>46293.918344907404</v>
      </c>
      <c r="BK52" s="124">
        <v>46294.353784722225</v>
      </c>
      <c r="BL52" s="124">
        <v>46294.934247685182</v>
      </c>
      <c r="BM52" s="124">
        <v>46295.353692129633</v>
      </c>
      <c r="BN52" s="124">
        <v>46295.940057870372</v>
      </c>
      <c r="BO52" s="152">
        <v>46265.353622685187</v>
      </c>
      <c r="BP52" s="152">
        <v>46265.921550925923</v>
      </c>
      <c r="BQ52" s="96">
        <f t="shared" si="26"/>
        <v>30</v>
      </c>
      <c r="BR52" s="67">
        <v>2</v>
      </c>
      <c r="BS52" s="1">
        <f t="shared" si="27"/>
        <v>28</v>
      </c>
      <c r="BT52" s="2">
        <f t="shared" si="28"/>
        <v>2</v>
      </c>
      <c r="BU52" s="2">
        <f t="shared" si="29"/>
        <v>0</v>
      </c>
      <c r="BV52" s="2">
        <f t="shared" si="30"/>
        <v>0</v>
      </c>
      <c r="BW52" s="2">
        <f t="shared" si="31"/>
        <v>0</v>
      </c>
      <c r="BX52" s="2">
        <f t="shared" si="32"/>
        <v>0</v>
      </c>
      <c r="BY52" s="2">
        <f t="shared" si="33"/>
        <v>0</v>
      </c>
      <c r="BZ52" s="2">
        <f t="shared" si="34"/>
        <v>0</v>
      </c>
      <c r="CA52" s="2">
        <f t="shared" si="35"/>
        <v>0</v>
      </c>
      <c r="CB52" s="2">
        <f t="shared" si="36"/>
        <v>0</v>
      </c>
      <c r="CC52" s="2">
        <f t="shared" si="37"/>
        <v>0</v>
      </c>
      <c r="CD52" s="2">
        <f t="shared" si="38"/>
        <v>0</v>
      </c>
      <c r="CE52" s="3"/>
      <c r="CG52" s="113">
        <v>0</v>
      </c>
      <c r="CH52" s="114">
        <v>0</v>
      </c>
      <c r="CI52" s="114">
        <v>0</v>
      </c>
      <c r="CJ52" s="114">
        <v>0</v>
      </c>
      <c r="CK52" s="114">
        <v>0</v>
      </c>
      <c r="CL52" s="113">
        <v>3</v>
      </c>
      <c r="CM52" s="113">
        <v>0</v>
      </c>
      <c r="CN52" s="113">
        <v>0</v>
      </c>
      <c r="CO52" s="114">
        <v>0</v>
      </c>
      <c r="CP52" s="114">
        <v>0</v>
      </c>
      <c r="CQ52" s="116">
        <f t="shared" si="40"/>
        <v>3</v>
      </c>
    </row>
    <row r="53" spans="1:95" ht="21.75" customHeight="1" x14ac:dyDescent="0.25">
      <c r="A53" s="44">
        <v>35</v>
      </c>
      <c r="B53" s="11" t="s">
        <v>105</v>
      </c>
      <c r="C53" s="77" t="s">
        <v>175</v>
      </c>
      <c r="D53" s="87">
        <v>44987</v>
      </c>
      <c r="E53" s="125" t="s">
        <v>18</v>
      </c>
      <c r="F53" s="125" t="s">
        <v>18</v>
      </c>
      <c r="G53" s="125" t="s">
        <v>18</v>
      </c>
      <c r="H53" s="125" t="s">
        <v>18</v>
      </c>
      <c r="I53" s="125" t="s">
        <v>18</v>
      </c>
      <c r="J53" s="125" t="s">
        <v>18</v>
      </c>
      <c r="K53" s="125" t="s">
        <v>18</v>
      </c>
      <c r="L53" s="125" t="s">
        <v>18</v>
      </c>
      <c r="M53" s="125" t="s">
        <v>18</v>
      </c>
      <c r="N53" s="125" t="s">
        <v>18</v>
      </c>
      <c r="O53" s="125" t="s">
        <v>18</v>
      </c>
      <c r="P53" s="125" t="s">
        <v>18</v>
      </c>
      <c r="Q53" s="125" t="s">
        <v>18</v>
      </c>
      <c r="R53" s="125" t="s">
        <v>18</v>
      </c>
      <c r="S53" s="125" t="s">
        <v>18</v>
      </c>
      <c r="T53" s="125" t="s">
        <v>18</v>
      </c>
      <c r="U53" s="125" t="s">
        <v>18</v>
      </c>
      <c r="V53" s="125" t="s">
        <v>18</v>
      </c>
      <c r="W53" s="125" t="s">
        <v>18</v>
      </c>
      <c r="X53" s="125" t="s">
        <v>18</v>
      </c>
      <c r="Y53" s="125" t="s">
        <v>18</v>
      </c>
      <c r="Z53" s="125" t="s">
        <v>18</v>
      </c>
      <c r="AA53" s="125" t="s">
        <v>18</v>
      </c>
      <c r="AB53" s="125" t="s">
        <v>18</v>
      </c>
      <c r="AC53" s="125" t="s">
        <v>18</v>
      </c>
      <c r="AD53" s="125" t="s">
        <v>18</v>
      </c>
      <c r="AE53" s="125" t="s">
        <v>18</v>
      </c>
      <c r="AF53" s="125" t="s">
        <v>18</v>
      </c>
      <c r="AG53" s="125" t="s">
        <v>18</v>
      </c>
      <c r="AH53" s="125" t="s">
        <v>18</v>
      </c>
      <c r="AI53" s="111"/>
      <c r="AJ53" s="44">
        <v>35</v>
      </c>
      <c r="AK53" s="125" t="s">
        <v>18</v>
      </c>
      <c r="AL53" s="125" t="s">
        <v>18</v>
      </c>
      <c r="AM53" s="125" t="s">
        <v>18</v>
      </c>
      <c r="AN53" s="125" t="s">
        <v>18</v>
      </c>
      <c r="AO53" s="125" t="s">
        <v>18</v>
      </c>
      <c r="AP53" s="125" t="s">
        <v>18</v>
      </c>
      <c r="AQ53" s="125" t="s">
        <v>18</v>
      </c>
      <c r="AR53" s="125" t="s">
        <v>18</v>
      </c>
      <c r="AS53" s="125" t="s">
        <v>18</v>
      </c>
      <c r="AT53" s="125" t="s">
        <v>18</v>
      </c>
      <c r="AU53" s="125" t="s">
        <v>18</v>
      </c>
      <c r="AV53" s="125" t="s">
        <v>18</v>
      </c>
      <c r="AW53" s="125" t="s">
        <v>18</v>
      </c>
      <c r="AX53" s="125" t="s">
        <v>18</v>
      </c>
      <c r="AY53" s="125" t="s">
        <v>18</v>
      </c>
      <c r="AZ53" s="125" t="s">
        <v>18</v>
      </c>
      <c r="BA53" s="125" t="s">
        <v>18</v>
      </c>
      <c r="BB53" s="125" t="s">
        <v>18</v>
      </c>
      <c r="BC53" s="125" t="s">
        <v>18</v>
      </c>
      <c r="BD53" s="125" t="s">
        <v>18</v>
      </c>
      <c r="BE53" s="125" t="s">
        <v>18</v>
      </c>
      <c r="BF53" s="125" t="s">
        <v>18</v>
      </c>
      <c r="BG53" s="125" t="s">
        <v>18</v>
      </c>
      <c r="BH53" s="125" t="s">
        <v>18</v>
      </c>
      <c r="BI53" s="125" t="s">
        <v>18</v>
      </c>
      <c r="BJ53" s="125" t="s">
        <v>18</v>
      </c>
      <c r="BK53" s="125" t="s">
        <v>18</v>
      </c>
      <c r="BL53" s="125" t="s">
        <v>18</v>
      </c>
      <c r="BM53" s="124">
        <v>0</v>
      </c>
      <c r="BN53" s="124">
        <v>0</v>
      </c>
      <c r="BO53" s="74"/>
      <c r="BP53" s="74"/>
      <c r="BQ53" s="96">
        <v>1</v>
      </c>
      <c r="BR53" s="67">
        <v>1</v>
      </c>
      <c r="BS53" s="1">
        <f>COUNT(E53:AF53)/2+COUNT(AK53:BN53)/2</f>
        <v>1</v>
      </c>
      <c r="BT53" s="2">
        <f t="shared" ref="BT53" si="41">COUNTIF(E53:BN53,"OFF")/2</f>
        <v>0</v>
      </c>
      <c r="BU53" s="2">
        <f t="shared" ref="BU53" si="42">COUNTIF(E53:BN53,"MC")/2</f>
        <v>0</v>
      </c>
      <c r="BV53" s="2">
        <f t="shared" ref="BV53" si="43">COUNTIF(E53:BN53,"EL")/2</f>
        <v>0</v>
      </c>
      <c r="BW53" s="2">
        <f t="shared" ref="BW53" si="44">COUNTIF(E53:BN53,"AL")/2</f>
        <v>29</v>
      </c>
      <c r="BX53" s="2">
        <f t="shared" ref="BX53" si="45">COUNTIF(E53:BN53,"SUS")/2</f>
        <v>0</v>
      </c>
      <c r="BY53" s="2">
        <f t="shared" ref="BY53" si="46">COUNTIF(E53:BN53,"FL")/2</f>
        <v>0</v>
      </c>
      <c r="BZ53" s="2">
        <f t="shared" ref="BZ53" si="47">COUNTIF(E53:BN53,"SICK")/2</f>
        <v>0</v>
      </c>
      <c r="CA53" s="2">
        <f t="shared" ref="CA53" si="48">COUNTIF(E53:BN53,"HD")/2</f>
        <v>0</v>
      </c>
      <c r="CB53" s="2">
        <f t="shared" ref="CB53" si="49">COUNTIF(E53:BN53,"AB")/2</f>
        <v>0</v>
      </c>
      <c r="CC53" s="2">
        <f t="shared" ref="CC53" si="50">COUNTIF(E53:BN53,"NL")/2</f>
        <v>0</v>
      </c>
      <c r="CD53" s="2">
        <f t="shared" ref="CD53" si="51">COUNTIF(E53:BN53,"SP")/2</f>
        <v>0</v>
      </c>
      <c r="CE53" s="3"/>
    </row>
    <row r="54" spans="1:95" ht="21.75" customHeight="1" x14ac:dyDescent="0.25">
      <c r="A54" s="44">
        <v>36</v>
      </c>
      <c r="B54" s="11" t="s">
        <v>108</v>
      </c>
      <c r="C54" s="77" t="s">
        <v>174</v>
      </c>
      <c r="D54" s="87">
        <v>45148</v>
      </c>
      <c r="E54" s="124">
        <v>46266.348379629628</v>
      </c>
      <c r="F54" s="124">
        <v>46264.918946759259</v>
      </c>
      <c r="G54" s="124">
        <v>46267.347453703704</v>
      </c>
      <c r="H54" s="124">
        <v>46267.932500000003</v>
      </c>
      <c r="I54" s="124">
        <v>46268.353912037041</v>
      </c>
      <c r="J54" s="124">
        <v>46268.942187499997</v>
      </c>
      <c r="K54" s="178" t="s">
        <v>15</v>
      </c>
      <c r="L54" s="178" t="s">
        <v>15</v>
      </c>
      <c r="M54" s="124">
        <v>46270.348796296297</v>
      </c>
      <c r="N54" s="124">
        <v>46270.888923611114</v>
      </c>
      <c r="O54" s="124">
        <v>46271.351168981484</v>
      </c>
      <c r="P54" s="124">
        <v>46271.903854166667</v>
      </c>
      <c r="Q54" s="124">
        <v>46272.351863425924</v>
      </c>
      <c r="R54" s="124">
        <v>46272.915775462963</v>
      </c>
      <c r="S54" s="124">
        <v>46273.350578703707</v>
      </c>
      <c r="T54" s="124">
        <v>46273.927384259259</v>
      </c>
      <c r="U54" s="124">
        <v>46274.352708333332</v>
      </c>
      <c r="V54" s="124">
        <v>46274.910011574073</v>
      </c>
      <c r="W54" s="124">
        <v>46275.353159722225</v>
      </c>
      <c r="X54" s="124">
        <v>46275.945393518516</v>
      </c>
      <c r="Y54" s="124">
        <v>46276.573692129627</v>
      </c>
      <c r="Z54" s="124">
        <v>0</v>
      </c>
      <c r="AA54" s="124">
        <v>46277.351342592592</v>
      </c>
      <c r="AB54" s="124">
        <v>46277.981099537035</v>
      </c>
      <c r="AC54" s="124">
        <v>46278.352696759262</v>
      </c>
      <c r="AD54" s="124">
        <v>46278.912939814814</v>
      </c>
      <c r="AE54" s="124">
        <v>46279.353344907409</v>
      </c>
      <c r="AF54" s="124">
        <v>46279.942615740743</v>
      </c>
      <c r="AG54" s="124">
        <v>46280.35229166667</v>
      </c>
      <c r="AH54" s="124">
        <v>46280.939247685186</v>
      </c>
      <c r="AI54" s="124"/>
      <c r="AJ54" s="44">
        <v>36</v>
      </c>
      <c r="AK54" s="124">
        <v>46281.347083333334</v>
      </c>
      <c r="AL54" s="124">
        <v>46281.920636574076</v>
      </c>
      <c r="AM54" s="124">
        <v>46282.351539351854</v>
      </c>
      <c r="AN54" s="124">
        <v>46282.930324074077</v>
      </c>
      <c r="AO54" s="229" t="s">
        <v>15</v>
      </c>
      <c r="AP54" s="229" t="s">
        <v>15</v>
      </c>
      <c r="AQ54" s="124">
        <v>46284.351782407408</v>
      </c>
      <c r="AR54" s="124">
        <v>46284.912453703706</v>
      </c>
      <c r="AS54" s="124">
        <v>46285.352118055554</v>
      </c>
      <c r="AT54" s="124">
        <v>46285.927951388891</v>
      </c>
      <c r="AU54" s="124">
        <v>46286.352060185185</v>
      </c>
      <c r="AV54" s="124">
        <v>46286.947569444441</v>
      </c>
      <c r="AW54" s="124">
        <v>46287.353182870371</v>
      </c>
      <c r="AX54" s="124">
        <v>46287.926319444443</v>
      </c>
      <c r="AY54" s="124">
        <v>46288.352685185186</v>
      </c>
      <c r="AZ54" s="124">
        <v>46288.932881944442</v>
      </c>
      <c r="BA54" s="124">
        <v>46289.353414351855</v>
      </c>
      <c r="BB54" s="124">
        <v>46289.936006944445</v>
      </c>
      <c r="BC54" s="124">
        <v>46290.577141203707</v>
      </c>
      <c r="BD54" s="124">
        <v>46290.938750000001</v>
      </c>
      <c r="BE54" s="124">
        <v>46291.352743055555</v>
      </c>
      <c r="BF54" s="124">
        <v>46291.929085648146</v>
      </c>
      <c r="BG54" s="124">
        <v>46292.351342592592</v>
      </c>
      <c r="BH54" s="124">
        <v>46292.91679398148</v>
      </c>
      <c r="BI54" s="124">
        <v>46293.35365740741</v>
      </c>
      <c r="BJ54" s="124">
        <v>46293.917719907404</v>
      </c>
      <c r="BK54" s="124">
        <v>46294.350937499999</v>
      </c>
      <c r="BL54" s="124">
        <v>46294.906145833331</v>
      </c>
      <c r="BM54" s="124">
        <v>46295.34957175926</v>
      </c>
      <c r="BN54" s="124">
        <v>46295.933553240742</v>
      </c>
      <c r="BO54" s="124">
        <v>46265.347893518519</v>
      </c>
      <c r="BP54" s="124">
        <v>46265.935868055552</v>
      </c>
      <c r="BQ54" s="9">
        <f>BS54+BT54+BV54+BW54+CA54+BY54+BZ54+CD54</f>
        <v>30</v>
      </c>
      <c r="BR54" s="67">
        <v>2</v>
      </c>
      <c r="BS54" s="1">
        <f t="shared" si="27"/>
        <v>28</v>
      </c>
      <c r="BT54" s="2">
        <f>COUNTIF(E54:BN54,"OFF")/2</f>
        <v>2</v>
      </c>
      <c r="BU54" s="2">
        <f>COUNTIF(E54:BN54,"MC")/2</f>
        <v>0</v>
      </c>
      <c r="BV54" s="2">
        <f>COUNTIF(E54:BN54,"EL")/2</f>
        <v>0</v>
      </c>
      <c r="BW54" s="2">
        <f>COUNTIF(E54:BN54,"AL")/2</f>
        <v>0</v>
      </c>
      <c r="BX54" s="2">
        <f>COUNTIF(E54:BN54,"SUS")/2</f>
        <v>0</v>
      </c>
      <c r="BY54" s="2">
        <f>COUNTIF(E54:BN54,"FL")/2</f>
        <v>0</v>
      </c>
      <c r="BZ54" s="2">
        <f>COUNTIF(E54:BN54,"SICK")/2</f>
        <v>0</v>
      </c>
      <c r="CA54" s="2">
        <f>COUNTIF(E54:BN54,"HD")/2</f>
        <v>0</v>
      </c>
      <c r="CB54" s="2">
        <f>COUNTIF(E54:BN54,"AB")/2</f>
        <v>0</v>
      </c>
      <c r="CC54" s="2">
        <f>COUNTIF(E54:BN54,"NL")/2</f>
        <v>0</v>
      </c>
      <c r="CD54" s="2">
        <f>COUNTIF(E54:BN54,"SP")/2</f>
        <v>0</v>
      </c>
      <c r="CE54" s="3"/>
      <c r="CG54" s="53">
        <v>0</v>
      </c>
      <c r="CH54" s="53">
        <v>0</v>
      </c>
      <c r="CI54" s="53">
        <v>0</v>
      </c>
      <c r="CJ54" s="53">
        <v>0</v>
      </c>
      <c r="CK54" s="53">
        <v>0</v>
      </c>
      <c r="CL54" s="54">
        <v>4</v>
      </c>
      <c r="CM54" s="54">
        <v>1</v>
      </c>
      <c r="CN54" s="53">
        <v>0</v>
      </c>
      <c r="CO54" s="53">
        <v>0</v>
      </c>
      <c r="CP54" s="53">
        <v>0</v>
      </c>
      <c r="CQ54" s="55">
        <f>SUM(CG54:CP54)</f>
        <v>5</v>
      </c>
    </row>
    <row r="55" spans="1:95" ht="21.75" customHeight="1" x14ac:dyDescent="0.25">
      <c r="A55" s="44">
        <v>37</v>
      </c>
      <c r="B55" s="11" t="s">
        <v>111</v>
      </c>
      <c r="C55" s="77" t="s">
        <v>112</v>
      </c>
      <c r="D55" s="87">
        <v>45330</v>
      </c>
      <c r="E55" s="124">
        <v>46266.331342592595</v>
      </c>
      <c r="F55" s="124">
        <v>46264.929085648146</v>
      </c>
      <c r="G55" s="124">
        <v>46267.326643518521</v>
      </c>
      <c r="H55" s="124">
        <v>46267.963935185187</v>
      </c>
      <c r="I55" s="124">
        <v>46268.324560185189</v>
      </c>
      <c r="J55" s="124">
        <v>46268.974016203705</v>
      </c>
      <c r="K55" s="124">
        <v>46269.566076388888</v>
      </c>
      <c r="L55" s="124">
        <v>46269.956886574073</v>
      </c>
      <c r="M55" s="124">
        <v>46270.333553240744</v>
      </c>
      <c r="N55" s="124">
        <v>46270.970879629633</v>
      </c>
      <c r="O55" s="124">
        <v>46271.327650462961</v>
      </c>
      <c r="P55" s="124">
        <v>46271.955497685187</v>
      </c>
      <c r="Q55" s="124">
        <v>46272.338622685187</v>
      </c>
      <c r="R55" s="124">
        <v>46272.962858796294</v>
      </c>
      <c r="S55" s="124">
        <v>46273.325196759259</v>
      </c>
      <c r="T55" s="124">
        <v>46273.963240740741</v>
      </c>
      <c r="U55" s="124">
        <v>46274.327974537038</v>
      </c>
      <c r="V55" s="124">
        <v>46274.955057870371</v>
      </c>
      <c r="W55" s="124">
        <v>46275.348310185182</v>
      </c>
      <c r="X55" s="124">
        <v>46275.974710648145</v>
      </c>
      <c r="Y55" s="124">
        <v>46276.566805555558</v>
      </c>
      <c r="Z55" s="124">
        <v>46276.953993055555</v>
      </c>
      <c r="AA55" s="124">
        <v>46277.366342592592</v>
      </c>
      <c r="AB55" s="124">
        <v>46277.971400462964</v>
      </c>
      <c r="AC55" s="124">
        <v>46278.328888888886</v>
      </c>
      <c r="AD55" s="124">
        <v>46278.951782407406</v>
      </c>
      <c r="AE55" s="124">
        <v>46279.333553240744</v>
      </c>
      <c r="AF55" s="124">
        <v>46279.955451388887</v>
      </c>
      <c r="AG55" s="124">
        <v>46280.332233796296</v>
      </c>
      <c r="AH55" s="124">
        <v>46280.956875000003</v>
      </c>
      <c r="AI55" s="124"/>
      <c r="AJ55" s="44">
        <v>37</v>
      </c>
      <c r="AK55" s="124">
        <v>46281.329930555556</v>
      </c>
      <c r="AL55" s="124">
        <v>46281.95171296296</v>
      </c>
      <c r="AM55" s="124">
        <v>46282.3278125</v>
      </c>
      <c r="AN55" s="124">
        <v>46282.972199074073</v>
      </c>
      <c r="AO55" s="124">
        <v>46283.567048611112</v>
      </c>
      <c r="AP55" s="124">
        <v>46283.956678240742</v>
      </c>
      <c r="AQ55" s="124">
        <v>46284.334976851853</v>
      </c>
      <c r="AR55" s="124">
        <v>46284.969305555554</v>
      </c>
      <c r="AS55" s="124">
        <v>46285.336365740739</v>
      </c>
      <c r="AT55" s="124">
        <v>46285.960729166669</v>
      </c>
      <c r="AU55" s="124">
        <v>46286.328611111108</v>
      </c>
      <c r="AV55" s="124">
        <v>46286.955740740741</v>
      </c>
      <c r="AW55" s="124">
        <v>46287.342650462961</v>
      </c>
      <c r="AX55" s="124">
        <v>46287.956134259257</v>
      </c>
      <c r="AY55" s="124">
        <v>46288.328472222223</v>
      </c>
      <c r="AZ55" s="124">
        <v>46288.959837962961</v>
      </c>
      <c r="BA55" s="124">
        <v>46289.339143518519</v>
      </c>
      <c r="BB55" s="124">
        <v>46289.978078703702</v>
      </c>
      <c r="BC55" s="228" t="s">
        <v>15</v>
      </c>
      <c r="BD55" s="228" t="s">
        <v>15</v>
      </c>
      <c r="BE55" s="124">
        <v>46291.350902777776</v>
      </c>
      <c r="BF55" s="124">
        <v>46291.971273148149</v>
      </c>
      <c r="BG55" s="124">
        <v>46292.338993055557</v>
      </c>
      <c r="BH55" s="124">
        <v>46292.960150462961</v>
      </c>
      <c r="BI55" s="124">
        <v>46293.327592592592</v>
      </c>
      <c r="BJ55" s="124">
        <v>46293.956307870372</v>
      </c>
      <c r="BK55" s="124">
        <v>46294.340254629627</v>
      </c>
      <c r="BL55" s="124">
        <v>46294.962245370371</v>
      </c>
      <c r="BM55" s="124">
        <v>46295.338923611111</v>
      </c>
      <c r="BN55" s="124">
        <v>46295.962500000001</v>
      </c>
      <c r="BO55" s="124">
        <v>46265.327106481483</v>
      </c>
      <c r="BP55" s="124">
        <v>46265.955254629633</v>
      </c>
      <c r="BQ55" s="9">
        <f>BS55+BT55+BV55+BW55+CA55+BY55+BZ55+CD55</f>
        <v>30</v>
      </c>
      <c r="BR55" s="67">
        <v>3</v>
      </c>
      <c r="BS55" s="1">
        <f t="shared" si="27"/>
        <v>29</v>
      </c>
      <c r="BT55" s="2">
        <f>COUNTIF(E55:BN55,"OFF")/2</f>
        <v>1</v>
      </c>
      <c r="BU55" s="2">
        <f>COUNTIF(E55:BN55,"MC")/2</f>
        <v>0</v>
      </c>
      <c r="BV55" s="2">
        <f>COUNTIF(E55:BN55,"EL")/2</f>
        <v>0</v>
      </c>
      <c r="BW55" s="2">
        <f>COUNTIF(E55:BN55,"AL")/2</f>
        <v>0</v>
      </c>
      <c r="BX55" s="2">
        <f>COUNTIF(E55:BN55,"SUS")/2</f>
        <v>0</v>
      </c>
      <c r="BY55" s="2">
        <f>COUNTIF(E55:BN55,"FL")/2</f>
        <v>0</v>
      </c>
      <c r="BZ55" s="2">
        <f>COUNTIF(E55:BN55,"SICK")/2</f>
        <v>0</v>
      </c>
      <c r="CA55" s="2">
        <f>COUNTIF(E55:BN55,"HD")/2</f>
        <v>0</v>
      </c>
      <c r="CB55" s="2">
        <f>COUNTIF(E55:BN55,"AB")/2</f>
        <v>0</v>
      </c>
      <c r="CC55" s="2">
        <f>COUNTIF(E55:BN55,"NL")/2</f>
        <v>0</v>
      </c>
      <c r="CD55" s="2">
        <f>COUNTIF(E55:BN55,"SP")/2</f>
        <v>0</v>
      </c>
      <c r="CE55" s="3"/>
    </row>
    <row r="56" spans="1:95" ht="21.75" customHeight="1" x14ac:dyDescent="0.25">
      <c r="A56" s="44">
        <v>38</v>
      </c>
      <c r="B56" s="11" t="s">
        <v>113</v>
      </c>
      <c r="C56" s="8" t="s">
        <v>301</v>
      </c>
      <c r="D56" s="87"/>
      <c r="E56" s="124">
        <v>46266.349120370367</v>
      </c>
      <c r="F56" s="124">
        <v>46264.913055555553</v>
      </c>
      <c r="G56" s="124">
        <v>46267.34988425926</v>
      </c>
      <c r="H56" s="124">
        <v>46267.975636574076</v>
      </c>
      <c r="I56" s="124">
        <v>46268.348275462966</v>
      </c>
      <c r="J56" s="124">
        <v>46268.958657407406</v>
      </c>
      <c r="K56" s="124">
        <v>46269.581388888888</v>
      </c>
      <c r="L56" s="124">
        <v>46269.991909722223</v>
      </c>
      <c r="M56" s="124">
        <v>46270.349826388891</v>
      </c>
      <c r="N56" s="124">
        <v>46270.95621527778</v>
      </c>
      <c r="O56" s="124">
        <v>46271.34884259259</v>
      </c>
      <c r="P56" s="124">
        <v>46271.949895833335</v>
      </c>
      <c r="Q56" s="124">
        <v>46272.350543981483</v>
      </c>
      <c r="R56" s="124">
        <v>46272.949097222219</v>
      </c>
      <c r="S56" s="124">
        <v>46273.349490740744</v>
      </c>
      <c r="T56" s="124">
        <v>46273.956620370373</v>
      </c>
      <c r="U56" s="124">
        <v>46274.348958333336</v>
      </c>
      <c r="V56" s="124">
        <v>46274.964467592596</v>
      </c>
      <c r="W56" s="124">
        <v>46275.353842592594</v>
      </c>
      <c r="X56" s="124">
        <v>46275.95989583333</v>
      </c>
      <c r="Y56" s="178" t="s">
        <v>15</v>
      </c>
      <c r="Z56" s="178" t="s">
        <v>15</v>
      </c>
      <c r="AA56" s="124">
        <v>46277.353414351855</v>
      </c>
      <c r="AB56" s="124">
        <v>46277.981608796297</v>
      </c>
      <c r="AC56" s="124">
        <v>46278.34878472222</v>
      </c>
      <c r="AD56" s="124">
        <v>46278.94866898148</v>
      </c>
      <c r="AE56" s="124">
        <v>46279.349363425928</v>
      </c>
      <c r="AF56" s="124">
        <v>46279.956342592595</v>
      </c>
      <c r="AG56" s="124">
        <v>46280.352164351854</v>
      </c>
      <c r="AH56" s="124">
        <v>46280.944050925929</v>
      </c>
      <c r="AI56" s="183"/>
      <c r="AJ56" s="44">
        <v>38</v>
      </c>
      <c r="AK56" s="124">
        <v>46281.351643518516</v>
      </c>
      <c r="AL56" s="124">
        <v>46281.960717592592</v>
      </c>
      <c r="AM56" s="124">
        <v>46282.353993055556</v>
      </c>
      <c r="AN56" s="124">
        <v>46282.970069444447</v>
      </c>
      <c r="AO56" s="124">
        <v>46283.583495370367</v>
      </c>
      <c r="AP56" s="124">
        <v>46283.942048611112</v>
      </c>
      <c r="AQ56" s="124">
        <v>46284.3515625</v>
      </c>
      <c r="AR56" s="124">
        <v>46284.967233796298</v>
      </c>
      <c r="AS56" s="124">
        <v>46285.348715277774</v>
      </c>
      <c r="AT56" s="124">
        <v>46285.960902777777</v>
      </c>
      <c r="AU56" s="124">
        <v>46286.351817129631</v>
      </c>
      <c r="AV56" s="124">
        <v>46286.949560185189</v>
      </c>
      <c r="AW56" s="124">
        <v>46287.353784722225</v>
      </c>
      <c r="AX56" s="124">
        <v>46287.959004629629</v>
      </c>
      <c r="AY56" s="124">
        <v>46288.354155092595</v>
      </c>
      <c r="AZ56" s="124">
        <v>46288.949456018519</v>
      </c>
      <c r="BA56" s="124">
        <v>46289.353796296295</v>
      </c>
      <c r="BB56" s="124">
        <v>46289.972662037035</v>
      </c>
      <c r="BC56" s="229" t="s">
        <v>15</v>
      </c>
      <c r="BD56" s="229" t="s">
        <v>15</v>
      </c>
      <c r="BE56" s="124">
        <v>46291.351886574077</v>
      </c>
      <c r="BF56" s="124">
        <v>46291.954062500001</v>
      </c>
      <c r="BG56" s="124">
        <v>46292.348935185182</v>
      </c>
      <c r="BH56" s="124">
        <v>46292.959456018521</v>
      </c>
      <c r="BI56" s="124">
        <v>46293.35015046296</v>
      </c>
      <c r="BJ56" s="124">
        <v>46293.950590277775</v>
      </c>
      <c r="BK56" s="124">
        <v>46294.348645833335</v>
      </c>
      <c r="BL56" s="124">
        <v>46294.952777777777</v>
      </c>
      <c r="BM56" s="124">
        <v>46295.349988425929</v>
      </c>
      <c r="BN56" s="124">
        <v>46295.959618055553</v>
      </c>
      <c r="BO56" s="184">
        <v>46265.348368055558</v>
      </c>
      <c r="BP56" s="184">
        <v>46265.944861111115</v>
      </c>
      <c r="BQ56" s="185">
        <f>BS56+BT56+BV56+BW56+CA56+BY56+BZ56+CD56</f>
        <v>30</v>
      </c>
      <c r="BR56" s="159">
        <v>2</v>
      </c>
      <c r="BS56" s="1">
        <f t="shared" si="27"/>
        <v>28</v>
      </c>
      <c r="BT56" s="2">
        <f>COUNTIF(E56:BN56,"OFF")/2</f>
        <v>2</v>
      </c>
      <c r="BU56" s="2">
        <f>COUNTIF(E56:BN56,"MC")/2</f>
        <v>0</v>
      </c>
      <c r="BV56" s="2">
        <f>COUNTIF(E56:BN56,"EL")/2</f>
        <v>0</v>
      </c>
      <c r="BW56" s="2">
        <f>COUNTIF(E56:BN56,"AL")/2</f>
        <v>0</v>
      </c>
      <c r="BX56" s="2">
        <f>COUNTIF(E56:BN56,"SUS")/2</f>
        <v>0</v>
      </c>
      <c r="BY56" s="2">
        <f>COUNTIF(E56:BN56,"FL")/2</f>
        <v>0</v>
      </c>
      <c r="BZ56" s="2">
        <f>COUNTIF(E56:BN56,"SICK")/2</f>
        <v>0</v>
      </c>
      <c r="CA56" s="2">
        <f>COUNTIF(E56:BN56,"HD")/2</f>
        <v>0</v>
      </c>
      <c r="CB56" s="2">
        <f>COUNTIF(E56:BN56,"AB")/2</f>
        <v>0</v>
      </c>
      <c r="CC56" s="2">
        <f>COUNTIF(E56:BN56,"NL")/2</f>
        <v>0</v>
      </c>
      <c r="CD56" s="2">
        <f>COUNTIF(E56:BN56,"SP")/2</f>
        <v>0</v>
      </c>
      <c r="CE56" s="3"/>
      <c r="CG56" s="53">
        <v>0</v>
      </c>
      <c r="CH56" s="53">
        <v>0</v>
      </c>
      <c r="CI56" s="53">
        <v>0</v>
      </c>
      <c r="CJ56" s="53">
        <v>0</v>
      </c>
      <c r="CK56" s="53">
        <v>0</v>
      </c>
      <c r="CL56" s="53">
        <v>0</v>
      </c>
      <c r="CM56" s="54">
        <v>0</v>
      </c>
      <c r="CN56" s="54">
        <v>0</v>
      </c>
      <c r="CO56" s="53">
        <v>0</v>
      </c>
      <c r="CP56" s="53">
        <v>0</v>
      </c>
      <c r="CQ56" s="55">
        <f>SUM(CG56:CP56)</f>
        <v>0</v>
      </c>
    </row>
    <row r="57" spans="1:95" ht="21.75" customHeight="1" x14ac:dyDescent="0.25">
      <c r="A57" s="44">
        <v>39</v>
      </c>
      <c r="B57" s="11" t="s">
        <v>110</v>
      </c>
      <c r="C57" s="8" t="s">
        <v>176</v>
      </c>
      <c r="E57" s="124">
        <v>46266.355567129627</v>
      </c>
      <c r="F57" s="124">
        <v>46264.959120370368</v>
      </c>
      <c r="G57" s="124">
        <v>46267.355057870373</v>
      </c>
      <c r="H57" s="124">
        <v>46267.97693287037</v>
      </c>
      <c r="I57" s="124">
        <v>46268.345543981479</v>
      </c>
      <c r="J57" s="124">
        <v>46268.971944444442</v>
      </c>
      <c r="K57" s="124">
        <v>46269.581238425926</v>
      </c>
      <c r="L57" s="124">
        <v>46269.95480324074</v>
      </c>
      <c r="M57" s="124">
        <v>46270.353078703702</v>
      </c>
      <c r="N57" s="124">
        <v>46270.967939814815</v>
      </c>
      <c r="O57" s="124">
        <v>46271.353726851848</v>
      </c>
      <c r="P57" s="124">
        <v>46271.951388888891</v>
      </c>
      <c r="Q57" s="124">
        <v>46272.353506944448</v>
      </c>
      <c r="R57" s="124">
        <v>46272.955092592594</v>
      </c>
      <c r="S57" s="124">
        <v>46273.353842592594</v>
      </c>
      <c r="T57" s="124">
        <v>46273.951909722222</v>
      </c>
      <c r="U57" s="124">
        <v>46274.353958333333</v>
      </c>
      <c r="V57" s="124">
        <v>46274.947476851848</v>
      </c>
      <c r="W57" s="124">
        <v>46275.35392361111</v>
      </c>
      <c r="X57" s="124">
        <v>46275.968043981484</v>
      </c>
      <c r="Y57" s="178" t="s">
        <v>15</v>
      </c>
      <c r="Z57" s="178" t="s">
        <v>15</v>
      </c>
      <c r="AA57" s="124">
        <v>46277.353958333333</v>
      </c>
      <c r="AB57" s="124">
        <v>46277.9840625</v>
      </c>
      <c r="AC57" s="124">
        <v>46278.35392361111</v>
      </c>
      <c r="AD57" s="124">
        <v>46278.948900462965</v>
      </c>
      <c r="AE57" s="124">
        <v>46279.354328703703</v>
      </c>
      <c r="AF57" s="124">
        <v>46279.952604166669</v>
      </c>
      <c r="AG57" s="124">
        <v>46280.353645833333</v>
      </c>
      <c r="AH57" s="124">
        <v>46280.951365740744</v>
      </c>
      <c r="AI57" s="110"/>
      <c r="AJ57" s="44">
        <v>39</v>
      </c>
      <c r="AK57" s="124">
        <v>46281.353275462963</v>
      </c>
      <c r="AL57" s="124">
        <v>46281.949652777781</v>
      </c>
      <c r="AM57" s="124">
        <v>46282.353587962964</v>
      </c>
      <c r="AN57" s="124">
        <v>46282.96912037037</v>
      </c>
      <c r="AO57" s="124">
        <v>46283.579814814817</v>
      </c>
      <c r="AP57" s="124">
        <v>46283.953113425923</v>
      </c>
      <c r="AQ57" s="124">
        <v>46284.352812500001</v>
      </c>
      <c r="AR57" s="124">
        <v>46284.968819444446</v>
      </c>
      <c r="AS57" s="124">
        <v>46285.354143518518</v>
      </c>
      <c r="AT57" s="124">
        <v>46285.94971064815</v>
      </c>
      <c r="AU57" s="124">
        <v>46286.353703703702</v>
      </c>
      <c r="AV57" s="124">
        <v>46286.950324074074</v>
      </c>
      <c r="AW57" s="124">
        <v>46287.353842592594</v>
      </c>
      <c r="AX57" s="124">
        <v>46287.950370370374</v>
      </c>
      <c r="AY57" s="124">
        <v>46288.354212962964</v>
      </c>
      <c r="AZ57" s="124">
        <v>46288.95076388889</v>
      </c>
      <c r="BA57" s="124">
        <v>46289.354108796295</v>
      </c>
      <c r="BB57" s="124">
        <v>46289.972824074073</v>
      </c>
      <c r="BC57" s="229" t="s">
        <v>15</v>
      </c>
      <c r="BD57" s="229" t="s">
        <v>15</v>
      </c>
      <c r="BE57" s="124">
        <v>46291.353935185187</v>
      </c>
      <c r="BF57" s="124">
        <v>46291.970682870371</v>
      </c>
      <c r="BG57" s="124">
        <v>46292.353877314818</v>
      </c>
      <c r="BH57" s="124">
        <v>0</v>
      </c>
      <c r="BI57" s="124">
        <v>46293.354039351849</v>
      </c>
      <c r="BJ57" s="124">
        <v>46293.955231481479</v>
      </c>
      <c r="BK57" s="124">
        <v>46294.353935185187</v>
      </c>
      <c r="BL57" s="124">
        <v>46294.95039351852</v>
      </c>
      <c r="BM57" s="124">
        <v>46295.353958333333</v>
      </c>
      <c r="BN57" s="124">
        <v>46295.957418981481</v>
      </c>
      <c r="BO57" s="152">
        <v>46265.354317129626</v>
      </c>
      <c r="BP57" s="152">
        <v>46265.949212962965</v>
      </c>
      <c r="BQ57" s="96">
        <f t="shared" si="26"/>
        <v>30</v>
      </c>
      <c r="BR57" s="67">
        <v>2</v>
      </c>
      <c r="BS57" s="1">
        <f t="shared" si="27"/>
        <v>28</v>
      </c>
      <c r="BT57" s="2">
        <f t="shared" si="28"/>
        <v>2</v>
      </c>
      <c r="BU57" s="2">
        <f t="shared" si="29"/>
        <v>0</v>
      </c>
      <c r="BV57" s="2">
        <f t="shared" si="30"/>
        <v>0</v>
      </c>
      <c r="BW57" s="2">
        <f t="shared" si="31"/>
        <v>0</v>
      </c>
      <c r="BX57" s="2">
        <f t="shared" si="32"/>
        <v>0</v>
      </c>
      <c r="BY57" s="2">
        <f t="shared" si="33"/>
        <v>0</v>
      </c>
      <c r="BZ57" s="2">
        <f t="shared" si="34"/>
        <v>0</v>
      </c>
      <c r="CA57" s="2">
        <f t="shared" si="35"/>
        <v>0</v>
      </c>
      <c r="CB57" s="2">
        <f t="shared" si="36"/>
        <v>0</v>
      </c>
      <c r="CC57" s="2">
        <f t="shared" si="37"/>
        <v>0</v>
      </c>
      <c r="CD57" s="2">
        <f t="shared" si="38"/>
        <v>0</v>
      </c>
      <c r="CE57" s="3"/>
      <c r="CG57" s="54">
        <v>0</v>
      </c>
      <c r="CH57" s="53">
        <v>0</v>
      </c>
      <c r="CI57" s="53">
        <v>0</v>
      </c>
      <c r="CJ57" s="53">
        <v>0</v>
      </c>
      <c r="CK57" s="53">
        <v>0</v>
      </c>
      <c r="CL57" s="54">
        <v>-1</v>
      </c>
      <c r="CM57" s="54">
        <v>0</v>
      </c>
      <c r="CN57" s="54">
        <v>-2</v>
      </c>
      <c r="CO57" s="53">
        <v>0</v>
      </c>
      <c r="CP57" s="53">
        <v>0</v>
      </c>
      <c r="CQ57" s="117">
        <f t="shared" si="40"/>
        <v>-3</v>
      </c>
    </row>
    <row r="58" spans="1:95" ht="21.75" customHeight="1" x14ac:dyDescent="0.25">
      <c r="A58" s="44">
        <v>40</v>
      </c>
      <c r="B58" s="11" t="s">
        <v>115</v>
      </c>
      <c r="C58" s="77" t="s">
        <v>116</v>
      </c>
      <c r="D58" s="87">
        <v>45371</v>
      </c>
      <c r="E58" s="124">
        <v>46266.331712962965</v>
      </c>
      <c r="F58" s="124">
        <v>46264.745937500003</v>
      </c>
      <c r="G58" s="124">
        <v>46267.331678240742</v>
      </c>
      <c r="H58" s="124">
        <v>46267.948472222219</v>
      </c>
      <c r="I58" s="124">
        <v>46268.332835648151</v>
      </c>
      <c r="J58" s="124">
        <v>46268.967268518521</v>
      </c>
      <c r="K58" s="124">
        <v>46269.576331018521</v>
      </c>
      <c r="L58" s="124">
        <v>46269.943287037036</v>
      </c>
      <c r="M58" s="124">
        <v>46270.329918981479</v>
      </c>
      <c r="N58" s="124">
        <v>46270.96502314815</v>
      </c>
      <c r="O58" s="124">
        <v>46271.332002314812</v>
      </c>
      <c r="P58" s="124">
        <v>46271.941631944443</v>
      </c>
      <c r="Q58" s="124">
        <v>46272.329513888886</v>
      </c>
      <c r="R58" s="124">
        <v>46272.941006944442</v>
      </c>
      <c r="S58" s="124">
        <v>46273.331145833334</v>
      </c>
      <c r="T58" s="124">
        <v>46273.957337962966</v>
      </c>
      <c r="U58" s="124">
        <v>46274.331388888888</v>
      </c>
      <c r="V58" s="124">
        <v>46274.944004629629</v>
      </c>
      <c r="W58" s="124">
        <v>46275.331250000003</v>
      </c>
      <c r="X58" s="124">
        <v>46275.959976851853</v>
      </c>
      <c r="Y58" s="178" t="s">
        <v>15</v>
      </c>
      <c r="Z58" s="178" t="s">
        <v>15</v>
      </c>
      <c r="AA58" s="124">
        <v>46277.337766203702</v>
      </c>
      <c r="AB58" s="124">
        <v>46277.959270833337</v>
      </c>
      <c r="AC58" s="124">
        <v>46278.331666666665</v>
      </c>
      <c r="AD58" s="124">
        <v>46278.944074074076</v>
      </c>
      <c r="AE58" s="124">
        <v>46279.331180555557</v>
      </c>
      <c r="AF58" s="124">
        <v>46279.944895833331</v>
      </c>
      <c r="AG58" s="124">
        <v>46280.332129629627</v>
      </c>
      <c r="AH58" s="124">
        <v>46280.940254629626</v>
      </c>
      <c r="AI58" s="110"/>
      <c r="AJ58" s="44">
        <v>40</v>
      </c>
      <c r="AK58" s="124">
        <v>46281.329814814817</v>
      </c>
      <c r="AL58" s="124">
        <v>46281.946689814817</v>
      </c>
      <c r="AM58" s="124">
        <v>46282.331863425927</v>
      </c>
      <c r="AN58" s="124">
        <v>46282.962581018517</v>
      </c>
      <c r="AO58" s="124">
        <v>46283.576284722221</v>
      </c>
      <c r="AP58" s="124">
        <v>46283.940833333334</v>
      </c>
      <c r="AQ58" s="124">
        <v>46284.329097222224</v>
      </c>
      <c r="AR58" s="124">
        <v>46284.960925925923</v>
      </c>
      <c r="AS58" s="124">
        <v>46285.330717592595</v>
      </c>
      <c r="AT58" s="124">
        <v>46285.946157407408</v>
      </c>
      <c r="AU58" s="124">
        <v>46286.328819444447</v>
      </c>
      <c r="AV58" s="124">
        <v>46286.948298611111</v>
      </c>
      <c r="AW58" s="124">
        <v>46287.328715277778</v>
      </c>
      <c r="AX58" s="124">
        <v>46287.941481481481</v>
      </c>
      <c r="AY58" s="124">
        <v>46288.331504629627</v>
      </c>
      <c r="AZ58" s="124">
        <v>46288.943356481483</v>
      </c>
      <c r="BA58" s="124">
        <v>46289.329895833333</v>
      </c>
      <c r="BB58" s="124">
        <v>46289.974236111113</v>
      </c>
      <c r="BC58" s="229" t="s">
        <v>15</v>
      </c>
      <c r="BD58" s="229" t="s">
        <v>15</v>
      </c>
      <c r="BE58" s="124">
        <v>46291.333043981482</v>
      </c>
      <c r="BF58" s="124">
        <v>46291.964687500003</v>
      </c>
      <c r="BG58" s="124">
        <v>46292.332256944443</v>
      </c>
      <c r="BH58" s="124">
        <v>46292.955810185187</v>
      </c>
      <c r="BI58" s="124">
        <v>46293.33</v>
      </c>
      <c r="BJ58" s="124">
        <v>46293.940706018519</v>
      </c>
      <c r="BK58" s="124">
        <v>46294.331712962965</v>
      </c>
      <c r="BL58" s="124">
        <v>46294.940486111111</v>
      </c>
      <c r="BM58" s="124">
        <v>46295.328611111108</v>
      </c>
      <c r="BN58" s="124">
        <v>46295.943854166668</v>
      </c>
      <c r="BO58" s="152">
        <v>46265.332013888888</v>
      </c>
      <c r="BP58" s="152">
        <v>46265.942025462966</v>
      </c>
      <c r="BQ58" s="96">
        <f t="shared" si="26"/>
        <v>30</v>
      </c>
      <c r="BR58" s="67">
        <v>2</v>
      </c>
      <c r="BS58" s="1">
        <f t="shared" si="27"/>
        <v>28</v>
      </c>
      <c r="BT58" s="2">
        <f t="shared" si="28"/>
        <v>2</v>
      </c>
      <c r="BU58" s="2">
        <f t="shared" si="29"/>
        <v>0</v>
      </c>
      <c r="BV58" s="2">
        <f t="shared" si="30"/>
        <v>0</v>
      </c>
      <c r="BW58" s="2">
        <f t="shared" si="31"/>
        <v>0</v>
      </c>
      <c r="BX58" s="2">
        <f t="shared" si="32"/>
        <v>0</v>
      </c>
      <c r="BY58" s="2">
        <f t="shared" si="33"/>
        <v>0</v>
      </c>
      <c r="BZ58" s="2">
        <f t="shared" si="34"/>
        <v>0</v>
      </c>
      <c r="CA58" s="2">
        <f t="shared" si="35"/>
        <v>0</v>
      </c>
      <c r="CB58" s="2">
        <f t="shared" si="36"/>
        <v>0</v>
      </c>
      <c r="CC58" s="2">
        <f t="shared" si="37"/>
        <v>0</v>
      </c>
      <c r="CD58" s="2">
        <f t="shared" si="38"/>
        <v>0</v>
      </c>
      <c r="CE58" s="3"/>
      <c r="CG58" s="54">
        <v>0</v>
      </c>
      <c r="CH58" s="53">
        <v>0</v>
      </c>
      <c r="CI58" s="53">
        <v>0</v>
      </c>
      <c r="CJ58" s="53">
        <v>0</v>
      </c>
      <c r="CK58" s="53">
        <v>0</v>
      </c>
      <c r="CL58" s="53">
        <v>7</v>
      </c>
      <c r="CM58" s="54">
        <v>0</v>
      </c>
      <c r="CN58" s="54">
        <v>4</v>
      </c>
      <c r="CO58" s="53">
        <v>0</v>
      </c>
      <c r="CP58" s="53">
        <v>0</v>
      </c>
      <c r="CQ58" s="117">
        <f t="shared" si="40"/>
        <v>11</v>
      </c>
    </row>
    <row r="59" spans="1:95" ht="21.75" customHeight="1" x14ac:dyDescent="0.25">
      <c r="A59" s="44">
        <v>41</v>
      </c>
      <c r="B59" s="48" t="s">
        <v>188</v>
      </c>
      <c r="C59" s="81" t="s">
        <v>187</v>
      </c>
      <c r="D59" s="87">
        <v>45371</v>
      </c>
      <c r="E59" s="124">
        <v>46266.353854166664</v>
      </c>
      <c r="F59" s="124">
        <v>46264.938067129631</v>
      </c>
      <c r="G59" s="124">
        <v>46267.351284722223</v>
      </c>
      <c r="H59" s="124">
        <v>46267.977997685186</v>
      </c>
      <c r="I59" s="124">
        <v>46268.351180555554</v>
      </c>
      <c r="J59" s="124">
        <v>0</v>
      </c>
      <c r="K59" s="178" t="s">
        <v>15</v>
      </c>
      <c r="L59" s="178" t="s">
        <v>15</v>
      </c>
      <c r="M59" s="124">
        <v>46270.353831018518</v>
      </c>
      <c r="N59" s="124">
        <v>46270.975034722222</v>
      </c>
      <c r="O59" s="124">
        <v>46271.35428240741</v>
      </c>
      <c r="P59" s="124">
        <v>46271.951319444444</v>
      </c>
      <c r="Q59" s="124">
        <v>46272.354317129626</v>
      </c>
      <c r="R59" s="124">
        <v>46272.925891203704</v>
      </c>
      <c r="S59" s="124">
        <v>46273.351944444446</v>
      </c>
      <c r="T59" s="124">
        <v>46273.956782407404</v>
      </c>
      <c r="U59" s="124">
        <v>46274.352407407408</v>
      </c>
      <c r="V59" s="124">
        <v>46274.959224537037</v>
      </c>
      <c r="W59" s="124">
        <v>46275.354837962965</v>
      </c>
      <c r="X59" s="124">
        <v>46275.918564814812</v>
      </c>
      <c r="Y59" s="124">
        <v>46276.568425925929</v>
      </c>
      <c r="Z59" s="124">
        <v>46276.956944444442</v>
      </c>
      <c r="AA59" s="124">
        <v>46277.35428240741</v>
      </c>
      <c r="AB59" s="124">
        <v>46277.983668981484</v>
      </c>
      <c r="AC59" s="124">
        <v>46278.354270833333</v>
      </c>
      <c r="AD59" s="124">
        <v>46278.948078703703</v>
      </c>
      <c r="AE59" s="124">
        <v>46279.353020833332</v>
      </c>
      <c r="AF59" s="124">
        <v>46279.952719907407</v>
      </c>
      <c r="AG59" s="124">
        <v>46280.346886574072</v>
      </c>
      <c r="AH59" s="124">
        <v>46280.928900462961</v>
      </c>
      <c r="AI59" s="110"/>
      <c r="AJ59" s="44">
        <v>41</v>
      </c>
      <c r="AK59" s="186" t="s">
        <v>23</v>
      </c>
      <c r="AL59" s="186" t="s">
        <v>23</v>
      </c>
      <c r="AM59" s="124">
        <v>46282.348865740743</v>
      </c>
      <c r="AN59" s="124">
        <v>46282.973680555559</v>
      </c>
      <c r="AO59" s="186" t="s">
        <v>23</v>
      </c>
      <c r="AP59" s="186" t="s">
        <v>23</v>
      </c>
      <c r="AQ59" s="124">
        <v>46284.34888888889</v>
      </c>
      <c r="AR59" s="124">
        <v>46284.968773148146</v>
      </c>
      <c r="AS59" s="124">
        <v>46285.352569444447</v>
      </c>
      <c r="AT59" s="124">
        <v>46285.954131944447</v>
      </c>
      <c r="AU59" s="124">
        <v>46286.350138888891</v>
      </c>
      <c r="AV59" s="124">
        <v>46286.946701388886</v>
      </c>
      <c r="AW59" s="124">
        <v>46287.352326388886</v>
      </c>
      <c r="AX59" s="124">
        <v>46287.981157407405</v>
      </c>
      <c r="AY59" s="124">
        <v>46288.35255787037</v>
      </c>
      <c r="AZ59" s="124">
        <v>46288.948969907404</v>
      </c>
      <c r="BA59" s="124">
        <v>46289.352407407408</v>
      </c>
      <c r="BB59" s="124">
        <v>46289.977696759262</v>
      </c>
      <c r="BC59" s="124">
        <v>46290.576458333337</v>
      </c>
      <c r="BD59" s="124">
        <v>46290.920798611114</v>
      </c>
      <c r="BE59" s="124">
        <v>46291.353854166664</v>
      </c>
      <c r="BF59" s="124">
        <v>46291.939583333333</v>
      </c>
      <c r="BG59" s="124">
        <v>46292.350810185184</v>
      </c>
      <c r="BH59" s="124">
        <v>46292.968472222223</v>
      </c>
      <c r="BI59" s="124">
        <v>46293.352083333331</v>
      </c>
      <c r="BJ59" s="124">
        <v>46293.940104166664</v>
      </c>
      <c r="BK59" s="124">
        <v>46294.34883101852</v>
      </c>
      <c r="BL59" s="124">
        <v>46294.902094907404</v>
      </c>
      <c r="BM59" s="156" t="s">
        <v>170</v>
      </c>
      <c r="BN59" s="156" t="s">
        <v>170</v>
      </c>
      <c r="BO59" s="152">
        <v>46265.347777777781</v>
      </c>
      <c r="BP59" s="152">
        <v>46265.941018518519</v>
      </c>
      <c r="BQ59" s="96">
        <f t="shared" si="26"/>
        <v>28</v>
      </c>
      <c r="BR59" s="67">
        <v>2</v>
      </c>
      <c r="BS59" s="1">
        <f t="shared" si="27"/>
        <v>26</v>
      </c>
      <c r="BT59" s="2">
        <f t="shared" si="28"/>
        <v>1</v>
      </c>
      <c r="BU59" s="2">
        <f t="shared" si="29"/>
        <v>0</v>
      </c>
      <c r="BV59" s="2">
        <f t="shared" si="30"/>
        <v>0</v>
      </c>
      <c r="BW59" s="2">
        <f t="shared" si="31"/>
        <v>0</v>
      </c>
      <c r="BX59" s="2">
        <f t="shared" si="32"/>
        <v>0</v>
      </c>
      <c r="BY59" s="2">
        <f t="shared" si="33"/>
        <v>0</v>
      </c>
      <c r="BZ59" s="2">
        <f t="shared" si="34"/>
        <v>1</v>
      </c>
      <c r="CA59" s="2">
        <f t="shared" si="35"/>
        <v>0</v>
      </c>
      <c r="CB59" s="2">
        <v>2</v>
      </c>
      <c r="CC59" s="2">
        <f t="shared" si="37"/>
        <v>0</v>
      </c>
      <c r="CD59" s="2">
        <f t="shared" si="38"/>
        <v>0</v>
      </c>
      <c r="CE59" s="3"/>
      <c r="CG59" s="113">
        <v>0</v>
      </c>
      <c r="CH59" s="114">
        <v>0</v>
      </c>
      <c r="CI59" s="114">
        <v>0</v>
      </c>
      <c r="CJ59" s="114">
        <v>0</v>
      </c>
      <c r="CK59" s="114">
        <v>0</v>
      </c>
      <c r="CL59" s="113">
        <v>6</v>
      </c>
      <c r="CM59" s="113">
        <v>1</v>
      </c>
      <c r="CN59" s="113">
        <v>1</v>
      </c>
      <c r="CO59" s="114">
        <v>0</v>
      </c>
      <c r="CP59" s="114">
        <v>0</v>
      </c>
      <c r="CQ59" s="116">
        <f t="shared" si="40"/>
        <v>8</v>
      </c>
    </row>
    <row r="60" spans="1:95" ht="21.75" customHeight="1" x14ac:dyDescent="0.25">
      <c r="A60" s="44">
        <v>42</v>
      </c>
      <c r="B60" s="11" t="s">
        <v>121</v>
      </c>
      <c r="C60" s="77" t="s">
        <v>122</v>
      </c>
      <c r="D60" s="87">
        <v>45401</v>
      </c>
      <c r="E60" s="124">
        <v>46266.346747685187</v>
      </c>
      <c r="F60" s="124">
        <v>46264.959085648145</v>
      </c>
      <c r="G60" s="124">
        <v>46267.349085648151</v>
      </c>
      <c r="H60" s="124">
        <v>46267.982037037036</v>
      </c>
      <c r="I60" s="124">
        <v>46268.344409722224</v>
      </c>
      <c r="J60" s="124">
        <v>46268.937638888892</v>
      </c>
      <c r="K60" s="178" t="s">
        <v>15</v>
      </c>
      <c r="L60" s="178" t="s">
        <v>15</v>
      </c>
      <c r="M60" s="124">
        <v>46270.34847222222</v>
      </c>
      <c r="N60" s="124">
        <v>46270.925034722219</v>
      </c>
      <c r="O60" s="124">
        <v>46271.348229166666</v>
      </c>
      <c r="P60" s="124">
        <v>46271.939131944448</v>
      </c>
      <c r="Q60" s="124">
        <v>46272.349097222221</v>
      </c>
      <c r="R60" s="124">
        <v>46272.941747685189</v>
      </c>
      <c r="S60" s="124">
        <v>46273.345300925925</v>
      </c>
      <c r="T60" s="124">
        <v>46273.927418981482</v>
      </c>
      <c r="U60" s="124">
        <v>46274.346296296295</v>
      </c>
      <c r="V60" s="124">
        <v>46274.921087962961</v>
      </c>
      <c r="W60" s="124">
        <v>46275.349930555552</v>
      </c>
      <c r="X60" s="124">
        <v>46275.939444444448</v>
      </c>
      <c r="Y60" s="124">
        <v>46276.580578703702</v>
      </c>
      <c r="Z60" s="124">
        <v>0</v>
      </c>
      <c r="AA60" s="124">
        <v>46277.347557870373</v>
      </c>
      <c r="AB60" s="124">
        <v>46277.940960648149</v>
      </c>
      <c r="AC60" s="124">
        <v>46278.348425925928</v>
      </c>
      <c r="AD60" s="124">
        <v>46278.956238425926</v>
      </c>
      <c r="AE60" s="124">
        <v>46279.347581018519</v>
      </c>
      <c r="AF60" s="124">
        <v>46279.939155092594</v>
      </c>
      <c r="AG60" s="124">
        <v>46280.348900462966</v>
      </c>
      <c r="AH60" s="124">
        <v>46280.937824074077</v>
      </c>
      <c r="AI60" s="110"/>
      <c r="AJ60" s="44">
        <v>42</v>
      </c>
      <c r="AK60" s="124">
        <v>46281.348379629628</v>
      </c>
      <c r="AL60" s="124">
        <v>46281.918900462966</v>
      </c>
      <c r="AM60" s="124">
        <v>46282.346747685187</v>
      </c>
      <c r="AN60" s="124">
        <v>46282.960532407407</v>
      </c>
      <c r="AO60" s="229" t="s">
        <v>15</v>
      </c>
      <c r="AP60" s="229" t="s">
        <v>15</v>
      </c>
      <c r="AQ60" s="124">
        <v>46284.348668981482</v>
      </c>
      <c r="AR60" s="124">
        <v>46284.962361111109</v>
      </c>
      <c r="AS60" s="124">
        <v>46285.347245370373</v>
      </c>
      <c r="AT60" s="124">
        <v>46285.9296412037</v>
      </c>
      <c r="AU60" s="124">
        <v>46286.348807870374</v>
      </c>
      <c r="AV60" s="124">
        <v>46286.926620370374</v>
      </c>
      <c r="AW60" s="124">
        <v>46287.347083333334</v>
      </c>
      <c r="AX60" s="124">
        <v>46287.956377314818</v>
      </c>
      <c r="AY60" s="124">
        <v>46288.349976851852</v>
      </c>
      <c r="AZ60" s="124">
        <v>46288.937638888892</v>
      </c>
      <c r="BA60" s="124">
        <v>46289.347800925927</v>
      </c>
      <c r="BB60" s="124">
        <v>46289.926423611112</v>
      </c>
      <c r="BC60" s="124">
        <v>46290.581192129626</v>
      </c>
      <c r="BD60" s="124">
        <v>46290.898657407408</v>
      </c>
      <c r="BE60" s="124">
        <v>46291.347222222219</v>
      </c>
      <c r="BF60" s="124">
        <v>46291.945370370369</v>
      </c>
      <c r="BG60" s="124">
        <v>46292.347141203703</v>
      </c>
      <c r="BH60" s="124">
        <v>46292.958356481482</v>
      </c>
      <c r="BI60" s="124">
        <v>46293.350185185183</v>
      </c>
      <c r="BJ60" s="124">
        <v>46293.936284722222</v>
      </c>
      <c r="BK60" s="124">
        <v>46294.346782407411</v>
      </c>
      <c r="BL60" s="124">
        <v>46294.932650462964</v>
      </c>
      <c r="BM60" s="124">
        <v>46295.346805555557</v>
      </c>
      <c r="BN60" s="124">
        <v>46295.948784722219</v>
      </c>
      <c r="BO60" s="124">
        <v>46265.347569444442</v>
      </c>
      <c r="BP60" s="124">
        <v>46265.926238425927</v>
      </c>
      <c r="BQ60" s="96">
        <f t="shared" si="26"/>
        <v>30</v>
      </c>
      <c r="BR60" s="67">
        <v>2</v>
      </c>
      <c r="BS60" s="1">
        <f t="shared" si="27"/>
        <v>28</v>
      </c>
      <c r="BT60" s="2">
        <f t="shared" si="28"/>
        <v>2</v>
      </c>
      <c r="BU60" s="2">
        <f t="shared" si="29"/>
        <v>0</v>
      </c>
      <c r="BV60" s="2">
        <f t="shared" si="30"/>
        <v>0</v>
      </c>
      <c r="BW60" s="2">
        <f t="shared" si="31"/>
        <v>0</v>
      </c>
      <c r="BX60" s="2">
        <f t="shared" si="32"/>
        <v>0</v>
      </c>
      <c r="BY60" s="2">
        <f t="shared" si="33"/>
        <v>0</v>
      </c>
      <c r="BZ60" s="2">
        <f t="shared" si="34"/>
        <v>0</v>
      </c>
      <c r="CA60" s="2">
        <f t="shared" si="35"/>
        <v>0</v>
      </c>
      <c r="CB60" s="2">
        <f t="shared" si="36"/>
        <v>0</v>
      </c>
      <c r="CC60" s="2">
        <f t="shared" si="37"/>
        <v>0</v>
      </c>
      <c r="CD60" s="2">
        <f t="shared" si="38"/>
        <v>0</v>
      </c>
      <c r="CE60" s="3"/>
      <c r="CG60" s="54">
        <v>0</v>
      </c>
      <c r="CH60" s="53">
        <v>0</v>
      </c>
      <c r="CI60" s="53">
        <v>0</v>
      </c>
      <c r="CJ60" s="53">
        <v>0</v>
      </c>
      <c r="CK60" s="53">
        <v>0</v>
      </c>
      <c r="CL60" s="54">
        <v>2</v>
      </c>
      <c r="CM60" s="53">
        <v>0</v>
      </c>
      <c r="CN60" s="53">
        <v>0</v>
      </c>
      <c r="CO60" s="53">
        <v>0</v>
      </c>
      <c r="CP60" s="53">
        <v>0</v>
      </c>
      <c r="CQ60" s="117">
        <f t="shared" si="40"/>
        <v>2</v>
      </c>
    </row>
    <row r="61" spans="1:95" ht="21.75" customHeight="1" x14ac:dyDescent="0.25">
      <c r="A61" s="44">
        <v>43</v>
      </c>
      <c r="B61" s="11" t="s">
        <v>123</v>
      </c>
      <c r="C61" s="77" t="s">
        <v>177</v>
      </c>
      <c r="D61" s="87">
        <v>45447</v>
      </c>
      <c r="E61" s="124">
        <v>46266.347268518519</v>
      </c>
      <c r="F61" s="124">
        <v>46264.952766203707</v>
      </c>
      <c r="G61" s="124">
        <v>46267.346006944441</v>
      </c>
      <c r="H61" s="124">
        <v>46267.917662037034</v>
      </c>
      <c r="I61" s="124">
        <v>46268.34752314815</v>
      </c>
      <c r="J61" s="124">
        <v>46268.928611111114</v>
      </c>
      <c r="K61" s="178" t="s">
        <v>15</v>
      </c>
      <c r="L61" s="178" t="s">
        <v>15</v>
      </c>
      <c r="M61" s="124">
        <v>46270.348171296297</v>
      </c>
      <c r="N61" s="124">
        <v>46270.924618055556</v>
      </c>
      <c r="O61" s="124">
        <v>46271.344988425924</v>
      </c>
      <c r="P61" s="124">
        <v>46271.910717592589</v>
      </c>
      <c r="Q61" s="124">
        <v>46272.345983796295</v>
      </c>
      <c r="R61" s="124">
        <v>46272.921527777777</v>
      </c>
      <c r="S61" s="124">
        <v>46273.348773148151</v>
      </c>
      <c r="T61" s="124">
        <v>46273.912511574075</v>
      </c>
      <c r="U61" s="124">
        <v>46274.348715277774</v>
      </c>
      <c r="V61" s="124">
        <v>46274.915081018517</v>
      </c>
      <c r="W61" s="124">
        <v>46275.352465277778</v>
      </c>
      <c r="X61" s="124">
        <v>46275.934282407405</v>
      </c>
      <c r="Y61" s="124">
        <v>46276.575208333335</v>
      </c>
      <c r="Z61" s="124">
        <v>0</v>
      </c>
      <c r="AA61" s="124">
        <v>46277.346967592595</v>
      </c>
      <c r="AB61" s="124">
        <v>46277.92428240741</v>
      </c>
      <c r="AC61" s="124">
        <v>46278.352141203701</v>
      </c>
      <c r="AD61" s="124">
        <v>46278.933472222219</v>
      </c>
      <c r="AE61" s="124">
        <v>46279.348807870374</v>
      </c>
      <c r="AF61" s="124">
        <v>46279.915439814817</v>
      </c>
      <c r="AG61" s="124">
        <v>46280.34946759259</v>
      </c>
      <c r="AH61" s="124">
        <v>46280.915335648147</v>
      </c>
      <c r="AI61" s="110"/>
      <c r="AJ61" s="44">
        <v>43</v>
      </c>
      <c r="AK61" s="124">
        <v>46281.350763888891</v>
      </c>
      <c r="AL61" s="124">
        <v>46281.91375</v>
      </c>
      <c r="AM61" s="124">
        <v>46282.350810185184</v>
      </c>
      <c r="AN61" s="124">
        <v>46282.937106481484</v>
      </c>
      <c r="AO61" s="229" t="s">
        <v>15</v>
      </c>
      <c r="AP61" s="229" t="s">
        <v>15</v>
      </c>
      <c r="AQ61" s="124">
        <v>46284.348229166666</v>
      </c>
      <c r="AR61" s="124">
        <v>46284.942141203705</v>
      </c>
      <c r="AS61" s="124">
        <v>46285.349050925928</v>
      </c>
      <c r="AT61" s="124">
        <v>46285.925196759257</v>
      </c>
      <c r="AU61" s="124">
        <v>46286.350092592591</v>
      </c>
      <c r="AV61" s="124">
        <v>46286.907013888886</v>
      </c>
      <c r="AW61" s="124">
        <v>46287.348263888889</v>
      </c>
      <c r="AX61" s="124">
        <v>46287.92931712963</v>
      </c>
      <c r="AY61" s="124">
        <v>46288.346736111111</v>
      </c>
      <c r="AZ61" s="124">
        <v>46288.934293981481</v>
      </c>
      <c r="BA61" s="124">
        <v>46289.344641203701</v>
      </c>
      <c r="BB61" s="124">
        <v>46289.923506944448</v>
      </c>
      <c r="BC61" s="124">
        <v>46290.571909722225</v>
      </c>
      <c r="BD61" s="124">
        <v>46290.898738425924</v>
      </c>
      <c r="BE61" s="124">
        <v>46291.350636574076</v>
      </c>
      <c r="BF61" s="124">
        <v>46291.935694444444</v>
      </c>
      <c r="BG61" s="124">
        <v>46292.350439814814</v>
      </c>
      <c r="BH61" s="124">
        <v>46292.912187499998</v>
      </c>
      <c r="BI61" s="124">
        <v>46293.349953703706</v>
      </c>
      <c r="BJ61" s="124">
        <v>46293.913969907408</v>
      </c>
      <c r="BK61" s="124">
        <v>46294.350162037037</v>
      </c>
      <c r="BL61" s="124">
        <v>46294.911296296297</v>
      </c>
      <c r="BM61" s="124">
        <v>46295.351689814815</v>
      </c>
      <c r="BN61" s="124">
        <v>46295.922256944446</v>
      </c>
      <c r="BO61" s="124">
        <v>46265.347638888888</v>
      </c>
      <c r="BP61" s="124">
        <v>46265.919062499997</v>
      </c>
      <c r="BQ61" s="96">
        <f t="shared" si="26"/>
        <v>30</v>
      </c>
      <c r="BR61" s="67">
        <v>2</v>
      </c>
      <c r="BS61" s="1">
        <f t="shared" si="27"/>
        <v>28</v>
      </c>
      <c r="BT61" s="2">
        <f t="shared" si="28"/>
        <v>2</v>
      </c>
      <c r="BU61" s="2">
        <f t="shared" si="29"/>
        <v>0</v>
      </c>
      <c r="BV61" s="2">
        <f t="shared" si="30"/>
        <v>0</v>
      </c>
      <c r="BW61" s="2">
        <f t="shared" si="31"/>
        <v>0</v>
      </c>
      <c r="BX61" s="2">
        <f t="shared" si="32"/>
        <v>0</v>
      </c>
      <c r="BY61" s="2">
        <f t="shared" si="33"/>
        <v>0</v>
      </c>
      <c r="BZ61" s="2">
        <f t="shared" si="34"/>
        <v>0</v>
      </c>
      <c r="CA61" s="2">
        <f t="shared" si="35"/>
        <v>0</v>
      </c>
      <c r="CB61" s="2">
        <f t="shared" si="36"/>
        <v>0</v>
      </c>
      <c r="CC61" s="2">
        <f t="shared" si="37"/>
        <v>0</v>
      </c>
      <c r="CD61" s="2">
        <f t="shared" si="38"/>
        <v>0</v>
      </c>
      <c r="CE61" s="3"/>
      <c r="CG61" s="113">
        <v>0</v>
      </c>
      <c r="CH61" s="114">
        <v>0</v>
      </c>
      <c r="CI61" s="114">
        <v>0</v>
      </c>
      <c r="CJ61" s="114">
        <v>0</v>
      </c>
      <c r="CK61" s="114">
        <v>0</v>
      </c>
      <c r="CL61" s="113">
        <v>1</v>
      </c>
      <c r="CM61" s="114">
        <v>0</v>
      </c>
      <c r="CN61" s="114">
        <v>0</v>
      </c>
      <c r="CO61" s="114">
        <v>0</v>
      </c>
      <c r="CP61" s="114">
        <v>0</v>
      </c>
      <c r="CQ61" s="116">
        <f t="shared" si="40"/>
        <v>1</v>
      </c>
    </row>
    <row r="62" spans="1:95" ht="21.75" customHeight="1" x14ac:dyDescent="0.25">
      <c r="A62" s="44">
        <v>44</v>
      </c>
      <c r="B62" s="11" t="s">
        <v>124</v>
      </c>
      <c r="C62" s="77" t="s">
        <v>178</v>
      </c>
      <c r="D62" s="87">
        <v>45467</v>
      </c>
      <c r="E62" s="124">
        <v>46266.347268518519</v>
      </c>
      <c r="F62" s="124">
        <v>46264.951284722221</v>
      </c>
      <c r="G62" s="124">
        <v>46267.346006944441</v>
      </c>
      <c r="H62" s="124">
        <v>46267.950578703705</v>
      </c>
      <c r="I62" s="124">
        <v>46268.34752314815</v>
      </c>
      <c r="J62" s="124">
        <v>46268.971724537034</v>
      </c>
      <c r="K62" s="124">
        <v>0</v>
      </c>
      <c r="L62" s="124">
        <v>0</v>
      </c>
      <c r="M62" s="124">
        <v>46270.348171296297</v>
      </c>
      <c r="N62" s="124">
        <v>46270.965289351851</v>
      </c>
      <c r="O62" s="124">
        <v>46271.344988425924</v>
      </c>
      <c r="P62" s="124">
        <v>46271.94568287037</v>
      </c>
      <c r="Q62" s="124">
        <v>46272.345983796295</v>
      </c>
      <c r="R62" s="124">
        <v>46272.94734953704</v>
      </c>
      <c r="S62" s="124">
        <v>46273.348773148151</v>
      </c>
      <c r="T62" s="124">
        <v>46273.947210648148</v>
      </c>
      <c r="U62" s="124">
        <v>46274.348715277774</v>
      </c>
      <c r="V62" s="124">
        <v>46274.948182870372</v>
      </c>
      <c r="W62" s="124">
        <v>46275.352465277778</v>
      </c>
      <c r="X62" s="124">
        <v>46275.97278935185</v>
      </c>
      <c r="Y62" s="178" t="s">
        <v>15</v>
      </c>
      <c r="Z62" s="178" t="s">
        <v>15</v>
      </c>
      <c r="AA62" s="124">
        <v>46277.346967592595</v>
      </c>
      <c r="AB62" s="124">
        <v>46277.964571759258</v>
      </c>
      <c r="AC62" s="124">
        <v>46278.352141203701</v>
      </c>
      <c r="AD62" s="124">
        <v>0</v>
      </c>
      <c r="AE62" s="124">
        <v>46279.348807870374</v>
      </c>
      <c r="AF62" s="124">
        <v>46279.943495370368</v>
      </c>
      <c r="AG62" s="124">
        <v>46280.34946759259</v>
      </c>
      <c r="AH62" s="124">
        <v>46280.944745370369</v>
      </c>
      <c r="AI62" s="105"/>
      <c r="AJ62" s="44">
        <v>44</v>
      </c>
      <c r="AK62" s="124">
        <v>46281.350763888891</v>
      </c>
      <c r="AL62" s="124">
        <v>46281.946516203701</v>
      </c>
      <c r="AM62" s="131">
        <v>46282.350810185184</v>
      </c>
      <c r="AN62" s="124">
        <v>46282.967442129629</v>
      </c>
      <c r="AO62" s="124">
        <v>0</v>
      </c>
      <c r="AP62" s="124">
        <v>46283.944097222222</v>
      </c>
      <c r="AQ62" s="124">
        <v>46284.348229166666</v>
      </c>
      <c r="AR62" s="124">
        <v>46284.966562499998</v>
      </c>
      <c r="AS62" s="124">
        <v>46285.349050925928</v>
      </c>
      <c r="AT62" s="124">
        <v>0</v>
      </c>
      <c r="AU62" s="124">
        <v>46286.350092592591</v>
      </c>
      <c r="AV62" s="124">
        <v>46286.950208333335</v>
      </c>
      <c r="AW62" s="124">
        <v>46287.348263888889</v>
      </c>
      <c r="AX62" s="124">
        <v>0</v>
      </c>
      <c r="AY62" s="124">
        <v>46288.346736111111</v>
      </c>
      <c r="AZ62" s="124">
        <v>0</v>
      </c>
      <c r="BA62" s="124">
        <v>46289.344641203701</v>
      </c>
      <c r="BB62" s="124">
        <v>46289.970196759263</v>
      </c>
      <c r="BC62" s="229" t="s">
        <v>15</v>
      </c>
      <c r="BD62" s="229" t="s">
        <v>15</v>
      </c>
      <c r="BE62" s="124">
        <v>46291.350636574076</v>
      </c>
      <c r="BF62" s="124">
        <v>46291.989872685182</v>
      </c>
      <c r="BG62" s="124">
        <v>46292.350439814814</v>
      </c>
      <c r="BH62" s="124">
        <v>46292.943495370368</v>
      </c>
      <c r="BI62" s="124">
        <v>46293.349953703706</v>
      </c>
      <c r="BJ62" s="124">
        <v>46293.946574074071</v>
      </c>
      <c r="BK62" s="124">
        <v>46294.350162037037</v>
      </c>
      <c r="BL62" s="124">
        <v>46294.946944444448</v>
      </c>
      <c r="BM62" s="124">
        <v>46295.351689814815</v>
      </c>
      <c r="BN62" s="124">
        <v>46295.946446759262</v>
      </c>
      <c r="BO62" s="124">
        <v>46265.347638888888</v>
      </c>
      <c r="BP62" s="124">
        <v>46265.947199074071</v>
      </c>
      <c r="BQ62" s="96">
        <f t="shared" si="26"/>
        <v>30</v>
      </c>
      <c r="BR62" s="67">
        <v>2</v>
      </c>
      <c r="BS62" s="1">
        <f t="shared" si="27"/>
        <v>28</v>
      </c>
      <c r="BT62" s="2">
        <f t="shared" si="28"/>
        <v>2</v>
      </c>
      <c r="BU62" s="2">
        <f t="shared" si="29"/>
        <v>0</v>
      </c>
      <c r="BV62" s="2">
        <f t="shared" si="30"/>
        <v>0</v>
      </c>
      <c r="BW62" s="2">
        <f t="shared" si="31"/>
        <v>0</v>
      </c>
      <c r="BX62" s="2">
        <f t="shared" si="32"/>
        <v>0</v>
      </c>
      <c r="BY62" s="2">
        <f t="shared" si="33"/>
        <v>0</v>
      </c>
      <c r="BZ62" s="2">
        <f t="shared" si="34"/>
        <v>0</v>
      </c>
      <c r="CA62" s="2">
        <f t="shared" si="35"/>
        <v>0</v>
      </c>
      <c r="CB62" s="2">
        <f t="shared" si="36"/>
        <v>0</v>
      </c>
      <c r="CC62" s="2">
        <f t="shared" si="37"/>
        <v>0</v>
      </c>
      <c r="CD62" s="2">
        <f t="shared" si="38"/>
        <v>0</v>
      </c>
      <c r="CE62" s="3"/>
      <c r="CG62" s="54">
        <v>0</v>
      </c>
      <c r="CH62" s="53">
        <v>0</v>
      </c>
      <c r="CI62" s="53">
        <v>0</v>
      </c>
      <c r="CJ62" s="53">
        <v>0</v>
      </c>
      <c r="CK62" s="53">
        <v>0</v>
      </c>
      <c r="CL62" s="54">
        <v>1</v>
      </c>
      <c r="CM62" s="53">
        <v>0</v>
      </c>
      <c r="CN62" s="53">
        <v>0</v>
      </c>
      <c r="CO62" s="53">
        <v>0</v>
      </c>
      <c r="CP62" s="53">
        <v>0</v>
      </c>
      <c r="CQ62" s="117">
        <f t="shared" si="40"/>
        <v>1</v>
      </c>
    </row>
    <row r="63" spans="1:95" ht="21.75" customHeight="1" x14ac:dyDescent="0.25">
      <c r="A63" s="44">
        <v>45</v>
      </c>
      <c r="B63" s="11" t="s">
        <v>127</v>
      </c>
      <c r="C63" s="77" t="s">
        <v>128</v>
      </c>
      <c r="D63" s="87">
        <v>45512</v>
      </c>
      <c r="E63" s="124">
        <v>46266.35396990741</v>
      </c>
      <c r="F63" s="124">
        <v>46264.95652777778</v>
      </c>
      <c r="G63" s="124">
        <v>46267.353252314817</v>
      </c>
      <c r="H63" s="124">
        <v>46267.963391203702</v>
      </c>
      <c r="I63" s="124">
        <v>46268.352905092594</v>
      </c>
      <c r="J63" s="124">
        <v>46268.974756944444</v>
      </c>
      <c r="K63" s="178" t="s">
        <v>15</v>
      </c>
      <c r="L63" s="178" t="s">
        <v>15</v>
      </c>
      <c r="M63" s="124">
        <v>46270.352939814817</v>
      </c>
      <c r="N63" s="124">
        <v>46270.970960648148</v>
      </c>
      <c r="O63" s="124">
        <v>46271.353425925925</v>
      </c>
      <c r="P63" s="124">
        <v>46271.957129629627</v>
      </c>
      <c r="Q63" s="124">
        <v>46272.353414351855</v>
      </c>
      <c r="R63" s="124">
        <v>46272.962962962964</v>
      </c>
      <c r="S63" s="124">
        <v>46273.352418981478</v>
      </c>
      <c r="T63" s="124">
        <v>46273.963310185187</v>
      </c>
      <c r="U63" s="124">
        <v>46274.353865740741</v>
      </c>
      <c r="V63" s="124">
        <v>46274.955266203702</v>
      </c>
      <c r="W63" s="124">
        <v>46275.354016203702</v>
      </c>
      <c r="X63" s="124">
        <v>46275.975277777776</v>
      </c>
      <c r="Y63" s="124">
        <v>46276.58090277778</v>
      </c>
      <c r="Z63" s="124">
        <v>46276.954108796293</v>
      </c>
      <c r="AA63" s="124">
        <v>46277.35260416667</v>
      </c>
      <c r="AB63" s="124">
        <v>46277.971585648149</v>
      </c>
      <c r="AC63" s="124">
        <v>46278.353055555555</v>
      </c>
      <c r="AD63" s="124">
        <v>46278.952499999999</v>
      </c>
      <c r="AE63" s="124">
        <v>46279.352858796294</v>
      </c>
      <c r="AF63" s="124">
        <v>46279.95621527778</v>
      </c>
      <c r="AG63" s="124">
        <v>46280.352430555555</v>
      </c>
      <c r="AH63" s="124">
        <v>46280.956944444442</v>
      </c>
      <c r="AI63" s="110"/>
      <c r="AJ63" s="44">
        <v>45</v>
      </c>
      <c r="AK63" s="124">
        <v>46281.352430555555</v>
      </c>
      <c r="AL63" s="124">
        <v>46281.952523148146</v>
      </c>
      <c r="AM63" s="124">
        <v>46282.353194444448</v>
      </c>
      <c r="AN63" s="124">
        <v>46282.972812499997</v>
      </c>
      <c r="AO63" s="228" t="s">
        <v>15</v>
      </c>
      <c r="AP63" s="228" t="s">
        <v>15</v>
      </c>
      <c r="AQ63" s="124">
        <v>46284.353263888886</v>
      </c>
      <c r="AR63" s="124">
        <v>46284.969571759262</v>
      </c>
      <c r="AS63" s="124">
        <v>46285.353310185186</v>
      </c>
      <c r="AT63" s="124">
        <v>46285.961180555554</v>
      </c>
      <c r="AU63" s="124">
        <v>46286.353090277778</v>
      </c>
      <c r="AV63" s="124">
        <v>46286.95585648148</v>
      </c>
      <c r="AW63" s="124">
        <v>46287.352986111109</v>
      </c>
      <c r="AX63" s="124">
        <v>46287.95652777778</v>
      </c>
      <c r="AY63" s="124">
        <v>46288.352395833332</v>
      </c>
      <c r="AZ63" s="124">
        <v>46288.962222222224</v>
      </c>
      <c r="BA63" s="124">
        <v>46289.352581018517</v>
      </c>
      <c r="BB63" s="124">
        <v>46289.978275462963</v>
      </c>
      <c r="BC63" s="124">
        <v>46290.579074074078</v>
      </c>
      <c r="BD63" s="124">
        <v>46290.952175925922</v>
      </c>
      <c r="BE63" s="124">
        <v>46291.352824074071</v>
      </c>
      <c r="BF63" s="124">
        <v>46291.973240740743</v>
      </c>
      <c r="BG63" s="124">
        <v>46292.353101851855</v>
      </c>
      <c r="BH63" s="124">
        <v>0</v>
      </c>
      <c r="BI63" s="124">
        <v>46293.353483796294</v>
      </c>
      <c r="BJ63" s="124">
        <v>46293.957106481481</v>
      </c>
      <c r="BK63" s="124">
        <v>46294.353321759256</v>
      </c>
      <c r="BL63" s="124">
        <v>46294.962939814817</v>
      </c>
      <c r="BM63" s="124">
        <v>46295.352071759262</v>
      </c>
      <c r="BN63" s="124">
        <v>46295.962916666664</v>
      </c>
      <c r="BO63" s="152">
        <v>46265.352905092594</v>
      </c>
      <c r="BP63" s="152">
        <v>46265.956064814818</v>
      </c>
      <c r="BQ63" s="96">
        <f t="shared" si="26"/>
        <v>30</v>
      </c>
      <c r="BR63" s="67">
        <v>2</v>
      </c>
      <c r="BS63" s="1">
        <f t="shared" si="27"/>
        <v>28</v>
      </c>
      <c r="BT63" s="2">
        <f t="shared" si="28"/>
        <v>2</v>
      </c>
      <c r="BU63" s="2">
        <f t="shared" si="29"/>
        <v>0</v>
      </c>
      <c r="BV63" s="2">
        <f t="shared" si="30"/>
        <v>0</v>
      </c>
      <c r="BW63" s="2">
        <f t="shared" si="31"/>
        <v>0</v>
      </c>
      <c r="BX63" s="2">
        <f t="shared" si="32"/>
        <v>0</v>
      </c>
      <c r="BY63" s="2">
        <f t="shared" si="33"/>
        <v>0</v>
      </c>
      <c r="BZ63" s="2">
        <f t="shared" si="34"/>
        <v>0</v>
      </c>
      <c r="CA63" s="2">
        <f t="shared" si="35"/>
        <v>0</v>
      </c>
      <c r="CB63" s="2">
        <f t="shared" si="36"/>
        <v>0</v>
      </c>
      <c r="CC63" s="2">
        <f t="shared" si="37"/>
        <v>0</v>
      </c>
      <c r="CD63" s="2">
        <f t="shared" si="38"/>
        <v>0</v>
      </c>
      <c r="CE63" s="3"/>
      <c r="CG63" s="54">
        <v>0</v>
      </c>
      <c r="CH63" s="53">
        <v>0</v>
      </c>
      <c r="CI63" s="53">
        <v>0</v>
      </c>
      <c r="CJ63" s="53">
        <v>0</v>
      </c>
      <c r="CK63" s="53">
        <v>0</v>
      </c>
      <c r="CL63" s="53">
        <v>6</v>
      </c>
      <c r="CM63" s="53">
        <v>0</v>
      </c>
      <c r="CN63" s="54">
        <v>1</v>
      </c>
      <c r="CO63" s="53">
        <v>0</v>
      </c>
      <c r="CP63" s="53">
        <v>0</v>
      </c>
      <c r="CQ63" s="117">
        <f t="shared" si="40"/>
        <v>7</v>
      </c>
    </row>
    <row r="64" spans="1:95" ht="21.75" customHeight="1" x14ac:dyDescent="0.25">
      <c r="A64" s="44">
        <v>46</v>
      </c>
      <c r="B64" s="11" t="s">
        <v>129</v>
      </c>
      <c r="C64" s="77" t="s">
        <v>228</v>
      </c>
      <c r="D64" s="87">
        <v>45536</v>
      </c>
      <c r="E64" s="124">
        <v>46266.348425925928</v>
      </c>
      <c r="F64" s="124">
        <v>46264.946828703702</v>
      </c>
      <c r="G64" s="124">
        <v>46267.354409722226</v>
      </c>
      <c r="H64" s="124">
        <v>46267.977268518516</v>
      </c>
      <c r="I64" s="124">
        <v>46268.347349537034</v>
      </c>
      <c r="J64" s="124">
        <v>46268.96947916667</v>
      </c>
      <c r="K64" s="178" t="s">
        <v>15</v>
      </c>
      <c r="L64" s="178" t="s">
        <v>15</v>
      </c>
      <c r="M64" s="124">
        <v>46270.354421296295</v>
      </c>
      <c r="N64" s="124">
        <v>46270.975439814814</v>
      </c>
      <c r="O64" s="124">
        <v>46271.352627314816</v>
      </c>
      <c r="P64" s="124">
        <v>46271.94054398148</v>
      </c>
      <c r="Q64" s="124">
        <v>46272.354687500003</v>
      </c>
      <c r="R64" s="124">
        <v>46272.939675925925</v>
      </c>
      <c r="S64" s="124">
        <v>46273.348483796297</v>
      </c>
      <c r="T64" s="124">
        <v>46273.957071759258</v>
      </c>
      <c r="U64" s="124">
        <v>46274.343715277777</v>
      </c>
      <c r="V64" s="124">
        <v>46274.959583333337</v>
      </c>
      <c r="W64" s="124">
        <v>46275.349340277775</v>
      </c>
      <c r="X64" s="124">
        <v>46275.979490740741</v>
      </c>
      <c r="Y64" s="124">
        <v>46276.580648148149</v>
      </c>
      <c r="Z64" s="124">
        <v>0</v>
      </c>
      <c r="AA64" s="124">
        <v>46277.348229166666</v>
      </c>
      <c r="AB64" s="124">
        <v>46277.982199074075</v>
      </c>
      <c r="AC64" s="124">
        <v>46278.352789351855</v>
      </c>
      <c r="AD64" s="124">
        <v>0</v>
      </c>
      <c r="AE64" s="124">
        <v>46279.351331018515</v>
      </c>
      <c r="AF64" s="124">
        <v>46279.946087962962</v>
      </c>
      <c r="AG64" s="124">
        <v>46280.348576388889</v>
      </c>
      <c r="AH64" s="124">
        <v>46280.929837962962</v>
      </c>
      <c r="AI64" s="110"/>
      <c r="AJ64" s="44">
        <v>46</v>
      </c>
      <c r="AK64" s="124">
        <v>46281.348240740743</v>
      </c>
      <c r="AL64" s="124">
        <v>46281.968692129631</v>
      </c>
      <c r="AM64" s="124">
        <v>46282.350474537037</v>
      </c>
      <c r="AN64" s="124">
        <v>46282.97247685185</v>
      </c>
      <c r="AO64" s="228" t="s">
        <v>15</v>
      </c>
      <c r="AP64" s="228" t="s">
        <v>15</v>
      </c>
      <c r="AQ64" s="124">
        <v>46284.349675925929</v>
      </c>
      <c r="AR64" s="124">
        <v>0</v>
      </c>
      <c r="AS64" s="124">
        <v>46285.34957175926</v>
      </c>
      <c r="AT64" s="124">
        <v>46285.954479166663</v>
      </c>
      <c r="AU64" s="124">
        <v>46286.348726851851</v>
      </c>
      <c r="AV64" s="124">
        <v>46286.946793981479</v>
      </c>
      <c r="AW64" s="124">
        <v>46287.349432870367</v>
      </c>
      <c r="AX64" s="124">
        <v>46287.978900462964</v>
      </c>
      <c r="AY64" s="124">
        <v>46288.355729166666</v>
      </c>
      <c r="AZ64" s="124">
        <v>46288.950104166666</v>
      </c>
      <c r="BA64" s="124">
        <v>46289.353877314818</v>
      </c>
      <c r="BB64" s="124">
        <v>46289.974606481483</v>
      </c>
      <c r="BC64" s="124">
        <v>46290.583182870374</v>
      </c>
      <c r="BD64" s="124">
        <v>46290.922650462962</v>
      </c>
      <c r="BE64" s="124">
        <v>46291.354803240742</v>
      </c>
      <c r="BF64" s="124">
        <v>46291.946377314816</v>
      </c>
      <c r="BG64" s="124">
        <v>46292.354826388888</v>
      </c>
      <c r="BH64" s="124">
        <v>46292.964178240742</v>
      </c>
      <c r="BI64" s="124">
        <v>46293.354583333334</v>
      </c>
      <c r="BJ64" s="124">
        <v>46293.939826388887</v>
      </c>
      <c r="BK64" s="124">
        <v>46294.346759259257</v>
      </c>
      <c r="BL64" s="124">
        <v>46294.942858796298</v>
      </c>
      <c r="BM64" s="124">
        <v>46295.353854166664</v>
      </c>
      <c r="BN64" s="124">
        <v>46295.982916666668</v>
      </c>
      <c r="BO64" s="152">
        <v>46265.354629629626</v>
      </c>
      <c r="BP64" s="152">
        <v>46265.941284722219</v>
      </c>
      <c r="BQ64" s="96">
        <f t="shared" si="26"/>
        <v>30</v>
      </c>
      <c r="BR64" s="67">
        <v>2</v>
      </c>
      <c r="BS64" s="1">
        <f t="shared" si="27"/>
        <v>28</v>
      </c>
      <c r="BT64" s="2">
        <f t="shared" si="28"/>
        <v>2</v>
      </c>
      <c r="BU64" s="2">
        <f t="shared" si="29"/>
        <v>0</v>
      </c>
      <c r="BV64" s="2">
        <f t="shared" si="30"/>
        <v>0</v>
      </c>
      <c r="BW64" s="2">
        <f t="shared" si="31"/>
        <v>0</v>
      </c>
      <c r="BX64" s="2">
        <f t="shared" si="32"/>
        <v>0</v>
      </c>
      <c r="BY64" s="2">
        <f t="shared" si="33"/>
        <v>0</v>
      </c>
      <c r="BZ64" s="2">
        <f t="shared" si="34"/>
        <v>0</v>
      </c>
      <c r="CA64" s="2">
        <f t="shared" si="35"/>
        <v>0</v>
      </c>
      <c r="CB64" s="2">
        <f t="shared" si="36"/>
        <v>0</v>
      </c>
      <c r="CC64" s="2">
        <f t="shared" si="37"/>
        <v>0</v>
      </c>
      <c r="CD64" s="2">
        <f t="shared" si="38"/>
        <v>0</v>
      </c>
      <c r="CE64" s="3"/>
      <c r="CG64" s="113">
        <v>0</v>
      </c>
      <c r="CH64" s="114">
        <v>0</v>
      </c>
      <c r="CI64" s="114">
        <v>0</v>
      </c>
      <c r="CJ64" s="113">
        <v>8</v>
      </c>
      <c r="CK64" s="114">
        <v>0</v>
      </c>
      <c r="CL64" s="113">
        <v>4</v>
      </c>
      <c r="CM64" s="114">
        <v>0</v>
      </c>
      <c r="CN64" s="114">
        <v>0</v>
      </c>
      <c r="CO64" s="114">
        <v>0</v>
      </c>
      <c r="CP64" s="114">
        <v>0</v>
      </c>
      <c r="CQ64" s="116">
        <f t="shared" si="40"/>
        <v>12</v>
      </c>
    </row>
    <row r="65" spans="1:95" ht="21.75" customHeight="1" x14ac:dyDescent="0.25">
      <c r="A65" s="44">
        <v>47</v>
      </c>
      <c r="B65" s="11" t="s">
        <v>130</v>
      </c>
      <c r="C65" s="77" t="s">
        <v>131</v>
      </c>
      <c r="D65" s="87">
        <v>45562</v>
      </c>
      <c r="E65" s="124">
        <v>46266.417164351849</v>
      </c>
      <c r="F65" s="124">
        <v>46264.963877314818</v>
      </c>
      <c r="G65" s="124">
        <v>46267.350659722222</v>
      </c>
      <c r="H65" s="124">
        <v>0</v>
      </c>
      <c r="I65" s="124">
        <v>0</v>
      </c>
      <c r="J65" s="124">
        <v>46268.958425925928</v>
      </c>
      <c r="K65" s="124">
        <v>46269.569189814814</v>
      </c>
      <c r="L65" s="124">
        <v>46269.956296296295</v>
      </c>
      <c r="M65" s="124">
        <v>46270.36</v>
      </c>
      <c r="N65" s="124">
        <v>0</v>
      </c>
      <c r="O65" s="124">
        <v>46271.354074074072</v>
      </c>
      <c r="P65" s="124">
        <v>0</v>
      </c>
      <c r="Q65" s="124">
        <v>0</v>
      </c>
      <c r="R65" s="124">
        <v>46272.938900462963</v>
      </c>
      <c r="S65" s="124">
        <v>0</v>
      </c>
      <c r="T65" s="124">
        <v>0</v>
      </c>
      <c r="U65" s="124">
        <v>0</v>
      </c>
      <c r="V65" s="124">
        <v>46274.91847222222</v>
      </c>
      <c r="W65" s="124">
        <v>0</v>
      </c>
      <c r="X65" s="124">
        <v>46275.954432870371</v>
      </c>
      <c r="Y65" s="124">
        <v>46276.571608796294</v>
      </c>
      <c r="Z65" s="124">
        <v>0</v>
      </c>
      <c r="AA65" s="124">
        <v>46277.359293981484</v>
      </c>
      <c r="AB65" s="124">
        <v>0</v>
      </c>
      <c r="AC65" s="124">
        <v>46278.329270833332</v>
      </c>
      <c r="AD65" s="124">
        <v>0</v>
      </c>
      <c r="AE65" s="124">
        <v>46279.357511574075</v>
      </c>
      <c r="AF65" s="124">
        <v>0</v>
      </c>
      <c r="AG65" s="124">
        <v>46280.332696759258</v>
      </c>
      <c r="AH65" s="124">
        <v>46280.941296296296</v>
      </c>
      <c r="AI65" s="105"/>
      <c r="AJ65" s="44">
        <v>47</v>
      </c>
      <c r="AK65" s="124">
        <v>46281.332071759258</v>
      </c>
      <c r="AL65" s="124">
        <v>46281.938657407409</v>
      </c>
      <c r="AM65" s="124">
        <v>46282.334849537037</v>
      </c>
      <c r="AN65" s="124">
        <v>0</v>
      </c>
      <c r="AO65" s="124">
        <v>46283.568344907406</v>
      </c>
      <c r="AP65" s="124">
        <v>0</v>
      </c>
      <c r="AQ65" s="124">
        <v>46284.351018518515</v>
      </c>
      <c r="AR65" s="124">
        <v>46284.918379629627</v>
      </c>
      <c r="AS65" s="124">
        <v>0</v>
      </c>
      <c r="AT65" s="124">
        <v>0</v>
      </c>
      <c r="AU65" s="124">
        <v>0</v>
      </c>
      <c r="AV65" s="124">
        <v>46286.940763888888</v>
      </c>
      <c r="AW65" s="124">
        <v>0</v>
      </c>
      <c r="AX65" s="124">
        <v>46287.930775462963</v>
      </c>
      <c r="AY65" s="124">
        <v>0</v>
      </c>
      <c r="AZ65" s="124">
        <v>46288.93478009259</v>
      </c>
      <c r="BA65" s="124">
        <v>0</v>
      </c>
      <c r="BB65" s="124">
        <v>0</v>
      </c>
      <c r="BC65" s="229" t="s">
        <v>15</v>
      </c>
      <c r="BD65" s="229" t="s">
        <v>15</v>
      </c>
      <c r="BE65" s="124">
        <v>46291.383217592593</v>
      </c>
      <c r="BF65" s="124">
        <v>0</v>
      </c>
      <c r="BG65" s="124">
        <v>0</v>
      </c>
      <c r="BH65" s="124">
        <v>46292.949050925927</v>
      </c>
      <c r="BI65" s="124">
        <v>0</v>
      </c>
      <c r="BJ65" s="124">
        <v>46293.947465277779</v>
      </c>
      <c r="BK65" s="124">
        <v>46294.427152777775</v>
      </c>
      <c r="BL65" s="124">
        <v>46294.927731481483</v>
      </c>
      <c r="BM65" s="124">
        <v>0</v>
      </c>
      <c r="BN65" s="124">
        <v>0</v>
      </c>
      <c r="BO65" s="152">
        <v>46265.412847222222</v>
      </c>
      <c r="BP65" s="152">
        <v>0</v>
      </c>
      <c r="BQ65" s="96">
        <f t="shared" si="26"/>
        <v>30</v>
      </c>
      <c r="BR65" s="67">
        <v>3</v>
      </c>
      <c r="BS65" s="1">
        <f t="shared" si="27"/>
        <v>29</v>
      </c>
      <c r="BT65" s="2">
        <f t="shared" si="28"/>
        <v>1</v>
      </c>
      <c r="BU65" s="2">
        <f t="shared" si="29"/>
        <v>0</v>
      </c>
      <c r="BV65" s="2">
        <f t="shared" si="30"/>
        <v>0</v>
      </c>
      <c r="BW65" s="2">
        <f t="shared" si="31"/>
        <v>0</v>
      </c>
      <c r="BX65" s="2">
        <f t="shared" si="32"/>
        <v>0</v>
      </c>
      <c r="BY65" s="2">
        <f t="shared" si="33"/>
        <v>0</v>
      </c>
      <c r="BZ65" s="2">
        <f t="shared" si="34"/>
        <v>0</v>
      </c>
      <c r="CA65" s="2">
        <f t="shared" si="35"/>
        <v>0</v>
      </c>
      <c r="CB65" s="2">
        <f t="shared" si="36"/>
        <v>0</v>
      </c>
      <c r="CC65" s="2">
        <f t="shared" si="37"/>
        <v>0</v>
      </c>
      <c r="CD65" s="2">
        <f t="shared" si="38"/>
        <v>0</v>
      </c>
      <c r="CE65" s="71"/>
      <c r="CG65" s="54">
        <v>0</v>
      </c>
      <c r="CH65" s="53">
        <v>0</v>
      </c>
      <c r="CI65" s="53">
        <v>0</v>
      </c>
      <c r="CJ65" s="53">
        <v>0</v>
      </c>
      <c r="CK65" s="53">
        <v>0</v>
      </c>
      <c r="CL65" s="53">
        <v>0</v>
      </c>
      <c r="CM65" s="53">
        <v>0</v>
      </c>
      <c r="CN65" s="53">
        <v>0</v>
      </c>
      <c r="CO65" s="53">
        <v>0</v>
      </c>
      <c r="CP65" s="53">
        <v>0</v>
      </c>
      <c r="CQ65" s="117">
        <f t="shared" si="40"/>
        <v>0</v>
      </c>
    </row>
    <row r="66" spans="1:95" ht="21.75" customHeight="1" x14ac:dyDescent="0.25">
      <c r="A66" s="44">
        <v>48</v>
      </c>
      <c r="B66" s="11" t="s">
        <v>114</v>
      </c>
      <c r="C66" s="77" t="s">
        <v>225</v>
      </c>
      <c r="D66" s="87"/>
      <c r="E66" s="124">
        <v>46266.347870370373</v>
      </c>
      <c r="F66" s="124">
        <v>46264.713553240741</v>
      </c>
      <c r="G66" s="124">
        <v>46267.348194444443</v>
      </c>
      <c r="H66" s="124">
        <v>46267.979259259257</v>
      </c>
      <c r="I66" s="124">
        <v>46268.349224537036</v>
      </c>
      <c r="J66" s="124">
        <v>46268.958564814813</v>
      </c>
      <c r="K66" s="178" t="s">
        <v>15</v>
      </c>
      <c r="L66" s="178" t="s">
        <v>15</v>
      </c>
      <c r="M66" s="124">
        <v>46270.349085648151</v>
      </c>
      <c r="N66" s="124">
        <v>46270.959027777775</v>
      </c>
      <c r="O66" s="124">
        <v>46271.351331018515</v>
      </c>
      <c r="P66" s="124">
        <v>46271.939733796295</v>
      </c>
      <c r="Q66" s="124">
        <v>46272.350462962961</v>
      </c>
      <c r="R66" s="124">
        <v>46272.938483796293</v>
      </c>
      <c r="S66" s="124">
        <v>46273.348136574074</v>
      </c>
      <c r="T66" s="124">
        <v>46273.940891203703</v>
      </c>
      <c r="U66" s="124">
        <v>46274.351620370369</v>
      </c>
      <c r="V66" s="124">
        <v>46274.963090277779</v>
      </c>
      <c r="W66" s="124">
        <v>46275.352025462962</v>
      </c>
      <c r="X66" s="124">
        <v>46275.95952546296</v>
      </c>
      <c r="Y66" s="124">
        <v>46276.580150462964</v>
      </c>
      <c r="Z66" s="124">
        <v>46276.933310185188</v>
      </c>
      <c r="AA66" s="124">
        <v>46277.351504629631</v>
      </c>
      <c r="AB66" s="124">
        <v>46277.964097222219</v>
      </c>
      <c r="AC66" s="124">
        <v>46278.350162037037</v>
      </c>
      <c r="AD66" s="124">
        <v>46278.958229166667</v>
      </c>
      <c r="AE66" s="124">
        <v>46279.348530092589</v>
      </c>
      <c r="AF66" s="124">
        <v>46279.958981481483</v>
      </c>
      <c r="AG66" s="124">
        <v>46280.346493055556</v>
      </c>
      <c r="AH66" s="124">
        <v>46280.939432870371</v>
      </c>
      <c r="AI66" s="112"/>
      <c r="AJ66" s="44">
        <v>48</v>
      </c>
      <c r="AK66" s="124">
        <v>46281.346041666664</v>
      </c>
      <c r="AL66" s="124">
        <v>46281.958032407405</v>
      </c>
      <c r="AM66" s="124">
        <v>46282.348391203705</v>
      </c>
      <c r="AN66" s="124">
        <v>46282.971574074072</v>
      </c>
      <c r="AO66" s="229" t="s">
        <v>15</v>
      </c>
      <c r="AP66" s="229" t="s">
        <v>15</v>
      </c>
      <c r="AQ66" s="124">
        <v>46284.327581018515</v>
      </c>
      <c r="AR66" s="124">
        <v>46284.961574074077</v>
      </c>
      <c r="AS66" s="124">
        <v>46285.330208333333</v>
      </c>
      <c r="AT66" s="124">
        <v>46285.938333333332</v>
      </c>
      <c r="AU66" s="124">
        <v>46286.328703703701</v>
      </c>
      <c r="AV66" s="124">
        <v>46286.940115740741</v>
      </c>
      <c r="AW66" s="124">
        <v>46287.328645833331</v>
      </c>
      <c r="AX66" s="124">
        <v>46287.946261574078</v>
      </c>
      <c r="AY66" s="124">
        <v>46288.328518518516</v>
      </c>
      <c r="AZ66" s="124">
        <v>46288.937731481485</v>
      </c>
      <c r="BA66" s="124">
        <v>46289.329097222224</v>
      </c>
      <c r="BB66" s="124">
        <v>46289.964861111112</v>
      </c>
      <c r="BC66" s="124">
        <v>46290.578773148147</v>
      </c>
      <c r="BD66" s="124">
        <v>46290.930532407408</v>
      </c>
      <c r="BE66" s="124">
        <v>46291.350046296298</v>
      </c>
      <c r="BF66" s="124">
        <v>46291.957986111112</v>
      </c>
      <c r="BG66" s="124">
        <v>46292.351388888892</v>
      </c>
      <c r="BH66" s="124">
        <v>46292.961064814815</v>
      </c>
      <c r="BI66" s="124">
        <v>46293.351215277777</v>
      </c>
      <c r="BJ66" s="124">
        <v>46293.943483796298</v>
      </c>
      <c r="BK66" s="124">
        <v>46294.349953703706</v>
      </c>
      <c r="BL66" s="157">
        <v>46294.940300925926</v>
      </c>
      <c r="BM66" s="124">
        <v>46295.34888888889</v>
      </c>
      <c r="BN66" s="124">
        <v>46295.95888888889</v>
      </c>
      <c r="BO66" s="160">
        <v>46265.347500000003</v>
      </c>
      <c r="BP66" s="160">
        <v>0</v>
      </c>
      <c r="BQ66" s="9">
        <f>BS66+BT66+BV66+BW66+CA66+BY66+BZ66+CD66</f>
        <v>30</v>
      </c>
      <c r="BR66" s="67">
        <v>2</v>
      </c>
      <c r="BS66" s="1">
        <f t="shared" si="27"/>
        <v>28</v>
      </c>
      <c r="BT66" s="2">
        <f>COUNTIF(E66:BN66,"OFF")/2</f>
        <v>2</v>
      </c>
      <c r="BU66" s="2">
        <f>COUNTIF(E66:BN66,"MC")/2</f>
        <v>0</v>
      </c>
      <c r="BV66" s="2">
        <f>COUNTIF(E66:BN66,"EL")/2</f>
        <v>0</v>
      </c>
      <c r="BW66" s="2">
        <f>COUNTIF(E66:BN66,"AL")/2</f>
        <v>0</v>
      </c>
      <c r="BX66" s="2">
        <f>COUNTIF(E66:BN66,"SUS")/2</f>
        <v>0</v>
      </c>
      <c r="BY66" s="2">
        <f>COUNTIF(E66:BN66,"FL")/2</f>
        <v>0</v>
      </c>
      <c r="BZ66" s="2">
        <f>COUNTIF(E66:BN66,"SICK")/2</f>
        <v>0</v>
      </c>
      <c r="CA66" s="2">
        <f>COUNTIF(E66:BN66,"HD")/2</f>
        <v>0</v>
      </c>
      <c r="CB66" s="2">
        <f>COUNTIF(E66:BN66,"AB")/2</f>
        <v>0</v>
      </c>
      <c r="CC66" s="2">
        <f>COUNTIF(E66:BN66,"NL")/2</f>
        <v>0</v>
      </c>
      <c r="CD66" s="2">
        <f>COUNTIF(E66:BN66,"SP")/2</f>
        <v>0</v>
      </c>
      <c r="CE66" s="3"/>
      <c r="CG66" s="53">
        <v>0</v>
      </c>
      <c r="CH66" s="53">
        <v>0</v>
      </c>
      <c r="CI66" s="53">
        <v>0</v>
      </c>
      <c r="CJ66" s="53">
        <v>0</v>
      </c>
      <c r="CK66" s="53">
        <v>0</v>
      </c>
      <c r="CL66" s="54">
        <v>3</v>
      </c>
      <c r="CM66" s="54">
        <v>0</v>
      </c>
      <c r="CN66" s="54">
        <v>0</v>
      </c>
      <c r="CO66" s="53">
        <v>0</v>
      </c>
      <c r="CP66" s="53">
        <v>0</v>
      </c>
      <c r="CQ66" s="55">
        <f>SUM(CG66:CP66)</f>
        <v>3</v>
      </c>
    </row>
    <row r="67" spans="1:95" ht="21.75" customHeight="1" x14ac:dyDescent="0.25">
      <c r="A67" s="44">
        <v>49</v>
      </c>
      <c r="B67" s="11" t="s">
        <v>172</v>
      </c>
      <c r="C67" s="77" t="s">
        <v>171</v>
      </c>
      <c r="D67" s="87">
        <v>45562</v>
      </c>
      <c r="E67" s="124">
        <v>46266.347349537034</v>
      </c>
      <c r="F67" s="124">
        <v>46264.881631944445</v>
      </c>
      <c r="G67" s="124">
        <v>46267.348634259259</v>
      </c>
      <c r="H67" s="124">
        <v>46267.939768518518</v>
      </c>
      <c r="I67" s="124">
        <v>46268.347951388889</v>
      </c>
      <c r="J67" s="124">
        <v>46268.938321759262</v>
      </c>
      <c r="K67" s="124">
        <v>46269.572928240741</v>
      </c>
      <c r="L67" s="124">
        <v>0</v>
      </c>
      <c r="M67" s="124">
        <v>46270.349756944444</v>
      </c>
      <c r="N67" s="124">
        <v>46270.940729166665</v>
      </c>
      <c r="O67" s="124">
        <v>46271.348067129627</v>
      </c>
      <c r="P67" s="124">
        <v>46271.938518518517</v>
      </c>
      <c r="Q67" s="124">
        <v>46272.346678240741</v>
      </c>
      <c r="R67" s="124">
        <v>46272.922152777777</v>
      </c>
      <c r="S67" s="124">
        <v>46273.34783564815</v>
      </c>
      <c r="T67" s="124">
        <v>46273.935474537036</v>
      </c>
      <c r="U67" s="124">
        <v>46274.347210648149</v>
      </c>
      <c r="V67" s="124">
        <v>46274.950578703705</v>
      </c>
      <c r="W67" s="124">
        <v>46275.348194444443</v>
      </c>
      <c r="X67" s="124">
        <v>46275.95888888889</v>
      </c>
      <c r="Y67" s="178" t="s">
        <v>15</v>
      </c>
      <c r="Z67" s="178" t="s">
        <v>15</v>
      </c>
      <c r="AA67" s="124">
        <v>46277.351145833331</v>
      </c>
      <c r="AB67" s="124">
        <v>46277.929988425924</v>
      </c>
      <c r="AC67" s="124">
        <v>46278.348576388889</v>
      </c>
      <c r="AD67" s="124">
        <v>46278.918888888889</v>
      </c>
      <c r="AE67" s="124">
        <v>46279.34915509259</v>
      </c>
      <c r="AF67" s="124">
        <v>0</v>
      </c>
      <c r="AG67" s="124">
        <v>46280.346979166665</v>
      </c>
      <c r="AH67" s="124">
        <v>46280.912928240738</v>
      </c>
      <c r="AI67" s="110"/>
      <c r="AJ67" s="44">
        <v>49</v>
      </c>
      <c r="AK67" s="124">
        <v>46281.347511574073</v>
      </c>
      <c r="AL67" s="124">
        <v>46281.926446759258</v>
      </c>
      <c r="AM67" s="124">
        <v>46282.348483796297</v>
      </c>
      <c r="AN67" s="124">
        <v>46282.939421296294</v>
      </c>
      <c r="AO67" s="124">
        <v>46283.571412037039</v>
      </c>
      <c r="AP67" s="124">
        <v>46283.915706018517</v>
      </c>
      <c r="AQ67" s="124">
        <v>46284.349293981482</v>
      </c>
      <c r="AR67" s="124">
        <v>46284.940497685187</v>
      </c>
      <c r="AS67" s="124">
        <v>46285.350405092591</v>
      </c>
      <c r="AT67" s="124">
        <v>46285.924814814818</v>
      </c>
      <c r="AU67" s="124">
        <v>46286.348368055558</v>
      </c>
      <c r="AV67" s="124">
        <v>46286.923194444447</v>
      </c>
      <c r="AW67" s="124">
        <v>46287.346643518518</v>
      </c>
      <c r="AX67" s="124">
        <v>46287.931180555555</v>
      </c>
      <c r="AY67" s="124">
        <v>46288.350358796299</v>
      </c>
      <c r="AZ67" s="124">
        <v>46288.930625000001</v>
      </c>
      <c r="BA67" s="124">
        <v>46289.350358796299</v>
      </c>
      <c r="BB67" s="124">
        <v>46289.96261574074</v>
      </c>
      <c r="BC67" s="229" t="s">
        <v>15</v>
      </c>
      <c r="BD67" s="229" t="s">
        <v>15</v>
      </c>
      <c r="BE67" s="124">
        <v>46291.351284722223</v>
      </c>
      <c r="BF67" s="124">
        <v>46291.950231481482</v>
      </c>
      <c r="BG67" s="124">
        <v>46292.347037037034</v>
      </c>
      <c r="BH67" s="124">
        <v>46292.942928240744</v>
      </c>
      <c r="BI67" s="124">
        <v>46293.352824074071</v>
      </c>
      <c r="BJ67" s="124">
        <v>46293.924930555557</v>
      </c>
      <c r="BK67" s="124">
        <v>46294.346909722219</v>
      </c>
      <c r="BL67" s="124">
        <v>46294.926458333335</v>
      </c>
      <c r="BM67" s="124">
        <v>46295.347650462965</v>
      </c>
      <c r="BN67" s="124">
        <v>46295.945208333331</v>
      </c>
      <c r="BO67" s="152">
        <v>46265.344328703701</v>
      </c>
      <c r="BP67" s="152">
        <v>46265.91547453704</v>
      </c>
      <c r="BQ67" s="96">
        <f t="shared" si="26"/>
        <v>30</v>
      </c>
      <c r="BR67" s="67">
        <v>2</v>
      </c>
      <c r="BS67" s="1">
        <f t="shared" si="27"/>
        <v>28</v>
      </c>
      <c r="BT67" s="2">
        <f t="shared" si="28"/>
        <v>2</v>
      </c>
      <c r="BU67" s="2">
        <f t="shared" si="29"/>
        <v>0</v>
      </c>
      <c r="BV67" s="2">
        <f t="shared" si="30"/>
        <v>0</v>
      </c>
      <c r="BW67" s="2">
        <f t="shared" si="31"/>
        <v>0</v>
      </c>
      <c r="BX67" s="2">
        <f t="shared" si="32"/>
        <v>0</v>
      </c>
      <c r="BY67" s="2">
        <f t="shared" si="33"/>
        <v>0</v>
      </c>
      <c r="BZ67" s="2">
        <f t="shared" si="34"/>
        <v>0</v>
      </c>
      <c r="CA67" s="2">
        <f t="shared" si="35"/>
        <v>0</v>
      </c>
      <c r="CB67" s="2">
        <f t="shared" si="36"/>
        <v>0</v>
      </c>
      <c r="CC67" s="2">
        <f t="shared" si="37"/>
        <v>0</v>
      </c>
      <c r="CD67" s="2">
        <f t="shared" si="38"/>
        <v>0</v>
      </c>
      <c r="CE67" s="3"/>
      <c r="CG67" s="113">
        <v>0</v>
      </c>
      <c r="CH67" s="114">
        <v>0</v>
      </c>
      <c r="CI67" s="114">
        <v>0</v>
      </c>
      <c r="CJ67" s="114">
        <v>0</v>
      </c>
      <c r="CK67" s="114">
        <v>0</v>
      </c>
      <c r="CL67" s="113">
        <v>3</v>
      </c>
      <c r="CM67" s="114">
        <v>0</v>
      </c>
      <c r="CN67" s="114">
        <v>0</v>
      </c>
      <c r="CO67" s="114">
        <v>0</v>
      </c>
      <c r="CP67" s="114">
        <v>0</v>
      </c>
      <c r="CQ67" s="116">
        <f t="shared" si="40"/>
        <v>3</v>
      </c>
    </row>
    <row r="68" spans="1:95" s="73" customFormat="1" ht="21.75" customHeight="1" x14ac:dyDescent="0.25">
      <c r="A68" s="44">
        <v>50</v>
      </c>
      <c r="B68" s="94" t="s">
        <v>132</v>
      </c>
      <c r="C68" s="77" t="s">
        <v>133</v>
      </c>
      <c r="D68" s="95">
        <v>45648</v>
      </c>
      <c r="E68" s="124">
        <v>46266.353275462963</v>
      </c>
      <c r="F68" s="124">
        <v>46264.949942129628</v>
      </c>
      <c r="G68" s="124">
        <v>46267.351979166669</v>
      </c>
      <c r="H68" s="124">
        <v>46267.747777777775</v>
      </c>
      <c r="I68" s="124">
        <v>46268.351782407408</v>
      </c>
      <c r="J68" s="124">
        <v>46268.734027777777</v>
      </c>
      <c r="K68" s="124">
        <v>0</v>
      </c>
      <c r="L68" s="124">
        <v>0</v>
      </c>
      <c r="M68" s="124">
        <v>46270.373298611114</v>
      </c>
      <c r="N68" s="124">
        <v>46270.749537037038</v>
      </c>
      <c r="O68" s="124">
        <v>46271.373344907406</v>
      </c>
      <c r="P68" s="124">
        <v>46271.742083333331</v>
      </c>
      <c r="Q68" s="124">
        <v>46272.37228009259</v>
      </c>
      <c r="R68" s="124">
        <v>46272.757268518515</v>
      </c>
      <c r="S68" s="124">
        <v>46273.37427083333</v>
      </c>
      <c r="T68" s="124">
        <v>0</v>
      </c>
      <c r="U68" s="124">
        <v>46274.352870370371</v>
      </c>
      <c r="V68" s="124">
        <v>0</v>
      </c>
      <c r="W68" s="124">
        <v>46275.37599537037</v>
      </c>
      <c r="X68" s="124">
        <v>46275.74077546296</v>
      </c>
      <c r="Y68" s="124">
        <v>0</v>
      </c>
      <c r="Z68" s="124">
        <v>0</v>
      </c>
      <c r="AA68" s="124">
        <v>46277.352256944447</v>
      </c>
      <c r="AB68" s="124">
        <v>0</v>
      </c>
      <c r="AC68" s="124">
        <v>0</v>
      </c>
      <c r="AD68" s="124">
        <v>0</v>
      </c>
      <c r="AE68" s="124">
        <v>46279.346307870372</v>
      </c>
      <c r="AF68" s="124">
        <v>0</v>
      </c>
      <c r="AG68" s="124">
        <v>0</v>
      </c>
      <c r="AH68" s="124">
        <v>0</v>
      </c>
      <c r="AI68" s="104"/>
      <c r="AJ68" s="44">
        <v>50</v>
      </c>
      <c r="AK68" s="124">
        <v>46281.37777777778</v>
      </c>
      <c r="AL68" s="124">
        <v>0</v>
      </c>
      <c r="AM68" s="156" t="s">
        <v>170</v>
      </c>
      <c r="AN68" s="156" t="s">
        <v>170</v>
      </c>
      <c r="AO68" s="124">
        <v>46283.558564814812</v>
      </c>
      <c r="AP68" s="124">
        <v>0</v>
      </c>
      <c r="AQ68" s="124">
        <v>46284.353831018518</v>
      </c>
      <c r="AR68" s="124">
        <v>0</v>
      </c>
      <c r="AS68" s="124">
        <v>46285.355127314811</v>
      </c>
      <c r="AT68" s="124">
        <v>0</v>
      </c>
      <c r="AU68" s="124">
        <v>46286.352106481485</v>
      </c>
      <c r="AV68" s="124">
        <v>0</v>
      </c>
      <c r="AW68" s="124">
        <v>46287.353981481479</v>
      </c>
      <c r="AX68" s="124">
        <v>0</v>
      </c>
      <c r="AY68" s="124">
        <v>46288.351539351854</v>
      </c>
      <c r="AZ68" s="124">
        <v>46288.940474537034</v>
      </c>
      <c r="BA68" s="124">
        <v>46289.35292824074</v>
      </c>
      <c r="BB68" s="124">
        <v>46289.765763888892</v>
      </c>
      <c r="BC68" s="124">
        <v>46290.604583333334</v>
      </c>
      <c r="BD68" s="124">
        <v>0</v>
      </c>
      <c r="BE68" s="124">
        <v>46291.351597222223</v>
      </c>
      <c r="BF68" s="124">
        <v>46291.752337962964</v>
      </c>
      <c r="BG68" s="124">
        <v>46292.353645833333</v>
      </c>
      <c r="BH68" s="124">
        <v>46292.736759259256</v>
      </c>
      <c r="BI68" s="124">
        <v>46293.353090277778</v>
      </c>
      <c r="BJ68" s="124">
        <v>46293.746805555558</v>
      </c>
      <c r="BK68" s="124">
        <v>46294.352905092594</v>
      </c>
      <c r="BL68" s="124">
        <v>46294.743032407408</v>
      </c>
      <c r="BM68" s="124">
        <v>46295.352361111109</v>
      </c>
      <c r="BN68" s="124">
        <v>46295.739988425928</v>
      </c>
      <c r="BO68" s="152">
        <v>46265.353055555555</v>
      </c>
      <c r="BP68" s="152">
        <v>46265.938958333332</v>
      </c>
      <c r="BQ68" s="96">
        <f t="shared" si="26"/>
        <v>30</v>
      </c>
      <c r="BR68" s="67">
        <v>4</v>
      </c>
      <c r="BS68" s="1">
        <f t="shared" si="27"/>
        <v>29</v>
      </c>
      <c r="BT68" s="2">
        <f t="shared" si="28"/>
        <v>0</v>
      </c>
      <c r="BU68" s="2">
        <f t="shared" si="29"/>
        <v>0</v>
      </c>
      <c r="BV68" s="2">
        <f t="shared" si="30"/>
        <v>0</v>
      </c>
      <c r="BW68" s="2">
        <f t="shared" si="31"/>
        <v>0</v>
      </c>
      <c r="BX68" s="2">
        <f t="shared" si="32"/>
        <v>0</v>
      </c>
      <c r="BY68" s="2">
        <f t="shared" si="33"/>
        <v>0</v>
      </c>
      <c r="BZ68" s="2">
        <f t="shared" si="34"/>
        <v>1</v>
      </c>
      <c r="CA68" s="2">
        <f t="shared" si="35"/>
        <v>0</v>
      </c>
      <c r="CB68" s="2">
        <f t="shared" si="36"/>
        <v>0</v>
      </c>
      <c r="CC68" s="2">
        <f t="shared" si="37"/>
        <v>0</v>
      </c>
      <c r="CD68" s="2">
        <f t="shared" si="38"/>
        <v>0</v>
      </c>
      <c r="CE68" s="3"/>
      <c r="CG68" s="113">
        <v>0</v>
      </c>
      <c r="CH68" s="114">
        <v>0</v>
      </c>
      <c r="CI68" s="114">
        <v>30</v>
      </c>
      <c r="CJ68" s="114">
        <v>0</v>
      </c>
      <c r="CK68" s="114">
        <v>0</v>
      </c>
      <c r="CL68" s="113">
        <v>0</v>
      </c>
      <c r="CM68" s="114">
        <v>0</v>
      </c>
      <c r="CN68" s="114">
        <v>0</v>
      </c>
      <c r="CO68" s="114">
        <v>6</v>
      </c>
      <c r="CP68" s="114">
        <v>0</v>
      </c>
      <c r="CQ68" s="116">
        <f t="shared" si="40"/>
        <v>36</v>
      </c>
    </row>
    <row r="69" spans="1:95" ht="21.75" customHeight="1" x14ac:dyDescent="0.25">
      <c r="A69" s="44">
        <v>51</v>
      </c>
      <c r="B69" s="11" t="s">
        <v>134</v>
      </c>
      <c r="C69" s="77" t="s">
        <v>135</v>
      </c>
      <c r="D69" s="87">
        <v>45653</v>
      </c>
      <c r="E69" s="124">
        <v>46266.352592592593</v>
      </c>
      <c r="F69" s="124">
        <v>46264.938240740739</v>
      </c>
      <c r="G69" s="124">
        <v>46267.355092592596</v>
      </c>
      <c r="H69" s="124">
        <v>46267.928622685184</v>
      </c>
      <c r="I69" s="124">
        <v>46268.350046296298</v>
      </c>
      <c r="J69" s="124">
        <v>0</v>
      </c>
      <c r="K69" s="124">
        <v>46269.577604166669</v>
      </c>
      <c r="L69" s="124">
        <v>46269.92627314815</v>
      </c>
      <c r="M69" s="124">
        <v>46270.352800925924</v>
      </c>
      <c r="N69" s="124">
        <v>46270.960162037038</v>
      </c>
      <c r="O69" s="124">
        <v>46271.352349537039</v>
      </c>
      <c r="P69" s="124">
        <v>46271.924062500002</v>
      </c>
      <c r="Q69" s="124">
        <v>46272.352013888885</v>
      </c>
      <c r="R69" s="124">
        <v>46272.954976851855</v>
      </c>
      <c r="S69" s="124">
        <v>46273.351527777777</v>
      </c>
      <c r="T69" s="124">
        <v>46273.939525462964</v>
      </c>
      <c r="U69" s="124">
        <v>46274.352106481485</v>
      </c>
      <c r="V69" s="124">
        <v>46274.934270833335</v>
      </c>
      <c r="W69" s="124">
        <v>46275.351099537038</v>
      </c>
      <c r="X69" s="124">
        <v>46275.942696759259</v>
      </c>
      <c r="Y69" s="178" t="s">
        <v>15</v>
      </c>
      <c r="Z69" s="178" t="s">
        <v>15</v>
      </c>
      <c r="AA69" s="124">
        <v>46277.349594907406</v>
      </c>
      <c r="AB69" s="124">
        <v>46277.984803240739</v>
      </c>
      <c r="AC69" s="124">
        <v>46278.352673611109</v>
      </c>
      <c r="AD69" s="124">
        <v>46278.938483796293</v>
      </c>
      <c r="AE69" s="124">
        <v>46279.352523148147</v>
      </c>
      <c r="AF69" s="124">
        <v>46279.935428240744</v>
      </c>
      <c r="AG69" s="124">
        <v>46280.352349537039</v>
      </c>
      <c r="AH69" s="124">
        <v>46280.9371875</v>
      </c>
      <c r="AI69" s="110"/>
      <c r="AJ69" s="44">
        <v>51</v>
      </c>
      <c r="AK69" s="124">
        <v>46281.351539351854</v>
      </c>
      <c r="AL69" s="124">
        <v>0</v>
      </c>
      <c r="AM69" s="124">
        <v>46282.354108796295</v>
      </c>
      <c r="AN69" s="124">
        <v>0</v>
      </c>
      <c r="AO69" s="229" t="s">
        <v>15</v>
      </c>
      <c r="AP69" s="229" t="s">
        <v>15</v>
      </c>
      <c r="AQ69" s="124">
        <v>46284.352268518516</v>
      </c>
      <c r="AR69" s="124">
        <v>46284.941736111112</v>
      </c>
      <c r="AS69" s="124">
        <v>46285.352905092594</v>
      </c>
      <c r="AT69" s="124">
        <v>46285.938425925924</v>
      </c>
      <c r="AU69" s="124">
        <v>46286.351643518516</v>
      </c>
      <c r="AV69" s="124">
        <v>46286.938449074078</v>
      </c>
      <c r="AW69" s="124">
        <v>46287.354409722226</v>
      </c>
      <c r="AX69" s="124">
        <v>46287.943518518521</v>
      </c>
      <c r="AY69" s="124">
        <v>46288.352754629632</v>
      </c>
      <c r="AZ69" s="124">
        <v>46288.951851851853</v>
      </c>
      <c r="BA69" s="124">
        <v>46289.350821759261</v>
      </c>
      <c r="BB69" s="124">
        <v>46289.956574074073</v>
      </c>
      <c r="BC69" s="229" t="s">
        <v>15</v>
      </c>
      <c r="BD69" s="229" t="s">
        <v>15</v>
      </c>
      <c r="BE69" s="124">
        <v>46291.35224537037</v>
      </c>
      <c r="BF69" s="124">
        <v>46291.937210648146</v>
      </c>
      <c r="BG69" s="124">
        <v>46292.35396990741</v>
      </c>
      <c r="BH69" s="124">
        <v>46292.937974537039</v>
      </c>
      <c r="BI69" s="124">
        <v>46293.353807870371</v>
      </c>
      <c r="BJ69" s="124">
        <v>46293.935324074075</v>
      </c>
      <c r="BK69" s="124">
        <v>46294.350798611114</v>
      </c>
      <c r="BL69" s="124">
        <v>46294.935613425929</v>
      </c>
      <c r="BM69" s="124">
        <v>46295.354097222225</v>
      </c>
      <c r="BN69" s="124">
        <v>46295.93818287037</v>
      </c>
      <c r="BO69" s="152">
        <v>46265.351087962961</v>
      </c>
      <c r="BP69" s="152">
        <v>46265.94054398148</v>
      </c>
      <c r="BQ69" s="96">
        <f t="shared" si="26"/>
        <v>30</v>
      </c>
      <c r="BR69" s="67">
        <v>1</v>
      </c>
      <c r="BS69" s="1">
        <f t="shared" si="27"/>
        <v>27</v>
      </c>
      <c r="BT69" s="2">
        <f t="shared" si="28"/>
        <v>3</v>
      </c>
      <c r="BU69" s="2">
        <f t="shared" si="29"/>
        <v>0</v>
      </c>
      <c r="BV69" s="2">
        <f t="shared" si="30"/>
        <v>0</v>
      </c>
      <c r="BW69" s="2">
        <f t="shared" si="31"/>
        <v>0</v>
      </c>
      <c r="BX69" s="2">
        <f t="shared" si="32"/>
        <v>0</v>
      </c>
      <c r="BY69" s="2">
        <f t="shared" si="33"/>
        <v>0</v>
      </c>
      <c r="BZ69" s="2">
        <f t="shared" si="34"/>
        <v>0</v>
      </c>
      <c r="CA69" s="2">
        <f t="shared" si="35"/>
        <v>0</v>
      </c>
      <c r="CB69" s="2">
        <f t="shared" si="36"/>
        <v>0</v>
      </c>
      <c r="CC69" s="2">
        <f t="shared" si="37"/>
        <v>0</v>
      </c>
      <c r="CD69" s="2">
        <f t="shared" si="38"/>
        <v>0</v>
      </c>
      <c r="CE69" s="3"/>
      <c r="CG69" s="113">
        <v>0</v>
      </c>
      <c r="CH69" s="114">
        <v>0</v>
      </c>
      <c r="CI69" s="114">
        <v>0</v>
      </c>
      <c r="CJ69" s="114">
        <v>0</v>
      </c>
      <c r="CK69" s="114">
        <v>0</v>
      </c>
      <c r="CL69" s="113">
        <v>6</v>
      </c>
      <c r="CM69" s="114">
        <v>0</v>
      </c>
      <c r="CN69" s="114">
        <v>0</v>
      </c>
      <c r="CO69" s="114">
        <v>0</v>
      </c>
      <c r="CP69" s="114">
        <v>0</v>
      </c>
      <c r="CQ69" s="116">
        <f t="shared" si="40"/>
        <v>6</v>
      </c>
    </row>
    <row r="70" spans="1:95" ht="21.75" customHeight="1" x14ac:dyDescent="0.25">
      <c r="A70" s="44">
        <v>52</v>
      </c>
      <c r="B70" s="11" t="s">
        <v>136</v>
      </c>
      <c r="C70" s="77" t="s">
        <v>137</v>
      </c>
      <c r="D70" s="87">
        <v>45670</v>
      </c>
      <c r="E70" s="124">
        <v>46266.349988425929</v>
      </c>
      <c r="F70" s="124">
        <v>46264.954143518517</v>
      </c>
      <c r="G70" s="124">
        <v>46267.357048611113</v>
      </c>
      <c r="H70" s="124">
        <v>0</v>
      </c>
      <c r="I70" s="124">
        <v>46268.354490740741</v>
      </c>
      <c r="J70" s="124">
        <v>46268.965856481482</v>
      </c>
      <c r="K70" s="124">
        <v>46269.576435185183</v>
      </c>
      <c r="L70" s="124">
        <v>46269.994710648149</v>
      </c>
      <c r="M70" s="124">
        <v>46270.353946759256</v>
      </c>
      <c r="N70" s="124">
        <v>46270.976354166669</v>
      </c>
      <c r="O70" s="124">
        <v>46271.352835648147</v>
      </c>
      <c r="P70" s="124">
        <v>46271.946423611109</v>
      </c>
      <c r="Q70" s="124">
        <v>46272.354525462964</v>
      </c>
      <c r="R70" s="124">
        <v>46272.971296296295</v>
      </c>
      <c r="S70" s="124">
        <v>46273.35359953704</v>
      </c>
      <c r="T70" s="124">
        <v>46273.975335648145</v>
      </c>
      <c r="U70" s="124">
        <v>46274.354143518518</v>
      </c>
      <c r="V70" s="124">
        <v>46274.969571759262</v>
      </c>
      <c r="W70" s="124">
        <v>46275.351030092592</v>
      </c>
      <c r="X70" s="124">
        <v>46275.986331018517</v>
      </c>
      <c r="Y70" s="178" t="s">
        <v>15</v>
      </c>
      <c r="Z70" s="178" t="s">
        <v>15</v>
      </c>
      <c r="AA70" s="124">
        <v>46277.355486111112</v>
      </c>
      <c r="AB70" s="124">
        <v>46277.986886574072</v>
      </c>
      <c r="AC70" s="124">
        <v>46278.355937499997</v>
      </c>
      <c r="AD70" s="124">
        <v>46278.960011574076</v>
      </c>
      <c r="AE70" s="124">
        <v>46279.355416666665</v>
      </c>
      <c r="AF70" s="124">
        <v>46279.964189814818</v>
      </c>
      <c r="AG70" s="124">
        <v>46280.353877314818</v>
      </c>
      <c r="AH70" s="124">
        <v>46280.963472222225</v>
      </c>
      <c r="AI70" s="110"/>
      <c r="AJ70" s="44">
        <v>52</v>
      </c>
      <c r="AK70" s="124">
        <v>46281.548321759263</v>
      </c>
      <c r="AL70" s="124">
        <v>46281.9690162037</v>
      </c>
      <c r="AM70" s="131">
        <v>46282.354525462964</v>
      </c>
      <c r="AN70" s="124">
        <v>46282.975439814814</v>
      </c>
      <c r="AO70" s="124">
        <v>46283.58148148148</v>
      </c>
      <c r="AP70" s="124">
        <v>46283.942141203705</v>
      </c>
      <c r="AQ70" s="124">
        <v>46284.343935185185</v>
      </c>
      <c r="AR70" s="124">
        <v>0</v>
      </c>
      <c r="AS70" s="124">
        <v>46285.333240740743</v>
      </c>
      <c r="AT70" s="124">
        <v>46285.958287037036</v>
      </c>
      <c r="AU70" s="124">
        <v>46286.346446759257</v>
      </c>
      <c r="AV70" s="124">
        <v>46286.953020833331</v>
      </c>
      <c r="AW70" s="124">
        <v>46287.352812500001</v>
      </c>
      <c r="AX70" s="124">
        <v>46287.981354166666</v>
      </c>
      <c r="AY70" s="124">
        <v>46288.350185185183</v>
      </c>
      <c r="AZ70" s="124">
        <v>46288.712789351855</v>
      </c>
      <c r="BA70" s="124">
        <v>46289.353715277779</v>
      </c>
      <c r="BB70" s="124">
        <v>46289.979363425926</v>
      </c>
      <c r="BC70" s="229" t="s">
        <v>15</v>
      </c>
      <c r="BD70" s="229" t="s">
        <v>15</v>
      </c>
      <c r="BE70" s="124">
        <v>46291.353877314818</v>
      </c>
      <c r="BF70" s="124">
        <v>46291.959398148145</v>
      </c>
      <c r="BG70" s="124">
        <v>46292.354143518518</v>
      </c>
      <c r="BH70" s="124">
        <v>46292.969212962962</v>
      </c>
      <c r="BI70" s="124">
        <v>46293.354328703703</v>
      </c>
      <c r="BJ70" s="124">
        <v>46293.722638888888</v>
      </c>
      <c r="BK70" s="124">
        <v>46294.354224537034</v>
      </c>
      <c r="BL70" s="124">
        <v>46294.950277777774</v>
      </c>
      <c r="BM70" s="124">
        <v>46295.353726851848</v>
      </c>
      <c r="BN70" s="124">
        <v>46295.955185185187</v>
      </c>
      <c r="BO70" s="152">
        <v>46265.353113425925</v>
      </c>
      <c r="BP70" s="152">
        <v>46265.960509259261</v>
      </c>
      <c r="BQ70" s="96">
        <f t="shared" si="26"/>
        <v>30</v>
      </c>
      <c r="BR70" s="67">
        <v>2</v>
      </c>
      <c r="BS70" s="1">
        <f t="shared" si="27"/>
        <v>28</v>
      </c>
      <c r="BT70" s="2">
        <f t="shared" si="28"/>
        <v>2</v>
      </c>
      <c r="BU70" s="2">
        <f t="shared" si="29"/>
        <v>0</v>
      </c>
      <c r="BV70" s="2">
        <f t="shared" si="30"/>
        <v>0</v>
      </c>
      <c r="BW70" s="2">
        <f t="shared" si="31"/>
        <v>0</v>
      </c>
      <c r="BX70" s="2">
        <f t="shared" si="32"/>
        <v>0</v>
      </c>
      <c r="BY70" s="2">
        <f t="shared" si="33"/>
        <v>0</v>
      </c>
      <c r="BZ70" s="2">
        <f t="shared" si="34"/>
        <v>0</v>
      </c>
      <c r="CA70" s="2">
        <f t="shared" si="35"/>
        <v>0</v>
      </c>
      <c r="CB70" s="2">
        <f t="shared" si="36"/>
        <v>0</v>
      </c>
      <c r="CC70" s="2">
        <f t="shared" si="37"/>
        <v>0</v>
      </c>
      <c r="CD70" s="2">
        <f t="shared" si="38"/>
        <v>0</v>
      </c>
      <c r="CE70" s="3"/>
      <c r="CG70" s="54">
        <v>0</v>
      </c>
      <c r="CH70" s="53">
        <v>0</v>
      </c>
      <c r="CI70" s="53">
        <v>0</v>
      </c>
      <c r="CJ70" s="53">
        <v>0</v>
      </c>
      <c r="CK70" s="53">
        <v>0</v>
      </c>
      <c r="CL70" s="53">
        <v>0</v>
      </c>
      <c r="CM70" s="53">
        <v>0</v>
      </c>
      <c r="CN70" s="53">
        <v>0</v>
      </c>
      <c r="CO70" s="53">
        <v>0</v>
      </c>
      <c r="CP70" s="53">
        <v>0</v>
      </c>
      <c r="CQ70" s="117">
        <f t="shared" si="40"/>
        <v>0</v>
      </c>
    </row>
    <row r="71" spans="1:95" ht="21.75" customHeight="1" x14ac:dyDescent="0.25">
      <c r="A71" s="44">
        <v>53</v>
      </c>
      <c r="B71" s="11" t="s">
        <v>138</v>
      </c>
      <c r="C71" s="77" t="s">
        <v>139</v>
      </c>
      <c r="D71" s="87">
        <v>45670</v>
      </c>
      <c r="E71" s="124">
        <v>46266.411678240744</v>
      </c>
      <c r="F71" s="124">
        <v>46264.958935185183</v>
      </c>
      <c r="G71" s="124">
        <v>0</v>
      </c>
      <c r="H71" s="124">
        <v>46267.983425925922</v>
      </c>
      <c r="I71" s="124">
        <v>46268.412418981483</v>
      </c>
      <c r="J71" s="124">
        <v>46268.988599537035</v>
      </c>
      <c r="K71" s="124">
        <v>46269.58258101852</v>
      </c>
      <c r="L71" s="124">
        <v>46269.994502314818</v>
      </c>
      <c r="M71" s="124">
        <v>46270.352349537039</v>
      </c>
      <c r="N71" s="124">
        <v>46270.980312500003</v>
      </c>
      <c r="O71" s="124">
        <v>46271.354201388887</v>
      </c>
      <c r="P71" s="124">
        <v>46271.962291666663</v>
      </c>
      <c r="Q71" s="124">
        <v>46272.35292824074</v>
      </c>
      <c r="R71" s="124">
        <v>46272.943449074075</v>
      </c>
      <c r="S71" s="124">
        <v>46273.352685185186</v>
      </c>
      <c r="T71" s="124">
        <v>46273.950196759259</v>
      </c>
      <c r="U71" s="124">
        <v>46274.409409722219</v>
      </c>
      <c r="V71" s="124">
        <v>46274.947534722225</v>
      </c>
      <c r="W71" s="124">
        <v>46275.350949074076</v>
      </c>
      <c r="X71" s="124">
        <v>46275.952268518522</v>
      </c>
      <c r="Y71" s="124">
        <v>0</v>
      </c>
      <c r="Z71" s="124">
        <v>46276.916875000003</v>
      </c>
      <c r="AA71" s="124">
        <v>46277.416562500002</v>
      </c>
      <c r="AB71" s="124">
        <v>46277.949490740742</v>
      </c>
      <c r="AC71" s="124">
        <v>46278.436493055553</v>
      </c>
      <c r="AD71" s="124">
        <v>46278.948506944442</v>
      </c>
      <c r="AE71" s="124">
        <v>0</v>
      </c>
      <c r="AF71" s="124">
        <v>46279.947164351855</v>
      </c>
      <c r="AG71" s="124">
        <v>46280.446655092594</v>
      </c>
      <c r="AH71" s="124">
        <v>46280.949305555558</v>
      </c>
      <c r="AI71" s="105"/>
      <c r="AJ71" s="44">
        <v>53</v>
      </c>
      <c r="AK71" s="124">
        <v>46281.432187500002</v>
      </c>
      <c r="AL71" s="124">
        <v>46281.883344907408</v>
      </c>
      <c r="AM71" s="124">
        <v>0</v>
      </c>
      <c r="AN71" s="124">
        <v>46282.88795138889</v>
      </c>
      <c r="AO71" s="124">
        <v>46283.572939814818</v>
      </c>
      <c r="AP71" s="124">
        <v>46283.717638888891</v>
      </c>
      <c r="AQ71" s="124">
        <v>46284.432037037041</v>
      </c>
      <c r="AR71" s="124">
        <v>46284.711412037039</v>
      </c>
      <c r="AS71" s="124">
        <v>46285.403784722221</v>
      </c>
      <c r="AT71" s="124">
        <v>46285.730636574073</v>
      </c>
      <c r="AU71" s="124">
        <v>0</v>
      </c>
      <c r="AV71" s="124">
        <v>46286.732314814813</v>
      </c>
      <c r="AW71" s="124">
        <v>0</v>
      </c>
      <c r="AX71" s="124">
        <v>46287.884733796294</v>
      </c>
      <c r="AY71" s="124">
        <v>0</v>
      </c>
      <c r="AZ71" s="124">
        <v>46288.951770833337</v>
      </c>
      <c r="BA71" s="124">
        <v>0</v>
      </c>
      <c r="BB71" s="124">
        <v>46289.871550925927</v>
      </c>
      <c r="BC71" s="229" t="s">
        <v>15</v>
      </c>
      <c r="BD71" s="229" t="s">
        <v>15</v>
      </c>
      <c r="BE71" s="124">
        <v>46291.399386574078</v>
      </c>
      <c r="BF71" s="124">
        <v>46291.709872685184</v>
      </c>
      <c r="BG71" s="124">
        <v>46292.404143518521</v>
      </c>
      <c r="BH71" s="124">
        <v>46292.71471064815</v>
      </c>
      <c r="BI71" s="124">
        <v>0</v>
      </c>
      <c r="BJ71" s="124">
        <v>0</v>
      </c>
      <c r="BK71" s="124">
        <v>46294.41741898148</v>
      </c>
      <c r="BL71" s="124">
        <v>46294.751851851855</v>
      </c>
      <c r="BM71" s="124">
        <v>46295.386134259257</v>
      </c>
      <c r="BN71" s="124">
        <v>46295.715300925927</v>
      </c>
      <c r="BO71" s="152">
        <v>46265.398657407408</v>
      </c>
      <c r="BP71" s="12">
        <v>1</v>
      </c>
      <c r="BQ71" s="96">
        <f t="shared" si="26"/>
        <v>30</v>
      </c>
      <c r="BR71" s="67">
        <v>3</v>
      </c>
      <c r="BS71" s="1">
        <f t="shared" si="27"/>
        <v>29</v>
      </c>
      <c r="BT71" s="2">
        <f t="shared" si="28"/>
        <v>1</v>
      </c>
      <c r="BU71" s="2">
        <f t="shared" si="29"/>
        <v>0</v>
      </c>
      <c r="BV71" s="2">
        <f t="shared" si="30"/>
        <v>0</v>
      </c>
      <c r="BW71" s="2">
        <f t="shared" si="31"/>
        <v>0</v>
      </c>
      <c r="BX71" s="2">
        <f t="shared" si="32"/>
        <v>0</v>
      </c>
      <c r="BY71" s="2">
        <f t="shared" si="33"/>
        <v>0</v>
      </c>
      <c r="BZ71" s="2">
        <f t="shared" si="34"/>
        <v>0</v>
      </c>
      <c r="CA71" s="2">
        <f t="shared" si="35"/>
        <v>0</v>
      </c>
      <c r="CB71" s="2">
        <f t="shared" si="36"/>
        <v>0</v>
      </c>
      <c r="CC71" s="2">
        <f t="shared" si="37"/>
        <v>0</v>
      </c>
      <c r="CD71" s="2">
        <f t="shared" si="38"/>
        <v>0</v>
      </c>
      <c r="CE71" s="3"/>
      <c r="CG71" s="113">
        <v>0</v>
      </c>
      <c r="CH71" s="114">
        <v>0</v>
      </c>
      <c r="CI71" s="114">
        <v>0</v>
      </c>
      <c r="CJ71" s="114">
        <v>0</v>
      </c>
      <c r="CK71" s="114">
        <v>0</v>
      </c>
      <c r="CL71" s="114">
        <v>0</v>
      </c>
      <c r="CM71" s="114">
        <v>0</v>
      </c>
      <c r="CN71" s="114">
        <v>0</v>
      </c>
      <c r="CO71" s="114">
        <v>0</v>
      </c>
      <c r="CP71" s="114">
        <v>0</v>
      </c>
      <c r="CQ71" s="116">
        <f t="shared" si="40"/>
        <v>0</v>
      </c>
    </row>
    <row r="72" spans="1:95" ht="21.75" customHeight="1" x14ac:dyDescent="0.25">
      <c r="A72" s="44">
        <v>54</v>
      </c>
      <c r="B72" s="11" t="s">
        <v>140</v>
      </c>
      <c r="C72" s="77" t="s">
        <v>141</v>
      </c>
      <c r="D72" s="87">
        <v>45670</v>
      </c>
      <c r="E72" s="124">
        <v>0</v>
      </c>
      <c r="F72" s="124">
        <v>46264.943645833337</v>
      </c>
      <c r="G72" s="124">
        <v>46267.353587962964</v>
      </c>
      <c r="H72" s="124">
        <v>46267.955034722225</v>
      </c>
      <c r="I72" s="124">
        <v>46268.354467592595</v>
      </c>
      <c r="J72" s="124">
        <v>46268.972002314818</v>
      </c>
      <c r="K72" s="124">
        <v>46269.572835648149</v>
      </c>
      <c r="L72" s="124">
        <v>46269.935972222222</v>
      </c>
      <c r="M72" s="124">
        <v>46270.411817129629</v>
      </c>
      <c r="N72" s="124">
        <v>46270.957962962966</v>
      </c>
      <c r="O72" s="124">
        <v>0</v>
      </c>
      <c r="P72" s="124">
        <v>46271.946030092593</v>
      </c>
      <c r="Q72" s="124">
        <v>46272.410543981481</v>
      </c>
      <c r="R72" s="124">
        <v>46272.943692129629</v>
      </c>
      <c r="S72" s="124">
        <v>0</v>
      </c>
      <c r="T72" s="124">
        <v>46273.959305555552</v>
      </c>
      <c r="U72" s="124">
        <v>46274.352002314816</v>
      </c>
      <c r="V72" s="124">
        <v>46274.959270833337</v>
      </c>
      <c r="W72" s="124">
        <v>46275.417384259257</v>
      </c>
      <c r="X72" s="124">
        <v>46275.980902777781</v>
      </c>
      <c r="Y72" s="178" t="s">
        <v>15</v>
      </c>
      <c r="Z72" s="178" t="s">
        <v>15</v>
      </c>
      <c r="AA72" s="124">
        <v>46277.349861111114</v>
      </c>
      <c r="AB72" s="124">
        <v>46277.982488425929</v>
      </c>
      <c r="AC72" s="124">
        <v>46278.353437500002</v>
      </c>
      <c r="AD72" s="124">
        <v>46278.959791666668</v>
      </c>
      <c r="AE72" s="124">
        <v>46279.354004629633</v>
      </c>
      <c r="AF72" s="124">
        <v>46279.953414351854</v>
      </c>
      <c r="AG72" s="124">
        <v>46280.352847222224</v>
      </c>
      <c r="AH72" s="124">
        <v>46280.93141203704</v>
      </c>
      <c r="AI72" s="110"/>
      <c r="AJ72" s="44">
        <v>54</v>
      </c>
      <c r="AK72" s="124">
        <v>46281.353148148148</v>
      </c>
      <c r="AL72" s="124">
        <v>46281.95449074074</v>
      </c>
      <c r="AM72" s="124">
        <v>46282.353460648148</v>
      </c>
      <c r="AN72" s="124">
        <v>46282.967523148145</v>
      </c>
      <c r="AO72" s="124">
        <v>46283.582557870373</v>
      </c>
      <c r="AP72" s="124">
        <v>46283.930601851855</v>
      </c>
      <c r="AQ72" s="124">
        <v>46284.348749999997</v>
      </c>
      <c r="AR72" s="124">
        <v>46284.959490740737</v>
      </c>
      <c r="AS72" s="124">
        <v>46285.353113425925</v>
      </c>
      <c r="AT72" s="124">
        <v>46285.943576388891</v>
      </c>
      <c r="AU72" s="124">
        <v>46286.353796296295</v>
      </c>
      <c r="AV72" s="124">
        <v>46286.945613425924</v>
      </c>
      <c r="AW72" s="124">
        <v>46287.344583333332</v>
      </c>
      <c r="AX72" s="124">
        <v>46287.948761574073</v>
      </c>
      <c r="AY72" s="124">
        <v>46288.353576388887</v>
      </c>
      <c r="AZ72" s="124">
        <v>46288.951157407406</v>
      </c>
      <c r="BA72" s="124">
        <v>46289.353981481479</v>
      </c>
      <c r="BB72" s="124">
        <v>46289.955671296295</v>
      </c>
      <c r="BC72" s="124">
        <v>46290.571412037039</v>
      </c>
      <c r="BD72" s="124">
        <v>46290.942106481481</v>
      </c>
      <c r="BE72" s="124">
        <v>46291.353090277778</v>
      </c>
      <c r="BF72" s="124">
        <v>46291.950243055559</v>
      </c>
      <c r="BG72" s="124">
        <v>46292.353460648148</v>
      </c>
      <c r="BH72" s="124">
        <v>0</v>
      </c>
      <c r="BI72" s="124">
        <v>46293.354143518518</v>
      </c>
      <c r="BJ72" s="124">
        <v>46293.940312500003</v>
      </c>
      <c r="BK72" s="124">
        <v>46294.353645833333</v>
      </c>
      <c r="BL72" s="124">
        <v>46294.949791666666</v>
      </c>
      <c r="BM72" s="124">
        <v>46295.352141203701</v>
      </c>
      <c r="BN72" s="124">
        <v>46295.967118055552</v>
      </c>
      <c r="BO72" s="152">
        <v>46265.352453703701</v>
      </c>
      <c r="BP72" s="152">
        <v>46265.941041666665</v>
      </c>
      <c r="BQ72" s="96">
        <f t="shared" ref="BQ72:BQ104" si="52">BS72+BT72+BV72+CA72+BY72+BZ72+CD72+BU72</f>
        <v>30</v>
      </c>
      <c r="BR72" s="67">
        <v>3</v>
      </c>
      <c r="BS72" s="1">
        <f t="shared" si="27"/>
        <v>29</v>
      </c>
      <c r="BT72" s="2">
        <f t="shared" ref="BT72:BT104" si="53">COUNTIF(E72:BN72,"OFF")/2</f>
        <v>1</v>
      </c>
      <c r="BU72" s="2">
        <f t="shared" ref="BU72:BU104" si="54">COUNTIF(E72:BN72,"MC")/2</f>
        <v>0</v>
      </c>
      <c r="BV72" s="2">
        <f t="shared" ref="BV72:BV104" si="55">COUNTIF(E72:BN72,"EL")/2</f>
        <v>0</v>
      </c>
      <c r="BW72" s="2">
        <f t="shared" ref="BW72:BW104" si="56">COUNTIF(E72:BN72,"AL")/2</f>
        <v>0</v>
      </c>
      <c r="BX72" s="2">
        <f t="shared" ref="BX72:BX104" si="57">COUNTIF(E72:BN72,"SUS")/2</f>
        <v>0</v>
      </c>
      <c r="BY72" s="2">
        <f t="shared" ref="BY72:BY104" si="58">COUNTIF(E72:BN72,"FL")/2</f>
        <v>0</v>
      </c>
      <c r="BZ72" s="2">
        <f t="shared" ref="BZ72:BZ104" si="59">COUNTIF(E72:BN72,"SICK")/2</f>
        <v>0</v>
      </c>
      <c r="CA72" s="2">
        <f t="shared" ref="CA72:CA104" si="60">COUNTIF(E72:BN72,"HD")/2</f>
        <v>0</v>
      </c>
      <c r="CB72" s="2">
        <f t="shared" ref="CB72:CB104" si="61">COUNTIF(E72:BN72,"AB")/2</f>
        <v>0</v>
      </c>
      <c r="CC72" s="2">
        <f t="shared" ref="CC72:CC104" si="62">COUNTIF(E72:BN72,"NL")/2</f>
        <v>0</v>
      </c>
      <c r="CD72" s="2">
        <f t="shared" ref="CD72:CD104" si="63">COUNTIF(E72:BN72,"SP")/2</f>
        <v>0</v>
      </c>
      <c r="CE72" s="3"/>
      <c r="CG72" s="54">
        <v>0</v>
      </c>
      <c r="CH72" s="53">
        <v>0</v>
      </c>
      <c r="CI72" s="53">
        <v>30</v>
      </c>
      <c r="CJ72" s="53">
        <v>0</v>
      </c>
      <c r="CK72" s="53">
        <v>0</v>
      </c>
      <c r="CL72" s="53">
        <v>0</v>
      </c>
      <c r="CM72" s="53">
        <v>0</v>
      </c>
      <c r="CN72" s="53">
        <v>0</v>
      </c>
      <c r="CO72" s="53">
        <v>0</v>
      </c>
      <c r="CP72" s="53">
        <v>0</v>
      </c>
      <c r="CQ72" s="117">
        <f t="shared" si="40"/>
        <v>30</v>
      </c>
    </row>
    <row r="73" spans="1:95" ht="21.75" customHeight="1" x14ac:dyDescent="0.25">
      <c r="A73" s="44">
        <v>55</v>
      </c>
      <c r="B73" s="11" t="s">
        <v>142</v>
      </c>
      <c r="C73" s="77" t="s">
        <v>143</v>
      </c>
      <c r="D73" s="87">
        <v>45673</v>
      </c>
      <c r="E73" s="124">
        <v>46266.354004629633</v>
      </c>
      <c r="F73" s="124">
        <v>46264.954942129632</v>
      </c>
      <c r="G73" s="124">
        <v>46267.353113425925</v>
      </c>
      <c r="H73" s="124">
        <v>46267.977349537039</v>
      </c>
      <c r="I73" s="124">
        <v>46268.353067129632</v>
      </c>
      <c r="J73" s="124">
        <v>46268.965277777781</v>
      </c>
      <c r="K73" s="124">
        <v>46269.580497685187</v>
      </c>
      <c r="L73" s="124">
        <v>46269.994189814817</v>
      </c>
      <c r="M73" s="124">
        <v>46270.35359953704</v>
      </c>
      <c r="N73" s="124">
        <v>46270.975277777776</v>
      </c>
      <c r="O73" s="124">
        <v>46271.353043981479</v>
      </c>
      <c r="P73" s="124">
        <v>46271.940081018518</v>
      </c>
      <c r="Q73" s="124">
        <v>46272.353935185187</v>
      </c>
      <c r="R73" s="124">
        <v>46272.963020833333</v>
      </c>
      <c r="S73" s="124">
        <v>46273.353726851848</v>
      </c>
      <c r="T73" s="124">
        <v>46273.963472222225</v>
      </c>
      <c r="U73" s="124">
        <v>46274.353819444441</v>
      </c>
      <c r="V73" s="124">
        <v>46274.955208333333</v>
      </c>
      <c r="W73" s="124">
        <v>46275.353310185186</v>
      </c>
      <c r="X73" s="124">
        <v>46275.975347222222</v>
      </c>
      <c r="Y73" s="178" t="s">
        <v>15</v>
      </c>
      <c r="Z73" s="178" t="s">
        <v>15</v>
      </c>
      <c r="AA73" s="124">
        <v>46277.352951388886</v>
      </c>
      <c r="AB73" s="124">
        <v>46277.971319444441</v>
      </c>
      <c r="AC73" s="124">
        <v>46278.353229166663</v>
      </c>
      <c r="AD73" s="124">
        <v>46278.952627314815</v>
      </c>
      <c r="AE73" s="124">
        <v>46279.352951388886</v>
      </c>
      <c r="AF73" s="124">
        <v>46279.956250000003</v>
      </c>
      <c r="AG73" s="124">
        <v>46280.352581018517</v>
      </c>
      <c r="AH73" s="124">
        <v>46280.957048611112</v>
      </c>
      <c r="AI73" s="110"/>
      <c r="AJ73" s="44">
        <v>55</v>
      </c>
      <c r="AK73" s="124">
        <v>46281.352685185186</v>
      </c>
      <c r="AL73" s="124">
        <v>46281.968599537038</v>
      </c>
      <c r="AM73" s="124">
        <v>46282.353368055556</v>
      </c>
      <c r="AN73" s="124">
        <v>46282.974548611113</v>
      </c>
      <c r="AO73" s="124">
        <v>46283.580104166664</v>
      </c>
      <c r="AP73" s="124">
        <v>46283.940532407411</v>
      </c>
      <c r="AQ73" s="124">
        <v>46284.353206018517</v>
      </c>
      <c r="AR73" s="124">
        <v>46284.969965277778</v>
      </c>
      <c r="AS73" s="124">
        <v>46285.353263888886</v>
      </c>
      <c r="AT73" s="124">
        <v>46285.928969907407</v>
      </c>
      <c r="AU73" s="124">
        <v>46286.352870370371</v>
      </c>
      <c r="AV73" s="124">
        <v>46286.94699074074</v>
      </c>
      <c r="AW73" s="124">
        <v>46287.352905092594</v>
      </c>
      <c r="AX73" s="124">
        <v>46287.979039351849</v>
      </c>
      <c r="AY73" s="124">
        <v>46288.352199074077</v>
      </c>
      <c r="AZ73" s="124">
        <v>46288.961689814816</v>
      </c>
      <c r="BA73" s="124">
        <v>46289.352129629631</v>
      </c>
      <c r="BB73" s="124">
        <v>46289.978530092594</v>
      </c>
      <c r="BC73" s="229" t="s">
        <v>15</v>
      </c>
      <c r="BD73" s="229" t="s">
        <v>15</v>
      </c>
      <c r="BE73" s="124">
        <v>46291.352962962963</v>
      </c>
      <c r="BF73" s="124">
        <v>46291.931261574071</v>
      </c>
      <c r="BG73" s="124">
        <v>46292.353148148148</v>
      </c>
      <c r="BH73" s="124">
        <v>46292.968923611108</v>
      </c>
      <c r="BI73" s="124">
        <v>46293.35355324074</v>
      </c>
      <c r="BJ73" s="124">
        <v>46293.957152777781</v>
      </c>
      <c r="BK73" s="124">
        <v>46294.353437500002</v>
      </c>
      <c r="BL73" s="124">
        <v>46294.941620370373</v>
      </c>
      <c r="BM73" s="124">
        <v>46295.35229166667</v>
      </c>
      <c r="BN73" s="124">
        <v>46295.984432870369</v>
      </c>
      <c r="BO73" s="152">
        <v>46265.352719907409</v>
      </c>
      <c r="BP73" s="152">
        <v>46265.956099537034</v>
      </c>
      <c r="BQ73" s="96">
        <f t="shared" si="52"/>
        <v>30</v>
      </c>
      <c r="BR73" s="67">
        <v>2</v>
      </c>
      <c r="BS73" s="1">
        <f t="shared" si="27"/>
        <v>28</v>
      </c>
      <c r="BT73" s="2">
        <f t="shared" si="53"/>
        <v>2</v>
      </c>
      <c r="BU73" s="2">
        <f t="shared" si="54"/>
        <v>0</v>
      </c>
      <c r="BV73" s="2">
        <f t="shared" si="55"/>
        <v>0</v>
      </c>
      <c r="BW73" s="2">
        <f t="shared" si="56"/>
        <v>0</v>
      </c>
      <c r="BX73" s="2">
        <f t="shared" si="57"/>
        <v>0</v>
      </c>
      <c r="BY73" s="2">
        <f t="shared" si="58"/>
        <v>0</v>
      </c>
      <c r="BZ73" s="2">
        <f t="shared" si="59"/>
        <v>0</v>
      </c>
      <c r="CA73" s="2">
        <f t="shared" si="60"/>
        <v>0</v>
      </c>
      <c r="CB73" s="2">
        <f t="shared" si="61"/>
        <v>0</v>
      </c>
      <c r="CC73" s="2">
        <f t="shared" si="62"/>
        <v>0</v>
      </c>
      <c r="CD73" s="2">
        <f t="shared" si="63"/>
        <v>0</v>
      </c>
      <c r="CE73" s="3"/>
      <c r="CG73" s="113">
        <v>0</v>
      </c>
      <c r="CH73" s="114">
        <v>0</v>
      </c>
      <c r="CI73" s="114">
        <v>0</v>
      </c>
      <c r="CJ73" s="114">
        <v>0</v>
      </c>
      <c r="CK73" s="114">
        <v>0</v>
      </c>
      <c r="CL73" s="114">
        <v>1</v>
      </c>
      <c r="CM73" s="114">
        <v>0</v>
      </c>
      <c r="CN73" s="114">
        <v>0</v>
      </c>
      <c r="CO73" s="114">
        <v>0</v>
      </c>
      <c r="CP73" s="114">
        <v>0</v>
      </c>
      <c r="CQ73" s="116">
        <f t="shared" si="40"/>
        <v>1</v>
      </c>
    </row>
    <row r="74" spans="1:95" ht="21.75" customHeight="1" x14ac:dyDescent="0.25">
      <c r="A74" s="44">
        <v>56</v>
      </c>
      <c r="B74" s="11" t="s">
        <v>144</v>
      </c>
      <c r="C74" s="77" t="s">
        <v>145</v>
      </c>
      <c r="D74" s="87">
        <v>45679</v>
      </c>
      <c r="E74" s="124">
        <v>46266.352789351855</v>
      </c>
      <c r="F74" s="124">
        <v>46264.959664351853</v>
      </c>
      <c r="G74" s="124">
        <v>46267.352361111109</v>
      </c>
      <c r="H74" s="124">
        <v>46267.963460648149</v>
      </c>
      <c r="I74" s="124">
        <v>46268.35255787037</v>
      </c>
      <c r="J74" s="124">
        <v>46268.974791666667</v>
      </c>
      <c r="K74" s="124">
        <v>46269.579930555556</v>
      </c>
      <c r="L74" s="124">
        <v>46269.95722222222</v>
      </c>
      <c r="M74" s="124">
        <v>46270.352534722224</v>
      </c>
      <c r="N74" s="124">
        <v>46270.971099537041</v>
      </c>
      <c r="O74" s="124">
        <v>46271.353310185186</v>
      </c>
      <c r="P74" s="124">
        <v>46271.957245370373</v>
      </c>
      <c r="Q74" s="124">
        <v>46272.352129629631</v>
      </c>
      <c r="R74" s="124">
        <v>46272.963437500002</v>
      </c>
      <c r="S74" s="124">
        <v>46273.35255787037</v>
      </c>
      <c r="T74" s="124">
        <v>46273.954270833332</v>
      </c>
      <c r="U74" s="124">
        <v>46274.352824074071</v>
      </c>
      <c r="V74" s="124">
        <v>46274.955370370371</v>
      </c>
      <c r="W74" s="124">
        <v>46275.354120370372</v>
      </c>
      <c r="X74" s="124">
        <v>46275.969305555554</v>
      </c>
      <c r="Y74" s="178" t="s">
        <v>15</v>
      </c>
      <c r="Z74" s="178" t="s">
        <v>15</v>
      </c>
      <c r="AA74" s="124">
        <v>46277.352812500001</v>
      </c>
      <c r="AB74" s="124">
        <v>46277.983124999999</v>
      </c>
      <c r="AC74" s="124">
        <v>46278.352465277778</v>
      </c>
      <c r="AD74" s="124">
        <v>46278.95244212963</v>
      </c>
      <c r="AE74" s="124">
        <v>46279.352465277778</v>
      </c>
      <c r="AF74" s="124">
        <v>46279.953287037039</v>
      </c>
      <c r="AG74" s="124">
        <v>46280.352650462963</v>
      </c>
      <c r="AH74" s="124">
        <v>46280.951435185183</v>
      </c>
      <c r="AI74" s="110"/>
      <c r="AJ74" s="44">
        <v>56</v>
      </c>
      <c r="AK74" s="124">
        <v>46281.352627314816</v>
      </c>
      <c r="AL74" s="124">
        <v>46281.952638888892</v>
      </c>
      <c r="AM74" s="124">
        <v>46282.351840277777</v>
      </c>
      <c r="AN74" s="124">
        <v>46282.972870370373</v>
      </c>
      <c r="AO74" s="124">
        <v>46283.560752314814</v>
      </c>
      <c r="AP74" s="124">
        <v>46283.957245370373</v>
      </c>
      <c r="AQ74" s="124">
        <v>46284.35261574074</v>
      </c>
      <c r="AR74" s="124">
        <v>46284.969722222224</v>
      </c>
      <c r="AS74" s="124">
        <v>46285.352662037039</v>
      </c>
      <c r="AT74" s="124">
        <v>46285.961261574077</v>
      </c>
      <c r="AU74" s="124">
        <v>46286.352939814817</v>
      </c>
      <c r="AV74" s="124">
        <v>46286.955972222226</v>
      </c>
      <c r="AW74" s="124">
        <v>46287.35328703704</v>
      </c>
      <c r="AX74" s="124">
        <v>46287.956701388888</v>
      </c>
      <c r="AY74" s="124">
        <v>46288.352858796294</v>
      </c>
      <c r="AZ74" s="124">
        <v>46288.961423611108</v>
      </c>
      <c r="BA74" s="124">
        <v>46289.353113425925</v>
      </c>
      <c r="BB74" s="124">
        <v>46289.978333333333</v>
      </c>
      <c r="BC74" s="229" t="s">
        <v>15</v>
      </c>
      <c r="BD74" s="229" t="s">
        <v>15</v>
      </c>
      <c r="BE74" s="124">
        <v>46291.352384259262</v>
      </c>
      <c r="BF74" s="124">
        <v>46291.973310185182</v>
      </c>
      <c r="BG74" s="124">
        <v>46292.352546296293</v>
      </c>
      <c r="BH74" s="124">
        <v>0</v>
      </c>
      <c r="BI74" s="124">
        <v>46293.352905092594</v>
      </c>
      <c r="BJ74" s="124">
        <v>46293.957905092589</v>
      </c>
      <c r="BK74" s="124">
        <v>46294.353101851855</v>
      </c>
      <c r="BL74" s="124">
        <v>46294.96298611111</v>
      </c>
      <c r="BM74" s="124">
        <v>46295.35292824074</v>
      </c>
      <c r="BN74" s="124">
        <v>46295.963171296295</v>
      </c>
      <c r="BO74" s="152">
        <v>46265.352129629631</v>
      </c>
      <c r="BP74" s="152">
        <v>46265.952511574076</v>
      </c>
      <c r="BQ74" s="96">
        <f t="shared" si="52"/>
        <v>30</v>
      </c>
      <c r="BR74" s="67">
        <v>2</v>
      </c>
      <c r="BS74" s="1">
        <f t="shared" si="27"/>
        <v>28</v>
      </c>
      <c r="BT74" s="2">
        <f t="shared" si="53"/>
        <v>2</v>
      </c>
      <c r="BU74" s="2">
        <f t="shared" si="54"/>
        <v>0</v>
      </c>
      <c r="BV74" s="2">
        <f t="shared" si="55"/>
        <v>0</v>
      </c>
      <c r="BW74" s="2">
        <f t="shared" si="56"/>
        <v>0</v>
      </c>
      <c r="BX74" s="2">
        <f t="shared" si="57"/>
        <v>0</v>
      </c>
      <c r="BY74" s="2">
        <f t="shared" si="58"/>
        <v>0</v>
      </c>
      <c r="BZ74" s="2">
        <f t="shared" si="59"/>
        <v>0</v>
      </c>
      <c r="CA74" s="2">
        <f t="shared" si="60"/>
        <v>0</v>
      </c>
      <c r="CB74" s="2">
        <f t="shared" si="61"/>
        <v>0</v>
      </c>
      <c r="CC74" s="2">
        <f t="shared" si="62"/>
        <v>0</v>
      </c>
      <c r="CD74" s="2">
        <f t="shared" si="63"/>
        <v>0</v>
      </c>
      <c r="CE74" s="3"/>
      <c r="CG74" s="54">
        <v>0</v>
      </c>
      <c r="CH74" s="53">
        <v>0</v>
      </c>
      <c r="CI74" s="53">
        <v>0</v>
      </c>
      <c r="CJ74" s="53">
        <v>0</v>
      </c>
      <c r="CK74" s="53">
        <v>0</v>
      </c>
      <c r="CL74" s="53">
        <v>0</v>
      </c>
      <c r="CM74" s="53">
        <v>0</v>
      </c>
      <c r="CN74" s="53">
        <v>0</v>
      </c>
      <c r="CO74" s="53">
        <v>0</v>
      </c>
      <c r="CP74" s="53">
        <v>0</v>
      </c>
      <c r="CQ74" s="117">
        <f t="shared" si="40"/>
        <v>0</v>
      </c>
    </row>
    <row r="75" spans="1:95" ht="21.75" customHeight="1" x14ac:dyDescent="0.25">
      <c r="A75" s="44">
        <v>57</v>
      </c>
      <c r="B75" s="11" t="s">
        <v>146</v>
      </c>
      <c r="C75" s="77" t="s">
        <v>147</v>
      </c>
      <c r="D75" s="87">
        <v>45679</v>
      </c>
      <c r="E75" s="124">
        <v>46266.353726851848</v>
      </c>
      <c r="F75" s="124">
        <v>46264.959849537037</v>
      </c>
      <c r="G75" s="124">
        <v>46267.354953703703</v>
      </c>
      <c r="H75" s="124">
        <v>46267.97892361111</v>
      </c>
      <c r="I75" s="124">
        <v>46268.35497685185</v>
      </c>
      <c r="J75" s="124">
        <v>46268.973460648151</v>
      </c>
      <c r="K75" s="124">
        <v>46269.579224537039</v>
      </c>
      <c r="L75" s="124">
        <v>46269.958761574075</v>
      </c>
      <c r="M75" s="124">
        <v>46270.351504629631</v>
      </c>
      <c r="N75" s="124">
        <v>46270.97011574074</v>
      </c>
      <c r="O75" s="124">
        <v>46271.352743055555</v>
      </c>
      <c r="P75" s="124">
        <v>46271.957025462965</v>
      </c>
      <c r="Q75" s="124">
        <v>46272.352546296293</v>
      </c>
      <c r="R75" s="124">
        <v>46272.941030092596</v>
      </c>
      <c r="S75" s="124">
        <v>46273.352523148147</v>
      </c>
      <c r="T75" s="124">
        <v>46273.957418981481</v>
      </c>
      <c r="U75" s="124">
        <v>46274.354479166665</v>
      </c>
      <c r="V75" s="124">
        <v>46274.963009259256</v>
      </c>
      <c r="W75" s="124">
        <v>46275.352349537039</v>
      </c>
      <c r="X75" s="124">
        <v>46275.977523148147</v>
      </c>
      <c r="Y75" s="178" t="s">
        <v>15</v>
      </c>
      <c r="Z75" s="178" t="s">
        <v>15</v>
      </c>
      <c r="AA75" s="124">
        <v>46277.353530092594</v>
      </c>
      <c r="AB75" s="124">
        <v>46277.983067129629</v>
      </c>
      <c r="AC75" s="124">
        <v>46278.354722222219</v>
      </c>
      <c r="AD75" s="124">
        <v>46278.949976851851</v>
      </c>
      <c r="AE75" s="124">
        <v>46279.354953703703</v>
      </c>
      <c r="AF75" s="124">
        <v>46279.948912037034</v>
      </c>
      <c r="AG75" s="124">
        <v>46280.354409722226</v>
      </c>
      <c r="AH75" s="124">
        <v>46280.931643518517</v>
      </c>
      <c r="AI75" s="110"/>
      <c r="AJ75" s="44">
        <v>57</v>
      </c>
      <c r="AK75" s="124">
        <v>46281.353449074071</v>
      </c>
      <c r="AL75" s="124">
        <v>46281.951863425929</v>
      </c>
      <c r="AM75" s="124">
        <v>46282.354247685187</v>
      </c>
      <c r="AN75" s="124">
        <v>46282.973437499997</v>
      </c>
      <c r="AO75" s="124">
        <v>0</v>
      </c>
      <c r="AP75" s="124">
        <v>46283.957175925927</v>
      </c>
      <c r="AQ75" s="124">
        <v>46284.354421296295</v>
      </c>
      <c r="AR75" s="124">
        <v>46284.970150462963</v>
      </c>
      <c r="AS75" s="124">
        <v>46285.354421296295</v>
      </c>
      <c r="AT75" s="124">
        <v>46285.961643518516</v>
      </c>
      <c r="AU75" s="124">
        <v>46286.35429398148</v>
      </c>
      <c r="AV75" s="124">
        <v>46286.956828703704</v>
      </c>
      <c r="AW75" s="124">
        <v>46287.354502314818</v>
      </c>
      <c r="AX75" s="124">
        <v>46287.956620370373</v>
      </c>
      <c r="AY75" s="124">
        <v>46288.352511574078</v>
      </c>
      <c r="AZ75" s="124">
        <v>46288.953356481485</v>
      </c>
      <c r="BA75" s="124">
        <v>46289.35392361111</v>
      </c>
      <c r="BB75" s="124">
        <v>46289.978854166664</v>
      </c>
      <c r="BC75" s="229" t="s">
        <v>15</v>
      </c>
      <c r="BD75" s="229" t="s">
        <v>15</v>
      </c>
      <c r="BE75" s="124">
        <v>46291.354432870372</v>
      </c>
      <c r="BF75" s="124">
        <v>46291.974259259259</v>
      </c>
      <c r="BG75" s="124">
        <v>46292.353020833332</v>
      </c>
      <c r="BH75" s="124">
        <v>0</v>
      </c>
      <c r="BI75" s="124">
        <v>46293.35365740741</v>
      </c>
      <c r="BJ75" s="124">
        <v>46293.939641203702</v>
      </c>
      <c r="BK75" s="124">
        <v>46294.354074074072</v>
      </c>
      <c r="BL75" s="124">
        <v>46294.955081018517</v>
      </c>
      <c r="BM75" s="124">
        <v>46295.353136574071</v>
      </c>
      <c r="BN75" s="124">
        <v>46295.959421296298</v>
      </c>
      <c r="BO75" s="152">
        <v>46265.354074074072</v>
      </c>
      <c r="BP75" s="152">
        <v>46265.942731481482</v>
      </c>
      <c r="BQ75" s="96">
        <f t="shared" si="52"/>
        <v>30</v>
      </c>
      <c r="BR75" s="67">
        <v>2</v>
      </c>
      <c r="BS75" s="1">
        <f t="shared" si="27"/>
        <v>28</v>
      </c>
      <c r="BT75" s="2">
        <f t="shared" si="53"/>
        <v>2</v>
      </c>
      <c r="BU75" s="2">
        <f t="shared" si="54"/>
        <v>0</v>
      </c>
      <c r="BV75" s="2">
        <f t="shared" si="55"/>
        <v>0</v>
      </c>
      <c r="BW75" s="2">
        <f t="shared" si="56"/>
        <v>0</v>
      </c>
      <c r="BX75" s="2">
        <f t="shared" si="57"/>
        <v>0</v>
      </c>
      <c r="BY75" s="2">
        <f t="shared" si="58"/>
        <v>0</v>
      </c>
      <c r="BZ75" s="2">
        <f t="shared" si="59"/>
        <v>0</v>
      </c>
      <c r="CA75" s="2">
        <f t="shared" si="60"/>
        <v>0</v>
      </c>
      <c r="CB75" s="2">
        <f t="shared" si="61"/>
        <v>0</v>
      </c>
      <c r="CC75" s="2">
        <f t="shared" si="62"/>
        <v>0</v>
      </c>
      <c r="CD75" s="2">
        <f t="shared" si="63"/>
        <v>0</v>
      </c>
      <c r="CE75" s="3"/>
      <c r="CG75" s="113">
        <v>0</v>
      </c>
      <c r="CH75" s="114">
        <v>0</v>
      </c>
      <c r="CI75" s="114">
        <v>0</v>
      </c>
      <c r="CJ75" s="114">
        <v>0</v>
      </c>
      <c r="CK75" s="114">
        <v>0</v>
      </c>
      <c r="CL75" s="114">
        <v>0</v>
      </c>
      <c r="CM75" s="114">
        <v>0</v>
      </c>
      <c r="CN75" s="114">
        <v>0</v>
      </c>
      <c r="CO75" s="114">
        <v>0</v>
      </c>
      <c r="CP75" s="114">
        <v>0</v>
      </c>
      <c r="CQ75" s="116">
        <f t="shared" si="40"/>
        <v>0</v>
      </c>
    </row>
    <row r="76" spans="1:95" ht="21.75" customHeight="1" x14ac:dyDescent="0.25">
      <c r="A76" s="44">
        <v>58</v>
      </c>
      <c r="B76" s="11" t="s">
        <v>148</v>
      </c>
      <c r="C76" s="77" t="s">
        <v>229</v>
      </c>
      <c r="D76" s="87">
        <v>45679</v>
      </c>
      <c r="E76" s="124">
        <v>46266.354768518519</v>
      </c>
      <c r="F76" s="124">
        <v>46264.938657407409</v>
      </c>
      <c r="G76" s="124">
        <v>46267.354791666665</v>
      </c>
      <c r="H76" s="124">
        <v>46267.975694444445</v>
      </c>
      <c r="I76" s="124">
        <v>46268.354710648149</v>
      </c>
      <c r="J76" s="124">
        <v>46268.952210648145</v>
      </c>
      <c r="K76" s="178" t="s">
        <v>15</v>
      </c>
      <c r="L76" s="178" t="s">
        <v>15</v>
      </c>
      <c r="M76" s="124">
        <v>46270.354155092595</v>
      </c>
      <c r="N76" s="124">
        <v>46270.953715277778</v>
      </c>
      <c r="O76" s="124">
        <v>46271.35460648148</v>
      </c>
      <c r="P76" s="124">
        <v>46271.942291666666</v>
      </c>
      <c r="Q76" s="124">
        <v>46272.353043981479</v>
      </c>
      <c r="R76" s="124">
        <v>46272.960081018522</v>
      </c>
      <c r="S76" s="124">
        <v>46273.354861111111</v>
      </c>
      <c r="T76" s="124">
        <v>46273.96303240741</v>
      </c>
      <c r="U76" s="124">
        <v>46274.354085648149</v>
      </c>
      <c r="V76" s="124">
        <v>46274.955335648148</v>
      </c>
      <c r="W76" s="124">
        <v>46275.353692129633</v>
      </c>
      <c r="X76" s="124">
        <v>46275.974953703706</v>
      </c>
      <c r="Y76" s="124">
        <v>0</v>
      </c>
      <c r="Z76" s="124">
        <v>46276.954398148147</v>
      </c>
      <c r="AA76" s="124">
        <v>46277.354201388887</v>
      </c>
      <c r="AB76" s="124">
        <v>46277.982719907406</v>
      </c>
      <c r="AC76" s="124">
        <v>46278.354664351849</v>
      </c>
      <c r="AD76" s="124">
        <v>46278.949305555558</v>
      </c>
      <c r="AE76" s="124">
        <v>46279.354270833333</v>
      </c>
      <c r="AF76" s="124">
        <v>46279.952997685185</v>
      </c>
      <c r="AG76" s="124">
        <v>46280.354351851849</v>
      </c>
      <c r="AH76" s="124">
        <v>46280.952835648146</v>
      </c>
      <c r="AI76" s="110"/>
      <c r="AJ76" s="44">
        <v>58</v>
      </c>
      <c r="AK76" s="124">
        <v>46281.352951388886</v>
      </c>
      <c r="AL76" s="124">
        <v>46281.958124999997</v>
      </c>
      <c r="AM76" s="131">
        <v>46282.353530092594</v>
      </c>
      <c r="AN76" s="124">
        <v>46282.971446759257</v>
      </c>
      <c r="AO76" s="229" t="s">
        <v>15</v>
      </c>
      <c r="AP76" s="229" t="s">
        <v>15</v>
      </c>
      <c r="AQ76" s="124">
        <v>46284.353414351855</v>
      </c>
      <c r="AR76" s="124">
        <v>46284.968506944446</v>
      </c>
      <c r="AS76" s="124">
        <v>46285.354363425926</v>
      </c>
      <c r="AT76" s="124">
        <v>46285.952662037038</v>
      </c>
      <c r="AU76" s="124">
        <v>46286.35365740741</v>
      </c>
      <c r="AV76" s="124">
        <v>46286.949340277781</v>
      </c>
      <c r="AW76" s="124">
        <v>46287.354120370372</v>
      </c>
      <c r="AX76" s="124">
        <v>46287.95884259259</v>
      </c>
      <c r="AY76" s="124">
        <v>46288.354398148149</v>
      </c>
      <c r="AZ76" s="124">
        <v>46288.951689814814</v>
      </c>
      <c r="BA76" s="124">
        <v>46289.35465277778</v>
      </c>
      <c r="BB76" s="124">
        <v>46289.973194444443</v>
      </c>
      <c r="BC76" s="124">
        <v>46290.581238425926</v>
      </c>
      <c r="BD76" s="124">
        <v>46290.934293981481</v>
      </c>
      <c r="BE76" s="124">
        <v>46291.354537037034</v>
      </c>
      <c r="BF76" s="124">
        <v>46291.952951388892</v>
      </c>
      <c r="BG76" s="124">
        <v>46292.353831018518</v>
      </c>
      <c r="BH76" s="124">
        <v>46292.959166666667</v>
      </c>
      <c r="BI76" s="124">
        <v>46293.355243055557</v>
      </c>
      <c r="BJ76" s="124">
        <v>46293.956550925926</v>
      </c>
      <c r="BK76" s="124">
        <v>46294.353993055556</v>
      </c>
      <c r="BL76" s="124">
        <v>46294.942731481482</v>
      </c>
      <c r="BM76" s="124">
        <v>46295.35434027778</v>
      </c>
      <c r="BN76" s="124">
        <v>46295.961354166669</v>
      </c>
      <c r="BO76" s="152">
        <v>46265.354016203702</v>
      </c>
      <c r="BP76" s="152">
        <v>46265.953912037039</v>
      </c>
      <c r="BQ76" s="96">
        <f t="shared" si="52"/>
        <v>30</v>
      </c>
      <c r="BR76" s="67">
        <v>2</v>
      </c>
      <c r="BS76" s="1">
        <f t="shared" si="27"/>
        <v>28</v>
      </c>
      <c r="BT76" s="2">
        <f t="shared" si="53"/>
        <v>2</v>
      </c>
      <c r="BU76" s="2">
        <f t="shared" si="54"/>
        <v>0</v>
      </c>
      <c r="BV76" s="2">
        <f t="shared" si="55"/>
        <v>0</v>
      </c>
      <c r="BW76" s="2">
        <f t="shared" si="56"/>
        <v>0</v>
      </c>
      <c r="BX76" s="2">
        <f t="shared" si="57"/>
        <v>0</v>
      </c>
      <c r="BY76" s="2">
        <f t="shared" si="58"/>
        <v>0</v>
      </c>
      <c r="BZ76" s="2">
        <f t="shared" si="59"/>
        <v>0</v>
      </c>
      <c r="CA76" s="2">
        <f t="shared" si="60"/>
        <v>0</v>
      </c>
      <c r="CB76" s="2">
        <f t="shared" si="61"/>
        <v>0</v>
      </c>
      <c r="CC76" s="2">
        <f t="shared" si="62"/>
        <v>0</v>
      </c>
      <c r="CD76" s="2">
        <f t="shared" si="63"/>
        <v>0</v>
      </c>
      <c r="CE76" s="3"/>
      <c r="CG76" s="54">
        <v>0</v>
      </c>
      <c r="CH76" s="53">
        <v>0</v>
      </c>
      <c r="CI76" s="53">
        <v>0</v>
      </c>
      <c r="CJ76" s="53">
        <v>0</v>
      </c>
      <c r="CK76" s="53">
        <v>0</v>
      </c>
      <c r="CL76" s="54">
        <v>14</v>
      </c>
      <c r="CM76" s="54">
        <v>1</v>
      </c>
      <c r="CN76" s="53">
        <v>0</v>
      </c>
      <c r="CO76" s="53">
        <v>0</v>
      </c>
      <c r="CP76" s="53">
        <v>0</v>
      </c>
      <c r="CQ76" s="117">
        <f t="shared" si="40"/>
        <v>15</v>
      </c>
    </row>
    <row r="77" spans="1:95" ht="21.75" customHeight="1" x14ac:dyDescent="0.25">
      <c r="A77" s="44">
        <v>59</v>
      </c>
      <c r="B77" s="11" t="s">
        <v>149</v>
      </c>
      <c r="C77" s="77" t="s">
        <v>150</v>
      </c>
      <c r="D77" s="87">
        <v>45812</v>
      </c>
      <c r="E77" s="124">
        <v>46266.353402777779</v>
      </c>
      <c r="F77" s="124">
        <v>46264.959270833337</v>
      </c>
      <c r="G77" s="124">
        <v>46267.352280092593</v>
      </c>
      <c r="H77" s="124">
        <v>46267.957175925927</v>
      </c>
      <c r="I77" s="124">
        <v>46268.350775462961</v>
      </c>
      <c r="J77" s="124">
        <v>46268.99114583333</v>
      </c>
      <c r="K77" s="178" t="s">
        <v>15</v>
      </c>
      <c r="L77" s="178" t="s">
        <v>15</v>
      </c>
      <c r="M77" s="124">
        <v>46270.349074074074</v>
      </c>
      <c r="N77" s="124">
        <v>46270.966967592591</v>
      </c>
      <c r="O77" s="124">
        <v>46271.353159722225</v>
      </c>
      <c r="P77" s="124">
        <v>46271.945636574077</v>
      </c>
      <c r="Q77" s="124">
        <v>46272.35260416667</v>
      </c>
      <c r="R77" s="124">
        <v>46272.936064814814</v>
      </c>
      <c r="S77" s="124">
        <v>46273.352326388886</v>
      </c>
      <c r="T77" s="124">
        <v>46273.928530092591</v>
      </c>
      <c r="U77" s="124">
        <v>46274.346967592595</v>
      </c>
      <c r="V77" s="124">
        <v>46274.928495370368</v>
      </c>
      <c r="W77" s="124">
        <v>46275.353518518517</v>
      </c>
      <c r="X77" s="124">
        <v>46275.95207175926</v>
      </c>
      <c r="Y77" s="124">
        <v>0</v>
      </c>
      <c r="Z77" s="124">
        <v>46276.918009259258</v>
      </c>
      <c r="AA77" s="124">
        <v>46277.349270833336</v>
      </c>
      <c r="AB77" s="124">
        <v>46277.983402777776</v>
      </c>
      <c r="AC77" s="124">
        <v>46278.350729166668</v>
      </c>
      <c r="AD77" s="124">
        <v>46278.952141203707</v>
      </c>
      <c r="AE77" s="124">
        <v>46279.347511574073</v>
      </c>
      <c r="AF77" s="124">
        <v>46279.928356481483</v>
      </c>
      <c r="AG77" s="124">
        <v>46280.34851851852</v>
      </c>
      <c r="AH77" s="124">
        <v>46280.927766203706</v>
      </c>
      <c r="AI77" s="110"/>
      <c r="AJ77" s="44">
        <v>59</v>
      </c>
      <c r="AK77" s="124">
        <v>46281.350613425922</v>
      </c>
      <c r="AL77" s="124">
        <v>0</v>
      </c>
      <c r="AM77" s="124">
        <v>46282.350370370368</v>
      </c>
      <c r="AN77" s="124">
        <v>46282.97929398148</v>
      </c>
      <c r="AO77" s="124">
        <v>0</v>
      </c>
      <c r="AP77" s="124">
        <v>46283.945798611108</v>
      </c>
      <c r="AQ77" s="124">
        <v>46284.347870370373</v>
      </c>
      <c r="AR77" s="124">
        <v>46284.968344907407</v>
      </c>
      <c r="AS77" s="124">
        <v>46285.350451388891</v>
      </c>
      <c r="AT77" s="124">
        <v>46285.947430555556</v>
      </c>
      <c r="AU77" s="124">
        <v>46286.347349537034</v>
      </c>
      <c r="AV77" s="124">
        <v>46286.945891203701</v>
      </c>
      <c r="AW77" s="124">
        <v>46287.34988425926</v>
      </c>
      <c r="AX77" s="124">
        <v>46287.946793981479</v>
      </c>
      <c r="AY77" s="124">
        <v>46288.350775462961</v>
      </c>
      <c r="AZ77" s="124">
        <v>46288.950891203705</v>
      </c>
      <c r="BA77" s="124">
        <v>46289.351307870369</v>
      </c>
      <c r="BB77" s="124">
        <v>0</v>
      </c>
      <c r="BC77" s="229" t="s">
        <v>15</v>
      </c>
      <c r="BD77" s="229" t="s">
        <v>15</v>
      </c>
      <c r="BE77" s="124">
        <v>46291.349143518521</v>
      </c>
      <c r="BF77" s="124">
        <v>0</v>
      </c>
      <c r="BG77" s="156" t="s">
        <v>170</v>
      </c>
      <c r="BH77" s="156" t="s">
        <v>170</v>
      </c>
      <c r="BI77" s="124">
        <v>46293.351793981485</v>
      </c>
      <c r="BJ77" s="124">
        <v>46293.925474537034</v>
      </c>
      <c r="BK77" s="124">
        <v>46294.351064814815</v>
      </c>
      <c r="BL77" s="124">
        <v>46294.948854166665</v>
      </c>
      <c r="BM77" s="124">
        <v>46295.351319444446</v>
      </c>
      <c r="BN77" s="124">
        <v>46295.931539351855</v>
      </c>
      <c r="BO77" s="152">
        <v>46265.350312499999</v>
      </c>
      <c r="BP77" s="152">
        <v>46265.934988425928</v>
      </c>
      <c r="BQ77" s="96">
        <f t="shared" si="52"/>
        <v>30</v>
      </c>
      <c r="BR77" s="67">
        <v>2</v>
      </c>
      <c r="BS77" s="1">
        <f t="shared" si="27"/>
        <v>27</v>
      </c>
      <c r="BT77" s="2">
        <f t="shared" si="53"/>
        <v>2</v>
      </c>
      <c r="BU77" s="2">
        <f t="shared" si="54"/>
        <v>0</v>
      </c>
      <c r="BV77" s="2">
        <f t="shared" si="55"/>
        <v>0</v>
      </c>
      <c r="BW77" s="2">
        <f t="shared" si="56"/>
        <v>0</v>
      </c>
      <c r="BX77" s="2">
        <f t="shared" si="57"/>
        <v>0</v>
      </c>
      <c r="BY77" s="2">
        <f t="shared" si="58"/>
        <v>0</v>
      </c>
      <c r="BZ77" s="2">
        <f t="shared" si="59"/>
        <v>1</v>
      </c>
      <c r="CA77" s="2">
        <f t="shared" si="60"/>
        <v>0</v>
      </c>
      <c r="CB77" s="2">
        <f t="shared" si="61"/>
        <v>0</v>
      </c>
      <c r="CC77" s="2">
        <f t="shared" si="62"/>
        <v>0</v>
      </c>
      <c r="CD77" s="2">
        <f t="shared" si="63"/>
        <v>0</v>
      </c>
      <c r="CE77" s="3"/>
      <c r="CG77" s="113">
        <v>0</v>
      </c>
      <c r="CH77" s="114">
        <v>0</v>
      </c>
      <c r="CI77" s="114">
        <v>0</v>
      </c>
      <c r="CJ77" s="114">
        <v>0</v>
      </c>
      <c r="CK77" s="114">
        <v>0</v>
      </c>
      <c r="CL77" s="114">
        <v>2</v>
      </c>
      <c r="CM77" s="114">
        <v>0</v>
      </c>
      <c r="CN77" s="113">
        <v>1</v>
      </c>
      <c r="CO77" s="114">
        <v>0</v>
      </c>
      <c r="CP77" s="114">
        <v>0</v>
      </c>
      <c r="CQ77" s="116">
        <f t="shared" si="40"/>
        <v>3</v>
      </c>
    </row>
    <row r="78" spans="1:95" ht="21.75" customHeight="1" x14ac:dyDescent="0.25">
      <c r="A78" s="44">
        <v>60</v>
      </c>
      <c r="B78" s="11" t="s">
        <v>151</v>
      </c>
      <c r="C78" s="77" t="s">
        <v>152</v>
      </c>
      <c r="D78" s="87">
        <v>45826</v>
      </c>
      <c r="E78" s="124">
        <v>46266.353773148148</v>
      </c>
      <c r="F78" s="124">
        <v>46264.932569444441</v>
      </c>
      <c r="G78" s="124">
        <v>46267.355011574073</v>
      </c>
      <c r="H78" s="124">
        <v>46267.978148148148</v>
      </c>
      <c r="I78" s="124">
        <v>46268.355173611111</v>
      </c>
      <c r="J78" s="124">
        <v>46268.93650462963</v>
      </c>
      <c r="K78" s="178" t="s">
        <v>15</v>
      </c>
      <c r="L78" s="178" t="s">
        <v>15</v>
      </c>
      <c r="M78" s="124">
        <v>46270.345694444448</v>
      </c>
      <c r="N78" s="124">
        <v>46270.94085648148</v>
      </c>
      <c r="O78" s="124">
        <v>46271.351469907408</v>
      </c>
      <c r="P78" s="124">
        <v>46271.932893518519</v>
      </c>
      <c r="Q78" s="124">
        <v>46272.344039351854</v>
      </c>
      <c r="R78" s="124">
        <v>46272.94054398148</v>
      </c>
      <c r="S78" s="124">
        <v>46273.347754629627</v>
      </c>
      <c r="T78" s="124">
        <v>46273.94027777778</v>
      </c>
      <c r="U78" s="124">
        <v>46274.354548611111</v>
      </c>
      <c r="V78" s="124">
        <v>46274.939409722225</v>
      </c>
      <c r="W78" s="124">
        <v>46275.348009259258</v>
      </c>
      <c r="X78" s="124">
        <v>46275.975914351853</v>
      </c>
      <c r="Y78" s="124">
        <v>0</v>
      </c>
      <c r="Z78" s="124">
        <v>46276.937592592592</v>
      </c>
      <c r="AA78" s="124">
        <v>46277.35361111111</v>
      </c>
      <c r="AB78" s="124">
        <v>0</v>
      </c>
      <c r="AC78" s="124">
        <v>46278.355138888888</v>
      </c>
      <c r="AD78" s="124">
        <v>46278.938159722224</v>
      </c>
      <c r="AE78" s="124">
        <v>46279.343333333331</v>
      </c>
      <c r="AF78" s="124">
        <v>0</v>
      </c>
      <c r="AG78" s="124">
        <v>46280.354467592595</v>
      </c>
      <c r="AH78" s="124">
        <v>46280.949374999997</v>
      </c>
      <c r="AI78" s="110"/>
      <c r="AJ78" s="44">
        <v>60</v>
      </c>
      <c r="AK78" s="124">
        <v>46281.353530092594</v>
      </c>
      <c r="AL78" s="124">
        <v>46281.939421296294</v>
      </c>
      <c r="AM78" s="131">
        <v>46282.354432870372</v>
      </c>
      <c r="AN78" s="124">
        <v>46282.953113425923</v>
      </c>
      <c r="AO78" s="229" t="s">
        <v>15</v>
      </c>
      <c r="AP78" s="229" t="s">
        <v>15</v>
      </c>
      <c r="AQ78" s="124">
        <v>46284.354479166665</v>
      </c>
      <c r="AR78" s="124">
        <v>46284.964212962965</v>
      </c>
      <c r="AS78" s="124">
        <v>46285.355891203704</v>
      </c>
      <c r="AT78" s="124">
        <v>46285.934236111112</v>
      </c>
      <c r="AU78" s="124">
        <v>46286.354780092595</v>
      </c>
      <c r="AV78" s="124">
        <v>46286.934479166666</v>
      </c>
      <c r="AW78" s="124">
        <v>46287.355138888888</v>
      </c>
      <c r="AX78" s="124">
        <v>46287.942812499998</v>
      </c>
      <c r="AY78" s="124">
        <v>46288.35528935185</v>
      </c>
      <c r="AZ78" s="124">
        <v>46288.966631944444</v>
      </c>
      <c r="BA78" s="124">
        <v>46289.356342592589</v>
      </c>
      <c r="BB78" s="124">
        <v>46289.940763888888</v>
      </c>
      <c r="BC78" s="124">
        <v>46290.579513888886</v>
      </c>
      <c r="BD78" s="124">
        <v>46290.914247685185</v>
      </c>
      <c r="BE78" s="124">
        <v>46291.355937499997</v>
      </c>
      <c r="BF78" s="124">
        <v>46291.963136574072</v>
      </c>
      <c r="BG78" s="124">
        <v>46292.35434027778</v>
      </c>
      <c r="BH78" s="124">
        <v>0</v>
      </c>
      <c r="BI78" s="124">
        <v>46293.355567129627</v>
      </c>
      <c r="BJ78" s="124">
        <v>46293.941134259258</v>
      </c>
      <c r="BK78" s="124">
        <v>46294.354375000003</v>
      </c>
      <c r="BL78" s="124">
        <v>46294.924722222226</v>
      </c>
      <c r="BM78" s="124">
        <v>46295.353078703702</v>
      </c>
      <c r="BN78" s="124">
        <v>46295.948518518519</v>
      </c>
      <c r="BO78" s="152">
        <v>46265.354143518518</v>
      </c>
      <c r="BP78" s="152">
        <v>46265.945289351854</v>
      </c>
      <c r="BQ78" s="96">
        <f t="shared" si="52"/>
        <v>30</v>
      </c>
      <c r="BR78" s="67">
        <v>2</v>
      </c>
      <c r="BS78" s="1">
        <f t="shared" si="27"/>
        <v>28</v>
      </c>
      <c r="BT78" s="2">
        <f t="shared" si="53"/>
        <v>2</v>
      </c>
      <c r="BU78" s="2">
        <f t="shared" si="54"/>
        <v>0</v>
      </c>
      <c r="BV78" s="2">
        <f t="shared" si="55"/>
        <v>0</v>
      </c>
      <c r="BW78" s="2">
        <f t="shared" si="56"/>
        <v>0</v>
      </c>
      <c r="BX78" s="2">
        <f t="shared" si="57"/>
        <v>0</v>
      </c>
      <c r="BY78" s="2">
        <f t="shared" si="58"/>
        <v>0</v>
      </c>
      <c r="BZ78" s="2">
        <f t="shared" si="59"/>
        <v>0</v>
      </c>
      <c r="CA78" s="2">
        <f t="shared" si="60"/>
        <v>0</v>
      </c>
      <c r="CB78" s="2">
        <f t="shared" si="61"/>
        <v>0</v>
      </c>
      <c r="CC78" s="2">
        <f t="shared" si="62"/>
        <v>0</v>
      </c>
      <c r="CD78" s="2">
        <f t="shared" si="63"/>
        <v>0</v>
      </c>
      <c r="CE78" s="71"/>
      <c r="CG78" s="54">
        <v>0</v>
      </c>
      <c r="CH78" s="53">
        <v>0</v>
      </c>
      <c r="CI78" s="53">
        <v>0</v>
      </c>
      <c r="CJ78" s="53">
        <v>0</v>
      </c>
      <c r="CK78" s="53">
        <v>0</v>
      </c>
      <c r="CL78" s="53">
        <v>0</v>
      </c>
      <c r="CM78" s="53">
        <v>0</v>
      </c>
      <c r="CN78" s="53">
        <v>0</v>
      </c>
      <c r="CO78" s="53">
        <v>0</v>
      </c>
      <c r="CP78" s="53">
        <v>0</v>
      </c>
      <c r="CQ78" s="117">
        <f t="shared" si="40"/>
        <v>0</v>
      </c>
    </row>
    <row r="79" spans="1:95" ht="21.75" customHeight="1" x14ac:dyDescent="0.25">
      <c r="A79" s="44">
        <v>61</v>
      </c>
      <c r="B79" s="11" t="s">
        <v>153</v>
      </c>
      <c r="C79" s="77" t="s">
        <v>230</v>
      </c>
      <c r="D79" s="87">
        <v>45841</v>
      </c>
      <c r="E79" s="124">
        <v>46266.352337962962</v>
      </c>
      <c r="F79" s="124">
        <v>46264.743946759256</v>
      </c>
      <c r="G79" s="124">
        <v>46267.352187500001</v>
      </c>
      <c r="H79" s="124">
        <v>46267.947314814817</v>
      </c>
      <c r="I79" s="124">
        <v>46268.351504629631</v>
      </c>
      <c r="J79" s="124">
        <v>0</v>
      </c>
      <c r="K79" s="178" t="s">
        <v>15</v>
      </c>
      <c r="L79" s="178" t="s">
        <v>15</v>
      </c>
      <c r="M79" s="124">
        <v>46270.351342592592</v>
      </c>
      <c r="N79" s="124">
        <v>0</v>
      </c>
      <c r="O79" s="180" t="s">
        <v>170</v>
      </c>
      <c r="P79" s="180" t="s">
        <v>170</v>
      </c>
      <c r="Q79" s="124">
        <v>46272.346296296295</v>
      </c>
      <c r="R79" s="124">
        <v>46272.939108796294</v>
      </c>
      <c r="S79" s="124">
        <v>46273.344710648147</v>
      </c>
      <c r="T79" s="124">
        <v>46273.9528125</v>
      </c>
      <c r="U79" s="124">
        <v>46274.351423611108</v>
      </c>
      <c r="V79" s="124">
        <v>46274.960219907407</v>
      </c>
      <c r="W79" s="124">
        <v>46275.35292824074</v>
      </c>
      <c r="X79" s="124">
        <v>46275.980474537035</v>
      </c>
      <c r="Y79" s="124">
        <v>0</v>
      </c>
      <c r="Z79" s="124">
        <v>46276.958599537036</v>
      </c>
      <c r="AA79" s="124">
        <v>46277.352569444447</v>
      </c>
      <c r="AB79" s="124">
        <v>46277.98238425926</v>
      </c>
      <c r="AC79" s="180" t="s">
        <v>170</v>
      </c>
      <c r="AD79" s="180" t="s">
        <v>170</v>
      </c>
      <c r="AE79" s="124">
        <v>46279.352754629632</v>
      </c>
      <c r="AF79" s="124">
        <v>46279.949467592596</v>
      </c>
      <c r="AG79" s="124">
        <v>46280.351805555554</v>
      </c>
      <c r="AH79" s="124">
        <v>46280.931701388887</v>
      </c>
      <c r="AI79" s="110"/>
      <c r="AJ79" s="44">
        <v>61</v>
      </c>
      <c r="AK79" s="124">
        <v>46281.350856481484</v>
      </c>
      <c r="AL79" s="124">
        <v>0</v>
      </c>
      <c r="AM79" s="131">
        <v>46282.350740740738</v>
      </c>
      <c r="AN79" s="124">
        <v>0</v>
      </c>
      <c r="AO79" s="124">
        <v>46283.581689814811</v>
      </c>
      <c r="AP79" s="124">
        <v>46283.918738425928</v>
      </c>
      <c r="AQ79" s="124">
        <v>46284.351840277777</v>
      </c>
      <c r="AR79" s="124">
        <v>0</v>
      </c>
      <c r="AS79" s="124">
        <v>46285.352430555555</v>
      </c>
      <c r="AT79" s="124">
        <v>0</v>
      </c>
      <c r="AU79" s="124">
        <v>46286.351956018516</v>
      </c>
      <c r="AV79" s="124">
        <v>0</v>
      </c>
      <c r="AW79" s="124">
        <v>46287.352083333331</v>
      </c>
      <c r="AX79" s="124">
        <v>0</v>
      </c>
      <c r="AY79" s="124">
        <v>46288.352349537039</v>
      </c>
      <c r="AZ79" s="124">
        <v>46288.951608796298</v>
      </c>
      <c r="BA79" s="124">
        <v>46289.353321759256</v>
      </c>
      <c r="BB79" s="124">
        <v>0</v>
      </c>
      <c r="BC79" s="124">
        <v>46290.571944444448</v>
      </c>
      <c r="BD79" s="124">
        <v>46290.885439814818</v>
      </c>
      <c r="BE79" s="124">
        <v>46291.353032407409</v>
      </c>
      <c r="BF79" s="124">
        <v>46291.736620370371</v>
      </c>
      <c r="BG79" s="124">
        <v>46292.352384259262</v>
      </c>
      <c r="BH79" s="124">
        <v>0</v>
      </c>
      <c r="BI79" s="124">
        <v>46293.352766203701</v>
      </c>
      <c r="BJ79" s="124">
        <v>46293.939710648148</v>
      </c>
      <c r="BK79" s="124">
        <v>46294.351840277777</v>
      </c>
      <c r="BL79" s="124">
        <v>0</v>
      </c>
      <c r="BM79" s="124">
        <v>46295.351921296293</v>
      </c>
      <c r="BN79" s="124">
        <v>46295.966041666667</v>
      </c>
      <c r="BO79" s="152">
        <v>46265.351157407407</v>
      </c>
      <c r="BP79" s="152">
        <v>46265.951145833336</v>
      </c>
      <c r="BQ79" s="96">
        <f t="shared" si="52"/>
        <v>30</v>
      </c>
      <c r="BR79" s="67">
        <v>3</v>
      </c>
      <c r="BS79" s="1">
        <f t="shared" si="27"/>
        <v>27</v>
      </c>
      <c r="BT79" s="2">
        <f t="shared" si="53"/>
        <v>1</v>
      </c>
      <c r="BU79" s="2">
        <f t="shared" si="54"/>
        <v>0</v>
      </c>
      <c r="BV79" s="2">
        <f t="shared" si="55"/>
        <v>0</v>
      </c>
      <c r="BW79" s="2">
        <f t="shared" si="56"/>
        <v>0</v>
      </c>
      <c r="BX79" s="2">
        <f t="shared" si="57"/>
        <v>0</v>
      </c>
      <c r="BY79" s="2">
        <f t="shared" si="58"/>
        <v>0</v>
      </c>
      <c r="BZ79" s="2">
        <f t="shared" si="59"/>
        <v>2</v>
      </c>
      <c r="CA79" s="2">
        <f t="shared" si="60"/>
        <v>0</v>
      </c>
      <c r="CB79" s="2">
        <f t="shared" si="61"/>
        <v>0</v>
      </c>
      <c r="CC79" s="2">
        <f t="shared" si="62"/>
        <v>0</v>
      </c>
      <c r="CD79" s="2">
        <f t="shared" si="63"/>
        <v>0</v>
      </c>
      <c r="CE79" s="3"/>
      <c r="CG79" s="113">
        <v>0</v>
      </c>
      <c r="CH79" s="114">
        <v>0</v>
      </c>
      <c r="CI79" s="114">
        <v>0</v>
      </c>
      <c r="CJ79" s="114">
        <v>0</v>
      </c>
      <c r="CK79" s="114">
        <v>0</v>
      </c>
      <c r="CL79" s="114">
        <v>2</v>
      </c>
      <c r="CM79" s="114">
        <v>0</v>
      </c>
      <c r="CN79" s="114">
        <v>0</v>
      </c>
      <c r="CO79" s="114">
        <v>0</v>
      </c>
      <c r="CP79" s="114">
        <v>0</v>
      </c>
      <c r="CQ79" s="116">
        <f t="shared" si="40"/>
        <v>2</v>
      </c>
    </row>
    <row r="80" spans="1:95" ht="21.75" customHeight="1" x14ac:dyDescent="0.25">
      <c r="A80" s="44">
        <v>62</v>
      </c>
      <c r="B80" s="11" t="s">
        <v>154</v>
      </c>
      <c r="C80" s="77" t="s">
        <v>155</v>
      </c>
      <c r="D80" s="87">
        <v>45841</v>
      </c>
      <c r="E80" s="124">
        <v>46266.353541666664</v>
      </c>
      <c r="F80" s="124">
        <v>46264.958657407406</v>
      </c>
      <c r="G80" s="124">
        <v>46267.354097222225</v>
      </c>
      <c r="H80" s="124">
        <v>46267.983344907407</v>
      </c>
      <c r="I80" s="124">
        <v>46268.354942129627</v>
      </c>
      <c r="J80" s="124">
        <v>46268.988657407404</v>
      </c>
      <c r="K80" s="124">
        <v>46269.582013888888</v>
      </c>
      <c r="L80" s="124">
        <v>46269.994467592594</v>
      </c>
      <c r="M80" s="124">
        <v>46270.352326388886</v>
      </c>
      <c r="N80" s="124">
        <v>46270.953645833331</v>
      </c>
      <c r="O80" s="124">
        <v>0</v>
      </c>
      <c r="P80" s="124">
        <v>0</v>
      </c>
      <c r="Q80" s="124">
        <v>46272.352488425924</v>
      </c>
      <c r="R80" s="124">
        <v>46272.955138888887</v>
      </c>
      <c r="S80" s="124">
        <v>46273.352754629632</v>
      </c>
      <c r="T80" s="124">
        <v>46273.951539351852</v>
      </c>
      <c r="U80" s="124">
        <v>46274.35355324074</v>
      </c>
      <c r="V80" s="124">
        <v>46274.947604166664</v>
      </c>
      <c r="W80" s="124">
        <v>46275.351793981485</v>
      </c>
      <c r="X80" s="124">
        <v>46275.968645833331</v>
      </c>
      <c r="Y80" s="124">
        <v>0</v>
      </c>
      <c r="Z80" s="124">
        <v>46276.951527777775</v>
      </c>
      <c r="AA80" s="124">
        <v>46277.354942129627</v>
      </c>
      <c r="AB80" s="124">
        <v>46277.982974537037</v>
      </c>
      <c r="AC80" s="124">
        <v>46278.355428240742</v>
      </c>
      <c r="AD80" s="124">
        <v>46278.947210648148</v>
      </c>
      <c r="AE80" s="124">
        <v>46279.354560185187</v>
      </c>
      <c r="AF80" s="124">
        <v>46279.951874999999</v>
      </c>
      <c r="AG80" s="124">
        <v>46280.353958333333</v>
      </c>
      <c r="AH80" s="124">
        <v>46280.949502314812</v>
      </c>
      <c r="AI80" s="110"/>
      <c r="AJ80" s="44">
        <v>62</v>
      </c>
      <c r="AK80" s="124">
        <v>46281.354317129626</v>
      </c>
      <c r="AL80" s="124">
        <v>46281.958587962959</v>
      </c>
      <c r="AM80" s="131">
        <v>46282.35460648148</v>
      </c>
      <c r="AN80" s="124">
        <v>46282.970289351855</v>
      </c>
      <c r="AO80" s="124">
        <v>0</v>
      </c>
      <c r="AP80" s="124">
        <v>46283.963495370372</v>
      </c>
      <c r="AQ80" s="124">
        <v>46284.353796296295</v>
      </c>
      <c r="AR80" s="124">
        <v>46284.968055555553</v>
      </c>
      <c r="AS80" s="124">
        <v>46285.354988425926</v>
      </c>
      <c r="AT80" s="124">
        <v>46285.953182870369</v>
      </c>
      <c r="AU80" s="124">
        <v>46286.354675925926</v>
      </c>
      <c r="AV80" s="124">
        <v>46286.949456018519</v>
      </c>
      <c r="AW80" s="124">
        <v>46287.356435185182</v>
      </c>
      <c r="AX80" s="124">
        <v>46287.958634259259</v>
      </c>
      <c r="AY80" s="124">
        <v>46288.353958333333</v>
      </c>
      <c r="AZ80" s="124">
        <v>46288.951041666667</v>
      </c>
      <c r="BA80" s="124">
        <v>46289.354375000003</v>
      </c>
      <c r="BB80" s="124">
        <v>46289.978773148148</v>
      </c>
      <c r="BC80" s="124">
        <v>46290.580416666664</v>
      </c>
      <c r="BD80" s="124">
        <v>46290.935995370368</v>
      </c>
      <c r="BE80" s="124">
        <v>46291.354120370372</v>
      </c>
      <c r="BF80" s="124">
        <v>46291.951643518521</v>
      </c>
      <c r="BG80" s="124">
        <v>46292.354062500002</v>
      </c>
      <c r="BH80" s="124">
        <v>46292.959340277775</v>
      </c>
      <c r="BI80" s="124">
        <v>46293.354432870372</v>
      </c>
      <c r="BJ80" s="124">
        <v>46293.953888888886</v>
      </c>
      <c r="BK80" s="124">
        <v>46294.354571759257</v>
      </c>
      <c r="BL80" s="124">
        <v>46294.941712962966</v>
      </c>
      <c r="BM80" s="124">
        <v>46295.353784722225</v>
      </c>
      <c r="BN80" s="124">
        <v>46295.961944444447</v>
      </c>
      <c r="BO80" s="152">
        <v>46265.353877314818</v>
      </c>
      <c r="BP80" s="152">
        <v>46265.950509259259</v>
      </c>
      <c r="BQ80" s="96">
        <f t="shared" si="52"/>
        <v>30</v>
      </c>
      <c r="BR80" s="159">
        <v>4</v>
      </c>
      <c r="BS80" s="1">
        <f t="shared" si="27"/>
        <v>30</v>
      </c>
      <c r="BT80" s="2">
        <f t="shared" si="53"/>
        <v>0</v>
      </c>
      <c r="BU80" s="2">
        <f t="shared" si="54"/>
        <v>0</v>
      </c>
      <c r="BV80" s="2">
        <f t="shared" si="55"/>
        <v>0</v>
      </c>
      <c r="BW80" s="2">
        <f t="shared" si="56"/>
        <v>0</v>
      </c>
      <c r="BX80" s="2">
        <f t="shared" si="57"/>
        <v>0</v>
      </c>
      <c r="BY80" s="2">
        <f t="shared" si="58"/>
        <v>0</v>
      </c>
      <c r="BZ80" s="2">
        <f t="shared" si="59"/>
        <v>0</v>
      </c>
      <c r="CA80" s="2">
        <f t="shared" si="60"/>
        <v>0</v>
      </c>
      <c r="CB80" s="2">
        <f t="shared" si="61"/>
        <v>0</v>
      </c>
      <c r="CC80" s="2">
        <f t="shared" si="62"/>
        <v>0</v>
      </c>
      <c r="CD80" s="2">
        <f t="shared" si="63"/>
        <v>0</v>
      </c>
      <c r="CE80" s="3"/>
      <c r="CG80" s="54">
        <v>0</v>
      </c>
      <c r="CH80" s="53">
        <v>0</v>
      </c>
      <c r="CI80" s="53">
        <v>0</v>
      </c>
      <c r="CJ80" s="53">
        <v>0</v>
      </c>
      <c r="CK80" s="53">
        <v>0</v>
      </c>
      <c r="CL80" s="54">
        <v>1</v>
      </c>
      <c r="CM80" s="53">
        <v>0</v>
      </c>
      <c r="CN80" s="53">
        <v>0</v>
      </c>
      <c r="CO80" s="53">
        <v>0</v>
      </c>
      <c r="CP80" s="53">
        <v>0</v>
      </c>
      <c r="CQ80" s="117">
        <f t="shared" si="40"/>
        <v>1</v>
      </c>
    </row>
    <row r="81" spans="1:95" ht="21.75" customHeight="1" x14ac:dyDescent="0.25">
      <c r="A81" s="44">
        <v>63</v>
      </c>
      <c r="B81" s="11" t="s">
        <v>156</v>
      </c>
      <c r="C81" s="77" t="s">
        <v>157</v>
      </c>
      <c r="D81" s="87">
        <v>45912</v>
      </c>
      <c r="E81" s="124">
        <v>46266.346956018519</v>
      </c>
      <c r="F81" s="124">
        <v>46264.938576388886</v>
      </c>
      <c r="G81" s="124">
        <v>46267.35224537037</v>
      </c>
      <c r="H81" s="124">
        <v>0</v>
      </c>
      <c r="I81" s="124">
        <v>46268.353958333333</v>
      </c>
      <c r="J81" s="124">
        <v>0</v>
      </c>
      <c r="K81" s="178" t="s">
        <v>15</v>
      </c>
      <c r="L81" s="178" t="s">
        <v>15</v>
      </c>
      <c r="M81" s="124">
        <v>46270.347858796296</v>
      </c>
      <c r="N81" s="124">
        <v>46270.972719907404</v>
      </c>
      <c r="O81" s="124">
        <v>46271.357256944444</v>
      </c>
      <c r="P81" s="124">
        <v>0</v>
      </c>
      <c r="Q81" s="124">
        <v>46272.353530092594</v>
      </c>
      <c r="R81" s="124">
        <v>46272.971238425926</v>
      </c>
      <c r="S81" s="124">
        <v>46273.349560185183</v>
      </c>
      <c r="T81" s="124">
        <v>46273.969652777778</v>
      </c>
      <c r="U81" s="124">
        <v>46274.348252314812</v>
      </c>
      <c r="V81" s="124">
        <v>46274.96947916667</v>
      </c>
      <c r="W81" s="124">
        <v>46275.349942129629</v>
      </c>
      <c r="X81" s="124">
        <v>46275.986261574071</v>
      </c>
      <c r="Y81" s="124">
        <v>0</v>
      </c>
      <c r="Z81" s="124">
        <v>46276.960347222222</v>
      </c>
      <c r="AA81" s="124">
        <v>46277.361030092594</v>
      </c>
      <c r="AB81" s="124">
        <v>46277.986793981479</v>
      </c>
      <c r="AC81" s="124">
        <v>46278.357777777775</v>
      </c>
      <c r="AD81" s="124">
        <v>46278.960289351853</v>
      </c>
      <c r="AE81" s="124">
        <v>46279.351284722223</v>
      </c>
      <c r="AF81" s="124">
        <v>46279.856620370374</v>
      </c>
      <c r="AG81" s="124">
        <v>46280.34747685185</v>
      </c>
      <c r="AH81" s="124">
        <v>46280.963530092595</v>
      </c>
      <c r="AI81" s="110"/>
      <c r="AJ81" s="44">
        <v>63</v>
      </c>
      <c r="AK81" s="124">
        <v>46281.34888888889</v>
      </c>
      <c r="AL81" s="124">
        <v>46281.944571759261</v>
      </c>
      <c r="AM81" s="124">
        <v>46282.346550925926</v>
      </c>
      <c r="AN81" s="124">
        <v>0</v>
      </c>
      <c r="AO81" s="124">
        <v>0</v>
      </c>
      <c r="AP81" s="124">
        <v>46283.949363425927</v>
      </c>
      <c r="AQ81" s="124">
        <v>46284.34815972222</v>
      </c>
      <c r="AR81" s="124">
        <v>0</v>
      </c>
      <c r="AS81" s="124">
        <v>46285.350046296298</v>
      </c>
      <c r="AT81" s="124">
        <v>0</v>
      </c>
      <c r="AU81" s="124">
        <v>46286.349039351851</v>
      </c>
      <c r="AV81" s="124">
        <v>0</v>
      </c>
      <c r="AW81" s="124">
        <v>0</v>
      </c>
      <c r="AX81" s="124">
        <v>0</v>
      </c>
      <c r="AY81" s="124">
        <v>46288.350601851853</v>
      </c>
      <c r="AZ81" s="124">
        <v>46288.719328703701</v>
      </c>
      <c r="BA81" s="124">
        <v>46289.353182870371</v>
      </c>
      <c r="BB81" s="124">
        <v>0</v>
      </c>
      <c r="BC81" s="234" t="s">
        <v>15</v>
      </c>
      <c r="BD81" s="234" t="s">
        <v>15</v>
      </c>
      <c r="BE81" s="124">
        <v>46291.351157407407</v>
      </c>
      <c r="BF81" s="124">
        <v>0</v>
      </c>
      <c r="BG81" s="124">
        <v>46292.353379629632</v>
      </c>
      <c r="BH81" s="124">
        <v>0</v>
      </c>
      <c r="BI81" s="124">
        <v>46293.351550925923</v>
      </c>
      <c r="BJ81" s="124">
        <v>46293.739942129629</v>
      </c>
      <c r="BK81" s="124">
        <v>46294.347858796296</v>
      </c>
      <c r="BL81" s="124">
        <v>0</v>
      </c>
      <c r="BM81" s="124">
        <v>46295.353321759256</v>
      </c>
      <c r="BN81" s="124">
        <v>46295.93990740741</v>
      </c>
      <c r="BO81" s="152">
        <v>46265.345219907409</v>
      </c>
      <c r="BP81" s="152">
        <v>46265.960729166669</v>
      </c>
      <c r="BQ81" s="96">
        <f t="shared" si="52"/>
        <v>30</v>
      </c>
      <c r="BR81" s="159">
        <v>2</v>
      </c>
      <c r="BS81" s="1">
        <f t="shared" si="27"/>
        <v>28</v>
      </c>
      <c r="BT81" s="2">
        <f t="shared" si="53"/>
        <v>2</v>
      </c>
      <c r="BU81" s="2">
        <f t="shared" si="54"/>
        <v>0</v>
      </c>
      <c r="BV81" s="2">
        <f t="shared" si="55"/>
        <v>0</v>
      </c>
      <c r="BW81" s="2">
        <f t="shared" si="56"/>
        <v>0</v>
      </c>
      <c r="BX81" s="2">
        <f t="shared" si="57"/>
        <v>0</v>
      </c>
      <c r="BY81" s="2">
        <f t="shared" si="58"/>
        <v>0</v>
      </c>
      <c r="BZ81" s="2">
        <f t="shared" si="59"/>
        <v>0</v>
      </c>
      <c r="CA81" s="2">
        <f t="shared" si="60"/>
        <v>0</v>
      </c>
      <c r="CB81" s="2">
        <f t="shared" si="61"/>
        <v>0</v>
      </c>
      <c r="CC81" s="2">
        <f t="shared" si="62"/>
        <v>0</v>
      </c>
      <c r="CD81" s="2">
        <f t="shared" si="63"/>
        <v>0</v>
      </c>
      <c r="CE81" s="3"/>
      <c r="CG81" s="113">
        <v>0</v>
      </c>
      <c r="CH81" s="114">
        <v>0</v>
      </c>
      <c r="CI81" s="114">
        <v>0</v>
      </c>
      <c r="CJ81" s="114">
        <v>0</v>
      </c>
      <c r="CK81" s="114">
        <v>0</v>
      </c>
      <c r="CL81" s="114">
        <v>3</v>
      </c>
      <c r="CM81" s="114">
        <v>0</v>
      </c>
      <c r="CN81" s="114">
        <v>0</v>
      </c>
      <c r="CO81" s="114">
        <v>0</v>
      </c>
      <c r="CP81" s="114">
        <v>0</v>
      </c>
      <c r="CQ81" s="116">
        <f t="shared" si="40"/>
        <v>3</v>
      </c>
    </row>
    <row r="82" spans="1:95" ht="21.75" customHeight="1" x14ac:dyDescent="0.25">
      <c r="A82" s="44">
        <v>64</v>
      </c>
      <c r="B82" s="11" t="s">
        <v>158</v>
      </c>
      <c r="C82" s="77" t="s">
        <v>159</v>
      </c>
      <c r="D82" s="87">
        <v>45882</v>
      </c>
      <c r="E82" s="124">
        <v>46266.345972222225</v>
      </c>
      <c r="F82" s="124">
        <v>46264.946157407408</v>
      </c>
      <c r="G82" s="124">
        <v>46267.344664351855</v>
      </c>
      <c r="H82" s="124">
        <v>0</v>
      </c>
      <c r="I82" s="124">
        <v>46268.346192129633</v>
      </c>
      <c r="J82" s="124">
        <v>46268.886608796296</v>
      </c>
      <c r="K82" s="124">
        <v>0</v>
      </c>
      <c r="L82" s="124">
        <v>0</v>
      </c>
      <c r="M82" s="124">
        <v>46270.353425925925</v>
      </c>
      <c r="N82" s="124">
        <v>46270.968460648146</v>
      </c>
      <c r="O82" s="124">
        <v>46271.350335648145</v>
      </c>
      <c r="P82" s="124">
        <v>46271.962245370371</v>
      </c>
      <c r="Q82" s="124">
        <v>46272.350208333337</v>
      </c>
      <c r="R82" s="124">
        <v>46272.882476851853</v>
      </c>
      <c r="S82" s="124">
        <v>46273.354733796295</v>
      </c>
      <c r="T82" s="124">
        <v>46273.895381944443</v>
      </c>
      <c r="U82" s="124">
        <v>46274.344594907408</v>
      </c>
      <c r="V82" s="124">
        <v>46274.903113425928</v>
      </c>
      <c r="W82" s="124">
        <v>46275.355671296296</v>
      </c>
      <c r="X82" s="124">
        <v>46275.955879629626</v>
      </c>
      <c r="Y82" s="178" t="s">
        <v>15</v>
      </c>
      <c r="Z82" s="178" t="s">
        <v>15</v>
      </c>
      <c r="AA82" s="124">
        <v>46277.349618055552</v>
      </c>
      <c r="AB82" s="124">
        <v>46277.983796296299</v>
      </c>
      <c r="AC82" s="124">
        <v>46278.346817129626</v>
      </c>
      <c r="AD82" s="124">
        <v>46278.892500000002</v>
      </c>
      <c r="AE82" s="124">
        <v>46279.345358796294</v>
      </c>
      <c r="AF82" s="124">
        <v>46279.899039351854</v>
      </c>
      <c r="AG82" s="124">
        <v>46280.345914351848</v>
      </c>
      <c r="AH82" s="124">
        <v>46280.915914351855</v>
      </c>
      <c r="AI82" s="110"/>
      <c r="AJ82" s="44">
        <v>64</v>
      </c>
      <c r="AK82" s="124">
        <v>46281.346944444442</v>
      </c>
      <c r="AL82" s="124">
        <v>46281.731064814812</v>
      </c>
      <c r="AM82" s="124">
        <v>46282.346273148149</v>
      </c>
      <c r="AN82" s="124">
        <v>46282.974918981483</v>
      </c>
      <c r="AO82" s="124">
        <v>46283.572835648149</v>
      </c>
      <c r="AP82" s="124">
        <v>0</v>
      </c>
      <c r="AQ82" s="124">
        <v>46284.346307870372</v>
      </c>
      <c r="AR82" s="124">
        <v>46284.83184027778</v>
      </c>
      <c r="AS82" s="124">
        <v>46285.345057870371</v>
      </c>
      <c r="AT82" s="124">
        <v>46285.737592592595</v>
      </c>
      <c r="AU82" s="124">
        <v>46286.344155092593</v>
      </c>
      <c r="AV82" s="124">
        <v>46286.724398148152</v>
      </c>
      <c r="AW82" s="124">
        <v>46287.344282407408</v>
      </c>
      <c r="AX82" s="124">
        <v>46287.752743055556</v>
      </c>
      <c r="AY82" s="124">
        <v>46288.351388888892</v>
      </c>
      <c r="AZ82" s="124">
        <v>46288.930462962962</v>
      </c>
      <c r="BA82" s="124">
        <v>46289.34412037037</v>
      </c>
      <c r="BB82" s="124">
        <v>46289.731145833335</v>
      </c>
      <c r="BC82" s="124">
        <v>46290.579629629632</v>
      </c>
      <c r="BD82" s="124">
        <v>46290.95621527778</v>
      </c>
      <c r="BE82" s="124">
        <v>46291.346388888887</v>
      </c>
      <c r="BF82" s="124">
        <v>46291.713831018518</v>
      </c>
      <c r="BG82" s="124">
        <v>46292.34578703704</v>
      </c>
      <c r="BH82" s="124">
        <v>46292.722094907411</v>
      </c>
      <c r="BI82" s="124">
        <v>46293.345868055556</v>
      </c>
      <c r="BJ82" s="124">
        <v>46293.925347222219</v>
      </c>
      <c r="BK82" s="124">
        <v>46294.340925925928</v>
      </c>
      <c r="BL82" s="124">
        <v>46294.709699074076</v>
      </c>
      <c r="BM82" s="124">
        <v>46295.344687500001</v>
      </c>
      <c r="BN82" s="124">
        <v>46295.744027777779</v>
      </c>
      <c r="BO82" s="152">
        <v>46265.346261574072</v>
      </c>
      <c r="BP82" s="152">
        <v>46265.890972222223</v>
      </c>
      <c r="BQ82" s="96">
        <f t="shared" si="52"/>
        <v>30</v>
      </c>
      <c r="BR82" s="67">
        <v>3</v>
      </c>
      <c r="BS82" s="1">
        <f t="shared" si="27"/>
        <v>29</v>
      </c>
      <c r="BT82" s="2">
        <f t="shared" si="53"/>
        <v>1</v>
      </c>
      <c r="BU82" s="2">
        <f t="shared" si="54"/>
        <v>0</v>
      </c>
      <c r="BV82" s="2">
        <f t="shared" si="55"/>
        <v>0</v>
      </c>
      <c r="BW82" s="2">
        <f t="shared" si="56"/>
        <v>0</v>
      </c>
      <c r="BX82" s="2">
        <f t="shared" si="57"/>
        <v>0</v>
      </c>
      <c r="BY82" s="2">
        <f t="shared" si="58"/>
        <v>0</v>
      </c>
      <c r="BZ82" s="2">
        <f t="shared" si="59"/>
        <v>0</v>
      </c>
      <c r="CA82" s="2">
        <f t="shared" si="60"/>
        <v>0</v>
      </c>
      <c r="CB82" s="2">
        <f t="shared" si="61"/>
        <v>0</v>
      </c>
      <c r="CC82" s="2">
        <f t="shared" si="62"/>
        <v>0</v>
      </c>
      <c r="CD82" s="2">
        <f t="shared" si="63"/>
        <v>0</v>
      </c>
      <c r="CE82" s="3"/>
      <c r="CG82" s="54">
        <v>0</v>
      </c>
      <c r="CH82" s="53">
        <v>0</v>
      </c>
      <c r="CI82" s="53">
        <v>0</v>
      </c>
      <c r="CJ82" s="53">
        <v>0</v>
      </c>
      <c r="CK82" s="53">
        <v>0</v>
      </c>
      <c r="CL82" s="54">
        <v>13</v>
      </c>
      <c r="CM82" s="53">
        <v>0</v>
      </c>
      <c r="CN82" s="53">
        <v>0</v>
      </c>
      <c r="CO82" s="53">
        <v>0</v>
      </c>
      <c r="CP82" s="53">
        <v>0</v>
      </c>
      <c r="CQ82" s="117">
        <f t="shared" ref="CQ82:CQ104" si="64">SUM(CG82:CP82)</f>
        <v>13</v>
      </c>
    </row>
    <row r="83" spans="1:95" ht="22.5" customHeight="1" x14ac:dyDescent="0.25">
      <c r="A83" s="44">
        <v>65</v>
      </c>
      <c r="B83" s="11" t="s">
        <v>160</v>
      </c>
      <c r="C83" s="78" t="s">
        <v>231</v>
      </c>
      <c r="D83" s="87">
        <v>45935</v>
      </c>
      <c r="E83" s="124">
        <v>46266.350266203706</v>
      </c>
      <c r="F83" s="124">
        <v>46264.950196759259</v>
      </c>
      <c r="G83" s="124">
        <v>46267.348553240743</v>
      </c>
      <c r="H83" s="124">
        <v>46267.981979166667</v>
      </c>
      <c r="I83" s="124">
        <v>46268.347037037034</v>
      </c>
      <c r="J83" s="124">
        <v>46268.951666666668</v>
      </c>
      <c r="K83" s="181" t="s">
        <v>15</v>
      </c>
      <c r="L83" s="181" t="s">
        <v>15</v>
      </c>
      <c r="M83" s="124">
        <v>46270.35597222222</v>
      </c>
      <c r="N83" s="124">
        <v>46270.959907407407</v>
      </c>
      <c r="O83" s="124">
        <v>46271.352175925924</v>
      </c>
      <c r="P83" s="124">
        <v>46271.940335648149</v>
      </c>
      <c r="Q83" s="124">
        <v>46272.353182870371</v>
      </c>
      <c r="R83" s="124">
        <v>46272.948310185187</v>
      </c>
      <c r="S83" s="124">
        <v>46273.353229166663</v>
      </c>
      <c r="T83" s="124">
        <v>46273.946979166663</v>
      </c>
      <c r="U83" s="124">
        <v>46274.349062499998</v>
      </c>
      <c r="V83" s="124">
        <v>46274.948391203703</v>
      </c>
      <c r="W83" s="124">
        <v>46275.353009259263</v>
      </c>
      <c r="X83" s="124">
        <v>46275.975023148145</v>
      </c>
      <c r="Y83" s="124">
        <v>0</v>
      </c>
      <c r="Z83" s="124">
        <v>46276.944027777776</v>
      </c>
      <c r="AA83" s="124">
        <v>46277.356527777774</v>
      </c>
      <c r="AB83" s="124">
        <v>46277.962592592594</v>
      </c>
      <c r="AC83" s="124">
        <v>46278.347766203704</v>
      </c>
      <c r="AD83" s="124">
        <v>46278.947442129633</v>
      </c>
      <c r="AE83" s="124">
        <v>46279.348275462966</v>
      </c>
      <c r="AF83" s="124">
        <v>46279.942893518521</v>
      </c>
      <c r="AG83" s="124">
        <v>46280.348321759258</v>
      </c>
      <c r="AH83" s="124">
        <v>46280.945590277777</v>
      </c>
      <c r="AI83" s="105"/>
      <c r="AJ83" s="44">
        <v>65</v>
      </c>
      <c r="AK83" s="124">
        <v>46281.352349537039</v>
      </c>
      <c r="AL83" s="124">
        <v>46281.959363425929</v>
      </c>
      <c r="AM83" s="124">
        <v>46282.348252314812</v>
      </c>
      <c r="AN83" s="124">
        <v>46282.960625</v>
      </c>
      <c r="AO83" s="228" t="s">
        <v>15</v>
      </c>
      <c r="AP83" s="228" t="s">
        <v>15</v>
      </c>
      <c r="AQ83" s="124">
        <v>46284.348310185182</v>
      </c>
      <c r="AR83" s="124">
        <v>46284.961180555554</v>
      </c>
      <c r="AS83" s="124">
        <v>46285.348634259259</v>
      </c>
      <c r="AT83" s="124">
        <v>46285.958935185183</v>
      </c>
      <c r="AU83" s="124">
        <v>46286.348437499997</v>
      </c>
      <c r="AV83" s="124">
        <v>46286.945868055554</v>
      </c>
      <c r="AW83" s="124">
        <v>46287.3515162037</v>
      </c>
      <c r="AX83" s="124">
        <v>46287.980023148149</v>
      </c>
      <c r="AY83" s="124">
        <v>46288.34747685185</v>
      </c>
      <c r="AZ83" s="124">
        <v>46288.9453125</v>
      </c>
      <c r="BA83" s="124">
        <v>46289.348645833335</v>
      </c>
      <c r="BB83" s="124">
        <v>46289.963287037041</v>
      </c>
      <c r="BC83" s="124">
        <v>46290.56009259259</v>
      </c>
      <c r="BD83" s="124">
        <v>46290.917256944442</v>
      </c>
      <c r="BE83" s="124">
        <v>46291.352175925924</v>
      </c>
      <c r="BF83" s="124">
        <v>46291.937847222223</v>
      </c>
      <c r="BG83" s="124">
        <v>46292.348599537036</v>
      </c>
      <c r="BH83" s="124">
        <v>46292.927604166667</v>
      </c>
      <c r="BI83" s="124">
        <v>46293.348402777781</v>
      </c>
      <c r="BJ83" s="124">
        <v>46293.948206018518</v>
      </c>
      <c r="BK83" s="124">
        <v>46294.347916666666</v>
      </c>
      <c r="BL83" s="124">
        <v>46294.937800925924</v>
      </c>
      <c r="BM83" s="124">
        <v>46295.347245370373</v>
      </c>
      <c r="BN83" s="124">
        <v>46295.916770833333</v>
      </c>
      <c r="BO83" s="152">
        <v>46265.347418981481</v>
      </c>
      <c r="BP83" s="152">
        <v>46265.945451388892</v>
      </c>
      <c r="BQ83" s="96">
        <f t="shared" si="52"/>
        <v>30</v>
      </c>
      <c r="BR83" s="67">
        <v>2</v>
      </c>
      <c r="BS83" s="1">
        <f t="shared" si="27"/>
        <v>28</v>
      </c>
      <c r="BT83" s="2">
        <f t="shared" si="53"/>
        <v>2</v>
      </c>
      <c r="BU83" s="2">
        <f t="shared" si="54"/>
        <v>0</v>
      </c>
      <c r="BV83" s="2">
        <f t="shared" si="55"/>
        <v>0</v>
      </c>
      <c r="BW83" s="2">
        <f t="shared" si="56"/>
        <v>0</v>
      </c>
      <c r="BX83" s="2">
        <f t="shared" si="57"/>
        <v>0</v>
      </c>
      <c r="BY83" s="2">
        <f t="shared" si="58"/>
        <v>0</v>
      </c>
      <c r="BZ83" s="2">
        <f t="shared" si="59"/>
        <v>0</v>
      </c>
      <c r="CA83" s="2">
        <f t="shared" si="60"/>
        <v>0</v>
      </c>
      <c r="CB83" s="2">
        <f t="shared" si="61"/>
        <v>0</v>
      </c>
      <c r="CC83" s="2">
        <f t="shared" si="62"/>
        <v>0</v>
      </c>
      <c r="CD83" s="2">
        <f t="shared" si="63"/>
        <v>0</v>
      </c>
      <c r="CE83" s="3"/>
      <c r="CG83" s="113">
        <v>0</v>
      </c>
      <c r="CH83" s="114">
        <v>0</v>
      </c>
      <c r="CI83" s="114">
        <v>0</v>
      </c>
      <c r="CJ83" s="114">
        <v>0</v>
      </c>
      <c r="CK83" s="114">
        <v>0</v>
      </c>
      <c r="CL83" s="113">
        <v>1</v>
      </c>
      <c r="CM83" s="114">
        <v>0</v>
      </c>
      <c r="CN83" s="114">
        <v>0</v>
      </c>
      <c r="CO83" s="114">
        <v>0</v>
      </c>
      <c r="CP83" s="114">
        <v>0</v>
      </c>
      <c r="CQ83" s="116">
        <f t="shared" si="64"/>
        <v>1</v>
      </c>
    </row>
    <row r="84" spans="1:95" ht="21.75" customHeight="1" x14ac:dyDescent="0.25">
      <c r="A84" s="44">
        <v>66</v>
      </c>
      <c r="B84" s="11" t="s">
        <v>163</v>
      </c>
      <c r="C84" s="78" t="s">
        <v>164</v>
      </c>
      <c r="D84" s="87">
        <v>45944</v>
      </c>
      <c r="E84" s="124">
        <v>46266.347395833334</v>
      </c>
      <c r="F84" s="124">
        <v>46264.947442129633</v>
      </c>
      <c r="G84" s="124">
        <v>46267.347083333334</v>
      </c>
      <c r="H84" s="124">
        <v>46267.951655092591</v>
      </c>
      <c r="I84" s="124">
        <v>46268.347395833334</v>
      </c>
      <c r="J84" s="124">
        <v>46268.970983796295</v>
      </c>
      <c r="K84" s="124">
        <v>0</v>
      </c>
      <c r="L84" s="124">
        <v>0</v>
      </c>
      <c r="M84" s="124">
        <v>46270.348391203705</v>
      </c>
      <c r="N84" s="124">
        <v>46270.968287037038</v>
      </c>
      <c r="O84" s="124">
        <v>46271.348414351851</v>
      </c>
      <c r="P84" s="124">
        <v>46271.945439814815</v>
      </c>
      <c r="Q84" s="124">
        <v>46272.348414351851</v>
      </c>
      <c r="R84" s="124">
        <v>46272.936006944445</v>
      </c>
      <c r="S84" s="124">
        <v>46273.348622685182</v>
      </c>
      <c r="T84" s="124">
        <v>46273.909074074072</v>
      </c>
      <c r="U84" s="124">
        <v>46274.347118055557</v>
      </c>
      <c r="V84" s="124">
        <v>46274.926990740743</v>
      </c>
      <c r="W84" s="124">
        <v>46275.351851851854</v>
      </c>
      <c r="X84" s="124">
        <v>46275.932025462964</v>
      </c>
      <c r="Y84" s="178" t="s">
        <v>15</v>
      </c>
      <c r="Z84" s="178" t="s">
        <v>15</v>
      </c>
      <c r="AA84" s="124">
        <v>46277.347337962965</v>
      </c>
      <c r="AB84" s="124">
        <v>46277.982118055559</v>
      </c>
      <c r="AC84" s="124">
        <v>46278.348171296297</v>
      </c>
      <c r="AD84" s="124">
        <v>46278.919386574074</v>
      </c>
      <c r="AE84" s="124">
        <v>46279.34746527778</v>
      </c>
      <c r="AF84" s="124">
        <v>46279.918402777781</v>
      </c>
      <c r="AG84" s="124">
        <v>46280.346828703703</v>
      </c>
      <c r="AH84" s="124">
        <v>46280.920798611114</v>
      </c>
      <c r="AI84" s="110"/>
      <c r="AJ84" s="44">
        <v>66</v>
      </c>
      <c r="AK84" s="124">
        <v>46281.348043981481</v>
      </c>
      <c r="AL84" s="124">
        <v>46281.945601851854</v>
      </c>
      <c r="AM84" s="131">
        <v>0</v>
      </c>
      <c r="AN84" s="124">
        <v>46282.965775462966</v>
      </c>
      <c r="AO84" s="228" t="s">
        <v>15</v>
      </c>
      <c r="AP84" s="228" t="s">
        <v>15</v>
      </c>
      <c r="AQ84" s="124">
        <v>0</v>
      </c>
      <c r="AR84" s="124">
        <v>0</v>
      </c>
      <c r="AS84" s="124">
        <v>46285.34946759259</v>
      </c>
      <c r="AT84" s="124">
        <v>46285.948414351849</v>
      </c>
      <c r="AU84" s="124">
        <v>46286.346250000002</v>
      </c>
      <c r="AV84" s="124">
        <v>46286.948946759258</v>
      </c>
      <c r="AW84" s="124">
        <v>46287.348668981482</v>
      </c>
      <c r="AX84" s="124">
        <v>46287.947245370371</v>
      </c>
      <c r="AY84" s="124">
        <v>0</v>
      </c>
      <c r="AZ84" s="124">
        <v>0</v>
      </c>
      <c r="BA84" s="124">
        <v>46289.343321759261</v>
      </c>
      <c r="BB84" s="124">
        <v>46289.969895833332</v>
      </c>
      <c r="BC84" s="124">
        <v>46290.578564814816</v>
      </c>
      <c r="BD84" s="124">
        <v>46290.946076388886</v>
      </c>
      <c r="BE84" s="124">
        <v>46291.348298611112</v>
      </c>
      <c r="BF84" s="124">
        <v>46291.989837962959</v>
      </c>
      <c r="BG84" s="124">
        <v>46292.34883101852</v>
      </c>
      <c r="BH84" s="124">
        <v>46292.941111111111</v>
      </c>
      <c r="BI84" s="124">
        <v>46293.345567129632</v>
      </c>
      <c r="BJ84" s="124">
        <v>46293.92050925926</v>
      </c>
      <c r="BK84" s="124">
        <v>46294.347592592596</v>
      </c>
      <c r="BL84" s="124">
        <v>46294.946400462963</v>
      </c>
      <c r="BM84" s="124">
        <v>46295.347025462965</v>
      </c>
      <c r="BN84" s="124">
        <v>46295.944745370369</v>
      </c>
      <c r="BO84" s="152">
        <v>46265.344907407409</v>
      </c>
      <c r="BP84" s="152">
        <v>46265.884895833333</v>
      </c>
      <c r="BQ84" s="96">
        <f t="shared" si="52"/>
        <v>30</v>
      </c>
      <c r="BR84" s="67">
        <v>2</v>
      </c>
      <c r="BS84" s="1">
        <f t="shared" si="27"/>
        <v>28</v>
      </c>
      <c r="BT84" s="2">
        <f t="shared" si="53"/>
        <v>2</v>
      </c>
      <c r="BU84" s="2">
        <f t="shared" si="54"/>
        <v>0</v>
      </c>
      <c r="BV84" s="2">
        <f t="shared" si="55"/>
        <v>0</v>
      </c>
      <c r="BW84" s="2">
        <f t="shared" si="56"/>
        <v>0</v>
      </c>
      <c r="BX84" s="2">
        <f t="shared" si="57"/>
        <v>0</v>
      </c>
      <c r="BY84" s="2">
        <f t="shared" si="58"/>
        <v>0</v>
      </c>
      <c r="BZ84" s="2">
        <f t="shared" si="59"/>
        <v>0</v>
      </c>
      <c r="CA84" s="2">
        <f t="shared" si="60"/>
        <v>0</v>
      </c>
      <c r="CB84" s="2">
        <f t="shared" si="61"/>
        <v>0</v>
      </c>
      <c r="CC84" s="2">
        <f t="shared" si="62"/>
        <v>0</v>
      </c>
      <c r="CD84" s="2">
        <f t="shared" si="63"/>
        <v>0</v>
      </c>
      <c r="CE84" s="3"/>
      <c r="CG84" s="113">
        <v>0</v>
      </c>
      <c r="CH84" s="114">
        <v>0</v>
      </c>
      <c r="CI84" s="114">
        <v>0</v>
      </c>
      <c r="CJ84" s="114">
        <v>0</v>
      </c>
      <c r="CK84" s="114">
        <v>0</v>
      </c>
      <c r="CL84" s="114">
        <v>2</v>
      </c>
      <c r="CM84" s="114">
        <v>0</v>
      </c>
      <c r="CN84" s="114">
        <v>0</v>
      </c>
      <c r="CO84" s="114">
        <v>0</v>
      </c>
      <c r="CP84" s="114">
        <v>0</v>
      </c>
      <c r="CQ84" s="116">
        <f t="shared" si="64"/>
        <v>2</v>
      </c>
    </row>
    <row r="85" spans="1:95" ht="21.75" customHeight="1" x14ac:dyDescent="0.25">
      <c r="A85" s="44">
        <v>67</v>
      </c>
      <c r="B85" s="47" t="s">
        <v>167</v>
      </c>
      <c r="C85" s="83" t="s">
        <v>168</v>
      </c>
      <c r="D85" s="87">
        <v>45956</v>
      </c>
      <c r="E85" s="124">
        <v>46266.352638888886</v>
      </c>
      <c r="F85" s="124">
        <v>46264.95484953704</v>
      </c>
      <c r="G85" s="124">
        <v>46267.352719907409</v>
      </c>
      <c r="H85" s="124">
        <v>46267.957418981481</v>
      </c>
      <c r="I85" s="124">
        <v>46268.352777777778</v>
      </c>
      <c r="J85" s="124">
        <v>46268.992384259262</v>
      </c>
      <c r="K85" s="178" t="s">
        <v>15</v>
      </c>
      <c r="L85" s="178" t="s">
        <v>15</v>
      </c>
      <c r="M85" s="124">
        <v>0</v>
      </c>
      <c r="N85" s="124">
        <v>0</v>
      </c>
      <c r="O85" s="124">
        <v>46271.353043981479</v>
      </c>
      <c r="P85" s="124">
        <v>46271.945034722223</v>
      </c>
      <c r="Q85" s="124">
        <v>46272.352349537039</v>
      </c>
      <c r="R85" s="124">
        <v>46272.948067129626</v>
      </c>
      <c r="S85" s="124">
        <v>46273.352488425924</v>
      </c>
      <c r="T85" s="124">
        <v>46273.948460648149</v>
      </c>
      <c r="U85" s="124">
        <v>46274.353530092594</v>
      </c>
      <c r="V85" s="124">
        <v>0</v>
      </c>
      <c r="W85" s="124">
        <v>46275.353206018517</v>
      </c>
      <c r="X85" s="124">
        <v>46275.96979166667</v>
      </c>
      <c r="Y85" s="124">
        <v>0</v>
      </c>
      <c r="Z85" s="124">
        <v>46276.943530092591</v>
      </c>
      <c r="AA85" s="124">
        <v>46277.355011574073</v>
      </c>
      <c r="AB85" s="124">
        <v>46277.963252314818</v>
      </c>
      <c r="AC85" s="124">
        <v>46278.35429398148</v>
      </c>
      <c r="AD85" s="124">
        <v>46278.945057870369</v>
      </c>
      <c r="AE85" s="124">
        <v>46279.354143518518</v>
      </c>
      <c r="AF85" s="124">
        <v>46279.943599537037</v>
      </c>
      <c r="AG85" s="124">
        <v>46280.354849537034</v>
      </c>
      <c r="AH85" s="124">
        <v>46280.945243055554</v>
      </c>
      <c r="AI85" s="105"/>
      <c r="AJ85" s="44">
        <v>67</v>
      </c>
      <c r="AK85" s="124">
        <v>46281.353773148148</v>
      </c>
      <c r="AL85" s="124">
        <v>46281.948275462964</v>
      </c>
      <c r="AM85" s="124">
        <v>46282.353634259256</v>
      </c>
      <c r="AN85" s="124">
        <v>46282.979386574072</v>
      </c>
      <c r="AO85" s="228" t="s">
        <v>15</v>
      </c>
      <c r="AP85" s="228" t="s">
        <v>15</v>
      </c>
      <c r="AQ85" s="124">
        <v>46284.35428240741</v>
      </c>
      <c r="AR85" s="124">
        <v>46284.968240740738</v>
      </c>
      <c r="AS85" s="124">
        <v>46285.355624999997</v>
      </c>
      <c r="AT85" s="124">
        <v>46285.948009259257</v>
      </c>
      <c r="AU85" s="124">
        <v>46286.354594907411</v>
      </c>
      <c r="AV85" s="124">
        <v>46286.94604166667</v>
      </c>
      <c r="AW85" s="124">
        <v>46287.354247685187</v>
      </c>
      <c r="AX85" s="124">
        <v>46287.947314814817</v>
      </c>
      <c r="AY85" s="124">
        <v>46288.354930555557</v>
      </c>
      <c r="AZ85" s="124">
        <v>46288.943935185183</v>
      </c>
      <c r="BA85" s="124">
        <v>46289.355428240742</v>
      </c>
      <c r="BB85" s="124">
        <v>46289.970393518517</v>
      </c>
      <c r="BC85" s="124">
        <v>46290.577986111108</v>
      </c>
      <c r="BD85" s="124">
        <v>46290.945</v>
      </c>
      <c r="BE85" s="124">
        <v>46291.351909722223</v>
      </c>
      <c r="BF85" s="124">
        <v>46291.971273148149</v>
      </c>
      <c r="BG85" s="124">
        <v>46292.353472222225</v>
      </c>
      <c r="BH85" s="124">
        <v>46292.948206018518</v>
      </c>
      <c r="BI85" s="124">
        <v>46293.352002314816</v>
      </c>
      <c r="BJ85" s="124">
        <v>46293.94462962963</v>
      </c>
      <c r="BK85" s="124">
        <v>46294.352071759262</v>
      </c>
      <c r="BL85" s="124">
        <v>46294.949236111112</v>
      </c>
      <c r="BM85" s="124">
        <v>46295.352407407408</v>
      </c>
      <c r="BN85" s="124">
        <v>46295.931759259256</v>
      </c>
      <c r="BO85" s="152">
        <v>46265.351597222223</v>
      </c>
      <c r="BP85" s="152">
        <v>46265.945833333331</v>
      </c>
      <c r="BQ85" s="96">
        <f t="shared" si="52"/>
        <v>30</v>
      </c>
      <c r="BR85" s="67">
        <v>2</v>
      </c>
      <c r="BS85" s="1">
        <f t="shared" si="27"/>
        <v>28</v>
      </c>
      <c r="BT85" s="2">
        <f t="shared" si="53"/>
        <v>2</v>
      </c>
      <c r="BU85" s="2">
        <f t="shared" si="54"/>
        <v>0</v>
      </c>
      <c r="BV85" s="2">
        <f t="shared" si="55"/>
        <v>0</v>
      </c>
      <c r="BW85" s="2">
        <f t="shared" si="56"/>
        <v>0</v>
      </c>
      <c r="BX85" s="2">
        <f t="shared" si="57"/>
        <v>0</v>
      </c>
      <c r="BY85" s="2">
        <f t="shared" si="58"/>
        <v>0</v>
      </c>
      <c r="BZ85" s="2">
        <f t="shared" si="59"/>
        <v>0</v>
      </c>
      <c r="CA85" s="2">
        <f t="shared" si="60"/>
        <v>0</v>
      </c>
      <c r="CB85" s="2">
        <f t="shared" si="61"/>
        <v>0</v>
      </c>
      <c r="CC85" s="2">
        <f t="shared" si="62"/>
        <v>0</v>
      </c>
      <c r="CD85" s="2">
        <f t="shared" si="63"/>
        <v>0</v>
      </c>
      <c r="CE85" s="3"/>
      <c r="CG85" s="54">
        <v>0</v>
      </c>
      <c r="CH85" s="53">
        <v>0</v>
      </c>
      <c r="CI85" s="53">
        <v>0</v>
      </c>
      <c r="CJ85" s="53">
        <v>0</v>
      </c>
      <c r="CK85" s="53">
        <v>0</v>
      </c>
      <c r="CL85" s="53">
        <v>0</v>
      </c>
      <c r="CM85" s="53">
        <v>0</v>
      </c>
      <c r="CN85" s="53">
        <v>0</v>
      </c>
      <c r="CO85" s="53">
        <v>0</v>
      </c>
      <c r="CP85" s="53">
        <v>0</v>
      </c>
      <c r="CQ85" s="117">
        <f t="shared" si="64"/>
        <v>0</v>
      </c>
    </row>
    <row r="86" spans="1:95" ht="21.75" customHeight="1" x14ac:dyDescent="0.25">
      <c r="A86" s="44">
        <v>68</v>
      </c>
      <c r="B86" s="44" t="s">
        <v>179</v>
      </c>
      <c r="C86" s="79" t="s">
        <v>180</v>
      </c>
      <c r="D86" s="87">
        <v>45971</v>
      </c>
      <c r="E86" s="124">
        <v>46266.348900462966</v>
      </c>
      <c r="F86" s="124">
        <v>46264.748495370368</v>
      </c>
      <c r="G86" s="124">
        <v>46267.349016203705</v>
      </c>
      <c r="H86" s="124">
        <v>0</v>
      </c>
      <c r="I86" s="124">
        <v>46268.333749999998</v>
      </c>
      <c r="J86" s="124">
        <v>46268.970925925925</v>
      </c>
      <c r="K86" s="124">
        <v>0</v>
      </c>
      <c r="L86" s="124">
        <v>0</v>
      </c>
      <c r="M86" s="124">
        <v>46270.35365740741</v>
      </c>
      <c r="N86" s="124">
        <v>46270.965821759259</v>
      </c>
      <c r="O86" s="124">
        <v>46271.354178240741</v>
      </c>
      <c r="P86" s="124">
        <v>46271.945405092592</v>
      </c>
      <c r="Q86" s="124">
        <v>46272.352395833332</v>
      </c>
      <c r="R86" s="124">
        <v>46272.955011574071</v>
      </c>
      <c r="S86" s="124">
        <v>46273.353645833333</v>
      </c>
      <c r="T86" s="124">
        <v>0</v>
      </c>
      <c r="U86" s="124">
        <v>46274.351365740738</v>
      </c>
      <c r="V86" s="124">
        <v>46274.938125000001</v>
      </c>
      <c r="W86" s="124">
        <v>46275.355717592596</v>
      </c>
      <c r="X86" s="124">
        <v>0</v>
      </c>
      <c r="Y86" s="178" t="s">
        <v>15</v>
      </c>
      <c r="Z86" s="178" t="s">
        <v>15</v>
      </c>
      <c r="AA86" s="124">
        <v>46277.349826388891</v>
      </c>
      <c r="AB86" s="124">
        <v>0</v>
      </c>
      <c r="AC86" s="124">
        <v>46278.350891203707</v>
      </c>
      <c r="AD86" s="124">
        <v>46278.940034722225</v>
      </c>
      <c r="AE86" s="124">
        <v>46279.349074074074</v>
      </c>
      <c r="AF86" s="124">
        <v>46279.939432870371</v>
      </c>
      <c r="AG86" s="124">
        <v>46280.350208333337</v>
      </c>
      <c r="AH86" s="124">
        <v>46280.937256944446</v>
      </c>
      <c r="AI86" s="110"/>
      <c r="AJ86" s="44">
        <v>68</v>
      </c>
      <c r="AK86" s="124">
        <v>46281.350578703707</v>
      </c>
      <c r="AL86" s="124">
        <v>46281.946631944447</v>
      </c>
      <c r="AM86" s="124">
        <v>46282.34988425926</v>
      </c>
      <c r="AN86" s="124">
        <v>46282.96603009259</v>
      </c>
      <c r="AO86" s="228" t="s">
        <v>15</v>
      </c>
      <c r="AP86" s="228" t="s">
        <v>15</v>
      </c>
      <c r="AQ86" s="124">
        <v>46284.340162037035</v>
      </c>
      <c r="AR86" s="124">
        <v>46284.966493055559</v>
      </c>
      <c r="AS86" s="124">
        <v>46285.348229166666</v>
      </c>
      <c r="AT86" s="124">
        <v>46285.947905092595</v>
      </c>
      <c r="AU86" s="124">
        <v>46286.350173611114</v>
      </c>
      <c r="AV86" s="124">
        <v>46286.947962962964</v>
      </c>
      <c r="AW86" s="124">
        <v>46287.349490740744</v>
      </c>
      <c r="AX86" s="124">
        <v>46287.946863425925</v>
      </c>
      <c r="AY86" s="124">
        <v>46288.353136574071</v>
      </c>
      <c r="AZ86" s="124">
        <v>46288.938391203701</v>
      </c>
      <c r="BA86" s="124">
        <v>46289.353043981479</v>
      </c>
      <c r="BB86" s="124">
        <v>46289.965266203704</v>
      </c>
      <c r="BC86" s="124">
        <v>46290.581157407411</v>
      </c>
      <c r="BD86" s="124">
        <v>46290.943819444445</v>
      </c>
      <c r="BE86" s="124">
        <v>46291.353125000001</v>
      </c>
      <c r="BF86" s="124">
        <v>46291.989641203705</v>
      </c>
      <c r="BG86" s="124">
        <v>46292.352986111109</v>
      </c>
      <c r="BH86" s="124">
        <v>46292.943240740744</v>
      </c>
      <c r="BI86" s="124">
        <v>46293.352511574078</v>
      </c>
      <c r="BJ86" s="124">
        <v>46293.939930555556</v>
      </c>
      <c r="BK86" s="124">
        <v>46294.35260416667</v>
      </c>
      <c r="BL86" s="124">
        <v>46294.946215277778</v>
      </c>
      <c r="BM86" s="124">
        <v>46295.351261574076</v>
      </c>
      <c r="BN86" s="124">
        <v>46295.944872685184</v>
      </c>
      <c r="BO86" s="152">
        <v>46265.350497685184</v>
      </c>
      <c r="BP86" s="152">
        <v>46265.93886574074</v>
      </c>
      <c r="BQ86" s="96">
        <f t="shared" si="52"/>
        <v>30</v>
      </c>
      <c r="BR86" s="67">
        <v>2</v>
      </c>
      <c r="BS86" s="1">
        <f t="shared" si="27"/>
        <v>28</v>
      </c>
      <c r="BT86" s="2">
        <f t="shared" si="53"/>
        <v>2</v>
      </c>
      <c r="BU86" s="2">
        <f t="shared" si="54"/>
        <v>0</v>
      </c>
      <c r="BV86" s="2">
        <f t="shared" si="55"/>
        <v>0</v>
      </c>
      <c r="BW86" s="2">
        <f t="shared" si="56"/>
        <v>0</v>
      </c>
      <c r="BX86" s="2">
        <f t="shared" si="57"/>
        <v>0</v>
      </c>
      <c r="BY86" s="2">
        <f t="shared" si="58"/>
        <v>0</v>
      </c>
      <c r="BZ86" s="2">
        <f t="shared" si="59"/>
        <v>0</v>
      </c>
      <c r="CA86" s="2">
        <f t="shared" si="60"/>
        <v>0</v>
      </c>
      <c r="CB86" s="2">
        <f t="shared" si="61"/>
        <v>0</v>
      </c>
      <c r="CC86" s="2">
        <f t="shared" si="62"/>
        <v>0</v>
      </c>
      <c r="CD86" s="2">
        <f t="shared" si="63"/>
        <v>0</v>
      </c>
      <c r="CE86" s="3"/>
      <c r="CG86" s="113">
        <v>0</v>
      </c>
      <c r="CH86" s="114">
        <v>0</v>
      </c>
      <c r="CI86" s="114">
        <v>0</v>
      </c>
      <c r="CJ86" s="114">
        <v>0</v>
      </c>
      <c r="CK86" s="114">
        <v>0</v>
      </c>
      <c r="CL86" s="114">
        <v>0</v>
      </c>
      <c r="CM86" s="114">
        <v>0</v>
      </c>
      <c r="CN86" s="114">
        <v>0</v>
      </c>
      <c r="CO86" s="114">
        <v>0</v>
      </c>
      <c r="CP86" s="114">
        <v>0</v>
      </c>
      <c r="CQ86" s="116">
        <f t="shared" si="64"/>
        <v>0</v>
      </c>
    </row>
    <row r="87" spans="1:95" ht="21.75" customHeight="1" x14ac:dyDescent="0.25">
      <c r="A87" s="44">
        <v>69</v>
      </c>
      <c r="B87" s="44" t="s">
        <v>181</v>
      </c>
      <c r="C87" s="79" t="s">
        <v>182</v>
      </c>
      <c r="D87" s="87">
        <v>45987</v>
      </c>
      <c r="E87" s="124">
        <v>46266.347048611111</v>
      </c>
      <c r="F87" s="124">
        <v>46264.903344907405</v>
      </c>
      <c r="G87" s="124">
        <v>46267.348414351851</v>
      </c>
      <c r="H87" s="124">
        <v>0</v>
      </c>
      <c r="I87" s="124">
        <v>46268.34202546296</v>
      </c>
      <c r="J87" s="124">
        <v>0</v>
      </c>
      <c r="K87" s="178" t="s">
        <v>15</v>
      </c>
      <c r="L87" s="178" t="s">
        <v>15</v>
      </c>
      <c r="M87" s="124">
        <v>46270.351875</v>
      </c>
      <c r="N87" s="124">
        <v>46270.959606481483</v>
      </c>
      <c r="O87" s="124">
        <v>46271.349189814813</v>
      </c>
      <c r="P87" s="124">
        <v>46271.938298611109</v>
      </c>
      <c r="Q87" s="124">
        <v>46272.349768518521</v>
      </c>
      <c r="R87" s="124">
        <v>46272.91233796296</v>
      </c>
      <c r="S87" s="124">
        <v>46273.350787037038</v>
      </c>
      <c r="T87" s="124">
        <v>46273.906446759262</v>
      </c>
      <c r="U87" s="124">
        <v>46274.342789351853</v>
      </c>
      <c r="V87" s="124">
        <v>46274.908726851849</v>
      </c>
      <c r="W87" s="124">
        <v>46275.349976851852</v>
      </c>
      <c r="X87" s="124">
        <v>46275.911087962966</v>
      </c>
      <c r="Y87" s="124">
        <v>0</v>
      </c>
      <c r="Z87" s="124">
        <v>0</v>
      </c>
      <c r="AA87" s="124">
        <v>46277.345613425925</v>
      </c>
      <c r="AB87" s="124">
        <v>46277.981111111112</v>
      </c>
      <c r="AC87" s="124">
        <v>46278.353495370371</v>
      </c>
      <c r="AD87" s="124">
        <v>46278.903217592589</v>
      </c>
      <c r="AE87" s="124">
        <v>46279.350856481484</v>
      </c>
      <c r="AF87" s="124">
        <v>46279.899618055555</v>
      </c>
      <c r="AG87" s="124">
        <v>46280.348136574074</v>
      </c>
      <c r="AH87" s="124">
        <v>46280.921134259261</v>
      </c>
      <c r="AI87" s="110"/>
      <c r="AJ87" s="44">
        <v>69</v>
      </c>
      <c r="AK87" s="124">
        <v>46281.348124999997</v>
      </c>
      <c r="AL87" s="124">
        <v>0</v>
      </c>
      <c r="AM87" s="124">
        <v>46282.346851851849</v>
      </c>
      <c r="AN87" s="124">
        <v>46282.959421296298</v>
      </c>
      <c r="AO87" s="228" t="s">
        <v>15</v>
      </c>
      <c r="AP87" s="228" t="s">
        <v>15</v>
      </c>
      <c r="AQ87" s="124">
        <v>46284.350092592591</v>
      </c>
      <c r="AR87" s="124">
        <v>46284.95957175926</v>
      </c>
      <c r="AS87" s="124">
        <v>46285.349687499998</v>
      </c>
      <c r="AT87" s="124">
        <v>46285.940613425926</v>
      </c>
      <c r="AU87" s="124">
        <v>46286.349768518521</v>
      </c>
      <c r="AV87" s="124">
        <v>46286.939467592594</v>
      </c>
      <c r="AW87" s="124">
        <v>46287.349097222221</v>
      </c>
      <c r="AX87" s="124">
        <v>46287.941400462965</v>
      </c>
      <c r="AY87" s="124">
        <v>46288.350115740737</v>
      </c>
      <c r="AZ87" s="124">
        <v>46288.919652777775</v>
      </c>
      <c r="BA87" s="124">
        <v>46289.34784722222</v>
      </c>
      <c r="BB87" s="124">
        <v>0</v>
      </c>
      <c r="BC87" s="124">
        <v>46290.577986111108</v>
      </c>
      <c r="BD87" s="124">
        <v>46290.944537037038</v>
      </c>
      <c r="BE87" s="124">
        <v>46291.349247685182</v>
      </c>
      <c r="BF87" s="124">
        <v>0</v>
      </c>
      <c r="BG87" s="124">
        <v>46292.349189814813</v>
      </c>
      <c r="BH87" s="124">
        <v>0</v>
      </c>
      <c r="BI87" s="124">
        <v>46293.349710648145</v>
      </c>
      <c r="BJ87" s="124">
        <v>46293.898009259261</v>
      </c>
      <c r="BK87" s="124">
        <v>46294.345358796294</v>
      </c>
      <c r="BL87" s="124">
        <v>46294.937847222223</v>
      </c>
      <c r="BM87" s="124">
        <v>46295.348124999997</v>
      </c>
      <c r="BN87" s="124">
        <v>46295.93822916667</v>
      </c>
      <c r="BO87" s="152">
        <v>46265.348055555558</v>
      </c>
      <c r="BP87" s="152">
        <v>46265.896782407406</v>
      </c>
      <c r="BQ87" s="96">
        <f t="shared" si="52"/>
        <v>30</v>
      </c>
      <c r="BR87" s="67">
        <v>2</v>
      </c>
      <c r="BS87" s="1">
        <f t="shared" si="27"/>
        <v>28</v>
      </c>
      <c r="BT87" s="2">
        <f t="shared" si="53"/>
        <v>2</v>
      </c>
      <c r="BU87" s="2">
        <f t="shared" si="54"/>
        <v>0</v>
      </c>
      <c r="BV87" s="2">
        <f t="shared" si="55"/>
        <v>0</v>
      </c>
      <c r="BW87" s="2">
        <f t="shared" si="56"/>
        <v>0</v>
      </c>
      <c r="BX87" s="2">
        <f t="shared" si="57"/>
        <v>0</v>
      </c>
      <c r="BY87" s="2">
        <f t="shared" si="58"/>
        <v>0</v>
      </c>
      <c r="BZ87" s="2">
        <f t="shared" si="59"/>
        <v>0</v>
      </c>
      <c r="CA87" s="2">
        <f t="shared" si="60"/>
        <v>0</v>
      </c>
      <c r="CB87" s="2">
        <f t="shared" si="61"/>
        <v>0</v>
      </c>
      <c r="CC87" s="2">
        <f t="shared" si="62"/>
        <v>0</v>
      </c>
      <c r="CD87" s="2">
        <f t="shared" si="63"/>
        <v>0</v>
      </c>
      <c r="CE87" s="3"/>
      <c r="CG87" s="54">
        <v>0</v>
      </c>
      <c r="CH87" s="53">
        <v>0</v>
      </c>
      <c r="CI87" s="53">
        <v>0</v>
      </c>
      <c r="CJ87" s="53">
        <v>0</v>
      </c>
      <c r="CK87" s="53">
        <v>0</v>
      </c>
      <c r="CL87" s="53">
        <v>0</v>
      </c>
      <c r="CM87" s="53">
        <v>0</v>
      </c>
      <c r="CN87" s="53">
        <v>0</v>
      </c>
      <c r="CO87" s="53">
        <v>0</v>
      </c>
      <c r="CP87" s="53">
        <v>0</v>
      </c>
      <c r="CQ87" s="117">
        <f t="shared" si="64"/>
        <v>0</v>
      </c>
    </row>
    <row r="88" spans="1:95" ht="21.75" customHeight="1" x14ac:dyDescent="0.25">
      <c r="A88" s="44">
        <v>70</v>
      </c>
      <c r="B88" s="44" t="s">
        <v>183</v>
      </c>
      <c r="C88" s="79" t="s">
        <v>184</v>
      </c>
      <c r="D88" s="87"/>
      <c r="E88" s="124">
        <v>46266.337523148148</v>
      </c>
      <c r="F88" s="124">
        <v>46264.748495370368</v>
      </c>
      <c r="G88" s="124">
        <v>46267.338449074072</v>
      </c>
      <c r="H88" s="124">
        <v>46267.976481481484</v>
      </c>
      <c r="I88" s="124">
        <v>46268.329444444447</v>
      </c>
      <c r="J88" s="124">
        <v>46268.927314814813</v>
      </c>
      <c r="K88" s="124">
        <v>0</v>
      </c>
      <c r="L88" s="124">
        <v>0</v>
      </c>
      <c r="M88" s="124">
        <v>46270.345937500002</v>
      </c>
      <c r="N88" s="124">
        <v>46270.910868055558</v>
      </c>
      <c r="O88" s="124">
        <v>46271.344780092593</v>
      </c>
      <c r="P88" s="124">
        <v>46271.89099537037</v>
      </c>
      <c r="Q88" s="124">
        <v>46272.34746527778</v>
      </c>
      <c r="R88" s="124">
        <v>0</v>
      </c>
      <c r="S88" s="124">
        <v>46273.346168981479</v>
      </c>
      <c r="T88" s="124">
        <v>0</v>
      </c>
      <c r="U88" s="124">
        <v>46274.337337962963</v>
      </c>
      <c r="V88" s="124">
        <v>0</v>
      </c>
      <c r="W88" s="124">
        <v>46275.349398148152</v>
      </c>
      <c r="X88" s="124">
        <v>0</v>
      </c>
      <c r="Y88" s="124">
        <v>0</v>
      </c>
      <c r="Z88" s="124">
        <v>0</v>
      </c>
      <c r="AA88" s="124">
        <v>46277.337939814817</v>
      </c>
      <c r="AB88" s="124">
        <v>0</v>
      </c>
      <c r="AC88" s="124">
        <v>46278.331354166665</v>
      </c>
      <c r="AD88" s="124">
        <v>0</v>
      </c>
      <c r="AE88" s="124">
        <v>46279.331261574072</v>
      </c>
      <c r="AF88" s="124">
        <v>0</v>
      </c>
      <c r="AG88" s="124">
        <v>46280.333819444444</v>
      </c>
      <c r="AH88" s="124">
        <v>0</v>
      </c>
      <c r="AI88" s="105"/>
      <c r="AJ88" s="44">
        <v>70</v>
      </c>
      <c r="AK88" s="124">
        <v>46281.333599537036</v>
      </c>
      <c r="AL88" s="124">
        <v>46281.892395833333</v>
      </c>
      <c r="AM88" s="124">
        <v>46282.339097222219</v>
      </c>
      <c r="AN88" s="124">
        <v>46282.914131944446</v>
      </c>
      <c r="AO88" s="228" t="s">
        <v>15</v>
      </c>
      <c r="AP88" s="228" t="s">
        <v>15</v>
      </c>
      <c r="AQ88" s="124">
        <v>46284.332083333335</v>
      </c>
      <c r="AR88" s="124">
        <v>46284.971238425926</v>
      </c>
      <c r="AS88" s="124">
        <v>46285.333657407406</v>
      </c>
      <c r="AT88" s="124">
        <v>46285.893564814818</v>
      </c>
      <c r="AU88" s="124">
        <v>46286.331886574073</v>
      </c>
      <c r="AV88" s="124">
        <v>46286.91715277778</v>
      </c>
      <c r="AW88" s="124">
        <v>46287.331932870373</v>
      </c>
      <c r="AX88" s="124">
        <v>46287.896655092591</v>
      </c>
      <c r="AY88" s="124">
        <v>46288.333495370367</v>
      </c>
      <c r="AZ88" s="124">
        <v>0</v>
      </c>
      <c r="BA88" s="124">
        <v>46289.334085648145</v>
      </c>
      <c r="BB88" s="124">
        <v>46289.934687499997</v>
      </c>
      <c r="BC88" s="124">
        <v>46290.580578703702</v>
      </c>
      <c r="BD88" s="124">
        <v>46290.906550925924</v>
      </c>
      <c r="BE88" s="124">
        <v>46291.343680555554</v>
      </c>
      <c r="BF88" s="124">
        <v>46291.927986111114</v>
      </c>
      <c r="BG88" s="124">
        <v>46292.349872685183</v>
      </c>
      <c r="BH88" s="124">
        <v>46292.898668981485</v>
      </c>
      <c r="BI88" s="124">
        <v>46293.333935185183</v>
      </c>
      <c r="BJ88" s="124">
        <v>0</v>
      </c>
      <c r="BK88" s="124">
        <v>46294.33315972222</v>
      </c>
      <c r="BL88" s="124">
        <v>46294.906666666669</v>
      </c>
      <c r="BM88" s="124">
        <v>46295.334791666668</v>
      </c>
      <c r="BN88" s="124">
        <v>46295.931342592594</v>
      </c>
      <c r="BO88" s="152">
        <v>46265.331238425926</v>
      </c>
      <c r="BP88" s="152">
        <v>0</v>
      </c>
      <c r="BQ88" s="96">
        <f t="shared" si="52"/>
        <v>30</v>
      </c>
      <c r="BR88" s="67">
        <v>3</v>
      </c>
      <c r="BS88" s="1">
        <f t="shared" si="27"/>
        <v>29</v>
      </c>
      <c r="BT88" s="2">
        <f t="shared" si="53"/>
        <v>1</v>
      </c>
      <c r="BU88" s="2">
        <f t="shared" si="54"/>
        <v>0</v>
      </c>
      <c r="BV88" s="2">
        <f t="shared" si="55"/>
        <v>0</v>
      </c>
      <c r="BW88" s="2">
        <f t="shared" si="56"/>
        <v>0</v>
      </c>
      <c r="BX88" s="2">
        <f t="shared" si="57"/>
        <v>0</v>
      </c>
      <c r="BY88" s="2">
        <f t="shared" si="58"/>
        <v>0</v>
      </c>
      <c r="BZ88" s="2">
        <f t="shared" si="59"/>
        <v>0</v>
      </c>
      <c r="CA88" s="2">
        <f t="shared" si="60"/>
        <v>0</v>
      </c>
      <c r="CB88" s="2">
        <f t="shared" si="61"/>
        <v>0</v>
      </c>
      <c r="CC88" s="2">
        <f t="shared" si="62"/>
        <v>0</v>
      </c>
      <c r="CD88" s="2">
        <f t="shared" si="63"/>
        <v>0</v>
      </c>
      <c r="CE88" s="3"/>
      <c r="CG88" s="113">
        <v>0</v>
      </c>
      <c r="CH88" s="114">
        <v>0</v>
      </c>
      <c r="CI88" s="114">
        <v>0</v>
      </c>
      <c r="CJ88" s="114">
        <v>0</v>
      </c>
      <c r="CK88" s="114">
        <v>0</v>
      </c>
      <c r="CL88" s="114">
        <v>0</v>
      </c>
      <c r="CM88" s="114">
        <v>0</v>
      </c>
      <c r="CN88" s="114">
        <v>0</v>
      </c>
      <c r="CO88" s="114">
        <v>0</v>
      </c>
      <c r="CP88" s="114">
        <v>0</v>
      </c>
      <c r="CQ88" s="116">
        <f t="shared" si="64"/>
        <v>0</v>
      </c>
    </row>
    <row r="89" spans="1:95" ht="21.75" customHeight="1" x14ac:dyDescent="0.25">
      <c r="A89" s="44">
        <v>71</v>
      </c>
      <c r="B89" s="44" t="s">
        <v>185</v>
      </c>
      <c r="C89" s="79" t="s">
        <v>186</v>
      </c>
      <c r="D89" s="87">
        <v>45973</v>
      </c>
      <c r="E89" s="124">
        <v>46266.34710648148</v>
      </c>
      <c r="F89" s="124">
        <v>46266.734502314815</v>
      </c>
      <c r="G89" s="124">
        <v>46267.354849537034</v>
      </c>
      <c r="H89" s="124">
        <v>46267.965312499997</v>
      </c>
      <c r="I89" s="124">
        <v>46268.354155092595</v>
      </c>
      <c r="J89" s="124">
        <v>46268.958472222221</v>
      </c>
      <c r="K89" s="124">
        <v>46269.580949074072</v>
      </c>
      <c r="L89" s="124">
        <v>46269.93577546296</v>
      </c>
      <c r="M89" s="124">
        <v>46270.345717592594</v>
      </c>
      <c r="N89" s="124">
        <v>46270.964479166665</v>
      </c>
      <c r="O89" s="124">
        <v>46271.348136574074</v>
      </c>
      <c r="P89" s="124">
        <v>46271.95789351852</v>
      </c>
      <c r="Q89" s="124">
        <v>46272.350312499999</v>
      </c>
      <c r="R89" s="124">
        <v>46272.925312500003</v>
      </c>
      <c r="S89" s="124">
        <v>46273.356770833336</v>
      </c>
      <c r="T89" s="124">
        <v>46273.960439814815</v>
      </c>
      <c r="U89" s="124">
        <v>0.34375</v>
      </c>
      <c r="V89" s="124">
        <v>0</v>
      </c>
      <c r="W89" s="124">
        <v>46275.353587962964</v>
      </c>
      <c r="X89" s="124">
        <v>46275.955312500002</v>
      </c>
      <c r="Y89" s="181" t="s">
        <v>15</v>
      </c>
      <c r="Z89" s="181" t="s">
        <v>15</v>
      </c>
      <c r="AA89" s="124">
        <v>46277.356898148151</v>
      </c>
      <c r="AB89" s="124">
        <v>46277.965115740742</v>
      </c>
      <c r="AC89" s="124">
        <v>46278.35596064815</v>
      </c>
      <c r="AD89" s="124">
        <v>46278.962106481478</v>
      </c>
      <c r="AE89" s="124">
        <v>46279.353229166663</v>
      </c>
      <c r="AF89" s="124">
        <v>46279.962407407409</v>
      </c>
      <c r="AG89" s="124">
        <v>46280.351087962961</v>
      </c>
      <c r="AH89" s="124">
        <v>46280.962291666663</v>
      </c>
      <c r="AI89" s="105"/>
      <c r="AJ89" s="44">
        <v>71</v>
      </c>
      <c r="AK89" s="124">
        <v>46281.351446759261</v>
      </c>
      <c r="AL89" s="124">
        <v>46281.967974537038</v>
      </c>
      <c r="AM89" s="124">
        <v>46282.351504629631</v>
      </c>
      <c r="AN89" s="124">
        <v>0</v>
      </c>
      <c r="AO89" s="124">
        <v>46283.578564814816</v>
      </c>
      <c r="AP89" s="124">
        <v>46283.876585648148</v>
      </c>
      <c r="AQ89" s="124">
        <v>46284.412418981483</v>
      </c>
      <c r="AR89" s="124">
        <v>0</v>
      </c>
      <c r="AS89" s="124">
        <v>46285.354351851849</v>
      </c>
      <c r="AT89" s="124">
        <v>46285.736226851855</v>
      </c>
      <c r="AU89" s="124">
        <v>46286.352395833332</v>
      </c>
      <c r="AV89" s="124">
        <v>46286.739861111113</v>
      </c>
      <c r="AW89" s="124">
        <v>46287.35533564815</v>
      </c>
      <c r="AX89" s="124">
        <v>46287.959108796298</v>
      </c>
      <c r="AY89" s="124">
        <v>46288.34957175926</v>
      </c>
      <c r="AZ89" s="124">
        <v>0</v>
      </c>
      <c r="BA89" s="124">
        <v>46289.353263888886</v>
      </c>
      <c r="BB89" s="124">
        <v>0</v>
      </c>
      <c r="BC89" s="234" t="s">
        <v>15</v>
      </c>
      <c r="BD89" s="234" t="s">
        <v>15</v>
      </c>
      <c r="BE89" s="124">
        <v>46291.35900462963</v>
      </c>
      <c r="BF89" s="124">
        <v>46291.754548611112</v>
      </c>
      <c r="BG89" s="124">
        <v>46292.353634259256</v>
      </c>
      <c r="BH89" s="124">
        <v>46292.755462962959</v>
      </c>
      <c r="BI89" s="124">
        <v>46293.354224537034</v>
      </c>
      <c r="BJ89" s="124">
        <v>46293.983252314814</v>
      </c>
      <c r="BK89" s="124">
        <v>46294.355671296296</v>
      </c>
      <c r="BL89" s="124">
        <v>46294.983263888891</v>
      </c>
      <c r="BM89" s="124">
        <v>46295.353761574072</v>
      </c>
      <c r="BN89" s="124">
        <v>46295.989641203705</v>
      </c>
      <c r="BO89" s="152">
        <v>46265.347511574073</v>
      </c>
      <c r="BP89" s="152">
        <v>46265.962685185186</v>
      </c>
      <c r="BQ89" s="96">
        <f t="shared" si="52"/>
        <v>30</v>
      </c>
      <c r="BR89" s="67">
        <v>2</v>
      </c>
      <c r="BS89" s="1">
        <f t="shared" si="27"/>
        <v>28</v>
      </c>
      <c r="BT89" s="2">
        <f t="shared" si="53"/>
        <v>2</v>
      </c>
      <c r="BU89" s="2">
        <f t="shared" si="54"/>
        <v>0</v>
      </c>
      <c r="BV89" s="2">
        <f t="shared" si="55"/>
        <v>0</v>
      </c>
      <c r="BW89" s="2">
        <f t="shared" si="56"/>
        <v>0</v>
      </c>
      <c r="BX89" s="2">
        <f t="shared" si="57"/>
        <v>0</v>
      </c>
      <c r="BY89" s="2">
        <f t="shared" si="58"/>
        <v>0</v>
      </c>
      <c r="BZ89" s="2">
        <f t="shared" si="59"/>
        <v>0</v>
      </c>
      <c r="CA89" s="2">
        <f t="shared" si="60"/>
        <v>0</v>
      </c>
      <c r="CB89" s="2">
        <f t="shared" si="61"/>
        <v>0</v>
      </c>
      <c r="CC89" s="2">
        <f t="shared" si="62"/>
        <v>0</v>
      </c>
      <c r="CD89" s="2">
        <f t="shared" si="63"/>
        <v>0</v>
      </c>
      <c r="CE89" s="3"/>
      <c r="CG89" s="54">
        <v>0</v>
      </c>
      <c r="CH89" s="53">
        <v>0</v>
      </c>
      <c r="CI89" s="53">
        <v>0</v>
      </c>
      <c r="CJ89" s="53">
        <v>0</v>
      </c>
      <c r="CK89" s="53">
        <v>0</v>
      </c>
      <c r="CL89" s="53">
        <v>1</v>
      </c>
      <c r="CM89" s="53">
        <v>0</v>
      </c>
      <c r="CN89" s="53">
        <v>0</v>
      </c>
      <c r="CO89" s="53">
        <v>0</v>
      </c>
      <c r="CP89" s="53">
        <v>0</v>
      </c>
      <c r="CQ89" s="117">
        <f t="shared" si="64"/>
        <v>1</v>
      </c>
    </row>
    <row r="90" spans="1:95" ht="19.5" customHeight="1" x14ac:dyDescent="0.25">
      <c r="A90" s="44">
        <v>72</v>
      </c>
      <c r="B90" s="44" t="s">
        <v>191</v>
      </c>
      <c r="C90" s="79" t="s">
        <v>192</v>
      </c>
      <c r="D90" s="87">
        <v>45995</v>
      </c>
      <c r="E90" s="124">
        <v>46266.354895833334</v>
      </c>
      <c r="F90" s="124">
        <v>46264.872615740744</v>
      </c>
      <c r="G90" s="124">
        <v>46267.354467592595</v>
      </c>
      <c r="H90" s="124">
        <v>46267.954479166663</v>
      </c>
      <c r="I90" s="124">
        <v>46268.352905092594</v>
      </c>
      <c r="J90" s="124">
        <v>0</v>
      </c>
      <c r="K90" s="178" t="s">
        <v>15</v>
      </c>
      <c r="L90" s="178" t="s">
        <v>15</v>
      </c>
      <c r="M90" s="124">
        <v>46270.356956018521</v>
      </c>
      <c r="N90" s="124">
        <v>46270.975937499999</v>
      </c>
      <c r="O90" s="124">
        <v>46271.354953703703</v>
      </c>
      <c r="P90" s="124">
        <v>46271.94940972222</v>
      </c>
      <c r="Q90" s="124">
        <v>46272.352662037039</v>
      </c>
      <c r="R90" s="124">
        <v>0</v>
      </c>
      <c r="S90" s="124">
        <v>46273.35361111111</v>
      </c>
      <c r="T90" s="124">
        <v>0</v>
      </c>
      <c r="U90" s="124">
        <v>46274.35355324074</v>
      </c>
      <c r="V90" s="124">
        <v>0</v>
      </c>
      <c r="W90" s="124">
        <v>46275.355381944442</v>
      </c>
      <c r="X90" s="124">
        <v>0</v>
      </c>
      <c r="Y90" s="124">
        <v>46276.576041666667</v>
      </c>
      <c r="Z90" s="124">
        <v>0</v>
      </c>
      <c r="AA90" s="156" t="s">
        <v>170</v>
      </c>
      <c r="AB90" s="156" t="s">
        <v>170</v>
      </c>
      <c r="AC90" s="124">
        <v>46278.353935185187</v>
      </c>
      <c r="AD90" s="124">
        <v>46278.950891203705</v>
      </c>
      <c r="AE90" s="124">
        <v>46279.354178240741</v>
      </c>
      <c r="AF90" s="124">
        <v>0</v>
      </c>
      <c r="AG90" s="124">
        <v>46280.354733796295</v>
      </c>
      <c r="AH90" s="124">
        <v>0</v>
      </c>
      <c r="AI90" s="105"/>
      <c r="AJ90" s="44">
        <v>72</v>
      </c>
      <c r="AK90" s="124">
        <v>46281.353877314818</v>
      </c>
      <c r="AL90" s="124">
        <v>46281.945694444446</v>
      </c>
      <c r="AM90" s="124">
        <v>46282.353668981479</v>
      </c>
      <c r="AN90" s="124">
        <v>46282.967488425929</v>
      </c>
      <c r="AO90" s="124">
        <v>0</v>
      </c>
      <c r="AP90" s="124">
        <v>0</v>
      </c>
      <c r="AQ90" s="124">
        <v>46284.354375000003</v>
      </c>
      <c r="AR90" s="124">
        <v>0</v>
      </c>
      <c r="AS90" s="124">
        <v>46285.35565972222</v>
      </c>
      <c r="AT90" s="124">
        <v>0</v>
      </c>
      <c r="AU90" s="124">
        <v>46286.354490740741</v>
      </c>
      <c r="AV90" s="124">
        <v>0</v>
      </c>
      <c r="AW90" s="124">
        <v>46287.354189814818</v>
      </c>
      <c r="AX90" s="124">
        <v>46287.949652777781</v>
      </c>
      <c r="AY90" s="124">
        <v>46288.354907407411</v>
      </c>
      <c r="AZ90" s="124">
        <v>46288.945092592592</v>
      </c>
      <c r="BA90" s="124">
        <v>46289.355347222219</v>
      </c>
      <c r="BB90" s="124">
        <v>0</v>
      </c>
      <c r="BC90" s="228" t="s">
        <v>15</v>
      </c>
      <c r="BD90" s="228" t="s">
        <v>15</v>
      </c>
      <c r="BE90" s="124">
        <v>46291.351805555554</v>
      </c>
      <c r="BF90" s="124">
        <v>0</v>
      </c>
      <c r="BG90" s="124">
        <v>46292.352071759262</v>
      </c>
      <c r="BH90" s="124">
        <v>0</v>
      </c>
      <c r="BI90" s="124">
        <v>46293.351481481484</v>
      </c>
      <c r="BJ90" s="124">
        <v>46293.946261574078</v>
      </c>
      <c r="BK90" s="124">
        <v>46294.352453703701</v>
      </c>
      <c r="BL90" s="124">
        <v>0</v>
      </c>
      <c r="BM90" s="124">
        <v>46295.353460648148</v>
      </c>
      <c r="BN90" s="124">
        <v>0</v>
      </c>
      <c r="BO90" s="152">
        <v>46265.353414351855</v>
      </c>
      <c r="BP90" s="152">
        <v>0</v>
      </c>
      <c r="BQ90" s="96">
        <f t="shared" si="52"/>
        <v>30</v>
      </c>
      <c r="BR90" s="67">
        <v>2</v>
      </c>
      <c r="BS90" s="1">
        <f t="shared" si="27"/>
        <v>27</v>
      </c>
      <c r="BT90" s="2">
        <f t="shared" si="53"/>
        <v>2</v>
      </c>
      <c r="BU90" s="2">
        <f t="shared" si="54"/>
        <v>0</v>
      </c>
      <c r="BV90" s="2">
        <f t="shared" si="55"/>
        <v>0</v>
      </c>
      <c r="BW90" s="2">
        <f t="shared" si="56"/>
        <v>0</v>
      </c>
      <c r="BX90" s="2">
        <f t="shared" si="57"/>
        <v>0</v>
      </c>
      <c r="BY90" s="2">
        <f t="shared" si="58"/>
        <v>0</v>
      </c>
      <c r="BZ90" s="2">
        <f t="shared" si="59"/>
        <v>1</v>
      </c>
      <c r="CA90" s="2">
        <f t="shared" si="60"/>
        <v>0</v>
      </c>
      <c r="CB90" s="2">
        <f t="shared" si="61"/>
        <v>0</v>
      </c>
      <c r="CC90" s="2">
        <f t="shared" si="62"/>
        <v>0</v>
      </c>
      <c r="CD90" s="2">
        <f t="shared" si="63"/>
        <v>0</v>
      </c>
      <c r="CE90" s="3"/>
      <c r="CG90" s="113">
        <v>0</v>
      </c>
      <c r="CH90" s="113">
        <v>0</v>
      </c>
      <c r="CI90" s="113">
        <v>0</v>
      </c>
      <c r="CJ90" s="113">
        <v>0</v>
      </c>
      <c r="CK90" s="113">
        <v>0</v>
      </c>
      <c r="CL90" s="113">
        <v>2</v>
      </c>
      <c r="CM90" s="113">
        <v>0</v>
      </c>
      <c r="CN90" s="113">
        <v>0</v>
      </c>
      <c r="CO90" s="113">
        <v>0</v>
      </c>
      <c r="CP90" s="113">
        <v>0</v>
      </c>
      <c r="CQ90" s="116">
        <f t="shared" si="64"/>
        <v>2</v>
      </c>
    </row>
    <row r="91" spans="1:95" ht="21.75" customHeight="1" x14ac:dyDescent="0.25">
      <c r="A91" s="44">
        <v>73</v>
      </c>
      <c r="B91" s="44" t="s">
        <v>193</v>
      </c>
      <c r="C91" s="79" t="s">
        <v>194</v>
      </c>
      <c r="D91" s="87">
        <v>46004</v>
      </c>
      <c r="E91" s="124">
        <v>46266.352569444447</v>
      </c>
      <c r="F91" s="124">
        <v>0</v>
      </c>
      <c r="G91" s="124">
        <v>46267.350983796299</v>
      </c>
      <c r="H91" s="124">
        <v>46267.950520833336</v>
      </c>
      <c r="I91" s="124">
        <v>46268.353460648148</v>
      </c>
      <c r="J91" s="124">
        <v>46268.971030092594</v>
      </c>
      <c r="K91" s="178" t="s">
        <v>15</v>
      </c>
      <c r="L91" s="178" t="s">
        <v>15</v>
      </c>
      <c r="M91" s="124">
        <v>46270.353564814817</v>
      </c>
      <c r="N91" s="124">
        <v>46270.973587962966</v>
      </c>
      <c r="O91" s="124">
        <v>46271.354062500002</v>
      </c>
      <c r="P91" s="124">
        <v>46271.94767361111</v>
      </c>
      <c r="Q91" s="124">
        <v>46272.352210648147</v>
      </c>
      <c r="R91" s="124">
        <v>46272.947962962964</v>
      </c>
      <c r="S91" s="124">
        <v>46273.353460648148</v>
      </c>
      <c r="T91" s="124">
        <v>46273.94903935185</v>
      </c>
      <c r="U91" s="124">
        <v>46274.353460648148</v>
      </c>
      <c r="V91" s="124">
        <v>46274.954745370371</v>
      </c>
      <c r="W91" s="124">
        <v>46275.357175925928</v>
      </c>
      <c r="X91" s="124">
        <v>46275.969050925924</v>
      </c>
      <c r="Y91" s="124">
        <v>0</v>
      </c>
      <c r="Z91" s="124">
        <v>46276.951145833336</v>
      </c>
      <c r="AA91" s="124">
        <v>46277.354803240742</v>
      </c>
      <c r="AB91" s="124">
        <v>46277.971689814818</v>
      </c>
      <c r="AC91" s="124">
        <v>46278.353703703702</v>
      </c>
      <c r="AD91" s="124">
        <v>46278.947500000002</v>
      </c>
      <c r="AE91" s="124">
        <v>46279.35428240741</v>
      </c>
      <c r="AF91" s="124">
        <v>46279.943993055553</v>
      </c>
      <c r="AG91" s="124">
        <v>46280.354699074072</v>
      </c>
      <c r="AH91" s="124">
        <v>46280.945324074077</v>
      </c>
      <c r="AI91" s="105"/>
      <c r="AJ91" s="44">
        <v>73</v>
      </c>
      <c r="AK91" s="124">
        <v>46281.353877314818</v>
      </c>
      <c r="AL91" s="124">
        <v>46281.945694444446</v>
      </c>
      <c r="AM91" s="124">
        <v>46282.353668981479</v>
      </c>
      <c r="AN91" s="124">
        <v>46282.967488425929</v>
      </c>
      <c r="AO91" s="124">
        <v>0</v>
      </c>
      <c r="AP91" s="124">
        <v>0</v>
      </c>
      <c r="AQ91" s="124">
        <v>46284.354375000003</v>
      </c>
      <c r="AR91" s="124">
        <v>0</v>
      </c>
      <c r="AS91" s="124">
        <v>46285.35565972222</v>
      </c>
      <c r="AT91" s="124">
        <v>0</v>
      </c>
      <c r="AU91" s="124">
        <v>46286.354490740741</v>
      </c>
      <c r="AV91" s="124">
        <v>0</v>
      </c>
      <c r="AW91" s="124">
        <v>46287.354189814818</v>
      </c>
      <c r="AX91" s="124">
        <v>46287.949652777781</v>
      </c>
      <c r="AY91" s="124">
        <v>46288.354907407411</v>
      </c>
      <c r="AZ91" s="124">
        <v>46288.945092592592</v>
      </c>
      <c r="BA91" s="124">
        <v>46289.355347222219</v>
      </c>
      <c r="BB91" s="124">
        <v>0</v>
      </c>
      <c r="BC91" s="228" t="s">
        <v>15</v>
      </c>
      <c r="BD91" s="228" t="s">
        <v>15</v>
      </c>
      <c r="BE91" s="124">
        <v>46291.351805555554</v>
      </c>
      <c r="BF91" s="124">
        <v>0</v>
      </c>
      <c r="BG91" s="124">
        <v>46292.352071759262</v>
      </c>
      <c r="BH91" s="124">
        <v>0</v>
      </c>
      <c r="BI91" s="124">
        <v>46293.351481481484</v>
      </c>
      <c r="BJ91" s="124">
        <v>46293.946261574078</v>
      </c>
      <c r="BK91" s="124">
        <v>46294.352453703701</v>
      </c>
      <c r="BL91" s="124">
        <v>0</v>
      </c>
      <c r="BM91" s="124">
        <v>46295.353460648148</v>
      </c>
      <c r="BN91" s="124">
        <v>0</v>
      </c>
      <c r="BO91" s="152">
        <v>46265.351655092592</v>
      </c>
      <c r="BP91" s="152">
        <v>46265.94972222222</v>
      </c>
      <c r="BQ91" s="96">
        <f t="shared" si="52"/>
        <v>30</v>
      </c>
      <c r="BR91" s="67">
        <v>2</v>
      </c>
      <c r="BS91" s="1">
        <f t="shared" si="27"/>
        <v>28</v>
      </c>
      <c r="BT91" s="2">
        <f t="shared" si="53"/>
        <v>2</v>
      </c>
      <c r="BU91" s="2">
        <f t="shared" si="54"/>
        <v>0</v>
      </c>
      <c r="BV91" s="2">
        <f t="shared" si="55"/>
        <v>0</v>
      </c>
      <c r="BW91" s="2">
        <f t="shared" si="56"/>
        <v>0</v>
      </c>
      <c r="BX91" s="2">
        <f t="shared" si="57"/>
        <v>0</v>
      </c>
      <c r="BY91" s="2">
        <f t="shared" si="58"/>
        <v>0</v>
      </c>
      <c r="BZ91" s="2">
        <f t="shared" si="59"/>
        <v>0</v>
      </c>
      <c r="CA91" s="2">
        <f t="shared" si="60"/>
        <v>0</v>
      </c>
      <c r="CB91" s="2">
        <f t="shared" si="61"/>
        <v>0</v>
      </c>
      <c r="CC91" s="2">
        <f t="shared" si="62"/>
        <v>0</v>
      </c>
      <c r="CD91" s="2">
        <f t="shared" si="63"/>
        <v>0</v>
      </c>
      <c r="CE91" s="3"/>
      <c r="CG91" s="69">
        <v>0</v>
      </c>
      <c r="CH91" s="69">
        <v>0</v>
      </c>
      <c r="CI91" s="69">
        <v>0</v>
      </c>
      <c r="CJ91" s="69">
        <v>0</v>
      </c>
      <c r="CK91" s="69">
        <v>0</v>
      </c>
      <c r="CL91" s="69">
        <v>3</v>
      </c>
      <c r="CM91" s="69">
        <v>0</v>
      </c>
      <c r="CN91" s="69">
        <v>0</v>
      </c>
      <c r="CO91" s="69">
        <v>0</v>
      </c>
      <c r="CP91" s="69">
        <v>0</v>
      </c>
      <c r="CQ91" s="118">
        <f t="shared" si="64"/>
        <v>3</v>
      </c>
    </row>
    <row r="92" spans="1:95" ht="21.75" customHeight="1" x14ac:dyDescent="0.25">
      <c r="A92" s="44">
        <v>74</v>
      </c>
      <c r="B92" s="44" t="s">
        <v>196</v>
      </c>
      <c r="C92" s="79" t="s">
        <v>198</v>
      </c>
      <c r="D92" s="87">
        <v>46007</v>
      </c>
      <c r="E92" s="124">
        <v>46266.350405092591</v>
      </c>
      <c r="F92" s="124">
        <v>46266.94972222222</v>
      </c>
      <c r="G92" s="124">
        <v>46267.353958333333</v>
      </c>
      <c r="H92" s="124">
        <v>46267.976666666669</v>
      </c>
      <c r="I92" s="124">
        <v>46268.352939814817</v>
      </c>
      <c r="J92" s="124">
        <v>46268.965636574074</v>
      </c>
      <c r="K92" s="178" t="s">
        <v>15</v>
      </c>
      <c r="L92" s="178" t="s">
        <v>15</v>
      </c>
      <c r="M92" s="124">
        <v>46270.352754629632</v>
      </c>
      <c r="N92" s="124">
        <v>46270.975370370368</v>
      </c>
      <c r="O92" s="124">
        <v>46271.352025462962</v>
      </c>
      <c r="P92" s="124">
        <v>46271.93959490741</v>
      </c>
      <c r="Q92" s="124">
        <v>46272.349641203706</v>
      </c>
      <c r="R92" s="124">
        <v>46272.935497685183</v>
      </c>
      <c r="S92" s="124">
        <v>46273.350405092591</v>
      </c>
      <c r="T92" s="124">
        <v>46273.956863425927</v>
      </c>
      <c r="U92" s="124">
        <v>46274.350462962961</v>
      </c>
      <c r="V92" s="124">
        <v>46274.958958333336</v>
      </c>
      <c r="W92" s="124">
        <v>46275.345011574071</v>
      </c>
      <c r="X92" s="124">
        <v>46275.980613425927</v>
      </c>
      <c r="Y92" s="124">
        <v>0</v>
      </c>
      <c r="Z92" s="124">
        <v>46276.958449074074</v>
      </c>
      <c r="AA92" s="124">
        <v>46277.350810185184</v>
      </c>
      <c r="AB92" s="124">
        <v>46277.983622685184</v>
      </c>
      <c r="AC92" s="124">
        <v>46278.344918981478</v>
      </c>
      <c r="AD92" s="124">
        <v>46278.959745370368</v>
      </c>
      <c r="AE92" s="124">
        <v>46279.351539351854</v>
      </c>
      <c r="AF92" s="124">
        <v>46279.946840277778</v>
      </c>
      <c r="AG92" s="124">
        <v>46280.345763888887</v>
      </c>
      <c r="AH92" s="124">
        <v>46280.931898148148</v>
      </c>
      <c r="AI92" s="110"/>
      <c r="AJ92" s="44">
        <v>74</v>
      </c>
      <c r="AK92" s="124">
        <v>46281.346805555557</v>
      </c>
      <c r="AL92" s="124">
        <v>46281.969085648147</v>
      </c>
      <c r="AM92" s="124">
        <v>46282.352986111109</v>
      </c>
      <c r="AN92" s="124">
        <v>46282.972662037035</v>
      </c>
      <c r="AO92" s="228" t="s">
        <v>15</v>
      </c>
      <c r="AP92" s="228" t="s">
        <v>15</v>
      </c>
      <c r="AQ92" s="124">
        <v>46284.349421296298</v>
      </c>
      <c r="AR92" s="124">
        <v>46284.967488425929</v>
      </c>
      <c r="AS92" s="124">
        <v>46285.351782407408</v>
      </c>
      <c r="AT92" s="124">
        <v>46285.949282407404</v>
      </c>
      <c r="AU92" s="124">
        <v>46286.350023148145</v>
      </c>
      <c r="AV92" s="124">
        <v>0</v>
      </c>
      <c r="AW92" s="124">
        <v>46287.351631944446</v>
      </c>
      <c r="AX92" s="124">
        <v>46287.981180555558</v>
      </c>
      <c r="AY92" s="124">
        <v>46288.350972222222</v>
      </c>
      <c r="AZ92" s="124">
        <v>46288.949490740742</v>
      </c>
      <c r="BA92" s="124">
        <v>46289.352835648147</v>
      </c>
      <c r="BB92" s="124">
        <v>46289.968888888892</v>
      </c>
      <c r="BC92" s="124">
        <v>46290.581585648149</v>
      </c>
      <c r="BD92" s="124">
        <v>0</v>
      </c>
      <c r="BE92" s="124">
        <v>46291.351342592592</v>
      </c>
      <c r="BF92" s="124">
        <v>46291.990393518521</v>
      </c>
      <c r="BG92" s="124">
        <v>46292.34447916667</v>
      </c>
      <c r="BH92" s="124">
        <v>46292.943564814814</v>
      </c>
      <c r="BI92" s="124">
        <v>46293.354398148149</v>
      </c>
      <c r="BJ92" s="124">
        <v>46293.940497685187</v>
      </c>
      <c r="BK92" s="124">
        <v>46294.352453703701</v>
      </c>
      <c r="BL92" s="124">
        <v>46294.943726851852</v>
      </c>
      <c r="BM92" s="124">
        <v>46295.345671296294</v>
      </c>
      <c r="BN92" s="124">
        <v>46295.983657407407</v>
      </c>
      <c r="BO92" s="152">
        <v>46265.352071759262</v>
      </c>
      <c r="BP92" s="152">
        <v>46265.94</v>
      </c>
      <c r="BQ92" s="96">
        <f t="shared" si="52"/>
        <v>30</v>
      </c>
      <c r="BR92" s="67">
        <v>2</v>
      </c>
      <c r="BS92" s="1">
        <f t="shared" si="27"/>
        <v>28</v>
      </c>
      <c r="BT92" s="2">
        <f t="shared" si="53"/>
        <v>2</v>
      </c>
      <c r="BU92" s="2">
        <f t="shared" si="54"/>
        <v>0</v>
      </c>
      <c r="BV92" s="2">
        <f t="shared" si="55"/>
        <v>0</v>
      </c>
      <c r="BW92" s="2">
        <f t="shared" si="56"/>
        <v>0</v>
      </c>
      <c r="BX92" s="2">
        <f t="shared" si="57"/>
        <v>0</v>
      </c>
      <c r="BY92" s="2">
        <f t="shared" si="58"/>
        <v>0</v>
      </c>
      <c r="BZ92" s="2">
        <f t="shared" si="59"/>
        <v>0</v>
      </c>
      <c r="CA92" s="2">
        <f t="shared" si="60"/>
        <v>0</v>
      </c>
      <c r="CB92" s="2">
        <f t="shared" si="61"/>
        <v>0</v>
      </c>
      <c r="CC92" s="2">
        <f t="shared" si="62"/>
        <v>0</v>
      </c>
      <c r="CD92" s="2">
        <f t="shared" si="63"/>
        <v>0</v>
      </c>
      <c r="CE92" s="3"/>
      <c r="CG92" s="113">
        <v>0</v>
      </c>
      <c r="CH92" s="113">
        <v>0</v>
      </c>
      <c r="CI92" s="113">
        <v>0</v>
      </c>
      <c r="CJ92" s="113">
        <v>0</v>
      </c>
      <c r="CK92" s="113">
        <v>0</v>
      </c>
      <c r="CL92" s="113">
        <v>1</v>
      </c>
      <c r="CM92" s="113">
        <v>0</v>
      </c>
      <c r="CN92" s="113">
        <v>0</v>
      </c>
      <c r="CO92" s="113">
        <v>0</v>
      </c>
      <c r="CP92" s="113">
        <v>0</v>
      </c>
      <c r="CQ92" s="116">
        <f t="shared" si="64"/>
        <v>1</v>
      </c>
    </row>
    <row r="93" spans="1:95" ht="22.5" customHeight="1" x14ac:dyDescent="0.25">
      <c r="A93" s="44">
        <v>75</v>
      </c>
      <c r="B93" s="44" t="s">
        <v>197</v>
      </c>
      <c r="C93" s="79" t="s">
        <v>199</v>
      </c>
      <c r="D93" s="87">
        <v>46007</v>
      </c>
      <c r="E93" s="124">
        <v>46266.35355324074</v>
      </c>
      <c r="F93" s="124">
        <v>46266.980995370373</v>
      </c>
      <c r="G93" s="124">
        <v>46267.352106481485</v>
      </c>
      <c r="H93" s="124">
        <v>46267.950613425928</v>
      </c>
      <c r="I93" s="124">
        <v>46268.353159722225</v>
      </c>
      <c r="J93" s="124">
        <v>46268.973576388889</v>
      </c>
      <c r="K93" s="124">
        <v>46269.581076388888</v>
      </c>
      <c r="L93" s="124">
        <v>46269.950300925928</v>
      </c>
      <c r="M93" s="124">
        <v>46270.353692129633</v>
      </c>
      <c r="N93" s="124">
        <v>46270.974780092591</v>
      </c>
      <c r="O93" s="124">
        <v>46271.354224537034</v>
      </c>
      <c r="P93" s="124">
        <v>0</v>
      </c>
      <c r="Q93" s="124">
        <v>46272.352523148147</v>
      </c>
      <c r="R93" s="124">
        <v>46272.947731481479</v>
      </c>
      <c r="S93" s="124">
        <v>46273.353703703702</v>
      </c>
      <c r="T93" s="124">
        <v>46273.950879629629</v>
      </c>
      <c r="U93" s="124">
        <v>46274.35359953704</v>
      </c>
      <c r="V93" s="124">
        <v>0</v>
      </c>
      <c r="W93" s="124">
        <v>46275.355590277781</v>
      </c>
      <c r="X93" s="124">
        <v>46275.968738425923</v>
      </c>
      <c r="Y93" s="178" t="s">
        <v>15</v>
      </c>
      <c r="Z93" s="178" t="s">
        <v>15</v>
      </c>
      <c r="AA93" s="124">
        <v>46277.355057870373</v>
      </c>
      <c r="AB93" s="124">
        <v>46277.97388888889</v>
      </c>
      <c r="AC93" s="124">
        <v>46278.353819444441</v>
      </c>
      <c r="AD93" s="124">
        <v>46278.949826388889</v>
      </c>
      <c r="AE93" s="124">
        <v>46279.354224537034</v>
      </c>
      <c r="AF93" s="124">
        <v>46279.946585648147</v>
      </c>
      <c r="AG93" s="124">
        <v>46280.354756944442</v>
      </c>
      <c r="AH93" s="124">
        <v>46280.945509259262</v>
      </c>
      <c r="AI93" s="110"/>
      <c r="AJ93" s="44">
        <v>75</v>
      </c>
      <c r="AK93" s="124">
        <v>46281.354317129626</v>
      </c>
      <c r="AL93" s="124">
        <v>46281.947511574072</v>
      </c>
      <c r="AM93" s="124">
        <v>46282.353796296295</v>
      </c>
      <c r="AN93" s="124">
        <v>46282.968263888892</v>
      </c>
      <c r="AO93" s="228" t="s">
        <v>15</v>
      </c>
      <c r="AP93" s="228" t="s">
        <v>15</v>
      </c>
      <c r="AQ93" s="124">
        <v>46284.354317129626</v>
      </c>
      <c r="AR93" s="124">
        <v>0</v>
      </c>
      <c r="AS93" s="124">
        <v>46285.355937499997</v>
      </c>
      <c r="AT93" s="124">
        <v>46285.95385416667</v>
      </c>
      <c r="AU93" s="124">
        <v>46286.354722222219</v>
      </c>
      <c r="AV93" s="124">
        <v>46286.946875000001</v>
      </c>
      <c r="AW93" s="124">
        <v>46287.35429398148</v>
      </c>
      <c r="AX93" s="124">
        <v>46287.947060185186</v>
      </c>
      <c r="AY93" s="124">
        <v>46288.355115740742</v>
      </c>
      <c r="AZ93" s="124">
        <v>46288.9450462963</v>
      </c>
      <c r="BA93" s="124">
        <v>46289.355624999997</v>
      </c>
      <c r="BB93" s="124">
        <v>46289.977858796294</v>
      </c>
      <c r="BC93" s="124">
        <v>46290.574363425927</v>
      </c>
      <c r="BD93" s="124">
        <v>46290.920671296299</v>
      </c>
      <c r="BE93" s="124">
        <v>46291.352592592593</v>
      </c>
      <c r="BF93" s="124">
        <v>46291.938067129631</v>
      </c>
      <c r="BG93" s="124">
        <v>46292.352997685186</v>
      </c>
      <c r="BH93" s="124">
        <v>46292.968275462961</v>
      </c>
      <c r="BI93" s="124">
        <v>46293.354502314818</v>
      </c>
      <c r="BJ93" s="124">
        <v>46293.950983796298</v>
      </c>
      <c r="BK93" s="124">
        <v>46294.354432870372</v>
      </c>
      <c r="BL93" s="124">
        <v>0</v>
      </c>
      <c r="BM93" s="124">
        <v>46295.351875</v>
      </c>
      <c r="BN93" s="124">
        <v>46295.948472222219</v>
      </c>
      <c r="BO93" s="152">
        <v>46265.351886574077</v>
      </c>
      <c r="BP93" s="152">
        <v>46265.954004629632</v>
      </c>
      <c r="BQ93" s="96">
        <f t="shared" si="52"/>
        <v>30</v>
      </c>
      <c r="BR93" s="67">
        <v>2</v>
      </c>
      <c r="BS93" s="1">
        <f t="shared" si="27"/>
        <v>28</v>
      </c>
      <c r="BT93" s="2">
        <f t="shared" si="53"/>
        <v>2</v>
      </c>
      <c r="BU93" s="2">
        <f t="shared" si="54"/>
        <v>0</v>
      </c>
      <c r="BV93" s="2">
        <f t="shared" si="55"/>
        <v>0</v>
      </c>
      <c r="BW93" s="2">
        <f t="shared" si="56"/>
        <v>0</v>
      </c>
      <c r="BX93" s="2">
        <f t="shared" si="57"/>
        <v>0</v>
      </c>
      <c r="BY93" s="2">
        <f t="shared" si="58"/>
        <v>0</v>
      </c>
      <c r="BZ93" s="2">
        <f t="shared" si="59"/>
        <v>0</v>
      </c>
      <c r="CA93" s="2">
        <f t="shared" si="60"/>
        <v>0</v>
      </c>
      <c r="CB93" s="2">
        <f t="shared" si="61"/>
        <v>0</v>
      </c>
      <c r="CC93" s="2">
        <f t="shared" si="62"/>
        <v>0</v>
      </c>
      <c r="CD93" s="2">
        <f t="shared" si="63"/>
        <v>0</v>
      </c>
      <c r="CE93" s="3"/>
      <c r="CG93" s="69">
        <v>0</v>
      </c>
      <c r="CH93" s="69">
        <v>0</v>
      </c>
      <c r="CI93" s="69">
        <v>0</v>
      </c>
      <c r="CJ93" s="69">
        <v>0</v>
      </c>
      <c r="CK93" s="69">
        <v>0</v>
      </c>
      <c r="CL93" s="69">
        <v>0</v>
      </c>
      <c r="CM93" s="69">
        <v>0</v>
      </c>
      <c r="CN93" s="69">
        <v>0</v>
      </c>
      <c r="CO93" s="69">
        <v>0</v>
      </c>
      <c r="CP93" s="69">
        <v>0</v>
      </c>
      <c r="CQ93" s="118">
        <f t="shared" si="64"/>
        <v>0</v>
      </c>
    </row>
    <row r="94" spans="1:95" ht="22.5" customHeight="1" x14ac:dyDescent="0.25">
      <c r="A94" s="44">
        <v>76</v>
      </c>
      <c r="B94" s="44" t="s">
        <v>200</v>
      </c>
      <c r="C94" s="79" t="s">
        <v>201</v>
      </c>
      <c r="D94" s="87">
        <v>46008</v>
      </c>
      <c r="E94" s="124">
        <v>46266.353321759256</v>
      </c>
      <c r="F94" s="124">
        <v>46266.950069444443</v>
      </c>
      <c r="G94" s="124">
        <v>46267.329305555555</v>
      </c>
      <c r="H94" s="124">
        <v>46267.982256944444</v>
      </c>
      <c r="I94" s="124">
        <v>46268.326678240737</v>
      </c>
      <c r="J94" s="124">
        <v>46268.938842592594</v>
      </c>
      <c r="K94" s="124">
        <v>46269.580578703702</v>
      </c>
      <c r="L94" s="124">
        <v>46269.930856481478</v>
      </c>
      <c r="M94" s="124">
        <v>46270.354618055557</v>
      </c>
      <c r="N94" s="124">
        <v>46270.938599537039</v>
      </c>
      <c r="O94" s="124">
        <v>46271.352916666663</v>
      </c>
      <c r="P94" s="124">
        <v>46271.938715277778</v>
      </c>
      <c r="Q94" s="124">
        <v>46272.353310185186</v>
      </c>
      <c r="R94" s="124">
        <v>46272.940740740742</v>
      </c>
      <c r="S94" s="124">
        <v>46273.35328703704</v>
      </c>
      <c r="T94" s="124">
        <v>46273.943101851852</v>
      </c>
      <c r="U94" s="124">
        <v>46274.353715277779</v>
      </c>
      <c r="V94" s="124">
        <v>46274.943576388891</v>
      </c>
      <c r="W94" s="124">
        <v>46275.352673611109</v>
      </c>
      <c r="X94" s="124">
        <v>46275.945289351854</v>
      </c>
      <c r="Y94" s="178" t="s">
        <v>15</v>
      </c>
      <c r="Z94" s="178" t="s">
        <v>15</v>
      </c>
      <c r="AA94" s="124">
        <v>46277.352083333331</v>
      </c>
      <c r="AB94" s="124">
        <v>46277.950578703705</v>
      </c>
      <c r="AC94" s="124">
        <v>46278.353564814817</v>
      </c>
      <c r="AD94" s="124">
        <v>46278.959432870368</v>
      </c>
      <c r="AE94" s="124">
        <v>46279.352800925924</v>
      </c>
      <c r="AF94" s="124">
        <v>46279.938634259262</v>
      </c>
      <c r="AG94" s="124">
        <v>46280.354513888888</v>
      </c>
      <c r="AH94" s="124">
        <v>46280.938877314817</v>
      </c>
      <c r="AI94" s="110"/>
      <c r="AJ94" s="44">
        <v>76</v>
      </c>
      <c r="AK94" s="124">
        <v>46281.353622685187</v>
      </c>
      <c r="AL94" s="124">
        <v>46281.943240740744</v>
      </c>
      <c r="AM94" s="124">
        <v>46282.354131944441</v>
      </c>
      <c r="AN94" s="124">
        <v>46282.960266203707</v>
      </c>
      <c r="AO94" s="124">
        <v>46283.582835648151</v>
      </c>
      <c r="AP94" s="124">
        <v>46283.944722222222</v>
      </c>
      <c r="AQ94" s="124">
        <v>46284.347928240742</v>
      </c>
      <c r="AR94" s="124">
        <v>46284.967210648145</v>
      </c>
      <c r="AS94" s="124">
        <v>46285.354178240741</v>
      </c>
      <c r="AT94" s="124">
        <v>46285.950335648151</v>
      </c>
      <c r="AU94" s="124">
        <v>46286.352175925924</v>
      </c>
      <c r="AV94" s="124">
        <v>46286.949328703704</v>
      </c>
      <c r="AW94" s="124">
        <v>46287.353391203702</v>
      </c>
      <c r="AX94" s="124">
        <v>46287.96429398148</v>
      </c>
      <c r="AY94" s="124">
        <v>46288.350648148145</v>
      </c>
      <c r="AZ94" s="124">
        <v>46288.941111111111</v>
      </c>
      <c r="BA94" s="124">
        <v>46289.352731481478</v>
      </c>
      <c r="BB94" s="124">
        <v>0</v>
      </c>
      <c r="BC94" s="228" t="s">
        <v>15</v>
      </c>
      <c r="BD94" s="228" t="s">
        <v>15</v>
      </c>
      <c r="BE94" s="124">
        <v>46291.354085648149</v>
      </c>
      <c r="BF94" s="124">
        <v>46291.984444444446</v>
      </c>
      <c r="BG94" s="124">
        <v>46292.346203703702</v>
      </c>
      <c r="BH94" s="124">
        <v>46292.949212962965</v>
      </c>
      <c r="BI94" s="124">
        <v>46293.353391203702</v>
      </c>
      <c r="BJ94" s="124">
        <v>46293.941041666665</v>
      </c>
      <c r="BK94" s="124">
        <v>46294.350324074076</v>
      </c>
      <c r="BL94" s="124">
        <v>46294.941516203704</v>
      </c>
      <c r="BM94" s="124">
        <v>46295.352662037039</v>
      </c>
      <c r="BN94" s="124">
        <v>46295.938738425924</v>
      </c>
      <c r="BO94" s="152">
        <v>46265.352800925924</v>
      </c>
      <c r="BP94" s="152">
        <v>46265.939479166664</v>
      </c>
      <c r="BQ94" s="96">
        <f t="shared" si="52"/>
        <v>30</v>
      </c>
      <c r="BR94" s="67">
        <v>2</v>
      </c>
      <c r="BS94" s="1">
        <f t="shared" si="27"/>
        <v>28</v>
      </c>
      <c r="BT94" s="2">
        <f t="shared" si="53"/>
        <v>2</v>
      </c>
      <c r="BU94" s="2">
        <f t="shared" si="54"/>
        <v>0</v>
      </c>
      <c r="BV94" s="2">
        <f t="shared" si="55"/>
        <v>0</v>
      </c>
      <c r="BW94" s="2">
        <f t="shared" si="56"/>
        <v>0</v>
      </c>
      <c r="BX94" s="2">
        <f t="shared" si="57"/>
        <v>0</v>
      </c>
      <c r="BY94" s="2">
        <f t="shared" si="58"/>
        <v>0</v>
      </c>
      <c r="BZ94" s="2">
        <f t="shared" si="59"/>
        <v>0</v>
      </c>
      <c r="CA94" s="2">
        <f t="shared" si="60"/>
        <v>0</v>
      </c>
      <c r="CB94" s="2">
        <f t="shared" si="61"/>
        <v>0</v>
      </c>
      <c r="CC94" s="2">
        <f t="shared" si="62"/>
        <v>0</v>
      </c>
      <c r="CD94" s="2">
        <f t="shared" si="63"/>
        <v>0</v>
      </c>
      <c r="CE94" s="3"/>
      <c r="CG94" s="113">
        <v>0</v>
      </c>
      <c r="CH94" s="113">
        <v>0</v>
      </c>
      <c r="CI94" s="113">
        <v>0</v>
      </c>
      <c r="CJ94" s="113">
        <v>0</v>
      </c>
      <c r="CK94" s="113">
        <v>0</v>
      </c>
      <c r="CL94" s="113">
        <v>12</v>
      </c>
      <c r="CM94" s="113">
        <v>0</v>
      </c>
      <c r="CN94" s="113">
        <v>0</v>
      </c>
      <c r="CO94" s="113">
        <v>0</v>
      </c>
      <c r="CP94" s="113">
        <v>0</v>
      </c>
      <c r="CQ94" s="116">
        <f t="shared" si="64"/>
        <v>12</v>
      </c>
    </row>
    <row r="95" spans="1:95" ht="22.5" customHeight="1" x14ac:dyDescent="0.25">
      <c r="A95" s="44">
        <v>77</v>
      </c>
      <c r="B95" s="44" t="s">
        <v>202</v>
      </c>
      <c r="C95" s="79" t="s">
        <v>203</v>
      </c>
      <c r="D95" s="87">
        <v>46018</v>
      </c>
      <c r="E95" s="124">
        <v>46266.331458333334</v>
      </c>
      <c r="F95" s="124">
        <v>46266.942777777775</v>
      </c>
      <c r="G95" s="124">
        <v>46267.345694444448</v>
      </c>
      <c r="H95" s="124">
        <v>46267.963333333333</v>
      </c>
      <c r="I95" s="124">
        <v>46268.345011574071</v>
      </c>
      <c r="J95" s="124">
        <v>46268.975127314814</v>
      </c>
      <c r="K95" s="124">
        <v>46269.560312499998</v>
      </c>
      <c r="L95" s="124">
        <v>46269.956967592596</v>
      </c>
      <c r="M95" s="124">
        <v>46270.3278125</v>
      </c>
      <c r="N95" s="124">
        <v>46270.96979166667</v>
      </c>
      <c r="O95" s="124">
        <v>46271.327581018515</v>
      </c>
      <c r="P95" s="124">
        <v>46271.955706018518</v>
      </c>
      <c r="Q95" s="124">
        <v>46272.329745370371</v>
      </c>
      <c r="R95" s="124">
        <v>46272.96199074074</v>
      </c>
      <c r="S95" s="124">
        <v>46273.327708333331</v>
      </c>
      <c r="T95" s="124">
        <v>46273.963425925926</v>
      </c>
      <c r="U95" s="124">
        <v>46274.329062500001</v>
      </c>
      <c r="V95" s="124">
        <v>46274.954965277779</v>
      </c>
      <c r="W95" s="124">
        <v>46275.33320601852</v>
      </c>
      <c r="X95" s="124">
        <v>46275.974768518521</v>
      </c>
      <c r="Y95" s="178" t="s">
        <v>15</v>
      </c>
      <c r="Z95" s="178" t="s">
        <v>15</v>
      </c>
      <c r="AA95" s="124">
        <v>46277.337696759256</v>
      </c>
      <c r="AB95" s="124">
        <v>46277.981412037036</v>
      </c>
      <c r="AC95" s="124">
        <v>46278.329189814816</v>
      </c>
      <c r="AD95" s="124">
        <v>46278.952048611114</v>
      </c>
      <c r="AE95" s="124">
        <v>46279.331099537034</v>
      </c>
      <c r="AF95" s="124">
        <v>46279.955833333333</v>
      </c>
      <c r="AG95" s="124">
        <v>46280.331932870373</v>
      </c>
      <c r="AH95" s="124">
        <v>46280.956747685188</v>
      </c>
      <c r="AI95" s="110"/>
      <c r="AJ95" s="44">
        <v>77</v>
      </c>
      <c r="AK95" s="124">
        <v>46281.327615740738</v>
      </c>
      <c r="AL95" s="124">
        <v>46281.952025462961</v>
      </c>
      <c r="AM95" s="124">
        <v>46282.327766203707</v>
      </c>
      <c r="AN95" s="124">
        <v>46282.973645833335</v>
      </c>
      <c r="AO95" s="124">
        <v>46283.560613425929</v>
      </c>
      <c r="AP95" s="124">
        <v>46283.946736111109</v>
      </c>
      <c r="AQ95" s="124">
        <v>46284.329594907409</v>
      </c>
      <c r="AR95" s="124">
        <v>46284.962291666663</v>
      </c>
      <c r="AS95" s="124">
        <v>46285.33084490741</v>
      </c>
      <c r="AT95" s="124">
        <v>46285.944224537037</v>
      </c>
      <c r="AU95" s="124">
        <v>46286.331099537034</v>
      </c>
      <c r="AV95" s="124">
        <v>46286.939270833333</v>
      </c>
      <c r="AW95" s="124">
        <v>46287.330381944441</v>
      </c>
      <c r="AX95" s="124">
        <v>46287.956226851849</v>
      </c>
      <c r="AY95" s="124">
        <v>46288.328368055554</v>
      </c>
      <c r="AZ95" s="124">
        <v>46288.959768518522</v>
      </c>
      <c r="BA95" s="124">
        <v>46289.329305555555</v>
      </c>
      <c r="BB95" s="124">
        <v>46289.938530092593</v>
      </c>
      <c r="BC95" s="228" t="s">
        <v>15</v>
      </c>
      <c r="BD95" s="228" t="s">
        <v>15</v>
      </c>
      <c r="BE95" s="124">
        <v>46291.328831018516</v>
      </c>
      <c r="BF95" s="124">
        <v>46291.951331018521</v>
      </c>
      <c r="BG95" s="124">
        <v>46292.332175925927</v>
      </c>
      <c r="BH95" s="124">
        <v>46292.944467592592</v>
      </c>
      <c r="BI95" s="124">
        <v>46293.327499999999</v>
      </c>
      <c r="BJ95" s="124">
        <v>46293.956342592595</v>
      </c>
      <c r="BK95" s="124">
        <v>46294.331388888888</v>
      </c>
      <c r="BL95" s="124">
        <v>46294.962152777778</v>
      </c>
      <c r="BM95" s="124">
        <v>46295.328553240739</v>
      </c>
      <c r="BN95" s="124">
        <v>46295.962546296294</v>
      </c>
      <c r="BO95" s="152">
        <v>46265.329363425924</v>
      </c>
      <c r="BP95" s="152">
        <v>46265.955949074072</v>
      </c>
      <c r="BQ95" s="96">
        <f t="shared" si="52"/>
        <v>30</v>
      </c>
      <c r="BR95" s="67">
        <v>2</v>
      </c>
      <c r="BS95" s="1">
        <f t="shared" si="27"/>
        <v>28</v>
      </c>
      <c r="BT95" s="2">
        <f t="shared" si="53"/>
        <v>2</v>
      </c>
      <c r="BU95" s="2">
        <f t="shared" si="54"/>
        <v>0</v>
      </c>
      <c r="BV95" s="2">
        <f t="shared" si="55"/>
        <v>0</v>
      </c>
      <c r="BW95" s="2">
        <f t="shared" si="56"/>
        <v>0</v>
      </c>
      <c r="BX95" s="2">
        <f t="shared" si="57"/>
        <v>0</v>
      </c>
      <c r="BY95" s="2">
        <f t="shared" si="58"/>
        <v>0</v>
      </c>
      <c r="BZ95" s="2">
        <f t="shared" si="59"/>
        <v>0</v>
      </c>
      <c r="CA95" s="2">
        <f t="shared" si="60"/>
        <v>0</v>
      </c>
      <c r="CB95" s="2">
        <f t="shared" si="61"/>
        <v>0</v>
      </c>
      <c r="CC95" s="2">
        <f t="shared" si="62"/>
        <v>0</v>
      </c>
      <c r="CD95" s="2">
        <f t="shared" si="63"/>
        <v>0</v>
      </c>
      <c r="CE95" s="3"/>
      <c r="CG95" s="69">
        <v>0</v>
      </c>
      <c r="CH95" s="69">
        <v>0</v>
      </c>
      <c r="CI95" s="69">
        <v>0</v>
      </c>
      <c r="CJ95" s="69">
        <v>0</v>
      </c>
      <c r="CK95" s="69">
        <v>0</v>
      </c>
      <c r="CL95" s="69">
        <v>0</v>
      </c>
      <c r="CM95" s="69">
        <v>0</v>
      </c>
      <c r="CN95" s="69">
        <v>0</v>
      </c>
      <c r="CO95" s="69">
        <v>0</v>
      </c>
      <c r="CP95" s="69">
        <v>0</v>
      </c>
      <c r="CQ95" s="118">
        <f t="shared" si="64"/>
        <v>0</v>
      </c>
    </row>
    <row r="96" spans="1:95" ht="22.5" customHeight="1" x14ac:dyDescent="0.25">
      <c r="A96" s="44">
        <v>78</v>
      </c>
      <c r="B96" s="44" t="s">
        <v>204</v>
      </c>
      <c r="C96" s="79" t="s">
        <v>206</v>
      </c>
      <c r="D96" s="87">
        <v>46022</v>
      </c>
      <c r="E96" s="124">
        <v>46266.345416666663</v>
      </c>
      <c r="F96" s="124">
        <v>46266.960358796299</v>
      </c>
      <c r="G96" s="124">
        <v>46267.346724537034</v>
      </c>
      <c r="H96" s="124">
        <v>46267.977777777778</v>
      </c>
      <c r="I96" s="124">
        <v>46268.347094907411</v>
      </c>
      <c r="J96" s="124">
        <v>46268.965474537035</v>
      </c>
      <c r="K96" s="178" t="s">
        <v>15</v>
      </c>
      <c r="L96" s="178" t="s">
        <v>15</v>
      </c>
      <c r="M96" s="124">
        <v>46270.344247685185</v>
      </c>
      <c r="N96" s="124">
        <v>46270.975486111114</v>
      </c>
      <c r="O96" s="124">
        <v>46271.344872685186</v>
      </c>
      <c r="P96" s="124">
        <v>46271.940208333333</v>
      </c>
      <c r="Q96" s="124">
        <v>46272.342476851853</v>
      </c>
      <c r="R96" s="124">
        <v>46272.937777777777</v>
      </c>
      <c r="S96" s="124">
        <v>46273.34270833333</v>
      </c>
      <c r="T96" s="124">
        <v>46273.957488425927</v>
      </c>
      <c r="U96" s="124">
        <v>46274.343807870369</v>
      </c>
      <c r="V96" s="124">
        <v>46274.959837962961</v>
      </c>
      <c r="W96" s="124">
        <v>46275.343888888892</v>
      </c>
      <c r="X96" s="124">
        <v>46275.980694444443</v>
      </c>
      <c r="Y96" s="124">
        <v>0</v>
      </c>
      <c r="Z96" s="124">
        <v>46276.957361111112</v>
      </c>
      <c r="AA96" s="124">
        <v>46277.347488425927</v>
      </c>
      <c r="AB96" s="124">
        <v>46277.983460648145</v>
      </c>
      <c r="AC96" s="124">
        <v>46278.345057870371</v>
      </c>
      <c r="AD96" s="124">
        <v>46278.948506944442</v>
      </c>
      <c r="AE96" s="124">
        <v>46279.3440625</v>
      </c>
      <c r="AF96" s="124">
        <v>46279.946701388886</v>
      </c>
      <c r="AG96" s="124">
        <v>46280.34584490741</v>
      </c>
      <c r="AH96" s="124">
        <v>46280.932395833333</v>
      </c>
      <c r="AI96" s="110"/>
      <c r="AJ96" s="44">
        <v>78</v>
      </c>
      <c r="AK96" s="124">
        <v>46281.343506944446</v>
      </c>
      <c r="AL96" s="124">
        <v>46281.96875</v>
      </c>
      <c r="AM96" s="124">
        <v>46282.342962962961</v>
      </c>
      <c r="AN96" s="124">
        <v>46282.973483796297</v>
      </c>
      <c r="AO96" s="124">
        <v>0</v>
      </c>
      <c r="AP96" s="124">
        <v>46283.957118055558</v>
      </c>
      <c r="AQ96" s="124">
        <v>46284.342685185184</v>
      </c>
      <c r="AR96" s="124">
        <v>46284.969178240739</v>
      </c>
      <c r="AS96" s="124">
        <v>46285.343043981484</v>
      </c>
      <c r="AT96" s="124">
        <v>46285.961006944446</v>
      </c>
      <c r="AU96" s="124">
        <v>46286.343460648146</v>
      </c>
      <c r="AV96" s="124">
        <v>0</v>
      </c>
      <c r="AW96" s="124">
        <v>46287.343275462961</v>
      </c>
      <c r="AX96" s="124">
        <v>46287.980219907404</v>
      </c>
      <c r="AY96" s="124">
        <v>46288.343310185184</v>
      </c>
      <c r="AZ96" s="124">
        <v>46288.951423611114</v>
      </c>
      <c r="BA96" s="124">
        <v>46289.342662037037</v>
      </c>
      <c r="BB96" s="124">
        <v>46289.977395833332</v>
      </c>
      <c r="BC96" s="228" t="s">
        <v>15</v>
      </c>
      <c r="BD96" s="228" t="s">
        <v>15</v>
      </c>
      <c r="BE96" s="124">
        <v>46291.342395833337</v>
      </c>
      <c r="BF96" s="124">
        <v>46291.973356481481</v>
      </c>
      <c r="BG96" s="124">
        <v>46292.342881944445</v>
      </c>
      <c r="BH96" s="124">
        <v>0</v>
      </c>
      <c r="BI96" s="124">
        <v>46293.344351851854</v>
      </c>
      <c r="BJ96" s="124">
        <v>46293.940462962964</v>
      </c>
      <c r="BK96" s="124">
        <v>46294.342905092592</v>
      </c>
      <c r="BL96" s="124">
        <v>46294.939444444448</v>
      </c>
      <c r="BM96" s="124">
        <v>46295.346319444441</v>
      </c>
      <c r="BN96" s="124">
        <v>46295.984027777777</v>
      </c>
      <c r="BO96" s="152">
        <v>46265.344375000001</v>
      </c>
      <c r="BP96" s="152">
        <v>46265.941192129627</v>
      </c>
      <c r="BQ96" s="96">
        <f t="shared" si="52"/>
        <v>30</v>
      </c>
      <c r="BR96" s="67">
        <v>2</v>
      </c>
      <c r="BS96" s="1">
        <f t="shared" si="27"/>
        <v>28</v>
      </c>
      <c r="BT96" s="2">
        <f t="shared" si="53"/>
        <v>2</v>
      </c>
      <c r="BU96" s="2">
        <f t="shared" si="54"/>
        <v>0</v>
      </c>
      <c r="BV96" s="2">
        <f t="shared" si="55"/>
        <v>0</v>
      </c>
      <c r="BW96" s="2">
        <f t="shared" si="56"/>
        <v>0</v>
      </c>
      <c r="BX96" s="2">
        <f t="shared" si="57"/>
        <v>0</v>
      </c>
      <c r="BY96" s="2">
        <f t="shared" si="58"/>
        <v>0</v>
      </c>
      <c r="BZ96" s="2">
        <f t="shared" si="59"/>
        <v>0</v>
      </c>
      <c r="CA96" s="2">
        <f t="shared" si="60"/>
        <v>0</v>
      </c>
      <c r="CB96" s="2">
        <f t="shared" si="61"/>
        <v>0</v>
      </c>
      <c r="CC96" s="2">
        <f t="shared" si="62"/>
        <v>0</v>
      </c>
      <c r="CD96" s="2">
        <f t="shared" si="63"/>
        <v>0</v>
      </c>
      <c r="CE96" s="3"/>
      <c r="CG96" s="113">
        <v>0</v>
      </c>
      <c r="CH96" s="113">
        <v>0</v>
      </c>
      <c r="CI96" s="113">
        <v>0</v>
      </c>
      <c r="CJ96" s="113">
        <v>0</v>
      </c>
      <c r="CK96" s="113">
        <v>0</v>
      </c>
      <c r="CL96" s="113">
        <v>0</v>
      </c>
      <c r="CM96" s="113">
        <v>0</v>
      </c>
      <c r="CN96" s="113">
        <v>0</v>
      </c>
      <c r="CO96" s="113">
        <v>0</v>
      </c>
      <c r="CP96" s="113">
        <v>0</v>
      </c>
      <c r="CQ96" s="116">
        <f t="shared" si="64"/>
        <v>0</v>
      </c>
    </row>
    <row r="97" spans="1:95" ht="22.5" customHeight="1" x14ac:dyDescent="0.25">
      <c r="A97" s="44">
        <v>79</v>
      </c>
      <c r="B97" s="44" t="s">
        <v>205</v>
      </c>
      <c r="C97" s="79" t="s">
        <v>207</v>
      </c>
      <c r="D97" s="87">
        <v>46022</v>
      </c>
      <c r="E97" s="124">
        <v>46266.348263888889</v>
      </c>
      <c r="F97" s="124">
        <v>46266.981134259258</v>
      </c>
      <c r="G97" s="124">
        <v>46267.349664351852</v>
      </c>
      <c r="H97" s="124">
        <v>46267.975891203707</v>
      </c>
      <c r="I97" s="124">
        <v>46268.346817129626</v>
      </c>
      <c r="J97" s="124">
        <v>46268.965740740743</v>
      </c>
      <c r="K97" s="124">
        <v>46269.584606481483</v>
      </c>
      <c r="L97" s="124">
        <v>46269.992337962962</v>
      </c>
      <c r="M97" s="124">
        <v>46270.349895833337</v>
      </c>
      <c r="N97" s="124">
        <v>46270.975775462961</v>
      </c>
      <c r="O97" s="124">
        <v>46271.34511574074</v>
      </c>
      <c r="P97" s="124">
        <v>46271.939664351848</v>
      </c>
      <c r="Q97" s="124">
        <v>46272.343958333331</v>
      </c>
      <c r="R97" s="124">
        <v>46272.940486111111</v>
      </c>
      <c r="S97" s="124">
        <v>46273.344861111109</v>
      </c>
      <c r="T97" s="124">
        <v>46273.957013888888</v>
      </c>
      <c r="U97" s="124">
        <v>46274.346226851849</v>
      </c>
      <c r="V97" s="124">
        <v>46274.959409722222</v>
      </c>
      <c r="W97" s="124">
        <v>46275.349097222221</v>
      </c>
      <c r="X97" s="124">
        <v>46275.979560185187</v>
      </c>
      <c r="Y97" s="178" t="s">
        <v>15</v>
      </c>
      <c r="Z97" s="178" t="s">
        <v>15</v>
      </c>
      <c r="AA97" s="124">
        <v>46277.343773148146</v>
      </c>
      <c r="AB97" s="124">
        <v>46277.983854166669</v>
      </c>
      <c r="AC97" s="124">
        <v>46278.348275462966</v>
      </c>
      <c r="AD97" s="124">
        <v>46278.954988425925</v>
      </c>
      <c r="AE97" s="124">
        <v>46279.346805555557</v>
      </c>
      <c r="AF97" s="124">
        <v>46279.953935185185</v>
      </c>
      <c r="AG97" s="124">
        <v>46280.342766203707</v>
      </c>
      <c r="AH97" s="124">
        <v>46280.93341435185</v>
      </c>
      <c r="AI97" s="110"/>
      <c r="AJ97" s="44">
        <v>79</v>
      </c>
      <c r="AK97" s="124">
        <v>46281.346504629626</v>
      </c>
      <c r="AL97" s="124">
        <v>46281.968819444446</v>
      </c>
      <c r="AM97" s="124">
        <v>46282.347280092596</v>
      </c>
      <c r="AN97" s="124">
        <v>46282.973865740743</v>
      </c>
      <c r="AO97" s="124">
        <v>46283.584305555552</v>
      </c>
      <c r="AP97" s="124">
        <v>0</v>
      </c>
      <c r="AQ97" s="124">
        <v>46284.344618055555</v>
      </c>
      <c r="AR97" s="124">
        <v>46284.970092592594</v>
      </c>
      <c r="AS97" s="124">
        <v>46285.346828703703</v>
      </c>
      <c r="AT97" s="124">
        <v>46285.954409722224</v>
      </c>
      <c r="AU97" s="124">
        <v>46286.347013888888</v>
      </c>
      <c r="AV97" s="124">
        <v>46286.949201388888</v>
      </c>
      <c r="AW97" s="124">
        <v>46287.347488425927</v>
      </c>
      <c r="AX97" s="124">
        <v>46287.979907407411</v>
      </c>
      <c r="AY97" s="124">
        <v>46288.344942129632</v>
      </c>
      <c r="AZ97" s="124">
        <v>46288.951817129629</v>
      </c>
      <c r="BA97" s="124">
        <v>46289.344560185185</v>
      </c>
      <c r="BB97" s="124">
        <v>46289.980115740742</v>
      </c>
      <c r="BC97" s="124">
        <v>46290.58258101852</v>
      </c>
      <c r="BD97" s="124">
        <v>46290.920347222222</v>
      </c>
      <c r="BE97" s="124">
        <v>46291.347037037034</v>
      </c>
      <c r="BF97" s="124">
        <v>46291.943726851852</v>
      </c>
      <c r="BG97" s="124">
        <v>46292.343715277777</v>
      </c>
      <c r="BH97" s="124">
        <v>46292.968865740739</v>
      </c>
      <c r="BI97" s="124">
        <v>46293.344155092593</v>
      </c>
      <c r="BJ97" s="124">
        <v>46293.943576388891</v>
      </c>
      <c r="BK97" s="124">
        <v>46294.342094907406</v>
      </c>
      <c r="BL97" s="124">
        <v>46294.942800925928</v>
      </c>
      <c r="BM97" s="124">
        <v>46295.342430555553</v>
      </c>
      <c r="BN97" s="124">
        <v>46295.985115740739</v>
      </c>
      <c r="BO97" s="152">
        <v>46265.343009259261</v>
      </c>
      <c r="BP97" s="152">
        <v>46265.941111111111</v>
      </c>
      <c r="BQ97" s="96">
        <f t="shared" si="52"/>
        <v>30</v>
      </c>
      <c r="BR97" s="67">
        <v>3</v>
      </c>
      <c r="BS97" s="1">
        <f t="shared" si="27"/>
        <v>29</v>
      </c>
      <c r="BT97" s="2">
        <f t="shared" si="53"/>
        <v>1</v>
      </c>
      <c r="BU97" s="2">
        <f t="shared" si="54"/>
        <v>0</v>
      </c>
      <c r="BV97" s="2">
        <f t="shared" si="55"/>
        <v>0</v>
      </c>
      <c r="BW97" s="2">
        <f t="shared" si="56"/>
        <v>0</v>
      </c>
      <c r="BX97" s="2">
        <f t="shared" si="57"/>
        <v>0</v>
      </c>
      <c r="BY97" s="2">
        <f t="shared" si="58"/>
        <v>0</v>
      </c>
      <c r="BZ97" s="2">
        <f t="shared" si="59"/>
        <v>0</v>
      </c>
      <c r="CA97" s="2">
        <f t="shared" si="60"/>
        <v>0</v>
      </c>
      <c r="CB97" s="2">
        <f t="shared" si="61"/>
        <v>0</v>
      </c>
      <c r="CC97" s="2">
        <f t="shared" si="62"/>
        <v>0</v>
      </c>
      <c r="CD97" s="2">
        <f t="shared" si="63"/>
        <v>0</v>
      </c>
      <c r="CE97" s="3"/>
      <c r="CG97" s="54">
        <v>0</v>
      </c>
      <c r="CH97" s="53">
        <v>0</v>
      </c>
      <c r="CI97" s="53">
        <v>0</v>
      </c>
      <c r="CJ97" s="53">
        <v>0</v>
      </c>
      <c r="CK97" s="53">
        <v>0</v>
      </c>
      <c r="CL97" s="53">
        <v>2</v>
      </c>
      <c r="CM97" s="53">
        <v>0</v>
      </c>
      <c r="CN97" s="53">
        <v>0</v>
      </c>
      <c r="CO97" s="53">
        <v>0</v>
      </c>
      <c r="CP97" s="53">
        <v>0</v>
      </c>
      <c r="CQ97" s="117">
        <f t="shared" si="64"/>
        <v>2</v>
      </c>
    </row>
    <row r="98" spans="1:95" ht="22.5" customHeight="1" x14ac:dyDescent="0.25">
      <c r="A98" s="44">
        <v>80</v>
      </c>
      <c r="B98" s="44" t="s">
        <v>208</v>
      </c>
      <c r="C98" s="79" t="s">
        <v>209</v>
      </c>
      <c r="D98" s="87">
        <v>46038</v>
      </c>
      <c r="E98" s="124">
        <v>46266.352534722224</v>
      </c>
      <c r="F98" s="124">
        <v>46266.947048611109</v>
      </c>
      <c r="G98" s="124">
        <v>46267.330266203702</v>
      </c>
      <c r="H98" s="124">
        <v>46267.948946759258</v>
      </c>
      <c r="I98" s="124">
        <v>46268.327557870369</v>
      </c>
      <c r="J98" s="124">
        <v>46268.9684837963</v>
      </c>
      <c r="K98" s="124">
        <v>46269.580138888887</v>
      </c>
      <c r="L98" s="124">
        <v>46269.947881944441</v>
      </c>
      <c r="M98" s="124">
        <v>46270.35359953704</v>
      </c>
      <c r="N98" s="124">
        <v>46270.970243055555</v>
      </c>
      <c r="O98" s="124">
        <v>46271.354004629633</v>
      </c>
      <c r="P98" s="124">
        <v>46271.944849537038</v>
      </c>
      <c r="Q98" s="124">
        <v>46272.354305555556</v>
      </c>
      <c r="R98" s="124">
        <v>46272.949502314812</v>
      </c>
      <c r="S98" s="124">
        <v>46273.354085648149</v>
      </c>
      <c r="T98" s="124">
        <v>46273.95008101852</v>
      </c>
      <c r="U98" s="124">
        <v>46274.354722222219</v>
      </c>
      <c r="V98" s="124">
        <v>46274.952060185184</v>
      </c>
      <c r="W98" s="124">
        <v>46275.356990740744</v>
      </c>
      <c r="X98" s="124">
        <v>46275.966412037036</v>
      </c>
      <c r="Y98" s="178" t="s">
        <v>15</v>
      </c>
      <c r="Z98" s="178" t="s">
        <v>15</v>
      </c>
      <c r="AA98" s="124">
        <v>46277.355347222219</v>
      </c>
      <c r="AB98" s="124">
        <v>46277.967546296299</v>
      </c>
      <c r="AC98" s="124">
        <v>46278.353750000002</v>
      </c>
      <c r="AD98" s="124">
        <v>46278.946712962963</v>
      </c>
      <c r="AE98" s="124">
        <v>46279.354016203702</v>
      </c>
      <c r="AF98" s="124">
        <v>46279.947523148148</v>
      </c>
      <c r="AG98" s="124">
        <v>46280.354583333334</v>
      </c>
      <c r="AH98" s="124">
        <v>46280.944618055553</v>
      </c>
      <c r="AI98" s="105"/>
      <c r="AJ98" s="44">
        <v>80</v>
      </c>
      <c r="AK98" s="124">
        <v>46281.353726851848</v>
      </c>
      <c r="AL98" s="124">
        <v>46281.94740740741</v>
      </c>
      <c r="AM98" s="124">
        <v>46282.35359953704</v>
      </c>
      <c r="AN98" s="124">
        <v>46282.967986111114</v>
      </c>
      <c r="AO98" s="124">
        <v>46283.576226851852</v>
      </c>
      <c r="AP98" s="124">
        <v>0</v>
      </c>
      <c r="AQ98" s="124">
        <v>46284.354212962964</v>
      </c>
      <c r="AR98" s="124">
        <v>46284.961365740739</v>
      </c>
      <c r="AS98" s="124">
        <v>46285.355775462966</v>
      </c>
      <c r="AT98" s="124">
        <v>46285.941354166665</v>
      </c>
      <c r="AU98" s="124">
        <v>46286.354699074072</v>
      </c>
      <c r="AV98" s="124">
        <v>46286.947187500002</v>
      </c>
      <c r="AW98" s="124">
        <v>46287.354131944441</v>
      </c>
      <c r="AX98" s="124">
        <v>46287.947743055556</v>
      </c>
      <c r="AY98" s="124">
        <v>46288.355023148149</v>
      </c>
      <c r="AZ98" s="124">
        <v>46288.946504629632</v>
      </c>
      <c r="BA98" s="124">
        <v>46289.355451388888</v>
      </c>
      <c r="BB98" s="124">
        <v>46289.956655092596</v>
      </c>
      <c r="BC98" s="124">
        <v>46290.57849537037</v>
      </c>
      <c r="BD98" s="124">
        <v>46290.946030092593</v>
      </c>
      <c r="BE98" s="124">
        <v>46291.352268518516</v>
      </c>
      <c r="BF98" s="124">
        <v>46291.962627314817</v>
      </c>
      <c r="BG98" s="124">
        <v>46292.352164351854</v>
      </c>
      <c r="BH98" s="124">
        <v>0</v>
      </c>
      <c r="BI98" s="124">
        <v>46293.352106481485</v>
      </c>
      <c r="BJ98" s="124">
        <v>46293.949340277781</v>
      </c>
      <c r="BK98" s="124">
        <v>46294.353194444448</v>
      </c>
      <c r="BL98" s="124">
        <v>46294.95275462963</v>
      </c>
      <c r="BM98" s="124">
        <v>46295.352824074071</v>
      </c>
      <c r="BN98" s="127">
        <v>46295.948854166665</v>
      </c>
      <c r="BO98" s="152">
        <v>46265.351793981485</v>
      </c>
      <c r="BP98" s="152">
        <v>0</v>
      </c>
      <c r="BQ98" s="96">
        <f t="shared" si="52"/>
        <v>30</v>
      </c>
      <c r="BR98" s="67">
        <v>3</v>
      </c>
      <c r="BS98" s="1">
        <f t="shared" si="27"/>
        <v>29</v>
      </c>
      <c r="BT98" s="2">
        <f t="shared" si="53"/>
        <v>1</v>
      </c>
      <c r="BU98" s="2">
        <f t="shared" si="54"/>
        <v>0</v>
      </c>
      <c r="BV98" s="2">
        <f t="shared" si="55"/>
        <v>0</v>
      </c>
      <c r="BW98" s="2">
        <f t="shared" si="56"/>
        <v>0</v>
      </c>
      <c r="BX98" s="2">
        <f t="shared" si="57"/>
        <v>0</v>
      </c>
      <c r="BY98" s="2">
        <f t="shared" si="58"/>
        <v>0</v>
      </c>
      <c r="BZ98" s="2">
        <f t="shared" si="59"/>
        <v>0</v>
      </c>
      <c r="CA98" s="2">
        <f t="shared" si="60"/>
        <v>0</v>
      </c>
      <c r="CB98" s="2">
        <f t="shared" si="61"/>
        <v>0</v>
      </c>
      <c r="CC98" s="2">
        <f t="shared" si="62"/>
        <v>0</v>
      </c>
      <c r="CD98" s="2">
        <f t="shared" si="63"/>
        <v>0</v>
      </c>
      <c r="CE98" s="3"/>
      <c r="CG98" s="119">
        <v>0</v>
      </c>
      <c r="CH98" s="120">
        <v>0</v>
      </c>
      <c r="CI98" s="120">
        <v>0</v>
      </c>
      <c r="CJ98" s="120">
        <v>0</v>
      </c>
      <c r="CK98" s="120">
        <v>0</v>
      </c>
      <c r="CL98" s="120">
        <v>1</v>
      </c>
      <c r="CM98" s="120">
        <v>0</v>
      </c>
      <c r="CN98" s="120">
        <v>0</v>
      </c>
      <c r="CO98" s="120">
        <v>0</v>
      </c>
      <c r="CP98" s="120">
        <v>0</v>
      </c>
      <c r="CQ98" s="116">
        <f t="shared" si="64"/>
        <v>1</v>
      </c>
    </row>
    <row r="99" spans="1:95" ht="22.5" customHeight="1" x14ac:dyDescent="0.25">
      <c r="A99" s="44">
        <v>81</v>
      </c>
      <c r="B99" s="44" t="s">
        <v>211</v>
      </c>
      <c r="C99" s="79" t="s">
        <v>213</v>
      </c>
      <c r="D99" s="87">
        <v>46051</v>
      </c>
      <c r="E99" s="124">
        <v>46266.33153935185</v>
      </c>
      <c r="F99" s="124">
        <v>46266.950833333336</v>
      </c>
      <c r="G99" s="124">
        <v>46267.354849537034</v>
      </c>
      <c r="H99" s="124">
        <v>46267.937592592592</v>
      </c>
      <c r="I99" s="124">
        <v>46268.357233796298</v>
      </c>
      <c r="J99" s="124">
        <v>46268.958483796298</v>
      </c>
      <c r="K99" s="124">
        <v>46269.573275462964</v>
      </c>
      <c r="L99" s="124">
        <v>46269.985312500001</v>
      </c>
      <c r="M99" s="124">
        <v>46270.353506944448</v>
      </c>
      <c r="N99" s="124">
        <v>46270.958472222221</v>
      </c>
      <c r="O99" s="124">
        <v>46271.354895833334</v>
      </c>
      <c r="P99" s="124">
        <v>46271.941076388888</v>
      </c>
      <c r="Q99" s="124">
        <v>46272.354733796295</v>
      </c>
      <c r="R99" s="124">
        <v>46272.939942129633</v>
      </c>
      <c r="S99" s="124">
        <v>46273.351620370369</v>
      </c>
      <c r="T99" s="124">
        <v>46273.942210648151</v>
      </c>
      <c r="U99" s="124">
        <v>46274.352939814817</v>
      </c>
      <c r="V99" s="124">
        <v>46274.959618055553</v>
      </c>
      <c r="W99" s="124">
        <v>46275.352824074071</v>
      </c>
      <c r="X99" s="124">
        <v>46275.966354166667</v>
      </c>
      <c r="Y99" s="178" t="s">
        <v>15</v>
      </c>
      <c r="Z99" s="178" t="s">
        <v>15</v>
      </c>
      <c r="AA99" s="124">
        <v>46277.355590277781</v>
      </c>
      <c r="AB99" s="124">
        <v>46277.9843287037</v>
      </c>
      <c r="AC99" s="124">
        <v>46278.344618055555</v>
      </c>
      <c r="AD99" s="124">
        <v>46278.951435185183</v>
      </c>
      <c r="AE99" s="124">
        <v>46279.351134259261</v>
      </c>
      <c r="AF99" s="124">
        <v>46279.951527777775</v>
      </c>
      <c r="AG99" s="124">
        <v>46280.354675925926</v>
      </c>
      <c r="AH99" s="124">
        <v>46280.930752314816</v>
      </c>
      <c r="AI99" s="110"/>
      <c r="AJ99" s="44">
        <v>81</v>
      </c>
      <c r="AK99" s="124">
        <v>46281.351319444446</v>
      </c>
      <c r="AL99" s="124">
        <v>46281.946400462963</v>
      </c>
      <c r="AM99" s="124">
        <v>46282.349097222221</v>
      </c>
      <c r="AN99" s="124">
        <v>46282.959618055553</v>
      </c>
      <c r="AO99" s="124">
        <v>0</v>
      </c>
      <c r="AP99" s="124">
        <v>46283.946412037039</v>
      </c>
      <c r="AQ99" s="124">
        <v>46284.345868055556</v>
      </c>
      <c r="AR99" s="124">
        <v>46284.970717592594</v>
      </c>
      <c r="AS99" s="124">
        <v>46285.344236111108</v>
      </c>
      <c r="AT99" s="124">
        <v>46285.951886574076</v>
      </c>
      <c r="AU99" s="124">
        <v>46286.351724537039</v>
      </c>
      <c r="AV99" s="124">
        <v>46286.950023148151</v>
      </c>
      <c r="AW99" s="124">
        <v>46287.344004629631</v>
      </c>
      <c r="AX99" s="124">
        <v>46287.980092592596</v>
      </c>
      <c r="AY99" s="124">
        <v>46288.351909722223</v>
      </c>
      <c r="AZ99" s="124">
        <v>46288.946550925924</v>
      </c>
      <c r="BA99" s="124">
        <v>46289.352685185186</v>
      </c>
      <c r="BB99" s="124">
        <v>46289.970416666663</v>
      </c>
      <c r="BC99" s="228" t="s">
        <v>15</v>
      </c>
      <c r="BD99" s="228" t="s">
        <v>15</v>
      </c>
      <c r="BE99" s="124">
        <v>46291.352476851855</v>
      </c>
      <c r="BF99" s="124">
        <v>46291.971770833334</v>
      </c>
      <c r="BG99" s="124">
        <v>46292.353483796294</v>
      </c>
      <c r="BH99" s="124">
        <v>46292.947500000002</v>
      </c>
      <c r="BI99" s="124">
        <v>46293.353842592594</v>
      </c>
      <c r="BJ99" s="124">
        <v>46293.937557870369</v>
      </c>
      <c r="BK99" s="124">
        <v>46294.353888888887</v>
      </c>
      <c r="BL99" s="124">
        <v>46294.942129629628</v>
      </c>
      <c r="BM99" s="124">
        <v>46295.341493055559</v>
      </c>
      <c r="BN99" s="124">
        <v>46295.979224537034</v>
      </c>
      <c r="BO99" s="152">
        <v>46265.329143518517</v>
      </c>
      <c r="BP99" s="152">
        <v>46265.918599537035</v>
      </c>
      <c r="BQ99" s="96">
        <f t="shared" si="52"/>
        <v>30</v>
      </c>
      <c r="BR99" s="67">
        <v>2</v>
      </c>
      <c r="BS99" s="1">
        <f t="shared" si="27"/>
        <v>28</v>
      </c>
      <c r="BT99" s="2">
        <f t="shared" si="53"/>
        <v>2</v>
      </c>
      <c r="BU99" s="2">
        <f t="shared" si="54"/>
        <v>0</v>
      </c>
      <c r="BV99" s="2">
        <f t="shared" si="55"/>
        <v>0</v>
      </c>
      <c r="BW99" s="2">
        <f t="shared" si="56"/>
        <v>0</v>
      </c>
      <c r="BX99" s="2">
        <f t="shared" si="57"/>
        <v>0</v>
      </c>
      <c r="BY99" s="2">
        <f t="shared" si="58"/>
        <v>0</v>
      </c>
      <c r="BZ99" s="2">
        <f t="shared" si="59"/>
        <v>0</v>
      </c>
      <c r="CA99" s="2">
        <f t="shared" si="60"/>
        <v>0</v>
      </c>
      <c r="CB99" s="2">
        <f t="shared" si="61"/>
        <v>0</v>
      </c>
      <c r="CC99" s="2">
        <f t="shared" si="62"/>
        <v>0</v>
      </c>
      <c r="CD99" s="2">
        <f t="shared" si="63"/>
        <v>0</v>
      </c>
      <c r="CE99" s="3"/>
      <c r="CG99" s="54">
        <v>0</v>
      </c>
      <c r="CH99" s="53">
        <v>0</v>
      </c>
      <c r="CI99" s="53">
        <v>0</v>
      </c>
      <c r="CJ99" s="53">
        <v>0</v>
      </c>
      <c r="CK99" s="53">
        <v>0</v>
      </c>
      <c r="CL99" s="53">
        <v>2</v>
      </c>
      <c r="CM99" s="53">
        <v>0</v>
      </c>
      <c r="CN99" s="53">
        <v>1</v>
      </c>
      <c r="CO99" s="53">
        <v>0</v>
      </c>
      <c r="CP99" s="53">
        <v>0</v>
      </c>
      <c r="CQ99" s="117">
        <f t="shared" si="64"/>
        <v>3</v>
      </c>
    </row>
    <row r="100" spans="1:95" ht="22.5" customHeight="1" x14ac:dyDescent="0.25">
      <c r="A100" s="44">
        <v>82</v>
      </c>
      <c r="B100" s="44" t="s">
        <v>215</v>
      </c>
      <c r="C100" s="79" t="s">
        <v>216</v>
      </c>
      <c r="D100" s="87">
        <v>46065</v>
      </c>
      <c r="E100" s="124">
        <v>46266.347731481481</v>
      </c>
      <c r="F100" s="124">
        <v>46266.985196759262</v>
      </c>
      <c r="G100" s="124">
        <v>46267.351655092592</v>
      </c>
      <c r="H100" s="124">
        <v>46267.977106481485</v>
      </c>
      <c r="I100" s="124">
        <v>46268.355011574073</v>
      </c>
      <c r="J100" s="124">
        <v>46268.964884259258</v>
      </c>
      <c r="K100" s="124">
        <v>0</v>
      </c>
      <c r="L100" s="124">
        <v>46269.953680555554</v>
      </c>
      <c r="M100" s="180" t="s">
        <v>170</v>
      </c>
      <c r="N100" s="180" t="s">
        <v>170</v>
      </c>
      <c r="O100" s="124">
        <v>46271.345625000002</v>
      </c>
      <c r="P100" s="124">
        <v>46271.941736111112</v>
      </c>
      <c r="Q100" s="124">
        <v>46272.347858796296</v>
      </c>
      <c r="R100" s="124">
        <v>46272.941076388888</v>
      </c>
      <c r="S100" s="124">
        <v>46273.345011574071</v>
      </c>
      <c r="T100" s="124">
        <v>46273.940763888888</v>
      </c>
      <c r="U100" s="124">
        <v>46274.345243055555</v>
      </c>
      <c r="V100" s="124">
        <v>46274.944143518522</v>
      </c>
      <c r="W100" s="124">
        <v>46275.349745370368</v>
      </c>
      <c r="X100" s="124">
        <v>46275.95988425926</v>
      </c>
      <c r="Y100" s="124">
        <v>0</v>
      </c>
      <c r="Z100" s="124">
        <v>0</v>
      </c>
      <c r="AA100" s="124">
        <v>46277.346620370372</v>
      </c>
      <c r="AB100" s="124">
        <v>46277.959421296298</v>
      </c>
      <c r="AC100" s="124">
        <v>46278.346030092594</v>
      </c>
      <c r="AD100" s="124">
        <v>46278.943912037037</v>
      </c>
      <c r="AE100" s="124">
        <v>46279.345578703702</v>
      </c>
      <c r="AF100" s="124">
        <v>46279.944965277777</v>
      </c>
      <c r="AG100" s="124">
        <v>46280.345381944448</v>
      </c>
      <c r="AH100" s="124">
        <v>46280.939745370371</v>
      </c>
      <c r="AI100" s="110"/>
      <c r="AJ100" s="44">
        <v>82</v>
      </c>
      <c r="AK100" s="124">
        <v>46281.345347222225</v>
      </c>
      <c r="AL100" s="124">
        <v>46281.945567129631</v>
      </c>
      <c r="AM100" s="124">
        <v>46282.346817129626</v>
      </c>
      <c r="AN100" s="124">
        <v>46282.962685185186</v>
      </c>
      <c r="AO100" s="124">
        <v>46283.580613425926</v>
      </c>
      <c r="AP100" s="124">
        <v>0</v>
      </c>
      <c r="AQ100" s="124">
        <v>46284.344537037039</v>
      </c>
      <c r="AR100" s="124">
        <v>0</v>
      </c>
      <c r="AS100" s="124">
        <v>46285.344930555555</v>
      </c>
      <c r="AT100" s="124">
        <v>46285.959236111114</v>
      </c>
      <c r="AU100" s="124">
        <v>46286.34584490741</v>
      </c>
      <c r="AV100" s="124">
        <v>46286.959282407406</v>
      </c>
      <c r="AW100" s="124">
        <v>46287.346006944441</v>
      </c>
      <c r="AX100" s="124">
        <v>46287.951608796298</v>
      </c>
      <c r="AY100" s="124">
        <v>46288.346458333333</v>
      </c>
      <c r="AZ100" s="124">
        <v>46288.943425925929</v>
      </c>
      <c r="BA100" s="124">
        <v>46289.345937500002</v>
      </c>
      <c r="BB100" s="124">
        <v>46289.983171296299</v>
      </c>
      <c r="BC100" s="124">
        <v>46290.577569444446</v>
      </c>
      <c r="BD100" s="124">
        <v>46290.942997685182</v>
      </c>
      <c r="BE100" s="124">
        <v>46291.34652777778</v>
      </c>
      <c r="BF100" s="124">
        <v>0</v>
      </c>
      <c r="BG100" s="124">
        <v>46292.347407407404</v>
      </c>
      <c r="BH100" s="124">
        <v>46292.985162037039</v>
      </c>
      <c r="BI100" s="124">
        <v>46293.348043981481</v>
      </c>
      <c r="BJ100" s="124">
        <v>46293.940625000003</v>
      </c>
      <c r="BK100" s="124">
        <v>46294.348576388889</v>
      </c>
      <c r="BL100" s="124">
        <v>46294.942928240744</v>
      </c>
      <c r="BM100" s="124">
        <v>46295.34646990741</v>
      </c>
      <c r="BN100" s="124">
        <v>46295.943541666667</v>
      </c>
      <c r="BO100" s="152">
        <v>46265.346168981479</v>
      </c>
      <c r="BP100" s="152">
        <v>46265.941782407404</v>
      </c>
      <c r="BQ100" s="96">
        <f t="shared" si="52"/>
        <v>30</v>
      </c>
      <c r="BR100" s="67">
        <v>4</v>
      </c>
      <c r="BS100" s="1">
        <f t="shared" si="27"/>
        <v>29</v>
      </c>
      <c r="BT100" s="2">
        <f t="shared" si="53"/>
        <v>0</v>
      </c>
      <c r="BU100" s="2">
        <f t="shared" si="54"/>
        <v>0</v>
      </c>
      <c r="BV100" s="2">
        <f t="shared" si="55"/>
        <v>0</v>
      </c>
      <c r="BW100" s="2">
        <f t="shared" si="56"/>
        <v>0</v>
      </c>
      <c r="BX100" s="2">
        <f t="shared" si="57"/>
        <v>0</v>
      </c>
      <c r="BY100" s="2">
        <f t="shared" si="58"/>
        <v>0</v>
      </c>
      <c r="BZ100" s="2">
        <f t="shared" si="59"/>
        <v>1</v>
      </c>
      <c r="CA100" s="2">
        <f t="shared" si="60"/>
        <v>0</v>
      </c>
      <c r="CB100" s="2">
        <f t="shared" si="61"/>
        <v>0</v>
      </c>
      <c r="CC100" s="2">
        <f t="shared" si="62"/>
        <v>0</v>
      </c>
      <c r="CD100" s="2">
        <f t="shared" si="63"/>
        <v>0</v>
      </c>
      <c r="CE100" s="3"/>
      <c r="CG100" s="119">
        <v>0</v>
      </c>
      <c r="CH100" s="120">
        <v>0</v>
      </c>
      <c r="CI100" s="120">
        <v>0</v>
      </c>
      <c r="CJ100" s="120">
        <v>0</v>
      </c>
      <c r="CK100" s="120">
        <v>0</v>
      </c>
      <c r="CL100" s="120">
        <v>1</v>
      </c>
      <c r="CM100" s="120">
        <v>0</v>
      </c>
      <c r="CN100" s="120">
        <v>0</v>
      </c>
      <c r="CO100" s="120">
        <v>0</v>
      </c>
      <c r="CP100" s="120">
        <v>0</v>
      </c>
      <c r="CQ100" s="116">
        <f t="shared" si="64"/>
        <v>1</v>
      </c>
    </row>
    <row r="101" spans="1:95" ht="22.5" customHeight="1" x14ac:dyDescent="0.25">
      <c r="A101" s="44">
        <v>83</v>
      </c>
      <c r="B101" s="44" t="s">
        <v>219</v>
      </c>
      <c r="C101" s="79" t="s">
        <v>221</v>
      </c>
      <c r="D101" s="87">
        <v>46069</v>
      </c>
      <c r="E101" s="124">
        <v>46266.354270833333</v>
      </c>
      <c r="F101" s="124">
        <v>46266.967245370368</v>
      </c>
      <c r="G101" s="124">
        <v>46267.345636574071</v>
      </c>
      <c r="H101" s="124">
        <v>46267.979189814818</v>
      </c>
      <c r="I101" s="124">
        <v>46268.345752314817</v>
      </c>
      <c r="J101" s="124">
        <v>46268.94153935185</v>
      </c>
      <c r="K101" s="124">
        <v>46269.56355324074</v>
      </c>
      <c r="L101" s="124">
        <v>46269.947604166664</v>
      </c>
      <c r="M101" s="124">
        <v>46270.355381944442</v>
      </c>
      <c r="N101" s="124">
        <v>46270.941087962965</v>
      </c>
      <c r="O101" s="124">
        <v>46271.35361111111</v>
      </c>
      <c r="P101" s="124">
        <v>46271.92391203704</v>
      </c>
      <c r="Q101" s="124">
        <v>46272.354398148149</v>
      </c>
      <c r="R101" s="124">
        <v>46272.92114583333</v>
      </c>
      <c r="S101" s="124">
        <v>46273.35465277778</v>
      </c>
      <c r="T101" s="124">
        <v>46273.928715277776</v>
      </c>
      <c r="U101" s="124">
        <v>46274.353148148148</v>
      </c>
      <c r="V101" s="124">
        <v>46274.928854166668</v>
      </c>
      <c r="W101" s="124">
        <v>46275.355173611111</v>
      </c>
      <c r="X101" s="124">
        <v>46275.952187499999</v>
      </c>
      <c r="Y101" s="178" t="s">
        <v>15</v>
      </c>
      <c r="Z101" s="178" t="s">
        <v>15</v>
      </c>
      <c r="AA101" s="124">
        <v>46277.353935185187</v>
      </c>
      <c r="AB101" s="124">
        <v>46277.939837962964</v>
      </c>
      <c r="AC101" s="124">
        <v>46278.355497685188</v>
      </c>
      <c r="AD101" s="124">
        <v>46278.952708333331</v>
      </c>
      <c r="AE101" s="124">
        <v>46279.354803240742</v>
      </c>
      <c r="AF101" s="124">
        <v>46279.935370370367</v>
      </c>
      <c r="AG101" s="124">
        <v>46280.354872685188</v>
      </c>
      <c r="AH101" s="124">
        <v>46280.927418981482</v>
      </c>
      <c r="AI101" s="110"/>
      <c r="AJ101" s="44">
        <v>83</v>
      </c>
      <c r="AK101" s="124">
        <v>46281.352546296293</v>
      </c>
      <c r="AL101" s="124">
        <v>46281.939699074072</v>
      </c>
      <c r="AM101" s="124">
        <v>46282.353715277779</v>
      </c>
      <c r="AN101" s="124">
        <v>46282.952777777777</v>
      </c>
      <c r="AO101" s="124">
        <v>46283.562465277777</v>
      </c>
      <c r="AP101" s="124">
        <v>46283.948912037034</v>
      </c>
      <c r="AQ101" s="124">
        <v>46284.352569444447</v>
      </c>
      <c r="AR101" s="124">
        <v>46284.962083333332</v>
      </c>
      <c r="AS101" s="124">
        <v>46285.354027777779</v>
      </c>
      <c r="AT101" s="124">
        <v>46285.94090277778</v>
      </c>
      <c r="AU101" s="124">
        <v>46286.354525462964</v>
      </c>
      <c r="AV101" s="124">
        <v>46286.942256944443</v>
      </c>
      <c r="AW101" s="124">
        <v>46287.353067129632</v>
      </c>
      <c r="AX101" s="124">
        <v>46287.94604166667</v>
      </c>
      <c r="AY101" s="124">
        <v>46288.353333333333</v>
      </c>
      <c r="AZ101" s="124">
        <v>46288.952280092592</v>
      </c>
      <c r="BA101" s="124">
        <v>46289.353518518517</v>
      </c>
      <c r="BB101" s="124">
        <v>46289.969918981478</v>
      </c>
      <c r="BC101" s="228" t="s">
        <v>15</v>
      </c>
      <c r="BD101" s="228" t="s">
        <v>15</v>
      </c>
      <c r="BE101" s="124">
        <v>46291.353981481479</v>
      </c>
      <c r="BF101" s="124">
        <v>46291.964212962965</v>
      </c>
      <c r="BG101" s="124">
        <v>46292.353321759256</v>
      </c>
      <c r="BH101" s="124">
        <v>46292.954733796294</v>
      </c>
      <c r="BI101" s="124">
        <v>46293.353344907409</v>
      </c>
      <c r="BJ101" s="124">
        <v>46293.94258101852</v>
      </c>
      <c r="BK101" s="124">
        <v>46294.353541666664</v>
      </c>
      <c r="BL101" s="124">
        <v>46294.924618055556</v>
      </c>
      <c r="BM101" s="124">
        <v>46295.353900462964</v>
      </c>
      <c r="BN101" s="124">
        <v>46295.947974537034</v>
      </c>
      <c r="BO101" s="152">
        <v>46265.35465277778</v>
      </c>
      <c r="BP101" s="152">
        <v>46265.934872685182</v>
      </c>
      <c r="BQ101" s="96">
        <f t="shared" si="52"/>
        <v>30</v>
      </c>
      <c r="BR101" s="67">
        <v>2</v>
      </c>
      <c r="BS101" s="1">
        <f t="shared" si="27"/>
        <v>28</v>
      </c>
      <c r="BT101" s="2">
        <f t="shared" si="53"/>
        <v>2</v>
      </c>
      <c r="BU101" s="2">
        <f t="shared" si="54"/>
        <v>0</v>
      </c>
      <c r="BV101" s="2">
        <f t="shared" si="55"/>
        <v>0</v>
      </c>
      <c r="BW101" s="2">
        <f t="shared" si="56"/>
        <v>0</v>
      </c>
      <c r="BX101" s="2">
        <f t="shared" si="57"/>
        <v>0</v>
      </c>
      <c r="BY101" s="2">
        <f t="shared" si="58"/>
        <v>0</v>
      </c>
      <c r="BZ101" s="2">
        <f t="shared" si="59"/>
        <v>0</v>
      </c>
      <c r="CA101" s="2">
        <f t="shared" si="60"/>
        <v>0</v>
      </c>
      <c r="CB101" s="2">
        <f t="shared" si="61"/>
        <v>0</v>
      </c>
      <c r="CC101" s="2">
        <f t="shared" si="62"/>
        <v>0</v>
      </c>
      <c r="CD101" s="2">
        <f t="shared" si="63"/>
        <v>0</v>
      </c>
      <c r="CE101" s="3"/>
      <c r="CG101" s="54">
        <v>0</v>
      </c>
      <c r="CH101" s="53">
        <v>0</v>
      </c>
      <c r="CI101" s="53">
        <v>0</v>
      </c>
      <c r="CJ101" s="53">
        <v>0</v>
      </c>
      <c r="CK101" s="53">
        <v>0</v>
      </c>
      <c r="CL101" s="53">
        <v>0</v>
      </c>
      <c r="CM101" s="53">
        <v>0</v>
      </c>
      <c r="CN101" s="53">
        <v>0</v>
      </c>
      <c r="CO101" s="53">
        <v>0</v>
      </c>
      <c r="CP101" s="53">
        <v>0</v>
      </c>
      <c r="CQ101" s="117">
        <f t="shared" si="64"/>
        <v>0</v>
      </c>
    </row>
    <row r="102" spans="1:95" ht="22.5" customHeight="1" x14ac:dyDescent="0.25">
      <c r="A102" s="44">
        <v>84</v>
      </c>
      <c r="B102" s="44" t="s">
        <v>217</v>
      </c>
      <c r="C102" s="79" t="s">
        <v>222</v>
      </c>
      <c r="D102" s="87">
        <v>46068</v>
      </c>
      <c r="E102" s="124">
        <v>46266.344282407408</v>
      </c>
      <c r="F102" s="124">
        <v>46266.925115740742</v>
      </c>
      <c r="G102" s="124">
        <v>46267.351145833331</v>
      </c>
      <c r="H102" s="124">
        <v>46267.979305555556</v>
      </c>
      <c r="I102" s="124">
        <v>46268.350381944445</v>
      </c>
      <c r="J102" s="124">
        <v>46268.965520833335</v>
      </c>
      <c r="K102" s="178" t="s">
        <v>15</v>
      </c>
      <c r="L102" s="178" t="s">
        <v>15</v>
      </c>
      <c r="M102" s="124">
        <v>46270.345300925925</v>
      </c>
      <c r="N102" s="124">
        <v>46270.975821759261</v>
      </c>
      <c r="O102" s="124">
        <v>46271.345543981479</v>
      </c>
      <c r="P102" s="124">
        <v>46271.939699074072</v>
      </c>
      <c r="Q102" s="124">
        <v>46272.346817129626</v>
      </c>
      <c r="R102" s="124">
        <v>46272.938125000001</v>
      </c>
      <c r="S102" s="124">
        <v>46273.344918981478</v>
      </c>
      <c r="T102" s="124">
        <v>46273.959409722222</v>
      </c>
      <c r="U102" s="124">
        <v>46274.345833333333</v>
      </c>
      <c r="V102" s="124">
        <v>46274.959675925929</v>
      </c>
      <c r="W102" s="124">
        <v>46275.349259259259</v>
      </c>
      <c r="X102" s="124">
        <v>46275.980821759258</v>
      </c>
      <c r="Y102" s="124">
        <v>0</v>
      </c>
      <c r="Z102" s="124">
        <v>46276.95994212963</v>
      </c>
      <c r="AA102" s="124">
        <v>46277.344502314816</v>
      </c>
      <c r="AB102" s="124">
        <v>46277.982673611114</v>
      </c>
      <c r="AC102" s="124">
        <v>46278.344814814816</v>
      </c>
      <c r="AD102" s="124">
        <v>46278.959710648145</v>
      </c>
      <c r="AE102" s="124">
        <v>46279.343958333331</v>
      </c>
      <c r="AF102" s="124">
        <v>46279.958819444444</v>
      </c>
      <c r="AG102" s="124">
        <v>46280.345127314817</v>
      </c>
      <c r="AH102" s="124">
        <v>46280.933240740742</v>
      </c>
      <c r="AI102" s="110"/>
      <c r="AJ102" s="44">
        <v>84</v>
      </c>
      <c r="AK102" s="124">
        <v>46281.344884259262</v>
      </c>
      <c r="AL102" s="124">
        <v>46281.968657407408</v>
      </c>
      <c r="AM102" s="124">
        <v>46282.347731481481</v>
      </c>
      <c r="AN102" s="124">
        <v>46282.973553240743</v>
      </c>
      <c r="AO102" s="124">
        <v>0</v>
      </c>
      <c r="AP102" s="124">
        <v>46283.9221875</v>
      </c>
      <c r="AQ102" s="124">
        <v>46284.342916666668</v>
      </c>
      <c r="AR102" s="124">
        <v>46284.964166666665</v>
      </c>
      <c r="AS102" s="124">
        <v>46285.346400462964</v>
      </c>
      <c r="AT102" s="124">
        <v>46285.946377314816</v>
      </c>
      <c r="AU102" s="124">
        <v>46286.344768518517</v>
      </c>
      <c r="AV102" s="124">
        <v>46286.918483796297</v>
      </c>
      <c r="AW102" s="124">
        <v>46287.345925925925</v>
      </c>
      <c r="AX102" s="124">
        <v>46287.980983796297</v>
      </c>
      <c r="AY102" s="124">
        <v>46288.345231481479</v>
      </c>
      <c r="AZ102" s="124">
        <v>46288.952048611114</v>
      </c>
      <c r="BA102" s="124">
        <v>46289.345590277779</v>
      </c>
      <c r="BB102" s="124">
        <v>46289.94253472222</v>
      </c>
      <c r="BC102" s="228" t="s">
        <v>15</v>
      </c>
      <c r="BD102" s="228" t="s">
        <v>15</v>
      </c>
      <c r="BE102" s="124">
        <v>46291.346192129633</v>
      </c>
      <c r="BF102" s="124">
        <v>46291.955138888887</v>
      </c>
      <c r="BG102" s="124">
        <v>46292.345127314817</v>
      </c>
      <c r="BH102" s="124">
        <v>46292.926759259259</v>
      </c>
      <c r="BI102" s="124">
        <v>46293.343865740739</v>
      </c>
      <c r="BJ102" s="124">
        <v>46293.942974537036</v>
      </c>
      <c r="BK102" s="124">
        <v>46294.343668981484</v>
      </c>
      <c r="BL102" s="124">
        <v>46294.942974537036</v>
      </c>
      <c r="BM102" s="124">
        <v>46295.344351851854</v>
      </c>
      <c r="BN102" s="124">
        <v>46295.984201388892</v>
      </c>
      <c r="BO102" s="124">
        <v>46265.344085648147</v>
      </c>
      <c r="BP102" s="124">
        <v>0</v>
      </c>
      <c r="BQ102" s="96">
        <f t="shared" si="52"/>
        <v>30</v>
      </c>
      <c r="BR102" s="67">
        <v>2</v>
      </c>
      <c r="BS102" s="1">
        <f t="shared" ref="BS102:BS111" si="65">COUNT(E102:AH102)/2+COUNT(AK102:BN102)/2</f>
        <v>28</v>
      </c>
      <c r="BT102" s="2">
        <f t="shared" si="53"/>
        <v>2</v>
      </c>
      <c r="BU102" s="2">
        <f t="shared" si="54"/>
        <v>0</v>
      </c>
      <c r="BV102" s="2">
        <f t="shared" si="55"/>
        <v>0</v>
      </c>
      <c r="BW102" s="2">
        <f t="shared" si="56"/>
        <v>0</v>
      </c>
      <c r="BX102" s="2">
        <f t="shared" si="57"/>
        <v>0</v>
      </c>
      <c r="BY102" s="2">
        <f t="shared" si="58"/>
        <v>0</v>
      </c>
      <c r="BZ102" s="2">
        <f t="shared" si="59"/>
        <v>0</v>
      </c>
      <c r="CA102" s="2">
        <f t="shared" si="60"/>
        <v>0</v>
      </c>
      <c r="CB102" s="2">
        <f t="shared" si="61"/>
        <v>0</v>
      </c>
      <c r="CC102" s="2">
        <f t="shared" si="62"/>
        <v>0</v>
      </c>
      <c r="CD102" s="2">
        <f t="shared" si="63"/>
        <v>0</v>
      </c>
      <c r="CE102" s="3"/>
      <c r="CG102" s="119">
        <v>0</v>
      </c>
      <c r="CH102" s="120">
        <v>0</v>
      </c>
      <c r="CI102" s="120">
        <v>0</v>
      </c>
      <c r="CJ102" s="120">
        <v>0</v>
      </c>
      <c r="CK102" s="120">
        <v>0</v>
      </c>
      <c r="CL102" s="120">
        <v>0</v>
      </c>
      <c r="CM102" s="120">
        <v>0</v>
      </c>
      <c r="CN102" s="120">
        <v>0</v>
      </c>
      <c r="CO102" s="120">
        <v>0</v>
      </c>
      <c r="CP102" s="120">
        <v>0</v>
      </c>
      <c r="CQ102" s="116">
        <f t="shared" si="64"/>
        <v>0</v>
      </c>
    </row>
    <row r="103" spans="1:95" ht="22.5" customHeight="1" x14ac:dyDescent="0.25">
      <c r="A103" s="44">
        <v>85</v>
      </c>
      <c r="B103" s="44" t="s">
        <v>218</v>
      </c>
      <c r="C103" s="79" t="s">
        <v>223</v>
      </c>
      <c r="D103" s="87">
        <v>46069</v>
      </c>
      <c r="E103" s="124">
        <v>46266.350624999999</v>
      </c>
      <c r="F103" s="124">
        <v>46266.98128472222</v>
      </c>
      <c r="G103" s="124">
        <v>46267.350543981483</v>
      </c>
      <c r="H103" s="124">
        <v>46267.976122685184</v>
      </c>
      <c r="I103" s="124">
        <v>46268.351006944446</v>
      </c>
      <c r="J103" s="124">
        <v>46268.941087962965</v>
      </c>
      <c r="K103" s="124">
        <v>46269.580416666664</v>
      </c>
      <c r="L103" s="124">
        <v>46269.938310185185</v>
      </c>
      <c r="M103" s="124">
        <v>46270.351423611108</v>
      </c>
      <c r="N103" s="124">
        <v>46270.938969907409</v>
      </c>
      <c r="O103" s="124">
        <v>46271.351817129631</v>
      </c>
      <c r="P103" s="124">
        <v>46271.939780092594</v>
      </c>
      <c r="Q103" s="124">
        <v>46272.351539351854</v>
      </c>
      <c r="R103" s="124">
        <v>46272.938506944447</v>
      </c>
      <c r="S103" s="124">
        <v>46273.34957175926</v>
      </c>
      <c r="T103" s="124">
        <v>46273.939062500001</v>
      </c>
      <c r="U103" s="124">
        <v>46274.351030092592</v>
      </c>
      <c r="V103" s="124">
        <v>46274.941469907404</v>
      </c>
      <c r="W103" s="124">
        <v>46275.351319444446</v>
      </c>
      <c r="X103" s="124">
        <v>46275.939004629632</v>
      </c>
      <c r="Y103" s="178" t="s">
        <v>15</v>
      </c>
      <c r="Z103" s="178" t="s">
        <v>15</v>
      </c>
      <c r="AA103" s="124">
        <v>46277.353101851855</v>
      </c>
      <c r="AB103" s="124">
        <v>0</v>
      </c>
      <c r="AC103" s="124">
        <v>46278.345960648148</v>
      </c>
      <c r="AD103" s="124">
        <v>46278.942916666667</v>
      </c>
      <c r="AE103" s="124">
        <v>46279.34778935185</v>
      </c>
      <c r="AF103" s="124">
        <v>46279.939282407409</v>
      </c>
      <c r="AG103" s="124">
        <v>46280.346620370372</v>
      </c>
      <c r="AH103" s="124">
        <v>46280.931296296294</v>
      </c>
      <c r="AI103" s="110"/>
      <c r="AJ103" s="44">
        <v>85</v>
      </c>
      <c r="AK103" s="124">
        <v>46281.348969907405</v>
      </c>
      <c r="AL103" s="124">
        <v>46281.939652777779</v>
      </c>
      <c r="AM103" s="124">
        <v>46282.349444444444</v>
      </c>
      <c r="AN103" s="124">
        <v>46282.939155092594</v>
      </c>
      <c r="AO103" s="124">
        <v>46283.579571759263</v>
      </c>
      <c r="AP103" s="124">
        <v>0</v>
      </c>
      <c r="AQ103" s="124">
        <v>46284.350011574075</v>
      </c>
      <c r="AR103" s="124">
        <v>46284.969780092593</v>
      </c>
      <c r="AS103" s="124">
        <v>46285.342662037037</v>
      </c>
      <c r="AT103" s="124">
        <v>46285.954953703702</v>
      </c>
      <c r="AU103" s="124">
        <v>46286.351400462961</v>
      </c>
      <c r="AV103" s="124">
        <v>46286.949745370373</v>
      </c>
      <c r="AW103" s="124">
        <v>46287.350972222222</v>
      </c>
      <c r="AX103" s="124">
        <v>46287.939803240741</v>
      </c>
      <c r="AY103" s="124">
        <v>46288.350057870368</v>
      </c>
      <c r="AZ103" s="124">
        <v>46288.943078703705</v>
      </c>
      <c r="BA103" s="124">
        <v>46289.35050925926</v>
      </c>
      <c r="BB103" s="124">
        <v>46289.97797453704</v>
      </c>
      <c r="BC103" s="124">
        <v>46290.581423611111</v>
      </c>
      <c r="BD103" s="124">
        <v>46290.920543981483</v>
      </c>
      <c r="BE103" s="124">
        <v>46291.34951388889</v>
      </c>
      <c r="BF103" s="124">
        <v>46291.958865740744</v>
      </c>
      <c r="BG103" s="124">
        <v>46292.34952546296</v>
      </c>
      <c r="BH103" s="124">
        <v>46292.968831018516</v>
      </c>
      <c r="BI103" s="124">
        <v>46293.35056712963</v>
      </c>
      <c r="BJ103" s="124">
        <v>46293.939560185187</v>
      </c>
      <c r="BK103" s="124">
        <v>46294.350405092591</v>
      </c>
      <c r="BL103" s="124">
        <v>46294.93949074074</v>
      </c>
      <c r="BM103" s="124">
        <v>46295.350601851853</v>
      </c>
      <c r="BN103" s="124">
        <v>46295.938657407409</v>
      </c>
      <c r="BO103" s="152">
        <v>46265.349328703705</v>
      </c>
      <c r="BP103" s="152">
        <v>46265.937488425923</v>
      </c>
      <c r="BQ103" s="96">
        <f t="shared" si="52"/>
        <v>30</v>
      </c>
      <c r="BR103" s="67">
        <v>3</v>
      </c>
      <c r="BS103" s="1">
        <f t="shared" si="65"/>
        <v>29</v>
      </c>
      <c r="BT103" s="2">
        <f t="shared" si="53"/>
        <v>1</v>
      </c>
      <c r="BU103" s="2">
        <f t="shared" si="54"/>
        <v>0</v>
      </c>
      <c r="BV103" s="2">
        <f t="shared" si="55"/>
        <v>0</v>
      </c>
      <c r="BW103" s="2">
        <f t="shared" si="56"/>
        <v>0</v>
      </c>
      <c r="BX103" s="2">
        <f t="shared" si="57"/>
        <v>0</v>
      </c>
      <c r="BY103" s="2">
        <f t="shared" si="58"/>
        <v>0</v>
      </c>
      <c r="BZ103" s="2">
        <f t="shared" si="59"/>
        <v>0</v>
      </c>
      <c r="CA103" s="2">
        <f t="shared" si="60"/>
        <v>0</v>
      </c>
      <c r="CB103" s="2">
        <f t="shared" si="61"/>
        <v>0</v>
      </c>
      <c r="CC103" s="2">
        <f t="shared" si="62"/>
        <v>0</v>
      </c>
      <c r="CD103" s="2">
        <f t="shared" si="63"/>
        <v>0</v>
      </c>
      <c r="CE103" s="3"/>
      <c r="CG103" s="54">
        <v>0</v>
      </c>
      <c r="CH103" s="53">
        <v>0</v>
      </c>
      <c r="CI103" s="53">
        <v>0</v>
      </c>
      <c r="CJ103" s="53">
        <v>0</v>
      </c>
      <c r="CK103" s="53">
        <v>0</v>
      </c>
      <c r="CL103" s="53">
        <v>0</v>
      </c>
      <c r="CM103" s="53">
        <v>0</v>
      </c>
      <c r="CN103" s="53">
        <v>0</v>
      </c>
      <c r="CO103" s="53">
        <v>0</v>
      </c>
      <c r="CP103" s="53">
        <v>0</v>
      </c>
      <c r="CQ103" s="117">
        <f t="shared" si="64"/>
        <v>0</v>
      </c>
    </row>
    <row r="104" spans="1:95" ht="22.5" customHeight="1" x14ac:dyDescent="0.25">
      <c r="A104" s="44">
        <v>86</v>
      </c>
      <c r="B104" s="44" t="s">
        <v>237</v>
      </c>
      <c r="C104" s="79" t="s">
        <v>238</v>
      </c>
      <c r="D104" s="87">
        <v>46171</v>
      </c>
      <c r="E104" s="124">
        <v>46266.35359953704</v>
      </c>
      <c r="F104" s="124">
        <v>0</v>
      </c>
      <c r="G104" s="124">
        <v>0</v>
      </c>
      <c r="H104" s="157">
        <v>46267.975937499999</v>
      </c>
      <c r="I104" s="124">
        <v>0</v>
      </c>
      <c r="J104" s="157">
        <v>46268.958379629628</v>
      </c>
      <c r="K104" s="178" t="s">
        <v>15</v>
      </c>
      <c r="L104" s="178" t="s">
        <v>15</v>
      </c>
      <c r="M104" s="124">
        <v>46270.354837962965</v>
      </c>
      <c r="N104" s="124">
        <v>46270.958368055559</v>
      </c>
      <c r="O104" s="124">
        <v>46271.352592592593</v>
      </c>
      <c r="P104" s="124">
        <v>46271.941319444442</v>
      </c>
      <c r="Q104" s="124">
        <v>46272.352766203701</v>
      </c>
      <c r="R104" s="124">
        <v>46272.941006944442</v>
      </c>
      <c r="S104" s="124">
        <v>46273.348680555559</v>
      </c>
      <c r="T104" s="157">
        <v>46273.939942129633</v>
      </c>
      <c r="U104" s="124">
        <v>46274.351678240739</v>
      </c>
      <c r="V104" s="124">
        <v>46274.960127314815</v>
      </c>
      <c r="W104" s="124">
        <v>46275.347500000003</v>
      </c>
      <c r="X104" s="124">
        <v>46275.960277777776</v>
      </c>
      <c r="Y104" s="124">
        <v>46276.563379629632</v>
      </c>
      <c r="Z104" s="124">
        <v>46276.948900462965</v>
      </c>
      <c r="AA104" s="124">
        <v>46277.35328703704</v>
      </c>
      <c r="AB104" s="124">
        <v>46277.962048611109</v>
      </c>
      <c r="AC104" s="124">
        <v>46278.34957175926</v>
      </c>
      <c r="AD104" s="124">
        <v>46278.953113425923</v>
      </c>
      <c r="AE104" s="124">
        <v>46279.348020833335</v>
      </c>
      <c r="AF104" s="124">
        <v>46279.950960648152</v>
      </c>
      <c r="AG104" s="124">
        <v>46280.353321759256</v>
      </c>
      <c r="AH104" s="124">
        <v>46280.933287037034</v>
      </c>
      <c r="AI104" s="110"/>
      <c r="AJ104" s="44">
        <v>86</v>
      </c>
      <c r="AK104" s="124">
        <v>46281.351238425923</v>
      </c>
      <c r="AL104" s="124">
        <v>46281.958460648151</v>
      </c>
      <c r="AM104" s="131">
        <v>46282.350949074076</v>
      </c>
      <c r="AN104" s="124">
        <v>46282.963101851848</v>
      </c>
      <c r="AO104" s="228" t="s">
        <v>15</v>
      </c>
      <c r="AP104" s="228" t="s">
        <v>15</v>
      </c>
      <c r="AQ104" s="124">
        <v>46284.352789351855</v>
      </c>
      <c r="AR104" s="124">
        <v>46284.96056712963</v>
      </c>
      <c r="AS104" s="124">
        <v>46285.353634259256</v>
      </c>
      <c r="AT104" s="124">
        <v>46285.959930555553</v>
      </c>
      <c r="AU104" s="124">
        <v>46286.352858796294</v>
      </c>
      <c r="AV104" s="124">
        <v>46286.944907407407</v>
      </c>
      <c r="AW104" s="124">
        <v>46287.353900462964</v>
      </c>
      <c r="AX104" s="124">
        <v>46287.958379629628</v>
      </c>
      <c r="AY104" s="124">
        <v>46288.353530092594</v>
      </c>
      <c r="AZ104" s="124">
        <v>46288.957719907405</v>
      </c>
      <c r="BA104" s="124">
        <v>46289.353634259256</v>
      </c>
      <c r="BB104" s="124">
        <v>46289.973715277774</v>
      </c>
      <c r="BC104" s="124">
        <v>46290.563784722224</v>
      </c>
      <c r="BD104" s="124">
        <v>0</v>
      </c>
      <c r="BE104" s="124">
        <v>46291.354490740741</v>
      </c>
      <c r="BF104" s="124">
        <v>46291.945659722223</v>
      </c>
      <c r="BG104" s="124">
        <v>46292.3518287037</v>
      </c>
      <c r="BH104" s="124">
        <v>46292.958877314813</v>
      </c>
      <c r="BI104" s="124">
        <v>46293.351331018515</v>
      </c>
      <c r="BJ104" s="124">
        <v>46293.937939814816</v>
      </c>
      <c r="BK104" s="124">
        <v>46294.352500000001</v>
      </c>
      <c r="BL104" s="124">
        <v>46294.939606481479</v>
      </c>
      <c r="BM104" s="124">
        <v>46295.352465277778</v>
      </c>
      <c r="BN104" s="124">
        <v>46295.960046296299</v>
      </c>
      <c r="BO104" s="152">
        <v>46265.353009259263</v>
      </c>
      <c r="BP104" s="152">
        <v>46265.941099537034</v>
      </c>
      <c r="BQ104" s="96">
        <f t="shared" si="52"/>
        <v>30</v>
      </c>
      <c r="BR104" s="67">
        <v>2</v>
      </c>
      <c r="BS104" s="1">
        <f t="shared" si="65"/>
        <v>28</v>
      </c>
      <c r="BT104" s="2">
        <f t="shared" si="53"/>
        <v>2</v>
      </c>
      <c r="BU104" s="2">
        <f t="shared" si="54"/>
        <v>0</v>
      </c>
      <c r="BV104" s="2">
        <f t="shared" si="55"/>
        <v>0</v>
      </c>
      <c r="BW104" s="2">
        <f t="shared" si="56"/>
        <v>0</v>
      </c>
      <c r="BX104" s="2">
        <f t="shared" si="57"/>
        <v>0</v>
      </c>
      <c r="BY104" s="2">
        <f t="shared" si="58"/>
        <v>0</v>
      </c>
      <c r="BZ104" s="2">
        <f t="shared" si="59"/>
        <v>0</v>
      </c>
      <c r="CA104" s="2">
        <f t="shared" si="60"/>
        <v>0</v>
      </c>
      <c r="CB104" s="2">
        <f t="shared" si="61"/>
        <v>0</v>
      </c>
      <c r="CC104" s="2">
        <f t="shared" si="62"/>
        <v>0</v>
      </c>
      <c r="CD104" s="2">
        <f t="shared" si="63"/>
        <v>0</v>
      </c>
      <c r="CE104" s="3"/>
      <c r="CG104" s="113">
        <v>0</v>
      </c>
      <c r="CH104" s="114">
        <v>0</v>
      </c>
      <c r="CI104" s="114">
        <v>0</v>
      </c>
      <c r="CJ104" s="114">
        <v>0</v>
      </c>
      <c r="CK104" s="114">
        <v>0</v>
      </c>
      <c r="CL104" s="114">
        <v>0</v>
      </c>
      <c r="CM104" s="114">
        <v>0</v>
      </c>
      <c r="CN104" s="114">
        <v>0</v>
      </c>
      <c r="CO104" s="114">
        <v>0</v>
      </c>
      <c r="CP104" s="114">
        <v>0</v>
      </c>
      <c r="CQ104" s="116">
        <f t="shared" si="64"/>
        <v>0</v>
      </c>
    </row>
    <row r="105" spans="1:95" s="154" customFormat="1" ht="21" customHeight="1" x14ac:dyDescent="0.25">
      <c r="A105" s="44">
        <v>87</v>
      </c>
      <c r="B105" s="44" t="s">
        <v>249</v>
      </c>
      <c r="C105" s="153" t="s">
        <v>250</v>
      </c>
      <c r="D105" s="87">
        <v>46223</v>
      </c>
      <c r="E105" s="124">
        <v>46266.343715277777</v>
      </c>
      <c r="F105" s="124">
        <v>46266.956585648149</v>
      </c>
      <c r="G105" s="124">
        <v>46267.341134259259</v>
      </c>
      <c r="H105" s="124">
        <v>46267.973437499997</v>
      </c>
      <c r="I105" s="124">
        <v>46268.352916666663</v>
      </c>
      <c r="J105" s="124">
        <v>46268.977939814817</v>
      </c>
      <c r="K105" s="178" t="s">
        <v>15</v>
      </c>
      <c r="L105" s="178" t="s">
        <v>15</v>
      </c>
      <c r="M105" s="124">
        <v>46270.347488425927</v>
      </c>
      <c r="N105" s="124">
        <v>46270.963495370372</v>
      </c>
      <c r="O105" s="124">
        <v>46271.341446759259</v>
      </c>
      <c r="P105" s="124">
        <v>46271.961400462962</v>
      </c>
      <c r="Q105" s="124">
        <v>46272.345567129632</v>
      </c>
      <c r="R105" s="124">
        <v>46272.953449074077</v>
      </c>
      <c r="S105" s="124">
        <v>46273.345231481479</v>
      </c>
      <c r="T105" s="124">
        <v>46273.97519675926</v>
      </c>
      <c r="U105" s="124">
        <v>46274.34652777778</v>
      </c>
      <c r="V105" s="124">
        <v>46274.953298611108</v>
      </c>
      <c r="W105" s="124">
        <v>46275.34646990741</v>
      </c>
      <c r="X105" s="124">
        <v>46275.975092592591</v>
      </c>
      <c r="Y105" s="124">
        <v>46276.577766203707</v>
      </c>
      <c r="Z105" s="124">
        <v>46276.924432870372</v>
      </c>
      <c r="AA105" s="124">
        <v>46277.344710648147</v>
      </c>
      <c r="AB105" s="124">
        <v>46277.943136574075</v>
      </c>
      <c r="AC105" s="124">
        <v>46278.347511574073</v>
      </c>
      <c r="AD105" s="124">
        <v>46278.93378472222</v>
      </c>
      <c r="AE105" s="124">
        <v>46279.347962962966</v>
      </c>
      <c r="AF105" s="124">
        <v>46279.962337962963</v>
      </c>
      <c r="AG105" s="124">
        <v>46280.34883101852</v>
      </c>
      <c r="AH105" s="124">
        <v>46280.963391203702</v>
      </c>
      <c r="AI105" s="155"/>
      <c r="AJ105" s="44">
        <v>87</v>
      </c>
      <c r="AK105" s="124">
        <v>46281.348321759258</v>
      </c>
      <c r="AL105" s="124">
        <v>46281.961840277778</v>
      </c>
      <c r="AM105" s="131">
        <v>46282.348680555559</v>
      </c>
      <c r="AN105" s="124">
        <v>46282.980706018519</v>
      </c>
      <c r="AO105" s="228" t="s">
        <v>15</v>
      </c>
      <c r="AP105" s="228" t="s">
        <v>15</v>
      </c>
      <c r="AQ105" s="124">
        <v>46284.347291666665</v>
      </c>
      <c r="AR105" s="124">
        <v>46284.968055555553</v>
      </c>
      <c r="AS105" s="124">
        <v>46285.345856481479</v>
      </c>
      <c r="AT105" s="124">
        <v>46285.957106481481</v>
      </c>
      <c r="AU105" s="124">
        <v>46286.345625000002</v>
      </c>
      <c r="AV105" s="124">
        <v>46286.960405092592</v>
      </c>
      <c r="AW105" s="124">
        <v>46287.348599537036</v>
      </c>
      <c r="AX105" s="124">
        <v>46287.968854166669</v>
      </c>
      <c r="AY105" s="124">
        <v>46288.343194444446</v>
      </c>
      <c r="AZ105" s="124">
        <v>46288.957627314812</v>
      </c>
      <c r="BA105" s="124">
        <v>46289.341180555559</v>
      </c>
      <c r="BB105" s="124">
        <v>46289.966064814813</v>
      </c>
      <c r="BC105" s="228" t="s">
        <v>15</v>
      </c>
      <c r="BD105" s="228" t="s">
        <v>15</v>
      </c>
      <c r="BE105" s="124">
        <v>46291.34878472222</v>
      </c>
      <c r="BF105" s="124">
        <v>46291.971354166664</v>
      </c>
      <c r="BG105" s="124">
        <v>46292.349050925928</v>
      </c>
      <c r="BH105" s="124">
        <v>46292.954594907409</v>
      </c>
      <c r="BI105" s="124">
        <v>46293.347592592596</v>
      </c>
      <c r="BJ105" s="124">
        <v>46293.961435185185</v>
      </c>
      <c r="BK105" s="124">
        <v>46294.348298611112</v>
      </c>
      <c r="BL105" s="124">
        <v>46294.961284722223</v>
      </c>
      <c r="BM105" s="124">
        <v>46295.350752314815</v>
      </c>
      <c r="BN105" s="124">
        <v>46295.971307870372</v>
      </c>
      <c r="BO105" s="124">
        <v>46265.347951388889</v>
      </c>
      <c r="BP105" s="124">
        <v>46265.945219907408</v>
      </c>
      <c r="BQ105" s="96">
        <f t="shared" ref="BQ105:BQ111" si="66">BS105+BT105+BV105+CA105+BY105+BZ105+CD105+BU105</f>
        <v>30</v>
      </c>
      <c r="BR105" s="67">
        <v>1</v>
      </c>
      <c r="BS105" s="1">
        <f t="shared" si="65"/>
        <v>27</v>
      </c>
      <c r="BT105" s="2">
        <f t="shared" ref="BT105:BT111" si="67">COUNTIF(E105:BN105,"OFF")/2</f>
        <v>3</v>
      </c>
      <c r="BU105" s="2">
        <f t="shared" ref="BU105:BU111" si="68">COUNTIF(E105:BN105,"MC")/2</f>
        <v>0</v>
      </c>
      <c r="BV105" s="2">
        <f t="shared" ref="BV105:BV111" si="69">COUNTIF(E105:BN105,"EL")/2</f>
        <v>0</v>
      </c>
      <c r="BW105" s="2">
        <f t="shared" ref="BW105:BW111" si="70">COUNTIF(E105:BN105,"AL")/2</f>
        <v>0</v>
      </c>
      <c r="BX105" s="2">
        <f t="shared" ref="BX105:BX111" si="71">COUNTIF(E105:BN105,"SUS")/2</f>
        <v>0</v>
      </c>
      <c r="BY105" s="2">
        <f t="shared" ref="BY105:BY111" si="72">COUNTIF(E105:BN105,"FL")/2</f>
        <v>0</v>
      </c>
      <c r="BZ105" s="2">
        <f t="shared" ref="BZ105:BZ111" si="73">COUNTIF(E105:BN105,"SICK")/2</f>
        <v>0</v>
      </c>
      <c r="CA105" s="2">
        <f t="shared" ref="CA105:CA111" si="74">COUNTIF(E105:BN105,"HD")/2</f>
        <v>0</v>
      </c>
      <c r="CB105" s="2">
        <f t="shared" ref="CB105:CB111" si="75">COUNTIF(E105:BN105,"AB")/2</f>
        <v>0</v>
      </c>
      <c r="CC105" s="2">
        <f t="shared" ref="CC105:CC111" si="76">COUNTIF(E105:BN105,"NL")/2</f>
        <v>0</v>
      </c>
      <c r="CD105" s="2">
        <f t="shared" ref="CD105:CD111" si="77">COUNTIF(E105:BN105,"SP")/2</f>
        <v>0</v>
      </c>
      <c r="CE105" s="3"/>
    </row>
    <row r="106" spans="1:95" s="154" customFormat="1" ht="21" customHeight="1" x14ac:dyDescent="0.25">
      <c r="A106" s="44">
        <v>88</v>
      </c>
      <c r="B106" s="44" t="s">
        <v>256</v>
      </c>
      <c r="C106" s="153" t="s">
        <v>251</v>
      </c>
      <c r="D106" s="87">
        <v>46233</v>
      </c>
      <c r="E106" s="124">
        <v>46266.354641203703</v>
      </c>
      <c r="F106" s="124">
        <v>46266.955601851849</v>
      </c>
      <c r="G106" s="124">
        <v>46267.354525462964</v>
      </c>
      <c r="H106" s="124">
        <v>46267.977037037039</v>
      </c>
      <c r="I106" s="124">
        <v>46268.351712962962</v>
      </c>
      <c r="J106" s="124">
        <v>46268.972569444442</v>
      </c>
      <c r="K106" s="124">
        <v>46269.582071759258</v>
      </c>
      <c r="L106" s="175">
        <v>46269.956458333334</v>
      </c>
      <c r="M106" s="124">
        <v>46270.353460648148</v>
      </c>
      <c r="N106" s="124">
        <v>46270.9687037037</v>
      </c>
      <c r="O106" s="124">
        <v>46271.354166666664</v>
      </c>
      <c r="P106" s="124">
        <v>46271.954212962963</v>
      </c>
      <c r="Q106" s="124">
        <v>46272.354224537034</v>
      </c>
      <c r="R106" s="124">
        <v>46272.955208333333</v>
      </c>
      <c r="S106" s="124">
        <v>46273.354131944441</v>
      </c>
      <c r="T106" s="124">
        <v>46273.952349537038</v>
      </c>
      <c r="U106" s="124">
        <v>46274.35392361111</v>
      </c>
      <c r="V106" s="124">
        <v>46274.950046296297</v>
      </c>
      <c r="W106" s="124">
        <v>46275.354351851849</v>
      </c>
      <c r="X106" s="124">
        <v>46275.976770833331</v>
      </c>
      <c r="Y106" s="178" t="s">
        <v>15</v>
      </c>
      <c r="Z106" s="178" t="s">
        <v>15</v>
      </c>
      <c r="AA106" s="124">
        <v>46277.354456018518</v>
      </c>
      <c r="AB106" s="124">
        <v>46277.982303240744</v>
      </c>
      <c r="AC106" s="124">
        <v>46278.354085648149</v>
      </c>
      <c r="AD106" s="124">
        <v>46278.951504629629</v>
      </c>
      <c r="AE106" s="124">
        <v>46279.354212962964</v>
      </c>
      <c r="AF106" s="124">
        <v>46279.953622685185</v>
      </c>
      <c r="AG106" s="124">
        <v>46280.354016203702</v>
      </c>
      <c r="AH106" s="124">
        <v>46280.950138888889</v>
      </c>
      <c r="AI106" s="155"/>
      <c r="AJ106" s="44">
        <v>88</v>
      </c>
      <c r="AK106" s="124">
        <v>46281.354375000003</v>
      </c>
      <c r="AL106" s="124">
        <v>46281.949907407405</v>
      </c>
      <c r="AM106" s="131">
        <v>46282.354050925926</v>
      </c>
      <c r="AN106" s="124">
        <v>46282.970567129632</v>
      </c>
      <c r="AO106" s="124">
        <v>46283.58222222222</v>
      </c>
      <c r="AP106" s="124">
        <v>46283.957337962966</v>
      </c>
      <c r="AQ106" s="124">
        <v>46284.352696759262</v>
      </c>
      <c r="AR106" s="124">
        <v>46284.968969907408</v>
      </c>
      <c r="AS106" s="124">
        <v>46285.353796296295</v>
      </c>
      <c r="AT106" s="124">
        <v>46285.950787037036</v>
      </c>
      <c r="AU106" s="124">
        <v>46286.353981481479</v>
      </c>
      <c r="AV106" s="124">
        <v>46286.951342592591</v>
      </c>
      <c r="AW106" s="124">
        <v>46287.354212962964</v>
      </c>
      <c r="AX106" s="124">
        <v>46287.950960648152</v>
      </c>
      <c r="AY106" s="124">
        <v>46288.354247685187</v>
      </c>
      <c r="AZ106" s="124">
        <v>46288.952199074076</v>
      </c>
      <c r="BA106" s="124">
        <v>46289.354155092595</v>
      </c>
      <c r="BB106" s="124">
        <v>46289.97760416667</v>
      </c>
      <c r="BC106" s="228" t="s">
        <v>15</v>
      </c>
      <c r="BD106" s="228" t="s">
        <v>15</v>
      </c>
      <c r="BE106" s="124">
        <v>46291.353750000002</v>
      </c>
      <c r="BF106" s="124">
        <v>46291.972245370373</v>
      </c>
      <c r="BG106" s="124">
        <v>46292.354108796295</v>
      </c>
      <c r="BH106" s="124">
        <v>0</v>
      </c>
      <c r="BI106" s="124">
        <v>46293.354085648149</v>
      </c>
      <c r="BJ106" s="124">
        <v>46293.955891203703</v>
      </c>
      <c r="BK106" s="124">
        <v>46294.354305555556</v>
      </c>
      <c r="BL106" s="124">
        <v>46294.950787037036</v>
      </c>
      <c r="BM106" s="124">
        <v>46295.35423611111</v>
      </c>
      <c r="BN106" s="124">
        <v>46295.957071759258</v>
      </c>
      <c r="BO106" s="124">
        <v>46265.353518518517</v>
      </c>
      <c r="BP106" s="124">
        <v>46265.950983796298</v>
      </c>
      <c r="BQ106" s="96">
        <f t="shared" si="66"/>
        <v>30</v>
      </c>
      <c r="BR106" s="67">
        <v>2</v>
      </c>
      <c r="BS106" s="1">
        <f t="shared" si="65"/>
        <v>28</v>
      </c>
      <c r="BT106" s="2">
        <f t="shared" si="67"/>
        <v>2</v>
      </c>
      <c r="BU106" s="2">
        <f t="shared" si="68"/>
        <v>0</v>
      </c>
      <c r="BV106" s="2">
        <f t="shared" si="69"/>
        <v>0</v>
      </c>
      <c r="BW106" s="2">
        <f t="shared" si="70"/>
        <v>0</v>
      </c>
      <c r="BX106" s="2">
        <f t="shared" si="71"/>
        <v>0</v>
      </c>
      <c r="BY106" s="2">
        <f t="shared" si="72"/>
        <v>0</v>
      </c>
      <c r="BZ106" s="2">
        <f t="shared" si="73"/>
        <v>0</v>
      </c>
      <c r="CA106" s="2">
        <f t="shared" si="74"/>
        <v>0</v>
      </c>
      <c r="CB106" s="2">
        <f t="shared" si="75"/>
        <v>0</v>
      </c>
      <c r="CC106" s="2">
        <f t="shared" si="76"/>
        <v>0</v>
      </c>
      <c r="CD106" s="2">
        <f t="shared" si="77"/>
        <v>0</v>
      </c>
      <c r="CE106" s="3"/>
    </row>
    <row r="107" spans="1:95" s="154" customFormat="1" ht="21" customHeight="1" x14ac:dyDescent="0.25">
      <c r="A107" s="44">
        <v>89</v>
      </c>
      <c r="B107" s="44" t="s">
        <v>252</v>
      </c>
      <c r="C107" s="153" t="s">
        <v>253</v>
      </c>
      <c r="D107" s="87">
        <v>46237</v>
      </c>
      <c r="E107" s="124">
        <v>46266.35015046296</v>
      </c>
      <c r="F107" s="124">
        <v>46266.951585648145</v>
      </c>
      <c r="G107" s="124">
        <v>46267.351504629631</v>
      </c>
      <c r="H107" s="124">
        <v>46267.977210648147</v>
      </c>
      <c r="I107" s="124">
        <v>46268.352627314816</v>
      </c>
      <c r="J107" s="124">
        <v>46268.972604166665</v>
      </c>
      <c r="K107" s="178" t="s">
        <v>15</v>
      </c>
      <c r="L107" s="178" t="s">
        <v>15</v>
      </c>
      <c r="M107" s="124">
        <v>46270.35224537037</v>
      </c>
      <c r="N107" s="124">
        <v>46270.969710648147</v>
      </c>
      <c r="O107" s="124">
        <v>46271.35229166667</v>
      </c>
      <c r="P107" s="124">
        <v>46271.953784722224</v>
      </c>
      <c r="Q107" s="124">
        <v>46272.351724537039</v>
      </c>
      <c r="R107" s="124">
        <v>46272.960115740738</v>
      </c>
      <c r="S107" s="124">
        <v>0</v>
      </c>
      <c r="T107" s="124">
        <v>46273.954340277778</v>
      </c>
      <c r="U107" s="124">
        <v>46274.349027777775</v>
      </c>
      <c r="V107" s="124">
        <v>46274.947824074072</v>
      </c>
      <c r="W107" s="124">
        <v>46275.354768518519</v>
      </c>
      <c r="X107" s="124">
        <v>46275.969074074077</v>
      </c>
      <c r="Y107" s="124">
        <v>46276.578831018516</v>
      </c>
      <c r="Z107" s="124">
        <v>46276.951701388891</v>
      </c>
      <c r="AA107" s="157">
        <v>46277.351724537039</v>
      </c>
      <c r="AB107" s="124">
        <v>46277.961898148147</v>
      </c>
      <c r="AC107" s="124">
        <v>46278.350266203706</v>
      </c>
      <c r="AD107" s="124">
        <v>46278.948969907404</v>
      </c>
      <c r="AE107" s="124">
        <v>46279.351875</v>
      </c>
      <c r="AF107" s="124">
        <v>46279.952800925923</v>
      </c>
      <c r="AG107" s="124">
        <v>46280.349270833336</v>
      </c>
      <c r="AH107" s="124">
        <v>46280.94972222222</v>
      </c>
      <c r="AI107" s="155"/>
      <c r="AJ107" s="44">
        <v>89</v>
      </c>
      <c r="AK107" s="124">
        <v>46281.352164351854</v>
      </c>
      <c r="AL107" s="124">
        <v>46281.950046296297</v>
      </c>
      <c r="AM107" s="124">
        <v>46282.352048611108</v>
      </c>
      <c r="AN107" s="124">
        <v>46282.97042824074</v>
      </c>
      <c r="AO107" s="228" t="s">
        <v>15</v>
      </c>
      <c r="AP107" s="228" t="s">
        <v>15</v>
      </c>
      <c r="AQ107" s="124">
        <v>46284.350787037038</v>
      </c>
      <c r="AR107" s="124">
        <v>46284.969675925924</v>
      </c>
      <c r="AS107" s="124">
        <v>46285.350266203706</v>
      </c>
      <c r="AT107" s="124">
        <v>46285.950185185182</v>
      </c>
      <c r="AU107" s="124">
        <v>46286.351886574077</v>
      </c>
      <c r="AV107" s="124">
        <v>46286.951412037037</v>
      </c>
      <c r="AW107" s="124">
        <v>46287.351145833331</v>
      </c>
      <c r="AX107" s="124">
        <v>46287.950011574074</v>
      </c>
      <c r="AY107" s="124">
        <v>46288.351863425924</v>
      </c>
      <c r="AZ107" s="124">
        <v>46288.952372685184</v>
      </c>
      <c r="BA107" s="124">
        <v>46289.351215277777</v>
      </c>
      <c r="BB107" s="124">
        <v>46289.973738425928</v>
      </c>
      <c r="BC107" s="124">
        <v>46290.579907407409</v>
      </c>
      <c r="BD107" s="124">
        <v>46290.953784722224</v>
      </c>
      <c r="BE107" s="124">
        <v>46291.351076388892</v>
      </c>
      <c r="BF107" s="124">
        <v>46291.972048611111</v>
      </c>
      <c r="BG107" s="124">
        <v>46292.351469907408</v>
      </c>
      <c r="BH107" s="124">
        <v>0</v>
      </c>
      <c r="BI107" s="124">
        <v>46293.351377314815</v>
      </c>
      <c r="BJ107" s="124">
        <v>46293.95648148148</v>
      </c>
      <c r="BK107" s="124">
        <v>46294.351585648146</v>
      </c>
      <c r="BL107" s="124">
        <v>46294.950925925928</v>
      </c>
      <c r="BM107" s="124">
        <v>46295.352013888885</v>
      </c>
      <c r="BN107" s="124">
        <v>46295.956979166665</v>
      </c>
      <c r="BO107" s="124">
        <v>46265.34883101852</v>
      </c>
      <c r="BP107" s="124">
        <v>46265.951111111113</v>
      </c>
      <c r="BQ107" s="96">
        <f t="shared" si="66"/>
        <v>30</v>
      </c>
      <c r="BR107" s="67">
        <v>2</v>
      </c>
      <c r="BS107" s="1">
        <f t="shared" si="65"/>
        <v>28</v>
      </c>
      <c r="BT107" s="2">
        <f t="shared" si="67"/>
        <v>2</v>
      </c>
      <c r="BU107" s="2">
        <f t="shared" si="68"/>
        <v>0</v>
      </c>
      <c r="BV107" s="2">
        <f t="shared" si="69"/>
        <v>0</v>
      </c>
      <c r="BW107" s="2">
        <f t="shared" si="70"/>
        <v>0</v>
      </c>
      <c r="BX107" s="2">
        <f t="shared" si="71"/>
        <v>0</v>
      </c>
      <c r="BY107" s="2">
        <f t="shared" si="72"/>
        <v>0</v>
      </c>
      <c r="BZ107" s="2">
        <f t="shared" si="73"/>
        <v>0</v>
      </c>
      <c r="CA107" s="2">
        <f t="shared" si="74"/>
        <v>0</v>
      </c>
      <c r="CB107" s="2">
        <f t="shared" si="75"/>
        <v>0</v>
      </c>
      <c r="CC107" s="2">
        <f t="shared" si="76"/>
        <v>0</v>
      </c>
      <c r="CD107" s="2">
        <f t="shared" si="77"/>
        <v>0</v>
      </c>
      <c r="CE107" s="3"/>
    </row>
    <row r="108" spans="1:95" s="154" customFormat="1" ht="21" customHeight="1" x14ac:dyDescent="0.25">
      <c r="A108" s="44">
        <v>90</v>
      </c>
      <c r="B108" s="44" t="s">
        <v>254</v>
      </c>
      <c r="C108" s="153" t="s">
        <v>255</v>
      </c>
      <c r="D108" s="87">
        <v>46241</v>
      </c>
      <c r="E108" s="124">
        <v>46266.351655092592</v>
      </c>
      <c r="F108" s="124">
        <v>46266.95140046296</v>
      </c>
      <c r="G108" s="124">
        <v>46267.352037037039</v>
      </c>
      <c r="H108" s="124">
        <v>46267.978252314817</v>
      </c>
      <c r="I108" s="124">
        <v>46268.349687499998</v>
      </c>
      <c r="J108" s="124">
        <v>46268.965682870374</v>
      </c>
      <c r="K108" s="124">
        <v>46269.581296296295</v>
      </c>
      <c r="L108" s="124">
        <v>46269.994386574072</v>
      </c>
      <c r="M108" s="124">
        <v>46270.352094907408</v>
      </c>
      <c r="N108" s="124">
        <v>46270.975578703707</v>
      </c>
      <c r="O108" s="124">
        <v>46271.352384259262</v>
      </c>
      <c r="P108" s="124">
        <v>46271.940671296295</v>
      </c>
      <c r="Q108" s="124">
        <v>46272.352060185185</v>
      </c>
      <c r="R108" s="124">
        <v>46272.937673611108</v>
      </c>
      <c r="S108" s="124">
        <v>46273.352060185185</v>
      </c>
      <c r="T108" s="124">
        <v>46273.957268518519</v>
      </c>
      <c r="U108" s="124">
        <v>46274.347650462965</v>
      </c>
      <c r="V108" s="124">
        <v>46274.959456018521</v>
      </c>
      <c r="W108" s="124">
        <v>46275.349803240744</v>
      </c>
      <c r="X108" s="124">
        <v>46275.981493055559</v>
      </c>
      <c r="Y108" s="178" t="s">
        <v>15</v>
      </c>
      <c r="Z108" s="178" t="s">
        <v>15</v>
      </c>
      <c r="AA108" s="124">
        <v>46277.350752314815</v>
      </c>
      <c r="AB108" s="124">
        <v>46277.981678240743</v>
      </c>
      <c r="AC108" s="124">
        <v>46278.351851851854</v>
      </c>
      <c r="AD108" s="124">
        <v>46278.958437499998</v>
      </c>
      <c r="AE108" s="124">
        <v>46279.351377314815</v>
      </c>
      <c r="AF108" s="124">
        <v>46279.946574074071</v>
      </c>
      <c r="AG108" s="124">
        <v>46280.350671296299</v>
      </c>
      <c r="AH108" s="124">
        <v>46280.930011574077</v>
      </c>
      <c r="AI108" s="155"/>
      <c r="AJ108" s="44">
        <v>90</v>
      </c>
      <c r="AK108" s="124">
        <v>46281.350219907406</v>
      </c>
      <c r="AL108" s="124">
        <v>46281.968946759262</v>
      </c>
      <c r="AM108" s="124">
        <v>46282.350659722222</v>
      </c>
      <c r="AN108" s="124">
        <v>46282.97210648148</v>
      </c>
      <c r="AO108" s="124">
        <v>46283.58084490741</v>
      </c>
      <c r="AP108" s="124">
        <v>46283.932337962964</v>
      </c>
      <c r="AQ108" s="124">
        <v>46284.351481481484</v>
      </c>
      <c r="AR108" s="124">
        <v>46284.969398148147</v>
      </c>
      <c r="AS108" s="124">
        <v>46285.351087962961</v>
      </c>
      <c r="AT108" s="124">
        <v>46285.958587962959</v>
      </c>
      <c r="AU108" s="124">
        <v>46286.349560185183</v>
      </c>
      <c r="AV108" s="124">
        <v>46286.950057870374</v>
      </c>
      <c r="AW108" s="124">
        <v>46287.350601851853</v>
      </c>
      <c r="AX108" s="124">
        <v>46287.980706018519</v>
      </c>
      <c r="AY108" s="124">
        <v>46288.350706018522</v>
      </c>
      <c r="AZ108" s="124">
        <v>46288.95107638889</v>
      </c>
      <c r="BA108" s="124">
        <v>46289.351701388892</v>
      </c>
      <c r="BB108" s="124">
        <v>46289.958877314813</v>
      </c>
      <c r="BC108" s="228" t="s">
        <v>15</v>
      </c>
      <c r="BD108" s="228" t="s">
        <v>15</v>
      </c>
      <c r="BE108" s="124">
        <v>46291.35050925926</v>
      </c>
      <c r="BF108" s="124">
        <v>46291.958796296298</v>
      </c>
      <c r="BG108" s="124">
        <v>46292.350590277776</v>
      </c>
      <c r="BH108" s="124">
        <v>46292.969375000001</v>
      </c>
      <c r="BI108" s="124">
        <v>46293.350636574076</v>
      </c>
      <c r="BJ108" s="124">
        <v>46293.94021990741</v>
      </c>
      <c r="BK108" s="124">
        <v>46294.350868055553</v>
      </c>
      <c r="BL108" s="124">
        <v>46294.940162037034</v>
      </c>
      <c r="BM108" s="124">
        <v>46295.35087962963</v>
      </c>
      <c r="BN108" s="124">
        <v>46295.95952546296</v>
      </c>
      <c r="BO108" s="124">
        <v>46265.350949074076</v>
      </c>
      <c r="BP108" s="124">
        <v>46265.941400462965</v>
      </c>
      <c r="BQ108" s="96">
        <f t="shared" si="66"/>
        <v>30</v>
      </c>
      <c r="BR108" s="67">
        <v>2</v>
      </c>
      <c r="BS108" s="1">
        <f t="shared" si="65"/>
        <v>28</v>
      </c>
      <c r="BT108" s="2">
        <f t="shared" si="67"/>
        <v>2</v>
      </c>
      <c r="BU108" s="2">
        <f t="shared" si="68"/>
        <v>0</v>
      </c>
      <c r="BV108" s="2">
        <f t="shared" si="69"/>
        <v>0</v>
      </c>
      <c r="BW108" s="2">
        <f t="shared" si="70"/>
        <v>0</v>
      </c>
      <c r="BX108" s="2">
        <f t="shared" si="71"/>
        <v>0</v>
      </c>
      <c r="BY108" s="2">
        <f t="shared" si="72"/>
        <v>0</v>
      </c>
      <c r="BZ108" s="2">
        <f t="shared" si="73"/>
        <v>0</v>
      </c>
      <c r="CA108" s="2">
        <f t="shared" si="74"/>
        <v>0</v>
      </c>
      <c r="CB108" s="2">
        <f t="shared" si="75"/>
        <v>0</v>
      </c>
      <c r="CC108" s="2">
        <f t="shared" si="76"/>
        <v>0</v>
      </c>
      <c r="CD108" s="2">
        <f t="shared" si="77"/>
        <v>0</v>
      </c>
      <c r="CE108" s="3"/>
    </row>
    <row r="109" spans="1:95" s="154" customFormat="1" ht="21" customHeight="1" x14ac:dyDescent="0.25">
      <c r="A109" s="44">
        <v>91</v>
      </c>
      <c r="B109" s="44" t="s">
        <v>261</v>
      </c>
      <c r="C109" s="153" t="s">
        <v>258</v>
      </c>
      <c r="D109" s="87">
        <v>46250</v>
      </c>
      <c r="E109" s="157">
        <v>46266.353483796294</v>
      </c>
      <c r="F109" s="157">
        <v>46266.977395833332</v>
      </c>
      <c r="G109" s="124">
        <v>46267.353414351855</v>
      </c>
      <c r="H109" s="157">
        <v>46267.947442129633</v>
      </c>
      <c r="I109" s="157">
        <v>46268.353113425925</v>
      </c>
      <c r="J109" s="157">
        <v>46268.968078703707</v>
      </c>
      <c r="K109" s="178" t="s">
        <v>15</v>
      </c>
      <c r="L109" s="178" t="s">
        <v>15</v>
      </c>
      <c r="M109" s="157">
        <v>46270.353935185187</v>
      </c>
      <c r="N109" s="157">
        <v>46270.967222222222</v>
      </c>
      <c r="O109" s="157">
        <v>46271.354085648149</v>
      </c>
      <c r="P109" s="157">
        <v>46271.944594907407</v>
      </c>
      <c r="Q109" s="124">
        <v>46272.35260416667</v>
      </c>
      <c r="R109" s="124">
        <v>46272.947627314818</v>
      </c>
      <c r="S109" s="124">
        <v>46273.353564814817</v>
      </c>
      <c r="T109" s="124">
        <v>46273.948101851849</v>
      </c>
      <c r="U109" s="124">
        <v>46274.353807870371</v>
      </c>
      <c r="V109" s="124">
        <v>46274.950810185182</v>
      </c>
      <c r="W109" s="124">
        <v>46275.35564814815</v>
      </c>
      <c r="X109" s="124">
        <v>46275.966817129629</v>
      </c>
      <c r="Y109" s="124">
        <v>46276.58222222222</v>
      </c>
      <c r="Z109" s="124">
        <v>46276.948912037034</v>
      </c>
      <c r="AA109" s="124">
        <v>46277.354953703703</v>
      </c>
      <c r="AB109" s="124">
        <v>46277.96434027778</v>
      </c>
      <c r="AC109" s="124">
        <v>46278.353877314818</v>
      </c>
      <c r="AD109" s="124">
        <v>46278.945324074077</v>
      </c>
      <c r="AE109" s="124">
        <v>46279.354097222225</v>
      </c>
      <c r="AF109" s="124">
        <v>46279.944618055553</v>
      </c>
      <c r="AG109" s="124">
        <v>46280.354618055557</v>
      </c>
      <c r="AH109" s="124">
        <v>46280.944861111115</v>
      </c>
      <c r="AI109" s="155"/>
      <c r="AJ109" s="44">
        <v>91</v>
      </c>
      <c r="AK109" s="124">
        <v>46281.353912037041</v>
      </c>
      <c r="AL109" s="124">
        <v>46281.945150462961</v>
      </c>
      <c r="AM109" s="124">
        <v>46282.353703703702</v>
      </c>
      <c r="AN109" s="124">
        <v>46282.965682870374</v>
      </c>
      <c r="AO109" s="228" t="s">
        <v>15</v>
      </c>
      <c r="AP109" s="228" t="s">
        <v>15</v>
      </c>
      <c r="AQ109" s="124">
        <v>46284.354178240741</v>
      </c>
      <c r="AR109" s="124">
        <v>46284.966053240743</v>
      </c>
      <c r="AS109" s="124">
        <v>46285.355844907404</v>
      </c>
      <c r="AT109" s="124">
        <v>46285.948576388888</v>
      </c>
      <c r="AU109" s="124">
        <v>46286.354641203703</v>
      </c>
      <c r="AV109" s="124">
        <v>46286.948483796295</v>
      </c>
      <c r="AW109" s="124">
        <v>46287.354166666664</v>
      </c>
      <c r="AX109" s="124">
        <v>46287.946782407409</v>
      </c>
      <c r="AY109" s="124">
        <v>46288.355069444442</v>
      </c>
      <c r="AZ109" s="124">
        <v>46288.946168981478</v>
      </c>
      <c r="BA109" s="124">
        <v>46289.355497685188</v>
      </c>
      <c r="BB109" s="124">
        <v>46289.967129629629</v>
      </c>
      <c r="BC109" s="124">
        <v>46290.580381944441</v>
      </c>
      <c r="BD109" s="124">
        <v>46290.949814814812</v>
      </c>
      <c r="BE109" s="124">
        <v>46291.353148148148</v>
      </c>
      <c r="BF109" s="124">
        <v>46291.971701388888</v>
      </c>
      <c r="BG109" s="124">
        <v>46292.353680555556</v>
      </c>
      <c r="BH109" s="124">
        <v>46292.944849537038</v>
      </c>
      <c r="BI109" s="124">
        <v>46293.35229166667</v>
      </c>
      <c r="BJ109" s="124">
        <v>46293.948009259257</v>
      </c>
      <c r="BK109" s="124">
        <v>46294.352534722224</v>
      </c>
      <c r="BL109" s="124">
        <v>46294.94935185185</v>
      </c>
      <c r="BM109" s="124">
        <v>46295.352650462963</v>
      </c>
      <c r="BN109" s="124">
        <v>46295.947384259256</v>
      </c>
      <c r="BO109" s="124">
        <v>46265.353506944448</v>
      </c>
      <c r="BP109" s="124">
        <v>46265.94667824074</v>
      </c>
      <c r="BQ109" s="96">
        <f>BS109+BT109+BV109+CA109+BY109+BZ109+CD109+BU109</f>
        <v>30</v>
      </c>
      <c r="BR109" s="67">
        <v>2</v>
      </c>
      <c r="BS109" s="1">
        <f t="shared" si="65"/>
        <v>28</v>
      </c>
      <c r="BT109" s="2">
        <f t="shared" si="67"/>
        <v>2</v>
      </c>
      <c r="BU109" s="2">
        <f t="shared" si="68"/>
        <v>0</v>
      </c>
      <c r="BV109" s="2">
        <f t="shared" si="69"/>
        <v>0</v>
      </c>
      <c r="BW109" s="2">
        <f t="shared" si="70"/>
        <v>0</v>
      </c>
      <c r="BX109" s="2">
        <f t="shared" si="71"/>
        <v>0</v>
      </c>
      <c r="BY109" s="2">
        <f t="shared" si="72"/>
        <v>0</v>
      </c>
      <c r="BZ109" s="2">
        <f t="shared" si="73"/>
        <v>0</v>
      </c>
      <c r="CA109" s="2">
        <f t="shared" si="74"/>
        <v>0</v>
      </c>
      <c r="CB109" s="2">
        <f t="shared" si="75"/>
        <v>0</v>
      </c>
      <c r="CC109" s="2">
        <f t="shared" si="76"/>
        <v>0</v>
      </c>
      <c r="CD109" s="2">
        <f t="shared" si="77"/>
        <v>0</v>
      </c>
      <c r="CE109" s="3"/>
    </row>
    <row r="110" spans="1:95" s="154" customFormat="1" ht="21" customHeight="1" x14ac:dyDescent="0.25">
      <c r="A110" s="44">
        <v>92</v>
      </c>
      <c r="B110" s="44" t="s">
        <v>262</v>
      </c>
      <c r="C110" s="153" t="s">
        <v>259</v>
      </c>
      <c r="D110" s="87">
        <v>46250</v>
      </c>
      <c r="E110" s="157">
        <v>46266.35392361111</v>
      </c>
      <c r="F110" s="157">
        <v>46266.949166666665</v>
      </c>
      <c r="G110" s="157">
        <v>46267.353067129632</v>
      </c>
      <c r="H110" s="157">
        <v>46267.963287037041</v>
      </c>
      <c r="I110" s="157">
        <v>46268.353483796294</v>
      </c>
      <c r="J110" s="157">
        <v>46268.975219907406</v>
      </c>
      <c r="K110" s="178" t="s">
        <v>15</v>
      </c>
      <c r="L110" s="178" t="s">
        <v>15</v>
      </c>
      <c r="M110" s="157">
        <v>46270.352488425924</v>
      </c>
      <c r="N110" s="157">
        <v>46270.971041666664</v>
      </c>
      <c r="O110" s="157">
        <v>46271.353263888886</v>
      </c>
      <c r="P110" s="157">
        <v>46271.957187499997</v>
      </c>
      <c r="Q110" s="124">
        <v>46272.352175925924</v>
      </c>
      <c r="R110" s="124">
        <v>46272.962916666664</v>
      </c>
      <c r="S110" s="124">
        <v>46273.352465277778</v>
      </c>
      <c r="T110" s="124">
        <v>46273.963356481479</v>
      </c>
      <c r="U110" s="124">
        <v>46274.35361111111</v>
      </c>
      <c r="V110" s="124">
        <v>46274.955150462964</v>
      </c>
      <c r="W110" s="124">
        <v>46275.354062500002</v>
      </c>
      <c r="X110" s="124">
        <v>46275.975231481483</v>
      </c>
      <c r="Y110" s="124">
        <v>46276.580937500003</v>
      </c>
      <c r="Z110" s="124">
        <v>46276.95416666667</v>
      </c>
      <c r="AA110" s="124">
        <v>46277.352650462963</v>
      </c>
      <c r="AB110" s="124">
        <v>46277.97152777778</v>
      </c>
      <c r="AC110" s="124">
        <v>46278.353101851855</v>
      </c>
      <c r="AD110" s="124">
        <v>46278.952546296299</v>
      </c>
      <c r="AE110" s="124">
        <v>46279.352916666663</v>
      </c>
      <c r="AF110" s="124">
        <v>46279.95616898148</v>
      </c>
      <c r="AG110" s="157">
        <v>46280.352523148147</v>
      </c>
      <c r="AH110" s="157">
        <v>46280.956990740742</v>
      </c>
      <c r="AI110" s="155"/>
      <c r="AJ110" s="44">
        <v>92</v>
      </c>
      <c r="AK110" s="124">
        <v>46281.352719907409</v>
      </c>
      <c r="AL110" s="124">
        <v>46281.952557870369</v>
      </c>
      <c r="AM110" s="124">
        <v>46282.353321759256</v>
      </c>
      <c r="AN110" s="124">
        <v>46282.972928240742</v>
      </c>
      <c r="AO110" s="228" t="s">
        <v>15</v>
      </c>
      <c r="AP110" s="228" t="s">
        <v>15</v>
      </c>
      <c r="AQ110" s="124">
        <v>46284.353136574071</v>
      </c>
      <c r="AR110" s="124">
        <v>46284.969513888886</v>
      </c>
      <c r="AS110" s="124">
        <v>46285.353217592594</v>
      </c>
      <c r="AT110" s="124">
        <v>46285.961215277777</v>
      </c>
      <c r="AU110" s="124">
        <v>46286.352824074071</v>
      </c>
      <c r="AV110" s="124">
        <v>46286.955914351849</v>
      </c>
      <c r="AW110" s="124">
        <v>46287.352870370371</v>
      </c>
      <c r="AX110" s="124">
        <v>46287.956666666665</v>
      </c>
      <c r="AY110" s="124">
        <v>46288.352256944447</v>
      </c>
      <c r="AZ110" s="124">
        <v>46288.960787037038</v>
      </c>
      <c r="BA110" s="124">
        <v>46289.352071759262</v>
      </c>
      <c r="BB110" s="124">
        <v>46289.978229166663</v>
      </c>
      <c r="BC110" s="124">
        <v>46290.57912037037</v>
      </c>
      <c r="BD110" s="124">
        <v>46290.952222222222</v>
      </c>
      <c r="BE110" s="124">
        <v>46291.352916666663</v>
      </c>
      <c r="BF110" s="124">
        <v>46291.973275462966</v>
      </c>
      <c r="BG110" s="124">
        <v>46292.353067129632</v>
      </c>
      <c r="BH110" s="124">
        <v>0</v>
      </c>
      <c r="BI110" s="124">
        <v>46293.353518518517</v>
      </c>
      <c r="BJ110" s="124">
        <v>46293.957060185188</v>
      </c>
      <c r="BK110" s="124">
        <v>46294.353379629632</v>
      </c>
      <c r="BL110" s="124">
        <v>46294.962881944448</v>
      </c>
      <c r="BM110" s="124">
        <v>46295.352256944447</v>
      </c>
      <c r="BN110" s="124">
        <v>46295.962962962964</v>
      </c>
      <c r="BO110" s="124">
        <v>46265.35260416667</v>
      </c>
      <c r="BP110" s="124">
        <v>46265.956157407411</v>
      </c>
      <c r="BQ110" s="96">
        <f t="shared" si="66"/>
        <v>30</v>
      </c>
      <c r="BR110" s="67">
        <v>2</v>
      </c>
      <c r="BS110" s="1">
        <f t="shared" si="65"/>
        <v>28</v>
      </c>
      <c r="BT110" s="2">
        <f t="shared" si="67"/>
        <v>2</v>
      </c>
      <c r="BU110" s="2">
        <f t="shared" si="68"/>
        <v>0</v>
      </c>
      <c r="BV110" s="2">
        <f t="shared" si="69"/>
        <v>0</v>
      </c>
      <c r="BW110" s="2">
        <f t="shared" si="70"/>
        <v>0</v>
      </c>
      <c r="BX110" s="2">
        <f t="shared" si="71"/>
        <v>0</v>
      </c>
      <c r="BY110" s="2">
        <f t="shared" si="72"/>
        <v>0</v>
      </c>
      <c r="BZ110" s="2">
        <f t="shared" si="73"/>
        <v>0</v>
      </c>
      <c r="CA110" s="2">
        <f t="shared" si="74"/>
        <v>0</v>
      </c>
      <c r="CB110" s="2">
        <f t="shared" si="75"/>
        <v>0</v>
      </c>
      <c r="CC110" s="2">
        <f t="shared" si="76"/>
        <v>0</v>
      </c>
      <c r="CD110" s="2">
        <f t="shared" si="77"/>
        <v>0</v>
      </c>
      <c r="CE110" s="3"/>
    </row>
    <row r="111" spans="1:95" s="154" customFormat="1" ht="21" customHeight="1" x14ac:dyDescent="0.25">
      <c r="A111" s="44">
        <v>93</v>
      </c>
      <c r="B111" s="44" t="s">
        <v>263</v>
      </c>
      <c r="C111" s="153" t="s">
        <v>260</v>
      </c>
      <c r="D111" s="87">
        <v>46259</v>
      </c>
      <c r="E111" s="157">
        <v>46266.351354166669</v>
      </c>
      <c r="F111" s="157">
        <v>46266.913842592592</v>
      </c>
      <c r="G111" s="157">
        <v>46267.372916666667</v>
      </c>
      <c r="H111" s="157">
        <v>46267.911712962959</v>
      </c>
      <c r="I111" s="157">
        <v>46267.372916666667</v>
      </c>
      <c r="J111" s="157">
        <v>46268.927372685182</v>
      </c>
      <c r="K111" s="157">
        <v>46269.577372685184</v>
      </c>
      <c r="L111" s="157">
        <v>0.95833333333333337</v>
      </c>
      <c r="M111" s="157">
        <v>46270.350185185183</v>
      </c>
      <c r="N111" s="157">
        <v>46270.910925925928</v>
      </c>
      <c r="O111" s="157">
        <v>46271.353680555556</v>
      </c>
      <c r="P111" s="157">
        <v>46271.896458333336</v>
      </c>
      <c r="Q111" s="124">
        <v>46272.34915509259</v>
      </c>
      <c r="R111" s="124">
        <v>46272.918495370373</v>
      </c>
      <c r="S111" s="124">
        <v>46273.346516203703</v>
      </c>
      <c r="T111" s="124">
        <v>46273.895775462966</v>
      </c>
      <c r="U111" s="124">
        <v>46274.341064814813</v>
      </c>
      <c r="V111" s="124">
        <v>46274.905914351853</v>
      </c>
      <c r="W111" s="124">
        <v>46275.349699074075</v>
      </c>
      <c r="X111" s="124">
        <v>46275.908668981479</v>
      </c>
      <c r="Y111" s="124">
        <v>46276.582199074073</v>
      </c>
      <c r="Z111" s="124">
        <v>0</v>
      </c>
      <c r="AA111" s="124">
        <v>46277.350590277776</v>
      </c>
      <c r="AB111" s="124">
        <v>46277.896886574075</v>
      </c>
      <c r="AC111" s="124">
        <v>46278.349872685183</v>
      </c>
      <c r="AD111" s="124">
        <v>46278.901886574073</v>
      </c>
      <c r="AE111" s="124">
        <v>46279.352337962962</v>
      </c>
      <c r="AF111" s="124">
        <v>46279.911840277775</v>
      </c>
      <c r="AG111" s="124">
        <v>46280.348414351851</v>
      </c>
      <c r="AH111" s="124">
        <v>46280.924756944441</v>
      </c>
      <c r="AI111" s="155"/>
      <c r="AJ111" s="44">
        <v>93</v>
      </c>
      <c r="AK111" s="124">
        <v>46281.33866898148</v>
      </c>
      <c r="AL111" s="124">
        <v>46281.903634259259</v>
      </c>
      <c r="AM111" s="124">
        <v>46282.351053240738</v>
      </c>
      <c r="AN111" s="124">
        <v>46282.917071759257</v>
      </c>
      <c r="AO111" s="228" t="s">
        <v>15</v>
      </c>
      <c r="AP111" s="228" t="s">
        <v>15</v>
      </c>
      <c r="AQ111" s="124">
        <v>46284.350347222222</v>
      </c>
      <c r="AR111" s="124">
        <v>46284.914513888885</v>
      </c>
      <c r="AS111" s="124">
        <v>46285.339039351849</v>
      </c>
      <c r="AT111" s="124">
        <v>46285.919178240743</v>
      </c>
      <c r="AU111" s="124">
        <v>46286.346307870372</v>
      </c>
      <c r="AV111" s="124">
        <v>46286.918796296297</v>
      </c>
      <c r="AW111" s="124">
        <v>46287.33898148148</v>
      </c>
      <c r="AX111" s="124">
        <v>46287.896701388891</v>
      </c>
      <c r="AY111" s="124">
        <v>46288.346099537041</v>
      </c>
      <c r="AZ111" s="124">
        <v>46288.938460648147</v>
      </c>
      <c r="BA111" s="124">
        <v>46289.350729166668</v>
      </c>
      <c r="BB111" s="124">
        <v>46289.940451388888</v>
      </c>
      <c r="BC111" s="124">
        <v>46290.58525462963</v>
      </c>
      <c r="BD111" s="124">
        <v>46290.917766203704</v>
      </c>
      <c r="BE111" s="124">
        <v>46291.351226851853</v>
      </c>
      <c r="BF111" s="124">
        <v>46291.928657407407</v>
      </c>
      <c r="BG111" s="124">
        <v>46292.350011574075</v>
      </c>
      <c r="BH111" s="124">
        <v>46292.899756944447</v>
      </c>
      <c r="BI111" s="124">
        <v>46293.347488425927</v>
      </c>
      <c r="BJ111" s="124">
        <v>46293.917430555557</v>
      </c>
      <c r="BK111" s="124">
        <v>46294.353159722225</v>
      </c>
      <c r="BL111" s="124">
        <v>46294.918402777781</v>
      </c>
      <c r="BM111" s="124">
        <v>46295.351134259261</v>
      </c>
      <c r="BN111" s="124">
        <v>46295.922858796293</v>
      </c>
      <c r="BO111" s="124">
        <v>46265.348101851851</v>
      </c>
      <c r="BP111" s="124">
        <v>46265.902824074074</v>
      </c>
      <c r="BQ111" s="96">
        <f t="shared" si="66"/>
        <v>30</v>
      </c>
      <c r="BR111" s="67">
        <v>3</v>
      </c>
      <c r="BS111" s="1">
        <f t="shared" si="65"/>
        <v>29</v>
      </c>
      <c r="BT111" s="2">
        <f t="shared" si="67"/>
        <v>1</v>
      </c>
      <c r="BU111" s="2">
        <f t="shared" si="68"/>
        <v>0</v>
      </c>
      <c r="BV111" s="2">
        <f t="shared" si="69"/>
        <v>0</v>
      </c>
      <c r="BW111" s="2">
        <f t="shared" si="70"/>
        <v>0</v>
      </c>
      <c r="BX111" s="2">
        <f t="shared" si="71"/>
        <v>0</v>
      </c>
      <c r="BY111" s="2">
        <f t="shared" si="72"/>
        <v>0</v>
      </c>
      <c r="BZ111" s="2">
        <f t="shared" si="73"/>
        <v>0</v>
      </c>
      <c r="CA111" s="2">
        <f t="shared" si="74"/>
        <v>0</v>
      </c>
      <c r="CB111" s="2">
        <f t="shared" si="75"/>
        <v>0</v>
      </c>
      <c r="CC111" s="2">
        <f t="shared" si="76"/>
        <v>0</v>
      </c>
      <c r="CD111" s="2">
        <f t="shared" si="77"/>
        <v>0</v>
      </c>
      <c r="CE111" s="3"/>
    </row>
    <row r="112" spans="1:95" s="154" customFormat="1" ht="21" customHeight="1" x14ac:dyDescent="0.25">
      <c r="A112" s="44">
        <v>94</v>
      </c>
      <c r="B112" s="44" t="s">
        <v>267</v>
      </c>
      <c r="C112" s="153" t="s">
        <v>268</v>
      </c>
      <c r="D112" s="177">
        <v>46272</v>
      </c>
      <c r="E112" s="237" t="s">
        <v>274</v>
      </c>
      <c r="F112" s="238"/>
      <c r="G112" s="238"/>
      <c r="H112" s="238"/>
      <c r="I112" s="238"/>
      <c r="J112" s="238"/>
      <c r="K112" s="238"/>
      <c r="L112" s="238"/>
      <c r="M112" s="238"/>
      <c r="N112" s="238"/>
      <c r="O112" s="238"/>
      <c r="P112" s="239"/>
      <c r="Q112" s="124">
        <v>46272.375775462962</v>
      </c>
      <c r="R112" s="179">
        <v>46272.940833333334</v>
      </c>
      <c r="S112" s="124">
        <v>46273.348055555558</v>
      </c>
      <c r="T112" s="179">
        <v>46273.941076388888</v>
      </c>
      <c r="U112" s="124">
        <v>46274.350821759261</v>
      </c>
      <c r="V112" s="124">
        <v>0.95972222222222225</v>
      </c>
      <c r="W112" s="124">
        <v>46275.350763888891</v>
      </c>
      <c r="X112" s="124">
        <v>0.95833333333333337</v>
      </c>
      <c r="Y112" s="124">
        <v>46276.578969907408</v>
      </c>
      <c r="Z112" s="124">
        <v>0.95972222222222225</v>
      </c>
      <c r="AA112" s="179">
        <v>46277.349976851852</v>
      </c>
      <c r="AB112" s="124">
        <v>0.98333333333333339</v>
      </c>
      <c r="AC112" s="124">
        <v>46278.353831018518</v>
      </c>
      <c r="AD112" s="124">
        <v>0.95277777777777783</v>
      </c>
      <c r="AE112" s="124">
        <v>46279.349502314813</v>
      </c>
      <c r="AF112" s="175">
        <v>0.95138888888888884</v>
      </c>
      <c r="AG112" s="175">
        <v>46280.347129629627</v>
      </c>
      <c r="AH112" s="175">
        <v>0.93263888888888891</v>
      </c>
      <c r="AI112" s="155"/>
      <c r="AJ112" s="44">
        <v>94</v>
      </c>
      <c r="AK112" s="124">
        <v>46281.348182870373</v>
      </c>
      <c r="AL112" s="124">
        <v>46281.959444444445</v>
      </c>
      <c r="AM112" s="124">
        <v>46282.348622685182</v>
      </c>
      <c r="AN112" s="124">
        <v>46281.959444444445</v>
      </c>
      <c r="AO112" s="124">
        <v>46283.577974537038</v>
      </c>
      <c r="AP112" s="124">
        <v>46281.959444444445</v>
      </c>
      <c r="AQ112" s="124">
        <v>46284.346863425926</v>
      </c>
      <c r="AR112" s="124">
        <v>46281.959444444445</v>
      </c>
      <c r="AS112" s="124">
        <v>46285.34878472222</v>
      </c>
      <c r="AT112" s="233">
        <v>46281.959444444445</v>
      </c>
      <c r="AU112" s="124">
        <v>46286.349629629629</v>
      </c>
      <c r="AV112" s="233">
        <v>46281.959444444445</v>
      </c>
      <c r="AW112" s="124">
        <v>46287.341932870368</v>
      </c>
      <c r="AX112" s="124">
        <v>46287.95890046296</v>
      </c>
      <c r="AY112" s="174">
        <v>46288.343495370369</v>
      </c>
      <c r="AZ112" s="233">
        <v>46288.946608796294</v>
      </c>
      <c r="BA112" s="124">
        <v>46289.344340277778</v>
      </c>
      <c r="BB112" s="124">
        <v>46289.966249999998</v>
      </c>
      <c r="BC112" s="233">
        <v>46290.577094907407</v>
      </c>
      <c r="BD112" s="174">
        <v>46290.923738425925</v>
      </c>
      <c r="BE112" s="124">
        <v>46291.352071759262</v>
      </c>
      <c r="BF112" s="124">
        <v>46291.941412037035</v>
      </c>
      <c r="BG112" s="124">
        <v>46292.350868055553</v>
      </c>
      <c r="BH112" s="124">
        <v>46292.95925925926</v>
      </c>
      <c r="BI112" s="124">
        <v>46293.345636574071</v>
      </c>
      <c r="BJ112" s="124">
        <v>46293.938287037039</v>
      </c>
      <c r="BK112" s="124">
        <v>46294.346863425926</v>
      </c>
      <c r="BL112" s="124">
        <v>46294.965775462966</v>
      </c>
      <c r="BM112" s="124">
        <v>46295.348460648151</v>
      </c>
      <c r="BN112" s="124">
        <v>46295.960787037038</v>
      </c>
      <c r="BO112" s="124">
        <v>46265.348101851851</v>
      </c>
      <c r="BP112" s="124">
        <v>46265.902824074074</v>
      </c>
      <c r="BQ112" s="96">
        <f t="shared" ref="BQ112" si="78">BS112+BT112+BV112+CA112+BY112+BZ112+CD112+BU112</f>
        <v>24</v>
      </c>
      <c r="BR112" s="67">
        <v>3</v>
      </c>
      <c r="BS112" s="1">
        <f t="shared" ref="BS112" si="79">COUNT(E112:AH112)/2+COUNT(AK112:BN112)/2</f>
        <v>24</v>
      </c>
      <c r="BT112" s="2">
        <f t="shared" ref="BT112" si="80">COUNTIF(E112:BN112,"OFF")/2</f>
        <v>0</v>
      </c>
      <c r="BU112" s="2">
        <f t="shared" ref="BU112" si="81">COUNTIF(E112:BN112,"MC")/2</f>
        <v>0</v>
      </c>
      <c r="BV112" s="2">
        <f t="shared" ref="BV112" si="82">COUNTIF(E112:BN112,"EL")/2</f>
        <v>0</v>
      </c>
      <c r="BW112" s="2">
        <f t="shared" ref="BW112" si="83">COUNTIF(E112:BN112,"AL")/2</f>
        <v>0</v>
      </c>
      <c r="BX112" s="2">
        <f t="shared" ref="BX112" si="84">COUNTIF(E112:BN112,"SUS")/2</f>
        <v>0</v>
      </c>
      <c r="BY112" s="2">
        <f t="shared" ref="BY112" si="85">COUNTIF(E112:BN112,"FL")/2</f>
        <v>0</v>
      </c>
      <c r="BZ112" s="2">
        <f t="shared" ref="BZ112" si="86">COUNTIF(E112:BN112,"SICK")/2</f>
        <v>0</v>
      </c>
      <c r="CA112" s="2">
        <f t="shared" ref="CA112" si="87">COUNTIF(E112:BN112,"HD")/2</f>
        <v>0</v>
      </c>
      <c r="CB112" s="2">
        <f t="shared" ref="CB112" si="88">COUNTIF(E112:BN112,"AB")/2</f>
        <v>0</v>
      </c>
      <c r="CC112" s="2">
        <f t="shared" ref="CC112" si="89">COUNTIF(E112:BN112,"NL")/2</f>
        <v>0</v>
      </c>
      <c r="CD112" s="2">
        <f t="shared" ref="CD112" si="90">COUNTIF(E112:BN112,"SP")/2</f>
        <v>0</v>
      </c>
      <c r="CE112" s="3"/>
    </row>
    <row r="113" spans="1:95" s="154" customFormat="1" ht="21" customHeight="1" x14ac:dyDescent="0.25">
      <c r="A113" s="46"/>
      <c r="B113" s="46"/>
      <c r="AI113" s="155"/>
      <c r="AJ113" s="155"/>
    </row>
    <row r="114" spans="1:95" ht="15.75" x14ac:dyDescent="0.25">
      <c r="I114" s="16"/>
      <c r="J114" s="17" t="s">
        <v>62</v>
      </c>
      <c r="K114" s="18"/>
      <c r="L114" s="17"/>
      <c r="M114" s="19"/>
      <c r="P114" s="19"/>
      <c r="Q114" s="20"/>
      <c r="R114" s="21"/>
      <c r="S114" s="236" t="s">
        <v>63</v>
      </c>
      <c r="T114" s="236"/>
      <c r="U114" s="236"/>
      <c r="V114" s="236"/>
      <c r="W114" s="236"/>
      <c r="X114" s="20"/>
      <c r="Y114" s="20"/>
      <c r="Z114" s="20" t="s">
        <v>64</v>
      </c>
      <c r="AA114" s="20"/>
      <c r="AB114" s="20"/>
      <c r="AC114" s="20"/>
      <c r="AD114" s="22" t="s">
        <v>65</v>
      </c>
      <c r="AE114" s="20"/>
      <c r="AO114" s="16"/>
      <c r="AP114" s="17" t="s">
        <v>62</v>
      </c>
      <c r="AQ114" s="18"/>
      <c r="AR114" s="17"/>
      <c r="AS114" s="19"/>
      <c r="AV114" s="19"/>
      <c r="AW114" s="20"/>
      <c r="AX114" s="236" t="s">
        <v>63</v>
      </c>
      <c r="AY114" s="236"/>
      <c r="AZ114" s="236"/>
      <c r="BA114" s="236"/>
      <c r="BB114" s="20"/>
      <c r="BC114" s="20"/>
      <c r="BD114" s="20"/>
      <c r="BE114" s="20"/>
      <c r="BF114" s="20" t="s">
        <v>64</v>
      </c>
      <c r="BG114" s="20"/>
      <c r="BH114" s="20"/>
      <c r="BI114" s="20"/>
      <c r="BJ114" s="22" t="s">
        <v>65</v>
      </c>
      <c r="BK114" s="20"/>
    </row>
    <row r="115" spans="1:95" ht="17.25" x14ac:dyDescent="0.25">
      <c r="I115" s="23"/>
      <c r="J115" s="19"/>
      <c r="K115" s="19"/>
      <c r="L115" s="19"/>
      <c r="M115" s="19"/>
      <c r="P115" s="19"/>
      <c r="Q115" s="19"/>
      <c r="R115" s="24"/>
      <c r="S115" s="24"/>
      <c r="T115" s="24"/>
      <c r="U115" s="19"/>
      <c r="V115" s="19"/>
      <c r="W115" s="19"/>
      <c r="X115" s="25"/>
      <c r="Y115" s="25"/>
      <c r="Z115" s="25"/>
      <c r="AA115" s="25"/>
      <c r="AB115" s="25"/>
      <c r="AC115" s="25"/>
      <c r="AD115" s="26"/>
      <c r="AE115" s="26"/>
      <c r="AO115" s="23"/>
      <c r="AP115" s="19"/>
      <c r="AQ115" s="19"/>
      <c r="AR115" s="19"/>
      <c r="AS115" s="19"/>
      <c r="AV115" s="19"/>
      <c r="AW115" s="19"/>
      <c r="AX115" s="24"/>
      <c r="AY115" s="24"/>
      <c r="AZ115" s="24"/>
      <c r="BA115" s="19"/>
      <c r="BB115" s="19"/>
      <c r="BC115" s="19"/>
      <c r="BD115" s="25"/>
      <c r="BE115" s="25"/>
      <c r="BF115" s="25"/>
      <c r="BG115" s="25"/>
      <c r="BH115" s="25"/>
      <c r="BI115" s="25"/>
      <c r="BJ115" s="26"/>
      <c r="BK115" s="26"/>
    </row>
    <row r="116" spans="1:95" ht="17.25" x14ac:dyDescent="0.25">
      <c r="I116" s="23"/>
      <c r="J116" s="27"/>
      <c r="K116" s="19"/>
      <c r="L116" s="27"/>
      <c r="M116" s="19"/>
      <c r="P116" s="19"/>
      <c r="Q116" s="27" t="s">
        <v>64</v>
      </c>
      <c r="R116" s="28"/>
      <c r="S116" s="28"/>
      <c r="T116" s="24"/>
      <c r="U116" s="19"/>
      <c r="V116" s="27"/>
      <c r="W116" s="27"/>
      <c r="X116" s="20"/>
      <c r="Y116" s="19"/>
      <c r="Z116" s="19"/>
      <c r="AA116" s="19"/>
      <c r="AB116" s="19"/>
      <c r="AC116" s="19"/>
      <c r="AD116" s="29"/>
      <c r="AE116" s="29"/>
      <c r="AO116" s="23"/>
      <c r="AP116" s="27"/>
      <c r="AQ116" s="19"/>
      <c r="AR116" s="27"/>
      <c r="AS116" s="19"/>
      <c r="AV116" s="19"/>
      <c r="AW116" s="27" t="s">
        <v>64</v>
      </c>
      <c r="AX116" s="28"/>
      <c r="AY116" s="28"/>
      <c r="AZ116" s="24"/>
      <c r="BA116" s="19"/>
      <c r="BB116" s="27"/>
      <c r="BC116" s="27"/>
      <c r="BD116" s="20"/>
      <c r="BE116" s="19"/>
      <c r="BF116" s="19"/>
      <c r="BG116" s="19"/>
      <c r="BH116" s="19"/>
      <c r="BI116" s="19"/>
      <c r="BJ116" s="29"/>
      <c r="BK116" s="29"/>
    </row>
    <row r="117" spans="1:95" ht="17.25" x14ac:dyDescent="0.25">
      <c r="I117" s="30"/>
      <c r="J117" s="27"/>
      <c r="K117" s="19"/>
      <c r="L117" s="27"/>
      <c r="M117" s="19"/>
      <c r="P117" s="19"/>
      <c r="Q117" s="27"/>
      <c r="R117" s="28"/>
      <c r="S117" s="28"/>
      <c r="T117" s="24"/>
      <c r="U117" s="20"/>
      <c r="V117" s="27"/>
      <c r="W117" s="27"/>
      <c r="X117" s="20"/>
      <c r="Y117" s="19"/>
      <c r="Z117" s="19"/>
      <c r="AA117" s="19"/>
      <c r="AB117" s="19"/>
      <c r="AC117" s="19"/>
      <c r="AD117" s="29"/>
      <c r="AE117" s="29"/>
      <c r="AO117" s="30"/>
      <c r="AP117" s="27"/>
      <c r="AQ117" s="19"/>
      <c r="AR117" s="27"/>
      <c r="AS117" s="19"/>
      <c r="AV117" s="19"/>
      <c r="AW117" s="27"/>
      <c r="AX117" s="28"/>
      <c r="AY117" s="28"/>
      <c r="AZ117" s="24"/>
      <c r="BA117" s="20"/>
      <c r="BB117" s="27"/>
      <c r="BC117" s="27"/>
      <c r="BD117" s="20"/>
      <c r="BE117" s="19"/>
      <c r="BF117" s="19"/>
      <c r="BG117" s="19"/>
      <c r="BH117" s="19"/>
      <c r="BI117" s="19"/>
      <c r="BJ117" s="29"/>
      <c r="BK117" s="29"/>
    </row>
    <row r="118" spans="1:95" ht="17.25" x14ac:dyDescent="0.25">
      <c r="I118" s="31"/>
      <c r="J118" s="245" t="s">
        <v>257</v>
      </c>
      <c r="K118" s="245"/>
      <c r="L118" s="30"/>
      <c r="M118" s="19"/>
      <c r="P118" s="19"/>
      <c r="Q118" s="27"/>
      <c r="R118" s="24"/>
      <c r="S118" s="28"/>
      <c r="T118" s="28"/>
      <c r="U118" s="18" t="s">
        <v>66</v>
      </c>
      <c r="V118" s="19"/>
      <c r="W118" s="20"/>
      <c r="X118" s="19"/>
      <c r="Y118" s="19"/>
      <c r="Z118" s="19"/>
      <c r="AA118" s="19"/>
      <c r="AB118" s="19"/>
      <c r="AC118" s="19"/>
      <c r="AD118" s="18" t="s">
        <v>67</v>
      </c>
      <c r="AE118" s="29"/>
      <c r="AO118" s="31"/>
      <c r="AP118" s="245" t="s">
        <v>257</v>
      </c>
      <c r="AQ118" s="245"/>
      <c r="AR118" s="30"/>
      <c r="AS118" s="19"/>
      <c r="AV118" s="19"/>
      <c r="AW118" s="27"/>
      <c r="AX118" s="28"/>
      <c r="AY118" s="18" t="s">
        <v>66</v>
      </c>
      <c r="AZ118" s="19"/>
      <c r="BA118" s="19"/>
      <c r="BB118" s="27"/>
      <c r="BC118" s="20"/>
      <c r="BD118" s="19"/>
      <c r="BE118" s="19"/>
      <c r="BF118" s="19"/>
      <c r="BG118" s="19"/>
      <c r="BH118" s="19"/>
      <c r="BI118" s="19"/>
      <c r="BJ118" s="18" t="s">
        <v>67</v>
      </c>
      <c r="BK118" s="29"/>
    </row>
    <row r="119" spans="1:95" ht="17.25" x14ac:dyDescent="0.25">
      <c r="I119" s="31"/>
      <c r="J119" s="243" t="s">
        <v>68</v>
      </c>
      <c r="K119" s="243"/>
      <c r="L119" s="30"/>
      <c r="M119" s="19"/>
      <c r="P119" s="19"/>
      <c r="Q119" s="18"/>
      <c r="R119" s="32"/>
      <c r="S119" s="32"/>
      <c r="T119" s="32"/>
      <c r="U119" s="18" t="s">
        <v>69</v>
      </c>
      <c r="V119" s="18"/>
      <c r="W119" s="20"/>
      <c r="X119" s="18"/>
      <c r="Y119" s="19"/>
      <c r="Z119" s="19"/>
      <c r="AA119" s="19"/>
      <c r="AB119" s="19"/>
      <c r="AC119" s="19"/>
      <c r="AD119" s="18" t="s">
        <v>70</v>
      </c>
      <c r="AE119" s="29"/>
      <c r="AJ119" s="65"/>
      <c r="AO119" s="31"/>
      <c r="AP119" s="243" t="s">
        <v>68</v>
      </c>
      <c r="AQ119" s="243"/>
      <c r="AR119" s="30"/>
      <c r="AS119" s="19"/>
      <c r="AV119" s="19"/>
      <c r="AW119" s="18"/>
      <c r="AX119" s="32"/>
      <c r="AY119" s="18" t="s">
        <v>69</v>
      </c>
      <c r="AZ119" s="18"/>
      <c r="BA119" s="18"/>
      <c r="BB119" s="18"/>
      <c r="BC119" s="20"/>
      <c r="BD119" s="18"/>
      <c r="BE119" s="19"/>
      <c r="BF119" s="19"/>
      <c r="BG119" s="19"/>
      <c r="BH119" s="19"/>
      <c r="BI119" s="19"/>
      <c r="BJ119" s="18" t="s">
        <v>70</v>
      </c>
      <c r="BK119" s="29"/>
      <c r="BR119" s="34" t="s">
        <v>71</v>
      </c>
      <c r="BS119" s="35"/>
      <c r="BT119" s="35"/>
      <c r="BU119" s="36" t="s">
        <v>16</v>
      </c>
      <c r="BV119" s="37"/>
      <c r="BW119" s="42" t="s">
        <v>72</v>
      </c>
      <c r="BX119" s="43"/>
      <c r="BY119" s="43"/>
      <c r="BZ119" s="40"/>
      <c r="CA119" s="41" t="s">
        <v>22</v>
      </c>
    </row>
    <row r="120" spans="1:95" x14ac:dyDescent="0.25">
      <c r="AJ120" s="65"/>
      <c r="BR120" s="34" t="s">
        <v>73</v>
      </c>
      <c r="BS120" s="35"/>
      <c r="BT120" s="35"/>
      <c r="BU120" s="36" t="s">
        <v>17</v>
      </c>
      <c r="BV120" s="37"/>
      <c r="BW120" s="42" t="s">
        <v>74</v>
      </c>
      <c r="BX120" s="43"/>
      <c r="BY120" s="43"/>
      <c r="BZ120" s="40"/>
      <c r="CA120" s="41" t="s">
        <v>23</v>
      </c>
    </row>
    <row r="121" spans="1:95" x14ac:dyDescent="0.25">
      <c r="AJ121" s="65"/>
      <c r="BR121" s="34" t="s">
        <v>75</v>
      </c>
      <c r="BS121" s="35"/>
      <c r="BT121" s="35"/>
      <c r="BU121" s="36" t="s">
        <v>18</v>
      </c>
      <c r="BV121" s="37"/>
      <c r="BW121" s="38" t="s">
        <v>76</v>
      </c>
      <c r="BX121" s="39"/>
      <c r="BY121" s="39"/>
      <c r="BZ121" s="40"/>
      <c r="CA121" s="41" t="s">
        <v>24</v>
      </c>
    </row>
    <row r="122" spans="1:95" x14ac:dyDescent="0.25">
      <c r="AJ122" s="65"/>
      <c r="BR122" s="34" t="s">
        <v>77</v>
      </c>
      <c r="BS122" s="35"/>
      <c r="BT122" s="35"/>
      <c r="BU122" s="36" t="s">
        <v>19</v>
      </c>
      <c r="BV122" s="37"/>
      <c r="BW122" s="38" t="s">
        <v>78</v>
      </c>
      <c r="BX122" s="39"/>
      <c r="BY122" s="39"/>
      <c r="BZ122" s="40"/>
      <c r="CA122" s="41" t="s">
        <v>25</v>
      </c>
    </row>
    <row r="123" spans="1:95" x14ac:dyDescent="0.25">
      <c r="BR123" s="34" t="s">
        <v>79</v>
      </c>
      <c r="BS123" s="35"/>
      <c r="BT123" s="35"/>
      <c r="BU123" s="36" t="s">
        <v>20</v>
      </c>
      <c r="BV123" s="37"/>
      <c r="BW123" s="37"/>
      <c r="BX123" s="37"/>
      <c r="BY123" s="37"/>
      <c r="BZ123" s="37"/>
      <c r="CA123" s="37"/>
    </row>
    <row r="125" spans="1:95" ht="15.75" x14ac:dyDescent="0.25">
      <c r="CG125" s="53">
        <v>0</v>
      </c>
      <c r="CH125" s="53">
        <v>0</v>
      </c>
      <c r="CI125" s="53">
        <v>0</v>
      </c>
      <c r="CJ125" s="53">
        <v>0</v>
      </c>
      <c r="CK125" s="53">
        <v>0</v>
      </c>
      <c r="CL125" s="53">
        <v>0</v>
      </c>
      <c r="CM125" s="53">
        <v>0</v>
      </c>
      <c r="CN125" s="53">
        <v>0</v>
      </c>
      <c r="CO125" s="53">
        <v>0</v>
      </c>
      <c r="CP125" s="53">
        <v>0</v>
      </c>
      <c r="CQ125" s="55">
        <f>SUM(CG125:CP125)</f>
        <v>0</v>
      </c>
    </row>
    <row r="126" spans="1:95" ht="15.75" x14ac:dyDescent="0.25">
      <c r="BT126" s="37"/>
      <c r="BU126" s="37"/>
      <c r="BV126" s="37"/>
      <c r="BW126" s="37"/>
      <c r="BX126" s="37"/>
      <c r="BY126" s="37"/>
      <c r="BZ126" s="37"/>
      <c r="CA126" s="37"/>
      <c r="CB126" s="37"/>
      <c r="CC126" s="37"/>
      <c r="CG126" s="53">
        <v>0</v>
      </c>
      <c r="CH126" s="53">
        <v>0</v>
      </c>
      <c r="CI126" s="53">
        <v>60</v>
      </c>
      <c r="CJ126" s="53">
        <v>0</v>
      </c>
      <c r="CK126" s="53">
        <v>0</v>
      </c>
      <c r="CL126" s="53">
        <v>0</v>
      </c>
      <c r="CM126" s="53">
        <v>0</v>
      </c>
      <c r="CN126" s="53">
        <v>0</v>
      </c>
      <c r="CO126" s="53">
        <v>11</v>
      </c>
      <c r="CP126" s="53">
        <v>0</v>
      </c>
      <c r="CQ126" s="55">
        <f>SUM(CG126:CP126)</f>
        <v>71</v>
      </c>
    </row>
    <row r="127" spans="1:95" ht="15.75" x14ac:dyDescent="0.25">
      <c r="CG127" s="53">
        <v>0</v>
      </c>
      <c r="CH127" s="53">
        <v>0</v>
      </c>
      <c r="CI127" s="53">
        <v>0</v>
      </c>
      <c r="CJ127" s="53">
        <v>0</v>
      </c>
      <c r="CK127" s="53">
        <v>0</v>
      </c>
      <c r="CL127" s="54">
        <v>7</v>
      </c>
      <c r="CM127" s="54">
        <v>0</v>
      </c>
      <c r="CN127" s="54">
        <v>0</v>
      </c>
      <c r="CO127" s="53">
        <v>0</v>
      </c>
      <c r="CP127" s="53">
        <v>0</v>
      </c>
      <c r="CQ127" s="55">
        <f>SUM(CG127:CP127)</f>
        <v>7</v>
      </c>
    </row>
    <row r="130" spans="1:95" ht="15.75" x14ac:dyDescent="0.25">
      <c r="CG130" s="53">
        <v>0</v>
      </c>
      <c r="CH130" s="53">
        <v>0</v>
      </c>
      <c r="CI130" s="53">
        <v>0</v>
      </c>
      <c r="CJ130" s="53">
        <v>0</v>
      </c>
      <c r="CK130" s="53">
        <v>0</v>
      </c>
      <c r="CL130" s="53">
        <v>0</v>
      </c>
      <c r="CM130" s="54">
        <v>0</v>
      </c>
      <c r="CN130" s="54">
        <v>0</v>
      </c>
      <c r="CO130" s="53">
        <v>0</v>
      </c>
      <c r="CP130" s="53">
        <v>0</v>
      </c>
      <c r="CQ130" s="55">
        <f t="shared" ref="CQ130:CQ138" si="91">SUM(CG130:CP130)</f>
        <v>0</v>
      </c>
    </row>
    <row r="131" spans="1:95" ht="15.75" x14ac:dyDescent="0.25">
      <c r="CG131" s="53">
        <v>0</v>
      </c>
      <c r="CH131" s="53">
        <v>0</v>
      </c>
      <c r="CI131" s="53">
        <v>0</v>
      </c>
      <c r="CJ131" s="53">
        <v>0</v>
      </c>
      <c r="CK131" s="53">
        <v>0</v>
      </c>
      <c r="CL131" s="53">
        <v>1</v>
      </c>
      <c r="CM131" s="53">
        <v>0</v>
      </c>
      <c r="CN131" s="53">
        <v>0</v>
      </c>
      <c r="CO131" s="53">
        <v>0</v>
      </c>
      <c r="CP131" s="53">
        <v>0</v>
      </c>
      <c r="CQ131" s="55">
        <f t="shared" si="91"/>
        <v>1</v>
      </c>
    </row>
    <row r="132" spans="1:95" ht="21.75" customHeight="1" x14ac:dyDescent="0.25">
      <c r="A132" s="44">
        <v>66</v>
      </c>
      <c r="B132" s="11" t="s">
        <v>161</v>
      </c>
      <c r="C132" s="82" t="s">
        <v>162</v>
      </c>
      <c r="D132" s="87">
        <v>45929</v>
      </c>
      <c r="E132" s="124">
        <v>46266.353449074071</v>
      </c>
      <c r="F132" s="124">
        <v>46264.95103009259</v>
      </c>
      <c r="G132" s="124">
        <v>46267.353310185186</v>
      </c>
      <c r="H132" s="124">
        <v>46267.975497685184</v>
      </c>
      <c r="I132" s="124">
        <v>46268.353020833332</v>
      </c>
      <c r="J132" s="124">
        <v>46268.94253472222</v>
      </c>
      <c r="K132" s="124">
        <v>46269.571099537039</v>
      </c>
      <c r="L132" s="124">
        <v>46269.911006944443</v>
      </c>
      <c r="M132" s="124">
        <v>46270.343680555554</v>
      </c>
      <c r="N132" s="124">
        <v>46270.880439814813</v>
      </c>
      <c r="O132" s="124">
        <v>0</v>
      </c>
      <c r="P132" s="124">
        <v>0</v>
      </c>
      <c r="Q132" s="124">
        <v>46272.342256944445</v>
      </c>
      <c r="R132" s="124">
        <v>46272.938981481479</v>
      </c>
      <c r="S132" s="124">
        <v>46273.34474537037</v>
      </c>
      <c r="T132" s="124">
        <v>46273.941192129627</v>
      </c>
      <c r="U132" s="124">
        <v>46274.353692129633</v>
      </c>
      <c r="V132" s="124">
        <v>46274.960069444445</v>
      </c>
      <c r="W132" s="124">
        <v>46275.345775462964</v>
      </c>
      <c r="X132" s="124">
        <v>46275.95857638889</v>
      </c>
      <c r="Y132" s="178" t="s">
        <v>15</v>
      </c>
      <c r="Z132" s="178" t="s">
        <v>15</v>
      </c>
      <c r="AA132" s="124">
        <v>46277.352870370371</v>
      </c>
      <c r="AB132" s="124">
        <v>46277.961851851855</v>
      </c>
      <c r="AC132" s="124">
        <v>46278.354594907411</v>
      </c>
      <c r="AD132" s="124">
        <v>46278.962199074071</v>
      </c>
      <c r="AE132" s="124">
        <v>46279.354386574072</v>
      </c>
      <c r="AF132" s="124">
        <v>46279.959189814814</v>
      </c>
      <c r="AG132" s="124">
        <v>46280.355150462965</v>
      </c>
      <c r="AH132" s="124">
        <v>46280.932673611111</v>
      </c>
      <c r="AI132" s="110"/>
      <c r="AJ132" s="44">
        <v>66</v>
      </c>
      <c r="AK132" s="124">
        <v>46281.353761574072</v>
      </c>
      <c r="AL132" s="124">
        <v>46281.897581018522</v>
      </c>
      <c r="AM132" s="124">
        <v>0</v>
      </c>
      <c r="AN132" s="124">
        <v>46282.89980324074</v>
      </c>
      <c r="AO132" s="124">
        <v>0</v>
      </c>
      <c r="AP132" s="124">
        <v>46283.89203703704</v>
      </c>
      <c r="AQ132" s="124">
        <v>46284.351886574077</v>
      </c>
      <c r="AR132" s="124">
        <v>46284.954687500001</v>
      </c>
      <c r="AS132" s="124">
        <v>46285.354502314818</v>
      </c>
      <c r="AT132" s="124">
        <v>46285.92627314815</v>
      </c>
      <c r="AU132" s="124">
        <v>46286.346354166664</v>
      </c>
      <c r="AV132" s="124">
        <v>46286.931145833332</v>
      </c>
      <c r="AW132" s="124">
        <v>46287.352638888886</v>
      </c>
      <c r="AX132" s="124">
        <v>46287.931122685186</v>
      </c>
      <c r="AY132" s="124">
        <v>46288.35255787037</v>
      </c>
      <c r="AZ132" s="124">
        <v>46288.952118055553</v>
      </c>
      <c r="BA132" s="124">
        <v>46289.354791666665</v>
      </c>
      <c r="BB132" s="124">
        <v>46289.949513888889</v>
      </c>
      <c r="BC132" s="234" t="s">
        <v>15</v>
      </c>
      <c r="BD132" s="234" t="s">
        <v>15</v>
      </c>
      <c r="BE132" s="124">
        <v>46291.330682870372</v>
      </c>
      <c r="BF132" s="124">
        <v>46291.950289351851</v>
      </c>
      <c r="BG132" s="124">
        <v>46292.334143518521</v>
      </c>
      <c r="BH132" s="124">
        <v>46292.902060185188</v>
      </c>
      <c r="BI132" s="124">
        <v>46293.3283912037</v>
      </c>
      <c r="BJ132" s="124">
        <v>46293.923634259256</v>
      </c>
      <c r="BK132" s="124">
        <v>46294.334074074075</v>
      </c>
      <c r="BL132" s="124">
        <v>46294.914907407408</v>
      </c>
      <c r="BM132" s="124">
        <v>46295.33222222222</v>
      </c>
      <c r="BN132" s="124">
        <v>46295.945127314815</v>
      </c>
      <c r="BO132" s="152">
        <v>46265.35224537037</v>
      </c>
      <c r="BP132" s="152">
        <v>46265.940127314818</v>
      </c>
      <c r="BQ132" s="96">
        <f>BS132+BT132+BV132+CA132+BY132+BZ132+CD132+BU132</f>
        <v>30</v>
      </c>
      <c r="BR132" s="67">
        <v>2</v>
      </c>
      <c r="BS132" s="1">
        <f>COUNT(E132:AH132)/2+COUNT(AK132:BN132)/2</f>
        <v>28</v>
      </c>
      <c r="BT132" s="2">
        <f>COUNTIF(E132:BN132,"OFF")/2</f>
        <v>2</v>
      </c>
      <c r="BU132" s="2">
        <f>COUNTIF(E132:BN132,"MC")/2</f>
        <v>0</v>
      </c>
      <c r="BV132" s="2">
        <f>COUNTIF(E132:BN132,"EL")/2</f>
        <v>0</v>
      </c>
      <c r="BW132" s="2">
        <f>COUNTIF(E132:BN132,"AL")/2</f>
        <v>0</v>
      </c>
      <c r="BX132" s="2">
        <f>COUNTIF(E132:BN132,"SUS")/2</f>
        <v>0</v>
      </c>
      <c r="BY132" s="2">
        <f>COUNTIF(E132:BN132,"FL")/2</f>
        <v>0</v>
      </c>
      <c r="BZ132" s="2">
        <f>COUNTIF(E132:BN132,"SICK")/2</f>
        <v>0</v>
      </c>
      <c r="CA132" s="2">
        <f>COUNTIF(E132:BN132,"HD")/2</f>
        <v>0</v>
      </c>
      <c r="CB132" s="2">
        <f>COUNTIF(E132:BN132,"AB")/2</f>
        <v>0</v>
      </c>
      <c r="CC132" s="2">
        <f>COUNTIF(E132:BN132,"NL")/2</f>
        <v>0</v>
      </c>
      <c r="CD132" s="2">
        <f>COUNTIF(E132:BN132,"SP")/2</f>
        <v>0</v>
      </c>
      <c r="CE132" s="3"/>
      <c r="CG132" s="54">
        <v>0</v>
      </c>
      <c r="CH132" s="53">
        <v>0</v>
      </c>
      <c r="CI132" s="53">
        <v>0</v>
      </c>
      <c r="CJ132" s="53">
        <v>0</v>
      </c>
      <c r="CK132" s="53">
        <v>0</v>
      </c>
      <c r="CL132" s="53">
        <v>0</v>
      </c>
      <c r="CM132" s="53">
        <v>0</v>
      </c>
      <c r="CN132" s="53">
        <v>0</v>
      </c>
      <c r="CO132" s="53">
        <v>0</v>
      </c>
      <c r="CP132" s="53">
        <v>0</v>
      </c>
      <c r="CQ132" s="117">
        <f>SUM(CG132:CP132)</f>
        <v>0</v>
      </c>
    </row>
    <row r="133" spans="1:95" ht="21.75" customHeight="1" x14ac:dyDescent="0.25">
      <c r="A133" s="44">
        <v>37</v>
      </c>
      <c r="B133" s="11" t="s">
        <v>80</v>
      </c>
      <c r="C133" s="77" t="s">
        <v>81</v>
      </c>
      <c r="D133" s="87">
        <v>41196</v>
      </c>
      <c r="E133" s="124">
        <v>46266.352650462963</v>
      </c>
      <c r="F133" s="124">
        <v>46264.941041666665</v>
      </c>
      <c r="G133" s="124">
        <v>46267.35392361111</v>
      </c>
      <c r="H133" s="124">
        <v>46267.976006944446</v>
      </c>
      <c r="I133" s="124">
        <v>46268.353750000002</v>
      </c>
      <c r="J133" s="124">
        <v>46268.958749999998</v>
      </c>
      <c r="K133" s="124">
        <v>46269.579745370371</v>
      </c>
      <c r="L133" s="124">
        <v>46269.991643518515</v>
      </c>
      <c r="M133" s="124">
        <v>46270.353541666664</v>
      </c>
      <c r="N133" s="124">
        <v>46270.953888888886</v>
      </c>
      <c r="O133" s="124">
        <v>46271.352465277778</v>
      </c>
      <c r="P133" s="124">
        <v>46271.941481481481</v>
      </c>
      <c r="Q133" s="124">
        <v>46272.353993055556</v>
      </c>
      <c r="R133" s="124"/>
      <c r="S133" s="124">
        <v>46273.354421296295</v>
      </c>
      <c r="T133" s="124"/>
      <c r="U133" s="124">
        <v>46274.353217592594</v>
      </c>
      <c r="V133" s="124"/>
      <c r="W133" s="124">
        <v>46275.354409722226</v>
      </c>
      <c r="X133" s="124"/>
      <c r="Y133" s="124"/>
      <c r="Z133" s="124"/>
      <c r="AA133" s="124"/>
      <c r="AB133" s="124"/>
      <c r="AC133" s="124"/>
      <c r="AD133" s="124"/>
      <c r="AE133" s="124"/>
      <c r="AF133" s="124"/>
      <c r="AG133" s="124"/>
      <c r="AH133" s="124"/>
      <c r="AI133" s="110"/>
      <c r="AJ133" s="44">
        <v>25</v>
      </c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  <c r="BA133" s="124"/>
      <c r="BB133" s="124"/>
      <c r="BC133" s="124"/>
      <c r="BD133" s="124"/>
      <c r="BE133" s="124"/>
      <c r="BF133" s="124"/>
      <c r="BG133" s="124"/>
      <c r="BH133" s="124"/>
      <c r="BI133" s="124"/>
      <c r="BJ133" s="124"/>
      <c r="BK133" s="124"/>
      <c r="BL133" s="124"/>
      <c r="BM133" s="124"/>
      <c r="BN133" s="176"/>
      <c r="BO133" s="152">
        <v>46265.352662037039</v>
      </c>
      <c r="BP133" s="152">
        <v>46265.942812499998</v>
      </c>
      <c r="BQ133" s="96">
        <f t="shared" ref="BQ133:BQ138" si="92">BS133+BT133+BV133+CA133+BY133+BZ133+CD133+BU133</f>
        <v>8</v>
      </c>
      <c r="BR133" s="67"/>
      <c r="BS133" s="1">
        <f>COUNT(E133:AH133)/2+COUNT(AK133:BN133)/2</f>
        <v>8</v>
      </c>
      <c r="BT133" s="2">
        <f t="shared" ref="BT133:BT138" si="93">COUNTIF(E133:BN133,"OFF")/2</f>
        <v>0</v>
      </c>
      <c r="BU133" s="2">
        <f t="shared" ref="BU133:BU138" si="94">COUNTIF(E133:BN133,"MC")/2</f>
        <v>0</v>
      </c>
      <c r="BV133" s="2">
        <f t="shared" ref="BV133:BV138" si="95">COUNTIF(E133:BN133,"EL")/2</f>
        <v>0</v>
      </c>
      <c r="BW133" s="2">
        <f t="shared" ref="BW133:BW138" si="96">COUNTIF(E133:BN133,"AL")/2</f>
        <v>0</v>
      </c>
      <c r="BX133" s="2">
        <f t="shared" ref="BX133:BX138" si="97">COUNTIF(E133:BN133,"SUS")/2</f>
        <v>0</v>
      </c>
      <c r="BY133" s="2">
        <f t="shared" ref="BY133:BY138" si="98">COUNTIF(E133:BN133,"FL")/2</f>
        <v>0</v>
      </c>
      <c r="BZ133" s="2">
        <f t="shared" ref="BZ133:BZ138" si="99">COUNTIF(E133:BN133,"SICK")/2</f>
        <v>0</v>
      </c>
      <c r="CA133" s="2">
        <f t="shared" ref="CA133:CA138" si="100">COUNTIF(E133:BN133,"HD")/2</f>
        <v>0</v>
      </c>
      <c r="CB133" s="2">
        <f t="shared" ref="CB133:CB138" si="101">COUNTIF(E133:BN133,"AB")/2</f>
        <v>0</v>
      </c>
      <c r="CC133" s="2">
        <f t="shared" ref="CC133:CC138" si="102">COUNTIF(E133:BN133,"NL")/2</f>
        <v>0</v>
      </c>
      <c r="CD133" s="2">
        <f t="shared" ref="CD133:CD138" si="103">COUNTIF(E133:BN133,"SP")/2</f>
        <v>0</v>
      </c>
      <c r="CE133" s="3"/>
      <c r="CG133" s="113">
        <v>0</v>
      </c>
      <c r="CH133" s="114">
        <v>0</v>
      </c>
      <c r="CI133" s="114">
        <v>0</v>
      </c>
      <c r="CJ133" s="114">
        <v>0</v>
      </c>
      <c r="CK133" s="114">
        <v>1</v>
      </c>
      <c r="CL133" s="114">
        <v>0</v>
      </c>
      <c r="CM133" s="114">
        <v>0</v>
      </c>
      <c r="CN133" s="114">
        <v>0</v>
      </c>
      <c r="CO133" s="114">
        <v>0</v>
      </c>
      <c r="CP133" s="114">
        <v>0</v>
      </c>
      <c r="CQ133" s="115">
        <f>SUM(CG133:CP133)</f>
        <v>1</v>
      </c>
    </row>
    <row r="134" spans="1:95" s="170" customFormat="1" ht="21" customHeight="1" x14ac:dyDescent="0.25">
      <c r="A134" s="161">
        <v>17</v>
      </c>
      <c r="B134" s="162" t="s">
        <v>45</v>
      </c>
      <c r="C134" s="163" t="s">
        <v>46</v>
      </c>
      <c r="D134" s="164">
        <v>45654</v>
      </c>
      <c r="E134" s="125">
        <v>46235.335393518515</v>
      </c>
      <c r="F134" s="125">
        <v>46235.941689814812</v>
      </c>
      <c r="G134" s="125">
        <v>46236.346990740742</v>
      </c>
      <c r="H134" s="125">
        <v>46236.939432870371</v>
      </c>
      <c r="I134" s="125">
        <v>46237.340520833335</v>
      </c>
      <c r="J134" s="125">
        <v>46237.937708333331</v>
      </c>
      <c r="K134" s="125">
        <v>46238.341111111113</v>
      </c>
      <c r="L134" s="125">
        <v>46238.945254629631</v>
      </c>
      <c r="M134" s="125">
        <v>46239.353298611109</v>
      </c>
      <c r="N134" s="125">
        <v>46239.932511574072</v>
      </c>
      <c r="O134" s="125">
        <v>46240.336284722223</v>
      </c>
      <c r="P134" s="125">
        <v>46240.93849537037</v>
      </c>
      <c r="Q134" s="125">
        <v>46241.562777777777</v>
      </c>
      <c r="R134" s="125">
        <v>1</v>
      </c>
      <c r="S134" s="125">
        <v>46242.349259259259</v>
      </c>
      <c r="T134" s="125">
        <v>46242.938287037039</v>
      </c>
      <c r="U134" s="125">
        <v>46243.344386574077</v>
      </c>
      <c r="V134" s="125">
        <v>46243.936354166668</v>
      </c>
      <c r="W134" s="125">
        <v>46244.341585648152</v>
      </c>
      <c r="X134" s="125">
        <v>46244.937928240739</v>
      </c>
      <c r="Y134" s="125">
        <v>46245.330937500003</v>
      </c>
      <c r="Z134" s="125">
        <v>46245.933981481481</v>
      </c>
      <c r="AA134" s="125">
        <v>46246.335312499999</v>
      </c>
      <c r="AB134" s="125">
        <v>46246.937974537039</v>
      </c>
      <c r="AC134" s="125">
        <v>46247.33693287037</v>
      </c>
      <c r="AD134" s="125">
        <v>46247.926319444443</v>
      </c>
      <c r="AE134" s="125">
        <v>46248.561932870369</v>
      </c>
      <c r="AF134" s="125">
        <v>1</v>
      </c>
      <c r="AG134" s="125">
        <v>46249.339953703704</v>
      </c>
      <c r="AH134" s="125">
        <v>46249.937847222223</v>
      </c>
      <c r="AI134" s="125"/>
      <c r="AJ134" s="161">
        <v>17</v>
      </c>
      <c r="AK134" s="125">
        <v>46250.334953703707</v>
      </c>
      <c r="AL134" s="125">
        <v>46262.924155092594</v>
      </c>
      <c r="AM134" s="125" t="s">
        <v>170</v>
      </c>
      <c r="AN134" s="125" t="s">
        <v>170</v>
      </c>
      <c r="AO134" s="125">
        <v>46252.338020833333</v>
      </c>
      <c r="AP134" s="125">
        <v>46252.930497685185</v>
      </c>
      <c r="AQ134" s="125">
        <v>46253.339108796295</v>
      </c>
      <c r="AR134" s="125">
        <v>46253.938680555555</v>
      </c>
      <c r="AS134" s="125">
        <v>46254.33017361111</v>
      </c>
      <c r="AT134" s="125">
        <v>46254.939004629632</v>
      </c>
      <c r="AU134" s="125">
        <v>46255.566516203704</v>
      </c>
      <c r="AV134" s="125">
        <v>46255.925416666665</v>
      </c>
      <c r="AW134" s="125">
        <v>46256.336342592593</v>
      </c>
      <c r="AX134" s="125">
        <v>46256.956574074073</v>
      </c>
      <c r="AY134" s="125">
        <v>46257.343460648146</v>
      </c>
      <c r="AZ134" s="125">
        <v>46257.932037037041</v>
      </c>
      <c r="BA134" s="125">
        <v>46258.350358796299</v>
      </c>
      <c r="BB134" s="125">
        <v>46258.93855324074</v>
      </c>
      <c r="BC134" s="125">
        <v>46259.346597222226</v>
      </c>
      <c r="BD134" s="125">
        <v>46259.937256944446</v>
      </c>
      <c r="BE134" s="125">
        <v>46260.3516087963</v>
      </c>
      <c r="BF134" s="125">
        <v>46260.936331018522</v>
      </c>
      <c r="BG134" s="125">
        <v>46261.349224537036</v>
      </c>
      <c r="BH134" s="125">
        <v>46261.997499999998</v>
      </c>
      <c r="BI134" s="125">
        <v>0</v>
      </c>
      <c r="BJ134" s="125">
        <v>46262.924155092594</v>
      </c>
      <c r="BK134" s="125">
        <v>46263.346886574072</v>
      </c>
      <c r="BL134" s="125">
        <v>46263.940254629626</v>
      </c>
      <c r="BM134" s="125">
        <v>46264.350497685184</v>
      </c>
      <c r="BN134" s="125">
        <v>46264.709421296298</v>
      </c>
      <c r="BO134" s="125">
        <v>46265.335775462961</v>
      </c>
      <c r="BP134" s="125">
        <v>46265.9452662037</v>
      </c>
      <c r="BQ134" s="165">
        <f t="shared" si="92"/>
        <v>31</v>
      </c>
      <c r="BR134" s="166">
        <v>5</v>
      </c>
      <c r="BS134" s="167">
        <f>COUNT(E134:AH134)/2+COUNT(AK134:BP134)/2</f>
        <v>30</v>
      </c>
      <c r="BT134" s="168">
        <f t="shared" si="93"/>
        <v>0</v>
      </c>
      <c r="BU134" s="168">
        <f t="shared" si="94"/>
        <v>0</v>
      </c>
      <c r="BV134" s="168">
        <f t="shared" si="95"/>
        <v>0</v>
      </c>
      <c r="BW134" s="168">
        <f t="shared" si="96"/>
        <v>0</v>
      </c>
      <c r="BX134" s="168">
        <f t="shared" si="97"/>
        <v>0</v>
      </c>
      <c r="BY134" s="168">
        <f t="shared" si="98"/>
        <v>0</v>
      </c>
      <c r="BZ134" s="168">
        <f t="shared" si="99"/>
        <v>1</v>
      </c>
      <c r="CA134" s="168">
        <f t="shared" si="100"/>
        <v>0</v>
      </c>
      <c r="CB134" s="168">
        <f t="shared" si="101"/>
        <v>0</v>
      </c>
      <c r="CC134" s="168">
        <f t="shared" si="102"/>
        <v>0</v>
      </c>
      <c r="CD134" s="168">
        <f t="shared" si="103"/>
        <v>0</v>
      </c>
      <c r="CE134" s="169" t="s">
        <v>264</v>
      </c>
      <c r="CG134" s="171">
        <v>0</v>
      </c>
      <c r="CH134" s="171">
        <v>0</v>
      </c>
      <c r="CI134" s="171">
        <v>0</v>
      </c>
      <c r="CJ134" s="171">
        <v>0</v>
      </c>
      <c r="CK134" s="171">
        <v>0</v>
      </c>
      <c r="CL134" s="172">
        <v>4</v>
      </c>
      <c r="CM134" s="171">
        <v>0</v>
      </c>
      <c r="CN134" s="171">
        <v>0</v>
      </c>
      <c r="CO134" s="171">
        <v>0</v>
      </c>
      <c r="CP134" s="171">
        <v>0</v>
      </c>
      <c r="CQ134" s="173">
        <f t="shared" si="91"/>
        <v>4</v>
      </c>
    </row>
    <row r="135" spans="1:95" ht="21" customHeight="1" x14ac:dyDescent="0.25">
      <c r="A135" s="10">
        <v>13</v>
      </c>
      <c r="B135" s="11" t="s">
        <v>49</v>
      </c>
      <c r="C135" s="8" t="s">
        <v>50</v>
      </c>
      <c r="D135" s="85">
        <v>38713</v>
      </c>
      <c r="E135" s="124">
        <v>46235.328194444446</v>
      </c>
      <c r="F135" s="124">
        <v>1</v>
      </c>
      <c r="G135" s="124">
        <v>46236.338888888888</v>
      </c>
      <c r="H135" s="124">
        <v>1</v>
      </c>
      <c r="I135" s="124">
        <v>46237.007430555554</v>
      </c>
      <c r="J135" s="124">
        <v>46237.97415509259</v>
      </c>
      <c r="K135" s="124">
        <v>46238.349594907406</v>
      </c>
      <c r="L135" s="124">
        <v>1</v>
      </c>
      <c r="M135" s="124">
        <v>46239.351643518516</v>
      </c>
      <c r="N135" s="124">
        <v>1</v>
      </c>
      <c r="O135" s="124">
        <v>46240.347870370373</v>
      </c>
      <c r="P135" s="124">
        <v>1</v>
      </c>
      <c r="Q135" s="126" t="s">
        <v>15</v>
      </c>
      <c r="R135" s="126" t="s">
        <v>15</v>
      </c>
      <c r="S135" s="124">
        <v>46242.318229166667</v>
      </c>
      <c r="T135" s="124">
        <v>46242.992280092592</v>
      </c>
      <c r="U135" s="124">
        <v>46243.324618055558</v>
      </c>
      <c r="V135" s="124">
        <v>1</v>
      </c>
      <c r="W135" s="124">
        <v>46244.319328703707</v>
      </c>
      <c r="X135" s="124">
        <v>46244.97216435185</v>
      </c>
      <c r="Y135" s="124">
        <v>46245.329618055555</v>
      </c>
      <c r="Z135" s="124">
        <v>1</v>
      </c>
      <c r="AA135" s="124">
        <v>46246.348425925928</v>
      </c>
      <c r="AB135" s="124">
        <v>1</v>
      </c>
      <c r="AC135" s="124">
        <v>46247.340624999997</v>
      </c>
      <c r="AD135" s="124">
        <v>1</v>
      </c>
      <c r="AE135" s="124">
        <v>46248.56759259259</v>
      </c>
      <c r="AF135" s="124">
        <v>1</v>
      </c>
      <c r="AG135" s="124">
        <v>46249.346770833334</v>
      </c>
      <c r="AH135" s="124">
        <v>46250.016192129631</v>
      </c>
      <c r="AI135" s="124"/>
      <c r="AJ135" s="44">
        <v>13</v>
      </c>
      <c r="AK135" s="124">
        <v>46250.347905092596</v>
      </c>
      <c r="AL135" s="124">
        <v>46250.973101851851</v>
      </c>
      <c r="AM135" s="131">
        <v>46251.345891203702</v>
      </c>
      <c r="AN135" s="124">
        <v>46251.971030092594</v>
      </c>
      <c r="AO135" s="124">
        <v>46252.346273148149</v>
      </c>
      <c r="AP135" s="124">
        <v>46252.969131944446</v>
      </c>
      <c r="AQ135" s="124">
        <v>46253.351967592593</v>
      </c>
      <c r="AR135" s="124">
        <v>0</v>
      </c>
      <c r="AS135" s="124">
        <v>46254.342499999999</v>
      </c>
      <c r="AT135" s="124">
        <v>46254.989374999997</v>
      </c>
      <c r="AU135" s="126" t="s">
        <v>15</v>
      </c>
      <c r="AV135" s="126" t="s">
        <v>15</v>
      </c>
      <c r="AW135" s="124">
        <v>46256.350752314815</v>
      </c>
      <c r="AX135" s="124">
        <v>46256.987256944441</v>
      </c>
      <c r="AY135" s="124">
        <v>46257.347453703704</v>
      </c>
      <c r="AZ135" s="124">
        <v>46257.967719907407</v>
      </c>
      <c r="BA135" s="124">
        <v>46258.344155092593</v>
      </c>
      <c r="BB135" s="124">
        <v>46258.964699074073</v>
      </c>
      <c r="BC135" s="124">
        <v>46259.347719907404</v>
      </c>
      <c r="BD135" s="124">
        <v>46259.990902777776</v>
      </c>
      <c r="BE135" s="124">
        <v>46260.346608796295</v>
      </c>
      <c r="BF135" s="124">
        <v>46260.979363425926</v>
      </c>
      <c r="BG135" s="124">
        <v>46261.34716435185</v>
      </c>
      <c r="BH135" s="124">
        <v>46261.987210648149</v>
      </c>
      <c r="BI135" s="124">
        <v>46262.579305555555</v>
      </c>
      <c r="BJ135" s="124">
        <v>46262.981481481482</v>
      </c>
      <c r="BK135" s="124">
        <v>46263.34957175926</v>
      </c>
      <c r="BL135" s="124">
        <v>46263.984039351853</v>
      </c>
      <c r="BM135" s="124">
        <v>46264.338113425925</v>
      </c>
      <c r="BN135" s="124">
        <v>46264.962557870371</v>
      </c>
      <c r="BO135" s="124">
        <v>46265.351759259262</v>
      </c>
      <c r="BP135" s="124">
        <v>46265.962719907409</v>
      </c>
      <c r="BQ135" s="96">
        <f t="shared" si="92"/>
        <v>31</v>
      </c>
      <c r="BR135" s="67">
        <v>2</v>
      </c>
      <c r="BS135" s="1">
        <f>COUNT(E135:AH135)/2+COUNT(AK135:BP135)/2</f>
        <v>29</v>
      </c>
      <c r="BT135" s="2">
        <f t="shared" si="93"/>
        <v>2</v>
      </c>
      <c r="BU135" s="2">
        <f t="shared" si="94"/>
        <v>0</v>
      </c>
      <c r="BV135" s="2">
        <f t="shared" si="95"/>
        <v>0</v>
      </c>
      <c r="BW135" s="2">
        <f t="shared" si="96"/>
        <v>0</v>
      </c>
      <c r="BX135" s="2">
        <f t="shared" si="97"/>
        <v>0</v>
      </c>
      <c r="BY135" s="2">
        <f t="shared" si="98"/>
        <v>0</v>
      </c>
      <c r="BZ135" s="2">
        <f t="shared" si="99"/>
        <v>0</v>
      </c>
      <c r="CA135" s="2">
        <f t="shared" si="100"/>
        <v>0</v>
      </c>
      <c r="CB135" s="2">
        <f t="shared" si="101"/>
        <v>0</v>
      </c>
      <c r="CC135" s="2">
        <f t="shared" si="102"/>
        <v>0</v>
      </c>
      <c r="CD135" s="2">
        <f t="shared" si="103"/>
        <v>0</v>
      </c>
      <c r="CE135" s="70"/>
      <c r="CG135" s="53">
        <v>0</v>
      </c>
      <c r="CH135" s="54">
        <v>5</v>
      </c>
      <c r="CI135" s="53">
        <v>0</v>
      </c>
      <c r="CJ135" s="53">
        <v>0</v>
      </c>
      <c r="CK135" s="53">
        <v>0</v>
      </c>
      <c r="CL135" s="53">
        <v>0</v>
      </c>
      <c r="CM135" s="53">
        <v>0</v>
      </c>
      <c r="CN135" s="53">
        <v>0</v>
      </c>
      <c r="CO135" s="53">
        <v>0</v>
      </c>
      <c r="CP135" s="53">
        <v>0</v>
      </c>
      <c r="CQ135" s="55">
        <f t="shared" si="91"/>
        <v>5</v>
      </c>
    </row>
    <row r="136" spans="1:95" ht="21.75" customHeight="1" x14ac:dyDescent="0.25">
      <c r="A136" s="44">
        <v>49</v>
      </c>
      <c r="B136" s="11" t="s">
        <v>125</v>
      </c>
      <c r="C136" s="77" t="s">
        <v>126</v>
      </c>
      <c r="D136" s="87">
        <v>45491</v>
      </c>
      <c r="E136" s="124">
        <v>46235.353703703702</v>
      </c>
      <c r="F136" s="124">
        <v>46235.980462962965</v>
      </c>
      <c r="G136" s="124">
        <v>46236.354444444441</v>
      </c>
      <c r="H136" s="124">
        <v>46236.991655092592</v>
      </c>
      <c r="I136" s="124">
        <v>46237.353680555556</v>
      </c>
      <c r="J136" s="124">
        <v>46237.969293981485</v>
      </c>
      <c r="K136" s="124">
        <v>46238.353321759256</v>
      </c>
      <c r="L136" s="124">
        <v>46238.944537037038</v>
      </c>
      <c r="M136" s="124">
        <v>46239.353182870371</v>
      </c>
      <c r="N136" s="124">
        <v>46239.965127314812</v>
      </c>
      <c r="O136" s="124">
        <v>46240.354062500002</v>
      </c>
      <c r="P136" s="124">
        <v>46240.970486111109</v>
      </c>
      <c r="Q136" s="124">
        <v>46241.582152777781</v>
      </c>
      <c r="R136" s="124">
        <v>46241.93408564815</v>
      </c>
      <c r="S136" s="124">
        <v>46242.353055555555</v>
      </c>
      <c r="T136" s="124">
        <v>46242.987881944442</v>
      </c>
      <c r="U136" s="124">
        <v>46243.353622685187</v>
      </c>
      <c r="V136" s="124">
        <v>46243.937581018516</v>
      </c>
      <c r="W136" s="124">
        <v>46244.353460648148</v>
      </c>
      <c r="X136" s="124">
        <v>46244.966226851851</v>
      </c>
      <c r="Y136" s="124">
        <v>46245.352141203701</v>
      </c>
      <c r="Z136" s="124">
        <v>46245.92597222222</v>
      </c>
      <c r="AA136" s="124">
        <v>46246.352268518516</v>
      </c>
      <c r="AB136" s="124">
        <v>46246.993807870371</v>
      </c>
      <c r="AC136" s="124">
        <v>46247.354143518518</v>
      </c>
      <c r="AD136" s="124">
        <v>46247.966990740744</v>
      </c>
      <c r="AE136" s="126" t="s">
        <v>15</v>
      </c>
      <c r="AF136" s="126" t="s">
        <v>15</v>
      </c>
      <c r="AG136" s="124">
        <v>46249.353148148148</v>
      </c>
      <c r="AH136" s="124">
        <v>46249.972037037034</v>
      </c>
      <c r="AI136" s="110"/>
      <c r="AJ136" s="44">
        <v>49</v>
      </c>
      <c r="AK136" s="129">
        <v>46250.352835648147</v>
      </c>
      <c r="AL136" s="129">
        <v>46250.948761574073</v>
      </c>
      <c r="AM136" s="129">
        <v>46251.353449074071</v>
      </c>
      <c r="AN136" s="129">
        <v>46251.956944444442</v>
      </c>
      <c r="AO136" s="129">
        <v>46252.353715277779</v>
      </c>
      <c r="AP136" s="129">
        <v>46252.942349537036</v>
      </c>
      <c r="AQ136" s="129">
        <v>46253.353645833333</v>
      </c>
      <c r="AR136" s="129">
        <v>46253.986678240741</v>
      </c>
      <c r="AS136" s="129">
        <v>46254.352638888886</v>
      </c>
      <c r="AT136" s="129">
        <v>46254.947546296295</v>
      </c>
      <c r="AU136" s="129">
        <v>46255.583101851851</v>
      </c>
      <c r="AV136" s="129">
        <v>46255.917326388888</v>
      </c>
      <c r="AW136" s="125" t="s">
        <v>18</v>
      </c>
      <c r="AX136" s="125" t="s">
        <v>18</v>
      </c>
      <c r="AY136" s="125" t="s">
        <v>18</v>
      </c>
      <c r="AZ136" s="125" t="s">
        <v>18</v>
      </c>
      <c r="BA136" s="125" t="s">
        <v>18</v>
      </c>
      <c r="BB136" s="125" t="s">
        <v>18</v>
      </c>
      <c r="BC136" s="125" t="s">
        <v>18</v>
      </c>
      <c r="BD136" s="125" t="s">
        <v>18</v>
      </c>
      <c r="BE136" s="125" t="s">
        <v>18</v>
      </c>
      <c r="BF136" s="125" t="s">
        <v>18</v>
      </c>
      <c r="BG136" s="125" t="s">
        <v>18</v>
      </c>
      <c r="BH136" s="125" t="s">
        <v>18</v>
      </c>
      <c r="BI136" s="125" t="s">
        <v>18</v>
      </c>
      <c r="BJ136" s="125" t="s">
        <v>18</v>
      </c>
      <c r="BK136" s="125" t="s">
        <v>18</v>
      </c>
      <c r="BL136" s="125" t="s">
        <v>18</v>
      </c>
      <c r="BM136" s="125" t="s">
        <v>18</v>
      </c>
      <c r="BN136" s="125" t="s">
        <v>18</v>
      </c>
      <c r="BO136" s="125" t="s">
        <v>18</v>
      </c>
      <c r="BP136" s="125" t="s">
        <v>18</v>
      </c>
      <c r="BQ136" s="96">
        <f t="shared" si="92"/>
        <v>21</v>
      </c>
      <c r="BR136" s="67">
        <v>3</v>
      </c>
      <c r="BS136" s="1">
        <f>COUNT(E136:AH136)/2+COUNT(AK136:BP136)/2</f>
        <v>20</v>
      </c>
      <c r="BT136" s="2">
        <f t="shared" si="93"/>
        <v>1</v>
      </c>
      <c r="BU136" s="2">
        <f t="shared" si="94"/>
        <v>0</v>
      </c>
      <c r="BV136" s="2">
        <f t="shared" si="95"/>
        <v>0</v>
      </c>
      <c r="BW136" s="2">
        <f t="shared" si="96"/>
        <v>9</v>
      </c>
      <c r="BX136" s="2">
        <f t="shared" si="97"/>
        <v>0</v>
      </c>
      <c r="BY136" s="2">
        <f t="shared" si="98"/>
        <v>0</v>
      </c>
      <c r="BZ136" s="2">
        <f t="shared" si="99"/>
        <v>0</v>
      </c>
      <c r="CA136" s="2">
        <f t="shared" si="100"/>
        <v>0</v>
      </c>
      <c r="CB136" s="2">
        <f t="shared" si="101"/>
        <v>0</v>
      </c>
      <c r="CC136" s="2">
        <f t="shared" si="102"/>
        <v>0</v>
      </c>
      <c r="CD136" s="2">
        <f t="shared" si="103"/>
        <v>0</v>
      </c>
      <c r="CE136" s="3"/>
      <c r="CG136" s="113">
        <v>0</v>
      </c>
      <c r="CH136" s="114">
        <v>0</v>
      </c>
      <c r="CI136" s="114">
        <v>0</v>
      </c>
      <c r="CJ136" s="114">
        <v>0</v>
      </c>
      <c r="CK136" s="114">
        <v>0</v>
      </c>
      <c r="CL136" s="113">
        <v>4</v>
      </c>
      <c r="CM136" s="114">
        <v>0</v>
      </c>
      <c r="CN136" s="113">
        <v>5</v>
      </c>
      <c r="CO136" s="114">
        <v>0</v>
      </c>
      <c r="CP136" s="114">
        <v>0</v>
      </c>
      <c r="CQ136" s="116">
        <f t="shared" si="91"/>
        <v>9</v>
      </c>
    </row>
    <row r="137" spans="1:95" ht="21.75" customHeight="1" x14ac:dyDescent="0.25">
      <c r="A137" s="44">
        <v>46</v>
      </c>
      <c r="B137" s="11" t="s">
        <v>119</v>
      </c>
      <c r="C137" s="77" t="s">
        <v>120</v>
      </c>
      <c r="D137" s="87">
        <v>45401</v>
      </c>
      <c r="E137" s="64">
        <v>0.3527777777777778</v>
      </c>
      <c r="F137" s="64">
        <v>0.97430555555555554</v>
      </c>
      <c r="G137" s="64">
        <v>0.35416666666666669</v>
      </c>
      <c r="H137" s="64">
        <v>0.99236111111111114</v>
      </c>
      <c r="I137" s="91" t="s">
        <v>15</v>
      </c>
      <c r="J137" s="91" t="s">
        <v>15</v>
      </c>
      <c r="K137" s="64">
        <v>0.35416666666666669</v>
      </c>
      <c r="L137" s="64">
        <v>0.94930555555555562</v>
      </c>
      <c r="M137" s="64">
        <v>0.35486111111111113</v>
      </c>
      <c r="N137" s="64">
        <v>0.9590277777777777</v>
      </c>
      <c r="O137" s="64">
        <v>0.35000000000000003</v>
      </c>
      <c r="P137" s="64">
        <v>0.96111111111111114</v>
      </c>
      <c r="Q137" s="64">
        <v>0.35555555555555557</v>
      </c>
      <c r="R137" s="68">
        <v>1</v>
      </c>
      <c r="S137" s="64">
        <v>0.35416666666666669</v>
      </c>
      <c r="T137" s="64">
        <v>0.9868055555555556</v>
      </c>
      <c r="U137" s="64">
        <v>0.3527777777777778</v>
      </c>
      <c r="V137" s="64">
        <v>0.98263888888888884</v>
      </c>
      <c r="W137" s="97">
        <v>0.58263888888888882</v>
      </c>
      <c r="X137" s="97">
        <v>0.96319444444444446</v>
      </c>
      <c r="Y137" s="64">
        <v>0.35347222222222219</v>
      </c>
      <c r="Z137" s="64">
        <v>0.9458333333333333</v>
      </c>
      <c r="AA137" s="64">
        <v>0.34722222222222227</v>
      </c>
      <c r="AB137" s="64">
        <v>0.97291666666666676</v>
      </c>
      <c r="AC137" s="64">
        <v>0.35347222222222219</v>
      </c>
      <c r="AD137" s="64">
        <v>0.93055555555555547</v>
      </c>
      <c r="AE137" s="64">
        <v>0.3527777777777778</v>
      </c>
      <c r="AF137" s="64">
        <v>0.96250000000000002</v>
      </c>
      <c r="AG137" s="64">
        <v>0.35347222222222219</v>
      </c>
      <c r="AH137" s="64">
        <v>0.97499999999999998</v>
      </c>
      <c r="AI137" s="105"/>
      <c r="AJ137" s="44">
        <v>44</v>
      </c>
      <c r="AK137" s="64"/>
      <c r="AL137" s="64"/>
      <c r="AM137" s="64"/>
      <c r="AN137" s="64"/>
      <c r="AO137" s="64"/>
      <c r="AP137" s="64"/>
      <c r="AQ137" s="91"/>
      <c r="AR137" s="99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97"/>
      <c r="BF137" s="97"/>
      <c r="BG137" s="64"/>
      <c r="BH137" s="64"/>
      <c r="BI137" s="64"/>
      <c r="BJ137" s="64"/>
      <c r="BK137" s="64"/>
      <c r="BL137" s="64"/>
      <c r="BM137" s="64"/>
      <c r="BN137" s="64"/>
      <c r="BO137" s="64"/>
      <c r="BP137" s="64"/>
      <c r="BQ137" s="96">
        <f t="shared" si="92"/>
        <v>15</v>
      </c>
      <c r="BR137" s="67"/>
      <c r="BS137" s="1">
        <f>COUNT(E137:AH137)/2+COUNT(AK137:BN137)/2</f>
        <v>14</v>
      </c>
      <c r="BT137" s="2">
        <f t="shared" si="93"/>
        <v>1</v>
      </c>
      <c r="BU137" s="2">
        <f t="shared" si="94"/>
        <v>0</v>
      </c>
      <c r="BV137" s="2">
        <f t="shared" si="95"/>
        <v>0</v>
      </c>
      <c r="BW137" s="2">
        <f t="shared" si="96"/>
        <v>0</v>
      </c>
      <c r="BX137" s="2">
        <f t="shared" si="97"/>
        <v>0</v>
      </c>
      <c r="BY137" s="2">
        <f t="shared" si="98"/>
        <v>0</v>
      </c>
      <c r="BZ137" s="2">
        <f t="shared" si="99"/>
        <v>0</v>
      </c>
      <c r="CA137" s="2">
        <f t="shared" si="100"/>
        <v>0</v>
      </c>
      <c r="CB137" s="2">
        <f t="shared" si="101"/>
        <v>0</v>
      </c>
      <c r="CC137" s="2">
        <f t="shared" si="102"/>
        <v>0</v>
      </c>
      <c r="CD137" s="2">
        <f t="shared" si="103"/>
        <v>0</v>
      </c>
      <c r="CE137" s="3"/>
      <c r="CG137" s="113">
        <v>0</v>
      </c>
      <c r="CH137" s="114">
        <v>0</v>
      </c>
      <c r="CI137" s="114">
        <v>0</v>
      </c>
      <c r="CJ137" s="114">
        <v>0</v>
      </c>
      <c r="CK137" s="114">
        <v>0</v>
      </c>
      <c r="CL137" s="113">
        <v>1</v>
      </c>
      <c r="CM137" s="113">
        <v>1</v>
      </c>
      <c r="CN137" s="114">
        <v>0</v>
      </c>
      <c r="CO137" s="114">
        <v>0</v>
      </c>
      <c r="CP137" s="114">
        <v>0</v>
      </c>
      <c r="CQ137" s="116">
        <f t="shared" si="91"/>
        <v>2</v>
      </c>
    </row>
    <row r="138" spans="1:95" ht="21.75" customHeight="1" x14ac:dyDescent="0.25">
      <c r="A138" s="44">
        <v>40</v>
      </c>
      <c r="B138" s="11" t="s">
        <v>106</v>
      </c>
      <c r="C138" s="77" t="s">
        <v>107</v>
      </c>
      <c r="D138" s="87">
        <v>44990</v>
      </c>
      <c r="E138" s="64">
        <v>0.35972222222222222</v>
      </c>
      <c r="F138" s="64">
        <v>0.97361111111111109</v>
      </c>
      <c r="G138" s="64">
        <v>0.35486111111111113</v>
      </c>
      <c r="H138" s="64">
        <v>0.9916666666666667</v>
      </c>
      <c r="I138" s="91" t="s">
        <v>15</v>
      </c>
      <c r="J138" s="91" t="s">
        <v>15</v>
      </c>
      <c r="K138" s="64">
        <v>0.35416666666666669</v>
      </c>
      <c r="L138" s="64">
        <v>0.94861111111111107</v>
      </c>
      <c r="M138" s="64"/>
      <c r="N138" s="64"/>
      <c r="O138" s="64"/>
      <c r="P138" s="64"/>
      <c r="Q138" s="64"/>
      <c r="R138" s="68"/>
      <c r="S138" s="64"/>
      <c r="T138" s="64"/>
      <c r="U138" s="64"/>
      <c r="V138" s="64"/>
      <c r="W138" s="97"/>
      <c r="X138" s="97"/>
      <c r="Y138" s="64"/>
      <c r="Z138" s="64"/>
      <c r="AA138" s="64"/>
      <c r="AB138" s="64"/>
      <c r="AC138" s="64"/>
      <c r="AD138" s="64">
        <v>0.93055555555555547</v>
      </c>
      <c r="AE138" s="64">
        <v>0.3520833333333333</v>
      </c>
      <c r="AF138" s="64">
        <v>0.96180555555555547</v>
      </c>
      <c r="AG138" s="64">
        <v>0.35347222222222219</v>
      </c>
      <c r="AH138" s="64">
        <v>0.97499999999999998</v>
      </c>
      <c r="AI138" s="110"/>
      <c r="AJ138" s="44">
        <v>38</v>
      </c>
      <c r="AK138" s="64"/>
      <c r="AL138" s="64"/>
      <c r="AM138" s="64"/>
      <c r="AN138" s="64"/>
      <c r="AO138" s="64"/>
      <c r="AP138" s="64"/>
      <c r="AQ138" s="91"/>
      <c r="AR138" s="99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97"/>
      <c r="BF138" s="97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96">
        <f t="shared" si="92"/>
        <v>6.5</v>
      </c>
      <c r="BR138" s="67"/>
      <c r="BS138" s="1">
        <f>COUNT(E138:AH138)/2+COUNT(AK138:BN138)/2</f>
        <v>5.5</v>
      </c>
      <c r="BT138" s="2">
        <f t="shared" si="93"/>
        <v>1</v>
      </c>
      <c r="BU138" s="2">
        <f t="shared" si="94"/>
        <v>0</v>
      </c>
      <c r="BV138" s="2">
        <f t="shared" si="95"/>
        <v>0</v>
      </c>
      <c r="BW138" s="2">
        <f t="shared" si="96"/>
        <v>0</v>
      </c>
      <c r="BX138" s="2">
        <f t="shared" si="97"/>
        <v>0</v>
      </c>
      <c r="BY138" s="2">
        <f t="shared" si="98"/>
        <v>0</v>
      </c>
      <c r="BZ138" s="2">
        <f t="shared" si="99"/>
        <v>0</v>
      </c>
      <c r="CA138" s="2">
        <f t="shared" si="100"/>
        <v>0</v>
      </c>
      <c r="CB138" s="2">
        <f t="shared" si="101"/>
        <v>0</v>
      </c>
      <c r="CC138" s="2">
        <f t="shared" si="102"/>
        <v>0</v>
      </c>
      <c r="CD138" s="2">
        <f t="shared" si="103"/>
        <v>0</v>
      </c>
      <c r="CE138" s="3"/>
      <c r="CG138" s="54">
        <v>0</v>
      </c>
      <c r="CH138" s="53">
        <v>0</v>
      </c>
      <c r="CI138" s="53">
        <v>0</v>
      </c>
      <c r="CJ138" s="53">
        <v>0</v>
      </c>
      <c r="CK138" s="53">
        <v>0</v>
      </c>
      <c r="CL138" s="54">
        <v>1</v>
      </c>
      <c r="CM138" s="54">
        <v>0</v>
      </c>
      <c r="CN138" s="54">
        <v>2</v>
      </c>
      <c r="CO138" s="53">
        <v>0</v>
      </c>
      <c r="CP138" s="53">
        <v>0</v>
      </c>
      <c r="CQ138" s="117">
        <f t="shared" si="91"/>
        <v>3</v>
      </c>
    </row>
    <row r="141" spans="1:95" ht="21" customHeight="1" x14ac:dyDescent="0.25">
      <c r="A141" s="10">
        <v>19</v>
      </c>
      <c r="B141" s="11" t="s">
        <v>61</v>
      </c>
      <c r="C141" s="121" t="s">
        <v>235</v>
      </c>
      <c r="D141" s="87">
        <v>45936</v>
      </c>
      <c r="E141" s="64" t="e">
        <f>VLOOKUP(B141,[1]Monthly!$E$4:$AE$157, 4,FALSE)</f>
        <v>#N/A</v>
      </c>
      <c r="F141" s="64">
        <v>0.73611111111111116</v>
      </c>
      <c r="G141" s="64">
        <v>0.36736111111111108</v>
      </c>
      <c r="H141" s="64">
        <v>0.74444444444444446</v>
      </c>
      <c r="I141" s="97">
        <v>0.56180555555555556</v>
      </c>
      <c r="J141" s="98">
        <v>1</v>
      </c>
      <c r="K141" s="64">
        <v>0.37013888888888885</v>
      </c>
      <c r="L141" s="64">
        <v>0.73958333333333337</v>
      </c>
      <c r="M141" s="64">
        <v>0.37013888888888885</v>
      </c>
      <c r="N141" s="75">
        <v>0.74375000000000002</v>
      </c>
      <c r="O141" s="74">
        <v>0.37013888888888885</v>
      </c>
      <c r="P141" s="74">
        <v>0.7416666666666667</v>
      </c>
      <c r="Q141" s="74">
        <v>0.37222222222222223</v>
      </c>
      <c r="R141" s="74">
        <v>0.7319444444444444</v>
      </c>
      <c r="S141" s="74">
        <v>0.36944444444444446</v>
      </c>
      <c r="T141" s="74">
        <v>0.74305555555555547</v>
      </c>
      <c r="U141" s="74">
        <v>0.3611111111111111</v>
      </c>
      <c r="V141" s="74">
        <v>0.73958333333333337</v>
      </c>
      <c r="W141" s="92">
        <v>0.71388888888888891</v>
      </c>
      <c r="X141" s="93">
        <v>1</v>
      </c>
      <c r="Y141" s="74">
        <v>0.36249999999999999</v>
      </c>
      <c r="Z141" s="74">
        <v>0.73402777777777783</v>
      </c>
      <c r="AA141" s="74">
        <v>0.36041666666666666</v>
      </c>
      <c r="AB141" s="74">
        <v>0.73749999999999993</v>
      </c>
      <c r="AC141" s="74">
        <v>0.36249999999999999</v>
      </c>
      <c r="AD141" s="74">
        <v>0.73819444444444438</v>
      </c>
      <c r="AE141" s="74">
        <v>0.3576388888888889</v>
      </c>
      <c r="AF141" s="74">
        <v>0.73125000000000007</v>
      </c>
      <c r="AG141" s="74">
        <v>0.35902777777777778</v>
      </c>
      <c r="AH141" s="74">
        <v>0.73263888888888884</v>
      </c>
      <c r="AI141" s="110"/>
      <c r="AJ141" s="89">
        <v>18</v>
      </c>
      <c r="AK141" s="64"/>
      <c r="AL141" s="64"/>
      <c r="AM141" s="64"/>
      <c r="AN141" s="64"/>
      <c r="AO141" s="64"/>
      <c r="AP141" s="64"/>
      <c r="AQ141" s="97"/>
      <c r="AR141" s="97"/>
      <c r="AS141" s="64"/>
      <c r="AT141" s="64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  <c r="BE141" s="97"/>
      <c r="BF141" s="97"/>
      <c r="BG141" s="64"/>
      <c r="BH141" s="68"/>
      <c r="BI141" s="64"/>
      <c r="BJ141" s="64"/>
      <c r="BK141" s="64"/>
      <c r="BL141" s="64"/>
      <c r="BM141" s="64"/>
      <c r="BN141" s="64"/>
      <c r="BO141" s="64"/>
      <c r="BP141" s="64"/>
      <c r="BQ141" s="96">
        <f t="shared" ref="BQ141:BQ146" si="104">BS141+BT141+BV141+CA141+BY141+BZ141+CD141+BU141</f>
        <v>14.5</v>
      </c>
      <c r="BR141" s="67"/>
      <c r="BS141" s="1">
        <f t="shared" ref="BS141:BS146" si="105">COUNT(E141:AH141)/2+COUNT(AK141:BN141)/2</f>
        <v>14.5</v>
      </c>
      <c r="BT141" s="2">
        <f t="shared" ref="BT141:BT145" si="106">COUNTIF(E141:BN141,"OFF")/2</f>
        <v>0</v>
      </c>
      <c r="BU141" s="2">
        <f t="shared" ref="BU141:BU145" si="107">COUNTIF(E141:BN141,"MC")/2</f>
        <v>0</v>
      </c>
      <c r="BV141" s="2">
        <f t="shared" ref="BV141:BV145" si="108">COUNTIF(E141:BN141,"EL")/2</f>
        <v>0</v>
      </c>
      <c r="BW141" s="2">
        <f t="shared" ref="BW141:BW145" si="109">COUNTIF(E141:BN141,"AL")/2</f>
        <v>0</v>
      </c>
      <c r="BX141" s="2">
        <f t="shared" ref="BX141:BX145" si="110">COUNTIF(E141:BN141,"SUS")/2</f>
        <v>0</v>
      </c>
      <c r="BY141" s="2">
        <f t="shared" ref="BY141:BY145" si="111">COUNTIF(E141:BN141,"FL")/2</f>
        <v>0</v>
      </c>
      <c r="BZ141" s="2">
        <f t="shared" ref="BZ141:BZ145" si="112">COUNTIF(E141:BN141,"SICK")/2</f>
        <v>0</v>
      </c>
      <c r="CA141" s="2">
        <f t="shared" ref="CA141:CA145" si="113">COUNTIF(E141:BN141,"HD")/2</f>
        <v>0</v>
      </c>
      <c r="CB141" s="2">
        <f t="shared" ref="CB141:CB145" si="114">COUNTIF(E141:BN141,"AB")/2</f>
        <v>0</v>
      </c>
      <c r="CC141" s="2">
        <f t="shared" ref="CC141:CC145" si="115">COUNTIF(E141:BN141,"NL")/2</f>
        <v>0</v>
      </c>
      <c r="CD141" s="2">
        <f t="shared" ref="CD141:CD145" si="116">COUNTIF(E141:BN141,"SP")/2</f>
        <v>0</v>
      </c>
      <c r="CE141" s="70"/>
      <c r="CG141" s="53">
        <v>0</v>
      </c>
      <c r="CH141" s="53">
        <v>0</v>
      </c>
      <c r="CI141" s="53">
        <v>0</v>
      </c>
      <c r="CJ141" s="53">
        <v>0</v>
      </c>
      <c r="CK141" s="53">
        <v>2</v>
      </c>
      <c r="CL141" s="53">
        <v>0.5</v>
      </c>
      <c r="CM141" s="53">
        <v>0</v>
      </c>
      <c r="CN141" s="53">
        <v>0</v>
      </c>
      <c r="CO141" s="53">
        <v>0</v>
      </c>
      <c r="CP141" s="53">
        <v>0</v>
      </c>
      <c r="CQ141" s="55">
        <f t="shared" ref="CQ141:CQ145" si="117">SUM(CG141:CP141)</f>
        <v>2.5</v>
      </c>
    </row>
    <row r="142" spans="1:95" ht="21.75" customHeight="1" x14ac:dyDescent="0.25">
      <c r="A142" s="44">
        <v>30</v>
      </c>
      <c r="B142" s="11" t="s">
        <v>88</v>
      </c>
      <c r="C142" s="77" t="s">
        <v>89</v>
      </c>
      <c r="D142" s="87">
        <v>42439</v>
      </c>
      <c r="E142" s="124">
        <v>46266.35292824074</v>
      </c>
      <c r="F142" s="124">
        <v>46264.948553240742</v>
      </c>
      <c r="G142" s="124">
        <v>46267.353715277779</v>
      </c>
      <c r="H142" s="124">
        <v>46267.910081018519</v>
      </c>
      <c r="I142" s="124">
        <v>46268.351944444446</v>
      </c>
      <c r="J142" s="124">
        <v>46268.943611111114</v>
      </c>
      <c r="K142" s="124" t="e">
        <v>#N/A</v>
      </c>
      <c r="L142" s="124" t="e">
        <v>#N/A</v>
      </c>
      <c r="M142" s="124">
        <v>46270.350972222222</v>
      </c>
      <c r="N142" s="124" t="e">
        <v>#N/A</v>
      </c>
      <c r="O142" s="124">
        <v>46271.353136574071</v>
      </c>
      <c r="P142" s="124">
        <v>46271.877881944441</v>
      </c>
      <c r="Q142" s="124">
        <v>46272.352326388886</v>
      </c>
      <c r="R142" s="124"/>
      <c r="S142" s="124">
        <v>46273.353333333333</v>
      </c>
      <c r="T142" s="124"/>
      <c r="U142" s="124">
        <v>46274.349675925929</v>
      </c>
      <c r="V142" s="124"/>
      <c r="W142" s="124">
        <v>46275.350370370368</v>
      </c>
      <c r="X142" s="124"/>
      <c r="Y142" s="124"/>
      <c r="Z142" s="124"/>
      <c r="AA142" s="124"/>
      <c r="AB142" s="124"/>
      <c r="AC142" s="124"/>
      <c r="AD142" s="124"/>
      <c r="AE142" s="124"/>
      <c r="AF142" s="124"/>
      <c r="AG142" s="124"/>
      <c r="AH142" s="124"/>
      <c r="AI142" s="105"/>
      <c r="AJ142" s="44">
        <v>30</v>
      </c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  <c r="BA142" s="124"/>
      <c r="BB142" s="124"/>
      <c r="BC142" s="124"/>
      <c r="BD142" s="124"/>
      <c r="BE142" s="124"/>
      <c r="BF142" s="124"/>
      <c r="BG142" s="124"/>
      <c r="BH142" s="124"/>
      <c r="BI142" s="124"/>
      <c r="BJ142" s="124"/>
      <c r="BK142" s="124"/>
      <c r="BL142" s="124"/>
      <c r="BM142" s="124"/>
      <c r="BN142" s="176"/>
      <c r="BO142" s="152">
        <v>46265.349606481483</v>
      </c>
      <c r="BP142" s="152">
        <v>46265.887013888889</v>
      </c>
      <c r="BQ142" s="96">
        <f t="shared" si="104"/>
        <v>6.5</v>
      </c>
      <c r="BR142" s="67"/>
      <c r="BS142" s="1">
        <f t="shared" si="105"/>
        <v>6.5</v>
      </c>
      <c r="BT142" s="2">
        <f t="shared" si="106"/>
        <v>0</v>
      </c>
      <c r="BU142" s="2">
        <f t="shared" si="107"/>
        <v>0</v>
      </c>
      <c r="BV142" s="2">
        <f t="shared" si="108"/>
        <v>0</v>
      </c>
      <c r="BW142" s="2">
        <f t="shared" si="109"/>
        <v>0</v>
      </c>
      <c r="BX142" s="2">
        <f t="shared" si="110"/>
        <v>0</v>
      </c>
      <c r="BY142" s="2">
        <f t="shared" si="111"/>
        <v>0</v>
      </c>
      <c r="BZ142" s="2">
        <f t="shared" si="112"/>
        <v>0</v>
      </c>
      <c r="CA142" s="2">
        <f t="shared" si="113"/>
        <v>0</v>
      </c>
      <c r="CB142" s="2">
        <f t="shared" si="114"/>
        <v>0</v>
      </c>
      <c r="CC142" s="2">
        <f t="shared" si="115"/>
        <v>0</v>
      </c>
      <c r="CD142" s="2">
        <f t="shared" si="116"/>
        <v>0</v>
      </c>
      <c r="CE142" s="3"/>
      <c r="CG142" s="113">
        <v>0</v>
      </c>
      <c r="CH142" s="114">
        <v>0</v>
      </c>
      <c r="CI142" s="113">
        <v>80</v>
      </c>
      <c r="CJ142" s="114">
        <v>0</v>
      </c>
      <c r="CK142" s="114">
        <v>0</v>
      </c>
      <c r="CL142" s="113">
        <v>11</v>
      </c>
      <c r="CM142" s="114">
        <v>0</v>
      </c>
      <c r="CN142" s="114">
        <v>1</v>
      </c>
      <c r="CO142" s="114">
        <v>0</v>
      </c>
      <c r="CP142" s="114">
        <v>0</v>
      </c>
      <c r="CQ142" s="116">
        <f t="shared" si="117"/>
        <v>92</v>
      </c>
    </row>
    <row r="143" spans="1:95" ht="21.75" customHeight="1" x14ac:dyDescent="0.25">
      <c r="A143" s="44">
        <v>40</v>
      </c>
      <c r="B143" s="11" t="s">
        <v>109</v>
      </c>
      <c r="C143" s="77" t="s">
        <v>173</v>
      </c>
      <c r="D143" s="87">
        <v>45243</v>
      </c>
      <c r="E143" s="124">
        <v>46266.347662037035</v>
      </c>
      <c r="F143" s="124">
        <v>46264.949976851851</v>
      </c>
      <c r="G143" s="124">
        <v>46267.344317129631</v>
      </c>
      <c r="H143" s="124" t="e">
        <v>#N/A</v>
      </c>
      <c r="I143" s="124">
        <v>46268.349479166667</v>
      </c>
      <c r="J143" s="124">
        <v>46268.955335648148</v>
      </c>
      <c r="K143" s="124" t="e">
        <v>#N/A</v>
      </c>
      <c r="L143" s="124" t="e">
        <v>#N/A</v>
      </c>
      <c r="M143" s="124">
        <v>46270.352141203701</v>
      </c>
      <c r="N143" s="124">
        <v>46270.953553240739</v>
      </c>
      <c r="O143" s="124">
        <v>46271.342847222222</v>
      </c>
      <c r="P143" s="124" t="e">
        <v>#N/A</v>
      </c>
      <c r="Q143" s="124">
        <v>46272.348796296297</v>
      </c>
      <c r="R143" s="124"/>
      <c r="S143" s="124">
        <v>46273.347974537035</v>
      </c>
      <c r="T143" s="124"/>
      <c r="U143" s="124">
        <v>46274.336446759262</v>
      </c>
      <c r="V143" s="124"/>
      <c r="W143" s="124">
        <v>46275.346331018518</v>
      </c>
      <c r="X143" s="124"/>
      <c r="Y143" s="124"/>
      <c r="Z143" s="124"/>
      <c r="AA143" s="124"/>
      <c r="AB143" s="124"/>
      <c r="AC143" s="124"/>
      <c r="AD143" s="124"/>
      <c r="AE143" s="124"/>
      <c r="AF143" s="124"/>
      <c r="AG143" s="124"/>
      <c r="AH143" s="124"/>
      <c r="AI143" s="110"/>
      <c r="AJ143" s="44">
        <v>40</v>
      </c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  <c r="BA143" s="124"/>
      <c r="BB143" s="124"/>
      <c r="BC143" s="124"/>
      <c r="BD143" s="124"/>
      <c r="BE143" s="124"/>
      <c r="BF143" s="124"/>
      <c r="BG143" s="124"/>
      <c r="BH143" s="124"/>
      <c r="BI143" s="124"/>
      <c r="BJ143" s="124"/>
      <c r="BK143" s="124"/>
      <c r="BL143" s="124"/>
      <c r="BM143" s="124"/>
      <c r="BN143" s="176"/>
      <c r="BO143" s="152">
        <v>46265.34684027778</v>
      </c>
      <c r="BP143" s="152">
        <v>46265.940462962964</v>
      </c>
      <c r="BQ143" s="96">
        <f t="shared" si="104"/>
        <v>6</v>
      </c>
      <c r="BR143" s="67"/>
      <c r="BS143" s="1">
        <f t="shared" si="105"/>
        <v>6</v>
      </c>
      <c r="BT143" s="2">
        <f t="shared" si="106"/>
        <v>0</v>
      </c>
      <c r="BU143" s="2">
        <f t="shared" si="107"/>
        <v>0</v>
      </c>
      <c r="BV143" s="2">
        <f t="shared" si="108"/>
        <v>0</v>
      </c>
      <c r="BW143" s="2">
        <f t="shared" si="109"/>
        <v>0</v>
      </c>
      <c r="BX143" s="2">
        <f t="shared" si="110"/>
        <v>0</v>
      </c>
      <c r="BY143" s="2">
        <f t="shared" si="111"/>
        <v>0</v>
      </c>
      <c r="BZ143" s="2">
        <f t="shared" si="112"/>
        <v>0</v>
      </c>
      <c r="CA143" s="2">
        <f t="shared" si="113"/>
        <v>0</v>
      </c>
      <c r="CB143" s="2">
        <f t="shared" si="114"/>
        <v>0</v>
      </c>
      <c r="CC143" s="2">
        <f t="shared" si="115"/>
        <v>0</v>
      </c>
      <c r="CD143" s="2">
        <f t="shared" si="116"/>
        <v>0</v>
      </c>
      <c r="CE143" s="3"/>
      <c r="CG143" s="113">
        <v>0</v>
      </c>
      <c r="CH143" s="114">
        <v>0</v>
      </c>
      <c r="CI143" s="114">
        <v>0</v>
      </c>
      <c r="CJ143" s="114">
        <v>0</v>
      </c>
      <c r="CK143" s="114">
        <v>0</v>
      </c>
      <c r="CL143" s="114">
        <v>0</v>
      </c>
      <c r="CM143" s="114">
        <v>0</v>
      </c>
      <c r="CN143" s="114">
        <v>0</v>
      </c>
      <c r="CO143" s="114">
        <v>0</v>
      </c>
      <c r="CP143" s="114">
        <v>0</v>
      </c>
      <c r="CQ143" s="116">
        <f t="shared" si="117"/>
        <v>0</v>
      </c>
    </row>
    <row r="144" spans="1:95" ht="21.75" customHeight="1" x14ac:dyDescent="0.25">
      <c r="A144" s="44">
        <v>45</v>
      </c>
      <c r="B144" s="11" t="s">
        <v>117</v>
      </c>
      <c r="C144" s="77" t="s">
        <v>118</v>
      </c>
      <c r="D144" s="87">
        <v>45382</v>
      </c>
      <c r="E144" s="124">
        <v>46266.344675925924</v>
      </c>
      <c r="F144" s="124">
        <v>46264.962442129632</v>
      </c>
      <c r="G144" s="124">
        <v>46267.347245370373</v>
      </c>
      <c r="H144" s="124">
        <v>46267.95039351852</v>
      </c>
      <c r="I144" s="124">
        <v>46268.337893518517</v>
      </c>
      <c r="J144" s="124">
        <v>46268.965949074074</v>
      </c>
      <c r="K144" s="124" t="e">
        <v>#N/A</v>
      </c>
      <c r="L144" s="124" t="e">
        <v>#N/A</v>
      </c>
      <c r="M144" s="124">
        <v>46270.348020833335</v>
      </c>
      <c r="N144" s="124">
        <v>46270.964780092596</v>
      </c>
      <c r="O144" s="124">
        <v>46271.342499999999</v>
      </c>
      <c r="P144" s="124">
        <v>46271.941851851851</v>
      </c>
      <c r="Q144" s="124">
        <v>46272.343842592592</v>
      </c>
      <c r="R144" s="124"/>
      <c r="S144" s="124">
        <v>46273.337291666663</v>
      </c>
      <c r="T144" s="124"/>
      <c r="U144" s="124">
        <v>46274.342881944445</v>
      </c>
      <c r="V144" s="124"/>
      <c r="W144" s="124">
        <v>46275.347372685188</v>
      </c>
      <c r="X144" s="124"/>
      <c r="Y144" s="124"/>
      <c r="Z144" s="124"/>
      <c r="AA144" s="124"/>
      <c r="AB144" s="124"/>
      <c r="AC144" s="124"/>
      <c r="AD144" s="124"/>
      <c r="AE144" s="124"/>
      <c r="AF144" s="124"/>
      <c r="AG144" s="124"/>
      <c r="AH144" s="124"/>
      <c r="AI144" s="110"/>
      <c r="AJ144" s="44">
        <v>45</v>
      </c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  <c r="BA144" s="124"/>
      <c r="BB144" s="124"/>
      <c r="BC144" s="124"/>
      <c r="BD144" s="124"/>
      <c r="BE144" s="124"/>
      <c r="BF144" s="124"/>
      <c r="BG144" s="124"/>
      <c r="BH144" s="124"/>
      <c r="BI144" s="124"/>
      <c r="BJ144" s="124"/>
      <c r="BK144" s="124"/>
      <c r="BL144" s="124"/>
      <c r="BM144" s="124"/>
      <c r="BN144" s="176"/>
      <c r="BO144" s="152">
        <v>46265.343969907408</v>
      </c>
      <c r="BP144" s="152">
        <v>46265.942233796297</v>
      </c>
      <c r="BQ144" s="96">
        <f t="shared" si="104"/>
        <v>7</v>
      </c>
      <c r="BR144" s="67"/>
      <c r="BS144" s="1">
        <f t="shared" si="105"/>
        <v>7</v>
      </c>
      <c r="BT144" s="2">
        <f t="shared" si="106"/>
        <v>0</v>
      </c>
      <c r="BU144" s="2">
        <f t="shared" si="107"/>
        <v>0</v>
      </c>
      <c r="BV144" s="2">
        <f t="shared" si="108"/>
        <v>0</v>
      </c>
      <c r="BW144" s="2">
        <f t="shared" si="109"/>
        <v>0</v>
      </c>
      <c r="BX144" s="2">
        <f t="shared" si="110"/>
        <v>0</v>
      </c>
      <c r="BY144" s="2">
        <f t="shared" si="111"/>
        <v>0</v>
      </c>
      <c r="BZ144" s="2">
        <f t="shared" si="112"/>
        <v>0</v>
      </c>
      <c r="CA144" s="2">
        <f t="shared" si="113"/>
        <v>0</v>
      </c>
      <c r="CB144" s="2">
        <f t="shared" si="114"/>
        <v>0</v>
      </c>
      <c r="CC144" s="2">
        <f t="shared" si="115"/>
        <v>0</v>
      </c>
      <c r="CD144" s="2">
        <f t="shared" si="116"/>
        <v>0</v>
      </c>
      <c r="CE144" s="3"/>
      <c r="CG144" s="54">
        <v>0</v>
      </c>
      <c r="CH144" s="53">
        <v>0</v>
      </c>
      <c r="CI144" s="53">
        <v>0</v>
      </c>
      <c r="CJ144" s="53">
        <v>0</v>
      </c>
      <c r="CK144" s="53">
        <v>0</v>
      </c>
      <c r="CL144" s="54">
        <v>11</v>
      </c>
      <c r="CM144" s="53">
        <v>0</v>
      </c>
      <c r="CN144" s="53">
        <v>0</v>
      </c>
      <c r="CO144" s="53">
        <v>0</v>
      </c>
      <c r="CP144" s="53">
        <v>0</v>
      </c>
      <c r="CQ144" s="117">
        <f t="shared" si="117"/>
        <v>11</v>
      </c>
    </row>
    <row r="145" spans="1:95" ht="22.5" customHeight="1" x14ac:dyDescent="0.25">
      <c r="A145" s="158">
        <v>23</v>
      </c>
      <c r="B145" s="44" t="s">
        <v>232</v>
      </c>
      <c r="C145" s="72" t="s">
        <v>233</v>
      </c>
      <c r="D145" s="87">
        <v>46083</v>
      </c>
      <c r="E145" s="124">
        <v>46266.342604166668</v>
      </c>
      <c r="F145" s="124">
        <v>0</v>
      </c>
      <c r="G145" s="124">
        <v>0</v>
      </c>
      <c r="H145" s="124">
        <v>46267.964016203703</v>
      </c>
      <c r="I145" s="124">
        <v>46268.370578703703</v>
      </c>
      <c r="J145" s="124">
        <v>46268.976006944446</v>
      </c>
      <c r="K145" s="178" t="s">
        <v>15</v>
      </c>
      <c r="L145" s="178" t="s">
        <v>15</v>
      </c>
      <c r="M145" s="124">
        <v>46270.338726851849</v>
      </c>
      <c r="N145" s="124">
        <v>46270.97146990741</v>
      </c>
      <c r="O145" s="124">
        <v>46271.340219907404</v>
      </c>
      <c r="P145" s="124">
        <v>46271.957048611112</v>
      </c>
      <c r="Q145" s="124">
        <v>46272.338206018518</v>
      </c>
      <c r="R145" s="124">
        <v>46272.961319444446</v>
      </c>
      <c r="S145" s="124">
        <v>46273.334340277775</v>
      </c>
      <c r="T145" s="124">
        <v>46273.962824074071</v>
      </c>
      <c r="U145" s="124">
        <v>46274.338773148149</v>
      </c>
      <c r="V145" s="124">
        <v>0</v>
      </c>
      <c r="W145" s="124">
        <v>46275.34611111111</v>
      </c>
      <c r="X145" s="124">
        <v>46275.976006944446</v>
      </c>
      <c r="Y145" s="124">
        <v>0</v>
      </c>
      <c r="Z145" s="124">
        <v>46276.95449074074</v>
      </c>
      <c r="AA145" s="124">
        <v>46277.340451388889</v>
      </c>
      <c r="AB145" s="124">
        <v>46277.97148148148</v>
      </c>
      <c r="AC145" s="124">
        <v>46278.342824074076</v>
      </c>
      <c r="AD145" s="124">
        <v>46278.953055555554</v>
      </c>
      <c r="AE145" s="124">
        <v>46279.341724537036</v>
      </c>
      <c r="AF145" s="124">
        <v>46279.955497685187</v>
      </c>
      <c r="AG145" s="124">
        <v>46280.343391203707</v>
      </c>
      <c r="AH145" s="124">
        <v>46280.957384259258</v>
      </c>
      <c r="AI145" s="124"/>
      <c r="AJ145" s="44">
        <v>23</v>
      </c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  <c r="BA145" s="124"/>
      <c r="BB145" s="124"/>
      <c r="BC145" s="124"/>
      <c r="BD145" s="124"/>
      <c r="BE145" s="124"/>
      <c r="BF145" s="124"/>
      <c r="BG145" s="124"/>
      <c r="BH145" s="124"/>
      <c r="BI145" s="124"/>
      <c r="BJ145" s="124"/>
      <c r="BK145" s="124"/>
      <c r="BL145" s="124"/>
      <c r="BM145" s="124"/>
      <c r="BN145" s="124"/>
      <c r="BO145" s="124">
        <v>46265.340115740742</v>
      </c>
      <c r="BP145" s="124">
        <v>46265.957013888888</v>
      </c>
      <c r="BQ145" s="96">
        <f t="shared" si="104"/>
        <v>15</v>
      </c>
      <c r="BR145" s="67"/>
      <c r="BS145" s="1">
        <f t="shared" si="105"/>
        <v>14</v>
      </c>
      <c r="BT145" s="2">
        <f t="shared" si="106"/>
        <v>1</v>
      </c>
      <c r="BU145" s="2">
        <f t="shared" si="107"/>
        <v>0</v>
      </c>
      <c r="BV145" s="2">
        <f t="shared" si="108"/>
        <v>0</v>
      </c>
      <c r="BW145" s="2">
        <f t="shared" si="109"/>
        <v>0</v>
      </c>
      <c r="BX145" s="2">
        <f t="shared" si="110"/>
        <v>0</v>
      </c>
      <c r="BY145" s="2">
        <f t="shared" si="111"/>
        <v>0</v>
      </c>
      <c r="BZ145" s="2">
        <f t="shared" si="112"/>
        <v>0</v>
      </c>
      <c r="CA145" s="2">
        <f t="shared" si="113"/>
        <v>0</v>
      </c>
      <c r="CB145" s="2">
        <f t="shared" si="114"/>
        <v>0</v>
      </c>
      <c r="CC145" s="2">
        <f t="shared" si="115"/>
        <v>0</v>
      </c>
      <c r="CD145" s="2">
        <f t="shared" si="116"/>
        <v>0</v>
      </c>
      <c r="CE145" s="70"/>
      <c r="CG145" s="66">
        <v>0</v>
      </c>
      <c r="CH145" s="66">
        <v>0</v>
      </c>
      <c r="CI145" s="66">
        <v>0</v>
      </c>
      <c r="CJ145" s="66">
        <v>0</v>
      </c>
      <c r="CK145" s="66">
        <v>0</v>
      </c>
      <c r="CL145" s="66">
        <v>1</v>
      </c>
      <c r="CM145" s="66">
        <v>0</v>
      </c>
      <c r="CN145" s="66">
        <v>0</v>
      </c>
      <c r="CO145" s="66">
        <v>0</v>
      </c>
      <c r="CP145" s="66">
        <v>0</v>
      </c>
      <c r="CQ145" s="55">
        <f t="shared" si="117"/>
        <v>1</v>
      </c>
    </row>
    <row r="146" spans="1:95" ht="22.5" customHeight="1" x14ac:dyDescent="0.25">
      <c r="A146" s="44">
        <v>83</v>
      </c>
      <c r="B146" s="44" t="s">
        <v>248</v>
      </c>
      <c r="C146" s="79" t="s">
        <v>247</v>
      </c>
      <c r="D146" s="87"/>
      <c r="E146" s="124">
        <v>46266.347500000003</v>
      </c>
      <c r="F146" s="124">
        <v>46264.971597222226</v>
      </c>
      <c r="G146" s="124">
        <v>46267.348275462966</v>
      </c>
      <c r="H146" s="124">
        <v>0</v>
      </c>
      <c r="I146" s="124">
        <v>0</v>
      </c>
      <c r="J146" s="124">
        <v>0</v>
      </c>
      <c r="K146" s="124">
        <v>46269.56925925926</v>
      </c>
      <c r="L146" s="124">
        <v>46269.994351851848</v>
      </c>
      <c r="M146" s="124">
        <v>46270.35465277778</v>
      </c>
      <c r="N146" s="124">
        <v>46270.975532407407</v>
      </c>
      <c r="O146" s="124">
        <v>46271.355034722219</v>
      </c>
      <c r="P146" s="124">
        <v>46271.940011574072</v>
      </c>
      <c r="Q146" s="124">
        <v>46272.351041666669</v>
      </c>
      <c r="R146" s="124">
        <v>46272.939641203702</v>
      </c>
      <c r="S146" s="124">
        <v>46273.353194444448</v>
      </c>
      <c r="T146" s="124">
        <v>0</v>
      </c>
      <c r="U146" s="124">
        <v>46274.352210648147</v>
      </c>
      <c r="V146" s="124">
        <v>46274.959340277775</v>
      </c>
      <c r="W146" s="124">
        <v>46275.354490740741</v>
      </c>
      <c r="X146" s="124">
        <v>46275.979745370372</v>
      </c>
      <c r="Y146" s="178" t="s">
        <v>15</v>
      </c>
      <c r="Z146" s="178" t="s">
        <v>15</v>
      </c>
      <c r="AA146" s="124">
        <v>46277.352060185185</v>
      </c>
      <c r="AB146" s="124">
        <v>46277.982858796298</v>
      </c>
      <c r="AC146" s="124">
        <v>46278.352002314816</v>
      </c>
      <c r="AD146" s="124">
        <v>46278.921157407407</v>
      </c>
      <c r="AE146" s="124">
        <v>46279.35355324074</v>
      </c>
      <c r="AF146" s="124">
        <v>0</v>
      </c>
      <c r="AG146" s="124">
        <v>0</v>
      </c>
      <c r="AH146" s="124">
        <v>0</v>
      </c>
      <c r="AI146" s="110"/>
      <c r="AJ146" s="44">
        <v>88</v>
      </c>
      <c r="AK146" s="124">
        <v>46281.353229166663</v>
      </c>
      <c r="AL146" s="124">
        <v>0</v>
      </c>
      <c r="AM146" s="124">
        <v>46282.355115740742</v>
      </c>
      <c r="AN146" s="124">
        <v>0</v>
      </c>
      <c r="AO146" s="124">
        <v>46283.568541666667</v>
      </c>
      <c r="AP146" s="124">
        <v>0</v>
      </c>
      <c r="AQ146" s="124">
        <v>46284.353912037041</v>
      </c>
      <c r="AR146" s="124">
        <v>0</v>
      </c>
      <c r="AS146" s="124">
        <v>1</v>
      </c>
      <c r="AT146" s="124">
        <v>1</v>
      </c>
      <c r="AU146" s="124"/>
      <c r="AV146" s="124"/>
      <c r="AW146" s="124"/>
      <c r="AX146" s="124"/>
      <c r="AY146" s="124"/>
      <c r="AZ146" s="124"/>
      <c r="BA146" s="124"/>
      <c r="BB146" s="124"/>
      <c r="BC146" s="124"/>
      <c r="BD146" s="124"/>
      <c r="BE146" s="124"/>
      <c r="BF146" s="124"/>
      <c r="BG146" s="124"/>
      <c r="BH146" s="124"/>
      <c r="BI146" s="124"/>
      <c r="BJ146" s="124"/>
      <c r="BK146" s="124"/>
      <c r="BL146" s="124"/>
      <c r="BM146" s="124"/>
      <c r="BN146" s="124"/>
      <c r="BO146" s="124">
        <v>46265.354884259257</v>
      </c>
      <c r="BP146" s="124">
        <v>46265.941354166665</v>
      </c>
      <c r="BQ146" s="96">
        <f t="shared" si="104"/>
        <v>20</v>
      </c>
      <c r="BR146" s="67"/>
      <c r="BS146" s="1">
        <f t="shared" si="105"/>
        <v>19</v>
      </c>
      <c r="BT146" s="2">
        <f t="shared" ref="BT146" si="118">COUNTIF(E146:BN146,"OFF")/2</f>
        <v>1</v>
      </c>
      <c r="BU146" s="2">
        <f t="shared" ref="BU146" si="119">COUNTIF(E146:BN146,"MC")/2</f>
        <v>0</v>
      </c>
      <c r="BV146" s="2">
        <f t="shared" ref="BV146" si="120">COUNTIF(E146:BN146,"EL")/2</f>
        <v>0</v>
      </c>
      <c r="BW146" s="2">
        <f t="shared" ref="BW146" si="121">COUNTIF(E146:BN146,"AL")/2</f>
        <v>0</v>
      </c>
      <c r="BX146" s="2">
        <f t="shared" ref="BX146" si="122">COUNTIF(E146:BN146,"SUS")/2</f>
        <v>0</v>
      </c>
      <c r="BY146" s="2">
        <f t="shared" ref="BY146" si="123">COUNTIF(E146:BN146,"FL")/2</f>
        <v>0</v>
      </c>
      <c r="BZ146" s="2">
        <f t="shared" ref="BZ146" si="124">COUNTIF(E146:BN146,"SICK")/2</f>
        <v>0</v>
      </c>
      <c r="CA146" s="2">
        <f t="shared" ref="CA146" si="125">COUNTIF(E146:BN146,"HD")/2</f>
        <v>0</v>
      </c>
      <c r="CB146" s="2">
        <f t="shared" ref="CB146" si="126">COUNTIF(E146:BN146,"AB")/2</f>
        <v>0</v>
      </c>
      <c r="CC146" s="2">
        <f t="shared" ref="CC146" si="127">COUNTIF(E146:BN146,"NL")/2</f>
        <v>0</v>
      </c>
      <c r="CD146" s="2">
        <f t="shared" ref="CD146" si="128">COUNTIF(E146:BN146,"SP")/2</f>
        <v>0</v>
      </c>
      <c r="CE146" s="3"/>
      <c r="CG146" s="119"/>
      <c r="CH146" s="120"/>
      <c r="CI146" s="120"/>
      <c r="CJ146" s="120"/>
      <c r="CK146" s="120"/>
      <c r="CL146" s="120"/>
      <c r="CM146" s="120"/>
      <c r="CN146" s="120"/>
      <c r="CO146" s="120"/>
      <c r="CP146" s="120"/>
      <c r="CQ146" s="116"/>
    </row>
    <row r="147" spans="1:95" x14ac:dyDescent="0.25">
      <c r="AJ147"/>
      <c r="BI147" s="15"/>
      <c r="BJ147" s="15"/>
      <c r="BK147" s="15"/>
      <c r="BL147" s="15"/>
      <c r="BM147" s="15"/>
      <c r="BN147" s="15"/>
      <c r="BO147" s="15"/>
      <c r="BP147" s="15"/>
      <c r="BQ147"/>
    </row>
  </sheetData>
  <mergeCells count="150">
    <mergeCell ref="AP118:AQ118"/>
    <mergeCell ref="AP119:AQ119"/>
    <mergeCell ref="AJ1:CE1"/>
    <mergeCell ref="AJ37:CE37"/>
    <mergeCell ref="BO39:BP39"/>
    <mergeCell ref="BO38:BP38"/>
    <mergeCell ref="AK2:AL2"/>
    <mergeCell ref="AM2:AN2"/>
    <mergeCell ref="AO39:AP39"/>
    <mergeCell ref="AQ39:AR39"/>
    <mergeCell ref="AS39:AT39"/>
    <mergeCell ref="BR38:BR40"/>
    <mergeCell ref="BQ2:BQ4"/>
    <mergeCell ref="BM39:BN39"/>
    <mergeCell ref="BM38:BN38"/>
    <mergeCell ref="BK39:BL39"/>
    <mergeCell ref="BK38:BL38"/>
    <mergeCell ref="BI39:BJ39"/>
    <mergeCell ref="BI38:BJ38"/>
    <mergeCell ref="AU38:AV38"/>
    <mergeCell ref="BG38:BH38"/>
    <mergeCell ref="BE39:BF39"/>
    <mergeCell ref="BG39:BH39"/>
    <mergeCell ref="AY38:AZ38"/>
    <mergeCell ref="AG38:AH38"/>
    <mergeCell ref="W38:X38"/>
    <mergeCell ref="AA3:AB3"/>
    <mergeCell ref="AC3:AD3"/>
    <mergeCell ref="Y3:Z3"/>
    <mergeCell ref="AG2:AH2"/>
    <mergeCell ref="AO3:AP3"/>
    <mergeCell ref="AJ2:AJ4"/>
    <mergeCell ref="AK38:AL38"/>
    <mergeCell ref="AM38:AN38"/>
    <mergeCell ref="AO38:AP38"/>
    <mergeCell ref="AO33:AQ33"/>
    <mergeCell ref="AO34:AQ34"/>
    <mergeCell ref="AQ38:AR38"/>
    <mergeCell ref="AC38:AD38"/>
    <mergeCell ref="A1:AH1"/>
    <mergeCell ref="G2:H2"/>
    <mergeCell ref="S2:T2"/>
    <mergeCell ref="CG2:CP2"/>
    <mergeCell ref="CG38:CP38"/>
    <mergeCell ref="I38:J38"/>
    <mergeCell ref="AS38:AT38"/>
    <mergeCell ref="AW38:AX38"/>
    <mergeCell ref="BS2:CE2"/>
    <mergeCell ref="Q3:R3"/>
    <mergeCell ref="I2:J2"/>
    <mergeCell ref="K2:L2"/>
    <mergeCell ref="M2:N2"/>
    <mergeCell ref="O2:P2"/>
    <mergeCell ref="Q2:R2"/>
    <mergeCell ref="BM2:BN2"/>
    <mergeCell ref="A37:AH37"/>
    <mergeCell ref="A2:C3"/>
    <mergeCell ref="G3:H3"/>
    <mergeCell ref="U2:V2"/>
    <mergeCell ref="BS38:CE38"/>
    <mergeCell ref="BQ38:BQ40"/>
    <mergeCell ref="AK39:AL39"/>
    <mergeCell ref="AM39:AN39"/>
    <mergeCell ref="A38:C39"/>
    <mergeCell ref="G39:H39"/>
    <mergeCell ref="I39:J39"/>
    <mergeCell ref="K39:L39"/>
    <mergeCell ref="M39:N39"/>
    <mergeCell ref="AG39:AH39"/>
    <mergeCell ref="K38:L38"/>
    <mergeCell ref="W3:X3"/>
    <mergeCell ref="AE3:AF3"/>
    <mergeCell ref="K3:L3"/>
    <mergeCell ref="M3:N3"/>
    <mergeCell ref="S3:T3"/>
    <mergeCell ref="U3:V3"/>
    <mergeCell ref="W39:X39"/>
    <mergeCell ref="AC39:AD39"/>
    <mergeCell ref="AE39:AF39"/>
    <mergeCell ref="AG3:AH3"/>
    <mergeCell ref="O38:P38"/>
    <mergeCell ref="M38:N38"/>
    <mergeCell ref="E38:F38"/>
    <mergeCell ref="G38:H38"/>
    <mergeCell ref="AA39:AB39"/>
    <mergeCell ref="S38:T38"/>
    <mergeCell ref="E39:F39"/>
    <mergeCell ref="BC3:BD3"/>
    <mergeCell ref="BA38:BB38"/>
    <mergeCell ref="BC38:BD38"/>
    <mergeCell ref="BR2:BR4"/>
    <mergeCell ref="BO2:BP2"/>
    <mergeCell ref="AU39:AV39"/>
    <mergeCell ref="AW39:AX39"/>
    <mergeCell ref="AY39:AZ39"/>
    <mergeCell ref="BA39:BB39"/>
    <mergeCell ref="BO3:BP3"/>
    <mergeCell ref="AU2:AV2"/>
    <mergeCell ref="BE2:BF2"/>
    <mergeCell ref="BE38:BF38"/>
    <mergeCell ref="BM3:BN3"/>
    <mergeCell ref="BC39:BD39"/>
    <mergeCell ref="J119:K119"/>
    <mergeCell ref="J118:K118"/>
    <mergeCell ref="BE3:BF3"/>
    <mergeCell ref="BI2:BJ2"/>
    <mergeCell ref="BK3:BL3"/>
    <mergeCell ref="AW2:AX2"/>
    <mergeCell ref="BK2:BL2"/>
    <mergeCell ref="BI3:BJ3"/>
    <mergeCell ref="BA3:BB3"/>
    <mergeCell ref="BC2:BD2"/>
    <mergeCell ref="AQ2:AR2"/>
    <mergeCell ref="AS3:AT3"/>
    <mergeCell ref="BG2:BH2"/>
    <mergeCell ref="BA2:BB2"/>
    <mergeCell ref="BG3:BH3"/>
    <mergeCell ref="AY2:AZ2"/>
    <mergeCell ref="AU3:AV3"/>
    <mergeCell ref="AW3:AX3"/>
    <mergeCell ref="AY3:AZ3"/>
    <mergeCell ref="AQ3:AR3"/>
    <mergeCell ref="AA38:AB38"/>
    <mergeCell ref="Q38:R38"/>
    <mergeCell ref="Y38:Z38"/>
    <mergeCell ref="AX114:BA114"/>
    <mergeCell ref="S114:W114"/>
    <mergeCell ref="E112:P112"/>
    <mergeCell ref="AS2:AT2"/>
    <mergeCell ref="S39:T39"/>
    <mergeCell ref="Y39:Z39"/>
    <mergeCell ref="W2:X2"/>
    <mergeCell ref="Y2:Z2"/>
    <mergeCell ref="AA2:AB2"/>
    <mergeCell ref="AE2:AF2"/>
    <mergeCell ref="I3:J3"/>
    <mergeCell ref="E3:F3"/>
    <mergeCell ref="O3:P3"/>
    <mergeCell ref="U39:V39"/>
    <mergeCell ref="O39:P39"/>
    <mergeCell ref="Q39:R39"/>
    <mergeCell ref="E2:F2"/>
    <mergeCell ref="E34:G34"/>
    <mergeCell ref="E35:G35"/>
    <mergeCell ref="U38:V38"/>
    <mergeCell ref="AK3:AL3"/>
    <mergeCell ref="AM3:AN3"/>
    <mergeCell ref="AO2:AP2"/>
    <mergeCell ref="AC2:AD2"/>
    <mergeCell ref="AE38:AF38"/>
  </mergeCells>
  <phoneticPr fontId="11" type="noConversion"/>
  <conditionalFormatting sqref="A1 AJ1">
    <cfRule type="containsText" dxfId="1701" priority="6099" operator="containsText" text="AB">
      <formula>NOT(ISERROR(SEARCH("AB",A1)))</formula>
    </cfRule>
    <cfRule type="containsText" dxfId="1700" priority="6098" operator="containsText" text="EL">
      <formula>NOT(ISERROR(SEARCH("EL",A1)))</formula>
    </cfRule>
    <cfRule type="containsText" dxfId="1699" priority="6101" operator="containsText" text="SICK">
      <formula>NOT(ISERROR(SEARCH("SICK",A1)))</formula>
    </cfRule>
    <cfRule type="containsText" dxfId="1698" priority="6096" operator="containsText" text="SP">
      <formula>NOT(ISERROR(SEARCH("SP",A1)))</formula>
    </cfRule>
    <cfRule type="containsText" dxfId="1697" priority="6097" operator="containsText" text="AL">
      <formula>NOT(ISERROR(SEARCH("AL",A1)))</formula>
    </cfRule>
    <cfRule type="containsText" dxfId="1696" priority="6100" operator="containsText" text="FL">
      <formula>NOT(ISERROR(SEARCH("FL",A1)))</formula>
    </cfRule>
  </conditionalFormatting>
  <conditionalFormatting sqref="A5:A26 A41:A113 A141:A146 AJ41:AJ112 AJ132:AJ133 AJ25:AJ26 BQ5:BQ26 AC31:AN34 BM31:BQ34 A31:D35 AC35:BQ35 A36:BQ36 A37:AJ37 A38:D39 AJ38:AJ39 BQ38:BQ39 A40:BQ40 BQ41:BQ112 A132:A138 BQ132:BQ138 AJ136:AJ138 BQ141:BQ146 AJ142:AJ144 AJ146">
    <cfRule type="containsText" dxfId="1695" priority="6102" stopIfTrue="1" operator="containsText" text="SP">
      <formula>NOT(ISERROR(SEARCH("SP",A5)))</formula>
    </cfRule>
  </conditionalFormatting>
  <conditionalFormatting sqref="A5:A26 BQ5:BQ26 AJ25:AJ26 AC31:AN34 BM31:BQ34 A31:D35 AC35:BQ35 A36:BQ36 A37:AJ37 A38:D39 AJ38:AJ39 BQ38:BQ39 A40:BQ40 AJ41:AJ112 BQ41:BQ112 A41:A113 AJ132:AJ133 A132:A138 BQ132:BQ138 AJ136:AJ138 A141:A146 BQ141:BQ146 AJ142:AJ144 AJ146">
    <cfRule type="containsText" dxfId="1694" priority="6107" stopIfTrue="1" operator="containsText" text="SICK">
      <formula>NOT(ISERROR(SEARCH("SICK",A5)))</formula>
    </cfRule>
    <cfRule type="containsText" dxfId="1693" priority="6106" stopIfTrue="1" operator="containsText" text="FL">
      <formula>NOT(ISERROR(SEARCH("FL",A5)))</formula>
    </cfRule>
    <cfRule type="containsText" dxfId="1692" priority="6105" stopIfTrue="1" operator="containsText" text="AB">
      <formula>NOT(ISERROR(SEARCH("AB",A5)))</formula>
    </cfRule>
    <cfRule type="containsText" dxfId="1691" priority="6104" stopIfTrue="1" operator="containsText" text="EL">
      <formula>NOT(ISERROR(SEARCH("EL",A5)))</formula>
    </cfRule>
    <cfRule type="containsText" dxfId="1690" priority="6103" stopIfTrue="1" operator="containsText" text="AL">
      <formula>NOT(ISERROR(SEARCH("AL",A5)))</formula>
    </cfRule>
  </conditionalFormatting>
  <conditionalFormatting sqref="A13 A19:A26 A100:A113 A145:A146">
    <cfRule type="containsText" dxfId="1689" priority="5722" stopIfTrue="1" operator="containsText" text="SP">
      <formula>NOT(ISERROR(SEARCH("SP",A13)))</formula>
    </cfRule>
    <cfRule type="containsText" dxfId="1688" priority="5723" stopIfTrue="1" operator="containsText" text="AL">
      <formula>NOT(ISERROR(SEARCH("AL",A13)))</formula>
    </cfRule>
    <cfRule type="containsText" dxfId="1687" priority="5724" stopIfTrue="1" operator="containsText" text="EL">
      <formula>NOT(ISERROR(SEARCH("EL",A13)))</formula>
    </cfRule>
    <cfRule type="containsText" dxfId="1686" priority="5725" stopIfTrue="1" operator="containsText" text="AB">
      <formula>NOT(ISERROR(SEARCH("AB",A13)))</formula>
    </cfRule>
    <cfRule type="containsText" dxfId="1685" priority="5726" stopIfTrue="1" operator="containsText" text="FL">
      <formula>NOT(ISERROR(SEARCH("FL",A13)))</formula>
    </cfRule>
    <cfRule type="containsText" dxfId="1684" priority="5727" stopIfTrue="1" operator="containsText" text="SICK">
      <formula>NOT(ISERROR(SEARCH("SICK",A13)))</formula>
    </cfRule>
  </conditionalFormatting>
  <conditionalFormatting sqref="C22">
    <cfRule type="duplicateValues" dxfId="1683" priority="15246"/>
    <cfRule type="duplicateValues" dxfId="1682" priority="15245"/>
    <cfRule type="duplicateValues" dxfId="1681" priority="15243"/>
    <cfRule type="duplicateValues" dxfId="1680" priority="15244"/>
  </conditionalFormatting>
  <conditionalFormatting sqref="C26">
    <cfRule type="duplicateValues" dxfId="1679" priority="15247"/>
  </conditionalFormatting>
  <conditionalFormatting sqref="C48">
    <cfRule type="duplicateValues" dxfId="1678" priority="15252"/>
    <cfRule type="duplicateValues" dxfId="1677" priority="15251"/>
    <cfRule type="duplicateValues" dxfId="1676" priority="15250"/>
    <cfRule type="duplicateValues" dxfId="1675" priority="15249"/>
    <cfRule type="duplicateValues" dxfId="1674" priority="15248"/>
  </conditionalFormatting>
  <conditionalFormatting sqref="C104 C20">
    <cfRule type="duplicateValues" dxfId="1673" priority="15254"/>
    <cfRule type="duplicateValues" dxfId="1672" priority="15253"/>
  </conditionalFormatting>
  <conditionalFormatting sqref="C141:C1048576 C23:C25 C1:C19 C21 C29:C47 C49:C103 C129:C138 C111:C127">
    <cfRule type="duplicateValues" dxfId="1671" priority="15954"/>
  </conditionalFormatting>
  <conditionalFormatting sqref="C141:C1048576 C23:C25 C1:C21 C29:C47 C49:C104 C129:C138 C110:C127">
    <cfRule type="duplicateValues" dxfId="1670" priority="15940"/>
  </conditionalFormatting>
  <conditionalFormatting sqref="C141:C1048576 C23:C26 C28:C47 C1:C21 C49:C138">
    <cfRule type="duplicateValues" dxfId="1669" priority="15948"/>
  </conditionalFormatting>
  <conditionalFormatting sqref="C146 C136:C138 C73:C103 C43:C47 C58:C71 C41 C142:C144 C49:C56 C132:C133 C111:C115">
    <cfRule type="duplicateValues" dxfId="1668" priority="16089"/>
  </conditionalFormatting>
  <conditionalFormatting sqref="C141:D1048576 C45:C47 C21 C23:C25 C49 C1:D20 D21:D26 C28:D44 D45:D49 C50:D127 C129:D138">
    <cfRule type="duplicateValues" dxfId="1667" priority="15963"/>
  </conditionalFormatting>
  <conditionalFormatting sqref="D5:D26 D41:D56 D58:D112 D132:D138 D141:D146">
    <cfRule type="timePeriod" priority="4816" timePeriod="nextWeek">
      <formula>AND(ROUNDDOWN(D5,0)-TODAY()&gt;(7-WEEKDAY(TODAY())),ROUNDDOWN(D5,0)-TODAY()&lt;(15-WEEKDAY(TODAY())))</formula>
    </cfRule>
  </conditionalFormatting>
  <conditionalFormatting sqref="D5:D26 D145:D146 D50 D53 D72 D134:D138 D141">
    <cfRule type="timePeriod" dxfId="1666" priority="4855" timePeriod="nextWeek">
      <formula>AND(ROUNDDOWN(D5,0)-TODAY()&gt;(7-WEEKDAY(TODAY())),ROUNDDOWN(D5,0)-TODAY()&lt;(15-WEEKDAY(TODAY())))</formula>
    </cfRule>
  </conditionalFormatting>
  <conditionalFormatting sqref="D11:D21 D41:D56 D58:D112 D132:D134 D136:D138 D141:D144">
    <cfRule type="timePeriod" dxfId="1665" priority="4876" timePeriod="last7Days">
      <formula>AND(TODAY()-FLOOR(D11,1)&lt;=6,FLOOR(D11,1)&lt;=TODAY())</formula>
    </cfRule>
  </conditionalFormatting>
  <conditionalFormatting sqref="D11:D21 D145:D146 D50 D53 D134 D136:D138 D141">
    <cfRule type="timePeriod" dxfId="1664" priority="4827" timePeriod="thisWeek">
      <formula>AND(TODAY()-ROUNDDOWN(D11,0)&lt;=WEEKDAY(TODAY())-1,ROUNDDOWN(D11,0)-TODAY()&lt;=7-WEEKDAY(TODAY()))</formula>
    </cfRule>
  </conditionalFormatting>
  <conditionalFormatting sqref="D13 D16:D20 D145:D146">
    <cfRule type="timePeriod" dxfId="1663" priority="4815" timePeriod="last7Days">
      <formula>AND(TODAY()-FLOOR(D13,1)&lt;=6,FLOOR(D13,1)&lt;=TODAY())</formula>
    </cfRule>
  </conditionalFormatting>
  <conditionalFormatting sqref="D20 D41:D56 D58:D112 D132:D133 D142:D144">
    <cfRule type="timePeriod" dxfId="1662" priority="4891" timePeriod="nextWeek">
      <formula>AND(ROUNDDOWN(D20,0)-TODAY()&gt;(7-WEEKDAY(TODAY())),ROUNDDOWN(D20,0)-TODAY()&lt;(15-WEEKDAY(TODAY())))</formula>
    </cfRule>
    <cfRule type="timePeriod" dxfId="1661" priority="4878" timePeriod="thisWeek">
      <formula>AND(TODAY()-ROUNDDOWN(D20,0)&lt;=WEEKDAY(TODAY())-1,ROUNDDOWN(D20,0)-TODAY()&lt;=7-WEEKDAY(TODAY()))</formula>
    </cfRule>
  </conditionalFormatting>
  <conditionalFormatting sqref="D72">
    <cfRule type="timePeriod" dxfId="1660" priority="4853" timePeriod="thisWeek">
      <formula>AND(TODAY()-ROUNDDOWN(D72,0)&lt;=WEEKDAY(TODAY())-1,ROUNDDOWN(D72,0)-TODAY()&lt;=7-WEEKDAY(TODAY()))</formula>
    </cfRule>
  </conditionalFormatting>
  <conditionalFormatting sqref="I8:J8 BE135:BF135 I136:J136 AQ136:AR136 AJ5:AJ26 AI54:AJ56 AI133:AJ133 AJ145">
    <cfRule type="containsText" dxfId="1659" priority="885" operator="containsText" text="FL">
      <formula>NOT(ISERROR(SEARCH("FL",I5)))</formula>
    </cfRule>
    <cfRule type="containsText" dxfId="1658" priority="884" operator="containsText" text="SUS">
      <formula>NOT(ISERROR(SEARCH("SUS",I5)))</formula>
    </cfRule>
  </conditionalFormatting>
  <conditionalFormatting sqref="I8:J8 BE135:BF135 I136:J136 AQ136:AR136">
    <cfRule type="containsText" dxfId="1657" priority="886" operator="containsText" text="MC">
      <formula>NOT(ISERROR(SEARCH("MC",I8)))</formula>
    </cfRule>
    <cfRule type="containsText" dxfId="1656" priority="889" operator="containsText" text="OFF">
      <formula>NOT(ISERROR(SEARCH("OFF",I8)))</formula>
    </cfRule>
    <cfRule type="containsText" dxfId="1655" priority="887" operator="containsText" text="AB">
      <formula>NOT(ISERROR(SEARCH("AB",I8)))</formula>
    </cfRule>
    <cfRule type="containsText" dxfId="1654" priority="890" operator="containsText" text="AL">
      <formula>NOT(ISERROR(SEARCH("AL",I8)))</formula>
    </cfRule>
    <cfRule type="containsText" dxfId="1653" priority="888" operator="containsText" text="Sick">
      <formula>NOT(ISERROR(SEARCH("Sick",I8)))</formula>
    </cfRule>
  </conditionalFormatting>
  <conditionalFormatting sqref="I8:J8 BE135:BF135">
    <cfRule type="containsText" dxfId="1652" priority="882" operator="containsText" text="EL">
      <formula>NOT(ISERROR(SEARCH("EL",I8)))</formula>
    </cfRule>
    <cfRule type="containsText" dxfId="1651" priority="883" operator="containsText" text="AB">
      <formula>NOT(ISERROR(SEARCH("AB",I8)))</formula>
    </cfRule>
  </conditionalFormatting>
  <conditionalFormatting sqref="I13:J13 K54:L54 Y101:Z101 K133:L133 BE142:BF144 W144:X144 Y146:Z146 BE146:BF146">
    <cfRule type="containsText" dxfId="1650" priority="851" operator="containsText" text="AB">
      <formula>NOT(ISERROR(SEARCH("AB",I13)))</formula>
    </cfRule>
  </conditionalFormatting>
  <conditionalFormatting sqref="I13:J13 K54:L54 Y101:Z101 K133:L133 BE143:BF144 W144:X144 Y146:Z146 BE146:BF146">
    <cfRule type="containsText" dxfId="1649" priority="850" operator="containsText" text="MC">
      <formula>NOT(ISERROR(SEARCH("MC",I13)))</formula>
    </cfRule>
    <cfRule type="containsText" dxfId="1648" priority="854" operator="containsText" text="AL">
      <formula>NOT(ISERROR(SEARCH("AL",I13)))</formula>
    </cfRule>
    <cfRule type="containsText" dxfId="1647" priority="853" operator="containsText" text="OFF">
      <formula>NOT(ISERROR(SEARCH("OFF",I13)))</formula>
    </cfRule>
    <cfRule type="containsText" dxfId="1646" priority="852" operator="containsText" text="Sick">
      <formula>NOT(ISERROR(SEARCH("Sick",I13)))</formula>
    </cfRule>
  </conditionalFormatting>
  <conditionalFormatting sqref="I13:J13 K54:L54 Y101:Z101 BE142:BF144 W144:X144 Y146:Z146 BE146:BF146">
    <cfRule type="containsText" dxfId="1645" priority="846" operator="containsText" text="EL">
      <formula>NOT(ISERROR(SEARCH("EL",I13)))</formula>
    </cfRule>
  </conditionalFormatting>
  <conditionalFormatting sqref="I13:J13 K54:L54 Y101:Z101 BE143:BF144 W144:X144 Y146:Z146 BE146:BF146 K133:L133">
    <cfRule type="containsText" dxfId="1644" priority="849" operator="containsText" text="FL">
      <formula>NOT(ISERROR(SEARCH("FL",I13)))</formula>
    </cfRule>
    <cfRule type="containsText" dxfId="1643" priority="848" operator="containsText" text="SUS">
      <formula>NOT(ISERROR(SEARCH("SUS",I13)))</formula>
    </cfRule>
  </conditionalFormatting>
  <conditionalFormatting sqref="I13:J13 K54:L54 Y101:Z101 BE143:BF144 W144:X144 Y146:Z146 BE146:BF146">
    <cfRule type="containsText" dxfId="1642" priority="847" operator="containsText" text="AB">
      <formula>NOT(ISERROR(SEARCH("AB",I13)))</formula>
    </cfRule>
  </conditionalFormatting>
  <conditionalFormatting sqref="I15:J20 I13:J13 W13:X20 W9:X11 I11:J11">
    <cfRule type="containsText" dxfId="1641" priority="873" operator="containsText" text="EL">
      <formula>NOT(ISERROR(SEARCH("EL",I9)))</formula>
    </cfRule>
  </conditionalFormatting>
  <conditionalFormatting sqref="I19:J20 Y84:Z84 Y132:Z132">
    <cfRule type="containsText" dxfId="1640" priority="863" operator="containsText" text="AL">
      <formula>NOT(ISERROR(SEARCH("AL",I19)))</formula>
    </cfRule>
    <cfRule type="containsText" dxfId="1639" priority="856" operator="containsText" text="AB">
      <formula>NOT(ISERROR(SEARCH("AB",I19)))</formula>
    </cfRule>
    <cfRule type="containsText" dxfId="1638" priority="858" operator="containsText" text="FL">
      <formula>NOT(ISERROR(SEARCH("FL",I19)))</formula>
    </cfRule>
    <cfRule type="containsText" dxfId="1637" priority="859" operator="containsText" text="MC">
      <formula>NOT(ISERROR(SEARCH("MC",I19)))</formula>
    </cfRule>
    <cfRule type="containsText" dxfId="1636" priority="857" operator="containsText" text="SUS">
      <formula>NOT(ISERROR(SEARCH("SUS",I19)))</formula>
    </cfRule>
    <cfRule type="containsText" dxfId="1635" priority="860" operator="containsText" text="AB">
      <formula>NOT(ISERROR(SEARCH("AB",I19)))</formula>
    </cfRule>
    <cfRule type="containsText" dxfId="1634" priority="855" operator="containsText" text="EL">
      <formula>NOT(ISERROR(SEARCH("EL",I19)))</formula>
    </cfRule>
    <cfRule type="containsText" dxfId="1633" priority="861" operator="containsText" text="Sick">
      <formula>NOT(ISERROR(SEARCH("Sick",I19)))</formula>
    </cfRule>
    <cfRule type="containsText" dxfId="1632" priority="862" operator="containsText" text="OFF">
      <formula>NOT(ISERROR(SEARCH("OFF",I19)))</formula>
    </cfRule>
  </conditionalFormatting>
  <conditionalFormatting sqref="I23:J26">
    <cfRule type="containsText" dxfId="1631" priority="872" operator="containsText" text="AL">
      <formula>NOT(ISERROR(SEARCH("AL",I23)))</formula>
    </cfRule>
    <cfRule type="containsText" dxfId="1630" priority="864" operator="containsText" text="EL">
      <formula>NOT(ISERROR(SEARCH("EL",I23)))</formula>
    </cfRule>
    <cfRule type="containsText" dxfId="1629" priority="871" operator="containsText" text="OFF">
      <formula>NOT(ISERROR(SEARCH("OFF",I23)))</formula>
    </cfRule>
    <cfRule type="containsText" dxfId="1628" priority="868" operator="containsText" text="MC">
      <formula>NOT(ISERROR(SEARCH("MC",I23)))</formula>
    </cfRule>
    <cfRule type="containsText" dxfId="1627" priority="866" operator="containsText" text="SUS">
      <formula>NOT(ISERROR(SEARCH("SUS",I23)))</formula>
    </cfRule>
    <cfRule type="containsText" dxfId="1626" priority="867" operator="containsText" text="FL">
      <formula>NOT(ISERROR(SEARCH("FL",I23)))</formula>
    </cfRule>
    <cfRule type="containsText" dxfId="1625" priority="869" operator="containsText" text="AB">
      <formula>NOT(ISERROR(SEARCH("AB",I23)))</formula>
    </cfRule>
    <cfRule type="containsText" dxfId="1624" priority="865" operator="containsText" text="AB">
      <formula>NOT(ISERROR(SEARCH("AB",I23)))</formula>
    </cfRule>
    <cfRule type="containsText" dxfId="1623" priority="870" operator="containsText" text="Sick">
      <formula>NOT(ISERROR(SEARCH("Sick",I23)))</formula>
    </cfRule>
  </conditionalFormatting>
  <conditionalFormatting sqref="I133:J133">
    <cfRule type="containsText" dxfId="1622" priority="845" operator="containsText" text="AL">
      <formula>NOT(ISERROR(SEARCH("AL",I133)))</formula>
    </cfRule>
    <cfRule type="containsText" dxfId="1621" priority="844" operator="containsText" text="OFF">
      <formula>NOT(ISERROR(SEARCH("OFF",I133)))</formula>
    </cfRule>
    <cfRule type="containsText" dxfId="1620" priority="843" operator="containsText" text="Sick">
      <formula>NOT(ISERROR(SEARCH("Sick",I133)))</formula>
    </cfRule>
    <cfRule type="containsText" dxfId="1619" priority="841" operator="containsText" text="MC">
      <formula>NOT(ISERROR(SEARCH("MC",I133)))</formula>
    </cfRule>
    <cfRule type="containsText" dxfId="1618" priority="840" operator="containsText" text="FL">
      <formula>NOT(ISERROR(SEARCH("FL",I133)))</formula>
    </cfRule>
    <cfRule type="containsText" dxfId="1617" priority="839" operator="containsText" text="SUS">
      <formula>NOT(ISERROR(SEARCH("SUS",I133)))</formula>
    </cfRule>
    <cfRule type="containsText" dxfId="1616" priority="838" operator="containsText" text="AB">
      <formula>NOT(ISERROR(SEARCH("AB",I133)))</formula>
    </cfRule>
  </conditionalFormatting>
  <conditionalFormatting sqref="I133:L133">
    <cfRule type="containsText" dxfId="1615" priority="842" operator="containsText" text="AB">
      <formula>NOT(ISERROR(SEARCH("AB",I133)))</formula>
    </cfRule>
    <cfRule type="containsText" dxfId="1614" priority="837" operator="containsText" text="EL">
      <formula>NOT(ISERROR(SEARCH("EL",I133)))</formula>
    </cfRule>
  </conditionalFormatting>
  <conditionalFormatting sqref="K5:L5">
    <cfRule type="containsText" dxfId="1613" priority="361" operator="containsText" text="OFF">
      <formula>NOT(ISERROR(SEARCH("OFF",K5)))</formula>
    </cfRule>
    <cfRule type="containsText" dxfId="1612" priority="360" operator="containsText" text="Sick">
      <formula>NOT(ISERROR(SEARCH("Sick",K5)))</formula>
    </cfRule>
    <cfRule type="containsText" dxfId="1611" priority="359" operator="containsText" text="AB">
      <formula>NOT(ISERROR(SEARCH("AB",K5)))</formula>
    </cfRule>
    <cfRule type="containsText" dxfId="1610" priority="358" operator="containsText" text="MC">
      <formula>NOT(ISERROR(SEARCH("MC",K5)))</formula>
    </cfRule>
    <cfRule type="containsText" dxfId="1609" priority="357" operator="containsText" text="FL">
      <formula>NOT(ISERROR(SEARCH("FL",K5)))</formula>
    </cfRule>
    <cfRule type="containsText" dxfId="1608" priority="362" operator="containsText" text="AL">
      <formula>NOT(ISERROR(SEARCH("AL",K5)))</formula>
    </cfRule>
    <cfRule type="containsText" dxfId="1607" priority="356" operator="containsText" text="SUS">
      <formula>NOT(ISERROR(SEARCH("SUS",K5)))</formula>
    </cfRule>
    <cfRule type="containsText" dxfId="1606" priority="355" operator="containsText" text="AB">
      <formula>NOT(ISERROR(SEARCH("AB",K5)))</formula>
    </cfRule>
    <cfRule type="containsText" dxfId="1605" priority="354" operator="containsText" text="EL">
      <formula>NOT(ISERROR(SEARCH("EL",K5)))</formula>
    </cfRule>
  </conditionalFormatting>
  <conditionalFormatting sqref="K9:L14">
    <cfRule type="containsText" dxfId="1604" priority="393" operator="containsText" text="FL">
      <formula>NOT(ISERROR(SEARCH("FL",K9)))</formula>
    </cfRule>
    <cfRule type="containsText" dxfId="1603" priority="392" operator="containsText" text="SUS">
      <formula>NOT(ISERROR(SEARCH("SUS",K9)))</formula>
    </cfRule>
    <cfRule type="containsText" dxfId="1602" priority="391" operator="containsText" text="AB">
      <formula>NOT(ISERROR(SEARCH("AB",K9)))</formula>
    </cfRule>
    <cfRule type="containsText" dxfId="1601" priority="390" operator="containsText" text="EL">
      <formula>NOT(ISERROR(SEARCH("EL",K9)))</formula>
    </cfRule>
    <cfRule type="containsText" dxfId="1600" priority="396" operator="containsText" text="Sick">
      <formula>NOT(ISERROR(SEARCH("Sick",K9)))</formula>
    </cfRule>
    <cfRule type="containsText" dxfId="1599" priority="395" operator="containsText" text="AB">
      <formula>NOT(ISERROR(SEARCH("AB",K9)))</formula>
    </cfRule>
    <cfRule type="containsText" dxfId="1598" priority="398" operator="containsText" text="AL">
      <formula>NOT(ISERROR(SEARCH("AL",K9)))</formula>
    </cfRule>
    <cfRule type="containsText" dxfId="1597" priority="394" operator="containsText" text="MC">
      <formula>NOT(ISERROR(SEARCH("MC",K9)))</formula>
    </cfRule>
    <cfRule type="containsText" dxfId="1596" priority="397" operator="containsText" text="OFF">
      <formula>NOT(ISERROR(SEARCH("OFF",K9)))</formula>
    </cfRule>
  </conditionalFormatting>
  <conditionalFormatting sqref="K21:L21 F22:P22 S22:AF22 K23:L23 I136:J138 AQ136:AR138 AQ133:AR133">
    <cfRule type="containsText" dxfId="1595" priority="458" operator="containsText" text="AB">
      <formula>NOT(ISERROR(SEARCH("AB",F21)))</formula>
    </cfRule>
  </conditionalFormatting>
  <conditionalFormatting sqref="K21:L21 F22:P22 S22:AF22 K23:L23 I137:J137 AQ137:AR137">
    <cfRule type="containsText" dxfId="1594" priority="454" operator="containsText" text="AB">
      <formula>NOT(ISERROR(SEARCH("AB",F21)))</formula>
    </cfRule>
  </conditionalFormatting>
  <conditionalFormatting sqref="K21:L21 F22:P22 S22:AF22 K23:L23 AQ137:AR137 I137:J138">
    <cfRule type="containsText" dxfId="1593" priority="460" operator="containsText" text="OFF">
      <formula>NOT(ISERROR(SEARCH("OFF",F21)))</formula>
    </cfRule>
    <cfRule type="containsText" dxfId="1592" priority="455" operator="containsText" text="SUS">
      <formula>NOT(ISERROR(SEARCH("SUS",F21)))</formula>
    </cfRule>
    <cfRule type="containsText" dxfId="1591" priority="456" operator="containsText" text="FL">
      <formula>NOT(ISERROR(SEARCH("FL",F21)))</formula>
    </cfRule>
    <cfRule type="containsText" dxfId="1590" priority="457" operator="containsText" text="MC">
      <formula>NOT(ISERROR(SEARCH("MC",F21)))</formula>
    </cfRule>
    <cfRule type="containsText" dxfId="1589" priority="461" operator="containsText" text="AL">
      <formula>NOT(ISERROR(SEARCH("AL",F21)))</formula>
    </cfRule>
    <cfRule type="containsText" dxfId="1588" priority="459" operator="containsText" text="Sick">
      <formula>NOT(ISERROR(SEARCH("Sick",F21)))</formula>
    </cfRule>
  </conditionalFormatting>
  <conditionalFormatting sqref="K41:L42">
    <cfRule type="containsText" dxfId="1587" priority="326" operator="containsText" text="AL">
      <formula>NOT(ISERROR(SEARCH("AL",K41)))</formula>
    </cfRule>
    <cfRule type="containsText" dxfId="1586" priority="325" operator="containsText" text="OFF">
      <formula>NOT(ISERROR(SEARCH("OFF",K41)))</formula>
    </cfRule>
    <cfRule type="containsText" dxfId="1585" priority="324" operator="containsText" text="Sick">
      <formula>NOT(ISERROR(SEARCH("Sick",K41)))</formula>
    </cfRule>
    <cfRule type="containsText" dxfId="1584" priority="323" operator="containsText" text="AB">
      <formula>NOT(ISERROR(SEARCH("AB",K41)))</formula>
    </cfRule>
    <cfRule type="containsText" dxfId="1583" priority="322" operator="containsText" text="MC">
      <formula>NOT(ISERROR(SEARCH("MC",K41)))</formula>
    </cfRule>
    <cfRule type="containsText" dxfId="1582" priority="321" operator="containsText" text="FL">
      <formula>NOT(ISERROR(SEARCH("FL",K41)))</formula>
    </cfRule>
    <cfRule type="containsText" dxfId="1581" priority="320" operator="containsText" text="SUS">
      <formula>NOT(ISERROR(SEARCH("SUS",K41)))</formula>
    </cfRule>
    <cfRule type="containsText" dxfId="1580" priority="319" operator="containsText" text="AB">
      <formula>NOT(ISERROR(SEARCH("AB",K41)))</formula>
    </cfRule>
    <cfRule type="containsText" dxfId="1579" priority="318" operator="containsText" text="EL">
      <formula>NOT(ISERROR(SEARCH("EL",K41)))</formula>
    </cfRule>
  </conditionalFormatting>
  <conditionalFormatting sqref="K48:L48">
    <cfRule type="containsText" dxfId="1578" priority="317" operator="containsText" text="AL">
      <formula>NOT(ISERROR(SEARCH("AL",K48)))</formula>
    </cfRule>
    <cfRule type="containsText" dxfId="1577" priority="316" operator="containsText" text="OFF">
      <formula>NOT(ISERROR(SEARCH("OFF",K48)))</formula>
    </cfRule>
    <cfRule type="containsText" dxfId="1576" priority="315" operator="containsText" text="Sick">
      <formula>NOT(ISERROR(SEARCH("Sick",K48)))</formula>
    </cfRule>
    <cfRule type="containsText" dxfId="1575" priority="314" operator="containsText" text="AB">
      <formula>NOT(ISERROR(SEARCH("AB",K48)))</formula>
    </cfRule>
    <cfRule type="containsText" dxfId="1574" priority="313" operator="containsText" text="MC">
      <formula>NOT(ISERROR(SEARCH("MC",K48)))</formula>
    </cfRule>
    <cfRule type="containsText" dxfId="1573" priority="312" operator="containsText" text="FL">
      <formula>NOT(ISERROR(SEARCH("FL",K48)))</formula>
    </cfRule>
    <cfRule type="containsText" dxfId="1572" priority="311" operator="containsText" text="SUS">
      <formula>NOT(ISERROR(SEARCH("SUS",K48)))</formula>
    </cfRule>
    <cfRule type="containsText" dxfId="1571" priority="310" operator="containsText" text="AB">
      <formula>NOT(ISERROR(SEARCH("AB",K48)))</formula>
    </cfRule>
    <cfRule type="containsText" dxfId="1570" priority="309" operator="containsText" text="EL">
      <formula>NOT(ISERROR(SEARCH("EL",K48)))</formula>
    </cfRule>
  </conditionalFormatting>
  <conditionalFormatting sqref="K59:L61">
    <cfRule type="containsText" dxfId="1569" priority="65" operator="containsText" text="AL">
      <formula>NOT(ISERROR(SEARCH("AL",K59)))</formula>
    </cfRule>
    <cfRule type="containsText" dxfId="1568" priority="58" operator="containsText" text="AB">
      <formula>NOT(ISERROR(SEARCH("AB",K59)))</formula>
    </cfRule>
    <cfRule type="containsText" dxfId="1567" priority="57" operator="containsText" text="EL">
      <formula>NOT(ISERROR(SEARCH("EL",K59)))</formula>
    </cfRule>
    <cfRule type="containsText" dxfId="1566" priority="59" operator="containsText" text="SUS">
      <formula>NOT(ISERROR(SEARCH("SUS",K59)))</formula>
    </cfRule>
    <cfRule type="containsText" dxfId="1565" priority="60" operator="containsText" text="FL">
      <formula>NOT(ISERROR(SEARCH("FL",K59)))</formula>
    </cfRule>
    <cfRule type="containsText" dxfId="1564" priority="61" operator="containsText" text="MC">
      <formula>NOT(ISERROR(SEARCH("MC",K59)))</formula>
    </cfRule>
    <cfRule type="containsText" dxfId="1563" priority="62" operator="containsText" text="AB">
      <formula>NOT(ISERROR(SEARCH("AB",K59)))</formula>
    </cfRule>
    <cfRule type="containsText" dxfId="1562" priority="63" operator="containsText" text="Sick">
      <formula>NOT(ISERROR(SEARCH("Sick",K59)))</formula>
    </cfRule>
    <cfRule type="containsText" dxfId="1561" priority="64" operator="containsText" text="OFF">
      <formula>NOT(ISERROR(SEARCH("OFF",K59)))</formula>
    </cfRule>
  </conditionalFormatting>
  <conditionalFormatting sqref="K63:L64">
    <cfRule type="containsText" dxfId="1560" priority="56" operator="containsText" text="AL">
      <formula>NOT(ISERROR(SEARCH("AL",K63)))</formula>
    </cfRule>
    <cfRule type="containsText" dxfId="1559" priority="51" operator="containsText" text="FL">
      <formula>NOT(ISERROR(SEARCH("FL",K63)))</formula>
    </cfRule>
    <cfRule type="containsText" dxfId="1558" priority="50" operator="containsText" text="SUS">
      <formula>NOT(ISERROR(SEARCH("SUS",K63)))</formula>
    </cfRule>
    <cfRule type="containsText" dxfId="1557" priority="49" operator="containsText" text="AB">
      <formula>NOT(ISERROR(SEARCH("AB",K63)))</formula>
    </cfRule>
    <cfRule type="containsText" dxfId="1556" priority="48" operator="containsText" text="EL">
      <formula>NOT(ISERROR(SEARCH("EL",K63)))</formula>
    </cfRule>
    <cfRule type="containsText" dxfId="1555" priority="55" operator="containsText" text="OFF">
      <formula>NOT(ISERROR(SEARCH("OFF",K63)))</formula>
    </cfRule>
    <cfRule type="containsText" dxfId="1554" priority="54" operator="containsText" text="Sick">
      <formula>NOT(ISERROR(SEARCH("Sick",K63)))</formula>
    </cfRule>
    <cfRule type="containsText" dxfId="1553" priority="52" operator="containsText" text="MC">
      <formula>NOT(ISERROR(SEARCH("MC",K63)))</formula>
    </cfRule>
    <cfRule type="containsText" dxfId="1552" priority="53" operator="containsText" text="AB">
      <formula>NOT(ISERROR(SEARCH("AB",K63)))</formula>
    </cfRule>
  </conditionalFormatting>
  <conditionalFormatting sqref="K66:L66">
    <cfRule type="containsText" dxfId="1551" priority="73" operator="containsText" text="OFF">
      <formula>NOT(ISERROR(SEARCH("OFF",K66)))</formula>
    </cfRule>
    <cfRule type="containsText" dxfId="1550" priority="74" operator="containsText" text="AL">
      <formula>NOT(ISERROR(SEARCH("AL",K66)))</formula>
    </cfRule>
    <cfRule type="containsText" dxfId="1549" priority="72" operator="containsText" text="Sick">
      <formula>NOT(ISERROR(SEARCH("Sick",K66)))</formula>
    </cfRule>
    <cfRule type="containsText" dxfId="1548" priority="71" operator="containsText" text="AB">
      <formula>NOT(ISERROR(SEARCH("AB",K66)))</formula>
    </cfRule>
    <cfRule type="containsText" dxfId="1547" priority="70" operator="containsText" text="MC">
      <formula>NOT(ISERROR(SEARCH("MC",K66)))</formula>
    </cfRule>
    <cfRule type="containsText" dxfId="1546" priority="69" operator="containsText" text="FL">
      <formula>NOT(ISERROR(SEARCH("FL",K66)))</formula>
    </cfRule>
    <cfRule type="containsText" dxfId="1545" priority="68" operator="containsText" text="SUS">
      <formula>NOT(ISERROR(SEARCH("SUS",K66)))</formula>
    </cfRule>
    <cfRule type="containsText" dxfId="1544" priority="66" operator="containsText" text="EL">
      <formula>NOT(ISERROR(SEARCH("EL",K66)))</formula>
    </cfRule>
    <cfRule type="containsText" dxfId="1543" priority="67" operator="containsText" text="AB">
      <formula>NOT(ISERROR(SEARCH("AB",K66)))</formula>
    </cfRule>
  </conditionalFormatting>
  <conditionalFormatting sqref="K76:L79">
    <cfRule type="containsText" dxfId="1542" priority="266" operator="containsText" text="SUS">
      <formula>NOT(ISERROR(SEARCH("SUS",K76)))</formula>
    </cfRule>
    <cfRule type="containsText" dxfId="1541" priority="265" operator="containsText" text="AB">
      <formula>NOT(ISERROR(SEARCH("AB",K76)))</formula>
    </cfRule>
    <cfRule type="containsText" dxfId="1540" priority="270" operator="containsText" text="Sick">
      <formula>NOT(ISERROR(SEARCH("Sick",K76)))</formula>
    </cfRule>
    <cfRule type="containsText" dxfId="1539" priority="268" operator="containsText" text="MC">
      <formula>NOT(ISERROR(SEARCH("MC",K76)))</formula>
    </cfRule>
    <cfRule type="containsText" dxfId="1538" priority="264" operator="containsText" text="EL">
      <formula>NOT(ISERROR(SEARCH("EL",K76)))</formula>
    </cfRule>
    <cfRule type="containsText" dxfId="1537" priority="272" operator="containsText" text="AL">
      <formula>NOT(ISERROR(SEARCH("AL",K76)))</formula>
    </cfRule>
    <cfRule type="containsText" dxfId="1536" priority="271" operator="containsText" text="OFF">
      <formula>NOT(ISERROR(SEARCH("OFF",K76)))</formula>
    </cfRule>
    <cfRule type="containsText" dxfId="1535" priority="269" operator="containsText" text="AB">
      <formula>NOT(ISERROR(SEARCH("AB",K76)))</formula>
    </cfRule>
    <cfRule type="containsText" dxfId="1534" priority="267" operator="containsText" text="FL">
      <formula>NOT(ISERROR(SEARCH("FL",K76)))</formula>
    </cfRule>
  </conditionalFormatting>
  <conditionalFormatting sqref="K81:L81">
    <cfRule type="containsText" dxfId="1533" priority="263" operator="containsText" text="AL">
      <formula>NOT(ISERROR(SEARCH("AL",K81)))</formula>
    </cfRule>
    <cfRule type="containsText" dxfId="1532" priority="255" operator="containsText" text="EL">
      <formula>NOT(ISERROR(SEARCH("EL",K81)))</formula>
    </cfRule>
    <cfRule type="containsText" dxfId="1531" priority="256" operator="containsText" text="AB">
      <formula>NOT(ISERROR(SEARCH("AB",K81)))</formula>
    </cfRule>
    <cfRule type="containsText" dxfId="1530" priority="257" operator="containsText" text="SUS">
      <formula>NOT(ISERROR(SEARCH("SUS",K81)))</formula>
    </cfRule>
    <cfRule type="containsText" dxfId="1529" priority="258" operator="containsText" text="FL">
      <formula>NOT(ISERROR(SEARCH("FL",K81)))</formula>
    </cfRule>
    <cfRule type="containsText" dxfId="1528" priority="259" operator="containsText" text="MC">
      <formula>NOT(ISERROR(SEARCH("MC",K81)))</formula>
    </cfRule>
    <cfRule type="containsText" dxfId="1527" priority="260" operator="containsText" text="AB">
      <formula>NOT(ISERROR(SEARCH("AB",K81)))</formula>
    </cfRule>
    <cfRule type="containsText" dxfId="1526" priority="261" operator="containsText" text="Sick">
      <formula>NOT(ISERROR(SEARCH("Sick",K81)))</formula>
    </cfRule>
    <cfRule type="containsText" dxfId="1525" priority="262" operator="containsText" text="OFF">
      <formula>NOT(ISERROR(SEARCH("OFF",K81)))</formula>
    </cfRule>
  </conditionalFormatting>
  <conditionalFormatting sqref="K85:L85">
    <cfRule type="containsText" dxfId="1524" priority="248" operator="containsText" text="SUS">
      <formula>NOT(ISERROR(SEARCH("SUS",K85)))</formula>
    </cfRule>
    <cfRule type="containsText" dxfId="1523" priority="250" operator="containsText" text="MC">
      <formula>NOT(ISERROR(SEARCH("MC",K85)))</formula>
    </cfRule>
    <cfRule type="containsText" dxfId="1522" priority="251" operator="containsText" text="AB">
      <formula>NOT(ISERROR(SEARCH("AB",K85)))</formula>
    </cfRule>
    <cfRule type="containsText" dxfId="1521" priority="252" operator="containsText" text="Sick">
      <formula>NOT(ISERROR(SEARCH("Sick",K85)))</formula>
    </cfRule>
    <cfRule type="containsText" dxfId="1520" priority="253" operator="containsText" text="OFF">
      <formula>NOT(ISERROR(SEARCH("OFF",K85)))</formula>
    </cfRule>
    <cfRule type="containsText" dxfId="1519" priority="254" operator="containsText" text="AL">
      <formula>NOT(ISERROR(SEARCH("AL",K85)))</formula>
    </cfRule>
    <cfRule type="containsText" dxfId="1518" priority="246" operator="containsText" text="EL">
      <formula>NOT(ISERROR(SEARCH("EL",K85)))</formula>
    </cfRule>
    <cfRule type="containsText" dxfId="1517" priority="249" operator="containsText" text="FL">
      <formula>NOT(ISERROR(SEARCH("FL",K85)))</formula>
    </cfRule>
    <cfRule type="containsText" dxfId="1516" priority="247" operator="containsText" text="AB">
      <formula>NOT(ISERROR(SEARCH("AB",K85)))</formula>
    </cfRule>
  </conditionalFormatting>
  <conditionalFormatting sqref="K87:L87">
    <cfRule type="containsText" dxfId="1515" priority="238" operator="containsText" text="AB">
      <formula>NOT(ISERROR(SEARCH("AB",K87)))</formula>
    </cfRule>
    <cfRule type="containsText" dxfId="1514" priority="237" operator="containsText" text="EL">
      <formula>NOT(ISERROR(SEARCH("EL",K87)))</formula>
    </cfRule>
    <cfRule type="containsText" dxfId="1513" priority="239" operator="containsText" text="SUS">
      <formula>NOT(ISERROR(SEARCH("SUS",K87)))</formula>
    </cfRule>
    <cfRule type="containsText" dxfId="1512" priority="241" operator="containsText" text="MC">
      <formula>NOT(ISERROR(SEARCH("MC",K87)))</formula>
    </cfRule>
    <cfRule type="containsText" dxfId="1511" priority="242" operator="containsText" text="AB">
      <formula>NOT(ISERROR(SEARCH("AB",K87)))</formula>
    </cfRule>
    <cfRule type="containsText" dxfId="1510" priority="243" operator="containsText" text="Sick">
      <formula>NOT(ISERROR(SEARCH("Sick",K87)))</formula>
    </cfRule>
    <cfRule type="containsText" dxfId="1509" priority="244" operator="containsText" text="OFF">
      <formula>NOT(ISERROR(SEARCH("OFF",K87)))</formula>
    </cfRule>
    <cfRule type="containsText" dxfId="1508" priority="245" operator="containsText" text="AL">
      <formula>NOT(ISERROR(SEARCH("AL",K87)))</formula>
    </cfRule>
    <cfRule type="containsText" dxfId="1507" priority="240" operator="containsText" text="FL">
      <formula>NOT(ISERROR(SEARCH("FL",K87)))</formula>
    </cfRule>
  </conditionalFormatting>
  <conditionalFormatting sqref="K90:L92">
    <cfRule type="containsText" dxfId="1506" priority="236" operator="containsText" text="AL">
      <formula>NOT(ISERROR(SEARCH("AL",K90)))</formula>
    </cfRule>
    <cfRule type="containsText" dxfId="1505" priority="235" operator="containsText" text="OFF">
      <formula>NOT(ISERROR(SEARCH("OFF",K90)))</formula>
    </cfRule>
    <cfRule type="containsText" dxfId="1504" priority="234" operator="containsText" text="Sick">
      <formula>NOT(ISERROR(SEARCH("Sick",K90)))</formula>
    </cfRule>
    <cfRule type="containsText" dxfId="1503" priority="233" operator="containsText" text="AB">
      <formula>NOT(ISERROR(SEARCH("AB",K90)))</formula>
    </cfRule>
    <cfRule type="containsText" dxfId="1502" priority="232" operator="containsText" text="MC">
      <formula>NOT(ISERROR(SEARCH("MC",K90)))</formula>
    </cfRule>
    <cfRule type="containsText" dxfId="1501" priority="231" operator="containsText" text="FL">
      <formula>NOT(ISERROR(SEARCH("FL",K90)))</formula>
    </cfRule>
    <cfRule type="containsText" dxfId="1500" priority="230" operator="containsText" text="SUS">
      <formula>NOT(ISERROR(SEARCH("SUS",K90)))</formula>
    </cfRule>
    <cfRule type="containsText" dxfId="1499" priority="229" operator="containsText" text="AB">
      <formula>NOT(ISERROR(SEARCH("AB",K90)))</formula>
    </cfRule>
    <cfRule type="containsText" dxfId="1498" priority="228" operator="containsText" text="EL">
      <formula>NOT(ISERROR(SEARCH("EL",K90)))</formula>
    </cfRule>
  </conditionalFormatting>
  <conditionalFormatting sqref="K96:L96">
    <cfRule type="containsText" dxfId="1497" priority="227" operator="containsText" text="AL">
      <formula>NOT(ISERROR(SEARCH("AL",K96)))</formula>
    </cfRule>
    <cfRule type="containsText" dxfId="1496" priority="219" operator="containsText" text="EL">
      <formula>NOT(ISERROR(SEARCH("EL",K96)))</formula>
    </cfRule>
    <cfRule type="containsText" dxfId="1495" priority="220" operator="containsText" text="AB">
      <formula>NOT(ISERROR(SEARCH("AB",K96)))</formula>
    </cfRule>
    <cfRule type="containsText" dxfId="1494" priority="225" operator="containsText" text="Sick">
      <formula>NOT(ISERROR(SEARCH("Sick",K96)))</formula>
    </cfRule>
    <cfRule type="containsText" dxfId="1493" priority="226" operator="containsText" text="OFF">
      <formula>NOT(ISERROR(SEARCH("OFF",K96)))</formula>
    </cfRule>
    <cfRule type="containsText" dxfId="1492" priority="224" operator="containsText" text="AB">
      <formula>NOT(ISERROR(SEARCH("AB",K96)))</formula>
    </cfRule>
    <cfRule type="containsText" dxfId="1491" priority="223" operator="containsText" text="MC">
      <formula>NOT(ISERROR(SEARCH("MC",K96)))</formula>
    </cfRule>
    <cfRule type="containsText" dxfId="1490" priority="222" operator="containsText" text="FL">
      <formula>NOT(ISERROR(SEARCH("FL",K96)))</formula>
    </cfRule>
    <cfRule type="containsText" dxfId="1489" priority="221" operator="containsText" text="SUS">
      <formula>NOT(ISERROR(SEARCH("SUS",K96)))</formula>
    </cfRule>
  </conditionalFormatting>
  <conditionalFormatting sqref="K102:L102">
    <cfRule type="containsText" dxfId="1488" priority="217" operator="containsText" text="OFF">
      <formula>NOT(ISERROR(SEARCH("OFF",K102)))</formula>
    </cfRule>
    <cfRule type="containsText" dxfId="1487" priority="213" operator="containsText" text="FL">
      <formula>NOT(ISERROR(SEARCH("FL",K102)))</formula>
    </cfRule>
    <cfRule type="containsText" dxfId="1486" priority="212" operator="containsText" text="SUS">
      <formula>NOT(ISERROR(SEARCH("SUS",K102)))</formula>
    </cfRule>
    <cfRule type="containsText" dxfId="1485" priority="210" operator="containsText" text="EL">
      <formula>NOT(ISERROR(SEARCH("EL",K102)))</formula>
    </cfRule>
    <cfRule type="containsText" dxfId="1484" priority="211" operator="containsText" text="AB">
      <formula>NOT(ISERROR(SEARCH("AB",K102)))</formula>
    </cfRule>
    <cfRule type="containsText" dxfId="1483" priority="214" operator="containsText" text="MC">
      <formula>NOT(ISERROR(SEARCH("MC",K102)))</formula>
    </cfRule>
    <cfRule type="containsText" dxfId="1482" priority="216" operator="containsText" text="Sick">
      <formula>NOT(ISERROR(SEARCH("Sick",K102)))</formula>
    </cfRule>
    <cfRule type="containsText" dxfId="1481" priority="215" operator="containsText" text="AB">
      <formula>NOT(ISERROR(SEARCH("AB",K102)))</formula>
    </cfRule>
    <cfRule type="containsText" dxfId="1480" priority="218" operator="containsText" text="AL">
      <formula>NOT(ISERROR(SEARCH("AL",K102)))</formula>
    </cfRule>
  </conditionalFormatting>
  <conditionalFormatting sqref="K104:L105">
    <cfRule type="containsText" dxfId="1479" priority="209" operator="containsText" text="AL">
      <formula>NOT(ISERROR(SEARCH("AL",K104)))</formula>
    </cfRule>
    <cfRule type="containsText" dxfId="1478" priority="204" operator="containsText" text="FL">
      <formula>NOT(ISERROR(SEARCH("FL",K104)))</formula>
    </cfRule>
    <cfRule type="containsText" dxfId="1477" priority="202" operator="containsText" text="AB">
      <formula>NOT(ISERROR(SEARCH("AB",K104)))</formula>
    </cfRule>
    <cfRule type="containsText" dxfId="1476" priority="201" operator="containsText" text="EL">
      <formula>NOT(ISERROR(SEARCH("EL",K104)))</formula>
    </cfRule>
    <cfRule type="containsText" dxfId="1475" priority="203" operator="containsText" text="SUS">
      <formula>NOT(ISERROR(SEARCH("SUS",K104)))</formula>
    </cfRule>
    <cfRule type="containsText" dxfId="1474" priority="208" operator="containsText" text="OFF">
      <formula>NOT(ISERROR(SEARCH("OFF",K104)))</formula>
    </cfRule>
    <cfRule type="containsText" dxfId="1473" priority="207" operator="containsText" text="Sick">
      <formula>NOT(ISERROR(SEARCH("Sick",K104)))</formula>
    </cfRule>
    <cfRule type="containsText" dxfId="1472" priority="206" operator="containsText" text="AB">
      <formula>NOT(ISERROR(SEARCH("AB",K104)))</formula>
    </cfRule>
    <cfRule type="containsText" dxfId="1471" priority="205" operator="containsText" text="MC">
      <formula>NOT(ISERROR(SEARCH("MC",K104)))</formula>
    </cfRule>
  </conditionalFormatting>
  <conditionalFormatting sqref="K107:L107">
    <cfRule type="containsText" dxfId="1470" priority="183" operator="containsText" text="EL">
      <formula>NOT(ISERROR(SEARCH("EL",K107)))</formula>
    </cfRule>
    <cfRule type="containsText" dxfId="1469" priority="184" operator="containsText" text="AB">
      <formula>NOT(ISERROR(SEARCH("AB",K107)))</formula>
    </cfRule>
    <cfRule type="containsText" dxfId="1468" priority="185" operator="containsText" text="SUS">
      <formula>NOT(ISERROR(SEARCH("SUS",K107)))</formula>
    </cfRule>
    <cfRule type="containsText" dxfId="1467" priority="188" operator="containsText" text="AB">
      <formula>NOT(ISERROR(SEARCH("AB",K107)))</formula>
    </cfRule>
    <cfRule type="containsText" dxfId="1466" priority="190" operator="containsText" text="OFF">
      <formula>NOT(ISERROR(SEARCH("OFF",K107)))</formula>
    </cfRule>
    <cfRule type="containsText" dxfId="1465" priority="191" operator="containsText" text="AL">
      <formula>NOT(ISERROR(SEARCH("AL",K107)))</formula>
    </cfRule>
    <cfRule type="containsText" dxfId="1464" priority="189" operator="containsText" text="Sick">
      <formula>NOT(ISERROR(SEARCH("Sick",K107)))</formula>
    </cfRule>
    <cfRule type="containsText" dxfId="1463" priority="186" operator="containsText" text="FL">
      <formula>NOT(ISERROR(SEARCH("FL",K107)))</formula>
    </cfRule>
    <cfRule type="containsText" dxfId="1462" priority="187" operator="containsText" text="MC">
      <formula>NOT(ISERROR(SEARCH("MC",K107)))</formula>
    </cfRule>
  </conditionalFormatting>
  <conditionalFormatting sqref="K109:L110">
    <cfRule type="containsText" dxfId="1461" priority="194" operator="containsText" text="SUS">
      <formula>NOT(ISERROR(SEARCH("SUS",K109)))</formula>
    </cfRule>
    <cfRule type="containsText" dxfId="1460" priority="197" operator="containsText" text="AB">
      <formula>NOT(ISERROR(SEARCH("AB",K109)))</formula>
    </cfRule>
    <cfRule type="containsText" dxfId="1459" priority="192" operator="containsText" text="EL">
      <formula>NOT(ISERROR(SEARCH("EL",K109)))</formula>
    </cfRule>
    <cfRule type="containsText" dxfId="1458" priority="193" operator="containsText" text="AB">
      <formula>NOT(ISERROR(SEARCH("AB",K109)))</formula>
    </cfRule>
    <cfRule type="containsText" dxfId="1457" priority="196" operator="containsText" text="MC">
      <formula>NOT(ISERROR(SEARCH("MC",K109)))</formula>
    </cfRule>
    <cfRule type="containsText" dxfId="1456" priority="195" operator="containsText" text="FL">
      <formula>NOT(ISERROR(SEARCH("FL",K109)))</formula>
    </cfRule>
    <cfRule type="containsText" dxfId="1455" priority="198" operator="containsText" text="Sick">
      <formula>NOT(ISERROR(SEARCH("Sick",K109)))</formula>
    </cfRule>
    <cfRule type="containsText" dxfId="1454" priority="199" operator="containsText" text="OFF">
      <formula>NOT(ISERROR(SEARCH("OFF",K109)))</formula>
    </cfRule>
    <cfRule type="containsText" dxfId="1453" priority="200" operator="containsText" text="AL">
      <formula>NOT(ISERROR(SEARCH("AL",K109)))</formula>
    </cfRule>
  </conditionalFormatting>
  <conditionalFormatting sqref="K145:L145">
    <cfRule type="containsText" dxfId="1452" priority="371" operator="containsText" text="AL">
      <formula>NOT(ISERROR(SEARCH("AL",K145)))</formula>
    </cfRule>
    <cfRule type="containsText" dxfId="1451" priority="366" operator="containsText" text="FL">
      <formula>NOT(ISERROR(SEARCH("FL",K145)))</formula>
    </cfRule>
    <cfRule type="containsText" dxfId="1450" priority="365" operator="containsText" text="SUS">
      <formula>NOT(ISERROR(SEARCH("SUS",K145)))</formula>
    </cfRule>
    <cfRule type="containsText" dxfId="1449" priority="364" operator="containsText" text="AB">
      <formula>NOT(ISERROR(SEARCH("AB",K145)))</formula>
    </cfRule>
    <cfRule type="containsText" dxfId="1448" priority="363" operator="containsText" text="EL">
      <formula>NOT(ISERROR(SEARCH("EL",K145)))</formula>
    </cfRule>
    <cfRule type="containsText" dxfId="1447" priority="370" operator="containsText" text="OFF">
      <formula>NOT(ISERROR(SEARCH("OFF",K145)))</formula>
    </cfRule>
    <cfRule type="containsText" dxfId="1446" priority="369" operator="containsText" text="Sick">
      <formula>NOT(ISERROR(SEARCH("Sick",K145)))</formula>
    </cfRule>
    <cfRule type="containsText" dxfId="1445" priority="368" operator="containsText" text="AB">
      <formula>NOT(ISERROR(SEARCH("AB",K145)))</formula>
    </cfRule>
    <cfRule type="containsText" dxfId="1444" priority="367" operator="containsText" text="MC">
      <formula>NOT(ISERROR(SEARCH("MC",K145)))</formula>
    </cfRule>
  </conditionalFormatting>
  <conditionalFormatting sqref="L30:AA33 P114:S114 X114:AE114 AX114 BB114:BK114">
    <cfRule type="containsText" dxfId="1443" priority="2015" stopIfTrue="1" operator="containsText" text="SICK">
      <formula>NOT(ISERROR(SEARCH("SICK",L30)))</formula>
    </cfRule>
  </conditionalFormatting>
  <conditionalFormatting sqref="L30:AA33 P114:S114 X114:AE114 BB114:BK114">
    <cfRule type="containsText" dxfId="1442" priority="2011" stopIfTrue="1" operator="containsText" text="AB">
      <formula>NOT(ISERROR(SEARCH("AB",L30)))</formula>
    </cfRule>
  </conditionalFormatting>
  <conditionalFormatting sqref="L30:AA33 S114 X114:AE114 AX114 BB114:BK114">
    <cfRule type="containsText" priority="2014" stopIfTrue="1" operator="containsText" text="SP">
      <formula>NOT(ISERROR(SEARCH("SP",L30)))</formula>
    </cfRule>
  </conditionalFormatting>
  <conditionalFormatting sqref="L30:AA33 S114 X114:AE114 BB114:BK114 AX114">
    <cfRule type="containsText" dxfId="1441" priority="2013" stopIfTrue="1" operator="containsText" text="SP">
      <formula>NOT(ISERROR(SEARCH("SP",L30)))</formula>
    </cfRule>
  </conditionalFormatting>
  <conditionalFormatting sqref="L30:AA33 S114 X114:AE114 BB114:BK114">
    <cfRule type="containsText" dxfId="1440" priority="2012" stopIfTrue="1" operator="containsText" text="SICK">
      <formula>NOT(ISERROR(SEARCH("SICK",L30)))</formula>
    </cfRule>
  </conditionalFormatting>
  <conditionalFormatting sqref="P114:R114 P115:AE117 AA124:AA125">
    <cfRule type="containsText" priority="7941" stopIfTrue="1" operator="containsText" text="SP">
      <formula>NOT(ISERROR(SEARCH("SP",P114)))</formula>
    </cfRule>
    <cfRule type="containsText" dxfId="1439" priority="7942" stopIfTrue="1" operator="containsText" text="SICK">
      <formula>NOT(ISERROR(SEARCH("SICK",P114)))</formula>
    </cfRule>
  </conditionalFormatting>
  <conditionalFormatting sqref="P115:AE117 AA124:AA125 P114:R114">
    <cfRule type="containsText" dxfId="1438" priority="7940" stopIfTrue="1" operator="containsText" text="SP">
      <formula>NOT(ISERROR(SEARCH("SP",P114)))</formula>
    </cfRule>
  </conditionalFormatting>
  <conditionalFormatting sqref="P115:AE117 AA124:AA125">
    <cfRule type="containsText" dxfId="1437" priority="7938" stopIfTrue="1" operator="containsText" text="AB">
      <formula>NOT(ISERROR(SEARCH("AB",P115)))</formula>
    </cfRule>
    <cfRule type="containsText" dxfId="1436" priority="7939" stopIfTrue="1" operator="containsText" text="SICK">
      <formula>NOT(ISERROR(SEARCH("SICK",P115)))</formula>
    </cfRule>
  </conditionalFormatting>
  <conditionalFormatting sqref="U18:V18">
    <cfRule type="containsText" dxfId="1435" priority="640" operator="containsText" text="FL">
      <formula>NOT(ISERROR(SEARCH("FL",U18)))</formula>
    </cfRule>
    <cfRule type="containsText" dxfId="1434" priority="642" operator="containsText" text="MC">
      <formula>NOT(ISERROR(SEARCH("MC",U18)))</formula>
    </cfRule>
    <cfRule type="containsText" dxfId="1433" priority="646" operator="containsText" text="AL">
      <formula>NOT(ISERROR(SEARCH("AL",U18)))</formula>
    </cfRule>
    <cfRule type="containsText" dxfId="1432" priority="637" operator="containsText" text="SP">
      <formula>NOT(ISERROR(SEARCH("SP",U18)))</formula>
    </cfRule>
    <cfRule type="containsText" dxfId="1431" priority="638" operator="containsText" text="NL">
      <formula>NOT(ISERROR(SEARCH("NL",U18)))</formula>
    </cfRule>
    <cfRule type="containsText" dxfId="1430" priority="639" operator="containsText" text="SUS">
      <formula>NOT(ISERROR(SEARCH("SUS",U18)))</formula>
    </cfRule>
    <cfRule type="containsText" dxfId="1429" priority="643" operator="containsText" text="OFF">
      <formula>NOT(ISERROR(SEARCH("OFF",U18)))</formula>
    </cfRule>
    <cfRule type="containsText" dxfId="1428" priority="645" operator="containsText" text="SICK">
      <formula>NOT(ISERROR(SEARCH("SICK",U18)))</formula>
    </cfRule>
  </conditionalFormatting>
  <conditionalFormatting sqref="U18:X18 AJ66">
    <cfRule type="containsText" dxfId="1427" priority="644" operator="containsText" text="AB">
      <formula>NOT(ISERROR(SEARCH("AB",U18)))</formula>
    </cfRule>
  </conditionalFormatting>
  <conditionalFormatting sqref="U18:X18 AO133:AT133 AI53 BO54:BP56 AI66:AJ66 AW133:BP133 AJ134:AJ135">
    <cfRule type="containsText" dxfId="1426" priority="641" operator="containsText" text="EL">
      <formula>NOT(ISERROR(SEARCH("EL",U18)))</formula>
    </cfRule>
  </conditionalFormatting>
  <conditionalFormatting sqref="W9:X11 I11:J11 I13:J13 W13:X20 I15:J20">
    <cfRule type="containsText" dxfId="1425" priority="876" operator="containsText" text="FL">
      <formula>NOT(ISERROR(SEARCH("FL",I9)))</formula>
    </cfRule>
    <cfRule type="containsText" dxfId="1424" priority="875" operator="containsText" text="SUS">
      <formula>NOT(ISERROR(SEARCH("SUS",I9)))</formula>
    </cfRule>
    <cfRule type="containsText" dxfId="1423" priority="874" operator="containsText" text="AB">
      <formula>NOT(ISERROR(SEARCH("AB",I9)))</formula>
    </cfRule>
    <cfRule type="containsText" dxfId="1422" priority="878" operator="containsText" text="AB">
      <formula>NOT(ISERROR(SEARCH("AB",I9)))</formula>
    </cfRule>
    <cfRule type="containsText" dxfId="1421" priority="879" operator="containsText" text="Sick">
      <formula>NOT(ISERROR(SEARCH("Sick",I9)))</formula>
    </cfRule>
    <cfRule type="containsText" dxfId="1420" priority="880" operator="containsText" text="OFF">
      <formula>NOT(ISERROR(SEARCH("OFF",I9)))</formula>
    </cfRule>
    <cfRule type="containsText" dxfId="1419" priority="881" operator="containsText" text="AL">
      <formula>NOT(ISERROR(SEARCH("AL",I9)))</formula>
    </cfRule>
    <cfRule type="containsText" dxfId="1418" priority="877" operator="containsText" text="MC">
      <formula>NOT(ISERROR(SEARCH("MC",I9)))</formula>
    </cfRule>
  </conditionalFormatting>
  <conditionalFormatting sqref="W13:X13">
    <cfRule type="containsText" dxfId="1417" priority="649" operator="containsText" text="SUS">
      <formula>NOT(ISERROR(SEARCH("SUS",W13)))</formula>
    </cfRule>
    <cfRule type="containsText" dxfId="1416" priority="651" operator="containsText" text="MC">
      <formula>NOT(ISERROR(SEARCH("MC",W13)))</formula>
    </cfRule>
    <cfRule type="containsText" dxfId="1415" priority="647" operator="containsText" text="EL">
      <formula>NOT(ISERROR(SEARCH("EL",W13)))</formula>
    </cfRule>
    <cfRule type="containsText" dxfId="1414" priority="648" operator="containsText" text="AB">
      <formula>NOT(ISERROR(SEARCH("AB",W13)))</formula>
    </cfRule>
    <cfRule type="containsText" dxfId="1413" priority="650" operator="containsText" text="FL">
      <formula>NOT(ISERROR(SEARCH("FL",W13)))</formula>
    </cfRule>
    <cfRule type="containsText" dxfId="1412" priority="652" operator="containsText" text="AB">
      <formula>NOT(ISERROR(SEARCH("AB",W13)))</formula>
    </cfRule>
    <cfRule type="containsText" dxfId="1411" priority="653" operator="containsText" text="Sick">
      <formula>NOT(ISERROR(SEARCH("Sick",W13)))</formula>
    </cfRule>
    <cfRule type="containsText" dxfId="1410" priority="654" operator="containsText" text="OFF">
      <formula>NOT(ISERROR(SEARCH("OFF",W13)))</formula>
    </cfRule>
    <cfRule type="containsText" dxfId="1409" priority="655" operator="containsText" text="AL">
      <formula>NOT(ISERROR(SEARCH("AL",W13)))</formula>
    </cfRule>
  </conditionalFormatting>
  <conditionalFormatting sqref="W18:X18">
    <cfRule type="containsText" dxfId="1408" priority="700" operator="containsText" text="AL">
      <formula>NOT(ISERROR(SEARCH("AL",W18)))</formula>
    </cfRule>
    <cfRule type="containsText" dxfId="1407" priority="699" operator="containsText" text="OFF">
      <formula>NOT(ISERROR(SEARCH("OFF",W18)))</formula>
    </cfRule>
    <cfRule type="containsText" dxfId="1406" priority="694" operator="containsText" text="SUS">
      <formula>NOT(ISERROR(SEARCH("SUS",W18)))</formula>
    </cfRule>
    <cfRule type="containsText" dxfId="1405" priority="697" operator="containsText" text="AB">
      <formula>NOT(ISERROR(SEARCH("AB",W18)))</formula>
    </cfRule>
    <cfRule type="containsText" dxfId="1404" priority="698" operator="containsText" text="Sick">
      <formula>NOT(ISERROR(SEARCH("Sick",W18)))</formula>
    </cfRule>
    <cfRule type="containsText" dxfId="1403" priority="696" operator="containsText" text="MC">
      <formula>NOT(ISERROR(SEARCH("MC",W18)))</formula>
    </cfRule>
    <cfRule type="containsText" dxfId="1402" priority="695" operator="containsText" text="FL">
      <formula>NOT(ISERROR(SEARCH("FL",W18)))</formula>
    </cfRule>
  </conditionalFormatting>
  <conditionalFormatting sqref="W21:X21">
    <cfRule type="containsText" dxfId="1401" priority="676" operator="containsText" text="SUS">
      <formula>NOT(ISERROR(SEARCH("SUS",W21)))</formula>
    </cfRule>
    <cfRule type="containsText" dxfId="1400" priority="679" operator="containsText" text="AB">
      <formula>NOT(ISERROR(SEARCH("AB",W21)))</formula>
    </cfRule>
    <cfRule type="containsText" dxfId="1399" priority="680" operator="containsText" text="Sick">
      <formula>NOT(ISERROR(SEARCH("Sick",W21)))</formula>
    </cfRule>
    <cfRule type="containsText" dxfId="1398" priority="675" operator="containsText" text="AB">
      <formula>NOT(ISERROR(SEARCH("AB",W21)))</formula>
    </cfRule>
    <cfRule type="containsText" dxfId="1397" priority="674" operator="containsText" text="EL">
      <formula>NOT(ISERROR(SEARCH("EL",W21)))</formula>
    </cfRule>
    <cfRule type="containsText" dxfId="1396" priority="677" operator="containsText" text="FL">
      <formula>NOT(ISERROR(SEARCH("FL",W21)))</formula>
    </cfRule>
    <cfRule type="containsText" dxfId="1395" priority="681" operator="containsText" text="OFF">
      <formula>NOT(ISERROR(SEARCH("OFF",W21)))</formula>
    </cfRule>
    <cfRule type="containsText" dxfId="1394" priority="678" operator="containsText" text="MC">
      <formula>NOT(ISERROR(SEARCH("MC",W21)))</formula>
    </cfRule>
    <cfRule type="containsText" dxfId="1393" priority="682" operator="containsText" text="AL">
      <formula>NOT(ISERROR(SEARCH("AL",W21)))</formula>
    </cfRule>
  </conditionalFormatting>
  <conditionalFormatting sqref="W23:X23">
    <cfRule type="containsText" dxfId="1392" priority="688" operator="containsText" text="AB">
      <formula>NOT(ISERROR(SEARCH("AB",W23)))</formula>
    </cfRule>
    <cfRule type="containsText" dxfId="1391" priority="689" operator="containsText" text="Sick">
      <formula>NOT(ISERROR(SEARCH("Sick",W23)))</formula>
    </cfRule>
    <cfRule type="containsText" dxfId="1390" priority="686" operator="containsText" text="FL">
      <formula>NOT(ISERROR(SEARCH("FL",W23)))</formula>
    </cfRule>
    <cfRule type="containsText" dxfId="1389" priority="687" operator="containsText" text="MC">
      <formula>NOT(ISERROR(SEARCH("MC",W23)))</formula>
    </cfRule>
    <cfRule type="containsText" dxfId="1388" priority="685" operator="containsText" text="SUS">
      <formula>NOT(ISERROR(SEARCH("SUS",W23)))</formula>
    </cfRule>
    <cfRule type="containsText" dxfId="1387" priority="691" operator="containsText" text="AL">
      <formula>NOT(ISERROR(SEARCH("AL",W23)))</formula>
    </cfRule>
    <cfRule type="containsText" dxfId="1386" priority="690" operator="containsText" text="OFF">
      <formula>NOT(ISERROR(SEARCH("OFF",W23)))</formula>
    </cfRule>
  </conditionalFormatting>
  <conditionalFormatting sqref="W142:X142">
    <cfRule type="containsText" dxfId="1385" priority="615" operator="containsText" text="AB">
      <formula>NOT(ISERROR(SEARCH("AB",W142)))</formula>
    </cfRule>
    <cfRule type="containsText" dxfId="1384" priority="614" operator="containsText" text="MC">
      <formula>NOT(ISERROR(SEARCH("MC",W142)))</formula>
    </cfRule>
    <cfRule type="containsText" dxfId="1383" priority="613" operator="containsText" text="FL">
      <formula>NOT(ISERROR(SEARCH("FL",W142)))</formula>
    </cfRule>
    <cfRule type="containsText" dxfId="1382" priority="611" operator="containsText" text="AB">
      <formula>NOT(ISERROR(SEARCH("AB",W142)))</formula>
    </cfRule>
    <cfRule type="containsText" dxfId="1381" priority="617" operator="containsText" text="OFF">
      <formula>NOT(ISERROR(SEARCH("OFF",W142)))</formula>
    </cfRule>
    <cfRule type="containsText" dxfId="1380" priority="610" operator="containsText" text="EL">
      <formula>NOT(ISERROR(SEARCH("EL",W142)))</formula>
    </cfRule>
    <cfRule type="containsText" dxfId="1379" priority="612" operator="containsText" text="SUS">
      <formula>NOT(ISERROR(SEARCH("SUS",W142)))</formula>
    </cfRule>
    <cfRule type="containsText" dxfId="1378" priority="616" operator="containsText" text="Sick">
      <formula>NOT(ISERROR(SEARCH("Sick",W142)))</formula>
    </cfRule>
    <cfRule type="containsText" dxfId="1377" priority="618" operator="containsText" text="AL">
      <formula>NOT(ISERROR(SEARCH("AL",W142)))</formula>
    </cfRule>
  </conditionalFormatting>
  <conditionalFormatting sqref="W23:AD23">
    <cfRule type="containsText" dxfId="1376" priority="633" operator="containsText" text="AB">
      <formula>NOT(ISERROR(SEARCH("AB",W23)))</formula>
    </cfRule>
    <cfRule type="containsText" dxfId="1375" priority="628" operator="containsText" text="EL">
      <formula>NOT(ISERROR(SEARCH("EL",W23)))</formula>
    </cfRule>
  </conditionalFormatting>
  <conditionalFormatting sqref="X143">
    <cfRule type="containsText" dxfId="1374" priority="598" operator="containsText" text="Sick">
      <formula>NOT(ISERROR(SEARCH("Sick",X143)))</formula>
    </cfRule>
    <cfRule type="containsText" dxfId="1373" priority="593" operator="containsText" text="AB">
      <formula>NOT(ISERROR(SEARCH("AB",X143)))</formula>
    </cfRule>
    <cfRule type="containsText" dxfId="1372" priority="599" operator="containsText" text="OFF">
      <formula>NOT(ISERROR(SEARCH("OFF",X143)))</formula>
    </cfRule>
    <cfRule type="containsText" dxfId="1371" priority="592" operator="containsText" text="EL">
      <formula>NOT(ISERROR(SEARCH("EL",X143)))</formula>
    </cfRule>
    <cfRule type="containsText" dxfId="1370" priority="600" operator="containsText" text="AL">
      <formula>NOT(ISERROR(SEARCH("AL",X143)))</formula>
    </cfRule>
    <cfRule type="containsText" dxfId="1369" priority="594" operator="containsText" text="SUS">
      <formula>NOT(ISERROR(SEARCH("SUS",X143)))</formula>
    </cfRule>
    <cfRule type="containsText" dxfId="1368" priority="595" operator="containsText" text="FL">
      <formula>NOT(ISERROR(SEARCH("FL",X143)))</formula>
    </cfRule>
    <cfRule type="containsText" dxfId="1367" priority="596" operator="containsText" text="MC">
      <formula>NOT(ISERROR(SEARCH("MC",X143)))</formula>
    </cfRule>
    <cfRule type="containsText" dxfId="1366" priority="597" operator="containsText" text="AB">
      <formula>NOT(ISERROR(SEARCH("AB",X143)))</formula>
    </cfRule>
  </conditionalFormatting>
  <conditionalFormatting sqref="Y5:Z5">
    <cfRule type="containsText" dxfId="1365" priority="353" operator="containsText" text="AL">
      <formula>NOT(ISERROR(SEARCH("AL",Y5)))</formula>
    </cfRule>
    <cfRule type="containsText" dxfId="1364" priority="348" operator="containsText" text="FL">
      <formula>NOT(ISERROR(SEARCH("FL",Y5)))</formula>
    </cfRule>
    <cfRule type="containsText" dxfId="1363" priority="347" operator="containsText" text="SUS">
      <formula>NOT(ISERROR(SEARCH("SUS",Y5)))</formula>
    </cfRule>
    <cfRule type="containsText" dxfId="1362" priority="349" operator="containsText" text="MC">
      <formula>NOT(ISERROR(SEARCH("MC",Y5)))</formula>
    </cfRule>
    <cfRule type="containsText" dxfId="1361" priority="346" operator="containsText" text="AB">
      <formula>NOT(ISERROR(SEARCH("AB",Y5)))</formula>
    </cfRule>
    <cfRule type="containsText" dxfId="1360" priority="345" operator="containsText" text="EL">
      <formula>NOT(ISERROR(SEARCH("EL",Y5)))</formula>
    </cfRule>
    <cfRule type="containsText" dxfId="1359" priority="350" operator="containsText" text="AB">
      <formula>NOT(ISERROR(SEARCH("AB",Y5)))</formula>
    </cfRule>
    <cfRule type="containsText" dxfId="1358" priority="351" operator="containsText" text="Sick">
      <formula>NOT(ISERROR(SEARCH("Sick",Y5)))</formula>
    </cfRule>
    <cfRule type="containsText" dxfId="1357" priority="352" operator="containsText" text="OFF">
      <formula>NOT(ISERROR(SEARCH("OFF",Y5)))</formula>
    </cfRule>
  </conditionalFormatting>
  <conditionalFormatting sqref="Y8:Z8">
    <cfRule type="containsText" dxfId="1356" priority="342" operator="containsText" text="Sick">
      <formula>NOT(ISERROR(SEARCH("Sick",Y8)))</formula>
    </cfRule>
    <cfRule type="containsText" dxfId="1355" priority="343" operator="containsText" text="OFF">
      <formula>NOT(ISERROR(SEARCH("OFF",Y8)))</formula>
    </cfRule>
    <cfRule type="containsText" dxfId="1354" priority="344" operator="containsText" text="AL">
      <formula>NOT(ISERROR(SEARCH("AL",Y8)))</formula>
    </cfRule>
    <cfRule type="containsText" dxfId="1353" priority="338" operator="containsText" text="SUS">
      <formula>NOT(ISERROR(SEARCH("SUS",Y8)))</formula>
    </cfRule>
    <cfRule type="containsText" dxfId="1352" priority="336" operator="containsText" text="EL">
      <formula>NOT(ISERROR(SEARCH("EL",Y8)))</formula>
    </cfRule>
    <cfRule type="containsText" dxfId="1351" priority="337" operator="containsText" text="AB">
      <formula>NOT(ISERROR(SEARCH("AB",Y8)))</formula>
    </cfRule>
    <cfRule type="containsText" dxfId="1350" priority="339" operator="containsText" text="FL">
      <formula>NOT(ISERROR(SEARCH("FL",Y8)))</formula>
    </cfRule>
    <cfRule type="containsText" dxfId="1349" priority="340" operator="containsText" text="MC">
      <formula>NOT(ISERROR(SEARCH("MC",Y8)))</formula>
    </cfRule>
    <cfRule type="containsText" dxfId="1348" priority="341" operator="containsText" text="AB">
      <formula>NOT(ISERROR(SEARCH("AB",Y8)))</formula>
    </cfRule>
  </conditionalFormatting>
  <conditionalFormatting sqref="Y10:Z10">
    <cfRule type="containsText" dxfId="1347" priority="334" operator="containsText" text="OFF">
      <formula>NOT(ISERROR(SEARCH("OFF",Y10)))</formula>
    </cfRule>
    <cfRule type="containsText" dxfId="1346" priority="333" operator="containsText" text="Sick">
      <formula>NOT(ISERROR(SEARCH("Sick",Y10)))</formula>
    </cfRule>
    <cfRule type="containsText" dxfId="1345" priority="335" operator="containsText" text="AL">
      <formula>NOT(ISERROR(SEARCH("AL",Y10)))</formula>
    </cfRule>
    <cfRule type="containsText" dxfId="1344" priority="328" operator="containsText" text="AB">
      <formula>NOT(ISERROR(SEARCH("AB",Y10)))</formula>
    </cfRule>
    <cfRule type="containsText" dxfId="1343" priority="329" operator="containsText" text="SUS">
      <formula>NOT(ISERROR(SEARCH("SUS",Y10)))</formula>
    </cfRule>
    <cfRule type="containsText" dxfId="1342" priority="330" operator="containsText" text="FL">
      <formula>NOT(ISERROR(SEARCH("FL",Y10)))</formula>
    </cfRule>
    <cfRule type="containsText" dxfId="1341" priority="331" operator="containsText" text="MC">
      <formula>NOT(ISERROR(SEARCH("MC",Y10)))</formula>
    </cfRule>
  </conditionalFormatting>
  <conditionalFormatting sqref="Y10:Z13">
    <cfRule type="containsText" dxfId="1340" priority="327" operator="containsText" text="EL">
      <formula>NOT(ISERROR(SEARCH("EL",Y10)))</formula>
    </cfRule>
    <cfRule type="containsText" dxfId="1339" priority="332" operator="containsText" text="AB">
      <formula>NOT(ISERROR(SEARCH("AB",Y10)))</formula>
    </cfRule>
  </conditionalFormatting>
  <conditionalFormatting sqref="Y11:Z13">
    <cfRule type="containsText" dxfId="1338" priority="389" operator="containsText" text="AL">
      <formula>NOT(ISERROR(SEARCH("AL",Y11)))</formula>
    </cfRule>
    <cfRule type="containsText" dxfId="1337" priority="383" operator="containsText" text="SUS">
      <formula>NOT(ISERROR(SEARCH("SUS",Y11)))</formula>
    </cfRule>
    <cfRule type="containsText" dxfId="1336" priority="384" operator="containsText" text="FL">
      <formula>NOT(ISERROR(SEARCH("FL",Y11)))</formula>
    </cfRule>
    <cfRule type="containsText" dxfId="1335" priority="385" operator="containsText" text="MC">
      <formula>NOT(ISERROR(SEARCH("MC",Y11)))</formula>
    </cfRule>
    <cfRule type="containsText" dxfId="1334" priority="386" operator="containsText" text="AB">
      <formula>NOT(ISERROR(SEARCH("AB",Y11)))</formula>
    </cfRule>
    <cfRule type="containsText" dxfId="1333" priority="387" operator="containsText" text="Sick">
      <formula>NOT(ISERROR(SEARCH("Sick",Y11)))</formula>
    </cfRule>
    <cfRule type="containsText" dxfId="1332" priority="388" operator="containsText" text="OFF">
      <formula>NOT(ISERROR(SEARCH("OFF",Y11)))</formula>
    </cfRule>
  </conditionalFormatting>
  <conditionalFormatting sqref="Y24:Z26">
    <cfRule type="containsText" dxfId="1331" priority="372" operator="containsText" text="EL">
      <formula>NOT(ISERROR(SEARCH("EL",Y24)))</formula>
    </cfRule>
    <cfRule type="containsText" dxfId="1330" priority="376" operator="containsText" text="MC">
      <formula>NOT(ISERROR(SEARCH("MC",Y24)))</formula>
    </cfRule>
    <cfRule type="containsText" dxfId="1329" priority="374" operator="containsText" text="SUS">
      <formula>NOT(ISERROR(SEARCH("SUS",Y24)))</formula>
    </cfRule>
    <cfRule type="containsText" dxfId="1328" priority="377" operator="containsText" text="AB">
      <formula>NOT(ISERROR(SEARCH("AB",Y24)))</formula>
    </cfRule>
    <cfRule type="containsText" dxfId="1327" priority="375" operator="containsText" text="FL">
      <formula>NOT(ISERROR(SEARCH("FL",Y24)))</formula>
    </cfRule>
    <cfRule type="containsText" dxfId="1326" priority="373" operator="containsText" text="AB">
      <formula>NOT(ISERROR(SEARCH("AB",Y24)))</formula>
    </cfRule>
    <cfRule type="containsText" dxfId="1325" priority="378" operator="containsText" text="Sick">
      <formula>NOT(ISERROR(SEARCH("Sick",Y24)))</formula>
    </cfRule>
    <cfRule type="containsText" dxfId="1324" priority="379" operator="containsText" text="OFF">
      <formula>NOT(ISERROR(SEARCH("OFF",Y24)))</formula>
    </cfRule>
    <cfRule type="containsText" dxfId="1323" priority="380" operator="containsText" text="AL">
      <formula>NOT(ISERROR(SEARCH("AL",Y24)))</formula>
    </cfRule>
  </conditionalFormatting>
  <conditionalFormatting sqref="Y43:Z44">
    <cfRule type="containsText" dxfId="1322" priority="274" operator="containsText" text="AB">
      <formula>NOT(ISERROR(SEARCH("AB",Y43)))</formula>
    </cfRule>
    <cfRule type="containsText" dxfId="1321" priority="276" operator="containsText" text="FL">
      <formula>NOT(ISERROR(SEARCH("FL",Y43)))</formula>
    </cfRule>
    <cfRule type="containsText" dxfId="1320" priority="279" operator="containsText" text="Sick">
      <formula>NOT(ISERROR(SEARCH("Sick",Y43)))</formula>
    </cfRule>
    <cfRule type="containsText" dxfId="1319" priority="280" operator="containsText" text="OFF">
      <formula>NOT(ISERROR(SEARCH("OFF",Y43)))</formula>
    </cfRule>
    <cfRule type="containsText" dxfId="1318" priority="281" operator="containsText" text="AL">
      <formula>NOT(ISERROR(SEARCH("AL",Y43)))</formula>
    </cfRule>
    <cfRule type="containsText" dxfId="1317" priority="275" operator="containsText" text="SUS">
      <formula>NOT(ISERROR(SEARCH("SUS",Y43)))</formula>
    </cfRule>
    <cfRule type="containsText" dxfId="1316" priority="277" operator="containsText" text="MC">
      <formula>NOT(ISERROR(SEARCH("MC",Y43)))</formula>
    </cfRule>
  </conditionalFormatting>
  <conditionalFormatting sqref="Y43:Z46">
    <cfRule type="containsText" dxfId="1315" priority="278" operator="containsText" text="AB">
      <formula>NOT(ISERROR(SEARCH("AB",Y43)))</formula>
    </cfRule>
    <cfRule type="containsText" dxfId="1314" priority="273" operator="containsText" text="EL">
      <formula>NOT(ISERROR(SEARCH("EL",Y43)))</formula>
    </cfRule>
  </conditionalFormatting>
  <conditionalFormatting sqref="Y45:Z46">
    <cfRule type="containsText" dxfId="1313" priority="287" operator="containsText" text="AB">
      <formula>NOT(ISERROR(SEARCH("AB",Y45)))</formula>
    </cfRule>
    <cfRule type="containsText" dxfId="1312" priority="286" operator="containsText" text="MC">
      <formula>NOT(ISERROR(SEARCH("MC",Y45)))</formula>
    </cfRule>
    <cfRule type="containsText" dxfId="1311" priority="285" operator="containsText" text="FL">
      <formula>NOT(ISERROR(SEARCH("FL",Y45)))</formula>
    </cfRule>
    <cfRule type="containsText" dxfId="1310" priority="284" operator="containsText" text="SUS">
      <formula>NOT(ISERROR(SEARCH("SUS",Y45)))</formula>
    </cfRule>
    <cfRule type="containsText" dxfId="1309" priority="289" operator="containsText" text="OFF">
      <formula>NOT(ISERROR(SEARCH("OFF",Y45)))</formula>
    </cfRule>
    <cfRule type="containsText" dxfId="1308" priority="290" operator="containsText" text="AL">
      <formula>NOT(ISERROR(SEARCH("AL",Y45)))</formula>
    </cfRule>
    <cfRule type="containsText" dxfId="1307" priority="288" operator="containsText" text="Sick">
      <formula>NOT(ISERROR(SEARCH("Sick",Y45)))</formula>
    </cfRule>
  </conditionalFormatting>
  <conditionalFormatting sqref="Y49:Z49 Y51:Z52">
    <cfRule type="containsText" dxfId="1306" priority="292" operator="containsText" text="AB">
      <formula>NOT(ISERROR(SEARCH("AB",Y49)))</formula>
    </cfRule>
    <cfRule type="containsText" dxfId="1305" priority="291" operator="containsText" text="EL">
      <formula>NOT(ISERROR(SEARCH("EL",Y49)))</formula>
    </cfRule>
    <cfRule type="containsText" dxfId="1304" priority="293" operator="containsText" text="SUS">
      <formula>NOT(ISERROR(SEARCH("SUS",Y49)))</formula>
    </cfRule>
    <cfRule type="containsText" dxfId="1303" priority="296" operator="containsText" text="AB">
      <formula>NOT(ISERROR(SEARCH("AB",Y49)))</formula>
    </cfRule>
    <cfRule type="containsText" dxfId="1302" priority="299" operator="containsText" text="AL">
      <formula>NOT(ISERROR(SEARCH("AL",Y49)))</formula>
    </cfRule>
    <cfRule type="containsText" dxfId="1301" priority="298" operator="containsText" text="OFF">
      <formula>NOT(ISERROR(SEARCH("OFF",Y49)))</formula>
    </cfRule>
    <cfRule type="containsText" dxfId="1300" priority="297" operator="containsText" text="Sick">
      <formula>NOT(ISERROR(SEARCH("Sick",Y49)))</formula>
    </cfRule>
    <cfRule type="containsText" dxfId="1299" priority="295" operator="containsText" text="MC">
      <formula>NOT(ISERROR(SEARCH("MC",Y49)))</formula>
    </cfRule>
    <cfRule type="containsText" dxfId="1298" priority="294" operator="containsText" text="FL">
      <formula>NOT(ISERROR(SEARCH("FL",Y49)))</formula>
    </cfRule>
  </conditionalFormatting>
  <conditionalFormatting sqref="Y56:Z57">
    <cfRule type="containsText" dxfId="1297" priority="24" operator="containsText" text="FL">
      <formula>NOT(ISERROR(SEARCH("FL",Y56)))</formula>
    </cfRule>
    <cfRule type="containsText" dxfId="1296" priority="23" operator="containsText" text="SUS">
      <formula>NOT(ISERROR(SEARCH("SUS",Y56)))</formula>
    </cfRule>
    <cfRule type="containsText" dxfId="1295" priority="22" operator="containsText" text="AB">
      <formula>NOT(ISERROR(SEARCH("AB",Y56)))</formula>
    </cfRule>
    <cfRule type="containsText" dxfId="1294" priority="29" operator="containsText" text="AL">
      <formula>NOT(ISERROR(SEARCH("AL",Y56)))</formula>
    </cfRule>
    <cfRule type="containsText" dxfId="1293" priority="28" operator="containsText" text="OFF">
      <formula>NOT(ISERROR(SEARCH("OFF",Y56)))</formula>
    </cfRule>
    <cfRule type="containsText" dxfId="1292" priority="27" operator="containsText" text="Sick">
      <formula>NOT(ISERROR(SEARCH("Sick",Y56)))</formula>
    </cfRule>
    <cfRule type="containsText" dxfId="1291" priority="25" operator="containsText" text="MC">
      <formula>NOT(ISERROR(SEARCH("MC",Y56)))</formula>
    </cfRule>
  </conditionalFormatting>
  <conditionalFormatting sqref="Y56:Z58">
    <cfRule type="containsText" dxfId="1290" priority="21" operator="containsText" text="EL">
      <formula>NOT(ISERROR(SEARCH("EL",Y56)))</formula>
    </cfRule>
    <cfRule type="containsText" dxfId="1289" priority="26" operator="containsText" text="AB">
      <formula>NOT(ISERROR(SEARCH("AB",Y56)))</formula>
    </cfRule>
  </conditionalFormatting>
  <conditionalFormatting sqref="Y58:Z58">
    <cfRule type="containsText" dxfId="1288" priority="38" operator="containsText" text="AL">
      <formula>NOT(ISERROR(SEARCH("AL",Y58)))</formula>
    </cfRule>
    <cfRule type="containsText" dxfId="1287" priority="37" operator="containsText" text="OFF">
      <formula>NOT(ISERROR(SEARCH("OFF",Y58)))</formula>
    </cfRule>
    <cfRule type="containsText" dxfId="1286" priority="36" operator="containsText" text="Sick">
      <formula>NOT(ISERROR(SEARCH("Sick",Y58)))</formula>
    </cfRule>
    <cfRule type="containsText" dxfId="1285" priority="35" operator="containsText" text="AB">
      <formula>NOT(ISERROR(SEARCH("AB",Y58)))</formula>
    </cfRule>
    <cfRule type="containsText" dxfId="1284" priority="34" operator="containsText" text="MC">
      <formula>NOT(ISERROR(SEARCH("MC",Y58)))</formula>
    </cfRule>
    <cfRule type="containsText" dxfId="1283" priority="33" operator="containsText" text="FL">
      <formula>NOT(ISERROR(SEARCH("FL",Y58)))</formula>
    </cfRule>
    <cfRule type="containsText" dxfId="1282" priority="32" operator="containsText" text="SUS">
      <formula>NOT(ISERROR(SEARCH("SUS",Y58)))</formula>
    </cfRule>
  </conditionalFormatting>
  <conditionalFormatting sqref="Y62:Z62">
    <cfRule type="containsText" dxfId="1281" priority="46" operator="containsText" text="OFF">
      <formula>NOT(ISERROR(SEARCH("OFF",Y62)))</formula>
    </cfRule>
    <cfRule type="containsText" dxfId="1280" priority="45" operator="containsText" text="Sick">
      <formula>NOT(ISERROR(SEARCH("Sick",Y62)))</formula>
    </cfRule>
    <cfRule type="containsText" dxfId="1279" priority="44" operator="containsText" text="AB">
      <formula>NOT(ISERROR(SEARCH("AB",Y62)))</formula>
    </cfRule>
    <cfRule type="containsText" dxfId="1278" priority="43" operator="containsText" text="MC">
      <formula>NOT(ISERROR(SEARCH("MC",Y62)))</formula>
    </cfRule>
    <cfRule type="containsText" dxfId="1277" priority="42" operator="containsText" text="FL">
      <formula>NOT(ISERROR(SEARCH("FL",Y62)))</formula>
    </cfRule>
    <cfRule type="containsText" dxfId="1276" priority="41" operator="containsText" text="SUS">
      <formula>NOT(ISERROR(SEARCH("SUS",Y62)))</formula>
    </cfRule>
    <cfRule type="containsText" dxfId="1275" priority="39" operator="containsText" text="EL">
      <formula>NOT(ISERROR(SEARCH("EL",Y62)))</formula>
    </cfRule>
    <cfRule type="containsText" dxfId="1274" priority="40" operator="containsText" text="AB">
      <formula>NOT(ISERROR(SEARCH("AB",Y62)))</formula>
    </cfRule>
    <cfRule type="containsText" dxfId="1273" priority="47" operator="containsText" text="AL">
      <formula>NOT(ISERROR(SEARCH("AL",Y62)))</formula>
    </cfRule>
  </conditionalFormatting>
  <conditionalFormatting sqref="Y67:Z67">
    <cfRule type="containsText" dxfId="1272" priority="92" operator="containsText" text="AL">
      <formula>NOT(ISERROR(SEARCH("AL",Y67)))</formula>
    </cfRule>
    <cfRule type="containsText" dxfId="1271" priority="91" operator="containsText" text="OFF">
      <formula>NOT(ISERROR(SEARCH("OFF",Y67)))</formula>
    </cfRule>
    <cfRule type="containsText" dxfId="1270" priority="90" operator="containsText" text="Sick">
      <formula>NOT(ISERROR(SEARCH("Sick",Y67)))</formula>
    </cfRule>
    <cfRule type="containsText" dxfId="1269" priority="89" operator="containsText" text="AB">
      <formula>NOT(ISERROR(SEARCH("AB",Y67)))</formula>
    </cfRule>
    <cfRule type="containsText" dxfId="1268" priority="88" operator="containsText" text="MC">
      <formula>NOT(ISERROR(SEARCH("MC",Y67)))</formula>
    </cfRule>
    <cfRule type="containsText" dxfId="1267" priority="87" operator="containsText" text="FL">
      <formula>NOT(ISERROR(SEARCH("FL",Y67)))</formula>
    </cfRule>
    <cfRule type="containsText" dxfId="1266" priority="85" operator="containsText" text="AB">
      <formula>NOT(ISERROR(SEARCH("AB",Y67)))</formula>
    </cfRule>
    <cfRule type="containsText" dxfId="1265" priority="84" operator="containsText" text="EL">
      <formula>NOT(ISERROR(SEARCH("EL",Y67)))</formula>
    </cfRule>
    <cfRule type="containsText" dxfId="1264" priority="86" operator="containsText" text="SUS">
      <formula>NOT(ISERROR(SEARCH("SUS",Y67)))</formula>
    </cfRule>
  </conditionalFormatting>
  <conditionalFormatting sqref="Y69:Z70">
    <cfRule type="containsText" dxfId="1263" priority="96" operator="containsText" text="FL">
      <formula>NOT(ISERROR(SEARCH("FL",Y69)))</formula>
    </cfRule>
    <cfRule type="containsText" dxfId="1262" priority="97" operator="containsText" text="MC">
      <formula>NOT(ISERROR(SEARCH("MC",Y69)))</formula>
    </cfRule>
    <cfRule type="containsText" dxfId="1261" priority="99" operator="containsText" text="Sick">
      <formula>NOT(ISERROR(SEARCH("Sick",Y69)))</formula>
    </cfRule>
    <cfRule type="containsText" dxfId="1260" priority="100" operator="containsText" text="OFF">
      <formula>NOT(ISERROR(SEARCH("OFF",Y69)))</formula>
    </cfRule>
    <cfRule type="containsText" dxfId="1259" priority="101" operator="containsText" text="AL">
      <formula>NOT(ISERROR(SEARCH("AL",Y69)))</formula>
    </cfRule>
    <cfRule type="containsText" dxfId="1258" priority="98" operator="containsText" text="AB">
      <formula>NOT(ISERROR(SEARCH("AB",Y69)))</formula>
    </cfRule>
    <cfRule type="containsText" dxfId="1257" priority="93" operator="containsText" text="EL">
      <formula>NOT(ISERROR(SEARCH("EL",Y69)))</formula>
    </cfRule>
    <cfRule type="containsText" dxfId="1256" priority="94" operator="containsText" text="AB">
      <formula>NOT(ISERROR(SEARCH("AB",Y69)))</formula>
    </cfRule>
    <cfRule type="containsText" dxfId="1255" priority="95" operator="containsText" text="SUS">
      <formula>NOT(ISERROR(SEARCH("SUS",Y69)))</formula>
    </cfRule>
  </conditionalFormatting>
  <conditionalFormatting sqref="Y72:Z75">
    <cfRule type="containsText" dxfId="1254" priority="107" operator="containsText" text="AB">
      <formula>NOT(ISERROR(SEARCH("AB",Y72)))</formula>
    </cfRule>
    <cfRule type="containsText" dxfId="1253" priority="110" operator="containsText" text="AL">
      <formula>NOT(ISERROR(SEARCH("AL",Y72)))</formula>
    </cfRule>
    <cfRule type="containsText" dxfId="1252" priority="109" operator="containsText" text="OFF">
      <formula>NOT(ISERROR(SEARCH("OFF",Y72)))</formula>
    </cfRule>
    <cfRule type="containsText" dxfId="1251" priority="108" operator="containsText" text="Sick">
      <formula>NOT(ISERROR(SEARCH("Sick",Y72)))</formula>
    </cfRule>
    <cfRule type="containsText" dxfId="1250" priority="106" operator="containsText" text="MC">
      <formula>NOT(ISERROR(SEARCH("MC",Y72)))</formula>
    </cfRule>
    <cfRule type="containsText" dxfId="1249" priority="105" operator="containsText" text="FL">
      <formula>NOT(ISERROR(SEARCH("FL",Y72)))</formula>
    </cfRule>
    <cfRule type="containsText" dxfId="1248" priority="104" operator="containsText" text="SUS">
      <formula>NOT(ISERROR(SEARCH("SUS",Y72)))</formula>
    </cfRule>
    <cfRule type="containsText" dxfId="1247" priority="103" operator="containsText" text="AB">
      <formula>NOT(ISERROR(SEARCH("AB",Y72)))</formula>
    </cfRule>
    <cfRule type="containsText" dxfId="1246" priority="102" operator="containsText" text="EL">
      <formula>NOT(ISERROR(SEARCH("EL",Y72)))</formula>
    </cfRule>
  </conditionalFormatting>
  <conditionalFormatting sqref="Y82:Z82">
    <cfRule type="containsText" dxfId="1245" priority="125" operator="containsText" text="AB">
      <formula>NOT(ISERROR(SEARCH("AB",Y82)))</formula>
    </cfRule>
    <cfRule type="containsText" dxfId="1244" priority="124" operator="containsText" text="MC">
      <formula>NOT(ISERROR(SEARCH("MC",Y82)))</formula>
    </cfRule>
    <cfRule type="containsText" dxfId="1243" priority="123" operator="containsText" text="FL">
      <formula>NOT(ISERROR(SEARCH("FL",Y82)))</formula>
    </cfRule>
    <cfRule type="containsText" dxfId="1242" priority="122" operator="containsText" text="SUS">
      <formula>NOT(ISERROR(SEARCH("SUS",Y82)))</formula>
    </cfRule>
    <cfRule type="containsText" dxfId="1241" priority="121" operator="containsText" text="AB">
      <formula>NOT(ISERROR(SEARCH("AB",Y82)))</formula>
    </cfRule>
    <cfRule type="containsText" dxfId="1240" priority="120" operator="containsText" text="EL">
      <formula>NOT(ISERROR(SEARCH("EL",Y82)))</formula>
    </cfRule>
    <cfRule type="containsText" dxfId="1239" priority="126" operator="containsText" text="Sick">
      <formula>NOT(ISERROR(SEARCH("Sick",Y82)))</formula>
    </cfRule>
    <cfRule type="containsText" dxfId="1238" priority="127" operator="containsText" text="OFF">
      <formula>NOT(ISERROR(SEARCH("OFF",Y82)))</formula>
    </cfRule>
    <cfRule type="containsText" dxfId="1237" priority="128" operator="containsText" text="AL">
      <formula>NOT(ISERROR(SEARCH("AL",Y82)))</formula>
    </cfRule>
  </conditionalFormatting>
  <conditionalFormatting sqref="Y86:Z86">
    <cfRule type="containsText" dxfId="1236" priority="83" operator="containsText" text="AL">
      <formula>NOT(ISERROR(SEARCH("AL",Y86)))</formula>
    </cfRule>
    <cfRule type="containsText" dxfId="1235" priority="82" operator="containsText" text="OFF">
      <formula>NOT(ISERROR(SEARCH("OFF",Y86)))</formula>
    </cfRule>
    <cfRule type="containsText" dxfId="1234" priority="81" operator="containsText" text="Sick">
      <formula>NOT(ISERROR(SEARCH("Sick",Y86)))</formula>
    </cfRule>
    <cfRule type="containsText" dxfId="1233" priority="80" operator="containsText" text="AB">
      <formula>NOT(ISERROR(SEARCH("AB",Y86)))</formula>
    </cfRule>
    <cfRule type="containsText" dxfId="1232" priority="79" operator="containsText" text="MC">
      <formula>NOT(ISERROR(SEARCH("MC",Y86)))</formula>
    </cfRule>
    <cfRule type="containsText" dxfId="1231" priority="78" operator="containsText" text="FL">
      <formula>NOT(ISERROR(SEARCH("FL",Y86)))</formula>
    </cfRule>
    <cfRule type="containsText" dxfId="1230" priority="77" operator="containsText" text="SUS">
      <formula>NOT(ISERROR(SEARCH("SUS",Y86)))</formula>
    </cfRule>
    <cfRule type="containsText" dxfId="1229" priority="76" operator="containsText" text="AB">
      <formula>NOT(ISERROR(SEARCH("AB",Y86)))</formula>
    </cfRule>
    <cfRule type="containsText" dxfId="1228" priority="75" operator="containsText" text="EL">
      <formula>NOT(ISERROR(SEARCH("EL",Y86)))</formula>
    </cfRule>
  </conditionalFormatting>
  <conditionalFormatting sqref="Y93:Z95">
    <cfRule type="containsText" dxfId="1227" priority="134" operator="containsText" text="AB">
      <formula>NOT(ISERROR(SEARCH("AB",Y93)))</formula>
    </cfRule>
    <cfRule type="containsText" dxfId="1226" priority="136" operator="containsText" text="OFF">
      <formula>NOT(ISERROR(SEARCH("OFF",Y93)))</formula>
    </cfRule>
    <cfRule type="containsText" dxfId="1225" priority="137" operator="containsText" text="AL">
      <formula>NOT(ISERROR(SEARCH("AL",Y93)))</formula>
    </cfRule>
    <cfRule type="containsText" dxfId="1224" priority="129" operator="containsText" text="EL">
      <formula>NOT(ISERROR(SEARCH("EL",Y93)))</formula>
    </cfRule>
    <cfRule type="containsText" dxfId="1223" priority="130" operator="containsText" text="AB">
      <formula>NOT(ISERROR(SEARCH("AB",Y93)))</formula>
    </cfRule>
    <cfRule type="containsText" dxfId="1222" priority="131" operator="containsText" text="SUS">
      <formula>NOT(ISERROR(SEARCH("SUS",Y93)))</formula>
    </cfRule>
    <cfRule type="containsText" dxfId="1221" priority="132" operator="containsText" text="FL">
      <formula>NOT(ISERROR(SEARCH("FL",Y93)))</formula>
    </cfRule>
    <cfRule type="containsText" dxfId="1220" priority="135" operator="containsText" text="Sick">
      <formula>NOT(ISERROR(SEARCH("Sick",Y93)))</formula>
    </cfRule>
    <cfRule type="containsText" dxfId="1219" priority="133" operator="containsText" text="MC">
      <formula>NOT(ISERROR(SEARCH("MC",Y93)))</formula>
    </cfRule>
  </conditionalFormatting>
  <conditionalFormatting sqref="Y97:Z99">
    <cfRule type="containsText" dxfId="1218" priority="140" operator="containsText" text="SUS">
      <formula>NOT(ISERROR(SEARCH("SUS",Y97)))</formula>
    </cfRule>
    <cfRule type="containsText" dxfId="1217" priority="145" operator="containsText" text="OFF">
      <formula>NOT(ISERROR(SEARCH("OFF",Y97)))</formula>
    </cfRule>
    <cfRule type="containsText" dxfId="1216" priority="143" operator="containsText" text="AB">
      <formula>NOT(ISERROR(SEARCH("AB",Y97)))</formula>
    </cfRule>
    <cfRule type="containsText" dxfId="1215" priority="142" operator="containsText" text="MC">
      <formula>NOT(ISERROR(SEARCH("MC",Y97)))</formula>
    </cfRule>
    <cfRule type="containsText" dxfId="1214" priority="141" operator="containsText" text="FL">
      <formula>NOT(ISERROR(SEARCH("FL",Y97)))</formula>
    </cfRule>
    <cfRule type="containsText" dxfId="1213" priority="138" operator="containsText" text="EL">
      <formula>NOT(ISERROR(SEARCH("EL",Y97)))</formula>
    </cfRule>
    <cfRule type="containsText" dxfId="1212" priority="139" operator="containsText" text="AB">
      <formula>NOT(ISERROR(SEARCH("AB",Y97)))</formula>
    </cfRule>
    <cfRule type="containsText" dxfId="1211" priority="146" operator="containsText" text="AL">
      <formula>NOT(ISERROR(SEARCH("AL",Y97)))</formula>
    </cfRule>
    <cfRule type="containsText" dxfId="1210" priority="144" operator="containsText" text="Sick">
      <formula>NOT(ISERROR(SEARCH("Sick",Y97)))</formula>
    </cfRule>
  </conditionalFormatting>
  <conditionalFormatting sqref="Y103:Z103">
    <cfRule type="containsText" dxfId="1209" priority="156" operator="containsText" text="EL">
      <formula>NOT(ISERROR(SEARCH("EL",Y103)))</formula>
    </cfRule>
    <cfRule type="containsText" dxfId="1208" priority="164" operator="containsText" text="AL">
      <formula>NOT(ISERROR(SEARCH("AL",Y103)))</formula>
    </cfRule>
    <cfRule type="containsText" dxfId="1207" priority="163" operator="containsText" text="OFF">
      <formula>NOT(ISERROR(SEARCH("OFF",Y103)))</formula>
    </cfRule>
    <cfRule type="containsText" dxfId="1206" priority="162" operator="containsText" text="Sick">
      <formula>NOT(ISERROR(SEARCH("Sick",Y103)))</formula>
    </cfRule>
    <cfRule type="containsText" dxfId="1205" priority="161" operator="containsText" text="AB">
      <formula>NOT(ISERROR(SEARCH("AB",Y103)))</formula>
    </cfRule>
    <cfRule type="containsText" dxfId="1204" priority="160" operator="containsText" text="MC">
      <formula>NOT(ISERROR(SEARCH("MC",Y103)))</formula>
    </cfRule>
    <cfRule type="containsText" dxfId="1203" priority="159" operator="containsText" text="FL">
      <formula>NOT(ISERROR(SEARCH("FL",Y103)))</formula>
    </cfRule>
    <cfRule type="containsText" dxfId="1202" priority="158" operator="containsText" text="SUS">
      <formula>NOT(ISERROR(SEARCH("SUS",Y103)))</formula>
    </cfRule>
    <cfRule type="containsText" dxfId="1201" priority="157" operator="containsText" text="AB">
      <formula>NOT(ISERROR(SEARCH("AB",Y103)))</formula>
    </cfRule>
  </conditionalFormatting>
  <conditionalFormatting sqref="Y106:Z106">
    <cfRule type="containsText" dxfId="1200" priority="168" operator="containsText" text="FL">
      <formula>NOT(ISERROR(SEARCH("FL",Y106)))</formula>
    </cfRule>
    <cfRule type="containsText" dxfId="1199" priority="170" operator="containsText" text="AB">
      <formula>NOT(ISERROR(SEARCH("AB",Y106)))</formula>
    </cfRule>
    <cfRule type="containsText" dxfId="1198" priority="171" operator="containsText" text="Sick">
      <formula>NOT(ISERROR(SEARCH("Sick",Y106)))</formula>
    </cfRule>
    <cfRule type="containsText" dxfId="1197" priority="172" operator="containsText" text="OFF">
      <formula>NOT(ISERROR(SEARCH("OFF",Y106)))</formula>
    </cfRule>
    <cfRule type="containsText" dxfId="1196" priority="173" operator="containsText" text="AL">
      <formula>NOT(ISERROR(SEARCH("AL",Y106)))</formula>
    </cfRule>
    <cfRule type="containsText" dxfId="1195" priority="166" operator="containsText" text="AB">
      <formula>NOT(ISERROR(SEARCH("AB",Y106)))</formula>
    </cfRule>
    <cfRule type="containsText" dxfId="1194" priority="169" operator="containsText" text="MC">
      <formula>NOT(ISERROR(SEARCH("MC",Y106)))</formula>
    </cfRule>
    <cfRule type="containsText" dxfId="1193" priority="165" operator="containsText" text="EL">
      <formula>NOT(ISERROR(SEARCH("EL",Y106)))</formula>
    </cfRule>
    <cfRule type="containsText" dxfId="1192" priority="167" operator="containsText" text="SUS">
      <formula>NOT(ISERROR(SEARCH("SUS",Y106)))</formula>
    </cfRule>
  </conditionalFormatting>
  <conditionalFormatting sqref="Y108:Z108">
    <cfRule type="containsText" dxfId="1191" priority="180" operator="containsText" text="Sick">
      <formula>NOT(ISERROR(SEARCH("Sick",Y108)))</formula>
    </cfRule>
    <cfRule type="containsText" dxfId="1190" priority="175" operator="containsText" text="AB">
      <formula>NOT(ISERROR(SEARCH("AB",Y108)))</formula>
    </cfRule>
    <cfRule type="containsText" dxfId="1189" priority="178" operator="containsText" text="MC">
      <formula>NOT(ISERROR(SEARCH("MC",Y108)))</formula>
    </cfRule>
    <cfRule type="containsText" dxfId="1188" priority="179" operator="containsText" text="AB">
      <formula>NOT(ISERROR(SEARCH("AB",Y108)))</formula>
    </cfRule>
    <cfRule type="containsText" dxfId="1187" priority="181" operator="containsText" text="OFF">
      <formula>NOT(ISERROR(SEARCH("OFF",Y108)))</formula>
    </cfRule>
    <cfRule type="containsText" dxfId="1186" priority="176" operator="containsText" text="SUS">
      <formula>NOT(ISERROR(SEARCH("SUS",Y108)))</formula>
    </cfRule>
    <cfRule type="containsText" dxfId="1185" priority="182" operator="containsText" text="AL">
      <formula>NOT(ISERROR(SEARCH("AL",Y108)))</formula>
    </cfRule>
    <cfRule type="containsText" dxfId="1184" priority="177" operator="containsText" text="FL">
      <formula>NOT(ISERROR(SEARCH("FL",Y108)))</formula>
    </cfRule>
    <cfRule type="containsText" dxfId="1183" priority="174" operator="containsText" text="EL">
      <formula>NOT(ISERROR(SEARCH("EL",Y108)))</formula>
    </cfRule>
  </conditionalFormatting>
  <conditionalFormatting sqref="Y23:AD23">
    <cfRule type="containsText" dxfId="1182" priority="634" operator="containsText" text="Sick">
      <formula>NOT(ISERROR(SEARCH("Sick",Y23)))</formula>
    </cfRule>
    <cfRule type="containsText" dxfId="1181" priority="632" operator="containsText" text="MC">
      <formula>NOT(ISERROR(SEARCH("MC",Y23)))</formula>
    </cfRule>
    <cfRule type="containsText" dxfId="1180" priority="631" operator="containsText" text="FL">
      <formula>NOT(ISERROR(SEARCH("FL",Y23)))</formula>
    </cfRule>
    <cfRule type="containsText" dxfId="1179" priority="630" operator="containsText" text="SUS">
      <formula>NOT(ISERROR(SEARCH("SUS",Y23)))</formula>
    </cfRule>
    <cfRule type="containsText" dxfId="1178" priority="635" operator="containsText" text="OFF">
      <formula>NOT(ISERROR(SEARCH("OFF",Y23)))</formula>
    </cfRule>
    <cfRule type="containsText" dxfId="1177" priority="629" operator="containsText" text="AB">
      <formula>NOT(ISERROR(SEARCH("AB",Y23)))</formula>
    </cfRule>
    <cfRule type="containsText" dxfId="1176" priority="636" operator="containsText" text="AL">
      <formula>NOT(ISERROR(SEARCH("AL",Y23)))</formula>
    </cfRule>
  </conditionalFormatting>
  <conditionalFormatting sqref="Y15:AI20">
    <cfRule type="containsText" dxfId="1175" priority="3907" operator="containsText" text="AB">
      <formula>NOT(ISERROR(SEARCH("AB",Y15)))</formula>
    </cfRule>
    <cfRule type="containsText" dxfId="1174" priority="3906" operator="containsText" text="EL">
      <formula>NOT(ISERROR(SEARCH("EL",Y15)))</formula>
    </cfRule>
    <cfRule type="containsText" dxfId="1173" priority="3908" operator="containsText" text="SUS">
      <formula>NOT(ISERROR(SEARCH("SUS",Y15)))</formula>
    </cfRule>
    <cfRule type="containsText" dxfId="1172" priority="3911" operator="containsText" text="FL">
      <formula>NOT(ISERROR(SEARCH("FL",Y15)))</formula>
    </cfRule>
  </conditionalFormatting>
  <conditionalFormatting sqref="Y15:AJ20 BO15:BP20 AJ54:AJ55 AJ133 AJ135 AJ141">
    <cfRule type="containsText" dxfId="1171" priority="3916" operator="containsText" text="AL">
      <formula>NOT(ISERROR(SEARCH("AL",Y15)))</formula>
    </cfRule>
    <cfRule type="containsText" dxfId="1170" priority="3915" operator="containsText" text="OFF">
      <formula>NOT(ISERROR(SEARCH("OFF",Y15)))</formula>
    </cfRule>
  </conditionalFormatting>
  <conditionalFormatting sqref="AG142:AH142">
    <cfRule type="containsText" dxfId="1169" priority="411" operator="containsText" text="SUS">
      <formula>NOT(ISERROR(SEARCH("SUS",AG142)))</formula>
    </cfRule>
    <cfRule type="containsText" dxfId="1168" priority="418" operator="containsText" text="AL">
      <formula>NOT(ISERROR(SEARCH("AL",AG142)))</formula>
    </cfRule>
    <cfRule type="containsText" dxfId="1167" priority="417" operator="containsText" text="SICK">
      <formula>NOT(ISERROR(SEARCH("SICK",AG142)))</formula>
    </cfRule>
    <cfRule type="containsText" dxfId="1166" priority="416" operator="containsText" text="AB">
      <formula>NOT(ISERROR(SEARCH("AB",AG142)))</formula>
    </cfRule>
    <cfRule type="containsText" dxfId="1165" priority="415" operator="containsText" text="OFF">
      <formula>NOT(ISERROR(SEARCH("OFF",AG142)))</formula>
    </cfRule>
    <cfRule type="containsText" dxfId="1164" priority="414" operator="containsText" text="MC">
      <formula>NOT(ISERROR(SEARCH("MC",AG142)))</formula>
    </cfRule>
    <cfRule type="containsText" dxfId="1163" priority="413" operator="containsText" text="EL">
      <formula>NOT(ISERROR(SEARCH("EL",AG142)))</formula>
    </cfRule>
    <cfRule type="containsText" dxfId="1162" priority="412" operator="containsText" text="FL">
      <formula>NOT(ISERROR(SEARCH("FL",AG142)))</formula>
    </cfRule>
    <cfRule type="containsText" dxfId="1161" priority="410" operator="containsText" text="NL">
      <formula>NOT(ISERROR(SEARCH("NL",AG142)))</formula>
    </cfRule>
    <cfRule type="containsText" dxfId="1160" priority="409" operator="containsText" text="SP">
      <formula>NOT(ISERROR(SEARCH("SP",AG142)))</formula>
    </cfRule>
  </conditionalFormatting>
  <conditionalFormatting sqref="AI26 AI53">
    <cfRule type="containsText" dxfId="1159" priority="1385" operator="containsText" text="AB">
      <formula>NOT(ISERROR(SEARCH("AB",AI26)))</formula>
    </cfRule>
    <cfRule type="containsText" dxfId="1158" priority="1387" operator="containsText" text="AL">
      <formula>NOT(ISERROR(SEARCH("AL",AI26)))</formula>
    </cfRule>
    <cfRule type="containsText" dxfId="1157" priority="1386" operator="containsText" text="SICK">
      <formula>NOT(ISERROR(SEARCH("SICK",AI26)))</formula>
    </cfRule>
    <cfRule type="containsText" dxfId="1156" priority="1384" operator="containsText" text="OFF">
      <formula>NOT(ISERROR(SEARCH("OFF",AI26)))</formula>
    </cfRule>
    <cfRule type="containsText" dxfId="1155" priority="1381" operator="containsText" text="FL">
      <formula>NOT(ISERROR(SEARCH("FL",AI26)))</formula>
    </cfRule>
    <cfRule type="containsText" dxfId="1154" priority="1380" operator="containsText" text="SUS">
      <formula>NOT(ISERROR(SEARCH("SUS",AI26)))</formula>
    </cfRule>
    <cfRule type="containsText" dxfId="1153" priority="1379" operator="containsText" text="NL">
      <formula>NOT(ISERROR(SEARCH("NL",AI26)))</formula>
    </cfRule>
    <cfRule type="containsText" dxfId="1152" priority="1383" operator="containsText" text="MC">
      <formula>NOT(ISERROR(SEARCH("MC",AI26)))</formula>
    </cfRule>
  </conditionalFormatting>
  <conditionalFormatting sqref="AI26 AJ141">
    <cfRule type="containsText" dxfId="1151" priority="1382" operator="containsText" text="EL">
      <formula>NOT(ISERROR(SEARCH("EL",AI26)))</formula>
    </cfRule>
  </conditionalFormatting>
  <conditionalFormatting sqref="AI53 AJ134 AI26">
    <cfRule type="containsText" dxfId="1150" priority="1378" operator="containsText" text="SP">
      <formula>NOT(ISERROR(SEARCH("SP",AI26)))</formula>
    </cfRule>
  </conditionalFormatting>
  <conditionalFormatting sqref="AI68 AI56">
    <cfRule type="containsText" dxfId="1149" priority="3655" operator="containsText" text="AB">
      <formula>NOT(ISERROR(SEARCH("AB",AI56)))</formula>
    </cfRule>
  </conditionalFormatting>
  <conditionalFormatting sqref="AI68">
    <cfRule type="containsText" dxfId="1148" priority="1137" operator="containsText" text="SP">
      <formula>NOT(ISERROR(SEARCH("SP",AI68)))</formula>
    </cfRule>
    <cfRule type="containsText" dxfId="1147" priority="1138" operator="containsText" text="NL">
      <formula>NOT(ISERROR(SEARCH("NL",AI68)))</formula>
    </cfRule>
    <cfRule type="containsText" dxfId="1146" priority="1139" operator="containsText" text="SUS">
      <formula>NOT(ISERROR(SEARCH("SUS",AI68)))</formula>
    </cfRule>
    <cfRule type="containsText" dxfId="1145" priority="1140" operator="containsText" text="FL">
      <formula>NOT(ISERROR(SEARCH("FL",AI68)))</formula>
    </cfRule>
    <cfRule type="containsText" dxfId="1144" priority="1142" operator="containsText" text="MC">
      <formula>NOT(ISERROR(SEARCH("MC",AI68)))</formula>
    </cfRule>
    <cfRule type="containsText" dxfId="1143" priority="1143" operator="containsText" text="OFF">
      <formula>NOT(ISERROR(SEARCH("OFF",AI68)))</formula>
    </cfRule>
    <cfRule type="containsText" dxfId="1142" priority="3650" operator="containsText" text="EL">
      <formula>NOT(ISERROR(SEARCH("EL",AI68)))</formula>
    </cfRule>
    <cfRule type="containsText" dxfId="1141" priority="1145" operator="containsText" text="SICK">
      <formula>NOT(ISERROR(SEARCH("SICK",AI68)))</formula>
    </cfRule>
    <cfRule type="containsText" dxfId="1140" priority="1146" operator="containsText" text="AL">
      <formula>NOT(ISERROR(SEARCH("AL",AI68)))</formula>
    </cfRule>
  </conditionalFormatting>
  <conditionalFormatting sqref="AI54:AJ55 BO54:BP55 AI66 AI133:AT133 AW133:BP133 AJ135 BO50:BP50 BO66:BP66">
    <cfRule type="containsText" dxfId="1139" priority="3646" operator="containsText" text="AB">
      <formula>NOT(ISERROR(SEARCH("AB",AI50)))</formula>
    </cfRule>
  </conditionalFormatting>
  <conditionalFormatting sqref="AI56:AJ56 BO50:BP50 AJ54:AJ55 BO54:BP56 BO66:BP66 AJ133:AT133 AW133:BP133 AJ135 AJ5:AJ26 Y15:AJ20 AJ145 AJ66 BO15:BP20 AJ141">
    <cfRule type="containsText" dxfId="1138" priority="3695" operator="containsText" text="SP">
      <formula>NOT(ISERROR(SEARCH("SP",Y5)))</formula>
    </cfRule>
  </conditionalFormatting>
  <conditionalFormatting sqref="AJ5:AJ26 K21:L21 F22:P22 S22:AF22 K23:L23 AI54:AJ55 AI133:AJ133 AQ133:AR133 I136:J138 AQ136:AR138 AJ145">
    <cfRule type="containsText" dxfId="1137" priority="453" operator="containsText" text="EL">
      <formula>NOT(ISERROR(SEARCH("EL",F5)))</formula>
    </cfRule>
  </conditionalFormatting>
  <conditionalFormatting sqref="AJ5:AJ26 Y15:AJ20 BO15:BP20 AJ133:AJ135 AJ141 AJ145 AJ54:AJ55">
    <cfRule type="containsText" dxfId="1136" priority="3914" operator="containsText" text="Sick">
      <formula>NOT(ISERROR(SEARCH("Sick",Y5)))</formula>
    </cfRule>
  </conditionalFormatting>
  <conditionalFormatting sqref="AJ5:AJ26 Y15:AJ20 BO15:BP20 BO50:BP50 AJ54:AJ55 BO54:BP56 AI56:AJ56 AJ66 BO66:BP66 AJ133:AT133 AW133:BP133 AJ134:AJ135 AJ141 AJ145">
    <cfRule type="containsText" dxfId="1135" priority="3696" operator="containsText" text="NL">
      <formula>NOT(ISERROR(SEARCH("NL",Y5)))</formula>
    </cfRule>
  </conditionalFormatting>
  <conditionalFormatting sqref="AJ5:AJ26 AI54:AJ55 AI133:AJ133 AO133:AT133 AJ134:AJ135 AJ145 AI66:AJ66 BO54:BP55 AW133:BP133">
    <cfRule type="containsText" dxfId="1134" priority="3627" operator="containsText" text="MC">
      <formula>NOT(ISERROR(SEARCH("MC",AI5)))</formula>
    </cfRule>
  </conditionalFormatting>
  <conditionalFormatting sqref="AJ5:AJ26 AJ134 AJ145">
    <cfRule type="containsText" dxfId="1133" priority="3630" operator="containsText" text="OFF">
      <formula>NOT(ISERROR(SEARCH("OFF",AJ5)))</formula>
    </cfRule>
    <cfRule type="containsText" dxfId="1132" priority="3631" operator="containsText" text="AL">
      <formula>NOT(ISERROR(SEARCH("AL",AJ5)))</formula>
    </cfRule>
  </conditionalFormatting>
  <conditionalFormatting sqref="AJ20 AJ50 BO50:BP50 AJ54:AJ55 BO54:BP56 AI56:AJ56 AJ66 BO66:BP66 AJ133:AT133 AW133:BP133">
    <cfRule type="containsText" dxfId="1131" priority="3894" operator="containsText" text="AL">
      <formula>NOT(ISERROR(SEARCH("AL",AI20)))</formula>
    </cfRule>
  </conditionalFormatting>
  <conditionalFormatting sqref="AJ20 AJ50 BO50:BP50 AJ54:AJ55 BO54:BP56 AI56:AJ56 BO66:BP66 AJ133:AT133 AW133:BP133 AJ66">
    <cfRule type="containsText" dxfId="1130" priority="3891" operator="containsText" text="OFF">
      <formula>NOT(ISERROR(SEARCH("OFF",AI20)))</formula>
    </cfRule>
  </conditionalFormatting>
  <conditionalFormatting sqref="AJ50 Y15:AJ20 BO15:BP20 BO50:BP50 AJ54:AJ55 BO54:BP56 BO66:BP66 AJ133:AT133 AW133:BP133 AI56:AJ56">
    <cfRule type="containsText" dxfId="1129" priority="3890" operator="containsText" text="MC">
      <formula>NOT(ISERROR(SEARCH("MC",Y15)))</formula>
    </cfRule>
  </conditionalFormatting>
  <conditionalFormatting sqref="AJ50 AI66:AJ66 AJ15:AJ20 BO15:BP20 AJ135 AJ141">
    <cfRule type="containsText" dxfId="1128" priority="3888" operator="containsText" text="FL">
      <formula>NOT(ISERROR(SEARCH("FL",AI15)))</formula>
    </cfRule>
    <cfRule type="containsText" dxfId="1127" priority="3887" operator="containsText" text="SUS">
      <formula>NOT(ISERROR(SEARCH("SUS",AI15)))</formula>
    </cfRule>
  </conditionalFormatting>
  <conditionalFormatting sqref="AJ50 AJ20 BO50:BP50 AJ54:AJ55 BO54:BP56 AI56:AJ56 AJ66 BO66:BP66 AJ133:AT133 AW133:BP133">
    <cfRule type="containsText" dxfId="1126" priority="3893" operator="containsText" text="SICK">
      <formula>NOT(ISERROR(SEARCH("SICK",AI20)))</formula>
    </cfRule>
  </conditionalFormatting>
  <conditionalFormatting sqref="AJ50">
    <cfRule type="containsText" dxfId="1125" priority="3886" operator="containsText" text="NL">
      <formula>NOT(ISERROR(SEARCH("NL",AJ50)))</formula>
    </cfRule>
    <cfRule type="containsText" dxfId="1124" priority="3892" operator="containsText" text="AB">
      <formula>NOT(ISERROR(SEARCH("AB",AJ50)))</formula>
    </cfRule>
    <cfRule type="containsText" dxfId="1123" priority="3889" operator="containsText" text="EL">
      <formula>NOT(ISERROR(SEARCH("EL",AJ50)))</formula>
    </cfRule>
    <cfRule type="containsText" dxfId="1122" priority="3885" operator="containsText" text="SP">
      <formula>NOT(ISERROR(SEARCH("SP",AJ50)))</formula>
    </cfRule>
  </conditionalFormatting>
  <conditionalFormatting sqref="AJ119:AJ122">
    <cfRule type="containsText" dxfId="1121" priority="13914" stopIfTrue="1" operator="containsText" text="HD">
      <formula>NOT(ISERROR(SEARCH("HD",AJ119)))</formula>
    </cfRule>
    <cfRule type="containsText" dxfId="1120" priority="7956" stopIfTrue="1" operator="containsText" text="SICK">
      <formula>NOT(ISERROR(SEARCH("SICK",AJ119)))</formula>
    </cfRule>
    <cfRule type="containsText" dxfId="1119" priority="13520" stopIfTrue="1" operator="containsText" text="SP">
      <formula>NOT(ISERROR(SEARCH("SP",AJ119)))</formula>
    </cfRule>
    <cfRule type="containsText" priority="13521" stopIfTrue="1" operator="containsText" text="SP">
      <formula>NOT(ISERROR(SEARCH("SP",AJ119)))</formula>
    </cfRule>
    <cfRule type="containsText" dxfId="1118" priority="13558" stopIfTrue="1" operator="containsText" text="AB">
      <formula>NOT(ISERROR(SEARCH("AB",AJ119)))</formula>
    </cfRule>
    <cfRule type="containsText" dxfId="1117" priority="13995" stopIfTrue="1" operator="containsText" text="AB">
      <formula>NOT(ISERROR(SEARCH("AB",AJ119)))</formula>
    </cfRule>
  </conditionalFormatting>
  <conditionalFormatting sqref="AJ134 AQ138:AR138">
    <cfRule type="containsText" dxfId="1116" priority="1636" operator="containsText" text="SUS">
      <formula>NOT(ISERROR(SEARCH("SUS",AJ134)))</formula>
    </cfRule>
    <cfRule type="containsText" dxfId="1115" priority="1637" operator="containsText" text="FL">
      <formula>NOT(ISERROR(SEARCH("FL",AJ134)))</formula>
    </cfRule>
  </conditionalFormatting>
  <conditionalFormatting sqref="AJ141 Y15:AJ20 AJ5:AJ26 AJ56 BO56:BP56 BO15:BP20 AJ134 AJ145 I138:J138">
    <cfRule type="containsText" dxfId="1114" priority="3913" operator="containsText" text="AB">
      <formula>NOT(ISERROR(SEARCH("AB",I5)))</formula>
    </cfRule>
  </conditionalFormatting>
  <conditionalFormatting sqref="AJ141">
    <cfRule type="containsText" dxfId="1113" priority="3912" operator="containsText" text="MC">
      <formula>NOT(ISERROR(SEARCH("MC",AJ141)))</formula>
    </cfRule>
  </conditionalFormatting>
  <conditionalFormatting sqref="AJ133:AT133 AJ15:AJ20 AJ54:AJ55 AI56:AJ56 BO15:BP20 BO50:BP50 BO66:BP66">
    <cfRule type="containsText" dxfId="1112" priority="1863" operator="containsText" text="EL">
      <formula>NOT(ISERROR(SEARCH("EL",AI15)))</formula>
    </cfRule>
  </conditionalFormatting>
  <conditionalFormatting sqref="AQ112 AS112 AU112 AW112">
    <cfRule type="containsText" dxfId="1111" priority="15" operator="containsText" text="EL">
      <formula>NOT(ISERROR(SEARCH("EL",AQ112)))</formula>
    </cfRule>
    <cfRule type="containsText" dxfId="1110" priority="12" operator="containsText" text="NL">
      <formula>NOT(ISERROR(SEARCH("NL",AQ112)))</formula>
    </cfRule>
    <cfRule type="containsText" dxfId="1109" priority="13" operator="containsText" text="FL">
      <formula>NOT(ISERROR(SEARCH("FL",AQ112)))</formula>
    </cfRule>
    <cfRule type="containsText" dxfId="1108" priority="14" operator="containsText" text="SUS">
      <formula>NOT(ISERROR(SEARCH("SUS",AQ112)))</formula>
    </cfRule>
    <cfRule type="containsText" dxfId="1107" priority="16" operator="containsText" text="AB">
      <formula>NOT(ISERROR(SEARCH("AB",AQ112)))</formula>
    </cfRule>
    <cfRule type="containsText" dxfId="1106" priority="20" operator="containsText" text="OFF">
      <formula>NOT(ISERROR(SEARCH("OFF",AQ112)))</formula>
    </cfRule>
    <cfRule type="containsText" dxfId="1105" priority="11" operator="containsText" text="SP">
      <formula>NOT(ISERROR(SEARCH("SP",AQ112)))</formula>
    </cfRule>
    <cfRule type="containsText" dxfId="1104" priority="17" operator="containsText" text="Sick">
      <formula>NOT(ISERROR(SEARCH("Sick",AQ112)))</formula>
    </cfRule>
    <cfRule type="containsText" dxfId="1103" priority="19" operator="containsText" text="MC">
      <formula>NOT(ISERROR(SEARCH("MC",AQ112)))</formula>
    </cfRule>
    <cfRule type="containsText" dxfId="1102" priority="18" operator="containsText" text="AL">
      <formula>NOT(ISERROR(SEARCH("AL",AQ112)))</formula>
    </cfRule>
  </conditionalFormatting>
  <conditionalFormatting sqref="AQ133:AR133 AQ138:AR138">
    <cfRule type="containsText" dxfId="1101" priority="1642" operator="containsText" text="AL">
      <formula>NOT(ISERROR(SEARCH("AL",AQ133)))</formula>
    </cfRule>
    <cfRule type="containsText" dxfId="1100" priority="1639" operator="containsText" text="AB">
      <formula>NOT(ISERROR(SEARCH("AB",AQ133)))</formula>
    </cfRule>
    <cfRule type="containsText" dxfId="1099" priority="1640" operator="containsText" text="Sick">
      <formula>NOT(ISERROR(SEARCH("Sick",AQ133)))</formula>
    </cfRule>
    <cfRule type="containsText" dxfId="1098" priority="1641" operator="containsText" text="OFF">
      <formula>NOT(ISERROR(SEARCH("OFF",AQ133)))</formula>
    </cfRule>
  </conditionalFormatting>
  <conditionalFormatting sqref="AQ133:AR133">
    <cfRule type="containsText" dxfId="1097" priority="1293" operator="containsText" text="AB">
      <formula>NOT(ISERROR(SEARCH("AB",AQ133)))</formula>
    </cfRule>
    <cfRule type="containsText" dxfId="1096" priority="1298" operator="containsText" text="Sick">
      <formula>NOT(ISERROR(SEARCH("Sick",AQ133)))</formula>
    </cfRule>
    <cfRule type="containsText" dxfId="1095" priority="1297" operator="containsText" text="AB">
      <formula>NOT(ISERROR(SEARCH("AB",AQ133)))</formula>
    </cfRule>
    <cfRule type="containsText" dxfId="1094" priority="1295" operator="containsText" text="FL">
      <formula>NOT(ISERROR(SEARCH("FL",AQ133)))</formula>
    </cfRule>
    <cfRule type="containsText" dxfId="1093" priority="1296" operator="containsText" text="MC">
      <formula>NOT(ISERROR(SEARCH("MC",AQ133)))</formula>
    </cfRule>
    <cfRule type="containsText" dxfId="1092" priority="1294" operator="containsText" text="SUS">
      <formula>NOT(ISERROR(SEARCH("SUS",AQ133)))</formula>
    </cfRule>
    <cfRule type="containsText" dxfId="1091" priority="1300" operator="containsText" text="AL">
      <formula>NOT(ISERROR(SEARCH("AL",AQ133)))</formula>
    </cfRule>
    <cfRule type="containsText" dxfId="1090" priority="1299" operator="containsText" text="OFF">
      <formula>NOT(ISERROR(SEARCH("OFF",AQ133)))</formula>
    </cfRule>
  </conditionalFormatting>
  <conditionalFormatting sqref="AQ138:AR138 AQ133:AR133">
    <cfRule type="containsText" dxfId="1089" priority="1638" operator="containsText" text="MC">
      <formula>NOT(ISERROR(SEARCH("MC",AQ133)))</formula>
    </cfRule>
  </conditionalFormatting>
  <conditionalFormatting sqref="AV114:AW114 AV115:BK117">
    <cfRule type="containsText" dxfId="1088" priority="2" stopIfTrue="1" operator="containsText" text="SICK">
      <formula>NOT(ISERROR(SEARCH("SICK",AV114)))</formula>
    </cfRule>
    <cfRule type="containsText" dxfId="1087" priority="3" stopIfTrue="1" operator="containsText" text="SP">
      <formula>NOT(ISERROR(SEARCH("SP",AV114)))</formula>
    </cfRule>
    <cfRule type="containsText" priority="4" stopIfTrue="1" operator="containsText" text="SP">
      <formula>NOT(ISERROR(SEARCH("SP",AV114)))</formula>
    </cfRule>
  </conditionalFormatting>
  <conditionalFormatting sqref="AV114:AX114 AV115:BK117">
    <cfRule type="containsText" dxfId="1086" priority="1" stopIfTrue="1" operator="containsText" text="AB">
      <formula>NOT(ISERROR(SEARCH("AB",AV114)))</formula>
    </cfRule>
    <cfRule type="containsText" dxfId="1085" priority="5" stopIfTrue="1" operator="containsText" text="SICK">
      <formula>NOT(ISERROR(SEARCH("SICK",AV114)))</formula>
    </cfRule>
  </conditionalFormatting>
  <conditionalFormatting sqref="AV29:BK32">
    <cfRule type="containsText" dxfId="1084" priority="8" stopIfTrue="1" operator="containsText" text="SP">
      <formula>NOT(ISERROR(SEARCH("SP",AV29)))</formula>
    </cfRule>
    <cfRule type="containsText" dxfId="1083" priority="6" stopIfTrue="1" operator="containsText" text="AB">
      <formula>NOT(ISERROR(SEARCH("AB",AV29)))</formula>
    </cfRule>
    <cfRule type="containsText" dxfId="1082" priority="10" stopIfTrue="1" operator="containsText" text="SICK">
      <formula>NOT(ISERROR(SEARCH("SICK",AV29)))</formula>
    </cfRule>
    <cfRule type="containsText" priority="9" stopIfTrue="1" operator="containsText" text="SP">
      <formula>NOT(ISERROR(SEARCH("SP",AV29)))</formula>
    </cfRule>
    <cfRule type="containsText" dxfId="1081" priority="7" stopIfTrue="1" operator="containsText" text="SICK">
      <formula>NOT(ISERROR(SEARCH("SICK",AV29)))</formula>
    </cfRule>
  </conditionalFormatting>
  <conditionalFormatting sqref="BE142:BF142">
    <cfRule type="containsText" dxfId="1080" priority="1050" operator="containsText" text="Sick">
      <formula>NOT(ISERROR(SEARCH("Sick",BE142)))</formula>
    </cfRule>
    <cfRule type="containsText" dxfId="1079" priority="1048" operator="containsText" text="MC">
      <formula>NOT(ISERROR(SEARCH("MC",BE142)))</formula>
    </cfRule>
    <cfRule type="containsText" dxfId="1078" priority="1052" operator="containsText" text="AL">
      <formula>NOT(ISERROR(SEARCH("AL",BE142)))</formula>
    </cfRule>
    <cfRule type="containsText" dxfId="1077" priority="1049" operator="containsText" text="AB">
      <formula>NOT(ISERROR(SEARCH("AB",BE142)))</formula>
    </cfRule>
    <cfRule type="containsText" dxfId="1076" priority="1051" operator="containsText" text="OFF">
      <formula>NOT(ISERROR(SEARCH("OFF",BE142)))</formula>
    </cfRule>
    <cfRule type="containsText" dxfId="1075" priority="1046" operator="containsText" text="SUS">
      <formula>NOT(ISERROR(SEARCH("SUS",BE142)))</formula>
    </cfRule>
    <cfRule type="containsText" dxfId="1074" priority="1047" operator="containsText" text="FL">
      <formula>NOT(ISERROR(SEARCH("FL",BE142)))</formula>
    </cfRule>
  </conditionalFormatting>
  <conditionalFormatting sqref="BR2 BR5:BR26 BR41:BR112 BR132:BR138 BR141:BR146">
    <cfRule type="cellIs" dxfId="1073" priority="14043" stopIfTrue="1" operator="equal">
      <formula>";"</formula>
    </cfRule>
  </conditionalFormatting>
  <conditionalFormatting sqref="BR38">
    <cfRule type="cellIs" dxfId="1072" priority="14006" operator="equal">
      <formula>";"</formula>
    </cfRule>
  </conditionalFormatting>
  <conditionalFormatting sqref="BT4">
    <cfRule type="containsText" dxfId="1071" priority="3860" operator="containsText" text="SUS">
      <formula>NOT(ISERROR(SEARCH("SUS",BT4)))</formula>
    </cfRule>
    <cfRule type="containsText" dxfId="1070" priority="3861" operator="containsText" text="FL">
      <formula>NOT(ISERROR(SEARCH("FL",BT4)))</formula>
    </cfRule>
    <cfRule type="containsText" dxfId="1069" priority="3864" operator="containsText" text="Sick">
      <formula>NOT(ISERROR(SEARCH("Sick",BT4)))</formula>
    </cfRule>
    <cfRule type="containsText" dxfId="1068" priority="3865" operator="containsText" text="OFF">
      <formula>NOT(ISERROR(SEARCH("OFF",BT4)))</formula>
    </cfRule>
    <cfRule type="containsText" dxfId="1067" priority="3863" operator="containsText" text="AB">
      <formula>NOT(ISERROR(SEARCH("AB",BT4)))</formula>
    </cfRule>
    <cfRule type="containsText" dxfId="1066" priority="3862" operator="containsText" text="MC">
      <formula>NOT(ISERROR(SEARCH("MC",BT4)))</formula>
    </cfRule>
    <cfRule type="containsText" dxfId="1065" priority="3866" operator="containsText" text="AL">
      <formula>NOT(ISERROR(SEARCH("AL",BT4)))</formula>
    </cfRule>
  </conditionalFormatting>
  <conditionalFormatting sqref="BT40">
    <cfRule type="containsText" dxfId="1064" priority="3851" operator="containsText" text="SUS">
      <formula>NOT(ISERROR(SEARCH("SUS",BT40)))</formula>
    </cfRule>
    <cfRule type="containsText" dxfId="1063" priority="3852" operator="containsText" text="FL">
      <formula>NOT(ISERROR(SEARCH("FL",BT40)))</formula>
    </cfRule>
    <cfRule type="containsText" dxfId="1062" priority="3853" operator="containsText" text="MC">
      <formula>NOT(ISERROR(SEARCH("MC",BT40)))</formula>
    </cfRule>
    <cfRule type="containsText" dxfId="1061" priority="3854" operator="containsText" text="AB">
      <formula>NOT(ISERROR(SEARCH("AB",BT40)))</formula>
    </cfRule>
    <cfRule type="containsText" dxfId="1060" priority="3855" operator="containsText" text="Sick">
      <formula>NOT(ISERROR(SEARCH("Sick",BT40)))</formula>
    </cfRule>
    <cfRule type="containsText" dxfId="1059" priority="3856" operator="containsText" text="OFF">
      <formula>NOT(ISERROR(SEARCH("OFF",BT40)))</formula>
    </cfRule>
    <cfRule type="containsText" dxfId="1058" priority="3857" operator="containsText" text="AL">
      <formula>NOT(ISERROR(SEARCH("AL",BT40)))</formula>
    </cfRule>
  </conditionalFormatting>
  <conditionalFormatting sqref="BT4:BU4">
    <cfRule type="containsText" dxfId="1057" priority="3805" operator="containsText" text="AB">
      <formula>NOT(ISERROR(SEARCH("AB",BT4)))</formula>
    </cfRule>
  </conditionalFormatting>
  <conditionalFormatting sqref="BT40:BU40">
    <cfRule type="containsText" dxfId="1056" priority="3711" operator="containsText" text="AB">
      <formula>NOT(ISERROR(SEARCH("AB",BT40)))</formula>
    </cfRule>
  </conditionalFormatting>
  <conditionalFormatting sqref="BT4:BY4">
    <cfRule type="containsText" dxfId="1055" priority="3773" operator="containsText" text="EL">
      <formula>NOT(ISERROR(SEARCH("EL",BT4)))</formula>
    </cfRule>
  </conditionalFormatting>
  <conditionalFormatting sqref="BT40:BY40">
    <cfRule type="containsText" dxfId="1054" priority="3697" operator="containsText" text="EL">
      <formula>NOT(ISERROR(SEARCH("EL",BT40)))</formula>
    </cfRule>
  </conditionalFormatting>
  <conditionalFormatting sqref="BU4">
    <cfRule type="containsText" dxfId="1053" priority="3806" operator="containsText" text="Sick">
      <formula>NOT(ISERROR(SEARCH("Sick",BU4)))</formula>
    </cfRule>
    <cfRule type="containsText" dxfId="1052" priority="3807" operator="containsText" text="OFF">
      <formula>NOT(ISERROR(SEARCH("OFF",BU4)))</formula>
    </cfRule>
    <cfRule type="containsText" dxfId="1051" priority="3802" operator="containsText" text="SUS">
      <formula>NOT(ISERROR(SEARCH("SUS",BU4)))</formula>
    </cfRule>
    <cfRule type="containsText" dxfId="1050" priority="3803" operator="containsText" text="FL">
      <formula>NOT(ISERROR(SEARCH("FL",BU4)))</formula>
    </cfRule>
    <cfRule type="containsText" dxfId="1049" priority="3804" operator="containsText" text="MC">
      <formula>NOT(ISERROR(SEARCH("MC",BU4)))</formula>
    </cfRule>
    <cfRule type="containsText" dxfId="1048" priority="3808" operator="containsText" text="AL">
      <formula>NOT(ISERROR(SEARCH("AL",BU4)))</formula>
    </cfRule>
  </conditionalFormatting>
  <conditionalFormatting sqref="BU40">
    <cfRule type="containsText" dxfId="1047" priority="3712" operator="containsText" text="Sick">
      <formula>NOT(ISERROR(SEARCH("Sick",BU40)))</formula>
    </cfRule>
    <cfRule type="containsText" dxfId="1046" priority="3714" operator="containsText" text="AL">
      <formula>NOT(ISERROR(SEARCH("AL",BU40)))</formula>
    </cfRule>
    <cfRule type="containsText" dxfId="1045" priority="3713" operator="containsText" text="OFF">
      <formula>NOT(ISERROR(SEARCH("OFF",BU40)))</formula>
    </cfRule>
    <cfRule type="containsText" dxfId="1044" priority="3708" operator="containsText" text="SUS">
      <formula>NOT(ISERROR(SEARCH("SUS",BU40)))</formula>
    </cfRule>
    <cfRule type="containsText" dxfId="1043" priority="3709" operator="containsText" text="FL">
      <formula>NOT(ISERROR(SEARCH("FL",BU40)))</formula>
    </cfRule>
    <cfRule type="containsText" dxfId="1042" priority="3710" operator="containsText" text="MC">
      <formula>NOT(ISERROR(SEARCH("MC",BU40)))</formula>
    </cfRule>
  </conditionalFormatting>
  <conditionalFormatting sqref="BU4:BV4">
    <cfRule type="containsText" dxfId="1041" priority="3778" operator="containsText" text="AB">
      <formula>NOT(ISERROR(SEARCH("AB",BU4)))</formula>
    </cfRule>
  </conditionalFormatting>
  <conditionalFormatting sqref="BU40:BV40">
    <cfRule type="containsText" dxfId="1040" priority="3702" operator="containsText" text="AB">
      <formula>NOT(ISERROR(SEARCH("AB",BU40)))</formula>
    </cfRule>
  </conditionalFormatting>
  <conditionalFormatting sqref="BV4">
    <cfRule type="containsText" dxfId="1039" priority="3781" operator="containsText" text="AL">
      <formula>NOT(ISERROR(SEARCH("AL",BV4)))</formula>
    </cfRule>
    <cfRule type="containsText" dxfId="1038" priority="3780" operator="containsText" text="OFF">
      <formula>NOT(ISERROR(SEARCH("OFF",BV4)))</formula>
    </cfRule>
    <cfRule type="containsText" dxfId="1037" priority="3774" operator="containsText" text="AB">
      <formula>NOT(ISERROR(SEARCH("AB",BV4)))</formula>
    </cfRule>
    <cfRule type="containsText" dxfId="1036" priority="3775" operator="containsText" text="SUS">
      <formula>NOT(ISERROR(SEARCH("SUS",BV4)))</formula>
    </cfRule>
    <cfRule type="containsText" dxfId="1035" priority="3776" operator="containsText" text="FL">
      <formula>NOT(ISERROR(SEARCH("FL",BV4)))</formula>
    </cfRule>
    <cfRule type="containsText" dxfId="1034" priority="3777" operator="containsText" text="MC">
      <formula>NOT(ISERROR(SEARCH("MC",BV4)))</formula>
    </cfRule>
    <cfRule type="containsText" dxfId="1033" priority="3779" operator="containsText" text="Sick">
      <formula>NOT(ISERROR(SEARCH("Sick",BV4)))</formula>
    </cfRule>
  </conditionalFormatting>
  <conditionalFormatting sqref="BV40">
    <cfRule type="containsText" dxfId="1032" priority="3698" operator="containsText" text="AB">
      <formula>NOT(ISERROR(SEARCH("AB",BV40)))</formula>
    </cfRule>
    <cfRule type="containsText" dxfId="1031" priority="3705" operator="containsText" text="AL">
      <formula>NOT(ISERROR(SEARCH("AL",BV40)))</formula>
    </cfRule>
    <cfRule type="containsText" dxfId="1030" priority="3700" operator="containsText" text="FL">
      <formula>NOT(ISERROR(SEARCH("FL",BV40)))</formula>
    </cfRule>
    <cfRule type="containsText" dxfId="1029" priority="3704" operator="containsText" text="OFF">
      <formula>NOT(ISERROR(SEARCH("OFF",BV40)))</formula>
    </cfRule>
    <cfRule type="containsText" dxfId="1028" priority="3703" operator="containsText" text="Sick">
      <formula>NOT(ISERROR(SEARCH("Sick",BV40)))</formula>
    </cfRule>
    <cfRule type="containsText" dxfId="1027" priority="3701" operator="containsText" text="MC">
      <formula>NOT(ISERROR(SEARCH("MC",BV40)))</formula>
    </cfRule>
    <cfRule type="containsText" dxfId="1026" priority="3699" operator="containsText" text="SUS">
      <formula>NOT(ISERROR(SEARCH("SUS",BV40)))</formula>
    </cfRule>
  </conditionalFormatting>
  <conditionalFormatting sqref="BW4 AI54:AI55 AI66 AI133">
    <cfRule type="containsText" dxfId="1025" priority="3884" operator="containsText" text="AL">
      <formula>NOT(ISERROR(SEARCH("AL",AI4)))</formula>
    </cfRule>
    <cfRule type="containsText" dxfId="1024" priority="3883" operator="containsText" text="OFF">
      <formula>NOT(ISERROR(SEARCH("OFF",AI4)))</formula>
    </cfRule>
    <cfRule type="containsText" dxfId="1023" priority="3882" operator="containsText" text="Sick">
      <formula>NOT(ISERROR(SEARCH("Sick",AI4)))</formula>
    </cfRule>
  </conditionalFormatting>
  <conditionalFormatting sqref="BW4 BO50:BP50 AJ54:AJ55 BO54:BP56 BO66:BP66 AJ133:AT133 AW133:BP133">
    <cfRule type="containsText" dxfId="1022" priority="3878" operator="containsText" text="SUS">
      <formula>NOT(ISERROR(SEARCH("SUS",AJ4)))</formula>
    </cfRule>
    <cfRule type="containsText" dxfId="1021" priority="3879" operator="containsText" text="FL">
      <formula>NOT(ISERROR(SEARCH("FL",AJ4)))</formula>
    </cfRule>
  </conditionalFormatting>
  <conditionalFormatting sqref="BW4">
    <cfRule type="containsText" dxfId="1020" priority="3881" operator="containsText" text="AB">
      <formula>NOT(ISERROR(SEARCH("AB",BW4)))</formula>
    </cfRule>
    <cfRule type="containsText" dxfId="1019" priority="3880" operator="containsText" text="MC">
      <formula>NOT(ISERROR(SEARCH("MC",BW4)))</formula>
    </cfRule>
  </conditionalFormatting>
  <conditionalFormatting sqref="BW40">
    <cfRule type="containsText" dxfId="1018" priority="3874" operator="containsText" text="OFF">
      <formula>NOT(ISERROR(SEARCH("OFF",BW40)))</formula>
    </cfRule>
    <cfRule type="containsText" dxfId="1017" priority="3875" operator="containsText" text="AL">
      <formula>NOT(ISERROR(SEARCH("AL",BW40)))</formula>
    </cfRule>
    <cfRule type="containsText" dxfId="1016" priority="3870" operator="containsText" text="FL">
      <formula>NOT(ISERROR(SEARCH("FL",BW40)))</formula>
    </cfRule>
    <cfRule type="containsText" dxfId="1015" priority="3869" operator="containsText" text="SUS">
      <formula>NOT(ISERROR(SEARCH("SUS",BW40)))</formula>
    </cfRule>
    <cfRule type="containsText" dxfId="1014" priority="3871" operator="containsText" text="MC">
      <formula>NOT(ISERROR(SEARCH("MC",BW40)))</formula>
    </cfRule>
    <cfRule type="containsText" dxfId="1013" priority="3872" operator="containsText" text="AB">
      <formula>NOT(ISERROR(SEARCH("AB",BW40)))</formula>
    </cfRule>
    <cfRule type="containsText" dxfId="1012" priority="3873" operator="containsText" text="Sick">
      <formula>NOT(ISERROR(SEARCH("Sick",BW40)))</formula>
    </cfRule>
  </conditionalFormatting>
  <conditionalFormatting sqref="BW4:BY4">
    <cfRule type="containsText" dxfId="1011" priority="3787" operator="containsText" text="AB">
      <formula>NOT(ISERROR(SEARCH("AB",BW4)))</formula>
    </cfRule>
  </conditionalFormatting>
  <conditionalFormatting sqref="BW40:BY40">
    <cfRule type="containsText" dxfId="1010" priority="3720" operator="containsText" text="AB">
      <formula>NOT(ISERROR(SEARCH("AB",BW40)))</formula>
    </cfRule>
  </conditionalFormatting>
  <conditionalFormatting sqref="BX4">
    <cfRule type="containsText" dxfId="1009" priority="3783" operator="containsText" text="AB">
      <formula>NOT(ISERROR(SEARCH("AB",BX4)))</formula>
    </cfRule>
    <cfRule type="containsText" dxfId="1008" priority="3784" operator="containsText" text="SUS">
      <formula>NOT(ISERROR(SEARCH("SUS",BX4)))</formula>
    </cfRule>
    <cfRule type="containsText" dxfId="1007" priority="3785" operator="containsText" text="FL">
      <formula>NOT(ISERROR(SEARCH("FL",BX4)))</formula>
    </cfRule>
    <cfRule type="containsText" dxfId="1006" priority="3786" operator="containsText" text="MC">
      <formula>NOT(ISERROR(SEARCH("MC",BX4)))</formula>
    </cfRule>
    <cfRule type="containsText" dxfId="1005" priority="3788" operator="containsText" text="Sick">
      <formula>NOT(ISERROR(SEARCH("Sick",BX4)))</formula>
    </cfRule>
    <cfRule type="containsText" dxfId="1004" priority="3789" operator="containsText" text="OFF">
      <formula>NOT(ISERROR(SEARCH("OFF",BX4)))</formula>
    </cfRule>
    <cfRule type="containsText" dxfId="1003" priority="3790" operator="containsText" text="AL">
      <formula>NOT(ISERROR(SEARCH("AL",BX4)))</formula>
    </cfRule>
  </conditionalFormatting>
  <conditionalFormatting sqref="BX40">
    <cfRule type="containsText" dxfId="1002" priority="3719" operator="containsText" text="MC">
      <formula>NOT(ISERROR(SEARCH("MC",BX40)))</formula>
    </cfRule>
    <cfRule type="containsText" dxfId="1001" priority="3723" operator="containsText" text="AL">
      <formula>NOT(ISERROR(SEARCH("AL",BX40)))</formula>
    </cfRule>
    <cfRule type="containsText" dxfId="1000" priority="3722" operator="containsText" text="OFF">
      <formula>NOT(ISERROR(SEARCH("OFF",BX40)))</formula>
    </cfRule>
    <cfRule type="containsText" dxfId="999" priority="3721" operator="containsText" text="Sick">
      <formula>NOT(ISERROR(SEARCH("Sick",BX40)))</formula>
    </cfRule>
    <cfRule type="containsText" dxfId="998" priority="3718" operator="containsText" text="FL">
      <formula>NOT(ISERROR(SEARCH("FL",BX40)))</formula>
    </cfRule>
    <cfRule type="containsText" dxfId="997" priority="3717" operator="containsText" text="SUS">
      <formula>NOT(ISERROR(SEARCH("SUS",BX40)))</formula>
    </cfRule>
    <cfRule type="containsText" dxfId="996" priority="3716" operator="containsText" text="AB">
      <formula>NOT(ISERROR(SEARCH("AB",BX40)))</formula>
    </cfRule>
  </conditionalFormatting>
  <conditionalFormatting sqref="BY4">
    <cfRule type="containsText" dxfId="995" priority="3796" operator="containsText" text="AB">
      <formula>NOT(ISERROR(SEARCH("AB",BY4)))</formula>
    </cfRule>
    <cfRule type="containsText" dxfId="994" priority="3797" operator="containsText" text="Sick">
      <formula>NOT(ISERROR(SEARCH("Sick",BY4)))</formula>
    </cfRule>
    <cfRule type="containsText" dxfId="993" priority="3793" operator="containsText" text="SUS">
      <formula>NOT(ISERROR(SEARCH("SUS",BY4)))</formula>
    </cfRule>
    <cfRule type="containsText" dxfId="992" priority="3794" operator="containsText" text="FL">
      <formula>NOT(ISERROR(SEARCH("FL",BY4)))</formula>
    </cfRule>
    <cfRule type="containsText" dxfId="991" priority="3795" operator="containsText" text="MC">
      <formula>NOT(ISERROR(SEARCH("MC",BY4)))</formula>
    </cfRule>
    <cfRule type="containsText" dxfId="990" priority="3799" operator="containsText" text="AL">
      <formula>NOT(ISERROR(SEARCH("AL",BY4)))</formula>
    </cfRule>
    <cfRule type="containsText" dxfId="989" priority="3798" operator="containsText" text="OFF">
      <formula>NOT(ISERROR(SEARCH("OFF",BY4)))</formula>
    </cfRule>
  </conditionalFormatting>
  <conditionalFormatting sqref="BY40">
    <cfRule type="containsText" dxfId="988" priority="3727" operator="containsText" text="FL">
      <formula>NOT(ISERROR(SEARCH("FL",BY40)))</formula>
    </cfRule>
    <cfRule type="containsText" dxfId="987" priority="3726" operator="containsText" text="SUS">
      <formula>NOT(ISERROR(SEARCH("SUS",BY40)))</formula>
    </cfRule>
    <cfRule type="containsText" dxfId="986" priority="3728" operator="containsText" text="MC">
      <formula>NOT(ISERROR(SEARCH("MC",BY40)))</formula>
    </cfRule>
    <cfRule type="containsText" dxfId="985" priority="3732" operator="containsText" text="AL">
      <formula>NOT(ISERROR(SEARCH("AL",BY40)))</formula>
    </cfRule>
    <cfRule type="containsText" dxfId="984" priority="3731" operator="containsText" text="OFF">
      <formula>NOT(ISERROR(SEARCH("OFF",BY40)))</formula>
    </cfRule>
    <cfRule type="containsText" dxfId="983" priority="3730" operator="containsText" text="Sick">
      <formula>NOT(ISERROR(SEARCH("Sick",BY40)))</formula>
    </cfRule>
    <cfRule type="containsText" dxfId="982" priority="3729" operator="containsText" text="AB">
      <formula>NOT(ISERROR(SEARCH("AB",BY40)))</formula>
    </cfRule>
  </conditionalFormatting>
  <conditionalFormatting sqref="BZ4">
    <cfRule type="containsText" dxfId="981" priority="3842" operator="containsText" text="FL">
      <formula>NOT(ISERROR(SEARCH("FL",BZ4)))</formula>
    </cfRule>
    <cfRule type="containsText" dxfId="980" priority="3841" operator="containsText" text="SUS">
      <formula>NOT(ISERROR(SEARCH("SUS",BZ4)))</formula>
    </cfRule>
    <cfRule type="containsText" dxfId="979" priority="3840" operator="containsText" text="NL">
      <formula>NOT(ISERROR(SEARCH("NL",BZ4)))</formula>
    </cfRule>
    <cfRule type="containsText" dxfId="978" priority="3839" operator="containsText" text="SP">
      <formula>NOT(ISERROR(SEARCH("SP",BZ4)))</formula>
    </cfRule>
    <cfRule type="containsText" dxfId="977" priority="3844" operator="containsText" text="MC">
      <formula>NOT(ISERROR(SEARCH("MC",BZ4)))</formula>
    </cfRule>
    <cfRule type="containsText" dxfId="976" priority="3843" operator="containsText" text="EL">
      <formula>NOT(ISERROR(SEARCH("EL",BZ4)))</formula>
    </cfRule>
    <cfRule type="containsText" dxfId="975" priority="3845" operator="containsText" text="OFF">
      <formula>NOT(ISERROR(SEARCH("OFF",BZ4)))</formula>
    </cfRule>
    <cfRule type="containsText" dxfId="974" priority="3846" operator="containsText" text="AB">
      <formula>NOT(ISERROR(SEARCH("AB",BZ4)))</formula>
    </cfRule>
    <cfRule type="containsText" dxfId="973" priority="3847" operator="containsText" text="SICK">
      <formula>NOT(ISERROR(SEARCH("SICK",BZ4)))</formula>
    </cfRule>
    <cfRule type="containsText" dxfId="972" priority="3848" operator="containsText" text="AL">
      <formula>NOT(ISERROR(SEARCH("AL",BZ4)))</formula>
    </cfRule>
  </conditionalFormatting>
  <conditionalFormatting sqref="BZ40">
    <cfRule type="containsText" dxfId="971" priority="3832" operator="containsText" text="FL">
      <formula>NOT(ISERROR(SEARCH("FL",BZ40)))</formula>
    </cfRule>
    <cfRule type="containsText" dxfId="970" priority="3834" operator="containsText" text="MC">
      <formula>NOT(ISERROR(SEARCH("MC",BZ40)))</formula>
    </cfRule>
    <cfRule type="containsText" dxfId="969" priority="3829" operator="containsText" text="SP">
      <formula>NOT(ISERROR(SEARCH("SP",BZ40)))</formula>
    </cfRule>
    <cfRule type="containsText" dxfId="968" priority="3830" operator="containsText" text="NL">
      <formula>NOT(ISERROR(SEARCH("NL",BZ40)))</formula>
    </cfRule>
    <cfRule type="containsText" dxfId="967" priority="3831" operator="containsText" text="SUS">
      <formula>NOT(ISERROR(SEARCH("SUS",BZ40)))</formula>
    </cfRule>
    <cfRule type="containsText" dxfId="966" priority="3833" operator="containsText" text="EL">
      <formula>NOT(ISERROR(SEARCH("EL",BZ40)))</formula>
    </cfRule>
    <cfRule type="containsText" dxfId="965" priority="3838" operator="containsText" text="AL">
      <formula>NOT(ISERROR(SEARCH("AL",BZ40)))</formula>
    </cfRule>
    <cfRule type="containsText" dxfId="964" priority="3837" operator="containsText" text="SICK">
      <formula>NOT(ISERROR(SEARCH("SICK",BZ40)))</formula>
    </cfRule>
    <cfRule type="containsText" dxfId="963" priority="3835" operator="containsText" text="OFF">
      <formula>NOT(ISERROR(SEARCH("OFF",BZ40)))</formula>
    </cfRule>
    <cfRule type="containsText" dxfId="962" priority="3836" operator="containsText" text="AB">
      <formula>NOT(ISERROR(SEARCH("AB",BZ40)))</formula>
    </cfRule>
  </conditionalFormatting>
  <conditionalFormatting sqref="CB4:CD4">
    <cfRule type="containsText" dxfId="961" priority="3741" operator="containsText" text="SICK">
      <formula>NOT(ISERROR(SEARCH("SICK",CB4)))</formula>
    </cfRule>
    <cfRule type="containsText" dxfId="960" priority="3735" operator="containsText" text="SUS">
      <formula>NOT(ISERROR(SEARCH("SUS",CB4)))</formula>
    </cfRule>
    <cfRule type="containsText" dxfId="959" priority="3734" operator="containsText" text="NL">
      <formula>NOT(ISERROR(SEARCH("NL",CB4)))</formula>
    </cfRule>
    <cfRule type="containsText" dxfId="958" priority="3733" operator="containsText" text="SP">
      <formula>NOT(ISERROR(SEARCH("SP",CB4)))</formula>
    </cfRule>
    <cfRule type="containsText" dxfId="957" priority="3737" operator="containsText" text="EL">
      <formula>NOT(ISERROR(SEARCH("EL",CB4)))</formula>
    </cfRule>
    <cfRule type="containsText" dxfId="956" priority="3736" operator="containsText" text="FL">
      <formula>NOT(ISERROR(SEARCH("FL",CB4)))</formula>
    </cfRule>
    <cfRule type="containsText" dxfId="955" priority="3742" operator="containsText" text="AL">
      <formula>NOT(ISERROR(SEARCH("AL",CB4)))</formula>
    </cfRule>
    <cfRule type="containsText" dxfId="954" priority="3740" operator="containsText" text="AB">
      <formula>NOT(ISERROR(SEARCH("AB",CB4)))</formula>
    </cfRule>
    <cfRule type="containsText" dxfId="953" priority="3739" operator="containsText" text="OFF">
      <formula>NOT(ISERROR(SEARCH("OFF",CB4)))</formula>
    </cfRule>
    <cfRule type="containsText" dxfId="952" priority="3738" operator="containsText" text="MC">
      <formula>NOT(ISERROR(SEARCH("MC",CB4)))</formula>
    </cfRule>
  </conditionalFormatting>
  <conditionalFormatting sqref="CB40:CD40">
    <cfRule type="containsText" dxfId="951" priority="3751" operator="containsText" text="SICK">
      <formula>NOT(ISERROR(SEARCH("SICK",CB40)))</formula>
    </cfRule>
    <cfRule type="containsText" dxfId="950" priority="3743" operator="containsText" text="SP">
      <formula>NOT(ISERROR(SEARCH("SP",CB40)))</formula>
    </cfRule>
    <cfRule type="containsText" dxfId="949" priority="3744" operator="containsText" text="NL">
      <formula>NOT(ISERROR(SEARCH("NL",CB40)))</formula>
    </cfRule>
    <cfRule type="containsText" dxfId="948" priority="3745" operator="containsText" text="SUS">
      <formula>NOT(ISERROR(SEARCH("SUS",CB40)))</formula>
    </cfRule>
    <cfRule type="containsText" dxfId="947" priority="3746" operator="containsText" text="FL">
      <formula>NOT(ISERROR(SEARCH("FL",CB40)))</formula>
    </cfRule>
    <cfRule type="containsText" dxfId="946" priority="3747" operator="containsText" text="EL">
      <formula>NOT(ISERROR(SEARCH("EL",CB40)))</formula>
    </cfRule>
    <cfRule type="containsText" dxfId="945" priority="3748" operator="containsText" text="MC">
      <formula>NOT(ISERROR(SEARCH("MC",CB40)))</formula>
    </cfRule>
    <cfRule type="containsText" dxfId="944" priority="3752" operator="containsText" text="AL">
      <formula>NOT(ISERROR(SEARCH("AL",CB40)))</formula>
    </cfRule>
    <cfRule type="containsText" dxfId="943" priority="3750" operator="containsText" text="AB">
      <formula>NOT(ISERROR(SEARCH("AB",CB40)))</formula>
    </cfRule>
    <cfRule type="containsText" dxfId="942" priority="3749" operator="containsText" text="OFF">
      <formula>NOT(ISERROR(SEARCH("OFF",CB40)))</formula>
    </cfRule>
  </conditionalFormatting>
  <pageMargins left="0.7" right="0.7" top="0.75" bottom="0.75" header="0.3" footer="0.3"/>
  <pageSetup paperSize="9" scale="20" fitToHeight="0" orientation="landscape" r:id="rId1"/>
  <ignoredErrors>
    <ignoredError sqref="BT13:CD13" formula="1"/>
    <ignoredError sqref="BS15:CD16" formulaRange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0034-63CA-43B7-8FDB-A79E3009FC61}">
  <sheetPr>
    <pageSetUpPr fitToPage="1"/>
  </sheetPr>
  <dimension ref="A1:CC44"/>
  <sheetViews>
    <sheetView tabSelected="1" zoomScaleNormal="100" workbookViewId="0">
      <selection activeCell="I16" sqref="I16"/>
    </sheetView>
  </sheetViews>
  <sheetFormatPr defaultRowHeight="15" x14ac:dyDescent="0.25"/>
  <cols>
    <col min="1" max="1" width="5.140625" style="45" customWidth="1"/>
    <col min="2" max="2" width="12" style="15" customWidth="1"/>
    <col min="3" max="3" width="33.7109375" customWidth="1"/>
    <col min="4" max="4" width="10" hidden="1" customWidth="1"/>
    <col min="5" max="32" width="6.5703125" customWidth="1"/>
    <col min="33" max="34" width="6.28515625" customWidth="1"/>
    <col min="35" max="35" width="6.28515625" style="73" customWidth="1"/>
    <col min="36" max="36" width="6.28515625" style="57" hidden="1" customWidth="1"/>
    <col min="37" max="37" width="6.28515625" hidden="1" customWidth="1"/>
    <col min="38" max="38" width="10.28515625" customWidth="1"/>
    <col min="39" max="68" width="6.5703125" customWidth="1"/>
    <col min="69" max="69" width="5.85546875" style="15" customWidth="1"/>
    <col min="70" max="77" width="5" customWidth="1"/>
    <col min="78" max="78" width="5.85546875" customWidth="1"/>
    <col min="79" max="82" width="5" customWidth="1"/>
  </cols>
  <sheetData>
    <row r="1" spans="1:69" ht="15.75" x14ac:dyDescent="0.25"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33"/>
      <c r="Y1" s="33"/>
    </row>
    <row r="2" spans="1:69" ht="25.5" customHeight="1" x14ac:dyDescent="0.25">
      <c r="A2" s="255" t="s">
        <v>269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  <c r="AA2" s="256"/>
      <c r="AB2" s="256"/>
      <c r="AC2" s="256"/>
      <c r="AD2" s="256"/>
      <c r="AE2" s="256"/>
      <c r="AF2" s="256"/>
      <c r="AG2" s="256"/>
      <c r="AH2" s="257"/>
      <c r="AI2" s="106"/>
    </row>
    <row r="3" spans="1:69" ht="22.5" customHeight="1" x14ac:dyDescent="0.25">
      <c r="A3" s="249" t="s">
        <v>169</v>
      </c>
      <c r="B3" s="250"/>
      <c r="C3" s="251"/>
      <c r="D3" s="84"/>
      <c r="E3" s="240" t="s">
        <v>7</v>
      </c>
      <c r="F3" s="240"/>
      <c r="G3" s="240" t="s">
        <v>1</v>
      </c>
      <c r="H3" s="240"/>
      <c r="I3" s="240" t="s">
        <v>2</v>
      </c>
      <c r="J3" s="240"/>
      <c r="K3" s="240" t="s">
        <v>3</v>
      </c>
      <c r="L3" s="240"/>
      <c r="M3" s="240" t="s">
        <v>4</v>
      </c>
      <c r="N3" s="240"/>
      <c r="O3" s="240" t="s">
        <v>5</v>
      </c>
      <c r="P3" s="240"/>
      <c r="Q3" s="240" t="s">
        <v>6</v>
      </c>
      <c r="R3" s="240"/>
      <c r="S3" s="240" t="s">
        <v>7</v>
      </c>
      <c r="T3" s="240"/>
      <c r="U3" s="240" t="s">
        <v>1</v>
      </c>
      <c r="V3" s="240"/>
      <c r="W3" s="240" t="s">
        <v>2</v>
      </c>
      <c r="X3" s="240"/>
      <c r="Y3" s="240" t="s">
        <v>3</v>
      </c>
      <c r="Z3" s="240"/>
      <c r="AA3" s="240" t="s">
        <v>4</v>
      </c>
      <c r="AB3" s="240"/>
      <c r="AC3" s="240" t="s">
        <v>5</v>
      </c>
      <c r="AD3" s="240"/>
      <c r="AE3" s="240" t="s">
        <v>6</v>
      </c>
      <c r="AF3" s="240"/>
      <c r="AG3" s="240" t="s">
        <v>7</v>
      </c>
      <c r="AH3" s="240"/>
      <c r="AI3" s="106"/>
    </row>
    <row r="4" spans="1:69" ht="22.5" customHeight="1" x14ac:dyDescent="0.25">
      <c r="A4" s="252"/>
      <c r="B4" s="253"/>
      <c r="C4" s="254"/>
      <c r="D4" s="84"/>
      <c r="E4" s="242">
        <v>46266</v>
      </c>
      <c r="F4" s="242"/>
      <c r="G4" s="242">
        <v>46267</v>
      </c>
      <c r="H4" s="242"/>
      <c r="I4" s="242">
        <v>46268</v>
      </c>
      <c r="J4" s="242"/>
      <c r="K4" s="242">
        <v>46269</v>
      </c>
      <c r="L4" s="242"/>
      <c r="M4" s="242">
        <v>46270</v>
      </c>
      <c r="N4" s="242"/>
      <c r="O4" s="242">
        <v>46271</v>
      </c>
      <c r="P4" s="242"/>
      <c r="Q4" s="242">
        <v>46272</v>
      </c>
      <c r="R4" s="242"/>
      <c r="S4" s="242">
        <v>46273</v>
      </c>
      <c r="T4" s="242"/>
      <c r="U4" s="242">
        <v>46274</v>
      </c>
      <c r="V4" s="242"/>
      <c r="W4" s="242">
        <v>46275</v>
      </c>
      <c r="X4" s="242"/>
      <c r="Y4" s="242">
        <v>46276</v>
      </c>
      <c r="Z4" s="242"/>
      <c r="AA4" s="242">
        <v>46277</v>
      </c>
      <c r="AB4" s="242"/>
      <c r="AC4" s="242">
        <v>46278</v>
      </c>
      <c r="AD4" s="242"/>
      <c r="AE4" s="242">
        <v>46279</v>
      </c>
      <c r="AF4" s="242"/>
      <c r="AG4" s="242">
        <v>46280</v>
      </c>
      <c r="AH4" s="242"/>
      <c r="AI4" s="106"/>
    </row>
    <row r="5" spans="1:69" ht="20.25" customHeight="1" x14ac:dyDescent="0.25">
      <c r="A5" s="4" t="s">
        <v>10</v>
      </c>
      <c r="B5" s="4" t="s">
        <v>11</v>
      </c>
      <c r="C5" s="4" t="s">
        <v>12</v>
      </c>
      <c r="D5" s="13"/>
      <c r="E5" s="13" t="s">
        <v>13</v>
      </c>
      <c r="F5" s="13" t="s">
        <v>14</v>
      </c>
      <c r="G5" s="13" t="s">
        <v>13</v>
      </c>
      <c r="H5" s="13" t="s">
        <v>14</v>
      </c>
      <c r="I5" s="13" t="s">
        <v>13</v>
      </c>
      <c r="J5" s="13" t="s">
        <v>14</v>
      </c>
      <c r="K5" s="13" t="s">
        <v>13</v>
      </c>
      <c r="L5" s="13" t="s">
        <v>14</v>
      </c>
      <c r="M5" s="13" t="s">
        <v>13</v>
      </c>
      <c r="N5" s="13" t="s">
        <v>14</v>
      </c>
      <c r="O5" s="13" t="s">
        <v>13</v>
      </c>
      <c r="P5" s="13" t="s">
        <v>14</v>
      </c>
      <c r="Q5" s="13" t="s">
        <v>13</v>
      </c>
      <c r="R5" s="13" t="s">
        <v>14</v>
      </c>
      <c r="S5" s="13" t="s">
        <v>13</v>
      </c>
      <c r="T5" s="13" t="s">
        <v>14</v>
      </c>
      <c r="U5" s="13" t="s">
        <v>13</v>
      </c>
      <c r="V5" s="13" t="s">
        <v>14</v>
      </c>
      <c r="W5" s="13" t="s">
        <v>13</v>
      </c>
      <c r="X5" s="13" t="s">
        <v>14</v>
      </c>
      <c r="Y5" s="4" t="s">
        <v>13</v>
      </c>
      <c r="Z5" s="4" t="s">
        <v>14</v>
      </c>
      <c r="AA5" s="4" t="s">
        <v>13</v>
      </c>
      <c r="AB5" s="4" t="s">
        <v>14</v>
      </c>
      <c r="AC5" s="4" t="s">
        <v>13</v>
      </c>
      <c r="AD5" s="4" t="s">
        <v>14</v>
      </c>
      <c r="AE5" s="4" t="s">
        <v>13</v>
      </c>
      <c r="AF5" s="4" t="s">
        <v>14</v>
      </c>
      <c r="AG5" s="4" t="s">
        <v>13</v>
      </c>
      <c r="AH5" s="4" t="s">
        <v>14</v>
      </c>
      <c r="AI5" s="106"/>
    </row>
    <row r="6" spans="1:69" ht="21.75" customHeight="1" x14ac:dyDescent="0.25">
      <c r="A6" s="10">
        <v>1</v>
      </c>
      <c r="B6" s="11" t="s">
        <v>117</v>
      </c>
      <c r="C6" s="8" t="s">
        <v>118</v>
      </c>
      <c r="D6" s="85">
        <v>38713</v>
      </c>
      <c r="E6" s="124">
        <v>46266.344675925924</v>
      </c>
      <c r="F6" s="124">
        <v>46264.962442129632</v>
      </c>
      <c r="G6" s="124">
        <v>46267.347245370373</v>
      </c>
      <c r="H6" s="124">
        <v>46267.95039351852</v>
      </c>
      <c r="I6" s="124">
        <v>46268.337893518517</v>
      </c>
      <c r="J6" s="124">
        <v>46268.965949074074</v>
      </c>
      <c r="K6" s="178" t="s">
        <v>15</v>
      </c>
      <c r="L6" s="178" t="s">
        <v>15</v>
      </c>
      <c r="M6" s="124">
        <v>46270.348020833335</v>
      </c>
      <c r="N6" s="124">
        <v>46270.964780092596</v>
      </c>
      <c r="O6" s="124">
        <v>46271.342499999999</v>
      </c>
      <c r="P6" s="124">
        <v>46271.941851851851</v>
      </c>
      <c r="Q6" s="124">
        <v>46272.343842592592</v>
      </c>
      <c r="R6" s="124">
        <v>46272.941168981481</v>
      </c>
      <c r="S6" s="124">
        <v>46273.337291666663</v>
      </c>
      <c r="T6" s="124">
        <v>46273.946550925924</v>
      </c>
      <c r="U6" s="124">
        <v>46274.342881944445</v>
      </c>
      <c r="V6" s="124">
        <v>46274.947256944448</v>
      </c>
      <c r="W6" s="124">
        <v>46275.347372685188</v>
      </c>
      <c r="X6" s="124">
        <v>46275.941724537035</v>
      </c>
      <c r="Y6" s="124">
        <v>46276.580474537041</v>
      </c>
      <c r="Z6" s="124">
        <v>46276.940925925926</v>
      </c>
      <c r="AA6" s="124">
        <v>46277.338252314818</v>
      </c>
      <c r="AB6" s="124">
        <v>46277.959722222222</v>
      </c>
      <c r="AC6" s="124">
        <v>46278.351307870369</v>
      </c>
      <c r="AD6" s="124">
        <v>46278.944178240738</v>
      </c>
      <c r="AE6" s="124">
        <v>46279.347662037035</v>
      </c>
      <c r="AF6" s="124">
        <v>46279.945127314815</v>
      </c>
      <c r="AG6" s="124">
        <v>46280.339988425927</v>
      </c>
      <c r="AH6" s="124">
        <v>46280.939120370371</v>
      </c>
      <c r="AI6" s="106"/>
    </row>
    <row r="7" spans="1:69" ht="18.75" x14ac:dyDescent="0.25">
      <c r="AI7" s="106"/>
    </row>
    <row r="8" spans="1:69" ht="18.75" x14ac:dyDescent="0.25">
      <c r="AB8" s="240" t="s">
        <v>1</v>
      </c>
      <c r="AC8" s="240"/>
      <c r="AD8" s="240" t="s">
        <v>2</v>
      </c>
      <c r="AE8" s="240"/>
      <c r="AF8" s="240" t="s">
        <v>3</v>
      </c>
      <c r="AG8" s="240"/>
      <c r="AI8" s="106"/>
    </row>
    <row r="9" spans="1:69" ht="18.75" x14ac:dyDescent="0.25">
      <c r="E9" s="135" t="s">
        <v>245</v>
      </c>
      <c r="F9" s="276" t="s">
        <v>275</v>
      </c>
      <c r="G9" s="276"/>
      <c r="H9" s="276"/>
      <c r="I9" s="276"/>
      <c r="J9" s="276"/>
      <c r="K9" s="276"/>
      <c r="L9" s="276"/>
      <c r="M9" s="276"/>
      <c r="AB9" s="242">
        <v>46281</v>
      </c>
      <c r="AC9" s="242"/>
      <c r="AD9" s="242">
        <v>46282</v>
      </c>
      <c r="AE9" s="242"/>
      <c r="AF9" s="242">
        <v>46283</v>
      </c>
      <c r="AG9" s="242"/>
      <c r="AI9" s="106"/>
    </row>
    <row r="10" spans="1:69" ht="18.75" x14ac:dyDescent="0.25">
      <c r="F10" s="275" t="s">
        <v>276</v>
      </c>
      <c r="G10" s="275"/>
      <c r="H10" s="275"/>
      <c r="I10" s="275"/>
      <c r="J10" s="275"/>
      <c r="K10" s="275"/>
      <c r="L10" s="275"/>
      <c r="M10" s="275"/>
      <c r="N10" s="275"/>
      <c r="O10" s="275"/>
      <c r="AB10" s="4" t="s">
        <v>13</v>
      </c>
      <c r="AC10" s="4" t="s">
        <v>14</v>
      </c>
      <c r="AD10" s="4" t="s">
        <v>13</v>
      </c>
      <c r="AE10" s="4" t="s">
        <v>14</v>
      </c>
      <c r="AF10" s="4" t="s">
        <v>13</v>
      </c>
      <c r="AG10" s="4" t="s">
        <v>14</v>
      </c>
      <c r="AI10" s="106"/>
    </row>
    <row r="11" spans="1:69" ht="18.75" x14ac:dyDescent="0.25">
      <c r="E11" s="137" t="s">
        <v>280</v>
      </c>
      <c r="F11" t="s">
        <v>284</v>
      </c>
      <c r="J11" s="138"/>
      <c r="K11" s="151"/>
      <c r="L11" s="151"/>
      <c r="M11" s="151"/>
      <c r="N11" s="151"/>
      <c r="O11" s="151"/>
      <c r="AB11" s="182">
        <v>1</v>
      </c>
      <c r="AC11" s="182">
        <v>1</v>
      </c>
      <c r="AD11" s="182">
        <v>1</v>
      </c>
      <c r="AE11" s="182">
        <v>1</v>
      </c>
      <c r="AF11" s="182">
        <v>1</v>
      </c>
      <c r="AG11" s="182">
        <v>1</v>
      </c>
      <c r="AI11" s="106"/>
    </row>
    <row r="12" spans="1:69" x14ac:dyDescent="0.25">
      <c r="AF12" s="73"/>
      <c r="AG12" s="57"/>
      <c r="AI12"/>
      <c r="AJ12"/>
      <c r="BN12" s="15"/>
    </row>
    <row r="13" spans="1:69" ht="15" customHeight="1" x14ac:dyDescent="0.25">
      <c r="X13" s="266" t="s">
        <v>8</v>
      </c>
      <c r="Y13" s="247" t="s">
        <v>9</v>
      </c>
      <c r="Z13" s="133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BN13" s="15"/>
    </row>
    <row r="14" spans="1:69" x14ac:dyDescent="0.25">
      <c r="X14" s="267"/>
      <c r="Y14" s="248"/>
      <c r="Z14" s="61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BN14" s="15"/>
    </row>
    <row r="15" spans="1:69" x14ac:dyDescent="0.25">
      <c r="X15" s="267"/>
      <c r="Y15" s="132"/>
      <c r="Z15" s="58"/>
      <c r="AA15" s="91" t="s">
        <v>15</v>
      </c>
      <c r="AB15" s="90" t="s">
        <v>16</v>
      </c>
      <c r="AC15" s="90" t="s">
        <v>17</v>
      </c>
      <c r="AD15" s="88" t="s">
        <v>18</v>
      </c>
      <c r="AE15" s="90" t="s">
        <v>19</v>
      </c>
      <c r="AF15" s="90" t="s">
        <v>20</v>
      </c>
      <c r="AG15" s="74" t="s">
        <v>170</v>
      </c>
      <c r="AH15" s="59" t="s">
        <v>22</v>
      </c>
      <c r="AI15" s="76" t="s">
        <v>23</v>
      </c>
      <c r="AJ15" s="76" t="s">
        <v>24</v>
      </c>
      <c r="AK15" s="76" t="s">
        <v>25</v>
      </c>
      <c r="AL15" s="7" t="s">
        <v>26</v>
      </c>
      <c r="BN15" s="15"/>
    </row>
    <row r="16" spans="1:69" x14ac:dyDescent="0.25">
      <c r="X16" s="96">
        <v>17</v>
      </c>
      <c r="Y16" s="67">
        <v>2</v>
      </c>
      <c r="Z16" s="1">
        <v>18</v>
      </c>
      <c r="AA16" s="2">
        <f>COUNTIF(E6:BN6,"OFF")/2</f>
        <v>1</v>
      </c>
      <c r="AB16" s="2">
        <f>COUNTIF(E6:BN6,"MC")/2</f>
        <v>0</v>
      </c>
      <c r="AC16" s="2">
        <f>COUNTIF(E6:BN6,"EL")/2</f>
        <v>0</v>
      </c>
      <c r="AD16" s="2">
        <f>COUNTIF(E6:BN6,"AL")/2</f>
        <v>0</v>
      </c>
      <c r="AE16" s="2">
        <f>COUNTIF(E6:BN6,"SUS")/2</f>
        <v>0</v>
      </c>
      <c r="AF16" s="2">
        <f>COUNTIF(E6:BN6,"FL")/2</f>
        <v>0</v>
      </c>
      <c r="AG16" s="2">
        <f>COUNTIF(E6:BN6,"SICK")/2</f>
        <v>0</v>
      </c>
      <c r="AH16" s="2">
        <f>COUNTIF(E6:BN6,"HD")/2</f>
        <v>0</v>
      </c>
      <c r="AI16" s="2">
        <f>COUNTIF(E6:BN6,"AB")/2</f>
        <v>0</v>
      </c>
      <c r="AJ16" s="2">
        <f>COUNTIF(E6:BN6,"NL")/2</f>
        <v>0</v>
      </c>
      <c r="AK16" s="2">
        <f>COUNTIF(E6:BN6,"SP")/2</f>
        <v>0</v>
      </c>
      <c r="AL16" s="3"/>
      <c r="BN16" s="15"/>
      <c r="BQ16"/>
    </row>
    <row r="17" spans="6:81" x14ac:dyDescent="0.25">
      <c r="AF17" s="73"/>
      <c r="AG17" s="65"/>
      <c r="AI17"/>
      <c r="AJ17"/>
      <c r="AQ17" t="s">
        <v>64</v>
      </c>
      <c r="BN17" s="15"/>
      <c r="BQ17"/>
    </row>
    <row r="18" spans="6:81" x14ac:dyDescent="0.25">
      <c r="AJ18" s="65"/>
    </row>
    <row r="19" spans="6:81" x14ac:dyDescent="0.25">
      <c r="X19" s="140" t="s">
        <v>71</v>
      </c>
      <c r="Y19" s="141"/>
      <c r="Z19" s="142"/>
      <c r="AA19" s="143" t="s">
        <v>16</v>
      </c>
      <c r="AB19" s="144"/>
      <c r="AC19" s="145" t="s">
        <v>72</v>
      </c>
      <c r="AD19" s="141"/>
      <c r="AE19" s="146"/>
      <c r="AF19" s="141"/>
      <c r="AG19" s="147" t="s">
        <v>22</v>
      </c>
      <c r="AJ19" s="65"/>
    </row>
    <row r="20" spans="6:81" x14ac:dyDescent="0.25">
      <c r="X20" s="140" t="s">
        <v>73</v>
      </c>
      <c r="Y20" s="144"/>
      <c r="Z20" s="144"/>
      <c r="AA20" s="143" t="s">
        <v>17</v>
      </c>
      <c r="AB20" s="146"/>
      <c r="AC20" s="145" t="s">
        <v>74</v>
      </c>
      <c r="AD20" s="148"/>
      <c r="AE20" s="148"/>
      <c r="AF20" s="149"/>
      <c r="AG20" s="147" t="s">
        <v>23</v>
      </c>
      <c r="AJ20" s="65"/>
    </row>
    <row r="21" spans="6:81" x14ac:dyDescent="0.25">
      <c r="F21" s="151"/>
      <c r="G21" s="151"/>
      <c r="H21" s="151"/>
      <c r="I21" s="151"/>
      <c r="J21" s="151"/>
      <c r="K21" s="151"/>
      <c r="L21" s="151"/>
      <c r="M21" s="151"/>
      <c r="X21" s="140" t="s">
        <v>75</v>
      </c>
      <c r="Y21" s="144"/>
      <c r="Z21" s="144"/>
      <c r="AA21" s="143" t="s">
        <v>18</v>
      </c>
      <c r="AB21" s="146"/>
      <c r="AC21" s="140" t="s">
        <v>76</v>
      </c>
      <c r="AD21" s="150"/>
      <c r="AE21" s="150"/>
      <c r="AF21" s="149"/>
      <c r="AG21" s="147" t="s">
        <v>24</v>
      </c>
      <c r="AJ21" s="65"/>
    </row>
    <row r="22" spans="6:81" x14ac:dyDescent="0.25">
      <c r="F22" s="151"/>
      <c r="G22" s="151"/>
      <c r="H22" s="151"/>
      <c r="I22" s="151"/>
      <c r="J22" s="151"/>
      <c r="K22" s="151"/>
      <c r="L22" s="151"/>
      <c r="M22" s="151"/>
      <c r="X22" s="140" t="s">
        <v>77</v>
      </c>
      <c r="Y22" s="144"/>
      <c r="Z22" s="144"/>
      <c r="AA22" s="143" t="s">
        <v>19</v>
      </c>
      <c r="AB22" s="146"/>
      <c r="AC22" s="140" t="s">
        <v>78</v>
      </c>
      <c r="AD22" s="150"/>
      <c r="AE22" s="150"/>
      <c r="AF22" s="149"/>
      <c r="AG22" s="147" t="s">
        <v>25</v>
      </c>
      <c r="AJ22" s="65"/>
    </row>
    <row r="23" spans="6:81" x14ac:dyDescent="0.25">
      <c r="F23" s="151"/>
      <c r="G23" s="151"/>
      <c r="H23" s="151"/>
      <c r="I23" s="151"/>
      <c r="J23" s="151"/>
      <c r="K23" s="151"/>
      <c r="L23" s="151"/>
      <c r="M23" s="151"/>
      <c r="X23" s="140" t="s">
        <v>79</v>
      </c>
      <c r="Y23" s="144"/>
      <c r="Z23" s="144"/>
      <c r="AA23" s="143" t="s">
        <v>20</v>
      </c>
      <c r="AB23" s="146"/>
      <c r="AC23" s="146"/>
      <c r="AD23" s="146"/>
      <c r="AE23" s="146"/>
      <c r="AF23" s="146"/>
      <c r="AG23" s="146"/>
      <c r="AJ23" s="65"/>
    </row>
    <row r="24" spans="6:81" x14ac:dyDescent="0.25">
      <c r="F24" s="151"/>
      <c r="G24" s="151"/>
      <c r="H24" s="151"/>
      <c r="I24" s="151"/>
      <c r="J24" s="151"/>
      <c r="K24" s="151"/>
      <c r="L24" s="151"/>
      <c r="M24" s="151"/>
      <c r="AJ24" s="65"/>
    </row>
    <row r="25" spans="6:81" ht="15.75" x14ac:dyDescent="0.25">
      <c r="F25" s="151"/>
      <c r="G25" s="17" t="s">
        <v>62</v>
      </c>
      <c r="H25" s="18"/>
      <c r="I25" s="17"/>
      <c r="J25" s="19"/>
      <c r="M25" s="19"/>
      <c r="N25" s="20"/>
      <c r="O25" s="21"/>
      <c r="P25" s="21"/>
      <c r="Q25" s="22" t="s">
        <v>63</v>
      </c>
      <c r="R25" s="22"/>
      <c r="S25" s="20"/>
      <c r="T25" s="20"/>
      <c r="U25" s="20"/>
      <c r="V25" s="20"/>
      <c r="W25" s="20" t="s">
        <v>64</v>
      </c>
      <c r="X25" s="20"/>
      <c r="Y25" s="20"/>
      <c r="Z25" s="20"/>
      <c r="AA25" s="22" t="s">
        <v>65</v>
      </c>
      <c r="AB25" s="20"/>
      <c r="AJ25" s="65"/>
    </row>
    <row r="26" spans="6:81" ht="17.25" x14ac:dyDescent="0.25">
      <c r="F26" s="151"/>
      <c r="G26" s="19"/>
      <c r="H26" s="19"/>
      <c r="I26" s="19"/>
      <c r="J26" s="19"/>
      <c r="M26" s="19"/>
      <c r="N26" s="19"/>
      <c r="O26" s="24"/>
      <c r="P26" s="24"/>
      <c r="Q26" s="24"/>
      <c r="R26" s="19"/>
      <c r="S26" s="19"/>
      <c r="T26" s="19"/>
      <c r="U26" s="25"/>
      <c r="V26" s="25"/>
      <c r="W26" s="25"/>
      <c r="X26" s="25"/>
      <c r="Y26" s="25"/>
      <c r="Z26" s="25"/>
      <c r="AA26" s="26"/>
      <c r="AB26" s="26"/>
      <c r="AJ26" s="65"/>
    </row>
    <row r="27" spans="6:81" ht="17.25" x14ac:dyDescent="0.25">
      <c r="F27" s="151"/>
      <c r="G27" s="27"/>
      <c r="H27" s="19"/>
      <c r="I27" s="27"/>
      <c r="J27" s="19"/>
      <c r="M27" s="19"/>
      <c r="N27" s="27" t="s">
        <v>64</v>
      </c>
      <c r="O27" s="28"/>
      <c r="P27" s="28"/>
      <c r="Q27" s="24"/>
      <c r="R27" s="19"/>
      <c r="S27" s="27"/>
      <c r="T27" s="27"/>
      <c r="U27" s="20"/>
      <c r="V27" s="19"/>
      <c r="W27" s="19"/>
      <c r="X27" s="19"/>
      <c r="Y27" s="19"/>
      <c r="Z27" s="19"/>
      <c r="AA27" s="29"/>
      <c r="AB27" s="29"/>
      <c r="AJ27" s="65"/>
    </row>
    <row r="28" spans="6:81" ht="17.25" x14ac:dyDescent="0.25">
      <c r="G28" s="27"/>
      <c r="H28" s="19"/>
      <c r="I28" s="27"/>
      <c r="J28" s="19"/>
      <c r="M28" s="19"/>
      <c r="N28" s="27"/>
      <c r="O28" s="28"/>
      <c r="P28" s="28"/>
      <c r="Q28" s="24"/>
      <c r="R28" s="20"/>
      <c r="S28" s="27"/>
      <c r="T28" s="27"/>
      <c r="U28" s="20"/>
      <c r="V28" s="19"/>
      <c r="W28" s="19"/>
      <c r="X28" s="19"/>
      <c r="Y28" s="19"/>
      <c r="Z28" s="19"/>
      <c r="AA28" s="29"/>
      <c r="AB28" s="29"/>
      <c r="AJ28" s="65"/>
    </row>
    <row r="29" spans="6:81" ht="17.25" x14ac:dyDescent="0.25">
      <c r="G29" s="138"/>
      <c r="H29" s="139" t="s">
        <v>257</v>
      </c>
      <c r="I29" s="19"/>
      <c r="J29" s="19"/>
      <c r="M29" s="19"/>
      <c r="N29" s="27"/>
      <c r="O29" s="24"/>
      <c r="P29" s="28"/>
      <c r="Q29" s="18" t="s">
        <v>66</v>
      </c>
      <c r="R29" s="19"/>
      <c r="S29" s="27"/>
      <c r="T29" s="20"/>
      <c r="U29" s="19"/>
      <c r="V29" s="19"/>
      <c r="W29" s="19"/>
      <c r="X29" s="19"/>
      <c r="Y29" s="19"/>
      <c r="Z29" s="19"/>
      <c r="AA29" s="18" t="s">
        <v>67</v>
      </c>
      <c r="AB29" s="29"/>
    </row>
    <row r="30" spans="6:81" ht="17.25" x14ac:dyDescent="0.25">
      <c r="F30" s="16"/>
      <c r="G30" s="31" t="s">
        <v>68</v>
      </c>
      <c r="H30" s="30"/>
      <c r="I30" s="30"/>
      <c r="J30" s="19"/>
      <c r="M30" s="19"/>
      <c r="N30" s="18"/>
      <c r="O30" s="32"/>
      <c r="P30" s="32"/>
      <c r="Q30" s="18" t="s">
        <v>69</v>
      </c>
      <c r="R30" s="18"/>
      <c r="S30" s="18"/>
      <c r="T30" s="20"/>
      <c r="U30" s="18"/>
      <c r="V30" s="19"/>
      <c r="W30" s="19"/>
      <c r="X30" s="19"/>
      <c r="Y30" s="19"/>
      <c r="Z30" s="19"/>
      <c r="AA30" s="18" t="s">
        <v>70</v>
      </c>
      <c r="AB30" s="29"/>
    </row>
    <row r="31" spans="6:81" ht="15.75" x14ac:dyDescent="0.25">
      <c r="F31" s="23"/>
    </row>
    <row r="32" spans="6:81" ht="15.75" x14ac:dyDescent="0.25">
      <c r="F32" s="23"/>
      <c r="BT32" s="37"/>
      <c r="BU32" s="37"/>
      <c r="BV32" s="37"/>
      <c r="BW32" s="37"/>
      <c r="BX32" s="37"/>
      <c r="BY32" s="37"/>
      <c r="BZ32" s="37"/>
      <c r="CA32" s="37"/>
      <c r="CB32" s="37"/>
      <c r="CC32" s="37"/>
    </row>
    <row r="33" spans="5:35" ht="15.75" x14ac:dyDescent="0.25">
      <c r="F33" s="30"/>
    </row>
    <row r="34" spans="5:35" ht="15.75" x14ac:dyDescent="0.25">
      <c r="F34" s="31"/>
    </row>
    <row r="35" spans="5:35" ht="15.75" x14ac:dyDescent="0.25">
      <c r="F35" s="31"/>
    </row>
    <row r="41" spans="5:35" x14ac:dyDescent="0.25">
      <c r="E41" s="123"/>
      <c r="F41" s="240" t="s">
        <v>5</v>
      </c>
      <c r="G41" s="241"/>
      <c r="H41" s="240" t="s">
        <v>6</v>
      </c>
      <c r="I41" s="241"/>
      <c r="J41" s="240" t="s">
        <v>7</v>
      </c>
      <c r="K41" s="241"/>
      <c r="L41" s="240" t="s">
        <v>1</v>
      </c>
      <c r="M41" s="241"/>
      <c r="N41" s="240" t="s">
        <v>2</v>
      </c>
      <c r="O41" s="241"/>
      <c r="P41" s="240" t="s">
        <v>3</v>
      </c>
      <c r="Q41" s="241"/>
      <c r="R41" s="240" t="s">
        <v>4</v>
      </c>
      <c r="S41" s="241"/>
      <c r="T41" s="240" t="s">
        <v>5</v>
      </c>
      <c r="U41" s="241"/>
      <c r="V41" s="240" t="s">
        <v>6</v>
      </c>
      <c r="W41" s="241"/>
      <c r="X41" s="240" t="s">
        <v>7</v>
      </c>
      <c r="Y41" s="241"/>
      <c r="Z41" s="240" t="s">
        <v>1</v>
      </c>
      <c r="AA41" s="241"/>
      <c r="AB41" s="240" t="s">
        <v>2</v>
      </c>
      <c r="AC41" s="241"/>
      <c r="AD41" s="240" t="s">
        <v>3</v>
      </c>
      <c r="AE41" s="241"/>
      <c r="AF41" s="240" t="s">
        <v>4</v>
      </c>
      <c r="AG41" s="241"/>
      <c r="AH41" s="240" t="s">
        <v>5</v>
      </c>
      <c r="AI41" s="241"/>
    </row>
    <row r="42" spans="5:35" x14ac:dyDescent="0.25">
      <c r="E42" s="100"/>
      <c r="F42" s="242">
        <v>46281</v>
      </c>
      <c r="G42" s="244"/>
      <c r="H42" s="242">
        <v>46282</v>
      </c>
      <c r="I42" s="244"/>
      <c r="J42" s="242">
        <v>46283</v>
      </c>
      <c r="K42" s="244"/>
      <c r="L42" s="242">
        <v>46284</v>
      </c>
      <c r="M42" s="244"/>
      <c r="N42" s="242">
        <v>46285</v>
      </c>
      <c r="O42" s="244"/>
      <c r="P42" s="242">
        <v>46286</v>
      </c>
      <c r="Q42" s="244"/>
      <c r="R42" s="242">
        <v>46287</v>
      </c>
      <c r="S42" s="244"/>
      <c r="T42" s="242">
        <v>46288</v>
      </c>
      <c r="U42" s="244"/>
      <c r="V42" s="242">
        <v>46289</v>
      </c>
      <c r="W42" s="244"/>
      <c r="X42" s="242">
        <v>46290</v>
      </c>
      <c r="Y42" s="244"/>
      <c r="Z42" s="242">
        <v>46291</v>
      </c>
      <c r="AA42" s="244"/>
      <c r="AB42" s="242">
        <v>46292</v>
      </c>
      <c r="AC42" s="244"/>
      <c r="AD42" s="242">
        <v>46293</v>
      </c>
      <c r="AE42" s="244"/>
      <c r="AF42" s="242">
        <v>46294</v>
      </c>
      <c r="AG42" s="244"/>
      <c r="AH42" s="242">
        <v>46295</v>
      </c>
      <c r="AI42" s="244"/>
    </row>
    <row r="43" spans="5:35" x14ac:dyDescent="0.25">
      <c r="E43" s="4"/>
      <c r="F43" s="4" t="s">
        <v>13</v>
      </c>
      <c r="G43" s="4" t="s">
        <v>14</v>
      </c>
      <c r="H43" s="4" t="s">
        <v>13</v>
      </c>
      <c r="I43" s="4" t="s">
        <v>14</v>
      </c>
      <c r="J43" s="4" t="s">
        <v>13</v>
      </c>
      <c r="K43" s="4" t="s">
        <v>14</v>
      </c>
      <c r="L43" s="4" t="s">
        <v>13</v>
      </c>
      <c r="M43" s="4" t="s">
        <v>14</v>
      </c>
      <c r="N43" s="4" t="s">
        <v>13</v>
      </c>
      <c r="O43" s="4" t="s">
        <v>14</v>
      </c>
      <c r="P43" s="13" t="s">
        <v>13</v>
      </c>
      <c r="Q43" s="13" t="s">
        <v>14</v>
      </c>
      <c r="R43" s="13" t="s">
        <v>13</v>
      </c>
      <c r="S43" s="13" t="s">
        <v>14</v>
      </c>
      <c r="T43" s="13" t="s">
        <v>13</v>
      </c>
      <c r="U43" s="13" t="s">
        <v>14</v>
      </c>
      <c r="V43" s="13" t="s">
        <v>13</v>
      </c>
      <c r="W43" s="13" t="s">
        <v>14</v>
      </c>
      <c r="X43" s="13" t="s">
        <v>13</v>
      </c>
      <c r="Y43" s="13" t="s">
        <v>14</v>
      </c>
      <c r="Z43" s="4" t="s">
        <v>13</v>
      </c>
      <c r="AA43" s="4" t="s">
        <v>14</v>
      </c>
      <c r="AB43" s="4" t="s">
        <v>13</v>
      </c>
      <c r="AC43" s="4" t="s">
        <v>14</v>
      </c>
      <c r="AD43" s="4" t="s">
        <v>13</v>
      </c>
      <c r="AE43" s="4" t="s">
        <v>14</v>
      </c>
      <c r="AF43" s="4" t="s">
        <v>13</v>
      </c>
      <c r="AG43" s="4" t="s">
        <v>14</v>
      </c>
      <c r="AH43" s="4" t="s">
        <v>13</v>
      </c>
      <c r="AI43" s="4" t="s">
        <v>14</v>
      </c>
    </row>
    <row r="44" spans="5:35" x14ac:dyDescent="0.25">
      <c r="E44" s="44">
        <v>1</v>
      </c>
      <c r="F44" s="124">
        <v>46250.347905092596</v>
      </c>
      <c r="G44" s="124">
        <v>46250.973101851851</v>
      </c>
      <c r="H44" s="131">
        <v>46251.345891203702</v>
      </c>
      <c r="I44" s="124">
        <v>46251.971030092594</v>
      </c>
      <c r="J44" s="124">
        <v>46252.346273148149</v>
      </c>
      <c r="K44" s="124">
        <v>46252.969131944446</v>
      </c>
      <c r="L44" s="124">
        <v>46253.351967592593</v>
      </c>
      <c r="M44" s="124">
        <v>1</v>
      </c>
      <c r="N44" s="124">
        <v>46254.342499999999</v>
      </c>
      <c r="O44" s="124">
        <v>46254.989374999997</v>
      </c>
      <c r="P44" s="126" t="s">
        <v>15</v>
      </c>
      <c r="Q44" s="126" t="s">
        <v>15</v>
      </c>
      <c r="R44" s="124">
        <v>46256.350752314815</v>
      </c>
      <c r="S44" s="124">
        <v>46256.987256944441</v>
      </c>
      <c r="T44" s="124">
        <v>46257.347453703704</v>
      </c>
      <c r="U44" s="124">
        <v>46257.967719907407</v>
      </c>
      <c r="V44" s="124">
        <v>46258.344155092593</v>
      </c>
      <c r="W44" s="124">
        <v>46258.964699074073</v>
      </c>
      <c r="X44" s="124">
        <v>46259.347719907404</v>
      </c>
      <c r="Y44" s="124">
        <v>46259.990902777776</v>
      </c>
      <c r="Z44" s="124">
        <v>46260.346608796295</v>
      </c>
      <c r="AA44" s="124">
        <v>46260.979363425926</v>
      </c>
      <c r="AB44" s="124">
        <v>46261.34716435185</v>
      </c>
      <c r="AC44" s="124">
        <v>46261.987210648149</v>
      </c>
      <c r="AD44" s="124">
        <v>46262.579305555555</v>
      </c>
      <c r="AE44" s="124">
        <v>46262.981481481482</v>
      </c>
      <c r="AF44" s="124">
        <v>46263.34957175926</v>
      </c>
      <c r="AG44" s="124">
        <v>46263.984039351853</v>
      </c>
      <c r="AH44" s="124">
        <v>46264.338113425925</v>
      </c>
      <c r="AI44" s="12">
        <v>1</v>
      </c>
    </row>
  </sheetData>
  <mergeCells count="72">
    <mergeCell ref="AF9:AG9"/>
    <mergeCell ref="Z42:AA42"/>
    <mergeCell ref="AH42:AI42"/>
    <mergeCell ref="L42:M42"/>
    <mergeCell ref="R42:S42"/>
    <mergeCell ref="T42:U42"/>
    <mergeCell ref="V42:W42"/>
    <mergeCell ref="X42:Y42"/>
    <mergeCell ref="N42:O42"/>
    <mergeCell ref="P42:Q42"/>
    <mergeCell ref="X41:Y41"/>
    <mergeCell ref="Y13:Y14"/>
    <mergeCell ref="R41:S41"/>
    <mergeCell ref="T41:U41"/>
    <mergeCell ref="V41:W41"/>
    <mergeCell ref="F9:M9"/>
    <mergeCell ref="Y4:Z4"/>
    <mergeCell ref="AA4:AB4"/>
    <mergeCell ref="F42:G42"/>
    <mergeCell ref="H42:I42"/>
    <mergeCell ref="J42:K42"/>
    <mergeCell ref="X13:X15"/>
    <mergeCell ref="Z41:AA41"/>
    <mergeCell ref="AB41:AC41"/>
    <mergeCell ref="F10:O10"/>
    <mergeCell ref="P41:Q41"/>
    <mergeCell ref="F41:G41"/>
    <mergeCell ref="H41:I41"/>
    <mergeCell ref="J41:K41"/>
    <mergeCell ref="L41:M41"/>
    <mergeCell ref="N41:O41"/>
    <mergeCell ref="E4:F4"/>
    <mergeCell ref="Q4:R4"/>
    <mergeCell ref="S4:T4"/>
    <mergeCell ref="U4:V4"/>
    <mergeCell ref="W4:X4"/>
    <mergeCell ref="G4:H4"/>
    <mergeCell ref="I4:J4"/>
    <mergeCell ref="K4:L4"/>
    <mergeCell ref="M4:N4"/>
    <mergeCell ref="AH41:AI41"/>
    <mergeCell ref="AC3:AD3"/>
    <mergeCell ref="AG4:AH4"/>
    <mergeCell ref="AG3:AH3"/>
    <mergeCell ref="AB42:AC42"/>
    <mergeCell ref="AD42:AE42"/>
    <mergeCell ref="AF42:AG42"/>
    <mergeCell ref="AF41:AG41"/>
    <mergeCell ref="AE4:AF4"/>
    <mergeCell ref="AC4:AD4"/>
    <mergeCell ref="AD41:AE41"/>
    <mergeCell ref="AB8:AC8"/>
    <mergeCell ref="AD8:AE8"/>
    <mergeCell ref="AF8:AG8"/>
    <mergeCell ref="AB9:AC9"/>
    <mergeCell ref="AD9:AE9"/>
    <mergeCell ref="A2:AH2"/>
    <mergeCell ref="A3:C4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E3:AF3"/>
    <mergeCell ref="O4:P4"/>
  </mergeCells>
  <phoneticPr fontId="11" type="noConversion"/>
  <conditionalFormatting sqref="A5:AH5 A6 X13:X16 E43:AI43">
    <cfRule type="containsText" dxfId="941" priority="42" stopIfTrue="1" operator="containsText" text="SICK">
      <formula>NOT(ISERROR(SEARCH("SICK",A5)))</formula>
    </cfRule>
    <cfRule type="containsText" dxfId="940" priority="41" stopIfTrue="1" operator="containsText" text="FL">
      <formula>NOT(ISERROR(SEARCH("FL",A5)))</formula>
    </cfRule>
    <cfRule type="containsText" dxfId="939" priority="40" stopIfTrue="1" operator="containsText" text="AB">
      <formula>NOT(ISERROR(SEARCH("AB",A5)))</formula>
    </cfRule>
    <cfRule type="containsText" dxfId="938" priority="39" stopIfTrue="1" operator="containsText" text="EL">
      <formula>NOT(ISERROR(SEARCH("EL",A5)))</formula>
    </cfRule>
    <cfRule type="containsText" dxfId="937" priority="38" stopIfTrue="1" operator="containsText" text="AL">
      <formula>NOT(ISERROR(SEARCH("AL",A5)))</formula>
    </cfRule>
    <cfRule type="containsText" dxfId="936" priority="37" stopIfTrue="1" operator="containsText" text="SP">
      <formula>NOT(ISERROR(SEARCH("SP",A5)))</formula>
    </cfRule>
  </conditionalFormatting>
  <conditionalFormatting sqref="A1:BQ1 A2:AI2 A3:D4 AI3:AI11 E41:E42">
    <cfRule type="containsText" dxfId="935" priority="313" stopIfTrue="1" operator="containsText" text="SICK">
      <formula>NOT(ISERROR(SEARCH("SICK",A1)))</formula>
    </cfRule>
    <cfRule type="containsText" dxfId="934" priority="308" stopIfTrue="1" operator="containsText" text="SP">
      <formula>NOT(ISERROR(SEARCH("SP",A1)))</formula>
    </cfRule>
    <cfRule type="containsText" dxfId="933" priority="309" stopIfTrue="1" operator="containsText" text="AL">
      <formula>NOT(ISERROR(SEARCH("AL",A1)))</formula>
    </cfRule>
    <cfRule type="containsText" dxfId="932" priority="310" stopIfTrue="1" operator="containsText" text="EL">
      <formula>NOT(ISERROR(SEARCH("EL",A1)))</formula>
    </cfRule>
    <cfRule type="containsText" dxfId="931" priority="312" stopIfTrue="1" operator="containsText" text="FL">
      <formula>NOT(ISERROR(SEARCH("FL",A1)))</formula>
    </cfRule>
    <cfRule type="containsText" dxfId="930" priority="311" stopIfTrue="1" operator="containsText" text="AB">
      <formula>NOT(ISERROR(SEARCH("AB",A1)))</formula>
    </cfRule>
  </conditionalFormatting>
  <conditionalFormatting sqref="C6">
    <cfRule type="duplicateValues" dxfId="929" priority="46"/>
    <cfRule type="duplicateValues" dxfId="928" priority="45"/>
    <cfRule type="duplicateValues" dxfId="927" priority="44"/>
  </conditionalFormatting>
  <conditionalFormatting sqref="C29:C31">
    <cfRule type="duplicateValues" dxfId="926" priority="14253"/>
  </conditionalFormatting>
  <conditionalFormatting sqref="C29:C36">
    <cfRule type="duplicateValues" dxfId="925" priority="14250"/>
  </conditionalFormatting>
  <conditionalFormatting sqref="C29:C1048576 C1:C5 C7:C11">
    <cfRule type="duplicateValues" dxfId="924" priority="15280"/>
  </conditionalFormatting>
  <conditionalFormatting sqref="C29:C1048576 C1:C5">
    <cfRule type="duplicateValues" dxfId="923" priority="14259"/>
  </conditionalFormatting>
  <conditionalFormatting sqref="C6:D6">
    <cfRule type="duplicateValues" dxfId="922" priority="43"/>
  </conditionalFormatting>
  <conditionalFormatting sqref="C29:D1048576 C1:D5 C7:D11">
    <cfRule type="duplicateValues" dxfId="921" priority="15285"/>
  </conditionalFormatting>
  <conditionalFormatting sqref="D6">
    <cfRule type="timePeriod" dxfId="920" priority="36" timePeriod="nextWeek">
      <formula>AND(ROUNDDOWN(D6,0)-TODAY()&gt;(7-WEEKDAY(TODAY())),ROUNDDOWN(D6,0)-TODAY()&lt;(15-WEEKDAY(TODAY())))</formula>
    </cfRule>
    <cfRule type="timePeriod" priority="35" timePeriod="nextWeek">
      <formula>AND(ROUNDDOWN(D6,0)-TODAY()&gt;(7-WEEKDAY(TODAY())),ROUNDDOWN(D6,0)-TODAY()&lt;(15-WEEKDAY(TODAY())))</formula>
    </cfRule>
  </conditionalFormatting>
  <conditionalFormatting sqref="E44">
    <cfRule type="containsText" dxfId="919" priority="25" operator="containsText" text="EL">
      <formula>NOT(ISERROR(SEARCH("EL",E44)))</formula>
    </cfRule>
    <cfRule type="containsText" dxfId="918" priority="31" operator="containsText" text="AB">
      <formula>NOT(ISERROR(SEARCH("AB",E44)))</formula>
    </cfRule>
    <cfRule type="containsText" dxfId="917" priority="26" operator="containsText" text="SP">
      <formula>NOT(ISERROR(SEARCH("SP",E44)))</formula>
    </cfRule>
    <cfRule type="containsText" dxfId="916" priority="27" operator="containsText" text="NL">
      <formula>NOT(ISERROR(SEARCH("NL",E44)))</formula>
    </cfRule>
    <cfRule type="containsText" dxfId="915" priority="28" operator="containsText" text="SUS">
      <formula>NOT(ISERROR(SEARCH("SUS",E44)))</formula>
    </cfRule>
    <cfRule type="containsText" dxfId="914" priority="29" operator="containsText" text="FL">
      <formula>NOT(ISERROR(SEARCH("FL",E44)))</formula>
    </cfRule>
    <cfRule type="containsText" dxfId="913" priority="30" operator="containsText" text="MC">
      <formula>NOT(ISERROR(SEARCH("MC",E44)))</formula>
    </cfRule>
    <cfRule type="containsText" dxfId="912" priority="32" operator="containsText" text="Sick">
      <formula>NOT(ISERROR(SEARCH("Sick",E44)))</formula>
    </cfRule>
    <cfRule type="containsText" dxfId="911" priority="34" operator="containsText" text="AL">
      <formula>NOT(ISERROR(SEARCH("AL",E44)))</formula>
    </cfRule>
    <cfRule type="containsText" dxfId="910" priority="33" operator="containsText" text="OFF">
      <formula>NOT(ISERROR(SEARCH("OFF",E44)))</formula>
    </cfRule>
  </conditionalFormatting>
  <conditionalFormatting sqref="K6:L6">
    <cfRule type="containsText" dxfId="909" priority="15" operator="containsText" text="AL">
      <formula>NOT(ISERROR(SEARCH("AL",K6)))</formula>
    </cfRule>
    <cfRule type="containsText" dxfId="908" priority="14" operator="containsText" text="OFF">
      <formula>NOT(ISERROR(SEARCH("OFF",K6)))</formula>
    </cfRule>
    <cfRule type="containsText" dxfId="907" priority="13" operator="containsText" text="Sick">
      <formula>NOT(ISERROR(SEARCH("Sick",K6)))</formula>
    </cfRule>
    <cfRule type="containsText" dxfId="906" priority="7" operator="containsText" text="EL">
      <formula>NOT(ISERROR(SEARCH("EL",K6)))</formula>
    </cfRule>
    <cfRule type="containsText" dxfId="905" priority="12" operator="containsText" text="AB">
      <formula>NOT(ISERROR(SEARCH("AB",K6)))</formula>
    </cfRule>
    <cfRule type="containsText" dxfId="904" priority="11" operator="containsText" text="MC">
      <formula>NOT(ISERROR(SEARCH("MC",K6)))</formula>
    </cfRule>
    <cfRule type="containsText" dxfId="903" priority="10" operator="containsText" text="FL">
      <formula>NOT(ISERROR(SEARCH("FL",K6)))</formula>
    </cfRule>
    <cfRule type="containsText" dxfId="902" priority="9" operator="containsText" text="SUS">
      <formula>NOT(ISERROR(SEARCH("SUS",K6)))</formula>
    </cfRule>
    <cfRule type="containsText" dxfId="901" priority="8" operator="containsText" text="AB">
      <formula>NOT(ISERROR(SEARCH("AB",K6)))</formula>
    </cfRule>
  </conditionalFormatting>
  <conditionalFormatting sqref="M25:AB28">
    <cfRule type="containsText" dxfId="900" priority="318" stopIfTrue="1" operator="containsText" text="SICK">
      <formula>NOT(ISERROR(SEARCH("SICK",M25)))</formula>
    </cfRule>
    <cfRule type="containsText" dxfId="899" priority="316" stopIfTrue="1" operator="containsText" text="SP">
      <formula>NOT(ISERROR(SEARCH("SP",M25)))</formula>
    </cfRule>
    <cfRule type="containsText" priority="317" stopIfTrue="1" operator="containsText" text="SP">
      <formula>NOT(ISERROR(SEARCH("SP",M25)))</formula>
    </cfRule>
    <cfRule type="containsText" dxfId="898" priority="315" stopIfTrue="1" operator="containsText" text="SICK">
      <formula>NOT(ISERROR(SEARCH("SICK",M25)))</formula>
    </cfRule>
    <cfRule type="containsText" dxfId="897" priority="314" stopIfTrue="1" operator="containsText" text="AB">
      <formula>NOT(ISERROR(SEARCH("AB",M25)))</formula>
    </cfRule>
  </conditionalFormatting>
  <conditionalFormatting sqref="Y13">
    <cfRule type="cellIs" dxfId="896" priority="328" operator="equal">
      <formula>";"</formula>
    </cfRule>
  </conditionalFormatting>
  <conditionalFormatting sqref="Y16">
    <cfRule type="cellIs" dxfId="895" priority="329" stopIfTrue="1" operator="equal">
      <formula>";"</formula>
    </cfRule>
  </conditionalFormatting>
  <conditionalFormatting sqref="Z44:AA44">
    <cfRule type="containsText" dxfId="894" priority="21" operator="containsText" text="AB">
      <formula>NOT(ISERROR(SEARCH("AB",Z44)))</formula>
    </cfRule>
    <cfRule type="containsText" dxfId="893" priority="22" operator="containsText" text="Sick">
      <formula>NOT(ISERROR(SEARCH("Sick",Z44)))</formula>
    </cfRule>
    <cfRule type="containsText" dxfId="892" priority="23" operator="containsText" text="OFF">
      <formula>NOT(ISERROR(SEARCH("OFF",Z44)))</formula>
    </cfRule>
    <cfRule type="containsText" dxfId="891" priority="24" operator="containsText" text="AL">
      <formula>NOT(ISERROR(SEARCH("AL",Z44)))</formula>
    </cfRule>
    <cfRule type="containsText" dxfId="890" priority="17" operator="containsText" text="AB">
      <formula>NOT(ISERROR(SEARCH("AB",Z44)))</formula>
    </cfRule>
    <cfRule type="containsText" dxfId="889" priority="16" operator="containsText" text="EL">
      <formula>NOT(ISERROR(SEARCH("EL",Z44)))</formula>
    </cfRule>
    <cfRule type="containsText" dxfId="888" priority="18" operator="containsText" text="SUS">
      <formula>NOT(ISERROR(SEARCH("SUS",Z44)))</formula>
    </cfRule>
    <cfRule type="containsText" dxfId="887" priority="19" operator="containsText" text="FL">
      <formula>NOT(ISERROR(SEARCH("FL",Z44)))</formula>
    </cfRule>
    <cfRule type="containsText" dxfId="886" priority="20" operator="containsText" text="MC">
      <formula>NOT(ISERROR(SEARCH("MC",Z44)))</formula>
    </cfRule>
  </conditionalFormatting>
  <conditionalFormatting sqref="AA15">
    <cfRule type="containsText" dxfId="885" priority="269" operator="containsText" text="FL">
      <formula>NOT(ISERROR(SEARCH("FL",AA15)))</formula>
    </cfRule>
    <cfRule type="containsText" dxfId="884" priority="268" operator="containsText" text="SUS">
      <formula>NOT(ISERROR(SEARCH("SUS",AA15)))</formula>
    </cfRule>
    <cfRule type="containsText" dxfId="883" priority="273" operator="containsText" text="OFF">
      <formula>NOT(ISERROR(SEARCH("OFF",AA15)))</formula>
    </cfRule>
    <cfRule type="containsText" dxfId="882" priority="274" operator="containsText" text="AL">
      <formula>NOT(ISERROR(SEARCH("AL",AA15)))</formula>
    </cfRule>
    <cfRule type="containsText" dxfId="881" priority="272" operator="containsText" text="Sick">
      <formula>NOT(ISERROR(SEARCH("Sick",AA15)))</formula>
    </cfRule>
    <cfRule type="containsText" dxfId="880" priority="271" operator="containsText" text="AB">
      <formula>NOT(ISERROR(SEARCH("AB",AA15)))</formula>
    </cfRule>
    <cfRule type="containsText" dxfId="879" priority="270" operator="containsText" text="MC">
      <formula>NOT(ISERROR(SEARCH("MC",AA15)))</formula>
    </cfRule>
  </conditionalFormatting>
  <conditionalFormatting sqref="AA15:AB15">
    <cfRule type="containsText" dxfId="878" priority="229" operator="containsText" text="AB">
      <formula>NOT(ISERROR(SEARCH("AB",AA15)))</formula>
    </cfRule>
  </conditionalFormatting>
  <conditionalFormatting sqref="AA15:AF15">
    <cfRule type="containsText" dxfId="877" priority="217" operator="containsText" text="EL">
      <formula>NOT(ISERROR(SEARCH("EL",AA15)))</formula>
    </cfRule>
  </conditionalFormatting>
  <conditionalFormatting sqref="AB15">
    <cfRule type="containsText" dxfId="876" priority="231" operator="containsText" text="OFF">
      <formula>NOT(ISERROR(SEARCH("OFF",AB15)))</formula>
    </cfRule>
    <cfRule type="containsText" dxfId="875" priority="226" operator="containsText" text="SUS">
      <formula>NOT(ISERROR(SEARCH("SUS",AB15)))</formula>
    </cfRule>
    <cfRule type="containsText" dxfId="874" priority="227" operator="containsText" text="FL">
      <formula>NOT(ISERROR(SEARCH("FL",AB15)))</formula>
    </cfRule>
    <cfRule type="containsText" dxfId="873" priority="228" operator="containsText" text="MC">
      <formula>NOT(ISERROR(SEARCH("MC",AB15)))</formula>
    </cfRule>
    <cfRule type="containsText" dxfId="872" priority="230" operator="containsText" text="Sick">
      <formula>NOT(ISERROR(SEARCH("Sick",AB15)))</formula>
    </cfRule>
    <cfRule type="containsText" dxfId="871" priority="232" operator="containsText" text="AL">
      <formula>NOT(ISERROR(SEARCH("AL",AB15)))</formula>
    </cfRule>
  </conditionalFormatting>
  <conditionalFormatting sqref="AB15:AC15">
    <cfRule type="containsText" dxfId="870" priority="222" operator="containsText" text="AB">
      <formula>NOT(ISERROR(SEARCH("AB",AB15)))</formula>
    </cfRule>
  </conditionalFormatting>
  <conditionalFormatting sqref="AB10:AG10">
    <cfRule type="containsText" dxfId="869" priority="2" stopIfTrue="1" operator="containsText" text="AL">
      <formula>NOT(ISERROR(SEARCH("AL",AB10)))</formula>
    </cfRule>
    <cfRule type="containsText" dxfId="868" priority="3" stopIfTrue="1" operator="containsText" text="EL">
      <formula>NOT(ISERROR(SEARCH("EL",AB10)))</formula>
    </cfRule>
    <cfRule type="containsText" dxfId="867" priority="4" stopIfTrue="1" operator="containsText" text="AB">
      <formula>NOT(ISERROR(SEARCH("AB",AB10)))</formula>
    </cfRule>
    <cfRule type="containsText" dxfId="866" priority="5" stopIfTrue="1" operator="containsText" text="FL">
      <formula>NOT(ISERROR(SEARCH("FL",AB10)))</formula>
    </cfRule>
    <cfRule type="containsText" dxfId="865" priority="6" stopIfTrue="1" operator="containsText" text="SICK">
      <formula>NOT(ISERROR(SEARCH("SICK",AB10)))</formula>
    </cfRule>
    <cfRule type="containsText" dxfId="864" priority="1" stopIfTrue="1" operator="containsText" text="SP">
      <formula>NOT(ISERROR(SEARCH("SP",AB10)))</formula>
    </cfRule>
  </conditionalFormatting>
  <conditionalFormatting sqref="AC15">
    <cfRule type="containsText" dxfId="863" priority="218" operator="containsText" text="AB">
      <formula>NOT(ISERROR(SEARCH("AB",AC15)))</formula>
    </cfRule>
    <cfRule type="containsText" dxfId="862" priority="219" operator="containsText" text="SUS">
      <formula>NOT(ISERROR(SEARCH("SUS",AC15)))</formula>
    </cfRule>
    <cfRule type="containsText" dxfId="861" priority="225" operator="containsText" text="AL">
      <formula>NOT(ISERROR(SEARCH("AL",AC15)))</formula>
    </cfRule>
    <cfRule type="containsText" dxfId="860" priority="224" operator="containsText" text="OFF">
      <formula>NOT(ISERROR(SEARCH("OFF",AC15)))</formula>
    </cfRule>
    <cfRule type="containsText" dxfId="859" priority="223" operator="containsText" text="Sick">
      <formula>NOT(ISERROR(SEARCH("Sick",AC15)))</formula>
    </cfRule>
    <cfRule type="containsText" dxfId="858" priority="221" operator="containsText" text="MC">
      <formula>NOT(ISERROR(SEARCH("MC",AC15)))</formula>
    </cfRule>
    <cfRule type="containsText" dxfId="857" priority="220" operator="containsText" text="FL">
      <formula>NOT(ISERROR(SEARCH("FL",AC15)))</formula>
    </cfRule>
  </conditionalFormatting>
  <conditionalFormatting sqref="AD15">
    <cfRule type="containsText" dxfId="856" priority="275" operator="containsText" text="SUS">
      <formula>NOT(ISERROR(SEARCH("SUS",AD15)))</formula>
    </cfRule>
    <cfRule type="containsText" dxfId="855" priority="276" operator="containsText" text="FL">
      <formula>NOT(ISERROR(SEARCH("FL",AD15)))</formula>
    </cfRule>
    <cfRule type="containsText" dxfId="854" priority="277" operator="containsText" text="MC">
      <formula>NOT(ISERROR(SEARCH("MC",AD15)))</formula>
    </cfRule>
    <cfRule type="containsText" dxfId="853" priority="278" operator="containsText" text="AB">
      <formula>NOT(ISERROR(SEARCH("AB",AD15)))</formula>
    </cfRule>
    <cfRule type="containsText" dxfId="852" priority="279" operator="containsText" text="Sick">
      <formula>NOT(ISERROR(SEARCH("Sick",AD15)))</formula>
    </cfRule>
    <cfRule type="containsText" dxfId="851" priority="280" operator="containsText" text="OFF">
      <formula>NOT(ISERROR(SEARCH("OFF",AD15)))</formula>
    </cfRule>
    <cfRule type="containsText" dxfId="850" priority="281" operator="containsText" text="AL">
      <formula>NOT(ISERROR(SEARCH("AL",AD15)))</formula>
    </cfRule>
  </conditionalFormatting>
  <conditionalFormatting sqref="AD15:AF15">
    <cfRule type="containsText" dxfId="849" priority="237" operator="containsText" text="AB">
      <formula>NOT(ISERROR(SEARCH("AB",AD15)))</formula>
    </cfRule>
  </conditionalFormatting>
  <conditionalFormatting sqref="AE15">
    <cfRule type="containsText" dxfId="848" priority="239" operator="containsText" text="OFF">
      <formula>NOT(ISERROR(SEARCH("OFF",AE15)))</formula>
    </cfRule>
    <cfRule type="containsText" dxfId="847" priority="240" operator="containsText" text="AL">
      <formula>NOT(ISERROR(SEARCH("AL",AE15)))</formula>
    </cfRule>
    <cfRule type="containsText" dxfId="846" priority="235" operator="containsText" text="FL">
      <formula>NOT(ISERROR(SEARCH("FL",AE15)))</formula>
    </cfRule>
    <cfRule type="containsText" dxfId="845" priority="236" operator="containsText" text="MC">
      <formula>NOT(ISERROR(SEARCH("MC",AE15)))</formula>
    </cfRule>
    <cfRule type="containsText" dxfId="844" priority="238" operator="containsText" text="Sick">
      <formula>NOT(ISERROR(SEARCH("Sick",AE15)))</formula>
    </cfRule>
    <cfRule type="containsText" dxfId="843" priority="233" operator="containsText" text="AB">
      <formula>NOT(ISERROR(SEARCH("AB",AE15)))</formula>
    </cfRule>
    <cfRule type="containsText" dxfId="842" priority="234" operator="containsText" text="SUS">
      <formula>NOT(ISERROR(SEARCH("SUS",AE15)))</formula>
    </cfRule>
  </conditionalFormatting>
  <conditionalFormatting sqref="AF15">
    <cfRule type="containsText" dxfId="841" priority="241" operator="containsText" text="SUS">
      <formula>NOT(ISERROR(SEARCH("SUS",AF15)))</formula>
    </cfRule>
    <cfRule type="containsText" dxfId="840" priority="242" operator="containsText" text="FL">
      <formula>NOT(ISERROR(SEARCH("FL",AF15)))</formula>
    </cfRule>
    <cfRule type="containsText" dxfId="839" priority="243" operator="containsText" text="MC">
      <formula>NOT(ISERROR(SEARCH("MC",AF15)))</formula>
    </cfRule>
    <cfRule type="containsText" dxfId="838" priority="244" operator="containsText" text="AB">
      <formula>NOT(ISERROR(SEARCH("AB",AF15)))</formula>
    </cfRule>
    <cfRule type="containsText" dxfId="837" priority="246" operator="containsText" text="OFF">
      <formula>NOT(ISERROR(SEARCH("OFF",AF15)))</formula>
    </cfRule>
    <cfRule type="containsText" dxfId="836" priority="247" operator="containsText" text="AL">
      <formula>NOT(ISERROR(SEARCH("AL",AF15)))</formula>
    </cfRule>
    <cfRule type="containsText" dxfId="835" priority="245" operator="containsText" text="Sick">
      <formula>NOT(ISERROR(SEARCH("Sick",AF15)))</formula>
    </cfRule>
  </conditionalFormatting>
  <conditionalFormatting sqref="AG15">
    <cfRule type="containsText" dxfId="834" priority="261" operator="containsText" text="FL">
      <formula>NOT(ISERROR(SEARCH("FL",AG15)))</formula>
    </cfRule>
    <cfRule type="containsText" dxfId="833" priority="262" operator="containsText" text="EL">
      <formula>NOT(ISERROR(SEARCH("EL",AG15)))</formula>
    </cfRule>
    <cfRule type="containsText" dxfId="832" priority="260" operator="containsText" text="SUS">
      <formula>NOT(ISERROR(SEARCH("SUS",AG15)))</formula>
    </cfRule>
    <cfRule type="containsText" dxfId="831" priority="259" operator="containsText" text="NL">
      <formula>NOT(ISERROR(SEARCH("NL",AG15)))</formula>
    </cfRule>
    <cfRule type="containsText" dxfId="830" priority="267" operator="containsText" text="AL">
      <formula>NOT(ISERROR(SEARCH("AL",AG15)))</formula>
    </cfRule>
    <cfRule type="containsText" dxfId="829" priority="258" operator="containsText" text="SP">
      <formula>NOT(ISERROR(SEARCH("SP",AG15)))</formula>
    </cfRule>
    <cfRule type="containsText" dxfId="828" priority="266" operator="containsText" text="SICK">
      <formula>NOT(ISERROR(SEARCH("SICK",AG15)))</formula>
    </cfRule>
    <cfRule type="containsText" dxfId="827" priority="265" operator="containsText" text="AB">
      <formula>NOT(ISERROR(SEARCH("AB",AG15)))</formula>
    </cfRule>
    <cfRule type="containsText" dxfId="826" priority="264" operator="containsText" text="OFF">
      <formula>NOT(ISERROR(SEARCH("OFF",AG15)))</formula>
    </cfRule>
    <cfRule type="containsText" dxfId="825" priority="263" operator="containsText" text="MC">
      <formula>NOT(ISERROR(SEARCH("MC",AG15)))</formula>
    </cfRule>
  </conditionalFormatting>
  <conditionalFormatting sqref="AG17 AJ18:AJ28">
    <cfRule type="containsText" dxfId="824" priority="319" stopIfTrue="1" operator="containsText" text="SICK">
      <formula>NOT(ISERROR(SEARCH("SICK",AG17)))</formula>
    </cfRule>
    <cfRule type="containsText" dxfId="823" priority="321" stopIfTrue="1" operator="containsText" text="SP">
      <formula>NOT(ISERROR(SEARCH("SP",AG17)))</formula>
    </cfRule>
    <cfRule type="containsText" priority="322" stopIfTrue="1" operator="containsText" text="SP">
      <formula>NOT(ISERROR(SEARCH("SP",AG17)))</formula>
    </cfRule>
    <cfRule type="containsText" dxfId="822" priority="324" stopIfTrue="1" operator="containsText" text="HD">
      <formula>NOT(ISERROR(SEARCH("HD",AG17)))</formula>
    </cfRule>
    <cfRule type="containsText" dxfId="821" priority="325" stopIfTrue="1" operator="containsText" text="AB">
      <formula>NOT(ISERROR(SEARCH("AB",AG17)))</formula>
    </cfRule>
    <cfRule type="containsText" dxfId="820" priority="323" stopIfTrue="1" operator="containsText" text="AB">
      <formula>NOT(ISERROR(SEARCH("AB",AG17)))</formula>
    </cfRule>
  </conditionalFormatting>
  <conditionalFormatting sqref="AI15:AK15">
    <cfRule type="containsText" dxfId="819" priority="248" operator="containsText" text="SP">
      <formula>NOT(ISERROR(SEARCH("SP",AI15)))</formula>
    </cfRule>
    <cfRule type="containsText" dxfId="818" priority="249" operator="containsText" text="NL">
      <formula>NOT(ISERROR(SEARCH("NL",AI15)))</formula>
    </cfRule>
    <cfRule type="containsText" dxfId="817" priority="250" operator="containsText" text="SUS">
      <formula>NOT(ISERROR(SEARCH("SUS",AI15)))</formula>
    </cfRule>
    <cfRule type="containsText" dxfId="816" priority="252" operator="containsText" text="EL">
      <formula>NOT(ISERROR(SEARCH("EL",AI15)))</formula>
    </cfRule>
    <cfRule type="containsText" dxfId="815" priority="251" operator="containsText" text="FL">
      <formula>NOT(ISERROR(SEARCH("FL",AI15)))</formula>
    </cfRule>
    <cfRule type="containsText" dxfId="814" priority="257" operator="containsText" text="AL">
      <formula>NOT(ISERROR(SEARCH("AL",AI15)))</formula>
    </cfRule>
    <cfRule type="containsText" dxfId="813" priority="256" operator="containsText" text="SICK">
      <formula>NOT(ISERROR(SEARCH("SICK",AI15)))</formula>
    </cfRule>
    <cfRule type="containsText" dxfId="812" priority="255" operator="containsText" text="AB">
      <formula>NOT(ISERROR(SEARCH("AB",AI15)))</formula>
    </cfRule>
    <cfRule type="containsText" dxfId="811" priority="253" operator="containsText" text="MC">
      <formula>NOT(ISERROR(SEARCH("MC",AI15)))</formula>
    </cfRule>
    <cfRule type="containsText" dxfId="810" priority="254" operator="containsText" text="OFF">
      <formula>NOT(ISERROR(SEARCH("OFF",AI15)))</formula>
    </cfRule>
  </conditionalFormatting>
  <pageMargins left="0.7" right="0.7" top="0.75" bottom="0.75" header="0.3" footer="0.3"/>
  <pageSetup paperSize="9" scale="4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71EB-4380-4BCC-8778-0DD4AB96FAE0}">
  <sheetPr>
    <pageSetUpPr fitToPage="1"/>
  </sheetPr>
  <dimension ref="A1:CC44"/>
  <sheetViews>
    <sheetView zoomScaleNormal="100" workbookViewId="0">
      <selection activeCell="J20" sqref="J20"/>
    </sheetView>
  </sheetViews>
  <sheetFormatPr defaultRowHeight="15" x14ac:dyDescent="0.25"/>
  <cols>
    <col min="1" max="1" width="5.140625" style="45" customWidth="1"/>
    <col min="2" max="2" width="12" style="15" customWidth="1"/>
    <col min="3" max="3" width="15.7109375" customWidth="1"/>
    <col min="4" max="4" width="10" hidden="1" customWidth="1"/>
    <col min="5" max="32" width="6.5703125" customWidth="1"/>
    <col min="33" max="34" width="6.28515625" customWidth="1"/>
    <col min="35" max="35" width="6.28515625" style="73" customWidth="1"/>
    <col min="36" max="36" width="6.28515625" style="57" hidden="1" customWidth="1"/>
    <col min="37" max="37" width="6.28515625" hidden="1" customWidth="1"/>
    <col min="38" max="38" width="10.28515625" customWidth="1"/>
    <col min="39" max="68" width="6.5703125" customWidth="1"/>
    <col min="69" max="69" width="5.85546875" style="15" customWidth="1"/>
    <col min="70" max="77" width="5" customWidth="1"/>
    <col min="78" max="78" width="5.85546875" customWidth="1"/>
    <col min="79" max="82" width="5" customWidth="1"/>
  </cols>
  <sheetData>
    <row r="1" spans="1:69" ht="15.75" x14ac:dyDescent="0.25"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33"/>
      <c r="Y1" s="33"/>
    </row>
    <row r="2" spans="1:69" ht="25.5" customHeight="1" x14ac:dyDescent="0.25">
      <c r="A2" s="255" t="s">
        <v>270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  <c r="AA2" s="256"/>
      <c r="AB2" s="256"/>
      <c r="AC2" s="256"/>
      <c r="AD2" s="256"/>
      <c r="AE2" s="256"/>
      <c r="AF2" s="256"/>
      <c r="AG2" s="256"/>
      <c r="AH2" s="257"/>
      <c r="AI2" s="106"/>
    </row>
    <row r="3" spans="1:69" ht="22.5" customHeight="1" x14ac:dyDescent="0.25">
      <c r="A3" s="249" t="s">
        <v>169</v>
      </c>
      <c r="B3" s="250"/>
      <c r="C3" s="251"/>
      <c r="D3" s="84"/>
      <c r="E3" s="240" t="s">
        <v>7</v>
      </c>
      <c r="F3" s="240"/>
      <c r="G3" s="240" t="s">
        <v>1</v>
      </c>
      <c r="H3" s="240"/>
      <c r="I3" s="240" t="s">
        <v>2</v>
      </c>
      <c r="J3" s="240"/>
      <c r="K3" s="240" t="s">
        <v>3</v>
      </c>
      <c r="L3" s="240"/>
      <c r="M3" s="240" t="s">
        <v>4</v>
      </c>
      <c r="N3" s="240"/>
      <c r="O3" s="240" t="s">
        <v>5</v>
      </c>
      <c r="P3" s="240"/>
      <c r="Q3" s="240" t="s">
        <v>6</v>
      </c>
      <c r="R3" s="240"/>
      <c r="S3" s="240" t="s">
        <v>7</v>
      </c>
      <c r="T3" s="240"/>
      <c r="U3" s="240" t="s">
        <v>1</v>
      </c>
      <c r="V3" s="240"/>
      <c r="W3" s="240" t="s">
        <v>2</v>
      </c>
      <c r="X3" s="240"/>
      <c r="Y3" s="240" t="s">
        <v>3</v>
      </c>
      <c r="Z3" s="240"/>
      <c r="AA3" s="240" t="s">
        <v>4</v>
      </c>
      <c r="AB3" s="240"/>
      <c r="AC3" s="240" t="s">
        <v>5</v>
      </c>
      <c r="AD3" s="240"/>
      <c r="AE3" s="240" t="s">
        <v>6</v>
      </c>
      <c r="AF3" s="240"/>
      <c r="AG3" s="240" t="s">
        <v>7</v>
      </c>
      <c r="AH3" s="240"/>
      <c r="AI3" s="106"/>
    </row>
    <row r="4" spans="1:69" ht="22.5" customHeight="1" x14ac:dyDescent="0.25">
      <c r="A4" s="252"/>
      <c r="B4" s="253"/>
      <c r="C4" s="254"/>
      <c r="D4" s="84"/>
      <c r="E4" s="242">
        <v>46266</v>
      </c>
      <c r="F4" s="242"/>
      <c r="G4" s="242">
        <v>46267</v>
      </c>
      <c r="H4" s="242"/>
      <c r="I4" s="242">
        <v>46268</v>
      </c>
      <c r="J4" s="242"/>
      <c r="K4" s="242">
        <v>46269</v>
      </c>
      <c r="L4" s="242"/>
      <c r="M4" s="242">
        <v>46270</v>
      </c>
      <c r="N4" s="242"/>
      <c r="O4" s="242">
        <v>46271</v>
      </c>
      <c r="P4" s="242"/>
      <c r="Q4" s="242">
        <v>46272</v>
      </c>
      <c r="R4" s="242"/>
      <c r="S4" s="242">
        <v>46273</v>
      </c>
      <c r="T4" s="242"/>
      <c r="U4" s="242">
        <v>46274</v>
      </c>
      <c r="V4" s="242"/>
      <c r="W4" s="242">
        <v>46275</v>
      </c>
      <c r="X4" s="242"/>
      <c r="Y4" s="242">
        <v>46276</v>
      </c>
      <c r="Z4" s="242"/>
      <c r="AA4" s="242">
        <v>46277</v>
      </c>
      <c r="AB4" s="242"/>
      <c r="AC4" s="242">
        <v>46278</v>
      </c>
      <c r="AD4" s="242"/>
      <c r="AE4" s="242">
        <v>46279</v>
      </c>
      <c r="AF4" s="242"/>
      <c r="AG4" s="242">
        <v>46280</v>
      </c>
      <c r="AH4" s="242"/>
      <c r="AI4" s="106"/>
    </row>
    <row r="5" spans="1:69" ht="20.25" customHeight="1" x14ac:dyDescent="0.25">
      <c r="A5" s="4" t="s">
        <v>10</v>
      </c>
      <c r="B5" s="4" t="s">
        <v>11</v>
      </c>
      <c r="C5" s="4" t="s">
        <v>12</v>
      </c>
      <c r="D5" s="13"/>
      <c r="E5" s="13" t="s">
        <v>13</v>
      </c>
      <c r="F5" s="13" t="s">
        <v>14</v>
      </c>
      <c r="G5" s="13" t="s">
        <v>13</v>
      </c>
      <c r="H5" s="13" t="s">
        <v>14</v>
      </c>
      <c r="I5" s="13" t="s">
        <v>13</v>
      </c>
      <c r="J5" s="13" t="s">
        <v>14</v>
      </c>
      <c r="K5" s="13" t="s">
        <v>13</v>
      </c>
      <c r="L5" s="13" t="s">
        <v>14</v>
      </c>
      <c r="M5" s="13" t="s">
        <v>13</v>
      </c>
      <c r="N5" s="13" t="s">
        <v>14</v>
      </c>
      <c r="O5" s="13" t="s">
        <v>13</v>
      </c>
      <c r="P5" s="13" t="s">
        <v>14</v>
      </c>
      <c r="Q5" s="13" t="s">
        <v>13</v>
      </c>
      <c r="R5" s="13" t="s">
        <v>14</v>
      </c>
      <c r="S5" s="13" t="s">
        <v>13</v>
      </c>
      <c r="T5" s="13" t="s">
        <v>14</v>
      </c>
      <c r="U5" s="13" t="s">
        <v>13</v>
      </c>
      <c r="V5" s="13" t="s">
        <v>14</v>
      </c>
      <c r="W5" s="13" t="s">
        <v>13</v>
      </c>
      <c r="X5" s="13" t="s">
        <v>14</v>
      </c>
      <c r="Y5" s="4" t="s">
        <v>13</v>
      </c>
      <c r="Z5" s="4" t="s">
        <v>14</v>
      </c>
      <c r="AA5" s="4" t="s">
        <v>13</v>
      </c>
      <c r="AB5" s="4" t="s">
        <v>14</v>
      </c>
      <c r="AC5" s="4" t="s">
        <v>13</v>
      </c>
      <c r="AD5" s="4" t="s">
        <v>14</v>
      </c>
      <c r="AE5" s="4" t="s">
        <v>13</v>
      </c>
      <c r="AF5" s="4" t="s">
        <v>14</v>
      </c>
      <c r="AG5" s="4" t="s">
        <v>13</v>
      </c>
      <c r="AH5" s="4" t="s">
        <v>14</v>
      </c>
      <c r="AI5" s="106"/>
    </row>
    <row r="6" spans="1:69" ht="21.75" customHeight="1" x14ac:dyDescent="0.25">
      <c r="A6" s="10">
        <v>1</v>
      </c>
      <c r="B6" s="11" t="s">
        <v>80</v>
      </c>
      <c r="C6" s="8" t="s">
        <v>81</v>
      </c>
      <c r="D6" s="85">
        <v>38713</v>
      </c>
      <c r="E6" s="124">
        <v>46266.352650462963</v>
      </c>
      <c r="F6" s="124">
        <v>46264.941041666665</v>
      </c>
      <c r="G6" s="124">
        <v>46267.35392361111</v>
      </c>
      <c r="H6" s="124">
        <v>46267.976006944446</v>
      </c>
      <c r="I6" s="124">
        <v>46268.353750000002</v>
      </c>
      <c r="J6" s="124">
        <v>46268.958749999998</v>
      </c>
      <c r="K6" s="124">
        <v>46269.579745370371</v>
      </c>
      <c r="L6" s="124">
        <v>46269.991643518515</v>
      </c>
      <c r="M6" s="124">
        <v>46270.353541666664</v>
      </c>
      <c r="N6" s="124">
        <v>46270.953888888886</v>
      </c>
      <c r="O6" s="124">
        <v>46271.352465277778</v>
      </c>
      <c r="P6" s="124">
        <v>46271.941481481481</v>
      </c>
      <c r="Q6" s="124">
        <v>46272.353993055556</v>
      </c>
      <c r="R6" s="124">
        <v>46272.940196759257</v>
      </c>
      <c r="S6" s="124">
        <v>46273.354421296295</v>
      </c>
      <c r="T6" s="124">
        <v>46273.956724537034</v>
      </c>
      <c r="U6" s="124">
        <v>46274.353217592594</v>
      </c>
      <c r="V6" s="124">
        <v>46274.960439814815</v>
      </c>
      <c r="W6" s="124">
        <v>46275.354409722226</v>
      </c>
      <c r="X6" s="124">
        <v>0</v>
      </c>
      <c r="Y6" s="178" t="s">
        <v>15</v>
      </c>
      <c r="Z6" s="178" t="s">
        <v>15</v>
      </c>
      <c r="AA6" s="124">
        <v>46277.353194444448</v>
      </c>
      <c r="AB6" s="124">
        <v>46277.983344907407</v>
      </c>
      <c r="AC6" s="124">
        <v>46278.352731481478</v>
      </c>
      <c r="AD6" s="124">
        <v>46278.949050925927</v>
      </c>
      <c r="AE6" s="124">
        <v>46279.353090277778</v>
      </c>
      <c r="AF6" s="124">
        <v>46279.951296296298</v>
      </c>
      <c r="AG6" s="124">
        <v>46280.353437500002</v>
      </c>
      <c r="AH6" s="124">
        <v>46280.945937500001</v>
      </c>
      <c r="AI6" s="106"/>
    </row>
    <row r="7" spans="1:69" ht="18.75" x14ac:dyDescent="0.25">
      <c r="AI7" s="106"/>
    </row>
    <row r="8" spans="1:69" ht="18.75" x14ac:dyDescent="0.25">
      <c r="AC8" s="240" t="s">
        <v>1</v>
      </c>
      <c r="AD8" s="240"/>
      <c r="AE8" s="240" t="s">
        <v>2</v>
      </c>
      <c r="AF8" s="240"/>
      <c r="AG8" s="240" t="s">
        <v>3</v>
      </c>
      <c r="AH8" s="240"/>
      <c r="AI8" s="106"/>
    </row>
    <row r="9" spans="1:69" ht="18.75" x14ac:dyDescent="0.25">
      <c r="E9" s="135" t="s">
        <v>245</v>
      </c>
      <c r="F9" s="276" t="s">
        <v>275</v>
      </c>
      <c r="G9" s="276"/>
      <c r="H9" s="276"/>
      <c r="I9" s="276"/>
      <c r="J9" s="276"/>
      <c r="K9" s="276"/>
      <c r="L9" s="276"/>
      <c r="M9" s="276"/>
      <c r="AC9" s="242">
        <v>46281</v>
      </c>
      <c r="AD9" s="242"/>
      <c r="AE9" s="242">
        <v>46282</v>
      </c>
      <c r="AF9" s="242"/>
      <c r="AG9" s="242">
        <v>46283</v>
      </c>
      <c r="AH9" s="242"/>
      <c r="AI9" s="106"/>
    </row>
    <row r="10" spans="1:69" ht="18.75" x14ac:dyDescent="0.25">
      <c r="F10" s="275" t="s">
        <v>276</v>
      </c>
      <c r="G10" s="275"/>
      <c r="H10" s="275"/>
      <c r="I10" s="275"/>
      <c r="J10" s="275"/>
      <c r="K10" s="275"/>
      <c r="L10" s="275"/>
      <c r="M10" s="275"/>
      <c r="N10" s="275"/>
      <c r="O10" s="275"/>
      <c r="AC10" s="4" t="s">
        <v>13</v>
      </c>
      <c r="AD10" s="4" t="s">
        <v>14</v>
      </c>
      <c r="AE10" s="4" t="s">
        <v>13</v>
      </c>
      <c r="AF10" s="4" t="s">
        <v>14</v>
      </c>
      <c r="AG10" s="4" t="s">
        <v>13</v>
      </c>
      <c r="AH10" s="4" t="s">
        <v>14</v>
      </c>
      <c r="AI10" s="106"/>
    </row>
    <row r="11" spans="1:69" ht="18.75" x14ac:dyDescent="0.25">
      <c r="E11" s="137" t="s">
        <v>281</v>
      </c>
      <c r="F11" t="s">
        <v>283</v>
      </c>
      <c r="J11" s="138"/>
      <c r="K11" s="151"/>
      <c r="L11" s="151"/>
      <c r="M11" s="151"/>
      <c r="N11" s="151"/>
      <c r="O11" s="151"/>
      <c r="AC11" s="182">
        <v>1</v>
      </c>
      <c r="AD11" s="182">
        <v>1</v>
      </c>
      <c r="AE11" s="182">
        <v>1</v>
      </c>
      <c r="AF11" s="182">
        <v>1</v>
      </c>
      <c r="AG11" s="182">
        <v>1</v>
      </c>
      <c r="AH11" s="182">
        <v>1</v>
      </c>
      <c r="AI11" s="106"/>
    </row>
    <row r="12" spans="1:69" x14ac:dyDescent="0.25">
      <c r="AF12" s="73"/>
      <c r="AG12" s="57"/>
      <c r="AI12"/>
      <c r="AJ12"/>
      <c r="BN12" s="15"/>
    </row>
    <row r="13" spans="1:69" ht="15" customHeight="1" x14ac:dyDescent="0.25">
      <c r="X13" s="266" t="s">
        <v>8</v>
      </c>
      <c r="Y13" s="247" t="s">
        <v>9</v>
      </c>
      <c r="Z13" s="133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BN13" s="15"/>
    </row>
    <row r="14" spans="1:69" x14ac:dyDescent="0.25">
      <c r="X14" s="267"/>
      <c r="Y14" s="248"/>
      <c r="Z14" s="61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BN14" s="15"/>
    </row>
    <row r="15" spans="1:69" x14ac:dyDescent="0.25">
      <c r="X15" s="267"/>
      <c r="Y15" s="132"/>
      <c r="Z15" s="58"/>
      <c r="AA15" s="91" t="s">
        <v>15</v>
      </c>
      <c r="AB15" s="90" t="s">
        <v>16</v>
      </c>
      <c r="AC15" s="90" t="s">
        <v>17</v>
      </c>
      <c r="AD15" s="88" t="s">
        <v>18</v>
      </c>
      <c r="AE15" s="90" t="s">
        <v>19</v>
      </c>
      <c r="AF15" s="90" t="s">
        <v>20</v>
      </c>
      <c r="AG15" s="74" t="s">
        <v>170</v>
      </c>
      <c r="AH15" s="59" t="s">
        <v>22</v>
      </c>
      <c r="AI15" s="76" t="s">
        <v>23</v>
      </c>
      <c r="AJ15" s="76" t="s">
        <v>24</v>
      </c>
      <c r="AK15" s="76" t="s">
        <v>25</v>
      </c>
      <c r="AL15" s="7" t="s">
        <v>26</v>
      </c>
      <c r="BN15" s="15"/>
    </row>
    <row r="16" spans="1:69" x14ac:dyDescent="0.25">
      <c r="X16" s="96">
        <v>17</v>
      </c>
      <c r="Y16" s="67">
        <v>2</v>
      </c>
      <c r="Z16" s="1">
        <v>18</v>
      </c>
      <c r="AA16" s="2">
        <f>COUNTIF(E6:BN6,"OFF")/2</f>
        <v>1</v>
      </c>
      <c r="AB16" s="2">
        <f>COUNTIF(E6:BN6,"MC")/2</f>
        <v>0</v>
      </c>
      <c r="AC16" s="2">
        <f>COUNTIF(E6:BN6,"EL")/2</f>
        <v>0</v>
      </c>
      <c r="AD16" s="2">
        <f>COUNTIF(E6:BN6,"AL")/2</f>
        <v>0</v>
      </c>
      <c r="AE16" s="2">
        <f>COUNTIF(E6:BN6,"SUS")/2</f>
        <v>0</v>
      </c>
      <c r="AF16" s="2">
        <f>COUNTIF(E6:BN6,"FL")/2</f>
        <v>0</v>
      </c>
      <c r="AG16" s="2">
        <f>COUNTIF(E6:BN6,"SICK")/2</f>
        <v>0</v>
      </c>
      <c r="AH16" s="2">
        <f>COUNTIF(E6:BN6,"HD")/2</f>
        <v>0</v>
      </c>
      <c r="AI16" s="2">
        <f>COUNTIF(E6:BN6,"AB")/2</f>
        <v>0</v>
      </c>
      <c r="AJ16" s="2">
        <f>COUNTIF(E6:BN6,"NL")/2</f>
        <v>0</v>
      </c>
      <c r="AK16" s="2">
        <f>COUNTIF(E6:BN6,"SP")/2</f>
        <v>0</v>
      </c>
      <c r="AL16" s="3"/>
      <c r="BN16" s="15"/>
      <c r="BQ16"/>
    </row>
    <row r="17" spans="6:81" x14ac:dyDescent="0.25">
      <c r="AF17" s="73"/>
      <c r="AG17" s="65"/>
      <c r="AI17"/>
      <c r="AJ17"/>
      <c r="AQ17" t="s">
        <v>64</v>
      </c>
      <c r="BN17" s="15"/>
      <c r="BQ17"/>
    </row>
    <row r="18" spans="6:81" x14ac:dyDescent="0.25">
      <c r="AJ18" s="65"/>
    </row>
    <row r="19" spans="6:81" x14ac:dyDescent="0.25">
      <c r="X19" s="140" t="s">
        <v>71</v>
      </c>
      <c r="Y19" s="141"/>
      <c r="Z19" s="142"/>
      <c r="AA19" s="143" t="s">
        <v>16</v>
      </c>
      <c r="AB19" s="144"/>
      <c r="AC19" s="145" t="s">
        <v>72</v>
      </c>
      <c r="AD19" s="141"/>
      <c r="AE19" s="146"/>
      <c r="AF19" s="141"/>
      <c r="AG19" s="147" t="s">
        <v>22</v>
      </c>
      <c r="AJ19" s="65"/>
    </row>
    <row r="20" spans="6:81" x14ac:dyDescent="0.25">
      <c r="X20" s="140" t="s">
        <v>73</v>
      </c>
      <c r="Y20" s="144"/>
      <c r="Z20" s="144"/>
      <c r="AA20" s="143" t="s">
        <v>17</v>
      </c>
      <c r="AB20" s="146"/>
      <c r="AC20" s="145" t="s">
        <v>74</v>
      </c>
      <c r="AD20" s="148"/>
      <c r="AE20" s="148"/>
      <c r="AF20" s="149"/>
      <c r="AG20" s="147" t="s">
        <v>23</v>
      </c>
      <c r="AJ20" s="65"/>
    </row>
    <row r="21" spans="6:81" x14ac:dyDescent="0.25">
      <c r="F21" s="151"/>
      <c r="G21" s="151"/>
      <c r="H21" s="151"/>
      <c r="I21" s="151"/>
      <c r="J21" s="151"/>
      <c r="K21" s="151"/>
      <c r="L21" s="151"/>
      <c r="M21" s="151"/>
      <c r="X21" s="140" t="s">
        <v>75</v>
      </c>
      <c r="Y21" s="144"/>
      <c r="Z21" s="144"/>
      <c r="AA21" s="143" t="s">
        <v>18</v>
      </c>
      <c r="AB21" s="146"/>
      <c r="AC21" s="140" t="s">
        <v>76</v>
      </c>
      <c r="AD21" s="150"/>
      <c r="AE21" s="150"/>
      <c r="AF21" s="149"/>
      <c r="AG21" s="147" t="s">
        <v>24</v>
      </c>
      <c r="AJ21" s="65"/>
    </row>
    <row r="22" spans="6:81" x14ac:dyDescent="0.25">
      <c r="F22" s="151"/>
      <c r="G22" s="151"/>
      <c r="H22" s="151"/>
      <c r="I22" s="151"/>
      <c r="J22" s="151"/>
      <c r="K22" s="151"/>
      <c r="L22" s="151"/>
      <c r="M22" s="151"/>
      <c r="X22" s="140" t="s">
        <v>77</v>
      </c>
      <c r="Y22" s="144"/>
      <c r="Z22" s="144"/>
      <c r="AA22" s="143" t="s">
        <v>19</v>
      </c>
      <c r="AB22" s="146"/>
      <c r="AC22" s="140" t="s">
        <v>78</v>
      </c>
      <c r="AD22" s="150"/>
      <c r="AE22" s="150"/>
      <c r="AF22" s="149"/>
      <c r="AG22" s="147" t="s">
        <v>25</v>
      </c>
      <c r="AJ22" s="65"/>
    </row>
    <row r="23" spans="6:81" x14ac:dyDescent="0.25">
      <c r="F23" s="151"/>
      <c r="G23" s="151"/>
      <c r="H23" s="151"/>
      <c r="I23" s="151"/>
      <c r="J23" s="151"/>
      <c r="K23" s="151"/>
      <c r="L23" s="151"/>
      <c r="M23" s="151"/>
      <c r="X23" s="140" t="s">
        <v>79</v>
      </c>
      <c r="Y23" s="144"/>
      <c r="Z23" s="144"/>
      <c r="AA23" s="143" t="s">
        <v>20</v>
      </c>
      <c r="AB23" s="146"/>
      <c r="AC23" s="146"/>
      <c r="AD23" s="146"/>
      <c r="AE23" s="146"/>
      <c r="AF23" s="146"/>
      <c r="AG23" s="146"/>
      <c r="AJ23" s="65"/>
    </row>
    <row r="24" spans="6:81" x14ac:dyDescent="0.25">
      <c r="F24" s="151"/>
      <c r="G24" s="151"/>
      <c r="H24" s="151"/>
      <c r="I24" s="151"/>
      <c r="J24" s="151"/>
      <c r="K24" s="151"/>
      <c r="L24" s="151"/>
      <c r="M24" s="151"/>
      <c r="AJ24" s="65"/>
    </row>
    <row r="25" spans="6:81" ht="15.75" x14ac:dyDescent="0.25">
      <c r="F25" s="151"/>
      <c r="G25" s="17" t="s">
        <v>62</v>
      </c>
      <c r="H25" s="18"/>
      <c r="I25" s="17"/>
      <c r="J25" s="19"/>
      <c r="M25" s="19"/>
      <c r="N25" s="20"/>
      <c r="O25" s="21"/>
      <c r="P25" s="21"/>
      <c r="Q25" s="22" t="s">
        <v>63</v>
      </c>
      <c r="R25" s="22"/>
      <c r="S25" s="20"/>
      <c r="T25" s="20"/>
      <c r="U25" s="20"/>
      <c r="V25" s="20"/>
      <c r="W25" s="20" t="s">
        <v>64</v>
      </c>
      <c r="X25" s="20"/>
      <c r="Y25" s="20"/>
      <c r="Z25" s="20"/>
      <c r="AA25" s="22" t="s">
        <v>65</v>
      </c>
      <c r="AB25" s="20"/>
      <c r="AJ25" s="65"/>
    </row>
    <row r="26" spans="6:81" ht="17.25" x14ac:dyDescent="0.25">
      <c r="F26" s="151"/>
      <c r="G26" s="19"/>
      <c r="H26" s="19"/>
      <c r="I26" s="19"/>
      <c r="J26" s="19"/>
      <c r="M26" s="19"/>
      <c r="N26" s="19"/>
      <c r="O26" s="24"/>
      <c r="P26" s="24"/>
      <c r="Q26" s="24"/>
      <c r="R26" s="19"/>
      <c r="S26" s="19"/>
      <c r="T26" s="19"/>
      <c r="U26" s="25"/>
      <c r="V26" s="25"/>
      <c r="W26" s="25"/>
      <c r="X26" s="25"/>
      <c r="Y26" s="25"/>
      <c r="Z26" s="25"/>
      <c r="AA26" s="26"/>
      <c r="AB26" s="26"/>
      <c r="AJ26" s="65"/>
    </row>
    <row r="27" spans="6:81" ht="17.25" x14ac:dyDescent="0.25">
      <c r="F27" s="151"/>
      <c r="G27" s="27"/>
      <c r="H27" s="19"/>
      <c r="I27" s="27"/>
      <c r="J27" s="19"/>
      <c r="M27" s="19"/>
      <c r="N27" s="27" t="s">
        <v>64</v>
      </c>
      <c r="O27" s="28"/>
      <c r="P27" s="28"/>
      <c r="Q27" s="24"/>
      <c r="R27" s="19"/>
      <c r="S27" s="27"/>
      <c r="T27" s="27"/>
      <c r="U27" s="20"/>
      <c r="V27" s="19"/>
      <c r="W27" s="19"/>
      <c r="X27" s="19"/>
      <c r="Y27" s="19"/>
      <c r="Z27" s="19"/>
      <c r="AA27" s="29"/>
      <c r="AB27" s="29"/>
      <c r="AJ27" s="65"/>
    </row>
    <row r="28" spans="6:81" ht="17.25" x14ac:dyDescent="0.25">
      <c r="G28" s="27"/>
      <c r="H28" s="19"/>
      <c r="I28" s="27"/>
      <c r="J28" s="19"/>
      <c r="M28" s="19"/>
      <c r="N28" s="27"/>
      <c r="O28" s="28"/>
      <c r="P28" s="28"/>
      <c r="Q28" s="24"/>
      <c r="R28" s="20"/>
      <c r="S28" s="27"/>
      <c r="T28" s="27"/>
      <c r="U28" s="20"/>
      <c r="V28" s="19"/>
      <c r="W28" s="19"/>
      <c r="X28" s="19"/>
      <c r="Y28" s="19"/>
      <c r="Z28" s="19"/>
      <c r="AA28" s="29"/>
      <c r="AB28" s="29"/>
      <c r="AJ28" s="65"/>
    </row>
    <row r="29" spans="6:81" ht="17.25" x14ac:dyDescent="0.25">
      <c r="G29" s="138"/>
      <c r="H29" s="139" t="s">
        <v>257</v>
      </c>
      <c r="I29" s="19"/>
      <c r="J29" s="19"/>
      <c r="M29" s="19"/>
      <c r="N29" s="27"/>
      <c r="O29" s="24"/>
      <c r="P29" s="28"/>
      <c r="Q29" s="18" t="s">
        <v>66</v>
      </c>
      <c r="R29" s="19"/>
      <c r="S29" s="27"/>
      <c r="T29" s="20"/>
      <c r="U29" s="19"/>
      <c r="V29" s="19"/>
      <c r="W29" s="19"/>
      <c r="X29" s="19"/>
      <c r="Y29" s="19"/>
      <c r="Z29" s="19"/>
      <c r="AA29" s="18" t="s">
        <v>67</v>
      </c>
      <c r="AB29" s="29"/>
    </row>
    <row r="30" spans="6:81" ht="17.25" x14ac:dyDescent="0.25">
      <c r="F30" s="16"/>
      <c r="G30" s="31" t="s">
        <v>68</v>
      </c>
      <c r="H30" s="30"/>
      <c r="I30" s="30"/>
      <c r="J30" s="19"/>
      <c r="M30" s="19"/>
      <c r="N30" s="18"/>
      <c r="O30" s="32"/>
      <c r="P30" s="32"/>
      <c r="Q30" s="18" t="s">
        <v>69</v>
      </c>
      <c r="R30" s="18"/>
      <c r="S30" s="18"/>
      <c r="T30" s="20"/>
      <c r="U30" s="18"/>
      <c r="V30" s="19"/>
      <c r="W30" s="19"/>
      <c r="X30" s="19"/>
      <c r="Y30" s="19"/>
      <c r="Z30" s="19"/>
      <c r="AA30" s="18" t="s">
        <v>70</v>
      </c>
      <c r="AB30" s="29"/>
    </row>
    <row r="31" spans="6:81" ht="15.75" x14ac:dyDescent="0.25">
      <c r="F31" s="23"/>
    </row>
    <row r="32" spans="6:81" ht="15.75" x14ac:dyDescent="0.25">
      <c r="F32" s="23"/>
      <c r="BT32" s="37"/>
      <c r="BU32" s="37"/>
      <c r="BV32" s="37"/>
      <c r="BW32" s="37"/>
      <c r="BX32" s="37"/>
      <c r="BY32" s="37"/>
      <c r="BZ32" s="37"/>
      <c r="CA32" s="37"/>
      <c r="CB32" s="37"/>
      <c r="CC32" s="37"/>
    </row>
    <row r="33" spans="5:35" ht="15.75" x14ac:dyDescent="0.25">
      <c r="F33" s="30"/>
    </row>
    <row r="34" spans="5:35" ht="15.75" x14ac:dyDescent="0.25">
      <c r="F34" s="31"/>
    </row>
    <row r="35" spans="5:35" ht="15.75" x14ac:dyDescent="0.25">
      <c r="F35" s="31"/>
    </row>
    <row r="41" spans="5:35" x14ac:dyDescent="0.25">
      <c r="E41" s="123"/>
      <c r="F41" s="240" t="s">
        <v>5</v>
      </c>
      <c r="G41" s="241"/>
      <c r="H41" s="240" t="s">
        <v>6</v>
      </c>
      <c r="I41" s="241"/>
      <c r="J41" s="240" t="s">
        <v>7</v>
      </c>
      <c r="K41" s="241"/>
      <c r="L41" s="240" t="s">
        <v>1</v>
      </c>
      <c r="M41" s="241"/>
      <c r="N41" s="240" t="s">
        <v>2</v>
      </c>
      <c r="O41" s="241"/>
      <c r="P41" s="240" t="s">
        <v>3</v>
      </c>
      <c r="Q41" s="241"/>
      <c r="R41" s="240" t="s">
        <v>4</v>
      </c>
      <c r="S41" s="241"/>
      <c r="T41" s="240" t="s">
        <v>5</v>
      </c>
      <c r="U41" s="241"/>
      <c r="V41" s="240" t="s">
        <v>6</v>
      </c>
      <c r="W41" s="241"/>
      <c r="X41" s="240" t="s">
        <v>7</v>
      </c>
      <c r="Y41" s="241"/>
      <c r="Z41" s="240" t="s">
        <v>1</v>
      </c>
      <c r="AA41" s="241"/>
      <c r="AB41" s="240" t="s">
        <v>2</v>
      </c>
      <c r="AC41" s="241"/>
      <c r="AD41" s="240" t="s">
        <v>3</v>
      </c>
      <c r="AE41" s="241"/>
      <c r="AF41" s="240" t="s">
        <v>4</v>
      </c>
      <c r="AG41" s="241"/>
      <c r="AH41" s="240" t="s">
        <v>5</v>
      </c>
      <c r="AI41" s="241"/>
    </row>
    <row r="42" spans="5:35" x14ac:dyDescent="0.25">
      <c r="E42" s="100"/>
      <c r="F42" s="242">
        <v>46281</v>
      </c>
      <c r="G42" s="244"/>
      <c r="H42" s="242">
        <v>46282</v>
      </c>
      <c r="I42" s="244"/>
      <c r="J42" s="242">
        <v>46283</v>
      </c>
      <c r="K42" s="244"/>
      <c r="L42" s="242">
        <v>46284</v>
      </c>
      <c r="M42" s="244"/>
      <c r="N42" s="242">
        <v>46285</v>
      </c>
      <c r="O42" s="244"/>
      <c r="P42" s="242">
        <v>46286</v>
      </c>
      <c r="Q42" s="244"/>
      <c r="R42" s="242">
        <v>46287</v>
      </c>
      <c r="S42" s="244"/>
      <c r="T42" s="242">
        <v>46288</v>
      </c>
      <c r="U42" s="244"/>
      <c r="V42" s="242">
        <v>46289</v>
      </c>
      <c r="W42" s="244"/>
      <c r="X42" s="242">
        <v>46290</v>
      </c>
      <c r="Y42" s="244"/>
      <c r="Z42" s="242">
        <v>46291</v>
      </c>
      <c r="AA42" s="244"/>
      <c r="AB42" s="242">
        <v>46292</v>
      </c>
      <c r="AC42" s="244"/>
      <c r="AD42" s="242">
        <v>46293</v>
      </c>
      <c r="AE42" s="244"/>
      <c r="AF42" s="242">
        <v>46294</v>
      </c>
      <c r="AG42" s="244"/>
      <c r="AH42" s="242">
        <v>46295</v>
      </c>
      <c r="AI42" s="244"/>
    </row>
    <row r="43" spans="5:35" x14ac:dyDescent="0.25">
      <c r="E43" s="4"/>
      <c r="F43" s="4" t="s">
        <v>13</v>
      </c>
      <c r="G43" s="4" t="s">
        <v>14</v>
      </c>
      <c r="H43" s="4" t="s">
        <v>13</v>
      </c>
      <c r="I43" s="4" t="s">
        <v>14</v>
      </c>
      <c r="J43" s="4" t="s">
        <v>13</v>
      </c>
      <c r="K43" s="4" t="s">
        <v>14</v>
      </c>
      <c r="L43" s="4" t="s">
        <v>13</v>
      </c>
      <c r="M43" s="4" t="s">
        <v>14</v>
      </c>
      <c r="N43" s="4" t="s">
        <v>13</v>
      </c>
      <c r="O43" s="4" t="s">
        <v>14</v>
      </c>
      <c r="P43" s="13" t="s">
        <v>13</v>
      </c>
      <c r="Q43" s="13" t="s">
        <v>14</v>
      </c>
      <c r="R43" s="13" t="s">
        <v>13</v>
      </c>
      <c r="S43" s="13" t="s">
        <v>14</v>
      </c>
      <c r="T43" s="13" t="s">
        <v>13</v>
      </c>
      <c r="U43" s="13" t="s">
        <v>14</v>
      </c>
      <c r="V43" s="13" t="s">
        <v>13</v>
      </c>
      <c r="W43" s="13" t="s">
        <v>14</v>
      </c>
      <c r="X43" s="13" t="s">
        <v>13</v>
      </c>
      <c r="Y43" s="13" t="s">
        <v>14</v>
      </c>
      <c r="Z43" s="4" t="s">
        <v>13</v>
      </c>
      <c r="AA43" s="4" t="s">
        <v>14</v>
      </c>
      <c r="AB43" s="4" t="s">
        <v>13</v>
      </c>
      <c r="AC43" s="4" t="s">
        <v>14</v>
      </c>
      <c r="AD43" s="4" t="s">
        <v>13</v>
      </c>
      <c r="AE43" s="4" t="s">
        <v>14</v>
      </c>
      <c r="AF43" s="4" t="s">
        <v>13</v>
      </c>
      <c r="AG43" s="4" t="s">
        <v>14</v>
      </c>
      <c r="AH43" s="4" t="s">
        <v>13</v>
      </c>
      <c r="AI43" s="4" t="s">
        <v>14</v>
      </c>
    </row>
    <row r="44" spans="5:35" x14ac:dyDescent="0.25">
      <c r="E44" s="44">
        <v>1</v>
      </c>
      <c r="F44" s="124">
        <v>46250.347905092596</v>
      </c>
      <c r="G44" s="124">
        <v>46250.973101851851</v>
      </c>
      <c r="H44" s="131">
        <v>46251.345891203702</v>
      </c>
      <c r="I44" s="124">
        <v>46251.971030092594</v>
      </c>
      <c r="J44" s="124">
        <v>46252.346273148149</v>
      </c>
      <c r="K44" s="124">
        <v>46252.969131944446</v>
      </c>
      <c r="L44" s="124">
        <v>46253.351967592593</v>
      </c>
      <c r="M44" s="124">
        <v>1</v>
      </c>
      <c r="N44" s="124">
        <v>46254.342499999999</v>
      </c>
      <c r="O44" s="124">
        <v>46254.989374999997</v>
      </c>
      <c r="P44" s="126" t="s">
        <v>15</v>
      </c>
      <c r="Q44" s="126" t="s">
        <v>15</v>
      </c>
      <c r="R44" s="124">
        <v>46256.350752314815</v>
      </c>
      <c r="S44" s="124">
        <v>46256.987256944441</v>
      </c>
      <c r="T44" s="124">
        <v>46257.347453703704</v>
      </c>
      <c r="U44" s="124">
        <v>46257.967719907407</v>
      </c>
      <c r="V44" s="124">
        <v>46258.344155092593</v>
      </c>
      <c r="W44" s="124">
        <v>46258.964699074073</v>
      </c>
      <c r="X44" s="124">
        <v>46259.347719907404</v>
      </c>
      <c r="Y44" s="124">
        <v>46259.990902777776</v>
      </c>
      <c r="Z44" s="124">
        <v>46260.346608796295</v>
      </c>
      <c r="AA44" s="124">
        <v>46260.979363425926</v>
      </c>
      <c r="AB44" s="124">
        <v>46261.34716435185</v>
      </c>
      <c r="AC44" s="124">
        <v>46261.987210648149</v>
      </c>
      <c r="AD44" s="124">
        <v>46262.579305555555</v>
      </c>
      <c r="AE44" s="124">
        <v>46262.981481481482</v>
      </c>
      <c r="AF44" s="124">
        <v>46263.34957175926</v>
      </c>
      <c r="AG44" s="124">
        <v>46263.984039351853</v>
      </c>
      <c r="AH44" s="124">
        <v>46264.338113425925</v>
      </c>
      <c r="AI44" s="12">
        <v>1</v>
      </c>
    </row>
  </sheetData>
  <mergeCells count="72">
    <mergeCell ref="AG8:AH8"/>
    <mergeCell ref="AC9:AD9"/>
    <mergeCell ref="AE9:AF9"/>
    <mergeCell ref="AG9:AH9"/>
    <mergeCell ref="AD42:AE42"/>
    <mergeCell ref="AH41:AI41"/>
    <mergeCell ref="F42:G42"/>
    <mergeCell ref="H42:I42"/>
    <mergeCell ref="J42:K42"/>
    <mergeCell ref="L42:M42"/>
    <mergeCell ref="N42:O42"/>
    <mergeCell ref="P42:Q42"/>
    <mergeCell ref="R42:S42"/>
    <mergeCell ref="R41:S41"/>
    <mergeCell ref="T41:U41"/>
    <mergeCell ref="V41:W41"/>
    <mergeCell ref="T42:U42"/>
    <mergeCell ref="V42:W42"/>
    <mergeCell ref="X41:Y41"/>
    <mergeCell ref="Z41:AA41"/>
    <mergeCell ref="AB41:AC41"/>
    <mergeCell ref="AF42:AG42"/>
    <mergeCell ref="AH42:AI42"/>
    <mergeCell ref="X42:Y42"/>
    <mergeCell ref="Z42:AA42"/>
    <mergeCell ref="AB42:AC42"/>
    <mergeCell ref="AE4:AF4"/>
    <mergeCell ref="X13:X15"/>
    <mergeCell ref="Y13:Y14"/>
    <mergeCell ref="F9:M9"/>
    <mergeCell ref="F41:G41"/>
    <mergeCell ref="H41:I41"/>
    <mergeCell ref="J41:K41"/>
    <mergeCell ref="L41:M41"/>
    <mergeCell ref="N41:O41"/>
    <mergeCell ref="P41:Q41"/>
    <mergeCell ref="F10:O10"/>
    <mergeCell ref="AD41:AE41"/>
    <mergeCell ref="AF41:AG41"/>
    <mergeCell ref="U4:V4"/>
    <mergeCell ref="AC8:AD8"/>
    <mergeCell ref="AE8:AF8"/>
    <mergeCell ref="AC3:AD3"/>
    <mergeCell ref="W4:X4"/>
    <mergeCell ref="Y4:Z4"/>
    <mergeCell ref="AA4:AB4"/>
    <mergeCell ref="AC4:AD4"/>
    <mergeCell ref="U3:V3"/>
    <mergeCell ref="W3:X3"/>
    <mergeCell ref="Y3:Z3"/>
    <mergeCell ref="AA3:AB3"/>
    <mergeCell ref="K4:L4"/>
    <mergeCell ref="M4:N4"/>
    <mergeCell ref="O4:P4"/>
    <mergeCell ref="Q4:R4"/>
    <mergeCell ref="S4:T4"/>
    <mergeCell ref="AE3:AF3"/>
    <mergeCell ref="A2:AH2"/>
    <mergeCell ref="A3:C4"/>
    <mergeCell ref="E3:F3"/>
    <mergeCell ref="G3:H3"/>
    <mergeCell ref="I3:J3"/>
    <mergeCell ref="K3:L3"/>
    <mergeCell ref="M3:N3"/>
    <mergeCell ref="O3:P3"/>
    <mergeCell ref="Q3:R3"/>
    <mergeCell ref="S3:T3"/>
    <mergeCell ref="AG4:AH4"/>
    <mergeCell ref="AG3:AH3"/>
    <mergeCell ref="E4:F4"/>
    <mergeCell ref="G4:H4"/>
    <mergeCell ref="I4:J4"/>
  </mergeCells>
  <conditionalFormatting sqref="A5:AH5 A6 X13:X16 E43:AI43">
    <cfRule type="containsText" dxfId="809" priority="42" stopIfTrue="1" operator="containsText" text="SICK">
      <formula>NOT(ISERROR(SEARCH("SICK",A5)))</formula>
    </cfRule>
    <cfRule type="containsText" dxfId="808" priority="41" stopIfTrue="1" operator="containsText" text="FL">
      <formula>NOT(ISERROR(SEARCH("FL",A5)))</formula>
    </cfRule>
    <cfRule type="containsText" dxfId="807" priority="40" stopIfTrue="1" operator="containsText" text="AB">
      <formula>NOT(ISERROR(SEARCH("AB",A5)))</formula>
    </cfRule>
    <cfRule type="containsText" dxfId="806" priority="39" stopIfTrue="1" operator="containsText" text="EL">
      <formula>NOT(ISERROR(SEARCH("EL",A5)))</formula>
    </cfRule>
    <cfRule type="containsText" dxfId="805" priority="38" stopIfTrue="1" operator="containsText" text="AL">
      <formula>NOT(ISERROR(SEARCH("AL",A5)))</formula>
    </cfRule>
    <cfRule type="containsText" dxfId="804" priority="37" stopIfTrue="1" operator="containsText" text="SP">
      <formula>NOT(ISERROR(SEARCH("SP",A5)))</formula>
    </cfRule>
  </conditionalFormatting>
  <conditionalFormatting sqref="A1:BQ1 A2:AI2 A3:D4 AI3:AI11 E41:E42">
    <cfRule type="containsText" dxfId="803" priority="117" stopIfTrue="1" operator="containsText" text="SICK">
      <formula>NOT(ISERROR(SEARCH("SICK",A1)))</formula>
    </cfRule>
    <cfRule type="containsText" dxfId="802" priority="112" stopIfTrue="1" operator="containsText" text="SP">
      <formula>NOT(ISERROR(SEARCH("SP",A1)))</formula>
    </cfRule>
    <cfRule type="containsText" dxfId="801" priority="113" stopIfTrue="1" operator="containsText" text="AL">
      <formula>NOT(ISERROR(SEARCH("AL",A1)))</formula>
    </cfRule>
    <cfRule type="containsText" dxfId="800" priority="114" stopIfTrue="1" operator="containsText" text="EL">
      <formula>NOT(ISERROR(SEARCH("EL",A1)))</formula>
    </cfRule>
    <cfRule type="containsText" dxfId="799" priority="116" stopIfTrue="1" operator="containsText" text="FL">
      <formula>NOT(ISERROR(SEARCH("FL",A1)))</formula>
    </cfRule>
    <cfRule type="containsText" dxfId="798" priority="115" stopIfTrue="1" operator="containsText" text="AB">
      <formula>NOT(ISERROR(SEARCH("AB",A1)))</formula>
    </cfRule>
  </conditionalFormatting>
  <conditionalFormatting sqref="C6">
    <cfRule type="duplicateValues" dxfId="797" priority="46"/>
    <cfRule type="duplicateValues" dxfId="796" priority="45"/>
    <cfRule type="duplicateValues" dxfId="795" priority="44"/>
  </conditionalFormatting>
  <conditionalFormatting sqref="C29:C31">
    <cfRule type="duplicateValues" dxfId="794" priority="132"/>
  </conditionalFormatting>
  <conditionalFormatting sqref="C29:C36">
    <cfRule type="duplicateValues" dxfId="793" priority="131"/>
  </conditionalFormatting>
  <conditionalFormatting sqref="C29:C1048576 C1:C5 C7:C11">
    <cfRule type="duplicateValues" dxfId="792" priority="134"/>
  </conditionalFormatting>
  <conditionalFormatting sqref="C29:C1048576 C1:C5">
    <cfRule type="duplicateValues" dxfId="791" priority="133"/>
  </conditionalFormatting>
  <conditionalFormatting sqref="C6:D6">
    <cfRule type="duplicateValues" dxfId="790" priority="43"/>
  </conditionalFormatting>
  <conditionalFormatting sqref="C29:D1048576 C1:D5 C7:D11">
    <cfRule type="duplicateValues" dxfId="789" priority="135"/>
  </conditionalFormatting>
  <conditionalFormatting sqref="D6">
    <cfRule type="timePeriod" dxfId="788" priority="36" timePeriod="nextWeek">
      <formula>AND(ROUNDDOWN(D6,0)-TODAY()&gt;(7-WEEKDAY(TODAY())),ROUNDDOWN(D6,0)-TODAY()&lt;(15-WEEKDAY(TODAY())))</formula>
    </cfRule>
    <cfRule type="timePeriod" priority="35" timePeriod="nextWeek">
      <formula>AND(ROUNDDOWN(D6,0)-TODAY()&gt;(7-WEEKDAY(TODAY())),ROUNDDOWN(D6,0)-TODAY()&lt;(15-WEEKDAY(TODAY())))</formula>
    </cfRule>
  </conditionalFormatting>
  <conditionalFormatting sqref="E44">
    <cfRule type="containsText" dxfId="787" priority="25" operator="containsText" text="EL">
      <formula>NOT(ISERROR(SEARCH("EL",E44)))</formula>
    </cfRule>
    <cfRule type="containsText" dxfId="786" priority="31" operator="containsText" text="AB">
      <formula>NOT(ISERROR(SEARCH("AB",E44)))</formula>
    </cfRule>
    <cfRule type="containsText" dxfId="785" priority="26" operator="containsText" text="SP">
      <formula>NOT(ISERROR(SEARCH("SP",E44)))</formula>
    </cfRule>
    <cfRule type="containsText" dxfId="784" priority="27" operator="containsText" text="NL">
      <formula>NOT(ISERROR(SEARCH("NL",E44)))</formula>
    </cfRule>
    <cfRule type="containsText" dxfId="783" priority="28" operator="containsText" text="SUS">
      <formula>NOT(ISERROR(SEARCH("SUS",E44)))</formula>
    </cfRule>
    <cfRule type="containsText" dxfId="782" priority="29" operator="containsText" text="FL">
      <formula>NOT(ISERROR(SEARCH("FL",E44)))</formula>
    </cfRule>
    <cfRule type="containsText" dxfId="781" priority="30" operator="containsText" text="MC">
      <formula>NOT(ISERROR(SEARCH("MC",E44)))</formula>
    </cfRule>
    <cfRule type="containsText" dxfId="780" priority="32" operator="containsText" text="Sick">
      <formula>NOT(ISERROR(SEARCH("Sick",E44)))</formula>
    </cfRule>
    <cfRule type="containsText" dxfId="779" priority="34" operator="containsText" text="AL">
      <formula>NOT(ISERROR(SEARCH("AL",E44)))</formula>
    </cfRule>
    <cfRule type="containsText" dxfId="778" priority="33" operator="containsText" text="OFF">
      <formula>NOT(ISERROR(SEARCH("OFF",E44)))</formula>
    </cfRule>
  </conditionalFormatting>
  <conditionalFormatting sqref="M25:AB28">
    <cfRule type="containsText" dxfId="777" priority="122" stopIfTrue="1" operator="containsText" text="SICK">
      <formula>NOT(ISERROR(SEARCH("SICK",M25)))</formula>
    </cfRule>
    <cfRule type="containsText" dxfId="776" priority="120" stopIfTrue="1" operator="containsText" text="SP">
      <formula>NOT(ISERROR(SEARCH("SP",M25)))</formula>
    </cfRule>
    <cfRule type="containsText" priority="121" stopIfTrue="1" operator="containsText" text="SP">
      <formula>NOT(ISERROR(SEARCH("SP",M25)))</formula>
    </cfRule>
    <cfRule type="containsText" dxfId="775" priority="119" stopIfTrue="1" operator="containsText" text="SICK">
      <formula>NOT(ISERROR(SEARCH("SICK",M25)))</formula>
    </cfRule>
    <cfRule type="containsText" dxfId="774" priority="118" stopIfTrue="1" operator="containsText" text="AB">
      <formula>NOT(ISERROR(SEARCH("AB",M25)))</formula>
    </cfRule>
  </conditionalFormatting>
  <conditionalFormatting sqref="Y13">
    <cfRule type="cellIs" dxfId="773" priority="129" operator="equal">
      <formula>";"</formula>
    </cfRule>
  </conditionalFormatting>
  <conditionalFormatting sqref="Y16">
    <cfRule type="cellIs" dxfId="772" priority="130" stopIfTrue="1" operator="equal">
      <formula>";"</formula>
    </cfRule>
  </conditionalFormatting>
  <conditionalFormatting sqref="Y6:Z6">
    <cfRule type="containsText" dxfId="771" priority="15" operator="containsText" text="AL">
      <formula>NOT(ISERROR(SEARCH("AL",Y6)))</formula>
    </cfRule>
    <cfRule type="containsText" dxfId="770" priority="14" operator="containsText" text="OFF">
      <formula>NOT(ISERROR(SEARCH("OFF",Y6)))</formula>
    </cfRule>
    <cfRule type="containsText" dxfId="769" priority="13" operator="containsText" text="Sick">
      <formula>NOT(ISERROR(SEARCH("Sick",Y6)))</formula>
    </cfRule>
    <cfRule type="containsText" dxfId="768" priority="7" operator="containsText" text="EL">
      <formula>NOT(ISERROR(SEARCH("EL",Y6)))</formula>
    </cfRule>
    <cfRule type="containsText" dxfId="767" priority="12" operator="containsText" text="AB">
      <formula>NOT(ISERROR(SEARCH("AB",Y6)))</formula>
    </cfRule>
    <cfRule type="containsText" dxfId="766" priority="11" operator="containsText" text="MC">
      <formula>NOT(ISERROR(SEARCH("MC",Y6)))</formula>
    </cfRule>
    <cfRule type="containsText" dxfId="765" priority="10" operator="containsText" text="FL">
      <formula>NOT(ISERROR(SEARCH("FL",Y6)))</formula>
    </cfRule>
    <cfRule type="containsText" dxfId="764" priority="9" operator="containsText" text="SUS">
      <formula>NOT(ISERROR(SEARCH("SUS",Y6)))</formula>
    </cfRule>
    <cfRule type="containsText" dxfId="763" priority="8" operator="containsText" text="AB">
      <formula>NOT(ISERROR(SEARCH("AB",Y6)))</formula>
    </cfRule>
  </conditionalFormatting>
  <conditionalFormatting sqref="Z44:AA44">
    <cfRule type="containsText" dxfId="762" priority="21" operator="containsText" text="AB">
      <formula>NOT(ISERROR(SEARCH("AB",Z44)))</formula>
    </cfRule>
    <cfRule type="containsText" dxfId="761" priority="22" operator="containsText" text="Sick">
      <formula>NOT(ISERROR(SEARCH("Sick",Z44)))</formula>
    </cfRule>
    <cfRule type="containsText" dxfId="760" priority="23" operator="containsText" text="OFF">
      <formula>NOT(ISERROR(SEARCH("OFF",Z44)))</formula>
    </cfRule>
    <cfRule type="containsText" dxfId="759" priority="24" operator="containsText" text="AL">
      <formula>NOT(ISERROR(SEARCH("AL",Z44)))</formula>
    </cfRule>
    <cfRule type="containsText" dxfId="758" priority="17" operator="containsText" text="AB">
      <formula>NOT(ISERROR(SEARCH("AB",Z44)))</formula>
    </cfRule>
    <cfRule type="containsText" dxfId="757" priority="16" operator="containsText" text="EL">
      <formula>NOT(ISERROR(SEARCH("EL",Z44)))</formula>
    </cfRule>
    <cfRule type="containsText" dxfId="756" priority="18" operator="containsText" text="SUS">
      <formula>NOT(ISERROR(SEARCH("SUS",Z44)))</formula>
    </cfRule>
    <cfRule type="containsText" dxfId="755" priority="19" operator="containsText" text="FL">
      <formula>NOT(ISERROR(SEARCH("FL",Z44)))</formula>
    </cfRule>
    <cfRule type="containsText" dxfId="754" priority="20" operator="containsText" text="MC">
      <formula>NOT(ISERROR(SEARCH("MC",Z44)))</formula>
    </cfRule>
  </conditionalFormatting>
  <conditionalFormatting sqref="AA15">
    <cfRule type="containsText" dxfId="753" priority="103" operator="containsText" text="OFF">
      <formula>NOT(ISERROR(SEARCH("OFF",AA15)))</formula>
    </cfRule>
    <cfRule type="containsText" dxfId="752" priority="104" operator="containsText" text="AL">
      <formula>NOT(ISERROR(SEARCH("AL",AA15)))</formula>
    </cfRule>
    <cfRule type="containsText" dxfId="751" priority="102" operator="containsText" text="Sick">
      <formula>NOT(ISERROR(SEARCH("Sick",AA15)))</formula>
    </cfRule>
    <cfRule type="containsText" dxfId="750" priority="101" operator="containsText" text="AB">
      <formula>NOT(ISERROR(SEARCH("AB",AA15)))</formula>
    </cfRule>
    <cfRule type="containsText" dxfId="749" priority="100" operator="containsText" text="MC">
      <formula>NOT(ISERROR(SEARCH("MC",AA15)))</formula>
    </cfRule>
    <cfRule type="containsText" dxfId="748" priority="99" operator="containsText" text="FL">
      <formula>NOT(ISERROR(SEARCH("FL",AA15)))</formula>
    </cfRule>
    <cfRule type="containsText" dxfId="747" priority="98" operator="containsText" text="SUS">
      <formula>NOT(ISERROR(SEARCH("SUS",AA15)))</formula>
    </cfRule>
  </conditionalFormatting>
  <conditionalFormatting sqref="AA15:AB15">
    <cfRule type="containsText" dxfId="746" priority="59" operator="containsText" text="AB">
      <formula>NOT(ISERROR(SEARCH("AB",AA15)))</formula>
    </cfRule>
  </conditionalFormatting>
  <conditionalFormatting sqref="AA15:AF15">
    <cfRule type="containsText" dxfId="745" priority="47" operator="containsText" text="EL">
      <formula>NOT(ISERROR(SEARCH("EL",AA15)))</formula>
    </cfRule>
  </conditionalFormatting>
  <conditionalFormatting sqref="AB15">
    <cfRule type="containsText" dxfId="744" priority="56" operator="containsText" text="SUS">
      <formula>NOT(ISERROR(SEARCH("SUS",AB15)))</formula>
    </cfRule>
    <cfRule type="containsText" dxfId="743" priority="57" operator="containsText" text="FL">
      <formula>NOT(ISERROR(SEARCH("FL",AB15)))</formula>
    </cfRule>
    <cfRule type="containsText" dxfId="742" priority="58" operator="containsText" text="MC">
      <formula>NOT(ISERROR(SEARCH("MC",AB15)))</formula>
    </cfRule>
    <cfRule type="containsText" dxfId="741" priority="61" operator="containsText" text="OFF">
      <formula>NOT(ISERROR(SEARCH("OFF",AB15)))</formula>
    </cfRule>
    <cfRule type="containsText" dxfId="740" priority="60" operator="containsText" text="Sick">
      <formula>NOT(ISERROR(SEARCH("Sick",AB15)))</formula>
    </cfRule>
    <cfRule type="containsText" dxfId="739" priority="62" operator="containsText" text="AL">
      <formula>NOT(ISERROR(SEARCH("AL",AB15)))</formula>
    </cfRule>
  </conditionalFormatting>
  <conditionalFormatting sqref="AB15:AC15">
    <cfRule type="containsText" dxfId="738" priority="52" operator="containsText" text="AB">
      <formula>NOT(ISERROR(SEARCH("AB",AB15)))</formula>
    </cfRule>
  </conditionalFormatting>
  <conditionalFormatting sqref="AC15">
    <cfRule type="containsText" dxfId="737" priority="50" operator="containsText" text="FL">
      <formula>NOT(ISERROR(SEARCH("FL",AC15)))</formula>
    </cfRule>
    <cfRule type="containsText" dxfId="736" priority="54" operator="containsText" text="OFF">
      <formula>NOT(ISERROR(SEARCH("OFF",AC15)))</formula>
    </cfRule>
    <cfRule type="containsText" dxfId="735" priority="55" operator="containsText" text="AL">
      <formula>NOT(ISERROR(SEARCH("AL",AC15)))</formula>
    </cfRule>
    <cfRule type="containsText" dxfId="734" priority="48" operator="containsText" text="AB">
      <formula>NOT(ISERROR(SEARCH("AB",AC15)))</formula>
    </cfRule>
    <cfRule type="containsText" dxfId="733" priority="49" operator="containsText" text="SUS">
      <formula>NOT(ISERROR(SEARCH("SUS",AC15)))</formula>
    </cfRule>
    <cfRule type="containsText" dxfId="732" priority="51" operator="containsText" text="MC">
      <formula>NOT(ISERROR(SEARCH("MC",AC15)))</formula>
    </cfRule>
    <cfRule type="containsText" dxfId="731" priority="53" operator="containsText" text="Sick">
      <formula>NOT(ISERROR(SEARCH("Sick",AC15)))</formula>
    </cfRule>
  </conditionalFormatting>
  <conditionalFormatting sqref="AC10:AH10">
    <cfRule type="containsText" dxfId="730" priority="3" stopIfTrue="1" operator="containsText" text="EL">
      <formula>NOT(ISERROR(SEARCH("EL",AC10)))</formula>
    </cfRule>
    <cfRule type="containsText" dxfId="729" priority="4" stopIfTrue="1" operator="containsText" text="AB">
      <formula>NOT(ISERROR(SEARCH("AB",AC10)))</formula>
    </cfRule>
    <cfRule type="containsText" dxfId="728" priority="5" stopIfTrue="1" operator="containsText" text="FL">
      <formula>NOT(ISERROR(SEARCH("FL",AC10)))</formula>
    </cfRule>
    <cfRule type="containsText" dxfId="727" priority="6" stopIfTrue="1" operator="containsText" text="SICK">
      <formula>NOT(ISERROR(SEARCH("SICK",AC10)))</formula>
    </cfRule>
    <cfRule type="containsText" dxfId="726" priority="1" stopIfTrue="1" operator="containsText" text="SP">
      <formula>NOT(ISERROR(SEARCH("SP",AC10)))</formula>
    </cfRule>
    <cfRule type="containsText" dxfId="725" priority="2" stopIfTrue="1" operator="containsText" text="AL">
      <formula>NOT(ISERROR(SEARCH("AL",AC10)))</formula>
    </cfRule>
  </conditionalFormatting>
  <conditionalFormatting sqref="AD15">
    <cfRule type="containsText" dxfId="724" priority="105" operator="containsText" text="SUS">
      <formula>NOT(ISERROR(SEARCH("SUS",AD15)))</formula>
    </cfRule>
    <cfRule type="containsText" dxfId="723" priority="106" operator="containsText" text="FL">
      <formula>NOT(ISERROR(SEARCH("FL",AD15)))</formula>
    </cfRule>
    <cfRule type="containsText" dxfId="722" priority="107" operator="containsText" text="MC">
      <formula>NOT(ISERROR(SEARCH("MC",AD15)))</formula>
    </cfRule>
    <cfRule type="containsText" dxfId="721" priority="108" operator="containsText" text="AB">
      <formula>NOT(ISERROR(SEARCH("AB",AD15)))</formula>
    </cfRule>
    <cfRule type="containsText" dxfId="720" priority="109" operator="containsText" text="Sick">
      <formula>NOT(ISERROR(SEARCH("Sick",AD15)))</formula>
    </cfRule>
    <cfRule type="containsText" dxfId="719" priority="110" operator="containsText" text="OFF">
      <formula>NOT(ISERROR(SEARCH("OFF",AD15)))</formula>
    </cfRule>
    <cfRule type="containsText" dxfId="718" priority="111" operator="containsText" text="AL">
      <formula>NOT(ISERROR(SEARCH("AL",AD15)))</formula>
    </cfRule>
  </conditionalFormatting>
  <conditionalFormatting sqref="AD15:AF15">
    <cfRule type="containsText" dxfId="717" priority="67" operator="containsText" text="AB">
      <formula>NOT(ISERROR(SEARCH("AB",AD15)))</formula>
    </cfRule>
  </conditionalFormatting>
  <conditionalFormatting sqref="AE15">
    <cfRule type="containsText" dxfId="716" priority="69" operator="containsText" text="OFF">
      <formula>NOT(ISERROR(SEARCH("OFF",AE15)))</formula>
    </cfRule>
    <cfRule type="containsText" dxfId="715" priority="70" operator="containsText" text="AL">
      <formula>NOT(ISERROR(SEARCH("AL",AE15)))</formula>
    </cfRule>
    <cfRule type="containsText" dxfId="714" priority="65" operator="containsText" text="FL">
      <formula>NOT(ISERROR(SEARCH("FL",AE15)))</formula>
    </cfRule>
    <cfRule type="containsText" dxfId="713" priority="66" operator="containsText" text="MC">
      <formula>NOT(ISERROR(SEARCH("MC",AE15)))</formula>
    </cfRule>
    <cfRule type="containsText" dxfId="712" priority="68" operator="containsText" text="Sick">
      <formula>NOT(ISERROR(SEARCH("Sick",AE15)))</formula>
    </cfRule>
    <cfRule type="containsText" dxfId="711" priority="63" operator="containsText" text="AB">
      <formula>NOT(ISERROR(SEARCH("AB",AE15)))</formula>
    </cfRule>
    <cfRule type="containsText" dxfId="710" priority="64" operator="containsText" text="SUS">
      <formula>NOT(ISERROR(SEARCH("SUS",AE15)))</formula>
    </cfRule>
  </conditionalFormatting>
  <conditionalFormatting sqref="AF15">
    <cfRule type="containsText" dxfId="709" priority="71" operator="containsText" text="SUS">
      <formula>NOT(ISERROR(SEARCH("SUS",AF15)))</formula>
    </cfRule>
    <cfRule type="containsText" dxfId="708" priority="72" operator="containsText" text="FL">
      <formula>NOT(ISERROR(SEARCH("FL",AF15)))</formula>
    </cfRule>
    <cfRule type="containsText" dxfId="707" priority="73" operator="containsText" text="MC">
      <formula>NOT(ISERROR(SEARCH("MC",AF15)))</formula>
    </cfRule>
    <cfRule type="containsText" dxfId="706" priority="74" operator="containsText" text="AB">
      <formula>NOT(ISERROR(SEARCH("AB",AF15)))</formula>
    </cfRule>
    <cfRule type="containsText" dxfId="705" priority="76" operator="containsText" text="OFF">
      <formula>NOT(ISERROR(SEARCH("OFF",AF15)))</formula>
    </cfRule>
    <cfRule type="containsText" dxfId="704" priority="77" operator="containsText" text="AL">
      <formula>NOT(ISERROR(SEARCH("AL",AF15)))</formula>
    </cfRule>
    <cfRule type="containsText" dxfId="703" priority="75" operator="containsText" text="Sick">
      <formula>NOT(ISERROR(SEARCH("Sick",AF15)))</formula>
    </cfRule>
  </conditionalFormatting>
  <conditionalFormatting sqref="AG15">
    <cfRule type="containsText" dxfId="702" priority="96" operator="containsText" text="SICK">
      <formula>NOT(ISERROR(SEARCH("SICK",AG15)))</formula>
    </cfRule>
    <cfRule type="containsText" dxfId="701" priority="95" operator="containsText" text="AB">
      <formula>NOT(ISERROR(SEARCH("AB",AG15)))</formula>
    </cfRule>
    <cfRule type="containsText" dxfId="700" priority="91" operator="containsText" text="FL">
      <formula>NOT(ISERROR(SEARCH("FL",AG15)))</formula>
    </cfRule>
    <cfRule type="containsText" dxfId="699" priority="92" operator="containsText" text="EL">
      <formula>NOT(ISERROR(SEARCH("EL",AG15)))</formula>
    </cfRule>
    <cfRule type="containsText" dxfId="698" priority="93" operator="containsText" text="MC">
      <formula>NOT(ISERROR(SEARCH("MC",AG15)))</formula>
    </cfRule>
    <cfRule type="containsText" dxfId="697" priority="90" operator="containsText" text="SUS">
      <formula>NOT(ISERROR(SEARCH("SUS",AG15)))</formula>
    </cfRule>
    <cfRule type="containsText" dxfId="696" priority="89" operator="containsText" text="NL">
      <formula>NOT(ISERROR(SEARCH("NL",AG15)))</formula>
    </cfRule>
    <cfRule type="containsText" dxfId="695" priority="97" operator="containsText" text="AL">
      <formula>NOT(ISERROR(SEARCH("AL",AG15)))</formula>
    </cfRule>
    <cfRule type="containsText" dxfId="694" priority="94" operator="containsText" text="OFF">
      <formula>NOT(ISERROR(SEARCH("OFF",AG15)))</formula>
    </cfRule>
    <cfRule type="containsText" dxfId="693" priority="88" operator="containsText" text="SP">
      <formula>NOT(ISERROR(SEARCH("SP",AG15)))</formula>
    </cfRule>
  </conditionalFormatting>
  <conditionalFormatting sqref="AG17 AJ18:AJ28">
    <cfRule type="containsText" dxfId="692" priority="123" stopIfTrue="1" operator="containsText" text="SICK">
      <formula>NOT(ISERROR(SEARCH("SICK",AG17)))</formula>
    </cfRule>
    <cfRule type="containsText" dxfId="691" priority="124" stopIfTrue="1" operator="containsText" text="SP">
      <formula>NOT(ISERROR(SEARCH("SP",AG17)))</formula>
    </cfRule>
    <cfRule type="containsText" priority="125" stopIfTrue="1" operator="containsText" text="SP">
      <formula>NOT(ISERROR(SEARCH("SP",AG17)))</formula>
    </cfRule>
    <cfRule type="containsText" dxfId="690" priority="127" stopIfTrue="1" operator="containsText" text="HD">
      <formula>NOT(ISERROR(SEARCH("HD",AG17)))</formula>
    </cfRule>
    <cfRule type="containsText" dxfId="689" priority="128" stopIfTrue="1" operator="containsText" text="AB">
      <formula>NOT(ISERROR(SEARCH("AB",AG17)))</formula>
    </cfRule>
    <cfRule type="containsText" dxfId="688" priority="126" stopIfTrue="1" operator="containsText" text="AB">
      <formula>NOT(ISERROR(SEARCH("AB",AG17)))</formula>
    </cfRule>
  </conditionalFormatting>
  <conditionalFormatting sqref="AI15:AK15">
    <cfRule type="containsText" dxfId="687" priority="78" operator="containsText" text="SP">
      <formula>NOT(ISERROR(SEARCH("SP",AI15)))</formula>
    </cfRule>
    <cfRule type="containsText" dxfId="686" priority="87" operator="containsText" text="AL">
      <formula>NOT(ISERROR(SEARCH("AL",AI15)))</formula>
    </cfRule>
    <cfRule type="containsText" dxfId="685" priority="86" operator="containsText" text="SICK">
      <formula>NOT(ISERROR(SEARCH("SICK",AI15)))</formula>
    </cfRule>
    <cfRule type="containsText" dxfId="684" priority="85" operator="containsText" text="AB">
      <formula>NOT(ISERROR(SEARCH("AB",AI15)))</formula>
    </cfRule>
    <cfRule type="containsText" dxfId="683" priority="83" operator="containsText" text="MC">
      <formula>NOT(ISERROR(SEARCH("MC",AI15)))</formula>
    </cfRule>
    <cfRule type="containsText" dxfId="682" priority="82" operator="containsText" text="EL">
      <formula>NOT(ISERROR(SEARCH("EL",AI15)))</formula>
    </cfRule>
    <cfRule type="containsText" dxfId="681" priority="81" operator="containsText" text="FL">
      <formula>NOT(ISERROR(SEARCH("FL",AI15)))</formula>
    </cfRule>
    <cfRule type="containsText" dxfId="680" priority="80" operator="containsText" text="SUS">
      <formula>NOT(ISERROR(SEARCH("SUS",AI15)))</formula>
    </cfRule>
    <cfRule type="containsText" dxfId="679" priority="79" operator="containsText" text="NL">
      <formula>NOT(ISERROR(SEARCH("NL",AI15)))</formula>
    </cfRule>
    <cfRule type="containsText" dxfId="678" priority="84" operator="containsText" text="OFF">
      <formula>NOT(ISERROR(SEARCH("OFF",AI15)))</formula>
    </cfRule>
  </conditionalFormatting>
  <pageMargins left="0.7" right="0.7" top="0.75" bottom="0.75" header="0.3" footer="0.3"/>
  <pageSetup paperSize="9" scale="4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20B42-E678-4812-AC2C-2439782D1AA9}">
  <sheetPr>
    <pageSetUpPr fitToPage="1"/>
  </sheetPr>
  <dimension ref="A1:CC44"/>
  <sheetViews>
    <sheetView zoomScaleNormal="100" workbookViewId="0">
      <selection activeCell="F11" sqref="F11"/>
    </sheetView>
  </sheetViews>
  <sheetFormatPr defaultRowHeight="15" x14ac:dyDescent="0.25"/>
  <cols>
    <col min="1" max="1" width="5.140625" style="45" customWidth="1"/>
    <col min="2" max="2" width="12" style="15" customWidth="1"/>
    <col min="3" max="3" width="33.7109375" customWidth="1"/>
    <col min="4" max="4" width="10" hidden="1" customWidth="1"/>
    <col min="5" max="32" width="6.5703125" customWidth="1"/>
    <col min="33" max="34" width="6.28515625" customWidth="1"/>
    <col min="35" max="35" width="6.28515625" style="73" customWidth="1"/>
    <col min="36" max="36" width="6.28515625" style="57" hidden="1" customWidth="1"/>
    <col min="37" max="37" width="6.28515625" hidden="1" customWidth="1"/>
    <col min="38" max="38" width="10.28515625" customWidth="1"/>
    <col min="39" max="68" width="6.5703125" customWidth="1"/>
    <col min="69" max="69" width="5.85546875" style="15" customWidth="1"/>
    <col min="70" max="77" width="5" customWidth="1"/>
    <col min="78" max="78" width="5.85546875" customWidth="1"/>
    <col min="79" max="82" width="5" customWidth="1"/>
  </cols>
  <sheetData>
    <row r="1" spans="1:69" ht="15.75" x14ac:dyDescent="0.25"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33"/>
      <c r="Y1" s="33"/>
    </row>
    <row r="2" spans="1:69" ht="25.5" customHeight="1" x14ac:dyDescent="0.25">
      <c r="A2" s="255" t="s">
        <v>271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  <c r="AA2" s="256"/>
      <c r="AB2" s="256"/>
      <c r="AC2" s="256"/>
      <c r="AD2" s="256"/>
      <c r="AE2" s="256"/>
      <c r="AF2" s="256"/>
      <c r="AG2" s="256"/>
      <c r="AH2" s="257"/>
      <c r="AI2" s="106"/>
    </row>
    <row r="3" spans="1:69" ht="22.5" customHeight="1" x14ac:dyDescent="0.25">
      <c r="A3" s="249" t="s">
        <v>169</v>
      </c>
      <c r="B3" s="250"/>
      <c r="C3" s="251"/>
      <c r="D3" s="84"/>
      <c r="E3" s="240" t="s">
        <v>7</v>
      </c>
      <c r="F3" s="240"/>
      <c r="G3" s="240" t="s">
        <v>1</v>
      </c>
      <c r="H3" s="240"/>
      <c r="I3" s="240" t="s">
        <v>2</v>
      </c>
      <c r="J3" s="240"/>
      <c r="K3" s="240" t="s">
        <v>3</v>
      </c>
      <c r="L3" s="240"/>
      <c r="M3" s="240" t="s">
        <v>4</v>
      </c>
      <c r="N3" s="240"/>
      <c r="O3" s="240" t="s">
        <v>5</v>
      </c>
      <c r="P3" s="240"/>
      <c r="Q3" s="240" t="s">
        <v>6</v>
      </c>
      <c r="R3" s="240"/>
      <c r="S3" s="240" t="s">
        <v>7</v>
      </c>
      <c r="T3" s="240"/>
      <c r="U3" s="240" t="s">
        <v>1</v>
      </c>
      <c r="V3" s="240"/>
      <c r="W3" s="240" t="s">
        <v>2</v>
      </c>
      <c r="X3" s="240"/>
      <c r="Y3" s="240" t="s">
        <v>3</v>
      </c>
      <c r="Z3" s="240"/>
      <c r="AA3" s="240" t="s">
        <v>4</v>
      </c>
      <c r="AB3" s="240"/>
      <c r="AC3" s="240" t="s">
        <v>5</v>
      </c>
      <c r="AD3" s="240"/>
      <c r="AE3" s="240" t="s">
        <v>6</v>
      </c>
      <c r="AF3" s="240"/>
      <c r="AG3" s="240" t="s">
        <v>7</v>
      </c>
      <c r="AH3" s="240"/>
      <c r="AI3" s="106"/>
    </row>
    <row r="4" spans="1:69" ht="22.5" customHeight="1" x14ac:dyDescent="0.25">
      <c r="A4" s="252"/>
      <c r="B4" s="253"/>
      <c r="C4" s="254"/>
      <c r="D4" s="84"/>
      <c r="E4" s="242">
        <v>46266</v>
      </c>
      <c r="F4" s="242"/>
      <c r="G4" s="242">
        <v>46267</v>
      </c>
      <c r="H4" s="242"/>
      <c r="I4" s="242">
        <v>46268</v>
      </c>
      <c r="J4" s="242"/>
      <c r="K4" s="242">
        <v>46269</v>
      </c>
      <c r="L4" s="242"/>
      <c r="M4" s="242">
        <v>46270</v>
      </c>
      <c r="N4" s="242"/>
      <c r="O4" s="242">
        <v>46271</v>
      </c>
      <c r="P4" s="242"/>
      <c r="Q4" s="242">
        <v>46272</v>
      </c>
      <c r="R4" s="242"/>
      <c r="S4" s="242">
        <v>46273</v>
      </c>
      <c r="T4" s="242"/>
      <c r="U4" s="242">
        <v>46274</v>
      </c>
      <c r="V4" s="242"/>
      <c r="W4" s="242">
        <v>46275</v>
      </c>
      <c r="X4" s="242"/>
      <c r="Y4" s="242">
        <v>46276</v>
      </c>
      <c r="Z4" s="242"/>
      <c r="AA4" s="242">
        <v>46277</v>
      </c>
      <c r="AB4" s="242"/>
      <c r="AC4" s="242">
        <v>46278</v>
      </c>
      <c r="AD4" s="242"/>
      <c r="AE4" s="242">
        <v>46279</v>
      </c>
      <c r="AF4" s="242"/>
      <c r="AG4" s="242">
        <v>46280</v>
      </c>
      <c r="AH4" s="242"/>
      <c r="AI4" s="106"/>
    </row>
    <row r="5" spans="1:69" ht="20.25" customHeight="1" x14ac:dyDescent="0.25">
      <c r="A5" s="4" t="s">
        <v>10</v>
      </c>
      <c r="B5" s="4" t="s">
        <v>11</v>
      </c>
      <c r="C5" s="4" t="s">
        <v>12</v>
      </c>
      <c r="D5" s="13"/>
      <c r="E5" s="13" t="s">
        <v>13</v>
      </c>
      <c r="F5" s="13" t="s">
        <v>14</v>
      </c>
      <c r="G5" s="13" t="s">
        <v>13</v>
      </c>
      <c r="H5" s="13" t="s">
        <v>14</v>
      </c>
      <c r="I5" s="13" t="s">
        <v>13</v>
      </c>
      <c r="J5" s="13" t="s">
        <v>14</v>
      </c>
      <c r="K5" s="13" t="s">
        <v>13</v>
      </c>
      <c r="L5" s="13" t="s">
        <v>14</v>
      </c>
      <c r="M5" s="13" t="s">
        <v>13</v>
      </c>
      <c r="N5" s="13" t="s">
        <v>14</v>
      </c>
      <c r="O5" s="13" t="s">
        <v>13</v>
      </c>
      <c r="P5" s="13" t="s">
        <v>14</v>
      </c>
      <c r="Q5" s="13" t="s">
        <v>13</v>
      </c>
      <c r="R5" s="13" t="s">
        <v>14</v>
      </c>
      <c r="S5" s="13" t="s">
        <v>13</v>
      </c>
      <c r="T5" s="13" t="s">
        <v>14</v>
      </c>
      <c r="U5" s="13" t="s">
        <v>13</v>
      </c>
      <c r="V5" s="13" t="s">
        <v>14</v>
      </c>
      <c r="W5" s="13" t="s">
        <v>13</v>
      </c>
      <c r="X5" s="13" t="s">
        <v>14</v>
      </c>
      <c r="Y5" s="4" t="s">
        <v>13</v>
      </c>
      <c r="Z5" s="4" t="s">
        <v>14</v>
      </c>
      <c r="AA5" s="4" t="s">
        <v>13</v>
      </c>
      <c r="AB5" s="4" t="s">
        <v>14</v>
      </c>
      <c r="AC5" s="4" t="s">
        <v>13</v>
      </c>
      <c r="AD5" s="4" t="s">
        <v>14</v>
      </c>
      <c r="AE5" s="4" t="s">
        <v>13</v>
      </c>
      <c r="AF5" s="4" t="s">
        <v>14</v>
      </c>
      <c r="AG5" s="4" t="s">
        <v>13</v>
      </c>
      <c r="AH5" s="4" t="s">
        <v>14</v>
      </c>
      <c r="AI5" s="106"/>
    </row>
    <row r="6" spans="1:69" ht="21.75" customHeight="1" x14ac:dyDescent="0.25">
      <c r="A6" s="10">
        <v>1</v>
      </c>
      <c r="B6" s="11" t="s">
        <v>88</v>
      </c>
      <c r="C6" s="8" t="s">
        <v>89</v>
      </c>
      <c r="D6" s="85">
        <v>38713</v>
      </c>
      <c r="E6" s="124">
        <v>46266.35292824074</v>
      </c>
      <c r="F6" s="124">
        <v>46264.948553240742</v>
      </c>
      <c r="G6" s="124">
        <v>46267.353715277779</v>
      </c>
      <c r="H6" s="124">
        <v>46267.910081018519</v>
      </c>
      <c r="I6" s="124">
        <v>46268.351944444446</v>
      </c>
      <c r="J6" s="124">
        <v>46268.943611111114</v>
      </c>
      <c r="K6" s="178" t="s">
        <v>15</v>
      </c>
      <c r="L6" s="178" t="s">
        <v>15</v>
      </c>
      <c r="M6" s="124">
        <v>46270.350972222222</v>
      </c>
      <c r="N6" s="124">
        <v>0</v>
      </c>
      <c r="O6" s="124">
        <v>46271.353136574071</v>
      </c>
      <c r="P6" s="124">
        <v>46271.877881944441</v>
      </c>
      <c r="Q6" s="124">
        <v>46272.352326388886</v>
      </c>
      <c r="R6" s="124">
        <v>46272.917013888888</v>
      </c>
      <c r="S6" s="124">
        <v>46273.353333333333</v>
      </c>
      <c r="T6" s="124">
        <v>46273.905532407407</v>
      </c>
      <c r="U6" s="124">
        <v>46274.349675925929</v>
      </c>
      <c r="V6" s="124">
        <v>46274.937893518516</v>
      </c>
      <c r="W6" s="124">
        <v>46275.350370370368</v>
      </c>
      <c r="X6" s="124">
        <v>46275.923877314817</v>
      </c>
      <c r="Y6" s="124">
        <v>46276.583333333336</v>
      </c>
      <c r="Z6" s="124">
        <v>0</v>
      </c>
      <c r="AA6" s="124">
        <v>46277.353460648148</v>
      </c>
      <c r="AB6" s="124">
        <v>46277.939583333333</v>
      </c>
      <c r="AC6" s="124">
        <v>46278.351909722223</v>
      </c>
      <c r="AD6" s="124">
        <v>46278.92528935185</v>
      </c>
      <c r="AE6" s="124">
        <v>46279.350775462961</v>
      </c>
      <c r="AF6" s="124">
        <v>46279.927349537036</v>
      </c>
      <c r="AG6" s="124">
        <v>46280.354560185187</v>
      </c>
      <c r="AH6" s="124">
        <v>46280.916226851848</v>
      </c>
      <c r="AI6" s="106"/>
    </row>
    <row r="7" spans="1:69" ht="18.75" x14ac:dyDescent="0.25">
      <c r="AI7" s="106"/>
    </row>
    <row r="8" spans="1:69" ht="18.75" x14ac:dyDescent="0.25">
      <c r="AC8" s="240" t="s">
        <v>1</v>
      </c>
      <c r="AD8" s="240"/>
      <c r="AE8" s="240" t="s">
        <v>2</v>
      </c>
      <c r="AF8" s="240"/>
      <c r="AG8" s="240" t="s">
        <v>3</v>
      </c>
      <c r="AH8" s="240"/>
      <c r="AI8" s="106"/>
    </row>
    <row r="9" spans="1:69" ht="18.75" x14ac:dyDescent="0.25">
      <c r="E9" s="135" t="s">
        <v>245</v>
      </c>
      <c r="F9" s="276" t="s">
        <v>275</v>
      </c>
      <c r="G9" s="276"/>
      <c r="H9" s="276"/>
      <c r="I9" s="276"/>
      <c r="J9" s="276"/>
      <c r="K9" s="276"/>
      <c r="L9" s="276"/>
      <c r="M9" s="276"/>
      <c r="AC9" s="242">
        <v>46281</v>
      </c>
      <c r="AD9" s="242"/>
      <c r="AE9" s="242">
        <v>46282</v>
      </c>
      <c r="AF9" s="242"/>
      <c r="AG9" s="242">
        <v>46283</v>
      </c>
      <c r="AH9" s="242"/>
      <c r="AI9" s="106"/>
    </row>
    <row r="10" spans="1:69" ht="18.75" x14ac:dyDescent="0.25">
      <c r="F10" s="275" t="s">
        <v>276</v>
      </c>
      <c r="G10" s="275"/>
      <c r="H10" s="275"/>
      <c r="I10" s="275"/>
      <c r="J10" s="275"/>
      <c r="K10" s="275"/>
      <c r="L10" s="275"/>
      <c r="M10" s="275"/>
      <c r="N10" s="275"/>
      <c r="O10" s="275"/>
      <c r="AC10" s="4" t="s">
        <v>13</v>
      </c>
      <c r="AD10" s="4" t="s">
        <v>14</v>
      </c>
      <c r="AE10" s="4" t="s">
        <v>13</v>
      </c>
      <c r="AF10" s="4" t="s">
        <v>14</v>
      </c>
      <c r="AG10" s="4" t="s">
        <v>13</v>
      </c>
      <c r="AH10" s="4" t="s">
        <v>14</v>
      </c>
      <c r="AI10" s="106"/>
    </row>
    <row r="11" spans="1:69" ht="18.75" x14ac:dyDescent="0.25">
      <c r="E11" s="137" t="s">
        <v>246</v>
      </c>
      <c r="F11" t="s">
        <v>282</v>
      </c>
      <c r="J11" s="138"/>
      <c r="K11" s="151"/>
      <c r="L11" s="151"/>
      <c r="M11" s="151"/>
      <c r="N11" s="151"/>
      <c r="O11" s="151"/>
      <c r="AC11" s="182">
        <v>1</v>
      </c>
      <c r="AD11" s="182">
        <v>1</v>
      </c>
      <c r="AE11" s="182">
        <v>1</v>
      </c>
      <c r="AF11" s="182">
        <v>1</v>
      </c>
      <c r="AG11" s="182">
        <v>1</v>
      </c>
      <c r="AH11" s="182">
        <v>1</v>
      </c>
      <c r="AI11" s="106"/>
    </row>
    <row r="12" spans="1:69" x14ac:dyDescent="0.25">
      <c r="AF12" s="73"/>
      <c r="AG12" s="57"/>
      <c r="AI12"/>
      <c r="AJ12"/>
      <c r="BN12" s="15"/>
    </row>
    <row r="13" spans="1:69" ht="15" customHeight="1" x14ac:dyDescent="0.25">
      <c r="X13" s="266" t="s">
        <v>8</v>
      </c>
      <c r="Y13" s="247" t="s">
        <v>9</v>
      </c>
      <c r="Z13" s="133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BN13" s="15"/>
    </row>
    <row r="14" spans="1:69" x14ac:dyDescent="0.25">
      <c r="X14" s="267"/>
      <c r="Y14" s="248"/>
      <c r="Z14" s="61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BN14" s="15"/>
    </row>
    <row r="15" spans="1:69" x14ac:dyDescent="0.25">
      <c r="X15" s="267"/>
      <c r="Y15" s="132"/>
      <c r="Z15" s="58"/>
      <c r="AA15" s="91" t="s">
        <v>15</v>
      </c>
      <c r="AB15" s="90" t="s">
        <v>16</v>
      </c>
      <c r="AC15" s="90" t="s">
        <v>17</v>
      </c>
      <c r="AD15" s="88" t="s">
        <v>18</v>
      </c>
      <c r="AE15" s="90" t="s">
        <v>19</v>
      </c>
      <c r="AF15" s="90" t="s">
        <v>20</v>
      </c>
      <c r="AG15" s="74" t="s">
        <v>170</v>
      </c>
      <c r="AH15" s="59" t="s">
        <v>22</v>
      </c>
      <c r="AI15" s="76" t="s">
        <v>23</v>
      </c>
      <c r="AJ15" s="76" t="s">
        <v>24</v>
      </c>
      <c r="AK15" s="76" t="s">
        <v>25</v>
      </c>
      <c r="AL15" s="7" t="s">
        <v>26</v>
      </c>
      <c r="BN15" s="15"/>
    </row>
    <row r="16" spans="1:69" x14ac:dyDescent="0.25">
      <c r="X16" s="96">
        <v>17</v>
      </c>
      <c r="Y16" s="67">
        <v>2</v>
      </c>
      <c r="Z16" s="1">
        <v>18</v>
      </c>
      <c r="AA16" s="2">
        <f>COUNTIF(E6:BN6,"OFF")/2</f>
        <v>1</v>
      </c>
      <c r="AB16" s="2">
        <f>COUNTIF(E6:BN6,"MC")/2</f>
        <v>0</v>
      </c>
      <c r="AC16" s="2">
        <f>COUNTIF(E6:BN6,"EL")/2</f>
        <v>0</v>
      </c>
      <c r="AD16" s="2">
        <f>COUNTIF(E6:BN6,"AL")/2</f>
        <v>0</v>
      </c>
      <c r="AE16" s="2">
        <f>COUNTIF(E6:BN6,"SUS")/2</f>
        <v>0</v>
      </c>
      <c r="AF16" s="2">
        <f>COUNTIF(E6:BN6,"FL")/2</f>
        <v>0</v>
      </c>
      <c r="AG16" s="2">
        <f>COUNTIF(E6:BN6,"SICK")/2</f>
        <v>0</v>
      </c>
      <c r="AH16" s="2">
        <f>COUNTIF(E6:BN6,"HD")/2</f>
        <v>0</v>
      </c>
      <c r="AI16" s="2">
        <f>COUNTIF(E6:BN6,"AB")/2</f>
        <v>0</v>
      </c>
      <c r="AJ16" s="2">
        <f>COUNTIF(E6:BN6,"NL")/2</f>
        <v>0</v>
      </c>
      <c r="AK16" s="2">
        <f>COUNTIF(E6:BN6,"SP")/2</f>
        <v>0</v>
      </c>
      <c r="AL16" s="3"/>
      <c r="BN16" s="15"/>
      <c r="BQ16"/>
    </row>
    <row r="17" spans="6:81" x14ac:dyDescent="0.25">
      <c r="AF17" s="73"/>
      <c r="AG17" s="65"/>
      <c r="AI17"/>
      <c r="AJ17"/>
      <c r="AQ17" t="s">
        <v>64</v>
      </c>
      <c r="BN17" s="15"/>
      <c r="BQ17"/>
    </row>
    <row r="18" spans="6:81" x14ac:dyDescent="0.25">
      <c r="AJ18" s="65"/>
    </row>
    <row r="19" spans="6:81" x14ac:dyDescent="0.25">
      <c r="X19" s="140" t="s">
        <v>71</v>
      </c>
      <c r="Y19" s="141"/>
      <c r="Z19" s="142"/>
      <c r="AA19" s="143" t="s">
        <v>16</v>
      </c>
      <c r="AB19" s="144"/>
      <c r="AC19" s="145" t="s">
        <v>72</v>
      </c>
      <c r="AD19" s="141"/>
      <c r="AE19" s="146"/>
      <c r="AF19" s="141"/>
      <c r="AG19" s="147" t="s">
        <v>22</v>
      </c>
      <c r="AJ19" s="65"/>
    </row>
    <row r="20" spans="6:81" x14ac:dyDescent="0.25">
      <c r="X20" s="140" t="s">
        <v>73</v>
      </c>
      <c r="Y20" s="144"/>
      <c r="Z20" s="144"/>
      <c r="AA20" s="143" t="s">
        <v>17</v>
      </c>
      <c r="AB20" s="146"/>
      <c r="AC20" s="145" t="s">
        <v>74</v>
      </c>
      <c r="AD20" s="148"/>
      <c r="AE20" s="148"/>
      <c r="AF20" s="149"/>
      <c r="AG20" s="147" t="s">
        <v>23</v>
      </c>
      <c r="AJ20" s="65"/>
    </row>
    <row r="21" spans="6:81" x14ac:dyDescent="0.25">
      <c r="F21" s="151"/>
      <c r="G21" s="151"/>
      <c r="H21" s="151"/>
      <c r="I21" s="151"/>
      <c r="J21" s="151"/>
      <c r="K21" s="151"/>
      <c r="L21" s="151"/>
      <c r="M21" s="151"/>
      <c r="X21" s="140" t="s">
        <v>75</v>
      </c>
      <c r="Y21" s="144"/>
      <c r="Z21" s="144"/>
      <c r="AA21" s="143" t="s">
        <v>18</v>
      </c>
      <c r="AB21" s="146"/>
      <c r="AC21" s="140" t="s">
        <v>76</v>
      </c>
      <c r="AD21" s="150"/>
      <c r="AE21" s="150"/>
      <c r="AF21" s="149"/>
      <c r="AG21" s="147" t="s">
        <v>24</v>
      </c>
      <c r="AJ21" s="65"/>
    </row>
    <row r="22" spans="6:81" x14ac:dyDescent="0.25">
      <c r="F22" s="151"/>
      <c r="G22" s="151"/>
      <c r="H22" s="151"/>
      <c r="I22" s="151"/>
      <c r="J22" s="151"/>
      <c r="K22" s="151"/>
      <c r="L22" s="151"/>
      <c r="M22" s="151"/>
      <c r="X22" s="140" t="s">
        <v>77</v>
      </c>
      <c r="Y22" s="144"/>
      <c r="Z22" s="144"/>
      <c r="AA22" s="143" t="s">
        <v>19</v>
      </c>
      <c r="AB22" s="146"/>
      <c r="AC22" s="140" t="s">
        <v>78</v>
      </c>
      <c r="AD22" s="150"/>
      <c r="AE22" s="150"/>
      <c r="AF22" s="149"/>
      <c r="AG22" s="147" t="s">
        <v>25</v>
      </c>
      <c r="AJ22" s="65"/>
    </row>
    <row r="23" spans="6:81" x14ac:dyDescent="0.25">
      <c r="F23" s="151"/>
      <c r="G23" s="151"/>
      <c r="H23" s="151"/>
      <c r="I23" s="151"/>
      <c r="J23" s="151"/>
      <c r="K23" s="151"/>
      <c r="L23" s="151"/>
      <c r="M23" s="151"/>
      <c r="X23" s="140" t="s">
        <v>79</v>
      </c>
      <c r="Y23" s="144"/>
      <c r="Z23" s="144"/>
      <c r="AA23" s="143" t="s">
        <v>20</v>
      </c>
      <c r="AB23" s="146"/>
      <c r="AC23" s="146"/>
      <c r="AD23" s="146"/>
      <c r="AE23" s="146"/>
      <c r="AF23" s="146"/>
      <c r="AG23" s="146"/>
      <c r="AJ23" s="65"/>
    </row>
    <row r="24" spans="6:81" x14ac:dyDescent="0.25">
      <c r="F24" s="151"/>
      <c r="G24" s="151"/>
      <c r="H24" s="151"/>
      <c r="I24" s="151"/>
      <c r="J24" s="151"/>
      <c r="K24" s="151"/>
      <c r="L24" s="151"/>
      <c r="M24" s="151"/>
      <c r="AJ24" s="65"/>
    </row>
    <row r="25" spans="6:81" ht="15.75" x14ac:dyDescent="0.25">
      <c r="F25" s="151"/>
      <c r="G25" s="17" t="s">
        <v>62</v>
      </c>
      <c r="H25" s="18"/>
      <c r="I25" s="17"/>
      <c r="J25" s="19"/>
      <c r="M25" s="19"/>
      <c r="N25" s="20"/>
      <c r="O25" s="21"/>
      <c r="P25" s="21"/>
      <c r="Q25" s="22" t="s">
        <v>63</v>
      </c>
      <c r="R25" s="22"/>
      <c r="S25" s="20"/>
      <c r="T25" s="20"/>
      <c r="U25" s="20"/>
      <c r="V25" s="20"/>
      <c r="W25" s="20" t="s">
        <v>64</v>
      </c>
      <c r="X25" s="20"/>
      <c r="Y25" s="20"/>
      <c r="Z25" s="20"/>
      <c r="AA25" s="22" t="s">
        <v>65</v>
      </c>
      <c r="AB25" s="20"/>
      <c r="AJ25" s="65"/>
    </row>
    <row r="26" spans="6:81" ht="17.25" x14ac:dyDescent="0.25">
      <c r="F26" s="151"/>
      <c r="G26" s="19"/>
      <c r="H26" s="19"/>
      <c r="I26" s="19"/>
      <c r="J26" s="19"/>
      <c r="M26" s="19"/>
      <c r="N26" s="19"/>
      <c r="O26" s="24"/>
      <c r="P26" s="24"/>
      <c r="Q26" s="24"/>
      <c r="R26" s="19"/>
      <c r="S26" s="19"/>
      <c r="T26" s="19"/>
      <c r="U26" s="25"/>
      <c r="V26" s="25"/>
      <c r="W26" s="25"/>
      <c r="X26" s="25"/>
      <c r="Y26" s="25"/>
      <c r="Z26" s="25"/>
      <c r="AA26" s="26"/>
      <c r="AB26" s="26"/>
      <c r="AJ26" s="65"/>
    </row>
    <row r="27" spans="6:81" ht="17.25" x14ac:dyDescent="0.25">
      <c r="F27" s="151"/>
      <c r="G27" s="27"/>
      <c r="H27" s="19"/>
      <c r="I27" s="27"/>
      <c r="J27" s="19"/>
      <c r="M27" s="19"/>
      <c r="N27" s="27" t="s">
        <v>64</v>
      </c>
      <c r="O27" s="28"/>
      <c r="P27" s="28"/>
      <c r="Q27" s="24"/>
      <c r="R27" s="19"/>
      <c r="S27" s="27"/>
      <c r="T27" s="27"/>
      <c r="U27" s="20"/>
      <c r="V27" s="19"/>
      <c r="W27" s="19"/>
      <c r="X27" s="19"/>
      <c r="Y27" s="19"/>
      <c r="Z27" s="19"/>
      <c r="AA27" s="29"/>
      <c r="AB27" s="29"/>
      <c r="AJ27" s="65"/>
    </row>
    <row r="28" spans="6:81" ht="17.25" x14ac:dyDescent="0.25">
      <c r="G28" s="27"/>
      <c r="H28" s="19"/>
      <c r="I28" s="27"/>
      <c r="J28" s="19"/>
      <c r="M28" s="19"/>
      <c r="N28" s="27"/>
      <c r="O28" s="28"/>
      <c r="P28" s="28"/>
      <c r="Q28" s="24"/>
      <c r="R28" s="20"/>
      <c r="S28" s="27"/>
      <c r="T28" s="27"/>
      <c r="U28" s="20"/>
      <c r="V28" s="19"/>
      <c r="W28" s="19"/>
      <c r="X28" s="19"/>
      <c r="Y28" s="19"/>
      <c r="Z28" s="19"/>
      <c r="AA28" s="29"/>
      <c r="AB28" s="29"/>
      <c r="AJ28" s="65"/>
    </row>
    <row r="29" spans="6:81" ht="17.25" x14ac:dyDescent="0.25">
      <c r="G29" s="138"/>
      <c r="H29" s="139" t="s">
        <v>257</v>
      </c>
      <c r="I29" s="19"/>
      <c r="J29" s="19"/>
      <c r="M29" s="19"/>
      <c r="N29" s="27"/>
      <c r="O29" s="24"/>
      <c r="P29" s="28"/>
      <c r="Q29" s="18" t="s">
        <v>66</v>
      </c>
      <c r="R29" s="19"/>
      <c r="S29" s="27"/>
      <c r="T29" s="20"/>
      <c r="U29" s="19"/>
      <c r="V29" s="19"/>
      <c r="W29" s="19"/>
      <c r="X29" s="19"/>
      <c r="Y29" s="19"/>
      <c r="Z29" s="19"/>
      <c r="AA29" s="18" t="s">
        <v>67</v>
      </c>
      <c r="AB29" s="29"/>
    </row>
    <row r="30" spans="6:81" ht="17.25" x14ac:dyDescent="0.25">
      <c r="F30" s="16"/>
      <c r="G30" s="31" t="s">
        <v>68</v>
      </c>
      <c r="H30" s="30"/>
      <c r="I30" s="30"/>
      <c r="J30" s="19"/>
      <c r="M30" s="19"/>
      <c r="N30" s="18"/>
      <c r="O30" s="32"/>
      <c r="P30" s="32"/>
      <c r="Q30" s="18" t="s">
        <v>69</v>
      </c>
      <c r="R30" s="18"/>
      <c r="S30" s="18"/>
      <c r="T30" s="20"/>
      <c r="U30" s="18"/>
      <c r="V30" s="19"/>
      <c r="W30" s="19"/>
      <c r="X30" s="19"/>
      <c r="Y30" s="19"/>
      <c r="Z30" s="19"/>
      <c r="AA30" s="18" t="s">
        <v>70</v>
      </c>
      <c r="AB30" s="29"/>
    </row>
    <row r="31" spans="6:81" ht="15.75" x14ac:dyDescent="0.25">
      <c r="F31" s="23"/>
    </row>
    <row r="32" spans="6:81" ht="15.75" x14ac:dyDescent="0.25">
      <c r="F32" s="23"/>
      <c r="BT32" s="37"/>
      <c r="BU32" s="37"/>
      <c r="BV32" s="37"/>
      <c r="BW32" s="37"/>
      <c r="BX32" s="37"/>
      <c r="BY32" s="37"/>
      <c r="BZ32" s="37"/>
      <c r="CA32" s="37"/>
      <c r="CB32" s="37"/>
      <c r="CC32" s="37"/>
    </row>
    <row r="33" spans="5:35" ht="15.75" x14ac:dyDescent="0.25">
      <c r="F33" s="30"/>
    </row>
    <row r="34" spans="5:35" ht="15.75" x14ac:dyDescent="0.25">
      <c r="F34" s="31"/>
    </row>
    <row r="35" spans="5:35" ht="15.75" x14ac:dyDescent="0.25">
      <c r="F35" s="31"/>
    </row>
    <row r="41" spans="5:35" x14ac:dyDescent="0.25">
      <c r="E41" s="123"/>
      <c r="F41" s="240" t="s">
        <v>5</v>
      </c>
      <c r="G41" s="241"/>
      <c r="H41" s="240" t="s">
        <v>6</v>
      </c>
      <c r="I41" s="241"/>
      <c r="J41" s="240" t="s">
        <v>7</v>
      </c>
      <c r="K41" s="241"/>
      <c r="L41" s="240" t="s">
        <v>1</v>
      </c>
      <c r="M41" s="241"/>
      <c r="N41" s="240" t="s">
        <v>2</v>
      </c>
      <c r="O41" s="241"/>
      <c r="P41" s="240" t="s">
        <v>3</v>
      </c>
      <c r="Q41" s="241"/>
      <c r="R41" s="240" t="s">
        <v>4</v>
      </c>
      <c r="S41" s="241"/>
      <c r="T41" s="240" t="s">
        <v>5</v>
      </c>
      <c r="U41" s="241"/>
      <c r="V41" s="240" t="s">
        <v>6</v>
      </c>
      <c r="W41" s="241"/>
      <c r="X41" s="240" t="s">
        <v>7</v>
      </c>
      <c r="Y41" s="241"/>
      <c r="Z41" s="240" t="s">
        <v>1</v>
      </c>
      <c r="AA41" s="241"/>
      <c r="AB41" s="240" t="s">
        <v>2</v>
      </c>
      <c r="AC41" s="241"/>
      <c r="AD41" s="240" t="s">
        <v>3</v>
      </c>
      <c r="AE41" s="241"/>
      <c r="AF41" s="240" t="s">
        <v>4</v>
      </c>
      <c r="AG41" s="241"/>
      <c r="AH41" s="240" t="s">
        <v>5</v>
      </c>
      <c r="AI41" s="241"/>
    </row>
    <row r="42" spans="5:35" x14ac:dyDescent="0.25">
      <c r="E42" s="100"/>
      <c r="F42" s="242">
        <v>46281</v>
      </c>
      <c r="G42" s="244"/>
      <c r="H42" s="242">
        <v>46282</v>
      </c>
      <c r="I42" s="244"/>
      <c r="J42" s="242">
        <v>46283</v>
      </c>
      <c r="K42" s="244"/>
      <c r="L42" s="242">
        <v>46284</v>
      </c>
      <c r="M42" s="244"/>
      <c r="N42" s="242">
        <v>46285</v>
      </c>
      <c r="O42" s="244"/>
      <c r="P42" s="242">
        <v>46286</v>
      </c>
      <c r="Q42" s="244"/>
      <c r="R42" s="242">
        <v>46287</v>
      </c>
      <c r="S42" s="244"/>
      <c r="T42" s="242">
        <v>46288</v>
      </c>
      <c r="U42" s="244"/>
      <c r="V42" s="242">
        <v>46289</v>
      </c>
      <c r="W42" s="244"/>
      <c r="X42" s="242">
        <v>46290</v>
      </c>
      <c r="Y42" s="244"/>
      <c r="Z42" s="242">
        <v>46291</v>
      </c>
      <c r="AA42" s="244"/>
      <c r="AB42" s="242">
        <v>46292</v>
      </c>
      <c r="AC42" s="244"/>
      <c r="AD42" s="242">
        <v>46293</v>
      </c>
      <c r="AE42" s="244"/>
      <c r="AF42" s="242">
        <v>46294</v>
      </c>
      <c r="AG42" s="244"/>
      <c r="AH42" s="242">
        <v>46295</v>
      </c>
      <c r="AI42" s="244"/>
    </row>
    <row r="43" spans="5:35" x14ac:dyDescent="0.25">
      <c r="E43" s="4"/>
      <c r="F43" s="4" t="s">
        <v>13</v>
      </c>
      <c r="G43" s="4" t="s">
        <v>14</v>
      </c>
      <c r="H43" s="4" t="s">
        <v>13</v>
      </c>
      <c r="I43" s="4" t="s">
        <v>14</v>
      </c>
      <c r="J43" s="4" t="s">
        <v>13</v>
      </c>
      <c r="K43" s="4" t="s">
        <v>14</v>
      </c>
      <c r="L43" s="4" t="s">
        <v>13</v>
      </c>
      <c r="M43" s="4" t="s">
        <v>14</v>
      </c>
      <c r="N43" s="4" t="s">
        <v>13</v>
      </c>
      <c r="O43" s="4" t="s">
        <v>14</v>
      </c>
      <c r="P43" s="13" t="s">
        <v>13</v>
      </c>
      <c r="Q43" s="13" t="s">
        <v>14</v>
      </c>
      <c r="R43" s="13" t="s">
        <v>13</v>
      </c>
      <c r="S43" s="13" t="s">
        <v>14</v>
      </c>
      <c r="T43" s="13" t="s">
        <v>13</v>
      </c>
      <c r="U43" s="13" t="s">
        <v>14</v>
      </c>
      <c r="V43" s="13" t="s">
        <v>13</v>
      </c>
      <c r="W43" s="13" t="s">
        <v>14</v>
      </c>
      <c r="X43" s="13" t="s">
        <v>13</v>
      </c>
      <c r="Y43" s="13" t="s">
        <v>14</v>
      </c>
      <c r="Z43" s="4" t="s">
        <v>13</v>
      </c>
      <c r="AA43" s="4" t="s">
        <v>14</v>
      </c>
      <c r="AB43" s="4" t="s">
        <v>13</v>
      </c>
      <c r="AC43" s="4" t="s">
        <v>14</v>
      </c>
      <c r="AD43" s="4" t="s">
        <v>13</v>
      </c>
      <c r="AE43" s="4" t="s">
        <v>14</v>
      </c>
      <c r="AF43" s="4" t="s">
        <v>13</v>
      </c>
      <c r="AG43" s="4" t="s">
        <v>14</v>
      </c>
      <c r="AH43" s="4" t="s">
        <v>13</v>
      </c>
      <c r="AI43" s="4" t="s">
        <v>14</v>
      </c>
    </row>
    <row r="44" spans="5:35" x14ac:dyDescent="0.25">
      <c r="E44" s="44">
        <v>1</v>
      </c>
      <c r="F44" s="124">
        <v>46250.347905092596</v>
      </c>
      <c r="G44" s="124">
        <v>46250.973101851851</v>
      </c>
      <c r="H44" s="131">
        <v>46251.345891203702</v>
      </c>
      <c r="I44" s="124">
        <v>46251.971030092594</v>
      </c>
      <c r="J44" s="124">
        <v>46252.346273148149</v>
      </c>
      <c r="K44" s="124">
        <v>46252.969131944446</v>
      </c>
      <c r="L44" s="124">
        <v>46253.351967592593</v>
      </c>
      <c r="M44" s="124">
        <v>1</v>
      </c>
      <c r="N44" s="124">
        <v>46254.342499999999</v>
      </c>
      <c r="O44" s="124">
        <v>46254.989374999997</v>
      </c>
      <c r="P44" s="126" t="s">
        <v>15</v>
      </c>
      <c r="Q44" s="126" t="s">
        <v>15</v>
      </c>
      <c r="R44" s="124">
        <v>46256.350752314815</v>
      </c>
      <c r="S44" s="124">
        <v>46256.987256944441</v>
      </c>
      <c r="T44" s="124">
        <v>46257.347453703704</v>
      </c>
      <c r="U44" s="124">
        <v>46257.967719907407</v>
      </c>
      <c r="V44" s="124">
        <v>46258.344155092593</v>
      </c>
      <c r="W44" s="124">
        <v>46258.964699074073</v>
      </c>
      <c r="X44" s="124">
        <v>46259.347719907404</v>
      </c>
      <c r="Y44" s="124">
        <v>46259.990902777776</v>
      </c>
      <c r="Z44" s="124">
        <v>46260.346608796295</v>
      </c>
      <c r="AA44" s="124">
        <v>46260.979363425926</v>
      </c>
      <c r="AB44" s="124">
        <v>46261.34716435185</v>
      </c>
      <c r="AC44" s="124">
        <v>46261.987210648149</v>
      </c>
      <c r="AD44" s="124">
        <v>46262.579305555555</v>
      </c>
      <c r="AE44" s="124">
        <v>46262.981481481482</v>
      </c>
      <c r="AF44" s="124">
        <v>46263.34957175926</v>
      </c>
      <c r="AG44" s="124">
        <v>46263.984039351853</v>
      </c>
      <c r="AH44" s="124">
        <v>46264.338113425925</v>
      </c>
      <c r="AI44" s="12">
        <v>1</v>
      </c>
    </row>
  </sheetData>
  <mergeCells count="72">
    <mergeCell ref="AG8:AH8"/>
    <mergeCell ref="AC9:AD9"/>
    <mergeCell ref="AE9:AF9"/>
    <mergeCell ref="AG9:AH9"/>
    <mergeCell ref="AD42:AE42"/>
    <mergeCell ref="AH41:AI41"/>
    <mergeCell ref="F42:G42"/>
    <mergeCell ref="H42:I42"/>
    <mergeCell ref="J42:K42"/>
    <mergeCell ref="L42:M42"/>
    <mergeCell ref="N42:O42"/>
    <mergeCell ref="P42:Q42"/>
    <mergeCell ref="R42:S42"/>
    <mergeCell ref="R41:S41"/>
    <mergeCell ref="T41:U41"/>
    <mergeCell ref="V41:W41"/>
    <mergeCell ref="T42:U42"/>
    <mergeCell ref="V42:W42"/>
    <mergeCell ref="X41:Y41"/>
    <mergeCell ref="Z41:AA41"/>
    <mergeCell ref="AB41:AC41"/>
    <mergeCell ref="AF42:AG42"/>
    <mergeCell ref="AH42:AI42"/>
    <mergeCell ref="X42:Y42"/>
    <mergeCell ref="Z42:AA42"/>
    <mergeCell ref="AB42:AC42"/>
    <mergeCell ref="AE4:AF4"/>
    <mergeCell ref="X13:X15"/>
    <mergeCell ref="Y13:Y14"/>
    <mergeCell ref="F9:M9"/>
    <mergeCell ref="F41:G41"/>
    <mergeCell ref="H41:I41"/>
    <mergeCell ref="J41:K41"/>
    <mergeCell ref="L41:M41"/>
    <mergeCell ref="N41:O41"/>
    <mergeCell ref="P41:Q41"/>
    <mergeCell ref="F10:O10"/>
    <mergeCell ref="AD41:AE41"/>
    <mergeCell ref="AF41:AG41"/>
    <mergeCell ref="U4:V4"/>
    <mergeCell ref="AC8:AD8"/>
    <mergeCell ref="AE8:AF8"/>
    <mergeCell ref="AC3:AD3"/>
    <mergeCell ref="W4:X4"/>
    <mergeCell ref="Y4:Z4"/>
    <mergeCell ref="AA4:AB4"/>
    <mergeCell ref="AC4:AD4"/>
    <mergeCell ref="U3:V3"/>
    <mergeCell ref="W3:X3"/>
    <mergeCell ref="Y3:Z3"/>
    <mergeCell ref="AA3:AB3"/>
    <mergeCell ref="K4:L4"/>
    <mergeCell ref="M4:N4"/>
    <mergeCell ref="O4:P4"/>
    <mergeCell ref="Q4:R4"/>
    <mergeCell ref="S4:T4"/>
    <mergeCell ref="AE3:AF3"/>
    <mergeCell ref="A2:AH2"/>
    <mergeCell ref="A3:C4"/>
    <mergeCell ref="E3:F3"/>
    <mergeCell ref="G3:H3"/>
    <mergeCell ref="I3:J3"/>
    <mergeCell ref="K3:L3"/>
    <mergeCell ref="M3:N3"/>
    <mergeCell ref="O3:P3"/>
    <mergeCell ref="Q3:R3"/>
    <mergeCell ref="S3:T3"/>
    <mergeCell ref="AG4:AH4"/>
    <mergeCell ref="AG3:AH3"/>
    <mergeCell ref="E4:F4"/>
    <mergeCell ref="G4:H4"/>
    <mergeCell ref="I4:J4"/>
  </mergeCells>
  <conditionalFormatting sqref="A5:AH5 A6 X13:X16 E43:AI43">
    <cfRule type="containsText" dxfId="677" priority="42" stopIfTrue="1" operator="containsText" text="SICK">
      <formula>NOT(ISERROR(SEARCH("SICK",A5)))</formula>
    </cfRule>
    <cfRule type="containsText" dxfId="676" priority="41" stopIfTrue="1" operator="containsText" text="FL">
      <formula>NOT(ISERROR(SEARCH("FL",A5)))</formula>
    </cfRule>
    <cfRule type="containsText" dxfId="675" priority="40" stopIfTrue="1" operator="containsText" text="AB">
      <formula>NOT(ISERROR(SEARCH("AB",A5)))</formula>
    </cfRule>
    <cfRule type="containsText" dxfId="674" priority="39" stopIfTrue="1" operator="containsText" text="EL">
      <formula>NOT(ISERROR(SEARCH("EL",A5)))</formula>
    </cfRule>
    <cfRule type="containsText" dxfId="673" priority="38" stopIfTrue="1" operator="containsText" text="AL">
      <formula>NOT(ISERROR(SEARCH("AL",A5)))</formula>
    </cfRule>
    <cfRule type="containsText" dxfId="672" priority="37" stopIfTrue="1" operator="containsText" text="SP">
      <formula>NOT(ISERROR(SEARCH("SP",A5)))</formula>
    </cfRule>
  </conditionalFormatting>
  <conditionalFormatting sqref="A1:BQ1 A2:AI2 A3:D4 AI3:AI11 E41:E42">
    <cfRule type="containsText" dxfId="671" priority="117" stopIfTrue="1" operator="containsText" text="SICK">
      <formula>NOT(ISERROR(SEARCH("SICK",A1)))</formula>
    </cfRule>
    <cfRule type="containsText" dxfId="670" priority="112" stopIfTrue="1" operator="containsText" text="SP">
      <formula>NOT(ISERROR(SEARCH("SP",A1)))</formula>
    </cfRule>
    <cfRule type="containsText" dxfId="669" priority="113" stopIfTrue="1" operator="containsText" text="AL">
      <formula>NOT(ISERROR(SEARCH("AL",A1)))</formula>
    </cfRule>
    <cfRule type="containsText" dxfId="668" priority="114" stopIfTrue="1" operator="containsText" text="EL">
      <formula>NOT(ISERROR(SEARCH("EL",A1)))</formula>
    </cfRule>
    <cfRule type="containsText" dxfId="667" priority="116" stopIfTrue="1" operator="containsText" text="FL">
      <formula>NOT(ISERROR(SEARCH("FL",A1)))</formula>
    </cfRule>
    <cfRule type="containsText" dxfId="666" priority="115" stopIfTrue="1" operator="containsText" text="AB">
      <formula>NOT(ISERROR(SEARCH("AB",A1)))</formula>
    </cfRule>
  </conditionalFormatting>
  <conditionalFormatting sqref="C6">
    <cfRule type="duplicateValues" dxfId="665" priority="46"/>
    <cfRule type="duplicateValues" dxfId="664" priority="45"/>
    <cfRule type="duplicateValues" dxfId="663" priority="44"/>
  </conditionalFormatting>
  <conditionalFormatting sqref="C29:C31">
    <cfRule type="duplicateValues" dxfId="662" priority="132"/>
  </conditionalFormatting>
  <conditionalFormatting sqref="C29:C36">
    <cfRule type="duplicateValues" dxfId="661" priority="131"/>
  </conditionalFormatting>
  <conditionalFormatting sqref="C29:C1048576 C1:C5 C7:C11">
    <cfRule type="duplicateValues" dxfId="660" priority="134"/>
  </conditionalFormatting>
  <conditionalFormatting sqref="C29:C1048576 C1:C5">
    <cfRule type="duplicateValues" dxfId="659" priority="133"/>
  </conditionalFormatting>
  <conditionalFormatting sqref="C6:D6">
    <cfRule type="duplicateValues" dxfId="658" priority="43"/>
  </conditionalFormatting>
  <conditionalFormatting sqref="C29:D1048576 C1:D5 C7:D11">
    <cfRule type="duplicateValues" dxfId="657" priority="135"/>
  </conditionalFormatting>
  <conditionalFormatting sqref="D6">
    <cfRule type="timePeriod" dxfId="656" priority="36" timePeriod="nextWeek">
      <formula>AND(ROUNDDOWN(D6,0)-TODAY()&gt;(7-WEEKDAY(TODAY())),ROUNDDOWN(D6,0)-TODAY()&lt;(15-WEEKDAY(TODAY())))</formula>
    </cfRule>
    <cfRule type="timePeriod" priority="35" timePeriod="nextWeek">
      <formula>AND(ROUNDDOWN(D6,0)-TODAY()&gt;(7-WEEKDAY(TODAY())),ROUNDDOWN(D6,0)-TODAY()&lt;(15-WEEKDAY(TODAY())))</formula>
    </cfRule>
  </conditionalFormatting>
  <conditionalFormatting sqref="E44">
    <cfRule type="containsText" dxfId="655" priority="25" operator="containsText" text="EL">
      <formula>NOT(ISERROR(SEARCH("EL",E44)))</formula>
    </cfRule>
    <cfRule type="containsText" dxfId="654" priority="31" operator="containsText" text="AB">
      <formula>NOT(ISERROR(SEARCH("AB",E44)))</formula>
    </cfRule>
    <cfRule type="containsText" dxfId="653" priority="26" operator="containsText" text="SP">
      <formula>NOT(ISERROR(SEARCH("SP",E44)))</formula>
    </cfRule>
    <cfRule type="containsText" dxfId="652" priority="27" operator="containsText" text="NL">
      <formula>NOT(ISERROR(SEARCH("NL",E44)))</formula>
    </cfRule>
    <cfRule type="containsText" dxfId="651" priority="28" operator="containsText" text="SUS">
      <formula>NOT(ISERROR(SEARCH("SUS",E44)))</formula>
    </cfRule>
    <cfRule type="containsText" dxfId="650" priority="29" operator="containsText" text="FL">
      <formula>NOT(ISERROR(SEARCH("FL",E44)))</formula>
    </cfRule>
    <cfRule type="containsText" dxfId="649" priority="30" operator="containsText" text="MC">
      <formula>NOT(ISERROR(SEARCH("MC",E44)))</formula>
    </cfRule>
    <cfRule type="containsText" dxfId="648" priority="32" operator="containsText" text="Sick">
      <formula>NOT(ISERROR(SEARCH("Sick",E44)))</formula>
    </cfRule>
    <cfRule type="containsText" dxfId="647" priority="34" operator="containsText" text="AL">
      <formula>NOT(ISERROR(SEARCH("AL",E44)))</formula>
    </cfRule>
    <cfRule type="containsText" dxfId="646" priority="33" operator="containsText" text="OFF">
      <formula>NOT(ISERROR(SEARCH("OFF",E44)))</formula>
    </cfRule>
  </conditionalFormatting>
  <conditionalFormatting sqref="K6:L6">
    <cfRule type="containsText" dxfId="645" priority="15" operator="containsText" text="AL">
      <formula>NOT(ISERROR(SEARCH("AL",K6)))</formula>
    </cfRule>
    <cfRule type="containsText" dxfId="644" priority="14" operator="containsText" text="OFF">
      <formula>NOT(ISERROR(SEARCH("OFF",K6)))</formula>
    </cfRule>
    <cfRule type="containsText" dxfId="643" priority="13" operator="containsText" text="Sick">
      <formula>NOT(ISERROR(SEARCH("Sick",K6)))</formula>
    </cfRule>
    <cfRule type="containsText" dxfId="642" priority="7" operator="containsText" text="EL">
      <formula>NOT(ISERROR(SEARCH("EL",K6)))</formula>
    </cfRule>
    <cfRule type="containsText" dxfId="641" priority="12" operator="containsText" text="AB">
      <formula>NOT(ISERROR(SEARCH("AB",K6)))</formula>
    </cfRule>
    <cfRule type="containsText" dxfId="640" priority="11" operator="containsText" text="MC">
      <formula>NOT(ISERROR(SEARCH("MC",K6)))</formula>
    </cfRule>
    <cfRule type="containsText" dxfId="639" priority="10" operator="containsText" text="FL">
      <formula>NOT(ISERROR(SEARCH("FL",K6)))</formula>
    </cfRule>
    <cfRule type="containsText" dxfId="638" priority="9" operator="containsText" text="SUS">
      <formula>NOT(ISERROR(SEARCH("SUS",K6)))</formula>
    </cfRule>
    <cfRule type="containsText" dxfId="637" priority="8" operator="containsText" text="AB">
      <formula>NOT(ISERROR(SEARCH("AB",K6)))</formula>
    </cfRule>
  </conditionalFormatting>
  <conditionalFormatting sqref="M25:AB28">
    <cfRule type="containsText" dxfId="636" priority="122" stopIfTrue="1" operator="containsText" text="SICK">
      <formula>NOT(ISERROR(SEARCH("SICK",M25)))</formula>
    </cfRule>
    <cfRule type="containsText" dxfId="635" priority="120" stopIfTrue="1" operator="containsText" text="SP">
      <formula>NOT(ISERROR(SEARCH("SP",M25)))</formula>
    </cfRule>
    <cfRule type="containsText" priority="121" stopIfTrue="1" operator="containsText" text="SP">
      <formula>NOT(ISERROR(SEARCH("SP",M25)))</formula>
    </cfRule>
    <cfRule type="containsText" dxfId="634" priority="119" stopIfTrue="1" operator="containsText" text="SICK">
      <formula>NOT(ISERROR(SEARCH("SICK",M25)))</formula>
    </cfRule>
    <cfRule type="containsText" dxfId="633" priority="118" stopIfTrue="1" operator="containsText" text="AB">
      <formula>NOT(ISERROR(SEARCH("AB",M25)))</formula>
    </cfRule>
  </conditionalFormatting>
  <conditionalFormatting sqref="Y13">
    <cfRule type="cellIs" dxfId="632" priority="129" operator="equal">
      <formula>";"</formula>
    </cfRule>
  </conditionalFormatting>
  <conditionalFormatting sqref="Y16">
    <cfRule type="cellIs" dxfId="631" priority="130" stopIfTrue="1" operator="equal">
      <formula>";"</formula>
    </cfRule>
  </conditionalFormatting>
  <conditionalFormatting sqref="Z44:AA44">
    <cfRule type="containsText" dxfId="630" priority="21" operator="containsText" text="AB">
      <formula>NOT(ISERROR(SEARCH("AB",Z44)))</formula>
    </cfRule>
    <cfRule type="containsText" dxfId="629" priority="22" operator="containsText" text="Sick">
      <formula>NOT(ISERROR(SEARCH("Sick",Z44)))</formula>
    </cfRule>
    <cfRule type="containsText" dxfId="628" priority="23" operator="containsText" text="OFF">
      <formula>NOT(ISERROR(SEARCH("OFF",Z44)))</formula>
    </cfRule>
    <cfRule type="containsText" dxfId="627" priority="24" operator="containsText" text="AL">
      <formula>NOT(ISERROR(SEARCH("AL",Z44)))</formula>
    </cfRule>
    <cfRule type="containsText" dxfId="626" priority="17" operator="containsText" text="AB">
      <formula>NOT(ISERROR(SEARCH("AB",Z44)))</formula>
    </cfRule>
    <cfRule type="containsText" dxfId="625" priority="16" operator="containsText" text="EL">
      <formula>NOT(ISERROR(SEARCH("EL",Z44)))</formula>
    </cfRule>
    <cfRule type="containsText" dxfId="624" priority="18" operator="containsText" text="SUS">
      <formula>NOT(ISERROR(SEARCH("SUS",Z44)))</formula>
    </cfRule>
    <cfRule type="containsText" dxfId="623" priority="19" operator="containsText" text="FL">
      <formula>NOT(ISERROR(SEARCH("FL",Z44)))</formula>
    </cfRule>
    <cfRule type="containsText" dxfId="622" priority="20" operator="containsText" text="MC">
      <formula>NOT(ISERROR(SEARCH("MC",Z44)))</formula>
    </cfRule>
  </conditionalFormatting>
  <conditionalFormatting sqref="AA15">
    <cfRule type="containsText" dxfId="621" priority="103" operator="containsText" text="OFF">
      <formula>NOT(ISERROR(SEARCH("OFF",AA15)))</formula>
    </cfRule>
    <cfRule type="containsText" dxfId="620" priority="104" operator="containsText" text="AL">
      <formula>NOT(ISERROR(SEARCH("AL",AA15)))</formula>
    </cfRule>
    <cfRule type="containsText" dxfId="619" priority="102" operator="containsText" text="Sick">
      <formula>NOT(ISERROR(SEARCH("Sick",AA15)))</formula>
    </cfRule>
    <cfRule type="containsText" dxfId="618" priority="101" operator="containsText" text="AB">
      <formula>NOT(ISERROR(SEARCH("AB",AA15)))</formula>
    </cfRule>
    <cfRule type="containsText" dxfId="617" priority="100" operator="containsText" text="MC">
      <formula>NOT(ISERROR(SEARCH("MC",AA15)))</formula>
    </cfRule>
    <cfRule type="containsText" dxfId="616" priority="99" operator="containsText" text="FL">
      <formula>NOT(ISERROR(SEARCH("FL",AA15)))</formula>
    </cfRule>
    <cfRule type="containsText" dxfId="615" priority="98" operator="containsText" text="SUS">
      <formula>NOT(ISERROR(SEARCH("SUS",AA15)))</formula>
    </cfRule>
  </conditionalFormatting>
  <conditionalFormatting sqref="AA15:AB15">
    <cfRule type="containsText" dxfId="614" priority="59" operator="containsText" text="AB">
      <formula>NOT(ISERROR(SEARCH("AB",AA15)))</formula>
    </cfRule>
  </conditionalFormatting>
  <conditionalFormatting sqref="AA15:AF15">
    <cfRule type="containsText" dxfId="613" priority="47" operator="containsText" text="EL">
      <formula>NOT(ISERROR(SEARCH("EL",AA15)))</formula>
    </cfRule>
  </conditionalFormatting>
  <conditionalFormatting sqref="AB15">
    <cfRule type="containsText" dxfId="612" priority="56" operator="containsText" text="SUS">
      <formula>NOT(ISERROR(SEARCH("SUS",AB15)))</formula>
    </cfRule>
    <cfRule type="containsText" dxfId="611" priority="57" operator="containsText" text="FL">
      <formula>NOT(ISERROR(SEARCH("FL",AB15)))</formula>
    </cfRule>
    <cfRule type="containsText" dxfId="610" priority="58" operator="containsText" text="MC">
      <formula>NOT(ISERROR(SEARCH("MC",AB15)))</formula>
    </cfRule>
    <cfRule type="containsText" dxfId="609" priority="61" operator="containsText" text="OFF">
      <formula>NOT(ISERROR(SEARCH("OFF",AB15)))</formula>
    </cfRule>
    <cfRule type="containsText" dxfId="608" priority="60" operator="containsText" text="Sick">
      <formula>NOT(ISERROR(SEARCH("Sick",AB15)))</formula>
    </cfRule>
    <cfRule type="containsText" dxfId="607" priority="62" operator="containsText" text="AL">
      <formula>NOT(ISERROR(SEARCH("AL",AB15)))</formula>
    </cfRule>
  </conditionalFormatting>
  <conditionalFormatting sqref="AB15:AC15">
    <cfRule type="containsText" dxfId="606" priority="52" operator="containsText" text="AB">
      <formula>NOT(ISERROR(SEARCH("AB",AB15)))</formula>
    </cfRule>
  </conditionalFormatting>
  <conditionalFormatting sqref="AC15">
    <cfRule type="containsText" dxfId="605" priority="50" operator="containsText" text="FL">
      <formula>NOT(ISERROR(SEARCH("FL",AC15)))</formula>
    </cfRule>
    <cfRule type="containsText" dxfId="604" priority="54" operator="containsText" text="OFF">
      <formula>NOT(ISERROR(SEARCH("OFF",AC15)))</formula>
    </cfRule>
    <cfRule type="containsText" dxfId="603" priority="55" operator="containsText" text="AL">
      <formula>NOT(ISERROR(SEARCH("AL",AC15)))</formula>
    </cfRule>
    <cfRule type="containsText" dxfId="602" priority="48" operator="containsText" text="AB">
      <formula>NOT(ISERROR(SEARCH("AB",AC15)))</formula>
    </cfRule>
    <cfRule type="containsText" dxfId="601" priority="49" operator="containsText" text="SUS">
      <formula>NOT(ISERROR(SEARCH("SUS",AC15)))</formula>
    </cfRule>
    <cfRule type="containsText" dxfId="600" priority="51" operator="containsText" text="MC">
      <formula>NOT(ISERROR(SEARCH("MC",AC15)))</formula>
    </cfRule>
    <cfRule type="containsText" dxfId="599" priority="53" operator="containsText" text="Sick">
      <formula>NOT(ISERROR(SEARCH("Sick",AC15)))</formula>
    </cfRule>
  </conditionalFormatting>
  <conditionalFormatting sqref="AC10:AH10">
    <cfRule type="containsText" dxfId="598" priority="3" stopIfTrue="1" operator="containsText" text="EL">
      <formula>NOT(ISERROR(SEARCH("EL",AC10)))</formula>
    </cfRule>
    <cfRule type="containsText" dxfId="597" priority="4" stopIfTrue="1" operator="containsText" text="AB">
      <formula>NOT(ISERROR(SEARCH("AB",AC10)))</formula>
    </cfRule>
    <cfRule type="containsText" dxfId="596" priority="5" stopIfTrue="1" operator="containsText" text="FL">
      <formula>NOT(ISERROR(SEARCH("FL",AC10)))</formula>
    </cfRule>
    <cfRule type="containsText" dxfId="595" priority="6" stopIfTrue="1" operator="containsText" text="SICK">
      <formula>NOT(ISERROR(SEARCH("SICK",AC10)))</formula>
    </cfRule>
    <cfRule type="containsText" dxfId="594" priority="1" stopIfTrue="1" operator="containsText" text="SP">
      <formula>NOT(ISERROR(SEARCH("SP",AC10)))</formula>
    </cfRule>
    <cfRule type="containsText" dxfId="593" priority="2" stopIfTrue="1" operator="containsText" text="AL">
      <formula>NOT(ISERROR(SEARCH("AL",AC10)))</formula>
    </cfRule>
  </conditionalFormatting>
  <conditionalFormatting sqref="AD15">
    <cfRule type="containsText" dxfId="592" priority="105" operator="containsText" text="SUS">
      <formula>NOT(ISERROR(SEARCH("SUS",AD15)))</formula>
    </cfRule>
    <cfRule type="containsText" dxfId="591" priority="106" operator="containsText" text="FL">
      <formula>NOT(ISERROR(SEARCH("FL",AD15)))</formula>
    </cfRule>
    <cfRule type="containsText" dxfId="590" priority="107" operator="containsText" text="MC">
      <formula>NOT(ISERROR(SEARCH("MC",AD15)))</formula>
    </cfRule>
    <cfRule type="containsText" dxfId="589" priority="108" operator="containsText" text="AB">
      <formula>NOT(ISERROR(SEARCH("AB",AD15)))</formula>
    </cfRule>
    <cfRule type="containsText" dxfId="588" priority="109" operator="containsText" text="Sick">
      <formula>NOT(ISERROR(SEARCH("Sick",AD15)))</formula>
    </cfRule>
    <cfRule type="containsText" dxfId="587" priority="110" operator="containsText" text="OFF">
      <formula>NOT(ISERROR(SEARCH("OFF",AD15)))</formula>
    </cfRule>
    <cfRule type="containsText" dxfId="586" priority="111" operator="containsText" text="AL">
      <formula>NOT(ISERROR(SEARCH("AL",AD15)))</formula>
    </cfRule>
  </conditionalFormatting>
  <conditionalFormatting sqref="AD15:AF15">
    <cfRule type="containsText" dxfId="585" priority="67" operator="containsText" text="AB">
      <formula>NOT(ISERROR(SEARCH("AB",AD15)))</formula>
    </cfRule>
  </conditionalFormatting>
  <conditionalFormatting sqref="AE15">
    <cfRule type="containsText" dxfId="584" priority="69" operator="containsText" text="OFF">
      <formula>NOT(ISERROR(SEARCH("OFF",AE15)))</formula>
    </cfRule>
    <cfRule type="containsText" dxfId="583" priority="70" operator="containsText" text="AL">
      <formula>NOT(ISERROR(SEARCH("AL",AE15)))</formula>
    </cfRule>
    <cfRule type="containsText" dxfId="582" priority="65" operator="containsText" text="FL">
      <formula>NOT(ISERROR(SEARCH("FL",AE15)))</formula>
    </cfRule>
    <cfRule type="containsText" dxfId="581" priority="66" operator="containsText" text="MC">
      <formula>NOT(ISERROR(SEARCH("MC",AE15)))</formula>
    </cfRule>
    <cfRule type="containsText" dxfId="580" priority="68" operator="containsText" text="Sick">
      <formula>NOT(ISERROR(SEARCH("Sick",AE15)))</formula>
    </cfRule>
    <cfRule type="containsText" dxfId="579" priority="63" operator="containsText" text="AB">
      <formula>NOT(ISERROR(SEARCH("AB",AE15)))</formula>
    </cfRule>
    <cfRule type="containsText" dxfId="578" priority="64" operator="containsText" text="SUS">
      <formula>NOT(ISERROR(SEARCH("SUS",AE15)))</formula>
    </cfRule>
  </conditionalFormatting>
  <conditionalFormatting sqref="AF15">
    <cfRule type="containsText" dxfId="577" priority="71" operator="containsText" text="SUS">
      <formula>NOT(ISERROR(SEARCH("SUS",AF15)))</formula>
    </cfRule>
    <cfRule type="containsText" dxfId="576" priority="72" operator="containsText" text="FL">
      <formula>NOT(ISERROR(SEARCH("FL",AF15)))</formula>
    </cfRule>
    <cfRule type="containsText" dxfId="575" priority="73" operator="containsText" text="MC">
      <formula>NOT(ISERROR(SEARCH("MC",AF15)))</formula>
    </cfRule>
    <cfRule type="containsText" dxfId="574" priority="74" operator="containsText" text="AB">
      <formula>NOT(ISERROR(SEARCH("AB",AF15)))</formula>
    </cfRule>
    <cfRule type="containsText" dxfId="573" priority="76" operator="containsText" text="OFF">
      <formula>NOT(ISERROR(SEARCH("OFF",AF15)))</formula>
    </cfRule>
    <cfRule type="containsText" dxfId="572" priority="77" operator="containsText" text="AL">
      <formula>NOT(ISERROR(SEARCH("AL",AF15)))</formula>
    </cfRule>
    <cfRule type="containsText" dxfId="571" priority="75" operator="containsText" text="Sick">
      <formula>NOT(ISERROR(SEARCH("Sick",AF15)))</formula>
    </cfRule>
  </conditionalFormatting>
  <conditionalFormatting sqref="AG15">
    <cfRule type="containsText" dxfId="570" priority="96" operator="containsText" text="SICK">
      <formula>NOT(ISERROR(SEARCH("SICK",AG15)))</formula>
    </cfRule>
    <cfRule type="containsText" dxfId="569" priority="95" operator="containsText" text="AB">
      <formula>NOT(ISERROR(SEARCH("AB",AG15)))</formula>
    </cfRule>
    <cfRule type="containsText" dxfId="568" priority="91" operator="containsText" text="FL">
      <formula>NOT(ISERROR(SEARCH("FL",AG15)))</formula>
    </cfRule>
    <cfRule type="containsText" dxfId="567" priority="92" operator="containsText" text="EL">
      <formula>NOT(ISERROR(SEARCH("EL",AG15)))</formula>
    </cfRule>
    <cfRule type="containsText" dxfId="566" priority="93" operator="containsText" text="MC">
      <formula>NOT(ISERROR(SEARCH("MC",AG15)))</formula>
    </cfRule>
    <cfRule type="containsText" dxfId="565" priority="90" operator="containsText" text="SUS">
      <formula>NOT(ISERROR(SEARCH("SUS",AG15)))</formula>
    </cfRule>
    <cfRule type="containsText" dxfId="564" priority="89" operator="containsText" text="NL">
      <formula>NOT(ISERROR(SEARCH("NL",AG15)))</formula>
    </cfRule>
    <cfRule type="containsText" dxfId="563" priority="97" operator="containsText" text="AL">
      <formula>NOT(ISERROR(SEARCH("AL",AG15)))</formula>
    </cfRule>
    <cfRule type="containsText" dxfId="562" priority="94" operator="containsText" text="OFF">
      <formula>NOT(ISERROR(SEARCH("OFF",AG15)))</formula>
    </cfRule>
    <cfRule type="containsText" dxfId="561" priority="88" operator="containsText" text="SP">
      <formula>NOT(ISERROR(SEARCH("SP",AG15)))</formula>
    </cfRule>
  </conditionalFormatting>
  <conditionalFormatting sqref="AG17 AJ18:AJ28">
    <cfRule type="containsText" dxfId="560" priority="123" stopIfTrue="1" operator="containsText" text="SICK">
      <formula>NOT(ISERROR(SEARCH("SICK",AG17)))</formula>
    </cfRule>
    <cfRule type="containsText" dxfId="559" priority="124" stopIfTrue="1" operator="containsText" text="SP">
      <formula>NOT(ISERROR(SEARCH("SP",AG17)))</formula>
    </cfRule>
    <cfRule type="containsText" priority="125" stopIfTrue="1" operator="containsText" text="SP">
      <formula>NOT(ISERROR(SEARCH("SP",AG17)))</formula>
    </cfRule>
    <cfRule type="containsText" dxfId="558" priority="127" stopIfTrue="1" operator="containsText" text="HD">
      <formula>NOT(ISERROR(SEARCH("HD",AG17)))</formula>
    </cfRule>
    <cfRule type="containsText" dxfId="557" priority="128" stopIfTrue="1" operator="containsText" text="AB">
      <formula>NOT(ISERROR(SEARCH("AB",AG17)))</formula>
    </cfRule>
    <cfRule type="containsText" dxfId="556" priority="126" stopIfTrue="1" operator="containsText" text="AB">
      <formula>NOT(ISERROR(SEARCH("AB",AG17)))</formula>
    </cfRule>
  </conditionalFormatting>
  <conditionalFormatting sqref="AI15:AK15">
    <cfRule type="containsText" dxfId="555" priority="78" operator="containsText" text="SP">
      <formula>NOT(ISERROR(SEARCH("SP",AI15)))</formula>
    </cfRule>
    <cfRule type="containsText" dxfId="554" priority="87" operator="containsText" text="AL">
      <formula>NOT(ISERROR(SEARCH("AL",AI15)))</formula>
    </cfRule>
    <cfRule type="containsText" dxfId="553" priority="86" operator="containsText" text="SICK">
      <formula>NOT(ISERROR(SEARCH("SICK",AI15)))</formula>
    </cfRule>
    <cfRule type="containsText" dxfId="552" priority="85" operator="containsText" text="AB">
      <formula>NOT(ISERROR(SEARCH("AB",AI15)))</formula>
    </cfRule>
    <cfRule type="containsText" dxfId="551" priority="83" operator="containsText" text="MC">
      <formula>NOT(ISERROR(SEARCH("MC",AI15)))</formula>
    </cfRule>
    <cfRule type="containsText" dxfId="550" priority="82" operator="containsText" text="EL">
      <formula>NOT(ISERROR(SEARCH("EL",AI15)))</formula>
    </cfRule>
    <cfRule type="containsText" dxfId="549" priority="81" operator="containsText" text="FL">
      <formula>NOT(ISERROR(SEARCH("FL",AI15)))</formula>
    </cfRule>
    <cfRule type="containsText" dxfId="548" priority="80" operator="containsText" text="SUS">
      <formula>NOT(ISERROR(SEARCH("SUS",AI15)))</formula>
    </cfRule>
    <cfRule type="containsText" dxfId="547" priority="79" operator="containsText" text="NL">
      <formula>NOT(ISERROR(SEARCH("NL",AI15)))</formula>
    </cfRule>
    <cfRule type="containsText" dxfId="546" priority="84" operator="containsText" text="OFF">
      <formula>NOT(ISERROR(SEARCH("OFF",AI15)))</formula>
    </cfRule>
  </conditionalFormatting>
  <pageMargins left="0.7" right="0.7" top="0.75" bottom="0.75" header="0.3" footer="0.3"/>
  <pageSetup paperSize="9" scale="4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3CA93-F37A-475A-8404-EC877401BEC0}">
  <sheetPr>
    <pageSetUpPr fitToPage="1"/>
  </sheetPr>
  <dimension ref="A1:CC43"/>
  <sheetViews>
    <sheetView zoomScaleNormal="100" workbookViewId="0">
      <selection activeCell="AG8" sqref="AA8:AH11"/>
    </sheetView>
  </sheetViews>
  <sheetFormatPr defaultRowHeight="15" x14ac:dyDescent="0.25"/>
  <cols>
    <col min="1" max="1" width="5.140625" style="45" customWidth="1"/>
    <col min="2" max="2" width="12" style="15" customWidth="1"/>
    <col min="3" max="3" width="33.7109375" customWidth="1"/>
    <col min="4" max="4" width="10" hidden="1" customWidth="1"/>
    <col min="5" max="32" width="6.5703125" customWidth="1"/>
    <col min="33" max="34" width="6.28515625" customWidth="1"/>
    <col min="35" max="35" width="6.28515625" style="73" customWidth="1"/>
    <col min="36" max="36" width="6.28515625" style="57" hidden="1" customWidth="1"/>
    <col min="37" max="37" width="6.28515625" hidden="1" customWidth="1"/>
    <col min="38" max="38" width="10.28515625" customWidth="1"/>
    <col min="39" max="68" width="6.5703125" customWidth="1"/>
    <col min="69" max="69" width="5.85546875" style="15" customWidth="1"/>
    <col min="70" max="77" width="5" customWidth="1"/>
    <col min="78" max="78" width="5.85546875" customWidth="1"/>
    <col min="79" max="82" width="5" customWidth="1"/>
  </cols>
  <sheetData>
    <row r="1" spans="1:69" ht="15.75" x14ac:dyDescent="0.25"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33"/>
      <c r="Y1" s="33"/>
    </row>
    <row r="2" spans="1:69" ht="25.5" customHeight="1" x14ac:dyDescent="0.25">
      <c r="A2" s="255" t="s">
        <v>273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  <c r="AA2" s="256"/>
      <c r="AB2" s="256"/>
      <c r="AC2" s="256"/>
      <c r="AD2" s="256"/>
      <c r="AE2" s="256"/>
      <c r="AF2" s="256"/>
      <c r="AG2" s="256"/>
      <c r="AH2" s="257"/>
      <c r="AI2" s="106"/>
    </row>
    <row r="3" spans="1:69" ht="22.5" customHeight="1" x14ac:dyDescent="0.25">
      <c r="A3" s="249" t="s">
        <v>169</v>
      </c>
      <c r="B3" s="250"/>
      <c r="C3" s="251"/>
      <c r="D3" s="84"/>
      <c r="E3" s="240" t="s">
        <v>7</v>
      </c>
      <c r="F3" s="240"/>
      <c r="G3" s="240" t="s">
        <v>1</v>
      </c>
      <c r="H3" s="240"/>
      <c r="I3" s="240" t="s">
        <v>2</v>
      </c>
      <c r="J3" s="240"/>
      <c r="K3" s="240" t="s">
        <v>3</v>
      </c>
      <c r="L3" s="240"/>
      <c r="M3" s="240" t="s">
        <v>4</v>
      </c>
      <c r="N3" s="240"/>
      <c r="O3" s="240" t="s">
        <v>5</v>
      </c>
      <c r="P3" s="240"/>
      <c r="Q3" s="240" t="s">
        <v>6</v>
      </c>
      <c r="R3" s="240"/>
      <c r="S3" s="240" t="s">
        <v>7</v>
      </c>
      <c r="T3" s="240"/>
      <c r="U3" s="240" t="s">
        <v>1</v>
      </c>
      <c r="V3" s="240"/>
      <c r="W3" s="240" t="s">
        <v>2</v>
      </c>
      <c r="X3" s="240"/>
      <c r="Y3" s="240" t="s">
        <v>3</v>
      </c>
      <c r="Z3" s="240"/>
      <c r="AA3" s="240" t="s">
        <v>4</v>
      </c>
      <c r="AB3" s="240"/>
      <c r="AC3" s="240" t="s">
        <v>5</v>
      </c>
      <c r="AD3" s="240"/>
      <c r="AE3" s="240" t="s">
        <v>6</v>
      </c>
      <c r="AF3" s="240"/>
      <c r="AG3" s="240" t="s">
        <v>7</v>
      </c>
      <c r="AH3" s="240"/>
      <c r="AI3" s="106"/>
    </row>
    <row r="4" spans="1:69" ht="22.5" customHeight="1" x14ac:dyDescent="0.25">
      <c r="A4" s="252"/>
      <c r="B4" s="253"/>
      <c r="C4" s="254"/>
      <c r="D4" s="84"/>
      <c r="E4" s="242">
        <v>46266</v>
      </c>
      <c r="F4" s="242"/>
      <c r="G4" s="242">
        <v>46267</v>
      </c>
      <c r="H4" s="242"/>
      <c r="I4" s="242">
        <v>46268</v>
      </c>
      <c r="J4" s="242"/>
      <c r="K4" s="242">
        <v>46269</v>
      </c>
      <c r="L4" s="242"/>
      <c r="M4" s="242">
        <v>46270</v>
      </c>
      <c r="N4" s="242"/>
      <c r="O4" s="242">
        <v>46271</v>
      </c>
      <c r="P4" s="242"/>
      <c r="Q4" s="242">
        <v>46272</v>
      </c>
      <c r="R4" s="242"/>
      <c r="S4" s="242">
        <v>46273</v>
      </c>
      <c r="T4" s="242"/>
      <c r="U4" s="242">
        <v>46274</v>
      </c>
      <c r="V4" s="242"/>
      <c r="W4" s="242">
        <v>46275</v>
      </c>
      <c r="X4" s="242"/>
      <c r="Y4" s="242">
        <v>46276</v>
      </c>
      <c r="Z4" s="242"/>
      <c r="AA4" s="242">
        <v>46277</v>
      </c>
      <c r="AB4" s="242"/>
      <c r="AC4" s="242">
        <v>46278</v>
      </c>
      <c r="AD4" s="242"/>
      <c r="AE4" s="242">
        <v>46279</v>
      </c>
      <c r="AF4" s="242"/>
      <c r="AG4" s="242">
        <v>46280</v>
      </c>
      <c r="AH4" s="242"/>
      <c r="AI4" s="106"/>
    </row>
    <row r="5" spans="1:69" ht="20.25" customHeight="1" x14ac:dyDescent="0.25">
      <c r="A5" s="4" t="s">
        <v>10</v>
      </c>
      <c r="B5" s="4" t="s">
        <v>11</v>
      </c>
      <c r="C5" s="4" t="s">
        <v>12</v>
      </c>
      <c r="D5" s="13"/>
      <c r="E5" s="13" t="s">
        <v>13</v>
      </c>
      <c r="F5" s="13" t="s">
        <v>14</v>
      </c>
      <c r="G5" s="13" t="s">
        <v>13</v>
      </c>
      <c r="H5" s="13" t="s">
        <v>14</v>
      </c>
      <c r="I5" s="13" t="s">
        <v>13</v>
      </c>
      <c r="J5" s="13" t="s">
        <v>14</v>
      </c>
      <c r="K5" s="13" t="s">
        <v>13</v>
      </c>
      <c r="L5" s="13" t="s">
        <v>14</v>
      </c>
      <c r="M5" s="13" t="s">
        <v>13</v>
      </c>
      <c r="N5" s="13" t="s">
        <v>14</v>
      </c>
      <c r="O5" s="13" t="s">
        <v>13</v>
      </c>
      <c r="P5" s="13" t="s">
        <v>14</v>
      </c>
      <c r="Q5" s="13" t="s">
        <v>13</v>
      </c>
      <c r="R5" s="13" t="s">
        <v>14</v>
      </c>
      <c r="S5" s="13" t="s">
        <v>13</v>
      </c>
      <c r="T5" s="13" t="s">
        <v>14</v>
      </c>
      <c r="U5" s="13" t="s">
        <v>13</v>
      </c>
      <c r="V5" s="13" t="s">
        <v>14</v>
      </c>
      <c r="W5" s="13" t="s">
        <v>13</v>
      </c>
      <c r="X5" s="13" t="s">
        <v>14</v>
      </c>
      <c r="Y5" s="4" t="s">
        <v>13</v>
      </c>
      <c r="Z5" s="4" t="s">
        <v>14</v>
      </c>
      <c r="AA5" s="4" t="s">
        <v>13</v>
      </c>
      <c r="AB5" s="4" t="s">
        <v>14</v>
      </c>
      <c r="AC5" s="4" t="s">
        <v>13</v>
      </c>
      <c r="AD5" s="4" t="s">
        <v>14</v>
      </c>
      <c r="AE5" s="4" t="s">
        <v>13</v>
      </c>
      <c r="AF5" s="4" t="s">
        <v>14</v>
      </c>
      <c r="AG5" s="4" t="s">
        <v>13</v>
      </c>
      <c r="AH5" s="4" t="s">
        <v>14</v>
      </c>
      <c r="AI5" s="106"/>
    </row>
    <row r="6" spans="1:69" ht="21.75" customHeight="1" x14ac:dyDescent="0.25">
      <c r="A6" s="10">
        <v>1</v>
      </c>
      <c r="B6" s="11" t="s">
        <v>109</v>
      </c>
      <c r="C6" s="8" t="s">
        <v>272</v>
      </c>
      <c r="D6" s="85">
        <v>38713</v>
      </c>
      <c r="E6" s="124">
        <v>46266.347662037035</v>
      </c>
      <c r="F6" s="124">
        <v>46264.949976851851</v>
      </c>
      <c r="G6" s="124">
        <v>46267.344317129631</v>
      </c>
      <c r="H6" s="124">
        <v>0</v>
      </c>
      <c r="I6" s="124">
        <v>46268.349479166667</v>
      </c>
      <c r="J6" s="124">
        <v>46268.955335648148</v>
      </c>
      <c r="K6" s="178" t="s">
        <v>15</v>
      </c>
      <c r="L6" s="178" t="s">
        <v>15</v>
      </c>
      <c r="M6" s="124">
        <v>46270.352141203701</v>
      </c>
      <c r="N6" s="124">
        <v>46270.953553240739</v>
      </c>
      <c r="O6" s="124">
        <v>46271.342847222222</v>
      </c>
      <c r="P6" s="124">
        <v>0</v>
      </c>
      <c r="Q6" s="124">
        <v>46272.348796296297</v>
      </c>
      <c r="R6" s="124">
        <v>46272.9375462963</v>
      </c>
      <c r="S6" s="124">
        <v>46273.347974537035</v>
      </c>
      <c r="T6" s="124">
        <v>46273.932430555556</v>
      </c>
      <c r="U6" s="124">
        <v>46274.336446759262</v>
      </c>
      <c r="V6" s="124">
        <v>46274.944062499999</v>
      </c>
      <c r="W6" s="124">
        <v>46275.346331018518</v>
      </c>
      <c r="X6" s="124">
        <v>46275.959768518522</v>
      </c>
      <c r="Y6" s="124">
        <v>46276.559641203705</v>
      </c>
      <c r="Z6" s="124">
        <v>0</v>
      </c>
      <c r="AA6" s="124">
        <v>46277.34710648148</v>
      </c>
      <c r="AB6" s="124">
        <v>0</v>
      </c>
      <c r="AC6" s="124">
        <v>46278.350358796299</v>
      </c>
      <c r="AD6" s="124">
        <v>0</v>
      </c>
      <c r="AE6" s="124">
        <v>46279.345902777779</v>
      </c>
      <c r="AF6" s="124">
        <v>46279.94871527778</v>
      </c>
      <c r="AG6" s="124">
        <v>46280.348993055559</v>
      </c>
      <c r="AH6" s="124">
        <v>46280.930428240739</v>
      </c>
      <c r="AI6" s="106"/>
    </row>
    <row r="7" spans="1:69" ht="18.75" x14ac:dyDescent="0.25">
      <c r="AI7" s="106"/>
    </row>
    <row r="8" spans="1:69" ht="18.75" x14ac:dyDescent="0.25">
      <c r="AA8" s="240" t="s">
        <v>1</v>
      </c>
      <c r="AB8" s="240"/>
      <c r="AC8" s="240" t="s">
        <v>2</v>
      </c>
      <c r="AD8" s="240"/>
      <c r="AE8" s="240" t="s">
        <v>3</v>
      </c>
      <c r="AF8" s="240"/>
      <c r="AG8" s="240" t="s">
        <v>4</v>
      </c>
      <c r="AH8" s="240"/>
      <c r="AI8" s="106"/>
    </row>
    <row r="9" spans="1:69" ht="18.75" x14ac:dyDescent="0.25">
      <c r="D9" s="135" t="s">
        <v>245</v>
      </c>
      <c r="E9" s="135" t="s">
        <v>245</v>
      </c>
      <c r="F9" s="276" t="s">
        <v>278</v>
      </c>
      <c r="G9" s="276"/>
      <c r="H9" s="276"/>
      <c r="I9" s="276"/>
      <c r="J9" s="276"/>
      <c r="K9" s="276"/>
      <c r="L9" s="276"/>
      <c r="M9" s="276"/>
      <c r="AA9" s="242">
        <v>46281</v>
      </c>
      <c r="AB9" s="242"/>
      <c r="AC9" s="242">
        <v>46282</v>
      </c>
      <c r="AD9" s="242"/>
      <c r="AE9" s="242">
        <v>46283</v>
      </c>
      <c r="AF9" s="242"/>
      <c r="AG9" s="242">
        <v>46284</v>
      </c>
      <c r="AH9" s="242"/>
      <c r="AI9" s="106"/>
    </row>
    <row r="10" spans="1:69" ht="18.75" x14ac:dyDescent="0.25">
      <c r="F10" s="275" t="s">
        <v>277</v>
      </c>
      <c r="G10" s="275"/>
      <c r="H10" s="275"/>
      <c r="I10" s="275"/>
      <c r="J10" s="275"/>
      <c r="K10" s="275"/>
      <c r="L10" s="275"/>
      <c r="M10" s="275"/>
      <c r="N10" s="275"/>
      <c r="O10" s="275"/>
      <c r="AA10" s="4" t="s">
        <v>13</v>
      </c>
      <c r="AB10" s="4" t="s">
        <v>14</v>
      </c>
      <c r="AC10" s="4" t="s">
        <v>13</v>
      </c>
      <c r="AD10" s="4" t="s">
        <v>14</v>
      </c>
      <c r="AE10" s="4" t="s">
        <v>13</v>
      </c>
      <c r="AF10" s="4" t="s">
        <v>14</v>
      </c>
      <c r="AG10" s="4" t="s">
        <v>13</v>
      </c>
      <c r="AH10" s="4" t="s">
        <v>14</v>
      </c>
      <c r="AI10" s="106"/>
    </row>
    <row r="11" spans="1:69" ht="18.75" x14ac:dyDescent="0.25">
      <c r="D11" s="137" t="s">
        <v>246</v>
      </c>
      <c r="E11" s="136" t="s">
        <v>246</v>
      </c>
      <c r="F11" s="136" t="s">
        <v>279</v>
      </c>
      <c r="I11" s="138" t="s">
        <v>285</v>
      </c>
      <c r="J11" s="138"/>
      <c r="K11" s="138"/>
      <c r="L11" s="151"/>
      <c r="M11" s="151"/>
      <c r="N11" s="151"/>
      <c r="AA11" s="182">
        <v>1</v>
      </c>
      <c r="AB11" s="182">
        <v>1</v>
      </c>
      <c r="AC11" s="182">
        <v>1</v>
      </c>
      <c r="AD11" s="182">
        <v>1</v>
      </c>
      <c r="AE11" s="182">
        <v>1</v>
      </c>
      <c r="AF11" s="182">
        <v>1</v>
      </c>
      <c r="AG11" s="182">
        <v>1</v>
      </c>
      <c r="AH11" s="182">
        <v>1</v>
      </c>
      <c r="AI11" s="106"/>
    </row>
    <row r="12" spans="1:69" ht="15" customHeight="1" x14ac:dyDescent="0.25">
      <c r="X12" s="266" t="s">
        <v>8</v>
      </c>
      <c r="Y12" s="247" t="s">
        <v>9</v>
      </c>
      <c r="Z12" s="133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BN12" s="15"/>
    </row>
    <row r="13" spans="1:69" x14ac:dyDescent="0.25">
      <c r="F13" s="136" t="s">
        <v>286</v>
      </c>
      <c r="G13" s="136"/>
      <c r="H13" s="136"/>
      <c r="I13" s="136"/>
      <c r="J13" s="136"/>
      <c r="K13" s="136"/>
      <c r="L13" s="136"/>
      <c r="M13" s="136"/>
      <c r="N13" s="136"/>
      <c r="O13" s="136"/>
      <c r="X13" s="267"/>
      <c r="Y13" s="248"/>
      <c r="Z13" s="61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BN13" s="15"/>
    </row>
    <row r="14" spans="1:69" x14ac:dyDescent="0.25">
      <c r="X14" s="267"/>
      <c r="Y14" s="132"/>
      <c r="Z14" s="58"/>
      <c r="AA14" s="91" t="s">
        <v>15</v>
      </c>
      <c r="AB14" s="90" t="s">
        <v>16</v>
      </c>
      <c r="AC14" s="90" t="s">
        <v>17</v>
      </c>
      <c r="AD14" s="88" t="s">
        <v>18</v>
      </c>
      <c r="AE14" s="90" t="s">
        <v>19</v>
      </c>
      <c r="AF14" s="90" t="s">
        <v>20</v>
      </c>
      <c r="AG14" s="74" t="s">
        <v>170</v>
      </c>
      <c r="AH14" s="59" t="s">
        <v>22</v>
      </c>
      <c r="AI14" s="76" t="s">
        <v>23</v>
      </c>
      <c r="AJ14" s="76" t="s">
        <v>24</v>
      </c>
      <c r="AK14" s="76" t="s">
        <v>25</v>
      </c>
      <c r="AL14" s="7" t="s">
        <v>26</v>
      </c>
      <c r="BN14" s="15"/>
    </row>
    <row r="15" spans="1:69" x14ac:dyDescent="0.25">
      <c r="X15" s="96">
        <v>18</v>
      </c>
      <c r="Y15" s="67">
        <v>2</v>
      </c>
      <c r="Z15" s="1">
        <v>19</v>
      </c>
      <c r="AA15" s="2">
        <f>COUNTIF(E6:BN6,"OFF")/2</f>
        <v>1</v>
      </c>
      <c r="AB15" s="2">
        <f>COUNTIF(E6:BN6,"MC")/2</f>
        <v>0</v>
      </c>
      <c r="AC15" s="2">
        <f>COUNTIF(E6:BN6,"EL")/2</f>
        <v>0</v>
      </c>
      <c r="AD15" s="2">
        <f>COUNTIF(E6:BN6,"AL")/2</f>
        <v>0</v>
      </c>
      <c r="AE15" s="2">
        <f>COUNTIF(E6:BN6,"SUS")/2</f>
        <v>0</v>
      </c>
      <c r="AF15" s="2">
        <f>COUNTIF(E6:BN6,"FL")/2</f>
        <v>0</v>
      </c>
      <c r="AG15" s="2">
        <f>COUNTIF(E6:BN6,"SICK")/2</f>
        <v>0</v>
      </c>
      <c r="AH15" s="2">
        <f>COUNTIF(E6:BN6,"HD")/2</f>
        <v>0</v>
      </c>
      <c r="AI15" s="2">
        <f>COUNTIF(E6:BN6,"AB")/2</f>
        <v>0</v>
      </c>
      <c r="AJ15" s="2">
        <f>COUNTIF(E6:BN6,"NL")/2</f>
        <v>0</v>
      </c>
      <c r="AK15" s="2">
        <f>COUNTIF(E6:BN6,"SP")/2</f>
        <v>0</v>
      </c>
      <c r="AL15" s="3"/>
      <c r="BN15" s="15"/>
      <c r="BQ15"/>
    </row>
    <row r="16" spans="1:69" x14ac:dyDescent="0.25">
      <c r="AF16" s="73"/>
      <c r="AG16" s="65"/>
      <c r="AI16"/>
      <c r="AJ16"/>
      <c r="AQ16" t="s">
        <v>64</v>
      </c>
      <c r="BN16" s="15"/>
      <c r="BQ16"/>
    </row>
    <row r="17" spans="6:81" x14ac:dyDescent="0.25">
      <c r="AJ17" s="65"/>
    </row>
    <row r="18" spans="6:81" x14ac:dyDescent="0.25">
      <c r="X18" s="140" t="s">
        <v>71</v>
      </c>
      <c r="Y18" s="141"/>
      <c r="Z18" s="142"/>
      <c r="AA18" s="143" t="s">
        <v>16</v>
      </c>
      <c r="AB18" s="144"/>
      <c r="AC18" s="145" t="s">
        <v>72</v>
      </c>
      <c r="AD18" s="141"/>
      <c r="AE18" s="146"/>
      <c r="AF18" s="141"/>
      <c r="AG18" s="147" t="s">
        <v>22</v>
      </c>
      <c r="AJ18" s="65"/>
    </row>
    <row r="19" spans="6:81" x14ac:dyDescent="0.25">
      <c r="X19" s="140" t="s">
        <v>73</v>
      </c>
      <c r="Y19" s="144"/>
      <c r="Z19" s="144"/>
      <c r="AA19" s="143" t="s">
        <v>17</v>
      </c>
      <c r="AB19" s="146"/>
      <c r="AC19" s="145" t="s">
        <v>74</v>
      </c>
      <c r="AD19" s="148"/>
      <c r="AE19" s="148"/>
      <c r="AF19" s="149"/>
      <c r="AG19" s="147" t="s">
        <v>23</v>
      </c>
      <c r="AJ19" s="65"/>
    </row>
    <row r="20" spans="6:81" x14ac:dyDescent="0.25">
      <c r="F20" s="151"/>
      <c r="G20" s="151"/>
      <c r="H20" s="151"/>
      <c r="I20" s="151"/>
      <c r="J20" s="151"/>
      <c r="K20" s="151"/>
      <c r="L20" s="151"/>
      <c r="M20" s="151"/>
      <c r="X20" s="140" t="s">
        <v>75</v>
      </c>
      <c r="Y20" s="144"/>
      <c r="Z20" s="144"/>
      <c r="AA20" s="143" t="s">
        <v>18</v>
      </c>
      <c r="AB20" s="146"/>
      <c r="AC20" s="140" t="s">
        <v>76</v>
      </c>
      <c r="AD20" s="150"/>
      <c r="AE20" s="150"/>
      <c r="AF20" s="149"/>
      <c r="AG20" s="147" t="s">
        <v>24</v>
      </c>
      <c r="AJ20" s="65"/>
    </row>
    <row r="21" spans="6:81" x14ac:dyDescent="0.25">
      <c r="F21" s="151"/>
      <c r="G21" s="151"/>
      <c r="H21" s="151"/>
      <c r="I21" s="151"/>
      <c r="J21" s="151"/>
      <c r="K21" s="151"/>
      <c r="L21" s="151"/>
      <c r="M21" s="151"/>
      <c r="X21" s="140" t="s">
        <v>77</v>
      </c>
      <c r="Y21" s="144"/>
      <c r="Z21" s="144"/>
      <c r="AA21" s="143" t="s">
        <v>19</v>
      </c>
      <c r="AB21" s="146"/>
      <c r="AC21" s="140" t="s">
        <v>78</v>
      </c>
      <c r="AD21" s="150"/>
      <c r="AE21" s="150"/>
      <c r="AF21" s="149"/>
      <c r="AG21" s="147" t="s">
        <v>25</v>
      </c>
      <c r="AJ21" s="65"/>
    </row>
    <row r="22" spans="6:81" x14ac:dyDescent="0.25">
      <c r="F22" s="151"/>
      <c r="G22" s="151"/>
      <c r="H22" s="151"/>
      <c r="I22" s="151"/>
      <c r="J22" s="151"/>
      <c r="K22" s="151"/>
      <c r="L22" s="151"/>
      <c r="M22" s="151"/>
      <c r="X22" s="140" t="s">
        <v>79</v>
      </c>
      <c r="Y22" s="144"/>
      <c r="Z22" s="144"/>
      <c r="AA22" s="143" t="s">
        <v>20</v>
      </c>
      <c r="AB22" s="146"/>
      <c r="AC22" s="146"/>
      <c r="AD22" s="146"/>
      <c r="AE22" s="146"/>
      <c r="AF22" s="146"/>
      <c r="AG22" s="146"/>
      <c r="AJ22" s="65"/>
    </row>
    <row r="23" spans="6:81" x14ac:dyDescent="0.25">
      <c r="F23" s="151"/>
      <c r="G23" s="151"/>
      <c r="H23" s="151"/>
      <c r="I23" s="151"/>
      <c r="J23" s="151"/>
      <c r="K23" s="151"/>
      <c r="L23" s="151"/>
      <c r="M23" s="151"/>
      <c r="AJ23" s="65"/>
    </row>
    <row r="24" spans="6:81" ht="15.75" x14ac:dyDescent="0.25">
      <c r="F24" s="151"/>
      <c r="G24" s="17" t="s">
        <v>62</v>
      </c>
      <c r="H24" s="18"/>
      <c r="I24" s="17"/>
      <c r="J24" s="19"/>
      <c r="M24" s="19"/>
      <c r="N24" s="20"/>
      <c r="O24" s="21"/>
      <c r="P24" s="21"/>
      <c r="Q24" s="22" t="s">
        <v>63</v>
      </c>
      <c r="R24" s="22"/>
      <c r="S24" s="20"/>
      <c r="T24" s="20"/>
      <c r="U24" s="20"/>
      <c r="V24" s="20"/>
      <c r="W24" s="20" t="s">
        <v>64</v>
      </c>
      <c r="X24" s="20"/>
      <c r="Y24" s="20"/>
      <c r="Z24" s="20"/>
      <c r="AA24" s="22" t="s">
        <v>65</v>
      </c>
      <c r="AB24" s="20"/>
      <c r="AJ24" s="65"/>
    </row>
    <row r="25" spans="6:81" ht="17.25" x14ac:dyDescent="0.25">
      <c r="F25" s="151"/>
      <c r="G25" s="19"/>
      <c r="H25" s="19"/>
      <c r="I25" s="19"/>
      <c r="J25" s="19"/>
      <c r="M25" s="19"/>
      <c r="N25" s="19"/>
      <c r="O25" s="24"/>
      <c r="P25" s="24"/>
      <c r="Q25" s="24"/>
      <c r="R25" s="19"/>
      <c r="S25" s="19"/>
      <c r="T25" s="19"/>
      <c r="U25" s="25"/>
      <c r="V25" s="25"/>
      <c r="W25" s="25"/>
      <c r="X25" s="25"/>
      <c r="Y25" s="25"/>
      <c r="Z25" s="25"/>
      <c r="AA25" s="26"/>
      <c r="AB25" s="26"/>
      <c r="AJ25" s="65"/>
    </row>
    <row r="26" spans="6:81" ht="17.25" x14ac:dyDescent="0.25">
      <c r="F26" s="151"/>
      <c r="G26" s="27"/>
      <c r="H26" s="19"/>
      <c r="I26" s="27"/>
      <c r="J26" s="19"/>
      <c r="M26" s="19"/>
      <c r="N26" s="27" t="s">
        <v>64</v>
      </c>
      <c r="O26" s="28"/>
      <c r="P26" s="28"/>
      <c r="Q26" s="24"/>
      <c r="R26" s="19"/>
      <c r="S26" s="27"/>
      <c r="T26" s="27"/>
      <c r="U26" s="20"/>
      <c r="V26" s="19"/>
      <c r="W26" s="19"/>
      <c r="X26" s="19"/>
      <c r="Y26" s="19"/>
      <c r="Z26" s="19"/>
      <c r="AA26" s="29"/>
      <c r="AB26" s="29"/>
      <c r="AJ26" s="65"/>
    </row>
    <row r="27" spans="6:81" ht="17.25" x14ac:dyDescent="0.25">
      <c r="G27" s="27"/>
      <c r="H27" s="19"/>
      <c r="I27" s="27"/>
      <c r="J27" s="19"/>
      <c r="M27" s="19"/>
      <c r="N27" s="27"/>
      <c r="O27" s="28"/>
      <c r="P27" s="28"/>
      <c r="Q27" s="24"/>
      <c r="R27" s="20"/>
      <c r="S27" s="27"/>
      <c r="T27" s="27"/>
      <c r="U27" s="20"/>
      <c r="V27" s="19"/>
      <c r="W27" s="19"/>
      <c r="X27" s="19"/>
      <c r="Y27" s="19"/>
      <c r="Z27" s="19"/>
      <c r="AA27" s="29"/>
      <c r="AB27" s="29"/>
      <c r="AJ27" s="65"/>
    </row>
    <row r="28" spans="6:81" ht="17.25" x14ac:dyDescent="0.25">
      <c r="G28" s="138"/>
      <c r="H28" s="139" t="s">
        <v>257</v>
      </c>
      <c r="I28" s="19"/>
      <c r="J28" s="19"/>
      <c r="M28" s="19"/>
      <c r="N28" s="27"/>
      <c r="O28" s="24"/>
      <c r="P28" s="28"/>
      <c r="Q28" s="18" t="s">
        <v>66</v>
      </c>
      <c r="R28" s="19"/>
      <c r="S28" s="27"/>
      <c r="T28" s="20"/>
      <c r="U28" s="19"/>
      <c r="V28" s="19"/>
      <c r="W28" s="19"/>
      <c r="X28" s="19"/>
      <c r="Y28" s="19"/>
      <c r="Z28" s="19"/>
      <c r="AA28" s="18" t="s">
        <v>67</v>
      </c>
      <c r="AB28" s="29"/>
    </row>
    <row r="29" spans="6:81" ht="17.25" x14ac:dyDescent="0.25">
      <c r="F29" s="16"/>
      <c r="G29" s="31" t="s">
        <v>68</v>
      </c>
      <c r="H29" s="30"/>
      <c r="I29" s="30"/>
      <c r="J29" s="19"/>
      <c r="M29" s="19"/>
      <c r="N29" s="18"/>
      <c r="O29" s="32"/>
      <c r="P29" s="32"/>
      <c r="Q29" s="18" t="s">
        <v>69</v>
      </c>
      <c r="R29" s="18"/>
      <c r="S29" s="18"/>
      <c r="T29" s="20"/>
      <c r="U29" s="18"/>
      <c r="V29" s="19"/>
      <c r="W29" s="19"/>
      <c r="X29" s="19"/>
      <c r="Y29" s="19"/>
      <c r="Z29" s="19"/>
      <c r="AA29" s="18" t="s">
        <v>70</v>
      </c>
      <c r="AB29" s="29"/>
    </row>
    <row r="30" spans="6:81" ht="15.75" x14ac:dyDescent="0.25">
      <c r="F30" s="23"/>
    </row>
    <row r="31" spans="6:81" ht="15.75" x14ac:dyDescent="0.25">
      <c r="F31" s="23"/>
      <c r="BT31" s="37"/>
      <c r="BU31" s="37"/>
      <c r="BV31" s="37"/>
      <c r="BW31" s="37"/>
      <c r="BX31" s="37"/>
      <c r="BY31" s="37"/>
      <c r="BZ31" s="37"/>
      <c r="CA31" s="37"/>
      <c r="CB31" s="37"/>
      <c r="CC31" s="37"/>
    </row>
    <row r="32" spans="6:81" ht="15.75" x14ac:dyDescent="0.25">
      <c r="F32" s="30"/>
    </row>
    <row r="33" spans="5:35" ht="15.75" x14ac:dyDescent="0.25">
      <c r="F33" s="31"/>
    </row>
    <row r="34" spans="5:35" ht="15.75" x14ac:dyDescent="0.25">
      <c r="F34" s="31"/>
    </row>
    <row r="40" spans="5:35" x14ac:dyDescent="0.25">
      <c r="E40" s="123"/>
      <c r="F40" s="240" t="s">
        <v>5</v>
      </c>
      <c r="G40" s="241"/>
      <c r="H40" s="240" t="s">
        <v>6</v>
      </c>
      <c r="I40" s="241"/>
      <c r="J40" s="240" t="s">
        <v>7</v>
      </c>
      <c r="K40" s="241"/>
      <c r="L40" s="240" t="s">
        <v>1</v>
      </c>
      <c r="M40" s="241"/>
      <c r="N40" s="240" t="s">
        <v>2</v>
      </c>
      <c r="O40" s="241"/>
      <c r="P40" s="240" t="s">
        <v>3</v>
      </c>
      <c r="Q40" s="241"/>
      <c r="R40" s="240" t="s">
        <v>4</v>
      </c>
      <c r="S40" s="241"/>
      <c r="T40" s="240" t="s">
        <v>5</v>
      </c>
      <c r="U40" s="241"/>
      <c r="V40" s="240" t="s">
        <v>6</v>
      </c>
      <c r="W40" s="241"/>
      <c r="X40" s="240" t="s">
        <v>7</v>
      </c>
      <c r="Y40" s="241"/>
      <c r="Z40" s="240" t="s">
        <v>1</v>
      </c>
      <c r="AA40" s="241"/>
      <c r="AB40" s="240" t="s">
        <v>2</v>
      </c>
      <c r="AC40" s="241"/>
      <c r="AD40" s="240" t="s">
        <v>3</v>
      </c>
      <c r="AE40" s="241"/>
      <c r="AF40" s="240" t="s">
        <v>4</v>
      </c>
      <c r="AG40" s="241"/>
      <c r="AH40" s="240" t="s">
        <v>5</v>
      </c>
      <c r="AI40" s="241"/>
    </row>
    <row r="41" spans="5:35" x14ac:dyDescent="0.25">
      <c r="E41" s="100"/>
      <c r="F41" s="242">
        <v>46281</v>
      </c>
      <c r="G41" s="244"/>
      <c r="H41" s="242">
        <v>46282</v>
      </c>
      <c r="I41" s="244"/>
      <c r="J41" s="242">
        <v>46283</v>
      </c>
      <c r="K41" s="244"/>
      <c r="L41" s="242">
        <v>46284</v>
      </c>
      <c r="M41" s="244"/>
      <c r="N41" s="242">
        <v>46285</v>
      </c>
      <c r="O41" s="244"/>
      <c r="P41" s="242">
        <v>46286</v>
      </c>
      <c r="Q41" s="244"/>
      <c r="R41" s="242">
        <v>46287</v>
      </c>
      <c r="S41" s="244"/>
      <c r="T41" s="242">
        <v>46288</v>
      </c>
      <c r="U41" s="244"/>
      <c r="V41" s="242">
        <v>46289</v>
      </c>
      <c r="W41" s="244"/>
      <c r="X41" s="242">
        <v>46290</v>
      </c>
      <c r="Y41" s="244"/>
      <c r="Z41" s="242">
        <v>46291</v>
      </c>
      <c r="AA41" s="244"/>
      <c r="AB41" s="242">
        <v>46292</v>
      </c>
      <c r="AC41" s="244"/>
      <c r="AD41" s="242">
        <v>46293</v>
      </c>
      <c r="AE41" s="244"/>
      <c r="AF41" s="242">
        <v>46294</v>
      </c>
      <c r="AG41" s="244"/>
      <c r="AH41" s="242">
        <v>46295</v>
      </c>
      <c r="AI41" s="244"/>
    </row>
    <row r="42" spans="5:35" x14ac:dyDescent="0.25">
      <c r="E42" s="4"/>
      <c r="F42" s="4" t="s">
        <v>13</v>
      </c>
      <c r="G42" s="4" t="s">
        <v>14</v>
      </c>
      <c r="H42" s="4" t="s">
        <v>13</v>
      </c>
      <c r="I42" s="4" t="s">
        <v>14</v>
      </c>
      <c r="J42" s="4" t="s">
        <v>13</v>
      </c>
      <c r="K42" s="4" t="s">
        <v>14</v>
      </c>
      <c r="L42" s="4" t="s">
        <v>13</v>
      </c>
      <c r="M42" s="4" t="s">
        <v>14</v>
      </c>
      <c r="N42" s="4" t="s">
        <v>13</v>
      </c>
      <c r="O42" s="4" t="s">
        <v>14</v>
      </c>
      <c r="P42" s="13" t="s">
        <v>13</v>
      </c>
      <c r="Q42" s="13" t="s">
        <v>14</v>
      </c>
      <c r="R42" s="13" t="s">
        <v>13</v>
      </c>
      <c r="S42" s="13" t="s">
        <v>14</v>
      </c>
      <c r="T42" s="13" t="s">
        <v>13</v>
      </c>
      <c r="U42" s="13" t="s">
        <v>14</v>
      </c>
      <c r="V42" s="13" t="s">
        <v>13</v>
      </c>
      <c r="W42" s="13" t="s">
        <v>14</v>
      </c>
      <c r="X42" s="13" t="s">
        <v>13</v>
      </c>
      <c r="Y42" s="13" t="s">
        <v>14</v>
      </c>
      <c r="Z42" s="4" t="s">
        <v>13</v>
      </c>
      <c r="AA42" s="4" t="s">
        <v>14</v>
      </c>
      <c r="AB42" s="4" t="s">
        <v>13</v>
      </c>
      <c r="AC42" s="4" t="s">
        <v>14</v>
      </c>
      <c r="AD42" s="4" t="s">
        <v>13</v>
      </c>
      <c r="AE42" s="4" t="s">
        <v>14</v>
      </c>
      <c r="AF42" s="4" t="s">
        <v>13</v>
      </c>
      <c r="AG42" s="4" t="s">
        <v>14</v>
      </c>
      <c r="AH42" s="4" t="s">
        <v>13</v>
      </c>
      <c r="AI42" s="4" t="s">
        <v>14</v>
      </c>
    </row>
    <row r="43" spans="5:35" x14ac:dyDescent="0.25">
      <c r="E43" s="44">
        <v>1</v>
      </c>
      <c r="F43" s="124">
        <v>46250.347905092596</v>
      </c>
      <c r="G43" s="124">
        <v>46250.973101851851</v>
      </c>
      <c r="H43" s="131">
        <v>46251.345891203702</v>
      </c>
      <c r="I43" s="124">
        <v>46251.971030092594</v>
      </c>
      <c r="J43" s="124">
        <v>46252.346273148149</v>
      </c>
      <c r="K43" s="124">
        <v>46252.969131944446</v>
      </c>
      <c r="L43" s="124">
        <v>46253.351967592593</v>
      </c>
      <c r="M43" s="124">
        <v>1</v>
      </c>
      <c r="N43" s="124">
        <v>46254.342499999999</v>
      </c>
      <c r="O43" s="124">
        <v>46254.989374999997</v>
      </c>
      <c r="P43" s="126" t="s">
        <v>15</v>
      </c>
      <c r="Q43" s="126" t="s">
        <v>15</v>
      </c>
      <c r="R43" s="124">
        <v>46256.350752314815</v>
      </c>
      <c r="S43" s="124">
        <v>46256.987256944441</v>
      </c>
      <c r="T43" s="124">
        <v>46257.347453703704</v>
      </c>
      <c r="U43" s="124">
        <v>46257.967719907407</v>
      </c>
      <c r="V43" s="124">
        <v>46258.344155092593</v>
      </c>
      <c r="W43" s="124">
        <v>46258.964699074073</v>
      </c>
      <c r="X43" s="124">
        <v>46259.347719907404</v>
      </c>
      <c r="Y43" s="124">
        <v>46259.990902777776</v>
      </c>
      <c r="Z43" s="124">
        <v>46260.346608796295</v>
      </c>
      <c r="AA43" s="124">
        <v>46260.979363425926</v>
      </c>
      <c r="AB43" s="124">
        <v>46261.34716435185</v>
      </c>
      <c r="AC43" s="124">
        <v>46261.987210648149</v>
      </c>
      <c r="AD43" s="124">
        <v>46262.579305555555</v>
      </c>
      <c r="AE43" s="124">
        <v>46262.981481481482</v>
      </c>
      <c r="AF43" s="124">
        <v>46263.34957175926</v>
      </c>
      <c r="AG43" s="124">
        <v>46263.984039351853</v>
      </c>
      <c r="AH43" s="124">
        <v>46264.338113425925</v>
      </c>
      <c r="AI43" s="12">
        <v>1</v>
      </c>
    </row>
  </sheetData>
  <mergeCells count="74">
    <mergeCell ref="F9:M9"/>
    <mergeCell ref="F10:O10"/>
    <mergeCell ref="AE8:AF8"/>
    <mergeCell ref="AA9:AB9"/>
    <mergeCell ref="AC9:AD9"/>
    <mergeCell ref="AE9:AF9"/>
    <mergeCell ref="X41:Y41"/>
    <mergeCell ref="Z41:AA41"/>
    <mergeCell ref="AB41:AC41"/>
    <mergeCell ref="AH40:AI40"/>
    <mergeCell ref="X40:Y40"/>
    <mergeCell ref="Z40:AA40"/>
    <mergeCell ref="AB40:AC40"/>
    <mergeCell ref="AF41:AG41"/>
    <mergeCell ref="AH41:AI41"/>
    <mergeCell ref="AD41:AE41"/>
    <mergeCell ref="F41:G41"/>
    <mergeCell ref="H41:I41"/>
    <mergeCell ref="J41:K41"/>
    <mergeCell ref="L41:M41"/>
    <mergeCell ref="N41:O41"/>
    <mergeCell ref="P41:Q41"/>
    <mergeCell ref="R41:S41"/>
    <mergeCell ref="R40:S40"/>
    <mergeCell ref="T40:U40"/>
    <mergeCell ref="V40:W40"/>
    <mergeCell ref="T41:U41"/>
    <mergeCell ref="V41:W41"/>
    <mergeCell ref="AE4:AF4"/>
    <mergeCell ref="X12:X14"/>
    <mergeCell ref="Y12:Y13"/>
    <mergeCell ref="F40:G40"/>
    <mergeCell ref="H40:I40"/>
    <mergeCell ref="J40:K40"/>
    <mergeCell ref="L40:M40"/>
    <mergeCell ref="N40:O40"/>
    <mergeCell ref="P40:Q40"/>
    <mergeCell ref="AD40:AE40"/>
    <mergeCell ref="AF40:AG40"/>
    <mergeCell ref="U4:V4"/>
    <mergeCell ref="AA8:AB8"/>
    <mergeCell ref="AC8:AD8"/>
    <mergeCell ref="AG8:AH8"/>
    <mergeCell ref="AG9:AH9"/>
    <mergeCell ref="AC3:AD3"/>
    <mergeCell ref="W4:X4"/>
    <mergeCell ref="Y4:Z4"/>
    <mergeCell ref="AA4:AB4"/>
    <mergeCell ref="AC4:AD4"/>
    <mergeCell ref="U3:V3"/>
    <mergeCell ref="W3:X3"/>
    <mergeCell ref="Y3:Z3"/>
    <mergeCell ref="AA3:AB3"/>
    <mergeCell ref="K4:L4"/>
    <mergeCell ref="M4:N4"/>
    <mergeCell ref="O4:P4"/>
    <mergeCell ref="Q4:R4"/>
    <mergeCell ref="S4:T4"/>
    <mergeCell ref="AE3:AF3"/>
    <mergeCell ref="A2:AH2"/>
    <mergeCell ref="A3:C4"/>
    <mergeCell ref="E3:F3"/>
    <mergeCell ref="G3:H3"/>
    <mergeCell ref="I3:J3"/>
    <mergeCell ref="K3:L3"/>
    <mergeCell ref="M3:N3"/>
    <mergeCell ref="O3:P3"/>
    <mergeCell ref="Q3:R3"/>
    <mergeCell ref="S3:T3"/>
    <mergeCell ref="AG4:AH4"/>
    <mergeCell ref="AG3:AH3"/>
    <mergeCell ref="E4:F4"/>
    <mergeCell ref="G4:H4"/>
    <mergeCell ref="I4:J4"/>
  </mergeCells>
  <phoneticPr fontId="11" type="noConversion"/>
  <conditionalFormatting sqref="A5:AH5 A6 X12:X15 E42:AI42">
    <cfRule type="containsText" dxfId="545" priority="42" stopIfTrue="1" operator="containsText" text="SICK">
      <formula>NOT(ISERROR(SEARCH("SICK",A5)))</formula>
    </cfRule>
    <cfRule type="containsText" dxfId="544" priority="41" stopIfTrue="1" operator="containsText" text="FL">
      <formula>NOT(ISERROR(SEARCH("FL",A5)))</formula>
    </cfRule>
    <cfRule type="containsText" dxfId="543" priority="40" stopIfTrue="1" operator="containsText" text="AB">
      <formula>NOT(ISERROR(SEARCH("AB",A5)))</formula>
    </cfRule>
    <cfRule type="containsText" dxfId="542" priority="39" stopIfTrue="1" operator="containsText" text="EL">
      <formula>NOT(ISERROR(SEARCH("EL",A5)))</formula>
    </cfRule>
    <cfRule type="containsText" dxfId="541" priority="38" stopIfTrue="1" operator="containsText" text="AL">
      <formula>NOT(ISERROR(SEARCH("AL",A5)))</formula>
    </cfRule>
    <cfRule type="containsText" dxfId="540" priority="37" stopIfTrue="1" operator="containsText" text="SP">
      <formula>NOT(ISERROR(SEARCH("SP",A5)))</formula>
    </cfRule>
  </conditionalFormatting>
  <conditionalFormatting sqref="A1:BQ1 A2:AI2 A3:D4 AI3:AI11 E40:E41">
    <cfRule type="containsText" dxfId="539" priority="117" stopIfTrue="1" operator="containsText" text="SICK">
      <formula>NOT(ISERROR(SEARCH("SICK",A1)))</formula>
    </cfRule>
    <cfRule type="containsText" dxfId="538" priority="112" stopIfTrue="1" operator="containsText" text="SP">
      <formula>NOT(ISERROR(SEARCH("SP",A1)))</formula>
    </cfRule>
    <cfRule type="containsText" dxfId="537" priority="113" stopIfTrue="1" operator="containsText" text="AL">
      <formula>NOT(ISERROR(SEARCH("AL",A1)))</formula>
    </cfRule>
    <cfRule type="containsText" dxfId="536" priority="114" stopIfTrue="1" operator="containsText" text="EL">
      <formula>NOT(ISERROR(SEARCH("EL",A1)))</formula>
    </cfRule>
    <cfRule type="containsText" dxfId="535" priority="116" stopIfTrue="1" operator="containsText" text="FL">
      <formula>NOT(ISERROR(SEARCH("FL",A1)))</formula>
    </cfRule>
    <cfRule type="containsText" dxfId="534" priority="115" stopIfTrue="1" operator="containsText" text="AB">
      <formula>NOT(ISERROR(SEARCH("AB",A1)))</formula>
    </cfRule>
  </conditionalFormatting>
  <conditionalFormatting sqref="C6">
    <cfRule type="duplicateValues" dxfId="533" priority="46"/>
    <cfRule type="duplicateValues" dxfId="532" priority="45"/>
    <cfRule type="duplicateValues" dxfId="531" priority="44"/>
  </conditionalFormatting>
  <conditionalFormatting sqref="C28:C30">
    <cfRule type="duplicateValues" dxfId="530" priority="132"/>
  </conditionalFormatting>
  <conditionalFormatting sqref="C28:C35">
    <cfRule type="duplicateValues" dxfId="529" priority="131"/>
  </conditionalFormatting>
  <conditionalFormatting sqref="C28:C1048576 C1:C5 C7:C11">
    <cfRule type="duplicateValues" dxfId="528" priority="134"/>
  </conditionalFormatting>
  <conditionalFormatting sqref="C28:C1048576 C1:C5">
    <cfRule type="duplicateValues" dxfId="527" priority="133"/>
  </conditionalFormatting>
  <conditionalFormatting sqref="C6:D6">
    <cfRule type="duplicateValues" dxfId="526" priority="43"/>
  </conditionalFormatting>
  <conditionalFormatting sqref="C28:D1048576 C1:D5 C7:D8 C9:C11">
    <cfRule type="duplicateValues" dxfId="525" priority="135"/>
  </conditionalFormatting>
  <conditionalFormatting sqref="D6">
    <cfRule type="timePeriod" dxfId="524" priority="36" timePeriod="nextWeek">
      <formula>AND(ROUNDDOWN(D6,0)-TODAY()&gt;(7-WEEKDAY(TODAY())),ROUNDDOWN(D6,0)-TODAY()&lt;(15-WEEKDAY(TODAY())))</formula>
    </cfRule>
    <cfRule type="timePeriod" priority="35" timePeriod="nextWeek">
      <formula>AND(ROUNDDOWN(D6,0)-TODAY()&gt;(7-WEEKDAY(TODAY())),ROUNDDOWN(D6,0)-TODAY()&lt;(15-WEEKDAY(TODAY())))</formula>
    </cfRule>
  </conditionalFormatting>
  <conditionalFormatting sqref="E43">
    <cfRule type="containsText" dxfId="523" priority="25" operator="containsText" text="EL">
      <formula>NOT(ISERROR(SEARCH("EL",E43)))</formula>
    </cfRule>
    <cfRule type="containsText" dxfId="522" priority="31" operator="containsText" text="AB">
      <formula>NOT(ISERROR(SEARCH("AB",E43)))</formula>
    </cfRule>
    <cfRule type="containsText" dxfId="521" priority="26" operator="containsText" text="SP">
      <formula>NOT(ISERROR(SEARCH("SP",E43)))</formula>
    </cfRule>
    <cfRule type="containsText" dxfId="520" priority="27" operator="containsText" text="NL">
      <formula>NOT(ISERROR(SEARCH("NL",E43)))</formula>
    </cfRule>
    <cfRule type="containsText" dxfId="519" priority="28" operator="containsText" text="SUS">
      <formula>NOT(ISERROR(SEARCH("SUS",E43)))</formula>
    </cfRule>
    <cfRule type="containsText" dxfId="518" priority="29" operator="containsText" text="FL">
      <formula>NOT(ISERROR(SEARCH("FL",E43)))</formula>
    </cfRule>
    <cfRule type="containsText" dxfId="517" priority="30" operator="containsText" text="MC">
      <formula>NOT(ISERROR(SEARCH("MC",E43)))</formula>
    </cfRule>
    <cfRule type="containsText" dxfId="516" priority="32" operator="containsText" text="Sick">
      <formula>NOT(ISERROR(SEARCH("Sick",E43)))</formula>
    </cfRule>
    <cfRule type="containsText" dxfId="515" priority="34" operator="containsText" text="AL">
      <formula>NOT(ISERROR(SEARCH("AL",E43)))</formula>
    </cfRule>
    <cfRule type="containsText" dxfId="514" priority="33" operator="containsText" text="OFF">
      <formula>NOT(ISERROR(SEARCH("OFF",E43)))</formula>
    </cfRule>
  </conditionalFormatting>
  <conditionalFormatting sqref="K6:L6">
    <cfRule type="containsText" dxfId="513" priority="15" operator="containsText" text="AL">
      <formula>NOT(ISERROR(SEARCH("AL",K6)))</formula>
    </cfRule>
    <cfRule type="containsText" dxfId="512" priority="14" operator="containsText" text="OFF">
      <formula>NOT(ISERROR(SEARCH("OFF",K6)))</formula>
    </cfRule>
    <cfRule type="containsText" dxfId="511" priority="13" operator="containsText" text="Sick">
      <formula>NOT(ISERROR(SEARCH("Sick",K6)))</formula>
    </cfRule>
    <cfRule type="containsText" dxfId="510" priority="7" operator="containsText" text="EL">
      <formula>NOT(ISERROR(SEARCH("EL",K6)))</formula>
    </cfRule>
    <cfRule type="containsText" dxfId="509" priority="12" operator="containsText" text="AB">
      <formula>NOT(ISERROR(SEARCH("AB",K6)))</formula>
    </cfRule>
    <cfRule type="containsText" dxfId="508" priority="11" operator="containsText" text="MC">
      <formula>NOT(ISERROR(SEARCH("MC",K6)))</formula>
    </cfRule>
    <cfRule type="containsText" dxfId="507" priority="10" operator="containsText" text="FL">
      <formula>NOT(ISERROR(SEARCH("FL",K6)))</formula>
    </cfRule>
    <cfRule type="containsText" dxfId="506" priority="9" operator="containsText" text="SUS">
      <formula>NOT(ISERROR(SEARCH("SUS",K6)))</formula>
    </cfRule>
    <cfRule type="containsText" dxfId="505" priority="8" operator="containsText" text="AB">
      <formula>NOT(ISERROR(SEARCH("AB",K6)))</formula>
    </cfRule>
  </conditionalFormatting>
  <conditionalFormatting sqref="M24:AB27">
    <cfRule type="containsText" dxfId="504" priority="122" stopIfTrue="1" operator="containsText" text="SICK">
      <formula>NOT(ISERROR(SEARCH("SICK",M24)))</formula>
    </cfRule>
    <cfRule type="containsText" dxfId="503" priority="120" stopIfTrue="1" operator="containsText" text="SP">
      <formula>NOT(ISERROR(SEARCH("SP",M24)))</formula>
    </cfRule>
    <cfRule type="containsText" priority="121" stopIfTrue="1" operator="containsText" text="SP">
      <formula>NOT(ISERROR(SEARCH("SP",M24)))</formula>
    </cfRule>
    <cfRule type="containsText" dxfId="502" priority="119" stopIfTrue="1" operator="containsText" text="SICK">
      <formula>NOT(ISERROR(SEARCH("SICK",M24)))</formula>
    </cfRule>
    <cfRule type="containsText" dxfId="501" priority="118" stopIfTrue="1" operator="containsText" text="AB">
      <formula>NOT(ISERROR(SEARCH("AB",M24)))</formula>
    </cfRule>
  </conditionalFormatting>
  <conditionalFormatting sqref="Y12">
    <cfRule type="cellIs" dxfId="500" priority="129" operator="equal">
      <formula>";"</formula>
    </cfRule>
  </conditionalFormatting>
  <conditionalFormatting sqref="Y15">
    <cfRule type="cellIs" dxfId="499" priority="130" stopIfTrue="1" operator="equal">
      <formula>";"</formula>
    </cfRule>
  </conditionalFormatting>
  <conditionalFormatting sqref="Z43:AA43">
    <cfRule type="containsText" dxfId="498" priority="21" operator="containsText" text="AB">
      <formula>NOT(ISERROR(SEARCH("AB",Z43)))</formula>
    </cfRule>
    <cfRule type="containsText" dxfId="497" priority="22" operator="containsText" text="Sick">
      <formula>NOT(ISERROR(SEARCH("Sick",Z43)))</formula>
    </cfRule>
    <cfRule type="containsText" dxfId="496" priority="23" operator="containsText" text="OFF">
      <formula>NOT(ISERROR(SEARCH("OFF",Z43)))</formula>
    </cfRule>
    <cfRule type="containsText" dxfId="495" priority="24" operator="containsText" text="AL">
      <formula>NOT(ISERROR(SEARCH("AL",Z43)))</formula>
    </cfRule>
    <cfRule type="containsText" dxfId="494" priority="17" operator="containsText" text="AB">
      <formula>NOT(ISERROR(SEARCH("AB",Z43)))</formula>
    </cfRule>
    <cfRule type="containsText" dxfId="493" priority="16" operator="containsText" text="EL">
      <formula>NOT(ISERROR(SEARCH("EL",Z43)))</formula>
    </cfRule>
    <cfRule type="containsText" dxfId="492" priority="18" operator="containsText" text="SUS">
      <formula>NOT(ISERROR(SEARCH("SUS",Z43)))</formula>
    </cfRule>
    <cfRule type="containsText" dxfId="491" priority="19" operator="containsText" text="FL">
      <formula>NOT(ISERROR(SEARCH("FL",Z43)))</formula>
    </cfRule>
    <cfRule type="containsText" dxfId="490" priority="20" operator="containsText" text="MC">
      <formula>NOT(ISERROR(SEARCH("MC",Z43)))</formula>
    </cfRule>
  </conditionalFormatting>
  <conditionalFormatting sqref="AA14">
    <cfRule type="containsText" dxfId="489" priority="99" operator="containsText" text="FL">
      <formula>NOT(ISERROR(SEARCH("FL",AA14)))</formula>
    </cfRule>
    <cfRule type="containsText" dxfId="488" priority="98" operator="containsText" text="SUS">
      <formula>NOT(ISERROR(SEARCH("SUS",AA14)))</formula>
    </cfRule>
    <cfRule type="containsText" dxfId="487" priority="103" operator="containsText" text="OFF">
      <formula>NOT(ISERROR(SEARCH("OFF",AA14)))</formula>
    </cfRule>
    <cfRule type="containsText" dxfId="486" priority="104" operator="containsText" text="AL">
      <formula>NOT(ISERROR(SEARCH("AL",AA14)))</formula>
    </cfRule>
    <cfRule type="containsText" dxfId="485" priority="102" operator="containsText" text="Sick">
      <formula>NOT(ISERROR(SEARCH("Sick",AA14)))</formula>
    </cfRule>
    <cfRule type="containsText" dxfId="484" priority="101" operator="containsText" text="AB">
      <formula>NOT(ISERROR(SEARCH("AB",AA14)))</formula>
    </cfRule>
    <cfRule type="containsText" dxfId="483" priority="100" operator="containsText" text="MC">
      <formula>NOT(ISERROR(SEARCH("MC",AA14)))</formula>
    </cfRule>
  </conditionalFormatting>
  <conditionalFormatting sqref="AA14:AB14">
    <cfRule type="containsText" dxfId="482" priority="59" operator="containsText" text="AB">
      <formula>NOT(ISERROR(SEARCH("AB",AA14)))</formula>
    </cfRule>
  </conditionalFormatting>
  <conditionalFormatting sqref="AA14:AF14">
    <cfRule type="containsText" dxfId="481" priority="47" operator="containsText" text="EL">
      <formula>NOT(ISERROR(SEARCH("EL",AA14)))</formula>
    </cfRule>
  </conditionalFormatting>
  <conditionalFormatting sqref="AA10:AH10">
    <cfRule type="containsText" dxfId="480" priority="2" stopIfTrue="1" operator="containsText" text="AL">
      <formula>NOT(ISERROR(SEARCH("AL",AA10)))</formula>
    </cfRule>
    <cfRule type="containsText" dxfId="479" priority="3" stopIfTrue="1" operator="containsText" text="EL">
      <formula>NOT(ISERROR(SEARCH("EL",AA10)))</formula>
    </cfRule>
    <cfRule type="containsText" dxfId="478" priority="4" stopIfTrue="1" operator="containsText" text="AB">
      <formula>NOT(ISERROR(SEARCH("AB",AA10)))</formula>
    </cfRule>
    <cfRule type="containsText" dxfId="477" priority="5" stopIfTrue="1" operator="containsText" text="FL">
      <formula>NOT(ISERROR(SEARCH("FL",AA10)))</formula>
    </cfRule>
    <cfRule type="containsText" dxfId="476" priority="6" stopIfTrue="1" operator="containsText" text="SICK">
      <formula>NOT(ISERROR(SEARCH("SICK",AA10)))</formula>
    </cfRule>
    <cfRule type="containsText" dxfId="475" priority="1" stopIfTrue="1" operator="containsText" text="SP">
      <formula>NOT(ISERROR(SEARCH("SP",AA10)))</formula>
    </cfRule>
  </conditionalFormatting>
  <conditionalFormatting sqref="AB14">
    <cfRule type="containsText" dxfId="474" priority="61" operator="containsText" text="OFF">
      <formula>NOT(ISERROR(SEARCH("OFF",AB14)))</formula>
    </cfRule>
    <cfRule type="containsText" dxfId="473" priority="56" operator="containsText" text="SUS">
      <formula>NOT(ISERROR(SEARCH("SUS",AB14)))</formula>
    </cfRule>
    <cfRule type="containsText" dxfId="472" priority="57" operator="containsText" text="FL">
      <formula>NOT(ISERROR(SEARCH("FL",AB14)))</formula>
    </cfRule>
    <cfRule type="containsText" dxfId="471" priority="58" operator="containsText" text="MC">
      <formula>NOT(ISERROR(SEARCH("MC",AB14)))</formula>
    </cfRule>
    <cfRule type="containsText" dxfId="470" priority="60" operator="containsText" text="Sick">
      <formula>NOT(ISERROR(SEARCH("Sick",AB14)))</formula>
    </cfRule>
    <cfRule type="containsText" dxfId="469" priority="62" operator="containsText" text="AL">
      <formula>NOT(ISERROR(SEARCH("AL",AB14)))</formula>
    </cfRule>
  </conditionalFormatting>
  <conditionalFormatting sqref="AB14:AC14">
    <cfRule type="containsText" dxfId="468" priority="52" operator="containsText" text="AB">
      <formula>NOT(ISERROR(SEARCH("AB",AB14)))</formula>
    </cfRule>
  </conditionalFormatting>
  <conditionalFormatting sqref="AC14">
    <cfRule type="containsText" dxfId="467" priority="48" operator="containsText" text="AB">
      <formula>NOT(ISERROR(SEARCH("AB",AC14)))</formula>
    </cfRule>
    <cfRule type="containsText" dxfId="466" priority="49" operator="containsText" text="SUS">
      <formula>NOT(ISERROR(SEARCH("SUS",AC14)))</formula>
    </cfRule>
    <cfRule type="containsText" dxfId="465" priority="55" operator="containsText" text="AL">
      <formula>NOT(ISERROR(SEARCH("AL",AC14)))</formula>
    </cfRule>
    <cfRule type="containsText" dxfId="464" priority="54" operator="containsText" text="OFF">
      <formula>NOT(ISERROR(SEARCH("OFF",AC14)))</formula>
    </cfRule>
    <cfRule type="containsText" dxfId="463" priority="53" operator="containsText" text="Sick">
      <formula>NOT(ISERROR(SEARCH("Sick",AC14)))</formula>
    </cfRule>
    <cfRule type="containsText" dxfId="462" priority="51" operator="containsText" text="MC">
      <formula>NOT(ISERROR(SEARCH("MC",AC14)))</formula>
    </cfRule>
    <cfRule type="containsText" dxfId="461" priority="50" operator="containsText" text="FL">
      <formula>NOT(ISERROR(SEARCH("FL",AC14)))</formula>
    </cfRule>
  </conditionalFormatting>
  <conditionalFormatting sqref="AD14">
    <cfRule type="containsText" dxfId="460" priority="105" operator="containsText" text="SUS">
      <formula>NOT(ISERROR(SEARCH("SUS",AD14)))</formula>
    </cfRule>
    <cfRule type="containsText" dxfId="459" priority="106" operator="containsText" text="FL">
      <formula>NOT(ISERROR(SEARCH("FL",AD14)))</formula>
    </cfRule>
    <cfRule type="containsText" dxfId="458" priority="107" operator="containsText" text="MC">
      <formula>NOT(ISERROR(SEARCH("MC",AD14)))</formula>
    </cfRule>
    <cfRule type="containsText" dxfId="457" priority="108" operator="containsText" text="AB">
      <formula>NOT(ISERROR(SEARCH("AB",AD14)))</formula>
    </cfRule>
    <cfRule type="containsText" dxfId="456" priority="109" operator="containsText" text="Sick">
      <formula>NOT(ISERROR(SEARCH("Sick",AD14)))</formula>
    </cfRule>
    <cfRule type="containsText" dxfId="455" priority="110" operator="containsText" text="OFF">
      <formula>NOT(ISERROR(SEARCH("OFF",AD14)))</formula>
    </cfRule>
    <cfRule type="containsText" dxfId="454" priority="111" operator="containsText" text="AL">
      <formula>NOT(ISERROR(SEARCH("AL",AD14)))</formula>
    </cfRule>
  </conditionalFormatting>
  <conditionalFormatting sqref="AD14:AF14">
    <cfRule type="containsText" dxfId="453" priority="67" operator="containsText" text="AB">
      <formula>NOT(ISERROR(SEARCH("AB",AD14)))</formula>
    </cfRule>
  </conditionalFormatting>
  <conditionalFormatting sqref="AE14">
    <cfRule type="containsText" dxfId="452" priority="69" operator="containsText" text="OFF">
      <formula>NOT(ISERROR(SEARCH("OFF",AE14)))</formula>
    </cfRule>
    <cfRule type="containsText" dxfId="451" priority="70" operator="containsText" text="AL">
      <formula>NOT(ISERROR(SEARCH("AL",AE14)))</formula>
    </cfRule>
    <cfRule type="containsText" dxfId="450" priority="65" operator="containsText" text="FL">
      <formula>NOT(ISERROR(SEARCH("FL",AE14)))</formula>
    </cfRule>
    <cfRule type="containsText" dxfId="449" priority="66" operator="containsText" text="MC">
      <formula>NOT(ISERROR(SEARCH("MC",AE14)))</formula>
    </cfRule>
    <cfRule type="containsText" dxfId="448" priority="68" operator="containsText" text="Sick">
      <formula>NOT(ISERROR(SEARCH("Sick",AE14)))</formula>
    </cfRule>
    <cfRule type="containsText" dxfId="447" priority="63" operator="containsText" text="AB">
      <formula>NOT(ISERROR(SEARCH("AB",AE14)))</formula>
    </cfRule>
    <cfRule type="containsText" dxfId="446" priority="64" operator="containsText" text="SUS">
      <formula>NOT(ISERROR(SEARCH("SUS",AE14)))</formula>
    </cfRule>
  </conditionalFormatting>
  <conditionalFormatting sqref="AF14">
    <cfRule type="containsText" dxfId="445" priority="71" operator="containsText" text="SUS">
      <formula>NOT(ISERROR(SEARCH("SUS",AF14)))</formula>
    </cfRule>
    <cfRule type="containsText" dxfId="444" priority="72" operator="containsText" text="FL">
      <formula>NOT(ISERROR(SEARCH("FL",AF14)))</formula>
    </cfRule>
    <cfRule type="containsText" dxfId="443" priority="73" operator="containsText" text="MC">
      <formula>NOT(ISERROR(SEARCH("MC",AF14)))</formula>
    </cfRule>
    <cfRule type="containsText" dxfId="442" priority="74" operator="containsText" text="AB">
      <formula>NOT(ISERROR(SEARCH("AB",AF14)))</formula>
    </cfRule>
    <cfRule type="containsText" dxfId="441" priority="76" operator="containsText" text="OFF">
      <formula>NOT(ISERROR(SEARCH("OFF",AF14)))</formula>
    </cfRule>
    <cfRule type="containsText" dxfId="440" priority="77" operator="containsText" text="AL">
      <formula>NOT(ISERROR(SEARCH("AL",AF14)))</formula>
    </cfRule>
    <cfRule type="containsText" dxfId="439" priority="75" operator="containsText" text="Sick">
      <formula>NOT(ISERROR(SEARCH("Sick",AF14)))</formula>
    </cfRule>
  </conditionalFormatting>
  <conditionalFormatting sqref="AG14">
    <cfRule type="containsText" dxfId="438" priority="91" operator="containsText" text="FL">
      <formula>NOT(ISERROR(SEARCH("FL",AG14)))</formula>
    </cfRule>
    <cfRule type="containsText" dxfId="437" priority="92" operator="containsText" text="EL">
      <formula>NOT(ISERROR(SEARCH("EL",AG14)))</formula>
    </cfRule>
    <cfRule type="containsText" dxfId="436" priority="90" operator="containsText" text="SUS">
      <formula>NOT(ISERROR(SEARCH("SUS",AG14)))</formula>
    </cfRule>
    <cfRule type="containsText" dxfId="435" priority="89" operator="containsText" text="NL">
      <formula>NOT(ISERROR(SEARCH("NL",AG14)))</formula>
    </cfRule>
    <cfRule type="containsText" dxfId="434" priority="97" operator="containsText" text="AL">
      <formula>NOT(ISERROR(SEARCH("AL",AG14)))</formula>
    </cfRule>
    <cfRule type="containsText" dxfId="433" priority="88" operator="containsText" text="SP">
      <formula>NOT(ISERROR(SEARCH("SP",AG14)))</formula>
    </cfRule>
    <cfRule type="containsText" dxfId="432" priority="96" operator="containsText" text="SICK">
      <formula>NOT(ISERROR(SEARCH("SICK",AG14)))</formula>
    </cfRule>
    <cfRule type="containsText" dxfId="431" priority="95" operator="containsText" text="AB">
      <formula>NOT(ISERROR(SEARCH("AB",AG14)))</formula>
    </cfRule>
    <cfRule type="containsText" dxfId="430" priority="94" operator="containsText" text="OFF">
      <formula>NOT(ISERROR(SEARCH("OFF",AG14)))</formula>
    </cfRule>
    <cfRule type="containsText" dxfId="429" priority="93" operator="containsText" text="MC">
      <formula>NOT(ISERROR(SEARCH("MC",AG14)))</formula>
    </cfRule>
  </conditionalFormatting>
  <conditionalFormatting sqref="AG16 AJ17:AJ27">
    <cfRule type="containsText" dxfId="428" priority="123" stopIfTrue="1" operator="containsText" text="SICK">
      <formula>NOT(ISERROR(SEARCH("SICK",AG16)))</formula>
    </cfRule>
    <cfRule type="containsText" dxfId="427" priority="124" stopIfTrue="1" operator="containsText" text="SP">
      <formula>NOT(ISERROR(SEARCH("SP",AG16)))</formula>
    </cfRule>
    <cfRule type="containsText" priority="125" stopIfTrue="1" operator="containsText" text="SP">
      <formula>NOT(ISERROR(SEARCH("SP",AG16)))</formula>
    </cfRule>
    <cfRule type="containsText" dxfId="426" priority="127" stopIfTrue="1" operator="containsText" text="HD">
      <formula>NOT(ISERROR(SEARCH("HD",AG16)))</formula>
    </cfRule>
    <cfRule type="containsText" dxfId="425" priority="128" stopIfTrue="1" operator="containsText" text="AB">
      <formula>NOT(ISERROR(SEARCH("AB",AG16)))</formula>
    </cfRule>
    <cfRule type="containsText" dxfId="424" priority="126" stopIfTrue="1" operator="containsText" text="AB">
      <formula>NOT(ISERROR(SEARCH("AB",AG16)))</formula>
    </cfRule>
  </conditionalFormatting>
  <conditionalFormatting sqref="AI14:AK14">
    <cfRule type="containsText" dxfId="423" priority="78" operator="containsText" text="SP">
      <formula>NOT(ISERROR(SEARCH("SP",AI14)))</formula>
    </cfRule>
    <cfRule type="containsText" dxfId="422" priority="79" operator="containsText" text="NL">
      <formula>NOT(ISERROR(SEARCH("NL",AI14)))</formula>
    </cfRule>
    <cfRule type="containsText" dxfId="421" priority="80" operator="containsText" text="SUS">
      <formula>NOT(ISERROR(SEARCH("SUS",AI14)))</formula>
    </cfRule>
    <cfRule type="containsText" dxfId="420" priority="82" operator="containsText" text="EL">
      <formula>NOT(ISERROR(SEARCH("EL",AI14)))</formula>
    </cfRule>
    <cfRule type="containsText" dxfId="419" priority="81" operator="containsText" text="FL">
      <formula>NOT(ISERROR(SEARCH("FL",AI14)))</formula>
    </cfRule>
    <cfRule type="containsText" dxfId="418" priority="87" operator="containsText" text="AL">
      <formula>NOT(ISERROR(SEARCH("AL",AI14)))</formula>
    </cfRule>
    <cfRule type="containsText" dxfId="417" priority="86" operator="containsText" text="SICK">
      <formula>NOT(ISERROR(SEARCH("SICK",AI14)))</formula>
    </cfRule>
    <cfRule type="containsText" dxfId="416" priority="85" operator="containsText" text="AB">
      <formula>NOT(ISERROR(SEARCH("AB",AI14)))</formula>
    </cfRule>
    <cfRule type="containsText" dxfId="415" priority="83" operator="containsText" text="MC">
      <formula>NOT(ISERROR(SEARCH("MC",AI14)))</formula>
    </cfRule>
    <cfRule type="containsText" dxfId="414" priority="84" operator="containsText" text="OFF">
      <formula>NOT(ISERROR(SEARCH("OFF",AI14)))</formula>
    </cfRule>
  </conditionalFormatting>
  <pageMargins left="0.7" right="0.7" top="0.75" bottom="0.75" header="0.3" footer="0.3"/>
  <pageSetup paperSize="9" scale="44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87D79-66EC-4BF4-8704-9A541431C4FD}">
  <sheetPr>
    <pageSetUpPr fitToPage="1"/>
  </sheetPr>
  <dimension ref="A1:CC43"/>
  <sheetViews>
    <sheetView zoomScaleNormal="100" workbookViewId="0">
      <selection activeCell="T16" sqref="T16"/>
    </sheetView>
  </sheetViews>
  <sheetFormatPr defaultRowHeight="15" x14ac:dyDescent="0.25"/>
  <cols>
    <col min="1" max="1" width="5.140625" style="45" customWidth="1"/>
    <col min="2" max="2" width="12" style="15" customWidth="1"/>
    <col min="3" max="3" width="33.7109375" customWidth="1"/>
    <col min="4" max="4" width="10" hidden="1" customWidth="1"/>
    <col min="5" max="32" width="6.5703125" customWidth="1"/>
    <col min="33" max="34" width="6.28515625" customWidth="1"/>
    <col min="35" max="35" width="6.28515625" style="73" customWidth="1"/>
    <col min="36" max="36" width="6.28515625" style="57" hidden="1" customWidth="1"/>
    <col min="37" max="37" width="6.28515625" hidden="1" customWidth="1"/>
    <col min="38" max="38" width="10.28515625" customWidth="1"/>
    <col min="39" max="68" width="6.5703125" customWidth="1"/>
    <col min="69" max="69" width="5.85546875" style="15" customWidth="1"/>
    <col min="70" max="77" width="5" customWidth="1"/>
    <col min="78" max="78" width="5.85546875" customWidth="1"/>
    <col min="79" max="82" width="5" customWidth="1"/>
  </cols>
  <sheetData>
    <row r="1" spans="1:69" ht="15.75" x14ac:dyDescent="0.25"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33"/>
      <c r="Y1" s="33"/>
    </row>
    <row r="2" spans="1:69" ht="25.5" customHeight="1" x14ac:dyDescent="0.25">
      <c r="A2" s="278" t="s">
        <v>287</v>
      </c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/>
      <c r="AJ2"/>
    </row>
    <row r="3" spans="1:69" ht="22.5" customHeight="1" x14ac:dyDescent="0.25">
      <c r="A3" s="249" t="s">
        <v>169</v>
      </c>
      <c r="B3" s="250"/>
      <c r="C3" s="251"/>
      <c r="D3" s="84"/>
      <c r="E3" s="240" t="s">
        <v>7</v>
      </c>
      <c r="F3" s="240"/>
      <c r="G3" s="240" t="s">
        <v>1</v>
      </c>
      <c r="H3" s="240"/>
      <c r="I3" s="240" t="s">
        <v>2</v>
      </c>
      <c r="J3" s="240"/>
      <c r="K3" s="240" t="s">
        <v>3</v>
      </c>
      <c r="L3" s="240"/>
      <c r="M3" s="240" t="s">
        <v>4</v>
      </c>
      <c r="N3" s="240"/>
      <c r="O3" s="240" t="s">
        <v>5</v>
      </c>
      <c r="P3" s="240"/>
      <c r="Q3" s="240" t="s">
        <v>6</v>
      </c>
      <c r="R3" s="240"/>
      <c r="S3" s="240" t="s">
        <v>7</v>
      </c>
      <c r="T3" s="240"/>
      <c r="U3" s="240" t="s">
        <v>1</v>
      </c>
      <c r="V3" s="240"/>
      <c r="W3" s="240" t="s">
        <v>2</v>
      </c>
      <c r="X3" s="240"/>
      <c r="Y3" s="240" t="s">
        <v>3</v>
      </c>
      <c r="Z3" s="240"/>
      <c r="AA3" s="240" t="s">
        <v>4</v>
      </c>
      <c r="AB3" s="240"/>
      <c r="AC3" s="240" t="s">
        <v>5</v>
      </c>
      <c r="AD3" s="240"/>
      <c r="AE3" s="240" t="s">
        <v>6</v>
      </c>
      <c r="AF3" s="240"/>
      <c r="AG3" s="240" t="s">
        <v>7</v>
      </c>
      <c r="AH3" s="240"/>
      <c r="AI3"/>
      <c r="AJ3"/>
    </row>
    <row r="4" spans="1:69" ht="22.5" customHeight="1" x14ac:dyDescent="0.25">
      <c r="A4" s="252"/>
      <c r="B4" s="253"/>
      <c r="C4" s="254"/>
      <c r="D4" s="84"/>
      <c r="E4" s="242">
        <v>46266</v>
      </c>
      <c r="F4" s="242"/>
      <c r="G4" s="242">
        <v>46267</v>
      </c>
      <c r="H4" s="242"/>
      <c r="I4" s="242">
        <v>46268</v>
      </c>
      <c r="J4" s="242"/>
      <c r="K4" s="242">
        <v>46269</v>
      </c>
      <c r="L4" s="242"/>
      <c r="M4" s="242">
        <v>46270</v>
      </c>
      <c r="N4" s="242"/>
      <c r="O4" s="242">
        <v>46271</v>
      </c>
      <c r="P4" s="242"/>
      <c r="Q4" s="242">
        <v>46272</v>
      </c>
      <c r="R4" s="242"/>
      <c r="S4" s="242">
        <v>46273</v>
      </c>
      <c r="T4" s="242"/>
      <c r="U4" s="242">
        <v>46274</v>
      </c>
      <c r="V4" s="242"/>
      <c r="W4" s="242">
        <v>46275</v>
      </c>
      <c r="X4" s="242"/>
      <c r="Y4" s="242">
        <v>46276</v>
      </c>
      <c r="Z4" s="242"/>
      <c r="AA4" s="242">
        <v>46277</v>
      </c>
      <c r="AB4" s="242"/>
      <c r="AC4" s="242">
        <v>46278</v>
      </c>
      <c r="AD4" s="242"/>
      <c r="AE4" s="242">
        <v>46279</v>
      </c>
      <c r="AF4" s="242"/>
      <c r="AG4" s="242">
        <v>46280</v>
      </c>
      <c r="AH4" s="242"/>
      <c r="AI4"/>
      <c r="AJ4"/>
    </row>
    <row r="5" spans="1:69" ht="20.25" customHeight="1" x14ac:dyDescent="0.25">
      <c r="A5" s="4" t="s">
        <v>10</v>
      </c>
      <c r="B5" s="4" t="s">
        <v>11</v>
      </c>
      <c r="C5" s="4" t="s">
        <v>12</v>
      </c>
      <c r="D5" s="13"/>
      <c r="E5" s="13" t="s">
        <v>13</v>
      </c>
      <c r="F5" s="13" t="s">
        <v>14</v>
      </c>
      <c r="G5" s="13" t="s">
        <v>13</v>
      </c>
      <c r="H5" s="13" t="s">
        <v>14</v>
      </c>
      <c r="I5" s="13" t="s">
        <v>13</v>
      </c>
      <c r="J5" s="13" t="s">
        <v>14</v>
      </c>
      <c r="K5" s="13" t="s">
        <v>13</v>
      </c>
      <c r="L5" s="13" t="s">
        <v>14</v>
      </c>
      <c r="M5" s="13" t="s">
        <v>13</v>
      </c>
      <c r="N5" s="13" t="s">
        <v>14</v>
      </c>
      <c r="O5" s="13" t="s">
        <v>13</v>
      </c>
      <c r="P5" s="13" t="s">
        <v>14</v>
      </c>
      <c r="Q5" s="13" t="s">
        <v>13</v>
      </c>
      <c r="R5" s="13" t="s">
        <v>14</v>
      </c>
      <c r="S5" s="13" t="s">
        <v>13</v>
      </c>
      <c r="T5" s="13" t="s">
        <v>14</v>
      </c>
      <c r="U5" s="13" t="s">
        <v>13</v>
      </c>
      <c r="V5" s="13" t="s">
        <v>14</v>
      </c>
      <c r="W5" s="13" t="s">
        <v>13</v>
      </c>
      <c r="X5" s="13" t="s">
        <v>14</v>
      </c>
      <c r="Y5" s="4" t="s">
        <v>13</v>
      </c>
      <c r="Z5" s="4" t="s">
        <v>14</v>
      </c>
      <c r="AA5" s="4" t="s">
        <v>13</v>
      </c>
      <c r="AB5" s="4" t="s">
        <v>14</v>
      </c>
      <c r="AC5" s="4" t="s">
        <v>13</v>
      </c>
      <c r="AD5" s="4" t="s">
        <v>14</v>
      </c>
      <c r="AE5" s="4" t="s">
        <v>13</v>
      </c>
      <c r="AF5" s="4" t="s">
        <v>14</v>
      </c>
      <c r="AG5" s="4" t="s">
        <v>13</v>
      </c>
      <c r="AH5" s="4" t="s">
        <v>14</v>
      </c>
      <c r="AI5"/>
      <c r="AJ5"/>
    </row>
    <row r="6" spans="1:69" ht="21.75" customHeight="1" x14ac:dyDescent="0.25">
      <c r="A6" s="10">
        <v>1</v>
      </c>
      <c r="B6" s="44" t="s">
        <v>248</v>
      </c>
      <c r="C6" s="79" t="s">
        <v>247</v>
      </c>
      <c r="D6" s="85">
        <v>38713</v>
      </c>
      <c r="E6" s="124">
        <v>46266.347500000003</v>
      </c>
      <c r="F6" s="124">
        <v>46264.971597222226</v>
      </c>
      <c r="G6" s="124">
        <v>46267.348275462966</v>
      </c>
      <c r="H6" s="124">
        <v>0</v>
      </c>
      <c r="I6" s="124">
        <v>0</v>
      </c>
      <c r="J6" s="124">
        <v>0</v>
      </c>
      <c r="K6" s="124">
        <v>46269.56925925926</v>
      </c>
      <c r="L6" s="124">
        <v>46269.994351851848</v>
      </c>
      <c r="M6" s="124">
        <v>46270.35465277778</v>
      </c>
      <c r="N6" s="124">
        <v>46270.975532407407</v>
      </c>
      <c r="O6" s="124">
        <v>46271.355034722219</v>
      </c>
      <c r="P6" s="124">
        <v>46271.940011574072</v>
      </c>
      <c r="Q6" s="124">
        <v>46272.351041666669</v>
      </c>
      <c r="R6" s="124">
        <v>46272.939641203702</v>
      </c>
      <c r="S6" s="124">
        <v>46273.353194444448</v>
      </c>
      <c r="T6" s="124">
        <v>0</v>
      </c>
      <c r="U6" s="124">
        <v>46274.352210648147</v>
      </c>
      <c r="V6" s="124">
        <v>46274.959340277775</v>
      </c>
      <c r="W6" s="124">
        <v>46275.354490740741</v>
      </c>
      <c r="X6" s="124">
        <v>46275.979745370372</v>
      </c>
      <c r="Y6" s="186" t="s">
        <v>15</v>
      </c>
      <c r="Z6" s="186" t="s">
        <v>15</v>
      </c>
      <c r="AA6" s="124">
        <v>46277.352060185185</v>
      </c>
      <c r="AB6" s="124">
        <v>46277.982858796298</v>
      </c>
      <c r="AC6" s="124">
        <v>46278.352002314816</v>
      </c>
      <c r="AD6" s="124">
        <v>46278.921157407407</v>
      </c>
      <c r="AE6" s="124">
        <v>46279.35355324074</v>
      </c>
      <c r="AF6" s="124">
        <v>0</v>
      </c>
      <c r="AG6" s="124">
        <v>0</v>
      </c>
      <c r="AH6" s="124">
        <v>0</v>
      </c>
      <c r="AI6"/>
      <c r="AJ6"/>
    </row>
    <row r="7" spans="1:69" ht="18.75" x14ac:dyDescent="0.25">
      <c r="AI7" s="106"/>
    </row>
    <row r="8" spans="1:69" x14ac:dyDescent="0.25">
      <c r="W8" s="241" t="s">
        <v>1</v>
      </c>
      <c r="X8" s="280"/>
      <c r="Y8" s="241" t="s">
        <v>2</v>
      </c>
      <c r="Z8" s="280"/>
      <c r="AA8" s="241" t="s">
        <v>3</v>
      </c>
      <c r="AB8" s="280"/>
      <c r="AC8" s="240" t="s">
        <v>4</v>
      </c>
      <c r="AD8" s="240"/>
      <c r="AE8" s="240" t="s">
        <v>5</v>
      </c>
      <c r="AF8" s="240"/>
      <c r="AG8" s="240" t="s">
        <v>6</v>
      </c>
      <c r="AH8" s="240"/>
      <c r="AI8"/>
      <c r="AJ8"/>
    </row>
    <row r="9" spans="1:69" x14ac:dyDescent="0.25">
      <c r="D9" s="135" t="s">
        <v>245</v>
      </c>
      <c r="E9" s="135" t="s">
        <v>245</v>
      </c>
      <c r="F9" s="276" t="s">
        <v>290</v>
      </c>
      <c r="G9" s="276"/>
      <c r="H9" s="276"/>
      <c r="I9" s="276"/>
      <c r="J9" s="276"/>
      <c r="K9" s="276"/>
      <c r="L9" s="276"/>
      <c r="M9" s="276"/>
      <c r="W9" s="244">
        <v>46281</v>
      </c>
      <c r="X9" s="277"/>
      <c r="Y9" s="244">
        <v>46282</v>
      </c>
      <c r="Z9" s="277"/>
      <c r="AA9" s="244">
        <v>46283</v>
      </c>
      <c r="AB9" s="277"/>
      <c r="AC9" s="242">
        <v>46284</v>
      </c>
      <c r="AD9" s="242"/>
      <c r="AE9" s="242">
        <v>46285</v>
      </c>
      <c r="AF9" s="242"/>
      <c r="AG9" s="242">
        <v>46286</v>
      </c>
      <c r="AH9" s="242"/>
      <c r="AI9"/>
      <c r="AJ9"/>
    </row>
    <row r="10" spans="1:69" x14ac:dyDescent="0.25">
      <c r="F10" s="281" t="s">
        <v>289</v>
      </c>
      <c r="G10" s="281"/>
      <c r="H10" s="281"/>
      <c r="I10" s="281"/>
      <c r="J10" s="281"/>
      <c r="K10" s="45"/>
      <c r="L10" s="45"/>
      <c r="M10" s="45"/>
      <c r="N10" s="45"/>
      <c r="O10" s="45"/>
      <c r="W10" s="4" t="s">
        <v>13</v>
      </c>
      <c r="X10" s="4" t="s">
        <v>14</v>
      </c>
      <c r="Y10" s="4" t="s">
        <v>13</v>
      </c>
      <c r="Z10" s="4" t="s">
        <v>14</v>
      </c>
      <c r="AA10" s="4" t="s">
        <v>13</v>
      </c>
      <c r="AB10" s="4" t="s">
        <v>14</v>
      </c>
      <c r="AC10" s="4" t="s">
        <v>13</v>
      </c>
      <c r="AD10" s="4" t="s">
        <v>14</v>
      </c>
      <c r="AE10" s="4" t="s">
        <v>13</v>
      </c>
      <c r="AF10" s="4" t="s">
        <v>14</v>
      </c>
      <c r="AG10" s="4" t="s">
        <v>13</v>
      </c>
      <c r="AH10" s="4" t="s">
        <v>14</v>
      </c>
      <c r="AI10"/>
      <c r="AJ10"/>
    </row>
    <row r="11" spans="1:69" x14ac:dyDescent="0.25">
      <c r="D11" s="137" t="s">
        <v>246</v>
      </c>
      <c r="E11" s="136" t="s">
        <v>246</v>
      </c>
      <c r="F11" s="136" t="s">
        <v>288</v>
      </c>
      <c r="I11" s="138"/>
      <c r="J11" s="138"/>
      <c r="K11" s="138"/>
      <c r="L11" s="151"/>
      <c r="W11" s="124">
        <v>46281.353229166663</v>
      </c>
      <c r="X11" s="124">
        <v>0.95833333333333337</v>
      </c>
      <c r="Y11" s="124">
        <v>46282.355115740742</v>
      </c>
      <c r="Z11" s="124">
        <v>0.97916666666666663</v>
      </c>
      <c r="AA11" s="124">
        <v>46283.568541666667</v>
      </c>
      <c r="AB11" s="124">
        <v>0</v>
      </c>
      <c r="AC11" s="124">
        <v>46284.353912037041</v>
      </c>
      <c r="AD11" s="124">
        <v>0</v>
      </c>
      <c r="AE11" s="124">
        <v>46285.354097222225</v>
      </c>
      <c r="AF11" s="182">
        <v>1</v>
      </c>
      <c r="AG11" s="182">
        <v>1</v>
      </c>
      <c r="AH11" s="182">
        <v>1</v>
      </c>
      <c r="AI11"/>
      <c r="AJ11"/>
    </row>
    <row r="12" spans="1:69" ht="15" customHeight="1" x14ac:dyDescent="0.25">
      <c r="BN12" s="15"/>
    </row>
    <row r="13" spans="1:69" ht="33.75" customHeight="1" x14ac:dyDescent="0.25">
      <c r="F13" s="136"/>
      <c r="G13" s="136"/>
      <c r="H13" s="136"/>
      <c r="I13" s="136"/>
      <c r="J13" s="136"/>
      <c r="K13" s="136"/>
      <c r="L13" s="136"/>
      <c r="T13" s="274" t="s">
        <v>8</v>
      </c>
      <c r="U13" s="247" t="s">
        <v>9</v>
      </c>
      <c r="V13" s="133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BN13" s="15"/>
    </row>
    <row r="14" spans="1:69" x14ac:dyDescent="0.25">
      <c r="T14" s="274"/>
      <c r="U14" s="248"/>
      <c r="V14" s="61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BN14" s="15"/>
    </row>
    <row r="15" spans="1:69" ht="28.5" x14ac:dyDescent="0.25">
      <c r="T15" s="266"/>
      <c r="U15" s="132"/>
      <c r="V15" s="58"/>
      <c r="W15" s="91" t="s">
        <v>15</v>
      </c>
      <c r="X15" s="90" t="s">
        <v>16</v>
      </c>
      <c r="Y15" s="90" t="s">
        <v>17</v>
      </c>
      <c r="Z15" s="88" t="s">
        <v>18</v>
      </c>
      <c r="AA15" s="90" t="s">
        <v>19</v>
      </c>
      <c r="AB15" s="90" t="s">
        <v>20</v>
      </c>
      <c r="AC15" s="74" t="s">
        <v>170</v>
      </c>
      <c r="AD15" s="59" t="s">
        <v>22</v>
      </c>
      <c r="AE15" s="76" t="s">
        <v>23</v>
      </c>
      <c r="AF15" s="76" t="s">
        <v>24</v>
      </c>
      <c r="AG15" s="76" t="s">
        <v>25</v>
      </c>
      <c r="AH15" s="7" t="s">
        <v>26</v>
      </c>
      <c r="BN15" s="15"/>
      <c r="BQ15"/>
    </row>
    <row r="16" spans="1:69" x14ac:dyDescent="0.25">
      <c r="T16" s="96">
        <v>21</v>
      </c>
      <c r="U16" s="67">
        <v>1</v>
      </c>
      <c r="V16" s="1">
        <v>21</v>
      </c>
      <c r="W16" s="2">
        <f>COUNTIF(E6:BN6,"OFF")/2</f>
        <v>1</v>
      </c>
      <c r="X16" s="2">
        <f>COUNTIF(E6:BN6,"MC")/2</f>
        <v>0</v>
      </c>
      <c r="Y16" s="2">
        <f>COUNTIF(E6:BN6,"EL")/2</f>
        <v>0</v>
      </c>
      <c r="Z16" s="2">
        <f>COUNTIF(E6:BN6,"AL")/2</f>
        <v>0</v>
      </c>
      <c r="AA16" s="2">
        <f>COUNTIF(E6:BN6,"SUS")/2</f>
        <v>0</v>
      </c>
      <c r="AB16" s="2">
        <f>COUNTIF(E6:BN6,"FL")/2</f>
        <v>0</v>
      </c>
      <c r="AC16" s="2">
        <f>COUNTIF(E6:BN6,"SICK")/2</f>
        <v>0</v>
      </c>
      <c r="AD16" s="2">
        <f>COUNTIF(E6:BN6,"HD")/2</f>
        <v>0</v>
      </c>
      <c r="AE16" s="2">
        <f>COUNTIF(E6:BN6,"AB")/2</f>
        <v>0</v>
      </c>
      <c r="AF16" s="2">
        <f>COUNTIF(E6:BN6,"NL")/2</f>
        <v>0</v>
      </c>
      <c r="AG16" s="2">
        <f>COUNTIF(E6:BN6,"SP")/2</f>
        <v>0</v>
      </c>
      <c r="AH16" s="3"/>
      <c r="AI16" s="102"/>
      <c r="AJ16" s="102"/>
      <c r="AK16" s="102"/>
      <c r="AL16" s="128"/>
      <c r="BN16" s="15"/>
      <c r="BQ16"/>
    </row>
    <row r="17" spans="6:81" x14ac:dyDescent="0.25">
      <c r="AC17" s="102"/>
      <c r="AD17" s="102"/>
      <c r="AE17" s="102"/>
      <c r="AF17" s="102"/>
      <c r="AG17" s="102"/>
      <c r="AH17" s="102"/>
      <c r="AI17" s="102"/>
      <c r="AJ17" s="102"/>
      <c r="AK17" s="102"/>
      <c r="AL17" s="128"/>
      <c r="BN17" s="15"/>
      <c r="BQ17"/>
    </row>
    <row r="18" spans="6:81" x14ac:dyDescent="0.25">
      <c r="Y18" s="140" t="s">
        <v>71</v>
      </c>
      <c r="Z18" s="141"/>
      <c r="AA18" s="142"/>
      <c r="AB18" s="143" t="s">
        <v>16</v>
      </c>
      <c r="AC18" s="144"/>
      <c r="AD18" s="145" t="s">
        <v>72</v>
      </c>
      <c r="AE18" s="141"/>
      <c r="AF18" s="146"/>
      <c r="AG18" s="141"/>
      <c r="AH18" s="147" t="s">
        <v>22</v>
      </c>
      <c r="AJ18" s="65"/>
    </row>
    <row r="19" spans="6:81" x14ac:dyDescent="0.25">
      <c r="W19" s="101"/>
      <c r="X19" s="101"/>
      <c r="Y19" s="140" t="s">
        <v>73</v>
      </c>
      <c r="Z19" s="144"/>
      <c r="AA19" s="144"/>
      <c r="AB19" s="143" t="s">
        <v>17</v>
      </c>
      <c r="AC19" s="146"/>
      <c r="AD19" s="145" t="s">
        <v>74</v>
      </c>
      <c r="AE19" s="148"/>
      <c r="AF19" s="148"/>
      <c r="AG19" s="149"/>
      <c r="AH19" s="147" t="s">
        <v>23</v>
      </c>
      <c r="AJ19" s="65"/>
    </row>
    <row r="20" spans="6:81" x14ac:dyDescent="0.25">
      <c r="F20" s="151"/>
      <c r="G20" s="151"/>
      <c r="H20" s="151"/>
      <c r="I20" s="151"/>
      <c r="J20" s="151"/>
      <c r="K20" s="151"/>
      <c r="L20" s="151"/>
      <c r="W20" s="101"/>
      <c r="X20" s="101"/>
      <c r="Y20" s="140" t="s">
        <v>75</v>
      </c>
      <c r="Z20" s="144"/>
      <c r="AA20" s="144"/>
      <c r="AB20" s="143" t="s">
        <v>18</v>
      </c>
      <c r="AC20" s="146"/>
      <c r="AD20" s="140" t="s">
        <v>76</v>
      </c>
      <c r="AE20" s="150"/>
      <c r="AF20" s="150"/>
      <c r="AG20" s="149"/>
      <c r="AH20" s="147" t="s">
        <v>24</v>
      </c>
      <c r="AJ20" s="65"/>
    </row>
    <row r="21" spans="6:81" x14ac:dyDescent="0.25">
      <c r="F21" s="151"/>
      <c r="G21" s="151"/>
      <c r="H21" s="151"/>
      <c r="I21" s="151"/>
      <c r="J21" s="151"/>
      <c r="K21" s="151"/>
      <c r="L21" s="151"/>
      <c r="Y21" s="140" t="s">
        <v>77</v>
      </c>
      <c r="Z21" s="144"/>
      <c r="AA21" s="144"/>
      <c r="AB21" s="143" t="s">
        <v>19</v>
      </c>
      <c r="AC21" s="146"/>
      <c r="AD21" s="140" t="s">
        <v>78</v>
      </c>
      <c r="AE21" s="150"/>
      <c r="AF21" s="150"/>
      <c r="AG21" s="149"/>
      <c r="AH21" s="147" t="s">
        <v>25</v>
      </c>
      <c r="AJ21" s="65"/>
    </row>
    <row r="22" spans="6:81" x14ac:dyDescent="0.25">
      <c r="F22" s="151"/>
      <c r="G22" s="151"/>
      <c r="H22" s="151"/>
      <c r="I22" s="151"/>
      <c r="J22" s="151"/>
      <c r="K22" s="151"/>
      <c r="L22" s="151"/>
      <c r="Y22" s="140" t="s">
        <v>79</v>
      </c>
      <c r="Z22" s="144"/>
      <c r="AA22" s="144"/>
      <c r="AB22" s="143" t="s">
        <v>20</v>
      </c>
      <c r="AC22" s="146"/>
      <c r="AD22" s="146"/>
      <c r="AE22" s="146"/>
      <c r="AF22" s="146"/>
      <c r="AG22" s="146"/>
      <c r="AH22" s="146"/>
      <c r="AJ22" s="65"/>
    </row>
    <row r="23" spans="6:81" x14ac:dyDescent="0.25">
      <c r="F23" s="151"/>
      <c r="G23" s="151"/>
      <c r="H23" s="151"/>
      <c r="I23" s="151"/>
      <c r="J23" s="151"/>
      <c r="K23" s="151"/>
      <c r="L23" s="151"/>
      <c r="AJ23" s="65"/>
    </row>
    <row r="24" spans="6:81" ht="15.75" x14ac:dyDescent="0.25">
      <c r="F24" s="151"/>
      <c r="G24" s="17" t="s">
        <v>62</v>
      </c>
      <c r="H24" s="18"/>
      <c r="I24" s="17"/>
      <c r="J24" s="19"/>
      <c r="M24" s="19"/>
      <c r="N24" s="20"/>
      <c r="O24" s="21"/>
      <c r="P24" s="21"/>
      <c r="Q24" s="22" t="s">
        <v>63</v>
      </c>
      <c r="R24" s="22"/>
      <c r="S24" s="20"/>
      <c r="T24" s="20"/>
      <c r="U24" s="20"/>
      <c r="V24" s="20"/>
      <c r="W24" s="20" t="s">
        <v>64</v>
      </c>
      <c r="X24" s="20"/>
      <c r="Y24" s="20"/>
      <c r="Z24" s="20"/>
      <c r="AA24" s="22" t="s">
        <v>65</v>
      </c>
      <c r="AB24" s="20"/>
      <c r="AJ24" s="65"/>
    </row>
    <row r="25" spans="6:81" ht="17.25" x14ac:dyDescent="0.25">
      <c r="F25" s="151"/>
      <c r="G25" s="19"/>
      <c r="H25" s="19"/>
      <c r="I25" s="19"/>
      <c r="J25" s="19"/>
      <c r="M25" s="19"/>
      <c r="N25" s="19"/>
      <c r="O25" s="24"/>
      <c r="P25" s="24"/>
      <c r="Q25" s="24"/>
      <c r="R25" s="19"/>
      <c r="S25" s="19"/>
      <c r="T25" s="19"/>
      <c r="U25" s="25"/>
      <c r="V25" s="25"/>
      <c r="W25" s="25"/>
      <c r="X25" s="25"/>
      <c r="Y25" s="25"/>
      <c r="Z25" s="25"/>
      <c r="AA25" s="26"/>
      <c r="AB25" s="26"/>
      <c r="AJ25" s="65"/>
    </row>
    <row r="26" spans="6:81" ht="17.25" x14ac:dyDescent="0.25">
      <c r="F26" s="151"/>
      <c r="G26" s="27"/>
      <c r="H26" s="19"/>
      <c r="I26" s="27"/>
      <c r="J26" s="19"/>
      <c r="M26" s="19"/>
      <c r="N26" s="27" t="s">
        <v>64</v>
      </c>
      <c r="O26" s="28"/>
      <c r="P26" s="28"/>
      <c r="Q26" s="24"/>
      <c r="R26" s="19"/>
      <c r="S26" s="27"/>
      <c r="T26" s="27"/>
      <c r="U26" s="20"/>
      <c r="V26" s="19"/>
      <c r="W26" s="19"/>
      <c r="X26" s="19"/>
      <c r="Y26" s="19"/>
      <c r="Z26" s="19"/>
      <c r="AA26" s="29"/>
      <c r="AB26" s="29"/>
      <c r="AJ26" s="65"/>
    </row>
    <row r="27" spans="6:81" ht="17.25" x14ac:dyDescent="0.25">
      <c r="G27" s="27"/>
      <c r="H27" s="19"/>
      <c r="I27" s="27"/>
      <c r="J27" s="19"/>
      <c r="M27" s="19"/>
      <c r="N27" s="27"/>
      <c r="O27" s="28"/>
      <c r="P27" s="28"/>
      <c r="Q27" s="24"/>
      <c r="R27" s="20"/>
      <c r="S27" s="27"/>
      <c r="T27" s="27"/>
      <c r="U27" s="20"/>
      <c r="V27" s="19"/>
      <c r="W27" s="19"/>
      <c r="X27" s="19"/>
      <c r="Y27" s="19"/>
      <c r="Z27" s="19"/>
      <c r="AA27" s="29"/>
      <c r="AB27" s="29"/>
      <c r="AJ27" s="65"/>
    </row>
    <row r="28" spans="6:81" ht="17.25" x14ac:dyDescent="0.25">
      <c r="G28" s="138"/>
      <c r="H28" s="139" t="s">
        <v>257</v>
      </c>
      <c r="I28" s="19"/>
      <c r="J28" s="19"/>
      <c r="M28" s="19"/>
      <c r="N28" s="27"/>
      <c r="O28" s="24"/>
      <c r="P28" s="28"/>
      <c r="Q28" s="18" t="s">
        <v>66</v>
      </c>
      <c r="R28" s="19"/>
      <c r="S28" s="27"/>
      <c r="T28" s="20"/>
      <c r="U28" s="19"/>
      <c r="V28" s="19"/>
      <c r="W28" s="19"/>
      <c r="X28" s="19"/>
      <c r="Y28" s="19"/>
      <c r="Z28" s="19"/>
      <c r="AA28" s="18" t="s">
        <v>67</v>
      </c>
      <c r="AB28" s="29"/>
    </row>
    <row r="29" spans="6:81" ht="17.25" x14ac:dyDescent="0.25">
      <c r="F29" s="16"/>
      <c r="G29" s="31" t="s">
        <v>68</v>
      </c>
      <c r="H29" s="30"/>
      <c r="I29" s="30"/>
      <c r="J29" s="19"/>
      <c r="M29" s="19"/>
      <c r="N29" s="18"/>
      <c r="O29" s="32"/>
      <c r="P29" s="32"/>
      <c r="Q29" s="18" t="s">
        <v>69</v>
      </c>
      <c r="R29" s="18"/>
      <c r="S29" s="18"/>
      <c r="T29" s="20"/>
      <c r="U29" s="18"/>
      <c r="V29" s="19"/>
      <c r="W29" s="19"/>
      <c r="X29" s="19"/>
      <c r="Y29" s="19"/>
      <c r="Z29" s="19"/>
      <c r="AA29" s="18" t="s">
        <v>70</v>
      </c>
      <c r="AB29" s="29"/>
    </row>
    <row r="30" spans="6:81" ht="15.75" x14ac:dyDescent="0.25">
      <c r="F30" s="23"/>
    </row>
    <row r="31" spans="6:81" ht="15.75" x14ac:dyDescent="0.25">
      <c r="F31" s="23"/>
      <c r="BT31" s="37"/>
      <c r="BU31" s="37"/>
      <c r="BV31" s="37"/>
      <c r="BW31" s="37"/>
      <c r="BX31" s="37"/>
      <c r="BY31" s="37"/>
      <c r="BZ31" s="37"/>
      <c r="CA31" s="37"/>
      <c r="CB31" s="37"/>
      <c r="CC31" s="37"/>
    </row>
    <row r="32" spans="6:81" ht="15.75" x14ac:dyDescent="0.25">
      <c r="F32" s="30"/>
    </row>
    <row r="33" spans="1:81" s="57" customFormat="1" ht="15.75" x14ac:dyDescent="0.25">
      <c r="A33" s="45"/>
      <c r="B33" s="15"/>
      <c r="C33"/>
      <c r="D33"/>
      <c r="E33"/>
      <c r="F33" s="31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 s="7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 s="15"/>
      <c r="BR33"/>
      <c r="BS33"/>
      <c r="BT33"/>
      <c r="BU33"/>
      <c r="BV33"/>
      <c r="BW33"/>
      <c r="BX33"/>
      <c r="BY33"/>
      <c r="BZ33"/>
      <c r="CA33"/>
      <c r="CB33"/>
      <c r="CC33"/>
    </row>
    <row r="34" spans="1:81" s="57" customFormat="1" ht="15.75" x14ac:dyDescent="0.25">
      <c r="A34" s="45"/>
      <c r="B34" s="15"/>
      <c r="C34"/>
      <c r="D34"/>
      <c r="E34"/>
      <c r="F34" s="31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 s="73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 s="15"/>
      <c r="BR34"/>
      <c r="BS34"/>
      <c r="BT34"/>
      <c r="BU34"/>
      <c r="BV34"/>
      <c r="BW34"/>
      <c r="BX34"/>
      <c r="BY34"/>
      <c r="BZ34"/>
      <c r="CA34"/>
      <c r="CB34"/>
      <c r="CC34"/>
    </row>
    <row r="40" spans="1:81" s="57" customFormat="1" x14ac:dyDescent="0.25">
      <c r="A40" s="45"/>
      <c r="B40" s="15"/>
      <c r="C40"/>
      <c r="D40"/>
      <c r="E40" s="123"/>
      <c r="F40" s="240" t="s">
        <v>5</v>
      </c>
      <c r="G40" s="241"/>
      <c r="H40" s="240" t="s">
        <v>6</v>
      </c>
      <c r="I40" s="241"/>
      <c r="J40" s="240" t="s">
        <v>7</v>
      </c>
      <c r="K40" s="241"/>
      <c r="L40" s="240" t="s">
        <v>1</v>
      </c>
      <c r="M40" s="241"/>
      <c r="N40" s="240" t="s">
        <v>2</v>
      </c>
      <c r="O40" s="241"/>
      <c r="P40" s="240" t="s">
        <v>3</v>
      </c>
      <c r="Q40" s="241"/>
      <c r="R40" s="240" t="s">
        <v>4</v>
      </c>
      <c r="S40" s="241"/>
      <c r="T40" s="240" t="s">
        <v>5</v>
      </c>
      <c r="U40" s="241"/>
      <c r="V40" s="240" t="s">
        <v>6</v>
      </c>
      <c r="W40" s="241"/>
      <c r="X40" s="240" t="s">
        <v>7</v>
      </c>
      <c r="Y40" s="241"/>
      <c r="Z40" s="240" t="s">
        <v>1</v>
      </c>
      <c r="AA40" s="241"/>
      <c r="AB40" s="240" t="s">
        <v>2</v>
      </c>
      <c r="AC40" s="241"/>
      <c r="AD40" s="240" t="s">
        <v>3</v>
      </c>
      <c r="AE40" s="241"/>
      <c r="AF40" s="240" t="s">
        <v>4</v>
      </c>
      <c r="AG40" s="241"/>
      <c r="AH40" s="240" t="s">
        <v>5</v>
      </c>
      <c r="AI40" s="241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 s="15"/>
      <c r="BR40"/>
      <c r="BS40"/>
      <c r="BT40"/>
      <c r="BU40"/>
      <c r="BV40"/>
      <c r="BW40"/>
      <c r="BX40"/>
      <c r="BY40"/>
      <c r="BZ40"/>
      <c r="CA40"/>
      <c r="CB40"/>
      <c r="CC40"/>
    </row>
    <row r="41" spans="1:81" s="57" customFormat="1" x14ac:dyDescent="0.25">
      <c r="A41" s="45"/>
      <c r="B41" s="15"/>
      <c r="C41"/>
      <c r="D41"/>
      <c r="E41" s="100"/>
      <c r="F41" s="242">
        <v>46281</v>
      </c>
      <c r="G41" s="244"/>
      <c r="H41" s="242">
        <v>46282</v>
      </c>
      <c r="I41" s="244"/>
      <c r="J41" s="242">
        <v>46283</v>
      </c>
      <c r="K41" s="244"/>
      <c r="L41" s="242">
        <v>46284</v>
      </c>
      <c r="M41" s="244"/>
      <c r="N41" s="242">
        <v>46285</v>
      </c>
      <c r="O41" s="244"/>
      <c r="P41" s="242">
        <v>46286</v>
      </c>
      <c r="Q41" s="244"/>
      <c r="R41" s="242">
        <v>46287</v>
      </c>
      <c r="S41" s="244"/>
      <c r="T41" s="242">
        <v>46288</v>
      </c>
      <c r="U41" s="244"/>
      <c r="V41" s="242">
        <v>46289</v>
      </c>
      <c r="W41" s="244"/>
      <c r="X41" s="242">
        <v>46290</v>
      </c>
      <c r="Y41" s="244"/>
      <c r="Z41" s="242">
        <v>46291</v>
      </c>
      <c r="AA41" s="244"/>
      <c r="AB41" s="242">
        <v>46292</v>
      </c>
      <c r="AC41" s="244"/>
      <c r="AD41" s="242">
        <v>46293</v>
      </c>
      <c r="AE41" s="244"/>
      <c r="AF41" s="242">
        <v>46294</v>
      </c>
      <c r="AG41" s="244"/>
      <c r="AH41" s="242">
        <v>46295</v>
      </c>
      <c r="AI41" s="244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 s="15"/>
      <c r="BR41"/>
      <c r="BS41"/>
      <c r="BT41"/>
      <c r="BU41"/>
      <c r="BV41"/>
      <c r="BW41"/>
      <c r="BX41"/>
      <c r="BY41"/>
      <c r="BZ41"/>
      <c r="CA41"/>
      <c r="CB41"/>
      <c r="CC41"/>
    </row>
    <row r="42" spans="1:81" s="57" customFormat="1" x14ac:dyDescent="0.25">
      <c r="A42" s="45"/>
      <c r="B42" s="15"/>
      <c r="C42"/>
      <c r="D42"/>
      <c r="E42" s="4"/>
      <c r="F42" s="4" t="s">
        <v>13</v>
      </c>
      <c r="G42" s="4" t="s">
        <v>14</v>
      </c>
      <c r="H42" s="4" t="s">
        <v>13</v>
      </c>
      <c r="I42" s="4" t="s">
        <v>14</v>
      </c>
      <c r="J42" s="4" t="s">
        <v>13</v>
      </c>
      <c r="K42" s="4" t="s">
        <v>14</v>
      </c>
      <c r="L42" s="4" t="s">
        <v>13</v>
      </c>
      <c r="M42" s="4" t="s">
        <v>14</v>
      </c>
      <c r="N42" s="4" t="s">
        <v>13</v>
      </c>
      <c r="O42" s="4" t="s">
        <v>14</v>
      </c>
      <c r="P42" s="13" t="s">
        <v>13</v>
      </c>
      <c r="Q42" s="13" t="s">
        <v>14</v>
      </c>
      <c r="R42" s="13" t="s">
        <v>13</v>
      </c>
      <c r="S42" s="13" t="s">
        <v>14</v>
      </c>
      <c r="T42" s="13" t="s">
        <v>13</v>
      </c>
      <c r="U42" s="13" t="s">
        <v>14</v>
      </c>
      <c r="V42" s="13" t="s">
        <v>13</v>
      </c>
      <c r="W42" s="13" t="s">
        <v>14</v>
      </c>
      <c r="X42" s="13" t="s">
        <v>13</v>
      </c>
      <c r="Y42" s="13" t="s">
        <v>14</v>
      </c>
      <c r="Z42" s="4" t="s">
        <v>13</v>
      </c>
      <c r="AA42" s="4" t="s">
        <v>14</v>
      </c>
      <c r="AB42" s="4" t="s">
        <v>13</v>
      </c>
      <c r="AC42" s="4" t="s">
        <v>14</v>
      </c>
      <c r="AD42" s="4" t="s">
        <v>13</v>
      </c>
      <c r="AE42" s="4" t="s">
        <v>14</v>
      </c>
      <c r="AF42" s="4" t="s">
        <v>13</v>
      </c>
      <c r="AG42" s="4" t="s">
        <v>14</v>
      </c>
      <c r="AH42" s="4" t="s">
        <v>13</v>
      </c>
      <c r="AI42" s="4" t="s">
        <v>14</v>
      </c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 s="15"/>
      <c r="BR42"/>
      <c r="BS42"/>
      <c r="BT42"/>
      <c r="BU42"/>
      <c r="BV42"/>
      <c r="BW42"/>
      <c r="BX42"/>
      <c r="BY42"/>
      <c r="BZ42"/>
      <c r="CA42"/>
      <c r="CB42"/>
      <c r="CC42"/>
    </row>
    <row r="43" spans="1:81" s="57" customFormat="1" x14ac:dyDescent="0.25">
      <c r="A43" s="45"/>
      <c r="B43" s="15"/>
      <c r="C43"/>
      <c r="D43"/>
      <c r="E43" s="44">
        <v>1</v>
      </c>
      <c r="F43" s="124">
        <v>46250.347905092596</v>
      </c>
      <c r="G43" s="124">
        <v>46250.973101851851</v>
      </c>
      <c r="H43" s="131">
        <v>46251.345891203702</v>
      </c>
      <c r="I43" s="124">
        <v>46251.971030092594</v>
      </c>
      <c r="J43" s="124">
        <v>46252.346273148149</v>
      </c>
      <c r="K43" s="124">
        <v>46252.969131944446</v>
      </c>
      <c r="L43" s="124">
        <v>46253.351967592593</v>
      </c>
      <c r="M43" s="124">
        <v>1</v>
      </c>
      <c r="N43" s="124">
        <v>46254.342499999999</v>
      </c>
      <c r="O43" s="124">
        <v>46254.989374999997</v>
      </c>
      <c r="P43" s="126" t="s">
        <v>15</v>
      </c>
      <c r="Q43" s="126" t="s">
        <v>15</v>
      </c>
      <c r="R43" s="124">
        <v>46256.350752314815</v>
      </c>
      <c r="S43" s="124">
        <v>46256.987256944441</v>
      </c>
      <c r="T43" s="124">
        <v>46257.347453703704</v>
      </c>
      <c r="U43" s="124">
        <v>46257.967719907407</v>
      </c>
      <c r="V43" s="124">
        <v>46258.344155092593</v>
      </c>
      <c r="W43" s="124">
        <v>46258.964699074073</v>
      </c>
      <c r="X43" s="124">
        <v>46259.347719907404</v>
      </c>
      <c r="Y43" s="124">
        <v>46259.990902777776</v>
      </c>
      <c r="Z43" s="124">
        <v>46260.346608796295</v>
      </c>
      <c r="AA43" s="124">
        <v>46260.979363425926</v>
      </c>
      <c r="AB43" s="124">
        <v>46261.34716435185</v>
      </c>
      <c r="AC43" s="124">
        <v>46261.987210648149</v>
      </c>
      <c r="AD43" s="124">
        <v>46262.579305555555</v>
      </c>
      <c r="AE43" s="124">
        <v>46262.981481481482</v>
      </c>
      <c r="AF43" s="124">
        <v>46263.34957175926</v>
      </c>
      <c r="AG43" s="124">
        <v>46263.984039351853</v>
      </c>
      <c r="AH43" s="124">
        <v>46264.338113425925</v>
      </c>
      <c r="AI43" s="12">
        <v>1</v>
      </c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 s="15"/>
      <c r="BR43"/>
      <c r="BS43"/>
      <c r="BT43"/>
      <c r="BU43"/>
      <c r="BV43"/>
      <c r="BW43"/>
      <c r="BX43"/>
      <c r="BY43"/>
      <c r="BZ43"/>
      <c r="CA43"/>
      <c r="CB43"/>
      <c r="CC43"/>
    </row>
  </sheetData>
  <mergeCells count="78">
    <mergeCell ref="F10:J10"/>
    <mergeCell ref="AH41:AI41"/>
    <mergeCell ref="V41:W41"/>
    <mergeCell ref="X41:Y41"/>
    <mergeCell ref="Z41:AA41"/>
    <mergeCell ref="AB41:AC41"/>
    <mergeCell ref="AD41:AE41"/>
    <mergeCell ref="AF41:AG41"/>
    <mergeCell ref="AF40:AG40"/>
    <mergeCell ref="AH40:AI40"/>
    <mergeCell ref="F41:G41"/>
    <mergeCell ref="H41:I41"/>
    <mergeCell ref="J41:K41"/>
    <mergeCell ref="L41:M41"/>
    <mergeCell ref="N41:O41"/>
    <mergeCell ref="P41:Q41"/>
    <mergeCell ref="R41:S41"/>
    <mergeCell ref="T41:U41"/>
    <mergeCell ref="T40:U40"/>
    <mergeCell ref="V40:W40"/>
    <mergeCell ref="P40:Q40"/>
    <mergeCell ref="R40:S40"/>
    <mergeCell ref="X40:Y40"/>
    <mergeCell ref="Z40:AA40"/>
    <mergeCell ref="AB40:AC40"/>
    <mergeCell ref="AD40:AE40"/>
    <mergeCell ref="F40:G40"/>
    <mergeCell ref="H40:I40"/>
    <mergeCell ref="J40:K40"/>
    <mergeCell ref="L40:M40"/>
    <mergeCell ref="N40:O40"/>
    <mergeCell ref="F9:M9"/>
    <mergeCell ref="K4:L4"/>
    <mergeCell ref="M4:N4"/>
    <mergeCell ref="O4:P4"/>
    <mergeCell ref="A3:C4"/>
    <mergeCell ref="E3:F3"/>
    <mergeCell ref="G3:H3"/>
    <mergeCell ref="I3:J3"/>
    <mergeCell ref="K3:L3"/>
    <mergeCell ref="M3:N3"/>
    <mergeCell ref="O3:P3"/>
    <mergeCell ref="E4:F4"/>
    <mergeCell ref="G4:H4"/>
    <mergeCell ref="I4:J4"/>
    <mergeCell ref="Y4:Z4"/>
    <mergeCell ref="AA4:AB4"/>
    <mergeCell ref="Q3:R3"/>
    <mergeCell ref="S3:T3"/>
    <mergeCell ref="U3:V3"/>
    <mergeCell ref="W3:X3"/>
    <mergeCell ref="Y3:Z3"/>
    <mergeCell ref="A2:AH2"/>
    <mergeCell ref="W8:X8"/>
    <mergeCell ref="Y8:Z8"/>
    <mergeCell ref="AA8:AB8"/>
    <mergeCell ref="AC8:AD8"/>
    <mergeCell ref="AC3:AD3"/>
    <mergeCell ref="AE3:AF3"/>
    <mergeCell ref="AG3:AH3"/>
    <mergeCell ref="AC4:AD4"/>
    <mergeCell ref="AE4:AF4"/>
    <mergeCell ref="AG4:AH4"/>
    <mergeCell ref="AA3:AB3"/>
    <mergeCell ref="Q4:R4"/>
    <mergeCell ref="S4:T4"/>
    <mergeCell ref="U4:V4"/>
    <mergeCell ref="W4:X4"/>
    <mergeCell ref="T13:T15"/>
    <mergeCell ref="U13:U14"/>
    <mergeCell ref="AE8:AF8"/>
    <mergeCell ref="AG8:AH8"/>
    <mergeCell ref="AE9:AF9"/>
    <mergeCell ref="AG9:AH9"/>
    <mergeCell ref="W9:X9"/>
    <mergeCell ref="Y9:Z9"/>
    <mergeCell ref="AA9:AB9"/>
    <mergeCell ref="AC9:AD9"/>
  </mergeCells>
  <phoneticPr fontId="11" type="noConversion"/>
  <conditionalFormatting sqref="A3:D5 A6 T13 T16 E42:AI42">
    <cfRule type="containsText" dxfId="413" priority="63" stopIfTrue="1" operator="containsText" text="SP">
      <formula>NOT(ISERROR(SEARCH("SP",A3)))</formula>
    </cfRule>
    <cfRule type="containsText" dxfId="412" priority="68" stopIfTrue="1" operator="containsText" text="SICK">
      <formula>NOT(ISERROR(SEARCH("SICK",A3)))</formula>
    </cfRule>
    <cfRule type="containsText" dxfId="411" priority="67" stopIfTrue="1" operator="containsText" text="FL">
      <formula>NOT(ISERROR(SEARCH("FL",A3)))</formula>
    </cfRule>
    <cfRule type="containsText" dxfId="410" priority="66" stopIfTrue="1" operator="containsText" text="AB">
      <formula>NOT(ISERROR(SEARCH("AB",A3)))</formula>
    </cfRule>
    <cfRule type="containsText" dxfId="409" priority="65" stopIfTrue="1" operator="containsText" text="EL">
      <formula>NOT(ISERROR(SEARCH("EL",A3)))</formula>
    </cfRule>
    <cfRule type="containsText" dxfId="408" priority="64" stopIfTrue="1" operator="containsText" text="AL">
      <formula>NOT(ISERROR(SEARCH("AL",A3)))</formula>
    </cfRule>
  </conditionalFormatting>
  <conditionalFormatting sqref="A1:BQ1 A2 AI7 E40:E41">
    <cfRule type="containsText" dxfId="407" priority="143" stopIfTrue="1" operator="containsText" text="SICK">
      <formula>NOT(ISERROR(SEARCH("SICK",A1)))</formula>
    </cfRule>
    <cfRule type="containsText" dxfId="406" priority="138" stopIfTrue="1" operator="containsText" text="SP">
      <formula>NOT(ISERROR(SEARCH("SP",A1)))</formula>
    </cfRule>
    <cfRule type="containsText" dxfId="405" priority="139" stopIfTrue="1" operator="containsText" text="AL">
      <formula>NOT(ISERROR(SEARCH("AL",A1)))</formula>
    </cfRule>
    <cfRule type="containsText" dxfId="404" priority="140" stopIfTrue="1" operator="containsText" text="EL">
      <formula>NOT(ISERROR(SEARCH("EL",A1)))</formula>
    </cfRule>
    <cfRule type="containsText" dxfId="403" priority="141" stopIfTrue="1" operator="containsText" text="AB">
      <formula>NOT(ISERROR(SEARCH("AB",A1)))</formula>
    </cfRule>
    <cfRule type="containsText" dxfId="402" priority="142" stopIfTrue="1" operator="containsText" text="FL">
      <formula>NOT(ISERROR(SEARCH("FL",A1)))</formula>
    </cfRule>
  </conditionalFormatting>
  <conditionalFormatting sqref="C6">
    <cfRule type="duplicateValues" dxfId="401" priority="26"/>
    <cfRule type="duplicateValues" dxfId="400" priority="22"/>
    <cfRule type="duplicateValues" dxfId="399" priority="23"/>
    <cfRule type="duplicateValues" dxfId="398" priority="24"/>
    <cfRule type="duplicateValues" dxfId="397" priority="25"/>
  </conditionalFormatting>
  <conditionalFormatting sqref="C28:C30">
    <cfRule type="duplicateValues" dxfId="396" priority="158"/>
  </conditionalFormatting>
  <conditionalFormatting sqref="C28:C35">
    <cfRule type="duplicateValues" dxfId="395" priority="157"/>
  </conditionalFormatting>
  <conditionalFormatting sqref="C28:C1048576 C1 C3:C5">
    <cfRule type="duplicateValues" dxfId="394" priority="159"/>
  </conditionalFormatting>
  <conditionalFormatting sqref="C28:C1048576 C1 C7:C11 C3:C5">
    <cfRule type="duplicateValues" dxfId="393" priority="160"/>
  </conditionalFormatting>
  <conditionalFormatting sqref="C28:D1048576 C1:D1 C7:D8 C9:C11 C3:D5">
    <cfRule type="duplicateValues" dxfId="392" priority="161"/>
  </conditionalFormatting>
  <conditionalFormatting sqref="D6">
    <cfRule type="timePeriod" dxfId="391" priority="62" timePeriod="nextWeek">
      <formula>AND(ROUNDDOWN(D6,0)-TODAY()&gt;(7-WEEKDAY(TODAY())),ROUNDDOWN(D6,0)-TODAY()&lt;(15-WEEKDAY(TODAY())))</formula>
    </cfRule>
    <cfRule type="timePeriod" priority="61" timePeriod="nextWeek">
      <formula>AND(ROUNDDOWN(D6,0)-TODAY()&gt;(7-WEEKDAY(TODAY())),ROUNDDOWN(D6,0)-TODAY()&lt;(15-WEEKDAY(TODAY())))</formula>
    </cfRule>
    <cfRule type="duplicateValues" dxfId="390" priority="69"/>
  </conditionalFormatting>
  <conditionalFormatting sqref="E43">
    <cfRule type="containsText" dxfId="389" priority="52" operator="containsText" text="SP">
      <formula>NOT(ISERROR(SEARCH("SP",E43)))</formula>
    </cfRule>
    <cfRule type="containsText" dxfId="388" priority="53" operator="containsText" text="NL">
      <formula>NOT(ISERROR(SEARCH("NL",E43)))</formula>
    </cfRule>
    <cfRule type="containsText" dxfId="387" priority="54" operator="containsText" text="SUS">
      <formula>NOT(ISERROR(SEARCH("SUS",E43)))</formula>
    </cfRule>
    <cfRule type="containsText" dxfId="386" priority="55" operator="containsText" text="FL">
      <formula>NOT(ISERROR(SEARCH("FL",E43)))</formula>
    </cfRule>
    <cfRule type="containsText" dxfId="385" priority="56" operator="containsText" text="MC">
      <formula>NOT(ISERROR(SEARCH("MC",E43)))</formula>
    </cfRule>
    <cfRule type="containsText" dxfId="384" priority="58" operator="containsText" text="Sick">
      <formula>NOT(ISERROR(SEARCH("Sick",E43)))</formula>
    </cfRule>
    <cfRule type="containsText" dxfId="383" priority="59" operator="containsText" text="OFF">
      <formula>NOT(ISERROR(SEARCH("OFF",E43)))</formula>
    </cfRule>
    <cfRule type="containsText" dxfId="382" priority="60" operator="containsText" text="AL">
      <formula>NOT(ISERROR(SEARCH("AL",E43)))</formula>
    </cfRule>
    <cfRule type="containsText" dxfId="381" priority="57" operator="containsText" text="AB">
      <formula>NOT(ISERROR(SEARCH("AB",E43)))</formula>
    </cfRule>
    <cfRule type="containsText" dxfId="380" priority="51" operator="containsText" text="EL">
      <formula>NOT(ISERROR(SEARCH("EL",E43)))</formula>
    </cfRule>
  </conditionalFormatting>
  <conditionalFormatting sqref="E5:AH5">
    <cfRule type="containsText" dxfId="379" priority="18" stopIfTrue="1" operator="containsText" text="EL">
      <formula>NOT(ISERROR(SEARCH("EL",E5)))</formula>
    </cfRule>
    <cfRule type="containsText" dxfId="378" priority="21" stopIfTrue="1" operator="containsText" text="SICK">
      <formula>NOT(ISERROR(SEARCH("SICK",E5)))</formula>
    </cfRule>
    <cfRule type="containsText" dxfId="377" priority="20" stopIfTrue="1" operator="containsText" text="FL">
      <formula>NOT(ISERROR(SEARCH("FL",E5)))</formula>
    </cfRule>
    <cfRule type="containsText" dxfId="376" priority="19" stopIfTrue="1" operator="containsText" text="AB">
      <formula>NOT(ISERROR(SEARCH("AB",E5)))</formula>
    </cfRule>
    <cfRule type="containsText" dxfId="375" priority="16" stopIfTrue="1" operator="containsText" text="SP">
      <formula>NOT(ISERROR(SEARCH("SP",E5)))</formula>
    </cfRule>
    <cfRule type="containsText" dxfId="374" priority="17" stopIfTrue="1" operator="containsText" text="AL">
      <formula>NOT(ISERROR(SEARCH("AL",E5)))</formula>
    </cfRule>
  </conditionalFormatting>
  <conditionalFormatting sqref="K6:L6">
    <cfRule type="containsText" dxfId="373" priority="7" operator="containsText" text="EL">
      <formula>NOT(ISERROR(SEARCH("EL",K6)))</formula>
    </cfRule>
    <cfRule type="containsText" dxfId="372" priority="8" operator="containsText" text="AB">
      <formula>NOT(ISERROR(SEARCH("AB",K6)))</formula>
    </cfRule>
    <cfRule type="containsText" dxfId="371" priority="10" operator="containsText" text="FL">
      <formula>NOT(ISERROR(SEARCH("FL",K6)))</formula>
    </cfRule>
    <cfRule type="containsText" dxfId="370" priority="9" operator="containsText" text="SUS">
      <formula>NOT(ISERROR(SEARCH("SUS",K6)))</formula>
    </cfRule>
    <cfRule type="containsText" dxfId="369" priority="15" operator="containsText" text="AL">
      <formula>NOT(ISERROR(SEARCH("AL",K6)))</formula>
    </cfRule>
    <cfRule type="containsText" dxfId="368" priority="14" operator="containsText" text="OFF">
      <formula>NOT(ISERROR(SEARCH("OFF",K6)))</formula>
    </cfRule>
    <cfRule type="containsText" dxfId="367" priority="13" operator="containsText" text="Sick">
      <formula>NOT(ISERROR(SEARCH("Sick",K6)))</formula>
    </cfRule>
    <cfRule type="containsText" dxfId="366" priority="12" operator="containsText" text="AB">
      <formula>NOT(ISERROR(SEARCH("AB",K6)))</formula>
    </cfRule>
    <cfRule type="containsText" dxfId="365" priority="11" operator="containsText" text="MC">
      <formula>NOT(ISERROR(SEARCH("MC",K6)))</formula>
    </cfRule>
  </conditionalFormatting>
  <conditionalFormatting sqref="M24:AB27">
    <cfRule type="containsText" dxfId="364" priority="148" stopIfTrue="1" operator="containsText" text="SICK">
      <formula>NOT(ISERROR(SEARCH("SICK",M24)))</formula>
    </cfRule>
    <cfRule type="containsText" priority="147" stopIfTrue="1" operator="containsText" text="SP">
      <formula>NOT(ISERROR(SEARCH("SP",M24)))</formula>
    </cfRule>
    <cfRule type="containsText" dxfId="363" priority="144" stopIfTrue="1" operator="containsText" text="AB">
      <formula>NOT(ISERROR(SEARCH("AB",M24)))</formula>
    </cfRule>
    <cfRule type="containsText" dxfId="362" priority="146" stopIfTrue="1" operator="containsText" text="SP">
      <formula>NOT(ISERROR(SEARCH("SP",M24)))</formula>
    </cfRule>
    <cfRule type="containsText" dxfId="361" priority="145" stopIfTrue="1" operator="containsText" text="SICK">
      <formula>NOT(ISERROR(SEARCH("SICK",M24)))</formula>
    </cfRule>
  </conditionalFormatting>
  <conditionalFormatting sqref="U13">
    <cfRule type="cellIs" dxfId="360" priority="155" operator="equal">
      <formula>";"</formula>
    </cfRule>
  </conditionalFormatting>
  <conditionalFormatting sqref="U16">
    <cfRule type="cellIs" dxfId="359" priority="156" stopIfTrue="1" operator="equal">
      <formula>";"</formula>
    </cfRule>
  </conditionalFormatting>
  <conditionalFormatting sqref="W15">
    <cfRule type="containsText" dxfId="358" priority="126" operator="containsText" text="MC">
      <formula>NOT(ISERROR(SEARCH("MC",W15)))</formula>
    </cfRule>
    <cfRule type="containsText" dxfId="357" priority="125" operator="containsText" text="FL">
      <formula>NOT(ISERROR(SEARCH("FL",W15)))</formula>
    </cfRule>
    <cfRule type="containsText" dxfId="356" priority="124" operator="containsText" text="SUS">
      <formula>NOT(ISERROR(SEARCH("SUS",W15)))</formula>
    </cfRule>
    <cfRule type="containsText" dxfId="355" priority="127" operator="containsText" text="AB">
      <formula>NOT(ISERROR(SEARCH("AB",W15)))</formula>
    </cfRule>
    <cfRule type="containsText" dxfId="354" priority="130" operator="containsText" text="AL">
      <formula>NOT(ISERROR(SEARCH("AL",W15)))</formula>
    </cfRule>
    <cfRule type="containsText" dxfId="353" priority="129" operator="containsText" text="OFF">
      <formula>NOT(ISERROR(SEARCH("OFF",W15)))</formula>
    </cfRule>
    <cfRule type="containsText" dxfId="352" priority="128" operator="containsText" text="Sick">
      <formula>NOT(ISERROR(SEARCH("Sick",W15)))</formula>
    </cfRule>
  </conditionalFormatting>
  <conditionalFormatting sqref="W15:X15">
    <cfRule type="containsText" dxfId="351" priority="85" operator="containsText" text="AB">
      <formula>NOT(ISERROR(SEARCH("AB",W15)))</formula>
    </cfRule>
  </conditionalFormatting>
  <conditionalFormatting sqref="W15:AB15">
    <cfRule type="containsText" dxfId="350" priority="73" operator="containsText" text="EL">
      <formula>NOT(ISERROR(SEARCH("EL",W15)))</formula>
    </cfRule>
  </conditionalFormatting>
  <conditionalFormatting sqref="W10:AH10">
    <cfRule type="containsText" dxfId="349" priority="2" stopIfTrue="1" operator="containsText" text="AL">
      <formula>NOT(ISERROR(SEARCH("AL",W10)))</formula>
    </cfRule>
    <cfRule type="containsText" dxfId="348" priority="3" stopIfTrue="1" operator="containsText" text="EL">
      <formula>NOT(ISERROR(SEARCH("EL",W10)))</formula>
    </cfRule>
    <cfRule type="containsText" dxfId="347" priority="4" stopIfTrue="1" operator="containsText" text="AB">
      <formula>NOT(ISERROR(SEARCH("AB",W10)))</formula>
    </cfRule>
    <cfRule type="containsText" dxfId="346" priority="5" stopIfTrue="1" operator="containsText" text="FL">
      <formula>NOT(ISERROR(SEARCH("FL",W10)))</formula>
    </cfRule>
    <cfRule type="containsText" dxfId="345" priority="6" stopIfTrue="1" operator="containsText" text="SICK">
      <formula>NOT(ISERROR(SEARCH("SICK",W10)))</formula>
    </cfRule>
    <cfRule type="containsText" dxfId="344" priority="1" stopIfTrue="1" operator="containsText" text="SP">
      <formula>NOT(ISERROR(SEARCH("SP",W10)))</formula>
    </cfRule>
  </conditionalFormatting>
  <conditionalFormatting sqref="X15">
    <cfRule type="containsText" dxfId="343" priority="87" operator="containsText" text="OFF">
      <formula>NOT(ISERROR(SEARCH("OFF",X15)))</formula>
    </cfRule>
    <cfRule type="containsText" dxfId="342" priority="82" operator="containsText" text="SUS">
      <formula>NOT(ISERROR(SEARCH("SUS",X15)))</formula>
    </cfRule>
    <cfRule type="containsText" dxfId="341" priority="83" operator="containsText" text="FL">
      <formula>NOT(ISERROR(SEARCH("FL",X15)))</formula>
    </cfRule>
    <cfRule type="containsText" dxfId="340" priority="84" operator="containsText" text="MC">
      <formula>NOT(ISERROR(SEARCH("MC",X15)))</formula>
    </cfRule>
    <cfRule type="containsText" dxfId="339" priority="86" operator="containsText" text="Sick">
      <formula>NOT(ISERROR(SEARCH("Sick",X15)))</formula>
    </cfRule>
    <cfRule type="containsText" dxfId="338" priority="88" operator="containsText" text="AL">
      <formula>NOT(ISERROR(SEARCH("AL",X15)))</formula>
    </cfRule>
  </conditionalFormatting>
  <conditionalFormatting sqref="X15:Y15">
    <cfRule type="containsText" dxfId="337" priority="78" operator="containsText" text="AB">
      <formula>NOT(ISERROR(SEARCH("AB",X15)))</formula>
    </cfRule>
  </conditionalFormatting>
  <conditionalFormatting sqref="Y15">
    <cfRule type="containsText" dxfId="336" priority="80" operator="containsText" text="OFF">
      <formula>NOT(ISERROR(SEARCH("OFF",Y15)))</formula>
    </cfRule>
    <cfRule type="containsText" dxfId="335" priority="81" operator="containsText" text="AL">
      <formula>NOT(ISERROR(SEARCH("AL",Y15)))</formula>
    </cfRule>
    <cfRule type="containsText" dxfId="334" priority="74" operator="containsText" text="AB">
      <formula>NOT(ISERROR(SEARCH("AB",Y15)))</formula>
    </cfRule>
    <cfRule type="containsText" dxfId="333" priority="75" operator="containsText" text="SUS">
      <formula>NOT(ISERROR(SEARCH("SUS",Y15)))</formula>
    </cfRule>
    <cfRule type="containsText" dxfId="332" priority="76" operator="containsText" text="FL">
      <formula>NOT(ISERROR(SEARCH("FL",Y15)))</formula>
    </cfRule>
    <cfRule type="containsText" dxfId="331" priority="77" operator="containsText" text="MC">
      <formula>NOT(ISERROR(SEARCH("MC",Y15)))</formula>
    </cfRule>
    <cfRule type="containsText" dxfId="330" priority="79" operator="containsText" text="Sick">
      <formula>NOT(ISERROR(SEARCH("Sick",Y15)))</formula>
    </cfRule>
  </conditionalFormatting>
  <conditionalFormatting sqref="Z15">
    <cfRule type="containsText" dxfId="329" priority="137" operator="containsText" text="AL">
      <formula>NOT(ISERROR(SEARCH("AL",Z15)))</formula>
    </cfRule>
    <cfRule type="containsText" dxfId="328" priority="136" operator="containsText" text="OFF">
      <formula>NOT(ISERROR(SEARCH("OFF",Z15)))</formula>
    </cfRule>
    <cfRule type="containsText" dxfId="327" priority="135" operator="containsText" text="Sick">
      <formula>NOT(ISERROR(SEARCH("Sick",Z15)))</formula>
    </cfRule>
    <cfRule type="containsText" dxfId="326" priority="133" operator="containsText" text="MC">
      <formula>NOT(ISERROR(SEARCH("MC",Z15)))</formula>
    </cfRule>
    <cfRule type="containsText" dxfId="325" priority="132" operator="containsText" text="FL">
      <formula>NOT(ISERROR(SEARCH("FL",Z15)))</formula>
    </cfRule>
    <cfRule type="containsText" dxfId="324" priority="134" operator="containsText" text="AB">
      <formula>NOT(ISERROR(SEARCH("AB",Z15)))</formula>
    </cfRule>
    <cfRule type="containsText" dxfId="323" priority="131" operator="containsText" text="SUS">
      <formula>NOT(ISERROR(SEARCH("SUS",Z15)))</formula>
    </cfRule>
  </conditionalFormatting>
  <conditionalFormatting sqref="Z43:AA43">
    <cfRule type="containsText" dxfId="322" priority="47" operator="containsText" text="AB">
      <formula>NOT(ISERROR(SEARCH("AB",Z43)))</formula>
    </cfRule>
    <cfRule type="containsText" dxfId="321" priority="46" operator="containsText" text="MC">
      <formula>NOT(ISERROR(SEARCH("MC",Z43)))</formula>
    </cfRule>
    <cfRule type="containsText" dxfId="320" priority="45" operator="containsText" text="FL">
      <formula>NOT(ISERROR(SEARCH("FL",Z43)))</formula>
    </cfRule>
    <cfRule type="containsText" dxfId="319" priority="44" operator="containsText" text="SUS">
      <formula>NOT(ISERROR(SEARCH("SUS",Z43)))</formula>
    </cfRule>
    <cfRule type="containsText" dxfId="318" priority="43" operator="containsText" text="AB">
      <formula>NOT(ISERROR(SEARCH("AB",Z43)))</formula>
    </cfRule>
    <cfRule type="containsText" dxfId="317" priority="42" operator="containsText" text="EL">
      <formula>NOT(ISERROR(SEARCH("EL",Z43)))</formula>
    </cfRule>
    <cfRule type="containsText" dxfId="316" priority="50" operator="containsText" text="AL">
      <formula>NOT(ISERROR(SEARCH("AL",Z43)))</formula>
    </cfRule>
    <cfRule type="containsText" dxfId="315" priority="49" operator="containsText" text="OFF">
      <formula>NOT(ISERROR(SEARCH("OFF",Z43)))</formula>
    </cfRule>
    <cfRule type="containsText" dxfId="314" priority="48" operator="containsText" text="Sick">
      <formula>NOT(ISERROR(SEARCH("Sick",Z43)))</formula>
    </cfRule>
  </conditionalFormatting>
  <conditionalFormatting sqref="Z15:AB15">
    <cfRule type="containsText" dxfId="313" priority="93" operator="containsText" text="AB">
      <formula>NOT(ISERROR(SEARCH("AB",Z15)))</formula>
    </cfRule>
  </conditionalFormatting>
  <conditionalFormatting sqref="AA15">
    <cfRule type="containsText" dxfId="312" priority="91" operator="containsText" text="FL">
      <formula>NOT(ISERROR(SEARCH("FL",AA15)))</formula>
    </cfRule>
    <cfRule type="containsText" dxfId="311" priority="92" operator="containsText" text="MC">
      <formula>NOT(ISERROR(SEARCH("MC",AA15)))</formula>
    </cfRule>
    <cfRule type="containsText" dxfId="310" priority="94" operator="containsText" text="Sick">
      <formula>NOT(ISERROR(SEARCH("Sick",AA15)))</formula>
    </cfRule>
    <cfRule type="containsText" dxfId="309" priority="95" operator="containsText" text="OFF">
      <formula>NOT(ISERROR(SEARCH("OFF",AA15)))</formula>
    </cfRule>
    <cfRule type="containsText" dxfId="308" priority="96" operator="containsText" text="AL">
      <formula>NOT(ISERROR(SEARCH("AL",AA15)))</formula>
    </cfRule>
    <cfRule type="containsText" dxfId="307" priority="90" operator="containsText" text="SUS">
      <formula>NOT(ISERROR(SEARCH("SUS",AA15)))</formula>
    </cfRule>
    <cfRule type="containsText" dxfId="306" priority="89" operator="containsText" text="AB">
      <formula>NOT(ISERROR(SEARCH("AB",AA15)))</formula>
    </cfRule>
  </conditionalFormatting>
  <conditionalFormatting sqref="AB15">
    <cfRule type="containsText" dxfId="305" priority="97" operator="containsText" text="SUS">
      <formula>NOT(ISERROR(SEARCH("SUS",AB15)))</formula>
    </cfRule>
    <cfRule type="containsText" dxfId="304" priority="98" operator="containsText" text="FL">
      <formula>NOT(ISERROR(SEARCH("FL",AB15)))</formula>
    </cfRule>
    <cfRule type="containsText" dxfId="303" priority="100" operator="containsText" text="AB">
      <formula>NOT(ISERROR(SEARCH("AB",AB15)))</formula>
    </cfRule>
    <cfRule type="containsText" dxfId="302" priority="101" operator="containsText" text="Sick">
      <formula>NOT(ISERROR(SEARCH("Sick",AB15)))</formula>
    </cfRule>
    <cfRule type="containsText" dxfId="301" priority="102" operator="containsText" text="OFF">
      <formula>NOT(ISERROR(SEARCH("OFF",AB15)))</formula>
    </cfRule>
    <cfRule type="containsText" dxfId="300" priority="103" operator="containsText" text="AL">
      <formula>NOT(ISERROR(SEARCH("AL",AB15)))</formula>
    </cfRule>
    <cfRule type="containsText" dxfId="299" priority="99" operator="containsText" text="MC">
      <formula>NOT(ISERROR(SEARCH("MC",AB15)))</formula>
    </cfRule>
  </conditionalFormatting>
  <conditionalFormatting sqref="AC15">
    <cfRule type="containsText" dxfId="298" priority="115" operator="containsText" text="NL">
      <formula>NOT(ISERROR(SEARCH("NL",AC15)))</formula>
    </cfRule>
    <cfRule type="containsText" dxfId="297" priority="114" operator="containsText" text="SP">
      <formula>NOT(ISERROR(SEARCH("SP",AC15)))</formula>
    </cfRule>
    <cfRule type="containsText" dxfId="296" priority="116" operator="containsText" text="SUS">
      <formula>NOT(ISERROR(SEARCH("SUS",AC15)))</formula>
    </cfRule>
    <cfRule type="containsText" dxfId="295" priority="123" operator="containsText" text="AL">
      <formula>NOT(ISERROR(SEARCH("AL",AC15)))</formula>
    </cfRule>
    <cfRule type="containsText" dxfId="294" priority="122" operator="containsText" text="SICK">
      <formula>NOT(ISERROR(SEARCH("SICK",AC15)))</formula>
    </cfRule>
    <cfRule type="containsText" dxfId="293" priority="121" operator="containsText" text="AB">
      <formula>NOT(ISERROR(SEARCH("AB",AC15)))</formula>
    </cfRule>
    <cfRule type="containsText" dxfId="292" priority="120" operator="containsText" text="OFF">
      <formula>NOT(ISERROR(SEARCH("OFF",AC15)))</formula>
    </cfRule>
    <cfRule type="containsText" dxfId="291" priority="119" operator="containsText" text="MC">
      <formula>NOT(ISERROR(SEARCH("MC",AC15)))</formula>
    </cfRule>
    <cfRule type="containsText" dxfId="290" priority="117" operator="containsText" text="FL">
      <formula>NOT(ISERROR(SEARCH("FL",AC15)))</formula>
    </cfRule>
    <cfRule type="containsText" dxfId="289" priority="118" operator="containsText" text="EL">
      <formula>NOT(ISERROR(SEARCH("EL",AC15)))</formula>
    </cfRule>
  </conditionalFormatting>
  <conditionalFormatting sqref="AE15:AG15">
    <cfRule type="containsText" dxfId="288" priority="106" operator="containsText" text="SUS">
      <formula>NOT(ISERROR(SEARCH("SUS",AE15)))</formula>
    </cfRule>
    <cfRule type="containsText" dxfId="287" priority="105" operator="containsText" text="NL">
      <formula>NOT(ISERROR(SEARCH("NL",AE15)))</formula>
    </cfRule>
    <cfRule type="containsText" dxfId="286" priority="113" operator="containsText" text="AL">
      <formula>NOT(ISERROR(SEARCH("AL",AE15)))</formula>
    </cfRule>
    <cfRule type="containsText" dxfId="285" priority="112" operator="containsText" text="SICK">
      <formula>NOT(ISERROR(SEARCH("SICK",AE15)))</formula>
    </cfRule>
    <cfRule type="containsText" dxfId="284" priority="111" operator="containsText" text="AB">
      <formula>NOT(ISERROR(SEARCH("AB",AE15)))</formula>
    </cfRule>
    <cfRule type="containsText" dxfId="283" priority="110" operator="containsText" text="OFF">
      <formula>NOT(ISERROR(SEARCH("OFF",AE15)))</formula>
    </cfRule>
    <cfRule type="containsText" dxfId="282" priority="109" operator="containsText" text="MC">
      <formula>NOT(ISERROR(SEARCH("MC",AE15)))</formula>
    </cfRule>
    <cfRule type="containsText" dxfId="281" priority="108" operator="containsText" text="EL">
      <formula>NOT(ISERROR(SEARCH("EL",AE15)))</formula>
    </cfRule>
    <cfRule type="containsText" dxfId="280" priority="104" operator="containsText" text="SP">
      <formula>NOT(ISERROR(SEARCH("SP",AE15)))</formula>
    </cfRule>
    <cfRule type="containsText" dxfId="279" priority="107" operator="containsText" text="FL">
      <formula>NOT(ISERROR(SEARCH("FL",AE15)))</formula>
    </cfRule>
  </conditionalFormatting>
  <conditionalFormatting sqref="AJ18:AJ27">
    <cfRule type="containsText" priority="151" stopIfTrue="1" operator="containsText" text="SP">
      <formula>NOT(ISERROR(SEARCH("SP",AJ18)))</formula>
    </cfRule>
    <cfRule type="containsText" dxfId="278" priority="152" stopIfTrue="1" operator="containsText" text="AB">
      <formula>NOT(ISERROR(SEARCH("AB",AJ18)))</formula>
    </cfRule>
    <cfRule type="containsText" dxfId="277" priority="149" stopIfTrue="1" operator="containsText" text="SICK">
      <formula>NOT(ISERROR(SEARCH("SICK",AJ18)))</formula>
    </cfRule>
    <cfRule type="containsText" dxfId="276" priority="154" stopIfTrue="1" operator="containsText" text="AB">
      <formula>NOT(ISERROR(SEARCH("AB",AJ18)))</formula>
    </cfRule>
    <cfRule type="containsText" dxfId="275" priority="150" stopIfTrue="1" operator="containsText" text="SP">
      <formula>NOT(ISERROR(SEARCH("SP",AJ18)))</formula>
    </cfRule>
    <cfRule type="containsText" dxfId="274" priority="153" stopIfTrue="1" operator="containsText" text="HD">
      <formula>NOT(ISERROR(SEARCH("HD",AJ18)))</formula>
    </cfRule>
  </conditionalFormatting>
  <pageMargins left="0.7" right="0.7" top="0.75" bottom="0.75" header="0.3" footer="0.3"/>
  <pageSetup paperSize="9" scale="51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92FE0-E437-4D10-8756-C053FBBF2A4A}">
  <sheetPr>
    <pageSetUpPr fitToPage="1"/>
  </sheetPr>
  <dimension ref="A1:CC43"/>
  <sheetViews>
    <sheetView zoomScaleNormal="100" workbookViewId="0">
      <selection activeCell="V20" sqref="V20"/>
    </sheetView>
  </sheetViews>
  <sheetFormatPr defaultRowHeight="15" x14ac:dyDescent="0.25"/>
  <cols>
    <col min="1" max="1" width="5.140625" style="45" customWidth="1"/>
    <col min="2" max="2" width="12" style="15" customWidth="1"/>
    <col min="3" max="3" width="33.7109375" customWidth="1"/>
    <col min="4" max="4" width="10" hidden="1" customWidth="1"/>
    <col min="5" max="32" width="6.5703125" customWidth="1"/>
    <col min="33" max="34" width="6.28515625" customWidth="1"/>
    <col min="35" max="35" width="6.28515625" style="73" customWidth="1"/>
    <col min="36" max="36" width="6.28515625" style="57" hidden="1" customWidth="1"/>
    <col min="37" max="37" width="6.28515625" hidden="1" customWidth="1"/>
    <col min="38" max="38" width="10.28515625" customWidth="1"/>
    <col min="39" max="68" width="6.5703125" customWidth="1"/>
    <col min="69" max="69" width="5.85546875" style="15" customWidth="1"/>
    <col min="70" max="77" width="5" customWidth="1"/>
    <col min="78" max="78" width="5.85546875" customWidth="1"/>
    <col min="79" max="82" width="5" customWidth="1"/>
  </cols>
  <sheetData>
    <row r="1" spans="1:69" ht="15.75" x14ac:dyDescent="0.25"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33"/>
      <c r="Y1" s="33"/>
    </row>
    <row r="2" spans="1:69" ht="25.5" customHeight="1" x14ac:dyDescent="0.25">
      <c r="A2" s="278" t="s">
        <v>292</v>
      </c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/>
      <c r="AJ2"/>
    </row>
    <row r="3" spans="1:69" s="188" customFormat="1" ht="22.5" customHeight="1" x14ac:dyDescent="0.25">
      <c r="A3" s="292" t="s">
        <v>0</v>
      </c>
      <c r="B3" s="293"/>
      <c r="C3" s="294"/>
      <c r="D3" s="187"/>
      <c r="E3" s="291" t="s">
        <v>7</v>
      </c>
      <c r="F3" s="291"/>
      <c r="G3" s="291" t="s">
        <v>1</v>
      </c>
      <c r="H3" s="291"/>
      <c r="I3" s="291" t="s">
        <v>2</v>
      </c>
      <c r="J3" s="291"/>
      <c r="K3" s="291" t="s">
        <v>3</v>
      </c>
      <c r="L3" s="291"/>
      <c r="M3" s="291" t="s">
        <v>4</v>
      </c>
      <c r="N3" s="291"/>
      <c r="O3" s="291" t="s">
        <v>5</v>
      </c>
      <c r="P3" s="291"/>
      <c r="Q3" s="291" t="s">
        <v>6</v>
      </c>
      <c r="R3" s="291"/>
      <c r="S3" s="291" t="s">
        <v>7</v>
      </c>
      <c r="T3" s="291"/>
      <c r="U3" s="291" t="s">
        <v>1</v>
      </c>
      <c r="V3" s="291"/>
      <c r="W3" s="291" t="s">
        <v>2</v>
      </c>
      <c r="X3" s="291"/>
      <c r="Y3" s="291" t="s">
        <v>3</v>
      </c>
      <c r="Z3" s="291"/>
      <c r="AA3" s="291" t="s">
        <v>4</v>
      </c>
      <c r="AB3" s="291"/>
      <c r="AC3" s="291" t="s">
        <v>5</v>
      </c>
      <c r="AD3" s="291"/>
      <c r="AE3" s="291" t="s">
        <v>6</v>
      </c>
      <c r="AF3" s="291"/>
      <c r="AG3" s="291" t="s">
        <v>7</v>
      </c>
      <c r="AH3" s="291"/>
      <c r="BQ3" s="189"/>
    </row>
    <row r="4" spans="1:69" s="188" customFormat="1" ht="22.5" customHeight="1" x14ac:dyDescent="0.25">
      <c r="A4" s="295"/>
      <c r="B4" s="296"/>
      <c r="C4" s="297"/>
      <c r="D4" s="187"/>
      <c r="E4" s="290">
        <v>46266</v>
      </c>
      <c r="F4" s="290"/>
      <c r="G4" s="290">
        <v>46267</v>
      </c>
      <c r="H4" s="290"/>
      <c r="I4" s="290">
        <v>46268</v>
      </c>
      <c r="J4" s="290"/>
      <c r="K4" s="290">
        <v>46269</v>
      </c>
      <c r="L4" s="290"/>
      <c r="M4" s="290">
        <v>46270</v>
      </c>
      <c r="N4" s="290"/>
      <c r="O4" s="290">
        <v>46271</v>
      </c>
      <c r="P4" s="290"/>
      <c r="Q4" s="290">
        <v>46272</v>
      </c>
      <c r="R4" s="290"/>
      <c r="S4" s="290">
        <v>46273</v>
      </c>
      <c r="T4" s="290"/>
      <c r="U4" s="290">
        <v>46274</v>
      </c>
      <c r="V4" s="290"/>
      <c r="W4" s="290">
        <v>46275</v>
      </c>
      <c r="X4" s="290"/>
      <c r="Y4" s="290">
        <v>46276</v>
      </c>
      <c r="Z4" s="290"/>
      <c r="AA4" s="290">
        <v>46277</v>
      </c>
      <c r="AB4" s="290"/>
      <c r="AC4" s="290">
        <v>46278</v>
      </c>
      <c r="AD4" s="290"/>
      <c r="AE4" s="290">
        <v>46279</v>
      </c>
      <c r="AF4" s="290"/>
      <c r="AG4" s="290">
        <v>46280</v>
      </c>
      <c r="AH4" s="290"/>
      <c r="BQ4" s="189"/>
    </row>
    <row r="5" spans="1:69" s="188" customFormat="1" ht="20.25" customHeight="1" x14ac:dyDescent="0.25">
      <c r="A5" s="190" t="s">
        <v>10</v>
      </c>
      <c r="B5" s="190" t="s">
        <v>11</v>
      </c>
      <c r="C5" s="190" t="s">
        <v>12</v>
      </c>
      <c r="D5" s="191"/>
      <c r="E5" s="191" t="s">
        <v>13</v>
      </c>
      <c r="F5" s="191" t="s">
        <v>14</v>
      </c>
      <c r="G5" s="191" t="s">
        <v>13</v>
      </c>
      <c r="H5" s="191" t="s">
        <v>14</v>
      </c>
      <c r="I5" s="191" t="s">
        <v>13</v>
      </c>
      <c r="J5" s="191" t="s">
        <v>14</v>
      </c>
      <c r="K5" s="191" t="s">
        <v>13</v>
      </c>
      <c r="L5" s="191" t="s">
        <v>14</v>
      </c>
      <c r="M5" s="191" t="s">
        <v>13</v>
      </c>
      <c r="N5" s="191" t="s">
        <v>14</v>
      </c>
      <c r="O5" s="191" t="s">
        <v>13</v>
      </c>
      <c r="P5" s="191" t="s">
        <v>14</v>
      </c>
      <c r="Q5" s="191" t="s">
        <v>13</v>
      </c>
      <c r="R5" s="191" t="s">
        <v>14</v>
      </c>
      <c r="S5" s="191" t="s">
        <v>13</v>
      </c>
      <c r="T5" s="191" t="s">
        <v>14</v>
      </c>
      <c r="U5" s="191" t="s">
        <v>13</v>
      </c>
      <c r="V5" s="191" t="s">
        <v>14</v>
      </c>
      <c r="W5" s="191" t="s">
        <v>13</v>
      </c>
      <c r="X5" s="191" t="s">
        <v>14</v>
      </c>
      <c r="Y5" s="190" t="s">
        <v>13</v>
      </c>
      <c r="Z5" s="190" t="s">
        <v>14</v>
      </c>
      <c r="AA5" s="190" t="s">
        <v>13</v>
      </c>
      <c r="AB5" s="190" t="s">
        <v>14</v>
      </c>
      <c r="AC5" s="190" t="s">
        <v>13</v>
      </c>
      <c r="AD5" s="190" t="s">
        <v>14</v>
      </c>
      <c r="AE5" s="190" t="s">
        <v>13</v>
      </c>
      <c r="AF5" s="190" t="s">
        <v>14</v>
      </c>
      <c r="AG5" s="190" t="s">
        <v>13</v>
      </c>
      <c r="AH5" s="190" t="s">
        <v>14</v>
      </c>
      <c r="BQ5" s="189"/>
    </row>
    <row r="6" spans="1:69" s="188" customFormat="1" ht="21.75" customHeight="1" x14ac:dyDescent="0.25">
      <c r="A6" s="192">
        <v>1</v>
      </c>
      <c r="B6" s="54" t="s">
        <v>232</v>
      </c>
      <c r="C6" s="193" t="s">
        <v>233</v>
      </c>
      <c r="D6" s="194">
        <v>38713</v>
      </c>
      <c r="E6" s="195">
        <v>46266.342604166668</v>
      </c>
      <c r="F6" s="195">
        <v>0</v>
      </c>
      <c r="G6" s="195">
        <v>0.34375</v>
      </c>
      <c r="H6" s="195">
        <v>46267.964016203703</v>
      </c>
      <c r="I6" s="195">
        <v>46268.370578703703</v>
      </c>
      <c r="J6" s="195">
        <v>46268.976006944446</v>
      </c>
      <c r="K6" s="195" t="s">
        <v>15</v>
      </c>
      <c r="L6" s="195" t="s">
        <v>15</v>
      </c>
      <c r="M6" s="195">
        <v>46270.338726851849</v>
      </c>
      <c r="N6" s="195">
        <v>46270.97146990741</v>
      </c>
      <c r="O6" s="195">
        <v>46271.340219907404</v>
      </c>
      <c r="P6" s="195">
        <v>46271.957048611112</v>
      </c>
      <c r="Q6" s="195">
        <v>46272.338206018518</v>
      </c>
      <c r="R6" s="195">
        <v>46272.961319444446</v>
      </c>
      <c r="S6" s="195">
        <v>46273.334340277775</v>
      </c>
      <c r="T6" s="195">
        <v>46273.962824074071</v>
      </c>
      <c r="U6" s="195">
        <v>46274.338773148149</v>
      </c>
      <c r="V6" s="195">
        <v>0</v>
      </c>
      <c r="W6" s="195">
        <v>46275.34611111111</v>
      </c>
      <c r="X6" s="195">
        <v>46275.976006944446</v>
      </c>
      <c r="Y6" s="195">
        <v>8.3333333333333329E-2</v>
      </c>
      <c r="Z6" s="195">
        <v>46276.95449074074</v>
      </c>
      <c r="AA6" s="195">
        <v>46277.340451388889</v>
      </c>
      <c r="AB6" s="195">
        <v>46277.97148148148</v>
      </c>
      <c r="AC6" s="195">
        <v>46278.342824074076</v>
      </c>
      <c r="AD6" s="195">
        <v>46278.953055555554</v>
      </c>
      <c r="AE6" s="195">
        <v>46279.341724537036</v>
      </c>
      <c r="AF6" s="195">
        <v>46279.955497685187</v>
      </c>
      <c r="AG6" s="195">
        <v>46280.343391203707</v>
      </c>
      <c r="AH6" s="195">
        <v>46280.957384259258</v>
      </c>
      <c r="BQ6" s="189"/>
    </row>
    <row r="7" spans="1:69" s="188" customFormat="1" ht="15.75" x14ac:dyDescent="0.25">
      <c r="A7" s="196"/>
      <c r="B7" s="189"/>
      <c r="AI7" s="197"/>
      <c r="AJ7" s="198"/>
      <c r="BQ7" s="189"/>
    </row>
    <row r="8" spans="1:69" s="188" customFormat="1" ht="20.25" customHeight="1" x14ac:dyDescent="0.25">
      <c r="A8" s="196"/>
      <c r="B8" s="189"/>
      <c r="I8" s="284" t="s">
        <v>1</v>
      </c>
      <c r="J8" s="285"/>
      <c r="K8" s="284" t="s">
        <v>2</v>
      </c>
      <c r="L8" s="285"/>
      <c r="M8" s="284" t="s">
        <v>3</v>
      </c>
      <c r="N8" s="285"/>
      <c r="O8" s="284" t="s">
        <v>4</v>
      </c>
      <c r="P8" s="285"/>
      <c r="Q8" s="284" t="s">
        <v>5</v>
      </c>
      <c r="R8" s="285"/>
      <c r="S8" s="284" t="s">
        <v>6</v>
      </c>
      <c r="T8" s="285"/>
      <c r="U8" s="284" t="s">
        <v>7</v>
      </c>
      <c r="V8" s="285"/>
      <c r="W8" s="284" t="s">
        <v>1</v>
      </c>
      <c r="X8" s="285"/>
      <c r="Y8" s="284" t="s">
        <v>2</v>
      </c>
      <c r="Z8" s="285"/>
      <c r="AA8" s="284" t="s">
        <v>3</v>
      </c>
      <c r="AB8" s="285"/>
      <c r="AC8" s="284" t="s">
        <v>4</v>
      </c>
      <c r="AD8" s="285"/>
      <c r="AE8" s="284" t="s">
        <v>5</v>
      </c>
      <c r="AF8" s="285"/>
      <c r="AG8" s="284" t="s">
        <v>6</v>
      </c>
      <c r="AH8" s="285"/>
      <c r="BQ8" s="189"/>
    </row>
    <row r="9" spans="1:69" s="188" customFormat="1" ht="20.25" customHeight="1" x14ac:dyDescent="0.25">
      <c r="A9" s="196"/>
      <c r="B9" s="189"/>
      <c r="D9" s="199" t="s">
        <v>245</v>
      </c>
      <c r="I9" s="282">
        <v>46281</v>
      </c>
      <c r="J9" s="283"/>
      <c r="K9" s="282">
        <v>46282</v>
      </c>
      <c r="L9" s="283"/>
      <c r="M9" s="282">
        <v>46283</v>
      </c>
      <c r="N9" s="283"/>
      <c r="O9" s="282">
        <v>46284</v>
      </c>
      <c r="P9" s="283"/>
      <c r="Q9" s="282">
        <v>46285</v>
      </c>
      <c r="R9" s="283"/>
      <c r="S9" s="282">
        <v>46286</v>
      </c>
      <c r="T9" s="283"/>
      <c r="U9" s="282">
        <v>46287</v>
      </c>
      <c r="V9" s="283"/>
      <c r="W9" s="282">
        <v>46288</v>
      </c>
      <c r="X9" s="283"/>
      <c r="Y9" s="282">
        <v>46289</v>
      </c>
      <c r="Z9" s="283"/>
      <c r="AA9" s="282">
        <v>46290</v>
      </c>
      <c r="AB9" s="283"/>
      <c r="AC9" s="282">
        <v>46291</v>
      </c>
      <c r="AD9" s="283"/>
      <c r="AE9" s="282">
        <v>46292</v>
      </c>
      <c r="AF9" s="283"/>
      <c r="AG9" s="282">
        <v>46293</v>
      </c>
      <c r="AH9" s="283"/>
      <c r="BQ9" s="189"/>
    </row>
    <row r="10" spans="1:69" s="188" customFormat="1" ht="20.25" customHeight="1" x14ac:dyDescent="0.25">
      <c r="A10" s="196"/>
      <c r="B10" s="189"/>
      <c r="I10" s="190" t="s">
        <v>13</v>
      </c>
      <c r="J10" s="190" t="s">
        <v>14</v>
      </c>
      <c r="K10" s="190" t="s">
        <v>13</v>
      </c>
      <c r="L10" s="190" t="s">
        <v>14</v>
      </c>
      <c r="M10" s="190" t="s">
        <v>13</v>
      </c>
      <c r="N10" s="190" t="s">
        <v>14</v>
      </c>
      <c r="O10" s="190" t="s">
        <v>13</v>
      </c>
      <c r="P10" s="190" t="s">
        <v>14</v>
      </c>
      <c r="Q10" s="190" t="s">
        <v>13</v>
      </c>
      <c r="R10" s="190" t="s">
        <v>14</v>
      </c>
      <c r="S10" s="190" t="s">
        <v>13</v>
      </c>
      <c r="T10" s="190" t="s">
        <v>14</v>
      </c>
      <c r="U10" s="190" t="s">
        <v>13</v>
      </c>
      <c r="V10" s="190" t="s">
        <v>14</v>
      </c>
      <c r="W10" s="190" t="s">
        <v>13</v>
      </c>
      <c r="X10" s="190" t="s">
        <v>14</v>
      </c>
      <c r="Y10" s="190" t="s">
        <v>13</v>
      </c>
      <c r="Z10" s="190" t="s">
        <v>14</v>
      </c>
      <c r="AA10" s="190" t="s">
        <v>13</v>
      </c>
      <c r="AB10" s="190" t="s">
        <v>14</v>
      </c>
      <c r="AC10" s="190" t="s">
        <v>13</v>
      </c>
      <c r="AD10" s="190" t="s">
        <v>14</v>
      </c>
      <c r="AE10" s="190" t="s">
        <v>13</v>
      </c>
      <c r="AF10" s="190" t="s">
        <v>14</v>
      </c>
      <c r="AG10" s="190" t="s">
        <v>13</v>
      </c>
      <c r="AH10" s="190" t="s">
        <v>14</v>
      </c>
      <c r="BQ10" s="189"/>
    </row>
    <row r="11" spans="1:69" s="188" customFormat="1" ht="20.25" customHeight="1" x14ac:dyDescent="0.25">
      <c r="A11" s="196"/>
      <c r="B11" s="189"/>
      <c r="D11" s="200" t="s">
        <v>246</v>
      </c>
      <c r="I11" s="195">
        <v>0.33819444444444446</v>
      </c>
      <c r="J11" s="195">
        <v>0.95347222222222217</v>
      </c>
      <c r="K11" s="195">
        <v>0.3347222222222222</v>
      </c>
      <c r="L11" s="195">
        <v>0.97291666666666676</v>
      </c>
      <c r="M11" s="195" t="s">
        <v>15</v>
      </c>
      <c r="N11" s="195" t="s">
        <v>15</v>
      </c>
      <c r="O11" s="195">
        <v>0.34236111111111112</v>
      </c>
      <c r="P11" s="195">
        <v>0.96944444444444444</v>
      </c>
      <c r="Q11" s="195">
        <v>0.34097222222222223</v>
      </c>
      <c r="R11" s="195">
        <v>0.96388888888888891</v>
      </c>
      <c r="S11" s="195">
        <v>0.33819444444444446</v>
      </c>
      <c r="T11" s="195">
        <v>0.9555555555555556</v>
      </c>
      <c r="U11" s="195">
        <v>0.33958333333333335</v>
      </c>
      <c r="V11" s="195">
        <v>0.9555555555555556</v>
      </c>
      <c r="W11" s="195">
        <v>0.33680555555555558</v>
      </c>
      <c r="X11" s="195">
        <v>0.95833333333333337</v>
      </c>
      <c r="Y11" s="195">
        <v>0.33888888888888885</v>
      </c>
      <c r="Z11" s="195">
        <v>0.95833333333333337</v>
      </c>
      <c r="AA11" s="195">
        <v>7.3611111111111113E-2</v>
      </c>
      <c r="AB11" s="195">
        <v>0.95833333333333337</v>
      </c>
      <c r="AC11" s="195">
        <v>0.34097222222222223</v>
      </c>
      <c r="AD11" s="195">
        <v>0.95833333333333337</v>
      </c>
      <c r="AE11" s="195">
        <v>0.34097222222222223</v>
      </c>
      <c r="AF11" s="201">
        <v>1</v>
      </c>
      <c r="AG11" s="201">
        <v>1</v>
      </c>
      <c r="AH11" s="201">
        <v>1</v>
      </c>
      <c r="BQ11" s="189"/>
    </row>
    <row r="12" spans="1:69" s="188" customFormat="1" ht="15" customHeight="1" x14ac:dyDescent="0.25">
      <c r="A12" s="196"/>
      <c r="B12" s="189"/>
      <c r="AI12" s="202"/>
      <c r="AJ12" s="198"/>
      <c r="BN12" s="189"/>
      <c r="BQ12" s="189"/>
    </row>
    <row r="13" spans="1:69" s="188" customFormat="1" ht="33.75" customHeight="1" x14ac:dyDescent="0.25">
      <c r="A13" s="196"/>
      <c r="B13" s="189"/>
      <c r="E13" s="222" t="s">
        <v>245</v>
      </c>
      <c r="F13" s="223" t="s">
        <v>293</v>
      </c>
      <c r="G13" s="223"/>
      <c r="H13" s="223"/>
      <c r="I13" s="223"/>
      <c r="J13" s="222"/>
      <c r="K13" s="30"/>
      <c r="L13" s="30"/>
      <c r="T13" s="286" t="s">
        <v>8</v>
      </c>
      <c r="U13" s="288" t="s">
        <v>9</v>
      </c>
      <c r="V13" s="203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I13" s="202"/>
      <c r="AJ13" s="198"/>
      <c r="BN13" s="189"/>
      <c r="BQ13" s="189"/>
    </row>
    <row r="14" spans="1:69" s="188" customFormat="1" ht="18.75" x14ac:dyDescent="0.3">
      <c r="A14" s="196"/>
      <c r="B14" s="189"/>
      <c r="E14" s="224"/>
      <c r="F14" s="227" t="s">
        <v>291</v>
      </c>
      <c r="G14" s="227"/>
      <c r="H14" s="227"/>
      <c r="I14" s="227"/>
      <c r="J14" s="227"/>
      <c r="T14" s="286"/>
      <c r="U14" s="289"/>
      <c r="V14" s="204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I14" s="202"/>
      <c r="AJ14" s="198"/>
      <c r="BN14" s="189"/>
      <c r="BQ14" s="189"/>
    </row>
    <row r="15" spans="1:69" s="188" customFormat="1" ht="34.5" x14ac:dyDescent="0.3">
      <c r="A15" s="196"/>
      <c r="B15" s="189"/>
      <c r="E15" s="225" t="s">
        <v>246</v>
      </c>
      <c r="F15" s="226" t="s">
        <v>294</v>
      </c>
      <c r="G15" s="226"/>
      <c r="H15" s="226"/>
      <c r="I15" s="224"/>
      <c r="J15" s="224"/>
      <c r="T15" s="287"/>
      <c r="U15" s="206"/>
      <c r="V15" s="207"/>
      <c r="W15" s="208" t="s">
        <v>15</v>
      </c>
      <c r="X15" s="209" t="s">
        <v>16</v>
      </c>
      <c r="Y15" s="209" t="s">
        <v>17</v>
      </c>
      <c r="Z15" s="210" t="s">
        <v>18</v>
      </c>
      <c r="AA15" s="209" t="s">
        <v>19</v>
      </c>
      <c r="AB15" s="209" t="s">
        <v>20</v>
      </c>
      <c r="AC15" s="211" t="s">
        <v>170</v>
      </c>
      <c r="AD15" s="212" t="s">
        <v>22</v>
      </c>
      <c r="AE15" s="213" t="s">
        <v>23</v>
      </c>
      <c r="AF15" s="213" t="s">
        <v>24</v>
      </c>
      <c r="AG15" s="213" t="s">
        <v>25</v>
      </c>
      <c r="AH15" s="214" t="s">
        <v>26</v>
      </c>
      <c r="AI15" s="202"/>
      <c r="AJ15" s="198"/>
      <c r="BN15" s="189"/>
    </row>
    <row r="16" spans="1:69" s="188" customFormat="1" ht="17.25" x14ac:dyDescent="0.25">
      <c r="A16" s="196"/>
      <c r="B16" s="189"/>
      <c r="T16" s="215">
        <v>28</v>
      </c>
      <c r="U16" s="216">
        <v>2</v>
      </c>
      <c r="V16" s="217">
        <v>28</v>
      </c>
      <c r="W16" s="218">
        <v>2</v>
      </c>
      <c r="X16" s="218">
        <f>COUNTIF(E6:BN6,"MC")/2</f>
        <v>0</v>
      </c>
      <c r="Y16" s="218">
        <f>COUNTIF(E6:BN6,"EL")/2</f>
        <v>0</v>
      </c>
      <c r="Z16" s="218">
        <f>COUNTIF(E6:BN6,"AL")/2</f>
        <v>0</v>
      </c>
      <c r="AA16" s="218">
        <f>COUNTIF(E6:BN6,"SUS")/2</f>
        <v>0</v>
      </c>
      <c r="AB16" s="218">
        <f>COUNTIF(E6:BN6,"FL")/2</f>
        <v>0</v>
      </c>
      <c r="AC16" s="218">
        <f>COUNTIF(E6:BN6,"SICK")/2</f>
        <v>0</v>
      </c>
      <c r="AD16" s="218">
        <f>COUNTIF(E6:BN6,"HD")/2</f>
        <v>0</v>
      </c>
      <c r="AE16" s="218">
        <f>COUNTIF(E6:BN6,"AB")/2</f>
        <v>0</v>
      </c>
      <c r="AF16" s="218">
        <f>COUNTIF(E6:BN6,"NL")/2</f>
        <v>0</v>
      </c>
      <c r="AG16" s="218">
        <f>COUNTIF(E6:BN6,"SP")/2</f>
        <v>0</v>
      </c>
      <c r="AH16" s="219"/>
      <c r="AI16" s="220"/>
      <c r="AJ16" s="220"/>
      <c r="AK16" s="220"/>
      <c r="AL16" s="221"/>
      <c r="BN16" s="189"/>
    </row>
    <row r="17" spans="6:81" x14ac:dyDescent="0.25">
      <c r="AC17" s="102"/>
      <c r="AD17" s="102"/>
      <c r="AE17" s="102"/>
      <c r="AF17" s="102"/>
      <c r="AG17" s="102"/>
      <c r="AH17" s="102"/>
      <c r="AI17" s="102"/>
      <c r="AJ17" s="102"/>
      <c r="AK17" s="102"/>
      <c r="AL17" s="128"/>
      <c r="BN17" s="15"/>
      <c r="BQ17"/>
    </row>
    <row r="18" spans="6:81" x14ac:dyDescent="0.25">
      <c r="Y18" s="140" t="s">
        <v>71</v>
      </c>
      <c r="Z18" s="141"/>
      <c r="AA18" s="142"/>
      <c r="AB18" s="143" t="s">
        <v>16</v>
      </c>
      <c r="AC18" s="144"/>
      <c r="AD18" s="145" t="s">
        <v>72</v>
      </c>
      <c r="AE18" s="141"/>
      <c r="AF18" s="146"/>
      <c r="AG18" s="141"/>
      <c r="AH18" s="147" t="s">
        <v>22</v>
      </c>
      <c r="AJ18" s="65"/>
    </row>
    <row r="19" spans="6:81" x14ac:dyDescent="0.25">
      <c r="W19" s="101"/>
      <c r="X19" s="101"/>
      <c r="Y19" s="140" t="s">
        <v>73</v>
      </c>
      <c r="Z19" s="144"/>
      <c r="AA19" s="144"/>
      <c r="AB19" s="143" t="s">
        <v>17</v>
      </c>
      <c r="AC19" s="146"/>
      <c r="AD19" s="145" t="s">
        <v>74</v>
      </c>
      <c r="AE19" s="148"/>
      <c r="AF19" s="148"/>
      <c r="AG19" s="149"/>
      <c r="AH19" s="147" t="s">
        <v>23</v>
      </c>
      <c r="AJ19" s="65"/>
    </row>
    <row r="20" spans="6:81" x14ac:dyDescent="0.25">
      <c r="F20" s="151"/>
      <c r="G20" s="151"/>
      <c r="H20" s="151"/>
      <c r="I20" s="151"/>
      <c r="J20" s="151"/>
      <c r="K20" s="151"/>
      <c r="L20" s="151"/>
      <c r="W20" s="101"/>
      <c r="X20" s="101"/>
      <c r="Y20" s="140" t="s">
        <v>75</v>
      </c>
      <c r="Z20" s="144"/>
      <c r="AA20" s="144"/>
      <c r="AB20" s="143" t="s">
        <v>18</v>
      </c>
      <c r="AC20" s="146"/>
      <c r="AD20" s="140" t="s">
        <v>76</v>
      </c>
      <c r="AE20" s="150"/>
      <c r="AF20" s="150"/>
      <c r="AG20" s="149"/>
      <c r="AH20" s="147" t="s">
        <v>24</v>
      </c>
      <c r="AJ20" s="65"/>
    </row>
    <row r="21" spans="6:81" x14ac:dyDescent="0.25">
      <c r="F21" s="151"/>
      <c r="G21" s="151"/>
      <c r="H21" s="151"/>
      <c r="I21" s="151"/>
      <c r="J21" s="151"/>
      <c r="K21" s="151"/>
      <c r="L21" s="151"/>
      <c r="Y21" s="140" t="s">
        <v>77</v>
      </c>
      <c r="Z21" s="144"/>
      <c r="AA21" s="144"/>
      <c r="AB21" s="143" t="s">
        <v>19</v>
      </c>
      <c r="AC21" s="146"/>
      <c r="AD21" s="140" t="s">
        <v>78</v>
      </c>
      <c r="AE21" s="150"/>
      <c r="AF21" s="150"/>
      <c r="AG21" s="149"/>
      <c r="AH21" s="147" t="s">
        <v>25</v>
      </c>
      <c r="AJ21" s="65"/>
    </row>
    <row r="22" spans="6:81" x14ac:dyDescent="0.25">
      <c r="F22" s="151"/>
      <c r="G22" s="151"/>
      <c r="H22" s="151"/>
      <c r="I22" s="151"/>
      <c r="J22" s="151"/>
      <c r="K22" s="151"/>
      <c r="L22" s="151"/>
      <c r="Y22" s="140" t="s">
        <v>79</v>
      </c>
      <c r="Z22" s="144"/>
      <c r="AA22" s="144"/>
      <c r="AB22" s="143" t="s">
        <v>20</v>
      </c>
      <c r="AC22" s="146"/>
      <c r="AD22" s="146"/>
      <c r="AE22" s="146"/>
      <c r="AF22" s="146"/>
      <c r="AG22" s="146"/>
      <c r="AH22" s="146"/>
      <c r="AJ22" s="65"/>
    </row>
    <row r="23" spans="6:81" x14ac:dyDescent="0.25">
      <c r="F23" s="151"/>
      <c r="G23" s="151"/>
      <c r="H23" s="151"/>
      <c r="I23" s="151"/>
      <c r="J23" s="151"/>
      <c r="K23" s="151"/>
      <c r="L23" s="151"/>
      <c r="AJ23" s="65"/>
    </row>
    <row r="24" spans="6:81" ht="15.75" x14ac:dyDescent="0.25">
      <c r="F24" s="151"/>
      <c r="G24" s="17" t="s">
        <v>62</v>
      </c>
      <c r="H24" s="18"/>
      <c r="I24" s="17"/>
      <c r="J24" s="19"/>
      <c r="M24" s="19"/>
      <c r="N24" s="20"/>
      <c r="O24" s="21"/>
      <c r="P24" s="21"/>
      <c r="Q24" s="22" t="s">
        <v>63</v>
      </c>
      <c r="R24" s="22"/>
      <c r="S24" s="20"/>
      <c r="T24" s="20"/>
      <c r="U24" s="20"/>
      <c r="V24" s="20"/>
      <c r="W24" s="20" t="s">
        <v>64</v>
      </c>
      <c r="X24" s="20"/>
      <c r="Y24" s="20"/>
      <c r="Z24" s="20"/>
      <c r="AA24" s="22" t="s">
        <v>65</v>
      </c>
      <c r="AB24" s="20"/>
      <c r="AJ24" s="65"/>
    </row>
    <row r="25" spans="6:81" ht="17.25" x14ac:dyDescent="0.25">
      <c r="F25" s="151"/>
      <c r="G25" s="19"/>
      <c r="H25" s="19"/>
      <c r="I25" s="19"/>
      <c r="J25" s="19"/>
      <c r="M25" s="19"/>
      <c r="N25" s="19"/>
      <c r="O25" s="24"/>
      <c r="P25" s="24"/>
      <c r="Q25" s="24"/>
      <c r="R25" s="19"/>
      <c r="S25" s="19"/>
      <c r="T25" s="19"/>
      <c r="U25" s="25"/>
      <c r="V25" s="25"/>
      <c r="W25" s="25"/>
      <c r="X25" s="25"/>
      <c r="Y25" s="25"/>
      <c r="Z25" s="25"/>
      <c r="AA25" s="26"/>
      <c r="AB25" s="26"/>
      <c r="AJ25" s="65"/>
    </row>
    <row r="26" spans="6:81" ht="17.25" x14ac:dyDescent="0.25">
      <c r="F26" s="151"/>
      <c r="G26" s="27"/>
      <c r="H26" s="19"/>
      <c r="I26" s="27"/>
      <c r="J26" s="19"/>
      <c r="M26" s="19"/>
      <c r="N26" s="27" t="s">
        <v>64</v>
      </c>
      <c r="O26" s="28"/>
      <c r="P26" s="28"/>
      <c r="Q26" s="24"/>
      <c r="R26" s="19"/>
      <c r="S26" s="27"/>
      <c r="T26" s="27"/>
      <c r="U26" s="20"/>
      <c r="V26" s="19"/>
      <c r="W26" s="19"/>
      <c r="X26" s="19"/>
      <c r="Y26" s="19"/>
      <c r="Z26" s="19"/>
      <c r="AA26" s="29"/>
      <c r="AB26" s="29"/>
      <c r="AJ26" s="65"/>
    </row>
    <row r="27" spans="6:81" ht="17.25" x14ac:dyDescent="0.25">
      <c r="G27" s="27"/>
      <c r="H27" s="19"/>
      <c r="I27" s="27"/>
      <c r="J27" s="19"/>
      <c r="M27" s="19"/>
      <c r="N27" s="27"/>
      <c r="O27" s="28"/>
      <c r="P27" s="28"/>
      <c r="Q27" s="24"/>
      <c r="R27" s="20"/>
      <c r="S27" s="27"/>
      <c r="T27" s="27"/>
      <c r="U27" s="20"/>
      <c r="V27" s="19"/>
      <c r="W27" s="19"/>
      <c r="X27" s="19"/>
      <c r="Y27" s="19"/>
      <c r="Z27" s="19"/>
      <c r="AA27" s="29"/>
      <c r="AB27" s="29"/>
      <c r="AJ27" s="65"/>
    </row>
    <row r="28" spans="6:81" ht="17.25" x14ac:dyDescent="0.25">
      <c r="G28" s="138"/>
      <c r="H28" s="139" t="s">
        <v>257</v>
      </c>
      <c r="I28" s="19"/>
      <c r="J28" s="19"/>
      <c r="M28" s="19"/>
      <c r="N28" s="27"/>
      <c r="O28" s="24"/>
      <c r="P28" s="28"/>
      <c r="Q28" s="18" t="s">
        <v>66</v>
      </c>
      <c r="R28" s="19"/>
      <c r="S28" s="27"/>
      <c r="T28" s="20"/>
      <c r="U28" s="19"/>
      <c r="V28" s="19"/>
      <c r="W28" s="19"/>
      <c r="X28" s="19"/>
      <c r="Y28" s="19"/>
      <c r="Z28" s="19"/>
      <c r="AA28" s="18" t="s">
        <v>67</v>
      </c>
      <c r="AB28" s="29"/>
    </row>
    <row r="29" spans="6:81" ht="17.25" x14ac:dyDescent="0.25">
      <c r="F29" s="16"/>
      <c r="G29" s="31" t="s">
        <v>68</v>
      </c>
      <c r="H29" s="30"/>
      <c r="I29" s="30"/>
      <c r="J29" s="19"/>
      <c r="M29" s="19"/>
      <c r="N29" s="18"/>
      <c r="O29" s="32"/>
      <c r="P29" s="32"/>
      <c r="Q29" s="18" t="s">
        <v>69</v>
      </c>
      <c r="R29" s="18"/>
      <c r="S29" s="18"/>
      <c r="T29" s="20"/>
      <c r="U29" s="18"/>
      <c r="V29" s="19"/>
      <c r="W29" s="19"/>
      <c r="X29" s="19"/>
      <c r="Y29" s="19"/>
      <c r="Z29" s="19"/>
      <c r="AA29" s="18" t="s">
        <v>70</v>
      </c>
      <c r="AB29" s="29"/>
    </row>
    <row r="30" spans="6:81" ht="15.75" x14ac:dyDescent="0.25">
      <c r="F30" s="23"/>
    </row>
    <row r="31" spans="6:81" ht="15.75" x14ac:dyDescent="0.25">
      <c r="F31" s="23"/>
      <c r="BT31" s="37"/>
      <c r="BU31" s="37"/>
      <c r="BV31" s="37"/>
      <c r="BW31" s="37"/>
      <c r="BX31" s="37"/>
      <c r="BY31" s="37"/>
      <c r="BZ31" s="37"/>
      <c r="CA31" s="37"/>
      <c r="CB31" s="37"/>
      <c r="CC31" s="37"/>
    </row>
    <row r="32" spans="6:81" ht="15.75" x14ac:dyDescent="0.25">
      <c r="F32" s="30"/>
    </row>
    <row r="33" spans="1:81" s="57" customFormat="1" ht="15.75" x14ac:dyDescent="0.25">
      <c r="A33" s="45"/>
      <c r="B33" s="15"/>
      <c r="C33"/>
      <c r="D33"/>
      <c r="E33"/>
      <c r="F33" s="31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 s="7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 s="15"/>
      <c r="BR33"/>
      <c r="BS33"/>
      <c r="BT33"/>
      <c r="BU33"/>
      <c r="BV33"/>
      <c r="BW33"/>
      <c r="BX33"/>
      <c r="BY33"/>
      <c r="BZ33"/>
      <c r="CA33"/>
      <c r="CB33"/>
      <c r="CC33"/>
    </row>
    <row r="34" spans="1:81" s="57" customFormat="1" ht="15.75" x14ac:dyDescent="0.25">
      <c r="A34" s="45"/>
      <c r="B34" s="15"/>
      <c r="C34"/>
      <c r="D34"/>
      <c r="E34"/>
      <c r="F34" s="31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 s="73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 s="15"/>
      <c r="BR34"/>
      <c r="BS34"/>
      <c r="BT34"/>
      <c r="BU34"/>
      <c r="BV34"/>
      <c r="BW34"/>
      <c r="BX34"/>
      <c r="BY34"/>
      <c r="BZ34"/>
      <c r="CA34"/>
      <c r="CB34"/>
      <c r="CC34"/>
    </row>
    <row r="40" spans="1:81" s="57" customFormat="1" x14ac:dyDescent="0.25">
      <c r="A40" s="45"/>
      <c r="B40" s="15"/>
      <c r="C40"/>
      <c r="D40"/>
      <c r="E40" s="123"/>
      <c r="F40" s="240" t="s">
        <v>5</v>
      </c>
      <c r="G40" s="241"/>
      <c r="H40" s="240" t="s">
        <v>6</v>
      </c>
      <c r="I40" s="241"/>
      <c r="J40" s="240" t="s">
        <v>7</v>
      </c>
      <c r="K40" s="241"/>
      <c r="L40" s="240" t="s">
        <v>1</v>
      </c>
      <c r="M40" s="241"/>
      <c r="N40" s="240" t="s">
        <v>2</v>
      </c>
      <c r="O40" s="241"/>
      <c r="P40" s="240" t="s">
        <v>3</v>
      </c>
      <c r="Q40" s="241"/>
      <c r="R40" s="240" t="s">
        <v>4</v>
      </c>
      <c r="S40" s="241"/>
      <c r="T40" s="240" t="s">
        <v>5</v>
      </c>
      <c r="U40" s="241"/>
      <c r="V40" s="240" t="s">
        <v>6</v>
      </c>
      <c r="W40" s="241"/>
      <c r="X40" s="240" t="s">
        <v>7</v>
      </c>
      <c r="Y40" s="241"/>
      <c r="Z40" s="240" t="s">
        <v>1</v>
      </c>
      <c r="AA40" s="241"/>
      <c r="AB40" s="240" t="s">
        <v>2</v>
      </c>
      <c r="AC40" s="241"/>
      <c r="AD40" s="240" t="s">
        <v>3</v>
      </c>
      <c r="AE40" s="241"/>
      <c r="AF40" s="240" t="s">
        <v>4</v>
      </c>
      <c r="AG40" s="241"/>
      <c r="AH40" s="240" t="s">
        <v>5</v>
      </c>
      <c r="AI40" s="241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 s="15"/>
      <c r="BR40"/>
      <c r="BS40"/>
      <c r="BT40"/>
      <c r="BU40"/>
      <c r="BV40"/>
      <c r="BW40"/>
      <c r="BX40"/>
      <c r="BY40"/>
      <c r="BZ40"/>
      <c r="CA40"/>
      <c r="CB40"/>
      <c r="CC40"/>
    </row>
    <row r="41" spans="1:81" s="57" customFormat="1" x14ac:dyDescent="0.25">
      <c r="A41" s="45"/>
      <c r="B41" s="15"/>
      <c r="C41"/>
      <c r="D41"/>
      <c r="E41" s="100"/>
      <c r="F41" s="242">
        <v>46281</v>
      </c>
      <c r="G41" s="244"/>
      <c r="H41" s="242">
        <v>46282</v>
      </c>
      <c r="I41" s="244"/>
      <c r="J41" s="242">
        <v>46283</v>
      </c>
      <c r="K41" s="244"/>
      <c r="L41" s="242">
        <v>46284</v>
      </c>
      <c r="M41" s="244"/>
      <c r="N41" s="242">
        <v>46285</v>
      </c>
      <c r="O41" s="244"/>
      <c r="P41" s="242">
        <v>46286</v>
      </c>
      <c r="Q41" s="244"/>
      <c r="R41" s="242">
        <v>46287</v>
      </c>
      <c r="S41" s="244"/>
      <c r="T41" s="242">
        <v>46288</v>
      </c>
      <c r="U41" s="244"/>
      <c r="V41" s="242">
        <v>46289</v>
      </c>
      <c r="W41" s="244"/>
      <c r="X41" s="242">
        <v>46290</v>
      </c>
      <c r="Y41" s="244"/>
      <c r="Z41" s="242">
        <v>46291</v>
      </c>
      <c r="AA41" s="244"/>
      <c r="AB41" s="242">
        <v>46292</v>
      </c>
      <c r="AC41" s="244"/>
      <c r="AD41" s="242">
        <v>46293</v>
      </c>
      <c r="AE41" s="244"/>
      <c r="AF41" s="242">
        <v>46294</v>
      </c>
      <c r="AG41" s="244"/>
      <c r="AH41" s="242">
        <v>46295</v>
      </c>
      <c r="AI41" s="244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 s="15"/>
      <c r="BR41"/>
      <c r="BS41"/>
      <c r="BT41"/>
      <c r="BU41"/>
      <c r="BV41"/>
      <c r="BW41"/>
      <c r="BX41"/>
      <c r="BY41"/>
      <c r="BZ41"/>
      <c r="CA41"/>
      <c r="CB41"/>
      <c r="CC41"/>
    </row>
    <row r="42" spans="1:81" s="57" customFormat="1" x14ac:dyDescent="0.25">
      <c r="A42" s="45"/>
      <c r="B42" s="15"/>
      <c r="C42"/>
      <c r="D42"/>
      <c r="E42" s="4"/>
      <c r="F42" s="4" t="s">
        <v>13</v>
      </c>
      <c r="G42" s="4" t="s">
        <v>14</v>
      </c>
      <c r="H42" s="4" t="s">
        <v>13</v>
      </c>
      <c r="I42" s="4" t="s">
        <v>14</v>
      </c>
      <c r="J42" s="4" t="s">
        <v>13</v>
      </c>
      <c r="K42" s="4" t="s">
        <v>14</v>
      </c>
      <c r="L42" s="4" t="s">
        <v>13</v>
      </c>
      <c r="M42" s="4" t="s">
        <v>14</v>
      </c>
      <c r="N42" s="4" t="s">
        <v>13</v>
      </c>
      <c r="O42" s="4" t="s">
        <v>14</v>
      </c>
      <c r="P42" s="13" t="s">
        <v>13</v>
      </c>
      <c r="Q42" s="13" t="s">
        <v>14</v>
      </c>
      <c r="R42" s="13" t="s">
        <v>13</v>
      </c>
      <c r="S42" s="13" t="s">
        <v>14</v>
      </c>
      <c r="T42" s="13" t="s">
        <v>13</v>
      </c>
      <c r="U42" s="13" t="s">
        <v>14</v>
      </c>
      <c r="V42" s="13" t="s">
        <v>13</v>
      </c>
      <c r="W42" s="13" t="s">
        <v>14</v>
      </c>
      <c r="X42" s="13" t="s">
        <v>13</v>
      </c>
      <c r="Y42" s="13" t="s">
        <v>14</v>
      </c>
      <c r="Z42" s="4" t="s">
        <v>13</v>
      </c>
      <c r="AA42" s="4" t="s">
        <v>14</v>
      </c>
      <c r="AB42" s="4" t="s">
        <v>13</v>
      </c>
      <c r="AC42" s="4" t="s">
        <v>14</v>
      </c>
      <c r="AD42" s="4" t="s">
        <v>13</v>
      </c>
      <c r="AE42" s="4" t="s">
        <v>14</v>
      </c>
      <c r="AF42" s="4" t="s">
        <v>13</v>
      </c>
      <c r="AG42" s="4" t="s">
        <v>14</v>
      </c>
      <c r="AH42" s="4" t="s">
        <v>13</v>
      </c>
      <c r="AI42" s="4" t="s">
        <v>14</v>
      </c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 s="15"/>
      <c r="BR42"/>
      <c r="BS42"/>
      <c r="BT42"/>
      <c r="BU42"/>
      <c r="BV42"/>
      <c r="BW42"/>
      <c r="BX42"/>
      <c r="BY42"/>
      <c r="BZ42"/>
      <c r="CA42"/>
      <c r="CB42"/>
      <c r="CC42"/>
    </row>
    <row r="43" spans="1:81" s="57" customFormat="1" x14ac:dyDescent="0.25">
      <c r="A43" s="45"/>
      <c r="B43" s="15"/>
      <c r="C43"/>
      <c r="D43"/>
      <c r="E43" s="44">
        <v>1</v>
      </c>
      <c r="F43" s="124">
        <v>46250.347905092596</v>
      </c>
      <c r="G43" s="124">
        <v>46250.973101851851</v>
      </c>
      <c r="H43" s="131">
        <v>46251.345891203702</v>
      </c>
      <c r="I43" s="124">
        <v>46251.971030092594</v>
      </c>
      <c r="J43" s="124">
        <v>46252.346273148149</v>
      </c>
      <c r="K43" s="124">
        <v>46252.969131944446</v>
      </c>
      <c r="L43" s="124">
        <v>46253.351967592593</v>
      </c>
      <c r="M43" s="124">
        <v>1</v>
      </c>
      <c r="N43" s="124">
        <v>46254.342499999999</v>
      </c>
      <c r="O43" s="124">
        <v>46254.989374999997</v>
      </c>
      <c r="P43" s="126" t="s">
        <v>15</v>
      </c>
      <c r="Q43" s="126" t="s">
        <v>15</v>
      </c>
      <c r="R43" s="124">
        <v>46256.350752314815</v>
      </c>
      <c r="S43" s="124">
        <v>46256.987256944441</v>
      </c>
      <c r="T43" s="124">
        <v>46257.347453703704</v>
      </c>
      <c r="U43" s="124">
        <v>46257.967719907407</v>
      </c>
      <c r="V43" s="124">
        <v>46258.344155092593</v>
      </c>
      <c r="W43" s="124">
        <v>46258.964699074073</v>
      </c>
      <c r="X43" s="124">
        <v>46259.347719907404</v>
      </c>
      <c r="Y43" s="124">
        <v>46259.990902777776</v>
      </c>
      <c r="Z43" s="124">
        <v>46260.346608796295</v>
      </c>
      <c r="AA43" s="124">
        <v>46260.979363425926</v>
      </c>
      <c r="AB43" s="124">
        <v>46261.34716435185</v>
      </c>
      <c r="AC43" s="124">
        <v>46261.987210648149</v>
      </c>
      <c r="AD43" s="124">
        <v>46262.579305555555</v>
      </c>
      <c r="AE43" s="124">
        <v>46262.981481481482</v>
      </c>
      <c r="AF43" s="124">
        <v>46263.34957175926</v>
      </c>
      <c r="AG43" s="124">
        <v>46263.984039351853</v>
      </c>
      <c r="AH43" s="124">
        <v>46264.338113425925</v>
      </c>
      <c r="AI43" s="12">
        <v>1</v>
      </c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 s="15"/>
      <c r="BR43"/>
      <c r="BS43"/>
      <c r="BT43"/>
      <c r="BU43"/>
      <c r="BV43"/>
      <c r="BW43"/>
      <c r="BX43"/>
      <c r="BY43"/>
      <c r="BZ43"/>
      <c r="CA43"/>
      <c r="CB43"/>
      <c r="CC43"/>
    </row>
  </sheetData>
  <mergeCells count="90">
    <mergeCell ref="A2:AH2"/>
    <mergeCell ref="A3:C4"/>
    <mergeCell ref="E3:F3"/>
    <mergeCell ref="G3:H3"/>
    <mergeCell ref="I3:J3"/>
    <mergeCell ref="K3:L3"/>
    <mergeCell ref="M3:N3"/>
    <mergeCell ref="O3:P3"/>
    <mergeCell ref="Q3:R3"/>
    <mergeCell ref="S3:T3"/>
    <mergeCell ref="AG3:AH3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U3:V3"/>
    <mergeCell ref="W3:X3"/>
    <mergeCell ref="Y3:Z3"/>
    <mergeCell ref="AA3:AB3"/>
    <mergeCell ref="AC3:AD3"/>
    <mergeCell ref="AE3:AF3"/>
    <mergeCell ref="AG8:AH8"/>
    <mergeCell ref="W4:X4"/>
    <mergeCell ref="Y4:Z4"/>
    <mergeCell ref="AA4:AB4"/>
    <mergeCell ref="AC4:AD4"/>
    <mergeCell ref="AE4:AF4"/>
    <mergeCell ref="AG4:AH4"/>
    <mergeCell ref="W8:X8"/>
    <mergeCell ref="Y8:Z8"/>
    <mergeCell ref="AA8:AB8"/>
    <mergeCell ref="AC8:AD8"/>
    <mergeCell ref="AE8:AF8"/>
    <mergeCell ref="AE9:AF9"/>
    <mergeCell ref="AH40:AI40"/>
    <mergeCell ref="X40:Y40"/>
    <mergeCell ref="AD40:AE40"/>
    <mergeCell ref="AF40:AG40"/>
    <mergeCell ref="AG9:AH9"/>
    <mergeCell ref="F40:G40"/>
    <mergeCell ref="H40:I40"/>
    <mergeCell ref="J40:K40"/>
    <mergeCell ref="L40:M40"/>
    <mergeCell ref="N40:O40"/>
    <mergeCell ref="F41:G41"/>
    <mergeCell ref="H41:I41"/>
    <mergeCell ref="J41:K41"/>
    <mergeCell ref="L41:M41"/>
    <mergeCell ref="N41:O41"/>
    <mergeCell ref="AF41:AG41"/>
    <mergeCell ref="AH41:AI41"/>
    <mergeCell ref="K9:L9"/>
    <mergeCell ref="M9:N9"/>
    <mergeCell ref="O9:P9"/>
    <mergeCell ref="Q9:R9"/>
    <mergeCell ref="S9:T9"/>
    <mergeCell ref="U9:V9"/>
    <mergeCell ref="T41:U41"/>
    <mergeCell ref="V41:W41"/>
    <mergeCell ref="X41:Y41"/>
    <mergeCell ref="Z41:AA41"/>
    <mergeCell ref="AB41:AC41"/>
    <mergeCell ref="AD41:AE41"/>
    <mergeCell ref="P41:Q41"/>
    <mergeCell ref="R41:S41"/>
    <mergeCell ref="Q8:R8"/>
    <mergeCell ref="S8:T8"/>
    <mergeCell ref="U8:V8"/>
    <mergeCell ref="Z40:AA40"/>
    <mergeCell ref="AB40:AC40"/>
    <mergeCell ref="R40:S40"/>
    <mergeCell ref="T40:U40"/>
    <mergeCell ref="V40:W40"/>
    <mergeCell ref="T13:T15"/>
    <mergeCell ref="U13:U14"/>
    <mergeCell ref="P40:Q40"/>
    <mergeCell ref="W9:X9"/>
    <mergeCell ref="Y9:Z9"/>
    <mergeCell ref="AA9:AB9"/>
    <mergeCell ref="AC9:AD9"/>
    <mergeCell ref="I9:J9"/>
    <mergeCell ref="I8:J8"/>
    <mergeCell ref="K8:L8"/>
    <mergeCell ref="M8:N8"/>
    <mergeCell ref="O8:P8"/>
  </mergeCells>
  <phoneticPr fontId="11" type="noConversion"/>
  <conditionalFormatting sqref="A3:D5 A6 T13 T16 E42:AI42">
    <cfRule type="containsText" dxfId="273" priority="66" stopIfTrue="1" operator="containsText" text="SICK">
      <formula>NOT(ISERROR(SEARCH("SICK",A3)))</formula>
    </cfRule>
    <cfRule type="containsText" dxfId="272" priority="61" stopIfTrue="1" operator="containsText" text="SP">
      <formula>NOT(ISERROR(SEARCH("SP",A3)))</formula>
    </cfRule>
    <cfRule type="containsText" dxfId="271" priority="62" stopIfTrue="1" operator="containsText" text="AL">
      <formula>NOT(ISERROR(SEARCH("AL",A3)))</formula>
    </cfRule>
    <cfRule type="containsText" dxfId="270" priority="63" stopIfTrue="1" operator="containsText" text="EL">
      <formula>NOT(ISERROR(SEARCH("EL",A3)))</formula>
    </cfRule>
    <cfRule type="containsText" dxfId="269" priority="64" stopIfTrue="1" operator="containsText" text="AB">
      <formula>NOT(ISERROR(SEARCH("AB",A3)))</formula>
    </cfRule>
    <cfRule type="containsText" dxfId="268" priority="65" stopIfTrue="1" operator="containsText" text="FL">
      <formula>NOT(ISERROR(SEARCH("FL",A3)))</formula>
    </cfRule>
  </conditionalFormatting>
  <conditionalFormatting sqref="A1:BQ1 A2 AI7 E40:E41">
    <cfRule type="containsText" dxfId="267" priority="134" stopIfTrue="1" operator="containsText" text="AL">
      <formula>NOT(ISERROR(SEARCH("AL",A1)))</formula>
    </cfRule>
    <cfRule type="containsText" dxfId="266" priority="138" stopIfTrue="1" operator="containsText" text="SICK">
      <formula>NOT(ISERROR(SEARCH("SICK",A1)))</formula>
    </cfRule>
    <cfRule type="containsText" dxfId="265" priority="133" stopIfTrue="1" operator="containsText" text="SP">
      <formula>NOT(ISERROR(SEARCH("SP",A1)))</formula>
    </cfRule>
    <cfRule type="containsText" dxfId="264" priority="135" stopIfTrue="1" operator="containsText" text="EL">
      <formula>NOT(ISERROR(SEARCH("EL",A1)))</formula>
    </cfRule>
    <cfRule type="containsText" dxfId="263" priority="136" stopIfTrue="1" operator="containsText" text="AB">
      <formula>NOT(ISERROR(SEARCH("AB",A1)))</formula>
    </cfRule>
    <cfRule type="containsText" dxfId="262" priority="137" stopIfTrue="1" operator="containsText" text="FL">
      <formula>NOT(ISERROR(SEARCH("FL",A1)))</formula>
    </cfRule>
  </conditionalFormatting>
  <conditionalFormatting sqref="C6">
    <cfRule type="duplicateValues" dxfId="261" priority="13"/>
    <cfRule type="duplicateValues" dxfId="260" priority="10"/>
    <cfRule type="duplicateValues" dxfId="259" priority="11"/>
    <cfRule type="duplicateValues" dxfId="258" priority="12"/>
  </conditionalFormatting>
  <conditionalFormatting sqref="C28:C30">
    <cfRule type="duplicateValues" dxfId="257" priority="153"/>
  </conditionalFormatting>
  <conditionalFormatting sqref="C28:C35">
    <cfRule type="duplicateValues" dxfId="256" priority="152"/>
  </conditionalFormatting>
  <conditionalFormatting sqref="C28:C1048576 C1 C3:C5">
    <cfRule type="duplicateValues" dxfId="255" priority="154"/>
  </conditionalFormatting>
  <conditionalFormatting sqref="C28:C1048576 C1 C7:C11 C3:C5">
    <cfRule type="duplicateValues" dxfId="254" priority="155"/>
  </conditionalFormatting>
  <conditionalFormatting sqref="C28:D1048576 C1:D1 C7:D8 C9:C11 C3:D5">
    <cfRule type="duplicateValues" dxfId="253" priority="156"/>
  </conditionalFormatting>
  <conditionalFormatting sqref="D6">
    <cfRule type="duplicateValues" dxfId="252" priority="67"/>
    <cfRule type="timePeriod" priority="59" timePeriod="nextWeek">
      <formula>AND(ROUNDDOWN(D6,0)-TODAY()&gt;(7-WEEKDAY(TODAY())),ROUNDDOWN(D6,0)-TODAY()&lt;(15-WEEKDAY(TODAY())))</formula>
    </cfRule>
    <cfRule type="timePeriod" dxfId="251" priority="60" timePeriod="nextWeek">
      <formula>AND(ROUNDDOWN(D6,0)-TODAY()&gt;(7-WEEKDAY(TODAY())),ROUNDDOWN(D6,0)-TODAY()&lt;(15-WEEKDAY(TODAY())))</formula>
    </cfRule>
  </conditionalFormatting>
  <conditionalFormatting sqref="E43">
    <cfRule type="containsText" dxfId="250" priority="49" operator="containsText" text="EL">
      <formula>NOT(ISERROR(SEARCH("EL",E43)))</formula>
    </cfRule>
    <cfRule type="containsText" dxfId="249" priority="50" operator="containsText" text="SP">
      <formula>NOT(ISERROR(SEARCH("SP",E43)))</formula>
    </cfRule>
    <cfRule type="containsText" dxfId="248" priority="51" operator="containsText" text="NL">
      <formula>NOT(ISERROR(SEARCH("NL",E43)))</formula>
    </cfRule>
    <cfRule type="containsText" dxfId="247" priority="52" operator="containsText" text="SUS">
      <formula>NOT(ISERROR(SEARCH("SUS",E43)))</formula>
    </cfRule>
    <cfRule type="containsText" dxfId="246" priority="53" operator="containsText" text="FL">
      <formula>NOT(ISERROR(SEARCH("FL",E43)))</formula>
    </cfRule>
    <cfRule type="containsText" dxfId="245" priority="55" operator="containsText" text="AB">
      <formula>NOT(ISERROR(SEARCH("AB",E43)))</formula>
    </cfRule>
    <cfRule type="containsText" dxfId="244" priority="56" operator="containsText" text="Sick">
      <formula>NOT(ISERROR(SEARCH("Sick",E43)))</formula>
    </cfRule>
    <cfRule type="containsText" dxfId="243" priority="57" operator="containsText" text="OFF">
      <formula>NOT(ISERROR(SEARCH("OFF",E43)))</formula>
    </cfRule>
    <cfRule type="containsText" dxfId="242" priority="58" operator="containsText" text="AL">
      <formula>NOT(ISERROR(SEARCH("AL",E43)))</formula>
    </cfRule>
    <cfRule type="containsText" dxfId="241" priority="54" operator="containsText" text="MC">
      <formula>NOT(ISERROR(SEARCH("MC",E43)))</formula>
    </cfRule>
  </conditionalFormatting>
  <conditionalFormatting sqref="E5:AH5">
    <cfRule type="containsText" dxfId="240" priority="30" stopIfTrue="1" operator="containsText" text="AL">
      <formula>NOT(ISERROR(SEARCH("AL",E5)))</formula>
    </cfRule>
    <cfRule type="containsText" dxfId="239" priority="31" stopIfTrue="1" operator="containsText" text="EL">
      <formula>NOT(ISERROR(SEARCH("EL",E5)))</formula>
    </cfRule>
    <cfRule type="containsText" dxfId="238" priority="32" stopIfTrue="1" operator="containsText" text="AB">
      <formula>NOT(ISERROR(SEARCH("AB",E5)))</formula>
    </cfRule>
    <cfRule type="containsText" dxfId="237" priority="33" stopIfTrue="1" operator="containsText" text="FL">
      <formula>NOT(ISERROR(SEARCH("FL",E5)))</formula>
    </cfRule>
    <cfRule type="containsText" dxfId="236" priority="34" stopIfTrue="1" operator="containsText" text="SICK">
      <formula>NOT(ISERROR(SEARCH("SICK",E5)))</formula>
    </cfRule>
    <cfRule type="containsText" dxfId="235" priority="29" stopIfTrue="1" operator="containsText" text="SP">
      <formula>NOT(ISERROR(SEARCH("SP",E5)))</formula>
    </cfRule>
  </conditionalFormatting>
  <conditionalFormatting sqref="I10:AH10">
    <cfRule type="containsText" dxfId="234" priority="19" stopIfTrue="1" operator="containsText" text="SICK">
      <formula>NOT(ISERROR(SEARCH("SICK",I10)))</formula>
    </cfRule>
    <cfRule type="containsText" dxfId="233" priority="14" stopIfTrue="1" operator="containsText" text="SP">
      <formula>NOT(ISERROR(SEARCH("SP",I10)))</formula>
    </cfRule>
    <cfRule type="containsText" dxfId="232" priority="15" stopIfTrue="1" operator="containsText" text="AL">
      <formula>NOT(ISERROR(SEARCH("AL",I10)))</formula>
    </cfRule>
    <cfRule type="containsText" dxfId="231" priority="16" stopIfTrue="1" operator="containsText" text="EL">
      <formula>NOT(ISERROR(SEARCH("EL",I10)))</formula>
    </cfRule>
    <cfRule type="containsText" dxfId="230" priority="17" stopIfTrue="1" operator="containsText" text="AB">
      <formula>NOT(ISERROR(SEARCH("AB",I10)))</formula>
    </cfRule>
    <cfRule type="containsText" dxfId="229" priority="18" stopIfTrue="1" operator="containsText" text="FL">
      <formula>NOT(ISERROR(SEARCH("FL",I10)))</formula>
    </cfRule>
  </conditionalFormatting>
  <conditionalFormatting sqref="K6:L6">
    <cfRule type="containsText" dxfId="228" priority="28" operator="containsText" text="AL">
      <formula>NOT(ISERROR(SEARCH("AL",K6)))</formula>
    </cfRule>
    <cfRule type="containsText" dxfId="227" priority="27" operator="containsText" text="OFF">
      <formula>NOT(ISERROR(SEARCH("OFF",K6)))</formula>
    </cfRule>
    <cfRule type="containsText" dxfId="226" priority="26" operator="containsText" text="Sick">
      <formula>NOT(ISERROR(SEARCH("Sick",K6)))</formula>
    </cfRule>
    <cfRule type="containsText" dxfId="225" priority="25" operator="containsText" text="AB">
      <formula>NOT(ISERROR(SEARCH("AB",K6)))</formula>
    </cfRule>
    <cfRule type="containsText" dxfId="224" priority="24" operator="containsText" text="MC">
      <formula>NOT(ISERROR(SEARCH("MC",K6)))</formula>
    </cfRule>
    <cfRule type="containsText" dxfId="223" priority="23" operator="containsText" text="FL">
      <formula>NOT(ISERROR(SEARCH("FL",K6)))</formula>
    </cfRule>
    <cfRule type="containsText" dxfId="222" priority="21" operator="containsText" text="AB">
      <formula>NOT(ISERROR(SEARCH("AB",K6)))</formula>
    </cfRule>
    <cfRule type="containsText" dxfId="221" priority="20" operator="containsText" text="EL">
      <formula>NOT(ISERROR(SEARCH("EL",K6)))</formula>
    </cfRule>
    <cfRule type="containsText" dxfId="220" priority="22" operator="containsText" text="SUS">
      <formula>NOT(ISERROR(SEARCH("SUS",K6)))</formula>
    </cfRule>
  </conditionalFormatting>
  <conditionalFormatting sqref="M11:N11">
    <cfRule type="containsText" dxfId="219" priority="2" operator="containsText" text="AB">
      <formula>NOT(ISERROR(SEARCH("AB",M11)))</formula>
    </cfRule>
    <cfRule type="containsText" dxfId="218" priority="3" operator="containsText" text="SUS">
      <formula>NOT(ISERROR(SEARCH("SUS",M11)))</formula>
    </cfRule>
    <cfRule type="containsText" dxfId="217" priority="4" operator="containsText" text="FL">
      <formula>NOT(ISERROR(SEARCH("FL",M11)))</formula>
    </cfRule>
    <cfRule type="containsText" dxfId="216" priority="5" operator="containsText" text="MC">
      <formula>NOT(ISERROR(SEARCH("MC",M11)))</formula>
    </cfRule>
    <cfRule type="containsText" dxfId="215" priority="6" operator="containsText" text="AB">
      <formula>NOT(ISERROR(SEARCH("AB",M11)))</formula>
    </cfRule>
    <cfRule type="containsText" dxfId="214" priority="7" operator="containsText" text="Sick">
      <formula>NOT(ISERROR(SEARCH("Sick",M11)))</formula>
    </cfRule>
    <cfRule type="containsText" dxfId="213" priority="8" operator="containsText" text="OFF">
      <formula>NOT(ISERROR(SEARCH("OFF",M11)))</formula>
    </cfRule>
    <cfRule type="containsText" dxfId="212" priority="9" operator="containsText" text="AL">
      <formula>NOT(ISERROR(SEARCH("AL",M11)))</formula>
    </cfRule>
    <cfRule type="containsText" dxfId="211" priority="1" operator="containsText" text="EL">
      <formula>NOT(ISERROR(SEARCH("EL",M11)))</formula>
    </cfRule>
  </conditionalFormatting>
  <conditionalFormatting sqref="M24:AB27">
    <cfRule type="containsText" dxfId="210" priority="143" stopIfTrue="1" operator="containsText" text="SICK">
      <formula>NOT(ISERROR(SEARCH("SICK",M24)))</formula>
    </cfRule>
    <cfRule type="containsText" dxfId="209" priority="141" stopIfTrue="1" operator="containsText" text="SP">
      <formula>NOT(ISERROR(SEARCH("SP",M24)))</formula>
    </cfRule>
    <cfRule type="containsText" priority="142" stopIfTrue="1" operator="containsText" text="SP">
      <formula>NOT(ISERROR(SEARCH("SP",M24)))</formula>
    </cfRule>
    <cfRule type="containsText" dxfId="208" priority="140" stopIfTrue="1" operator="containsText" text="SICK">
      <formula>NOT(ISERROR(SEARCH("SICK",M24)))</formula>
    </cfRule>
    <cfRule type="containsText" dxfId="207" priority="139" stopIfTrue="1" operator="containsText" text="AB">
      <formula>NOT(ISERROR(SEARCH("AB",M24)))</formula>
    </cfRule>
  </conditionalFormatting>
  <conditionalFormatting sqref="U13">
    <cfRule type="cellIs" dxfId="206" priority="150" operator="equal">
      <formula>";"</formula>
    </cfRule>
  </conditionalFormatting>
  <conditionalFormatting sqref="U16">
    <cfRule type="cellIs" dxfId="205" priority="151" stopIfTrue="1" operator="equal">
      <formula>";"</formula>
    </cfRule>
  </conditionalFormatting>
  <conditionalFormatting sqref="W15">
    <cfRule type="containsText" dxfId="204" priority="125" operator="containsText" text="AL">
      <formula>NOT(ISERROR(SEARCH("AL",W15)))</formula>
    </cfRule>
    <cfRule type="containsText" dxfId="203" priority="124" operator="containsText" text="OFF">
      <formula>NOT(ISERROR(SEARCH("OFF",W15)))</formula>
    </cfRule>
    <cfRule type="containsText" dxfId="202" priority="122" operator="containsText" text="AB">
      <formula>NOT(ISERROR(SEARCH("AB",W15)))</formula>
    </cfRule>
    <cfRule type="containsText" dxfId="201" priority="121" operator="containsText" text="MC">
      <formula>NOT(ISERROR(SEARCH("MC",W15)))</formula>
    </cfRule>
    <cfRule type="containsText" dxfId="200" priority="119" operator="containsText" text="SUS">
      <formula>NOT(ISERROR(SEARCH("SUS",W15)))</formula>
    </cfRule>
    <cfRule type="containsText" dxfId="199" priority="120" operator="containsText" text="FL">
      <formula>NOT(ISERROR(SEARCH("FL",W15)))</formula>
    </cfRule>
    <cfRule type="containsText" dxfId="198" priority="123" operator="containsText" text="Sick">
      <formula>NOT(ISERROR(SEARCH("Sick",W15)))</formula>
    </cfRule>
  </conditionalFormatting>
  <conditionalFormatting sqref="W15:X15">
    <cfRule type="containsText" dxfId="197" priority="80" operator="containsText" text="AB">
      <formula>NOT(ISERROR(SEARCH("AB",W15)))</formula>
    </cfRule>
  </conditionalFormatting>
  <conditionalFormatting sqref="W15:AB15">
    <cfRule type="containsText" dxfId="196" priority="68" operator="containsText" text="EL">
      <formula>NOT(ISERROR(SEARCH("EL",W15)))</formula>
    </cfRule>
  </conditionalFormatting>
  <conditionalFormatting sqref="X15">
    <cfRule type="containsText" dxfId="195" priority="82" operator="containsText" text="OFF">
      <formula>NOT(ISERROR(SEARCH("OFF",X15)))</formula>
    </cfRule>
    <cfRule type="containsText" dxfId="194" priority="83" operator="containsText" text="AL">
      <formula>NOT(ISERROR(SEARCH("AL",X15)))</formula>
    </cfRule>
    <cfRule type="containsText" dxfId="193" priority="81" operator="containsText" text="Sick">
      <formula>NOT(ISERROR(SEARCH("Sick",X15)))</formula>
    </cfRule>
    <cfRule type="containsText" dxfId="192" priority="77" operator="containsText" text="SUS">
      <formula>NOT(ISERROR(SEARCH("SUS",X15)))</formula>
    </cfRule>
    <cfRule type="containsText" dxfId="191" priority="78" operator="containsText" text="FL">
      <formula>NOT(ISERROR(SEARCH("FL",X15)))</formula>
    </cfRule>
    <cfRule type="containsText" dxfId="190" priority="79" operator="containsText" text="MC">
      <formula>NOT(ISERROR(SEARCH("MC",X15)))</formula>
    </cfRule>
  </conditionalFormatting>
  <conditionalFormatting sqref="X15:Y15">
    <cfRule type="containsText" dxfId="189" priority="73" operator="containsText" text="AB">
      <formula>NOT(ISERROR(SEARCH("AB",X15)))</formula>
    </cfRule>
  </conditionalFormatting>
  <conditionalFormatting sqref="Y15">
    <cfRule type="containsText" dxfId="188" priority="69" operator="containsText" text="AB">
      <formula>NOT(ISERROR(SEARCH("AB",Y15)))</formula>
    </cfRule>
    <cfRule type="containsText" dxfId="187" priority="76" operator="containsText" text="AL">
      <formula>NOT(ISERROR(SEARCH("AL",Y15)))</formula>
    </cfRule>
    <cfRule type="containsText" dxfId="186" priority="70" operator="containsText" text="SUS">
      <formula>NOT(ISERROR(SEARCH("SUS",Y15)))</formula>
    </cfRule>
    <cfRule type="containsText" dxfId="185" priority="74" operator="containsText" text="Sick">
      <formula>NOT(ISERROR(SEARCH("Sick",Y15)))</formula>
    </cfRule>
    <cfRule type="containsText" dxfId="184" priority="75" operator="containsText" text="OFF">
      <formula>NOT(ISERROR(SEARCH("OFF",Y15)))</formula>
    </cfRule>
    <cfRule type="containsText" dxfId="183" priority="72" operator="containsText" text="MC">
      <formula>NOT(ISERROR(SEARCH("MC",Y15)))</formula>
    </cfRule>
    <cfRule type="containsText" dxfId="182" priority="71" operator="containsText" text="FL">
      <formula>NOT(ISERROR(SEARCH("FL",Y15)))</formula>
    </cfRule>
  </conditionalFormatting>
  <conditionalFormatting sqref="Z15">
    <cfRule type="containsText" dxfId="181" priority="131" operator="containsText" text="OFF">
      <formula>NOT(ISERROR(SEARCH("OFF",Z15)))</formula>
    </cfRule>
    <cfRule type="containsText" dxfId="180" priority="130" operator="containsText" text="Sick">
      <formula>NOT(ISERROR(SEARCH("Sick",Z15)))</formula>
    </cfRule>
    <cfRule type="containsText" dxfId="179" priority="129" operator="containsText" text="AB">
      <formula>NOT(ISERROR(SEARCH("AB",Z15)))</formula>
    </cfRule>
    <cfRule type="containsText" dxfId="178" priority="126" operator="containsText" text="SUS">
      <formula>NOT(ISERROR(SEARCH("SUS",Z15)))</formula>
    </cfRule>
    <cfRule type="containsText" dxfId="177" priority="128" operator="containsText" text="MC">
      <formula>NOT(ISERROR(SEARCH("MC",Z15)))</formula>
    </cfRule>
    <cfRule type="containsText" dxfId="176" priority="127" operator="containsText" text="FL">
      <formula>NOT(ISERROR(SEARCH("FL",Z15)))</formula>
    </cfRule>
    <cfRule type="containsText" dxfId="175" priority="132" operator="containsText" text="AL">
      <formula>NOT(ISERROR(SEARCH("AL",Z15)))</formula>
    </cfRule>
  </conditionalFormatting>
  <conditionalFormatting sqref="Z43:AA43">
    <cfRule type="containsText" dxfId="174" priority="43" operator="containsText" text="FL">
      <formula>NOT(ISERROR(SEARCH("FL",Z43)))</formula>
    </cfRule>
    <cfRule type="containsText" dxfId="173" priority="44" operator="containsText" text="MC">
      <formula>NOT(ISERROR(SEARCH("MC",Z43)))</formula>
    </cfRule>
    <cfRule type="containsText" dxfId="172" priority="45" operator="containsText" text="AB">
      <formula>NOT(ISERROR(SEARCH("AB",Z43)))</formula>
    </cfRule>
    <cfRule type="containsText" dxfId="171" priority="46" operator="containsText" text="Sick">
      <formula>NOT(ISERROR(SEARCH("Sick",Z43)))</formula>
    </cfRule>
    <cfRule type="containsText" dxfId="170" priority="47" operator="containsText" text="OFF">
      <formula>NOT(ISERROR(SEARCH("OFF",Z43)))</formula>
    </cfRule>
    <cfRule type="containsText" dxfId="169" priority="48" operator="containsText" text="AL">
      <formula>NOT(ISERROR(SEARCH("AL",Z43)))</formula>
    </cfRule>
    <cfRule type="containsText" dxfId="168" priority="40" operator="containsText" text="EL">
      <formula>NOT(ISERROR(SEARCH("EL",Z43)))</formula>
    </cfRule>
    <cfRule type="containsText" dxfId="167" priority="41" operator="containsText" text="AB">
      <formula>NOT(ISERROR(SEARCH("AB",Z43)))</formula>
    </cfRule>
    <cfRule type="containsText" dxfId="166" priority="42" operator="containsText" text="SUS">
      <formula>NOT(ISERROR(SEARCH("SUS",Z43)))</formula>
    </cfRule>
  </conditionalFormatting>
  <conditionalFormatting sqref="Z15:AB15">
    <cfRule type="containsText" dxfId="165" priority="88" operator="containsText" text="AB">
      <formula>NOT(ISERROR(SEARCH("AB",Z15)))</formula>
    </cfRule>
  </conditionalFormatting>
  <conditionalFormatting sqref="AA15">
    <cfRule type="containsText" dxfId="164" priority="85" operator="containsText" text="SUS">
      <formula>NOT(ISERROR(SEARCH("SUS",AA15)))</formula>
    </cfRule>
    <cfRule type="containsText" dxfId="163" priority="86" operator="containsText" text="FL">
      <formula>NOT(ISERROR(SEARCH("FL",AA15)))</formula>
    </cfRule>
    <cfRule type="containsText" dxfId="162" priority="87" operator="containsText" text="MC">
      <formula>NOT(ISERROR(SEARCH("MC",AA15)))</formula>
    </cfRule>
    <cfRule type="containsText" dxfId="161" priority="89" operator="containsText" text="Sick">
      <formula>NOT(ISERROR(SEARCH("Sick",AA15)))</formula>
    </cfRule>
    <cfRule type="containsText" dxfId="160" priority="90" operator="containsText" text="OFF">
      <formula>NOT(ISERROR(SEARCH("OFF",AA15)))</formula>
    </cfRule>
    <cfRule type="containsText" dxfId="159" priority="91" operator="containsText" text="AL">
      <formula>NOT(ISERROR(SEARCH("AL",AA15)))</formula>
    </cfRule>
    <cfRule type="containsText" dxfId="158" priority="84" operator="containsText" text="AB">
      <formula>NOT(ISERROR(SEARCH("AB",AA15)))</formula>
    </cfRule>
  </conditionalFormatting>
  <conditionalFormatting sqref="AB15">
    <cfRule type="containsText" dxfId="157" priority="95" operator="containsText" text="AB">
      <formula>NOT(ISERROR(SEARCH("AB",AB15)))</formula>
    </cfRule>
    <cfRule type="containsText" dxfId="156" priority="92" operator="containsText" text="SUS">
      <formula>NOT(ISERROR(SEARCH("SUS",AB15)))</formula>
    </cfRule>
    <cfRule type="containsText" dxfId="155" priority="93" operator="containsText" text="FL">
      <formula>NOT(ISERROR(SEARCH("FL",AB15)))</formula>
    </cfRule>
    <cfRule type="containsText" dxfId="154" priority="94" operator="containsText" text="MC">
      <formula>NOT(ISERROR(SEARCH("MC",AB15)))</formula>
    </cfRule>
    <cfRule type="containsText" dxfId="153" priority="98" operator="containsText" text="AL">
      <formula>NOT(ISERROR(SEARCH("AL",AB15)))</formula>
    </cfRule>
    <cfRule type="containsText" dxfId="152" priority="97" operator="containsText" text="OFF">
      <formula>NOT(ISERROR(SEARCH("OFF",AB15)))</formula>
    </cfRule>
    <cfRule type="containsText" dxfId="151" priority="96" operator="containsText" text="Sick">
      <formula>NOT(ISERROR(SEARCH("Sick",AB15)))</formula>
    </cfRule>
  </conditionalFormatting>
  <conditionalFormatting sqref="AC15">
    <cfRule type="containsText" dxfId="150" priority="118" operator="containsText" text="AL">
      <formula>NOT(ISERROR(SEARCH("AL",AC15)))</formula>
    </cfRule>
    <cfRule type="containsText" dxfId="149" priority="112" operator="containsText" text="FL">
      <formula>NOT(ISERROR(SEARCH("FL",AC15)))</formula>
    </cfRule>
    <cfRule type="containsText" dxfId="148" priority="111" operator="containsText" text="SUS">
      <formula>NOT(ISERROR(SEARCH("SUS",AC15)))</formula>
    </cfRule>
    <cfRule type="containsText" dxfId="147" priority="110" operator="containsText" text="NL">
      <formula>NOT(ISERROR(SEARCH("NL",AC15)))</formula>
    </cfRule>
    <cfRule type="containsText" dxfId="146" priority="109" operator="containsText" text="SP">
      <formula>NOT(ISERROR(SEARCH("SP",AC15)))</formula>
    </cfRule>
    <cfRule type="containsText" dxfId="145" priority="116" operator="containsText" text="AB">
      <formula>NOT(ISERROR(SEARCH("AB",AC15)))</formula>
    </cfRule>
    <cfRule type="containsText" dxfId="144" priority="113" operator="containsText" text="EL">
      <formula>NOT(ISERROR(SEARCH("EL",AC15)))</formula>
    </cfRule>
    <cfRule type="containsText" dxfId="143" priority="117" operator="containsText" text="SICK">
      <formula>NOT(ISERROR(SEARCH("SICK",AC15)))</formula>
    </cfRule>
    <cfRule type="containsText" dxfId="142" priority="114" operator="containsText" text="MC">
      <formula>NOT(ISERROR(SEARCH("MC",AC15)))</formula>
    </cfRule>
    <cfRule type="containsText" dxfId="141" priority="115" operator="containsText" text="OFF">
      <formula>NOT(ISERROR(SEARCH("OFF",AC15)))</formula>
    </cfRule>
  </conditionalFormatting>
  <conditionalFormatting sqref="AE15:AG15">
    <cfRule type="containsText" dxfId="140" priority="104" operator="containsText" text="MC">
      <formula>NOT(ISERROR(SEARCH("MC",AE15)))</formula>
    </cfRule>
    <cfRule type="containsText" dxfId="139" priority="105" operator="containsText" text="OFF">
      <formula>NOT(ISERROR(SEARCH("OFF",AE15)))</formula>
    </cfRule>
    <cfRule type="containsText" dxfId="138" priority="106" operator="containsText" text="AB">
      <formula>NOT(ISERROR(SEARCH("AB",AE15)))</formula>
    </cfRule>
    <cfRule type="containsText" dxfId="137" priority="99" operator="containsText" text="SP">
      <formula>NOT(ISERROR(SEARCH("SP",AE15)))</formula>
    </cfRule>
    <cfRule type="containsText" dxfId="136" priority="107" operator="containsText" text="SICK">
      <formula>NOT(ISERROR(SEARCH("SICK",AE15)))</formula>
    </cfRule>
    <cfRule type="containsText" dxfId="135" priority="108" operator="containsText" text="AL">
      <formula>NOT(ISERROR(SEARCH("AL",AE15)))</formula>
    </cfRule>
    <cfRule type="containsText" dxfId="134" priority="103" operator="containsText" text="EL">
      <formula>NOT(ISERROR(SEARCH("EL",AE15)))</formula>
    </cfRule>
    <cfRule type="containsText" dxfId="133" priority="100" operator="containsText" text="NL">
      <formula>NOT(ISERROR(SEARCH("NL",AE15)))</formula>
    </cfRule>
    <cfRule type="containsText" dxfId="132" priority="101" operator="containsText" text="SUS">
      <formula>NOT(ISERROR(SEARCH("SUS",AE15)))</formula>
    </cfRule>
    <cfRule type="containsText" dxfId="131" priority="102" operator="containsText" text="FL">
      <formula>NOT(ISERROR(SEARCH("FL",AE15)))</formula>
    </cfRule>
  </conditionalFormatting>
  <conditionalFormatting sqref="AJ18:AJ27">
    <cfRule type="containsText" dxfId="130" priority="144" stopIfTrue="1" operator="containsText" text="SICK">
      <formula>NOT(ISERROR(SEARCH("SICK",AJ18)))</formula>
    </cfRule>
    <cfRule type="containsText" dxfId="129" priority="145" stopIfTrue="1" operator="containsText" text="SP">
      <formula>NOT(ISERROR(SEARCH("SP",AJ18)))</formula>
    </cfRule>
    <cfRule type="containsText" dxfId="128" priority="147" stopIfTrue="1" operator="containsText" text="AB">
      <formula>NOT(ISERROR(SEARCH("AB",AJ18)))</formula>
    </cfRule>
    <cfRule type="containsText" dxfId="127" priority="148" stopIfTrue="1" operator="containsText" text="HD">
      <formula>NOT(ISERROR(SEARCH("HD",AJ18)))</formula>
    </cfRule>
    <cfRule type="containsText" dxfId="126" priority="149" stopIfTrue="1" operator="containsText" text="AB">
      <formula>NOT(ISERROR(SEARCH("AB",AJ18)))</formula>
    </cfRule>
    <cfRule type="containsText" priority="146" stopIfTrue="1" operator="containsText" text="SP">
      <formula>NOT(ISERROR(SEARCH("SP",AJ18)))</formula>
    </cfRule>
  </conditionalFormatting>
  <pageMargins left="0.7" right="0.7" top="0.75" bottom="0.75" header="0.3" footer="0.3"/>
  <pageSetup paperSize="9" scale="5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AC5A5-9796-4342-9B39-51FA1C9A71D5}">
  <sheetPr>
    <pageSetUpPr fitToPage="1"/>
  </sheetPr>
  <dimension ref="A1:BZ43"/>
  <sheetViews>
    <sheetView zoomScaleNormal="100" workbookViewId="0">
      <selection activeCell="R19" sqref="R19"/>
    </sheetView>
  </sheetViews>
  <sheetFormatPr defaultRowHeight="15" x14ac:dyDescent="0.25"/>
  <cols>
    <col min="1" max="1" width="5.140625" style="45" customWidth="1"/>
    <col min="2" max="2" width="12" style="15" customWidth="1"/>
    <col min="3" max="3" width="33.7109375" customWidth="1"/>
    <col min="4" max="4" width="10" hidden="1" customWidth="1"/>
    <col min="5" max="32" width="6.5703125" customWidth="1"/>
    <col min="33" max="34" width="6.28515625" customWidth="1"/>
    <col min="35" max="35" width="7" customWidth="1"/>
    <col min="36" max="65" width="6.5703125" customWidth="1"/>
    <col min="66" max="66" width="5.85546875" style="15" customWidth="1"/>
    <col min="67" max="74" width="5" customWidth="1"/>
    <col min="75" max="75" width="5.85546875" customWidth="1"/>
    <col min="76" max="79" width="5" customWidth="1"/>
  </cols>
  <sheetData>
    <row r="1" spans="1:66" ht="15.75" x14ac:dyDescent="0.25"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33"/>
      <c r="Y1" s="33"/>
    </row>
    <row r="2" spans="1:66" ht="25.5" customHeight="1" x14ac:dyDescent="0.25">
      <c r="A2" s="278" t="s">
        <v>297</v>
      </c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</row>
    <row r="3" spans="1:66" s="188" customFormat="1" ht="22.5" customHeight="1" x14ac:dyDescent="0.25">
      <c r="A3" s="292" t="s">
        <v>0</v>
      </c>
      <c r="B3" s="293"/>
      <c r="C3" s="294"/>
      <c r="D3" s="187"/>
      <c r="E3" s="291" t="s">
        <v>7</v>
      </c>
      <c r="F3" s="291"/>
      <c r="G3" s="291" t="s">
        <v>1</v>
      </c>
      <c r="H3" s="291"/>
      <c r="I3" s="291" t="s">
        <v>2</v>
      </c>
      <c r="J3" s="291"/>
      <c r="K3" s="291" t="s">
        <v>3</v>
      </c>
      <c r="L3" s="291"/>
      <c r="M3" s="291" t="s">
        <v>4</v>
      </c>
      <c r="N3" s="291"/>
      <c r="O3" s="291" t="s">
        <v>5</v>
      </c>
      <c r="P3" s="291"/>
      <c r="Q3" s="291" t="s">
        <v>6</v>
      </c>
      <c r="R3" s="291"/>
      <c r="S3" s="291" t="s">
        <v>7</v>
      </c>
      <c r="T3" s="291"/>
      <c r="U3" s="291" t="s">
        <v>1</v>
      </c>
      <c r="V3" s="291"/>
      <c r="W3" s="291" t="s">
        <v>2</v>
      </c>
      <c r="X3" s="291"/>
      <c r="Y3" s="291" t="s">
        <v>3</v>
      </c>
      <c r="Z3" s="291"/>
      <c r="AA3" s="291" t="s">
        <v>4</v>
      </c>
      <c r="AB3" s="291"/>
      <c r="AC3" s="291" t="s">
        <v>5</v>
      </c>
      <c r="AD3" s="291"/>
      <c r="AE3" s="291" t="s">
        <v>6</v>
      </c>
      <c r="AF3" s="291"/>
      <c r="AG3" s="291" t="s">
        <v>7</v>
      </c>
      <c r="AH3" s="291"/>
      <c r="BN3" s="189"/>
    </row>
    <row r="4" spans="1:66" s="188" customFormat="1" ht="22.5" customHeight="1" x14ac:dyDescent="0.25">
      <c r="A4" s="295"/>
      <c r="B4" s="296"/>
      <c r="C4" s="297"/>
      <c r="D4" s="187"/>
      <c r="E4" s="290">
        <v>46266</v>
      </c>
      <c r="F4" s="290"/>
      <c r="G4" s="290">
        <v>46267</v>
      </c>
      <c r="H4" s="290"/>
      <c r="I4" s="290">
        <v>46268</v>
      </c>
      <c r="J4" s="290"/>
      <c r="K4" s="290">
        <v>46269</v>
      </c>
      <c r="L4" s="290"/>
      <c r="M4" s="290">
        <v>46270</v>
      </c>
      <c r="N4" s="290"/>
      <c r="O4" s="290">
        <v>46271</v>
      </c>
      <c r="P4" s="290"/>
      <c r="Q4" s="290">
        <v>46272</v>
      </c>
      <c r="R4" s="290"/>
      <c r="S4" s="290">
        <v>46273</v>
      </c>
      <c r="T4" s="290"/>
      <c r="U4" s="290">
        <v>46274</v>
      </c>
      <c r="V4" s="290"/>
      <c r="W4" s="290">
        <v>46275</v>
      </c>
      <c r="X4" s="290"/>
      <c r="Y4" s="290">
        <v>46276</v>
      </c>
      <c r="Z4" s="290"/>
      <c r="AA4" s="290">
        <v>46277</v>
      </c>
      <c r="AB4" s="290"/>
      <c r="AC4" s="290">
        <v>46278</v>
      </c>
      <c r="AD4" s="290"/>
      <c r="AE4" s="290">
        <v>46279</v>
      </c>
      <c r="AF4" s="290"/>
      <c r="AG4" s="290">
        <v>46280</v>
      </c>
      <c r="AH4" s="290"/>
      <c r="BN4" s="189"/>
    </row>
    <row r="5" spans="1:66" s="188" customFormat="1" ht="20.25" customHeight="1" x14ac:dyDescent="0.25">
      <c r="A5" s="190" t="s">
        <v>10</v>
      </c>
      <c r="B5" s="190" t="s">
        <v>11</v>
      </c>
      <c r="C5" s="190" t="s">
        <v>12</v>
      </c>
      <c r="D5" s="191"/>
      <c r="E5" s="191" t="s">
        <v>13</v>
      </c>
      <c r="F5" s="191" t="s">
        <v>14</v>
      </c>
      <c r="G5" s="191" t="s">
        <v>13</v>
      </c>
      <c r="H5" s="191" t="s">
        <v>14</v>
      </c>
      <c r="I5" s="191" t="s">
        <v>13</v>
      </c>
      <c r="J5" s="191" t="s">
        <v>14</v>
      </c>
      <c r="K5" s="191" t="s">
        <v>13</v>
      </c>
      <c r="L5" s="191" t="s">
        <v>14</v>
      </c>
      <c r="M5" s="191" t="s">
        <v>13</v>
      </c>
      <c r="N5" s="191" t="s">
        <v>14</v>
      </c>
      <c r="O5" s="191" t="s">
        <v>13</v>
      </c>
      <c r="P5" s="191" t="s">
        <v>14</v>
      </c>
      <c r="Q5" s="191" t="s">
        <v>13</v>
      </c>
      <c r="R5" s="191" t="s">
        <v>14</v>
      </c>
      <c r="S5" s="191" t="s">
        <v>13</v>
      </c>
      <c r="T5" s="191" t="s">
        <v>14</v>
      </c>
      <c r="U5" s="191" t="s">
        <v>13</v>
      </c>
      <c r="V5" s="191" t="s">
        <v>14</v>
      </c>
      <c r="W5" s="191" t="s">
        <v>13</v>
      </c>
      <c r="X5" s="191" t="s">
        <v>14</v>
      </c>
      <c r="Y5" s="190" t="s">
        <v>13</v>
      </c>
      <c r="Z5" s="190" t="s">
        <v>14</v>
      </c>
      <c r="AA5" s="190" t="s">
        <v>13</v>
      </c>
      <c r="AB5" s="190" t="s">
        <v>14</v>
      </c>
      <c r="AC5" s="190" t="s">
        <v>13</v>
      </c>
      <c r="AD5" s="190" t="s">
        <v>14</v>
      </c>
      <c r="AE5" s="190" t="s">
        <v>13</v>
      </c>
      <c r="AF5" s="190" t="s">
        <v>14</v>
      </c>
      <c r="AG5" s="190" t="s">
        <v>13</v>
      </c>
      <c r="AH5" s="190" t="s">
        <v>14</v>
      </c>
      <c r="BN5" s="189"/>
    </row>
    <row r="6" spans="1:66" s="188" customFormat="1" ht="21.75" customHeight="1" x14ac:dyDescent="0.25">
      <c r="A6" s="192">
        <v>1</v>
      </c>
      <c r="B6" s="11" t="s">
        <v>161</v>
      </c>
      <c r="C6" s="82" t="s">
        <v>162</v>
      </c>
      <c r="D6" s="194">
        <v>38713</v>
      </c>
      <c r="E6" s="124">
        <v>46266.353449074071</v>
      </c>
      <c r="F6" s="124">
        <v>46264.95103009259</v>
      </c>
      <c r="G6" s="124">
        <v>46267.353310185186</v>
      </c>
      <c r="H6" s="124">
        <v>46267.975497685184</v>
      </c>
      <c r="I6" s="124">
        <v>46268.353020833332</v>
      </c>
      <c r="J6" s="124">
        <v>46268.94253472222</v>
      </c>
      <c r="K6" s="124">
        <v>46269.571099537039</v>
      </c>
      <c r="L6" s="124">
        <v>46269.911006944443</v>
      </c>
      <c r="M6" s="124">
        <v>46270.343680555554</v>
      </c>
      <c r="N6" s="124">
        <v>46270.880439814813</v>
      </c>
      <c r="O6" s="124">
        <v>0</v>
      </c>
      <c r="P6" s="124">
        <v>0</v>
      </c>
      <c r="Q6" s="124">
        <v>46272.342256944445</v>
      </c>
      <c r="R6" s="124">
        <v>46272.938981481479</v>
      </c>
      <c r="S6" s="124">
        <v>46273.34474537037</v>
      </c>
      <c r="T6" s="124">
        <v>46273.941192129627</v>
      </c>
      <c r="U6" s="124">
        <v>46274.353692129633</v>
      </c>
      <c r="V6" s="124">
        <v>46274.960069444445</v>
      </c>
      <c r="W6" s="124">
        <v>46275.345775462964</v>
      </c>
      <c r="X6" s="124">
        <v>46275.95857638889</v>
      </c>
      <c r="Y6" s="228" t="s">
        <v>15</v>
      </c>
      <c r="Z6" s="228" t="s">
        <v>15</v>
      </c>
      <c r="AA6" s="124">
        <v>46277.352870370371</v>
      </c>
      <c r="AB6" s="124">
        <v>46277.961851851855</v>
      </c>
      <c r="AC6" s="124">
        <v>46278.354594907411</v>
      </c>
      <c r="AD6" s="124">
        <v>46278.962199074071</v>
      </c>
      <c r="AE6" s="124">
        <v>46279.354386574072</v>
      </c>
      <c r="AF6" s="124">
        <v>46279.959189814814</v>
      </c>
      <c r="AG6" s="124">
        <v>46280.355150462965</v>
      </c>
      <c r="AH6" s="124">
        <v>46280.932673611111</v>
      </c>
      <c r="BN6" s="189"/>
    </row>
    <row r="7" spans="1:66" s="188" customFormat="1" ht="15.75" x14ac:dyDescent="0.25">
      <c r="A7" s="196"/>
      <c r="B7" s="189"/>
      <c r="BN7" s="189"/>
    </row>
    <row r="8" spans="1:66" s="188" customFormat="1" ht="20.25" customHeight="1" x14ac:dyDescent="0.25">
      <c r="A8" s="196"/>
      <c r="B8" s="189"/>
      <c r="E8" s="284" t="s">
        <v>1</v>
      </c>
      <c r="F8" s="285"/>
      <c r="G8" s="284" t="s">
        <v>2</v>
      </c>
      <c r="H8" s="285"/>
      <c r="I8" s="284" t="s">
        <v>3</v>
      </c>
      <c r="J8" s="285"/>
      <c r="K8" s="284" t="s">
        <v>4</v>
      </c>
      <c r="L8" s="285"/>
      <c r="M8" s="284" t="s">
        <v>5</v>
      </c>
      <c r="N8" s="285"/>
      <c r="O8" s="284" t="s">
        <v>6</v>
      </c>
      <c r="P8" s="285"/>
      <c r="Q8" s="284" t="s">
        <v>7</v>
      </c>
      <c r="R8" s="285"/>
      <c r="S8" s="284" t="s">
        <v>1</v>
      </c>
      <c r="T8" s="285"/>
      <c r="U8" s="284" t="s">
        <v>2</v>
      </c>
      <c r="V8" s="285"/>
      <c r="W8" s="284" t="s">
        <v>3</v>
      </c>
      <c r="X8" s="285"/>
      <c r="Y8" s="284" t="s">
        <v>4</v>
      </c>
      <c r="Z8" s="285"/>
      <c r="AA8" s="284" t="s">
        <v>5</v>
      </c>
      <c r="AB8" s="285"/>
      <c r="AC8" s="284" t="s">
        <v>6</v>
      </c>
      <c r="AD8" s="285"/>
      <c r="AE8" s="284" t="s">
        <v>7</v>
      </c>
      <c r="AF8" s="285"/>
      <c r="AG8" s="284" t="s">
        <v>1</v>
      </c>
      <c r="AH8" s="285"/>
      <c r="BN8" s="189"/>
    </row>
    <row r="9" spans="1:66" s="188" customFormat="1" ht="20.25" customHeight="1" x14ac:dyDescent="0.25">
      <c r="A9" s="196"/>
      <c r="B9" s="189"/>
      <c r="D9" s="199" t="s">
        <v>245</v>
      </c>
      <c r="E9" s="282">
        <v>46281</v>
      </c>
      <c r="F9" s="283"/>
      <c r="G9" s="282">
        <v>46282</v>
      </c>
      <c r="H9" s="283"/>
      <c r="I9" s="282">
        <v>46283</v>
      </c>
      <c r="J9" s="283"/>
      <c r="K9" s="282">
        <v>46284</v>
      </c>
      <c r="L9" s="283"/>
      <c r="M9" s="282">
        <v>46285</v>
      </c>
      <c r="N9" s="283"/>
      <c r="O9" s="282">
        <v>46286</v>
      </c>
      <c r="P9" s="283"/>
      <c r="Q9" s="282">
        <v>46287</v>
      </c>
      <c r="R9" s="283"/>
      <c r="S9" s="282">
        <v>46288</v>
      </c>
      <c r="T9" s="283"/>
      <c r="U9" s="282">
        <v>46289</v>
      </c>
      <c r="V9" s="283"/>
      <c r="W9" s="282">
        <v>46290</v>
      </c>
      <c r="X9" s="283"/>
      <c r="Y9" s="282">
        <v>46291</v>
      </c>
      <c r="Z9" s="283"/>
      <c r="AA9" s="282">
        <v>46292</v>
      </c>
      <c r="AB9" s="283"/>
      <c r="AC9" s="282">
        <v>46293</v>
      </c>
      <c r="AD9" s="283"/>
      <c r="AE9" s="282">
        <v>46294</v>
      </c>
      <c r="AF9" s="283"/>
      <c r="AG9" s="282">
        <v>46295</v>
      </c>
      <c r="AH9" s="283"/>
      <c r="BN9" s="189"/>
    </row>
    <row r="10" spans="1:66" s="188" customFormat="1" ht="20.25" customHeight="1" x14ac:dyDescent="0.25">
      <c r="A10" s="196"/>
      <c r="B10" s="189"/>
      <c r="E10" s="190" t="s">
        <v>13</v>
      </c>
      <c r="F10" s="190" t="s">
        <v>14</v>
      </c>
      <c r="G10" s="190" t="s">
        <v>13</v>
      </c>
      <c r="H10" s="190" t="s">
        <v>14</v>
      </c>
      <c r="I10" s="190" t="s">
        <v>13</v>
      </c>
      <c r="J10" s="190" t="s">
        <v>14</v>
      </c>
      <c r="K10" s="190" t="s">
        <v>13</v>
      </c>
      <c r="L10" s="190" t="s">
        <v>14</v>
      </c>
      <c r="M10" s="190" t="s">
        <v>13</v>
      </c>
      <c r="N10" s="190" t="s">
        <v>14</v>
      </c>
      <c r="O10" s="190" t="s">
        <v>13</v>
      </c>
      <c r="P10" s="190" t="s">
        <v>14</v>
      </c>
      <c r="Q10" s="190" t="s">
        <v>13</v>
      </c>
      <c r="R10" s="190" t="s">
        <v>14</v>
      </c>
      <c r="S10" s="190" t="s">
        <v>13</v>
      </c>
      <c r="T10" s="190" t="s">
        <v>14</v>
      </c>
      <c r="U10" s="190" t="s">
        <v>13</v>
      </c>
      <c r="V10" s="190" t="s">
        <v>14</v>
      </c>
      <c r="W10" s="190" t="s">
        <v>13</v>
      </c>
      <c r="X10" s="190" t="s">
        <v>14</v>
      </c>
      <c r="Y10" s="190" t="s">
        <v>13</v>
      </c>
      <c r="Z10" s="190" t="s">
        <v>14</v>
      </c>
      <c r="AA10" s="190" t="s">
        <v>13</v>
      </c>
      <c r="AB10" s="190" t="s">
        <v>14</v>
      </c>
      <c r="AC10" s="190" t="s">
        <v>13</v>
      </c>
      <c r="AD10" s="190" t="s">
        <v>14</v>
      </c>
      <c r="AE10" s="190" t="s">
        <v>13</v>
      </c>
      <c r="AF10" s="190" t="s">
        <v>14</v>
      </c>
      <c r="AG10" s="190" t="s">
        <v>13</v>
      </c>
      <c r="AH10" s="190" t="s">
        <v>14</v>
      </c>
      <c r="BN10" s="189"/>
    </row>
    <row r="11" spans="1:66" s="188" customFormat="1" ht="24" customHeight="1" x14ac:dyDescent="0.25">
      <c r="A11" s="196"/>
      <c r="B11" s="189"/>
      <c r="D11" s="200" t="s">
        <v>246</v>
      </c>
      <c r="E11" s="124">
        <v>46281.353761574072</v>
      </c>
      <c r="F11" s="124">
        <v>46281.897581018522</v>
      </c>
      <c r="G11" s="124">
        <v>0</v>
      </c>
      <c r="H11" s="124">
        <v>46282.89980324074</v>
      </c>
      <c r="I11" s="124">
        <v>0</v>
      </c>
      <c r="J11" s="124">
        <v>46283.89203703704</v>
      </c>
      <c r="K11" s="124">
        <v>46284.351886574077</v>
      </c>
      <c r="L11" s="124">
        <v>46284.954687500001</v>
      </c>
      <c r="M11" s="124">
        <v>46285.354502314818</v>
      </c>
      <c r="N11" s="124">
        <v>46285.92627314815</v>
      </c>
      <c r="O11" s="124">
        <v>46286.346354166664</v>
      </c>
      <c r="P11" s="124">
        <v>46286.931145833332</v>
      </c>
      <c r="Q11" s="124">
        <v>46287.352638888886</v>
      </c>
      <c r="R11" s="124">
        <v>46287.931122685186</v>
      </c>
      <c r="S11" s="124">
        <v>46288.35255787037</v>
      </c>
      <c r="T11" s="124">
        <v>46288.952118055553</v>
      </c>
      <c r="U11" s="124">
        <v>46289.354791666665</v>
      </c>
      <c r="V11" s="124">
        <v>46289.949513888889</v>
      </c>
      <c r="W11" s="234" t="s">
        <v>15</v>
      </c>
      <c r="X11" s="234" t="s">
        <v>15</v>
      </c>
      <c r="Y11" s="124">
        <v>46291.330682870372</v>
      </c>
      <c r="Z11" s="124">
        <v>46291.950289351851</v>
      </c>
      <c r="AA11" s="124">
        <v>46292.334143518521</v>
      </c>
      <c r="AB11" s="124">
        <v>46292.902060185188</v>
      </c>
      <c r="AC11" s="124">
        <v>46293.3283912037</v>
      </c>
      <c r="AD11" s="124">
        <v>46293.923634259256</v>
      </c>
      <c r="AE11" s="124">
        <v>46294.334074074075</v>
      </c>
      <c r="AF11" s="124">
        <v>46294.914907407408</v>
      </c>
      <c r="AG11" s="124">
        <v>46295.33222222222</v>
      </c>
      <c r="AH11" s="124">
        <v>46295.945127314815</v>
      </c>
      <c r="BN11" s="189"/>
    </row>
    <row r="12" spans="1:66" s="188" customFormat="1" ht="15" customHeight="1" x14ac:dyDescent="0.25">
      <c r="A12" s="196"/>
      <c r="B12" s="189"/>
      <c r="BK12" s="189"/>
      <c r="BN12" s="189"/>
    </row>
    <row r="13" spans="1:66" s="188" customFormat="1" ht="33.75" customHeight="1" x14ac:dyDescent="0.25">
      <c r="A13" s="196"/>
      <c r="B13" s="189"/>
      <c r="E13" s="222" t="s">
        <v>245</v>
      </c>
      <c r="F13" s="223" t="s">
        <v>298</v>
      </c>
      <c r="G13" s="223"/>
      <c r="H13" s="223"/>
      <c r="I13" s="223"/>
      <c r="J13" s="222"/>
      <c r="K13" s="30"/>
      <c r="L13" s="30"/>
      <c r="T13" s="286" t="s">
        <v>8</v>
      </c>
      <c r="U13" s="288" t="s">
        <v>9</v>
      </c>
      <c r="V13" s="203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BK13" s="189"/>
      <c r="BN13" s="189"/>
    </row>
    <row r="14" spans="1:66" s="188" customFormat="1" ht="18.75" x14ac:dyDescent="0.3">
      <c r="A14" s="196"/>
      <c r="B14" s="189"/>
      <c r="E14" s="224"/>
      <c r="F14" s="227"/>
      <c r="G14" s="196" t="s">
        <v>300</v>
      </c>
      <c r="H14" s="196"/>
      <c r="I14" s="196"/>
      <c r="J14" s="196"/>
      <c r="T14" s="286"/>
      <c r="U14" s="289"/>
      <c r="V14" s="204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BK14" s="189"/>
      <c r="BN14" s="189"/>
    </row>
    <row r="15" spans="1:66" s="188" customFormat="1" ht="34.5" x14ac:dyDescent="0.3">
      <c r="A15" s="196"/>
      <c r="B15" s="189"/>
      <c r="E15" s="222" t="s">
        <v>246</v>
      </c>
      <c r="F15" s="298" t="s">
        <v>299</v>
      </c>
      <c r="G15" s="298"/>
      <c r="H15" s="298"/>
      <c r="I15" s="224"/>
      <c r="J15" s="224"/>
      <c r="T15" s="287"/>
      <c r="U15" s="206"/>
      <c r="V15" s="207"/>
      <c r="W15" s="208" t="s">
        <v>15</v>
      </c>
      <c r="X15" s="209" t="s">
        <v>16</v>
      </c>
      <c r="Y15" s="209" t="s">
        <v>17</v>
      </c>
      <c r="Z15" s="210" t="s">
        <v>18</v>
      </c>
      <c r="AA15" s="209" t="s">
        <v>19</v>
      </c>
      <c r="AB15" s="209" t="s">
        <v>20</v>
      </c>
      <c r="AC15" s="211" t="s">
        <v>170</v>
      </c>
      <c r="AD15" s="212" t="s">
        <v>22</v>
      </c>
      <c r="AE15" s="213" t="s">
        <v>23</v>
      </c>
      <c r="AF15" s="213" t="s">
        <v>24</v>
      </c>
      <c r="AG15" s="213" t="s">
        <v>25</v>
      </c>
      <c r="AH15" s="214" t="s">
        <v>26</v>
      </c>
      <c r="BK15" s="189"/>
    </row>
    <row r="16" spans="1:66" s="188" customFormat="1" ht="17.25" x14ac:dyDescent="0.25">
      <c r="A16" s="196"/>
      <c r="B16" s="189"/>
      <c r="T16" s="215">
        <v>30</v>
      </c>
      <c r="U16" s="216">
        <v>2</v>
      </c>
      <c r="V16" s="217">
        <v>28</v>
      </c>
      <c r="W16" s="218">
        <v>2</v>
      </c>
      <c r="X16" s="218">
        <f>COUNTIF(E6:BK6,"MC")/2</f>
        <v>0</v>
      </c>
      <c r="Y16" s="218">
        <f>COUNTIF(E6:BK6,"EL")/2</f>
        <v>0</v>
      </c>
      <c r="Z16" s="218">
        <f>COUNTIF(E6:BK6,"AL")/2</f>
        <v>0</v>
      </c>
      <c r="AA16" s="218">
        <f>COUNTIF(E6:BK6,"SUS")/2</f>
        <v>0</v>
      </c>
      <c r="AB16" s="218">
        <f>COUNTIF(E6:BK6,"FL")/2</f>
        <v>0</v>
      </c>
      <c r="AC16" s="218">
        <f>COUNTIF(E6:BK6,"SICK")/2</f>
        <v>0</v>
      </c>
      <c r="AD16" s="218">
        <f>COUNTIF(E6:BK6,"HD")/2</f>
        <v>0</v>
      </c>
      <c r="AE16" s="218">
        <f>COUNTIF(E6:BK6,"AB")/2</f>
        <v>0</v>
      </c>
      <c r="AF16" s="218">
        <f>COUNTIF(E6:BK6,"NL")/2</f>
        <v>0</v>
      </c>
      <c r="AG16" s="218">
        <f>COUNTIF(E6:BK6,"SP")/2</f>
        <v>0</v>
      </c>
      <c r="AH16" s="219"/>
      <c r="AI16" s="220"/>
      <c r="BK16" s="189"/>
    </row>
    <row r="17" spans="6:78" x14ac:dyDescent="0.25">
      <c r="AC17" s="102"/>
      <c r="AD17" s="102"/>
      <c r="AE17" s="102"/>
      <c r="AF17" s="102"/>
      <c r="AG17" s="102"/>
      <c r="AH17" s="102"/>
      <c r="AI17" s="102"/>
      <c r="BK17" s="15"/>
      <c r="BN17"/>
    </row>
    <row r="18" spans="6:78" x14ac:dyDescent="0.25">
      <c r="Y18" s="140" t="s">
        <v>71</v>
      </c>
      <c r="Z18" s="141"/>
      <c r="AA18" s="142"/>
      <c r="AB18" s="143" t="s">
        <v>16</v>
      </c>
      <c r="AC18" s="144"/>
      <c r="AD18" s="145" t="s">
        <v>72</v>
      </c>
      <c r="AE18" s="141"/>
      <c r="AF18" s="146"/>
      <c r="AG18" s="141"/>
      <c r="AH18" s="147" t="s">
        <v>22</v>
      </c>
    </row>
    <row r="19" spans="6:78" x14ac:dyDescent="0.25">
      <c r="W19" s="101"/>
      <c r="X19" s="101"/>
      <c r="Y19" s="140" t="s">
        <v>73</v>
      </c>
      <c r="Z19" s="144"/>
      <c r="AA19" s="144"/>
      <c r="AB19" s="143" t="s">
        <v>17</v>
      </c>
      <c r="AC19" s="146"/>
      <c r="AD19" s="145" t="s">
        <v>74</v>
      </c>
      <c r="AE19" s="148"/>
      <c r="AF19" s="148"/>
      <c r="AG19" s="149"/>
      <c r="AH19" s="147" t="s">
        <v>23</v>
      </c>
    </row>
    <row r="20" spans="6:78" x14ac:dyDescent="0.25">
      <c r="F20" s="151"/>
      <c r="G20" s="151"/>
      <c r="H20" s="151"/>
      <c r="I20" s="151"/>
      <c r="J20" s="151"/>
      <c r="K20" s="151"/>
      <c r="L20" s="151"/>
      <c r="W20" s="101"/>
      <c r="X20" s="101"/>
      <c r="Y20" s="140" t="s">
        <v>75</v>
      </c>
      <c r="Z20" s="144"/>
      <c r="AA20" s="144"/>
      <c r="AB20" s="143" t="s">
        <v>18</v>
      </c>
      <c r="AC20" s="146"/>
      <c r="AD20" s="140" t="s">
        <v>76</v>
      </c>
      <c r="AE20" s="150"/>
      <c r="AF20" s="150"/>
      <c r="AG20" s="149"/>
      <c r="AH20" s="147" t="s">
        <v>24</v>
      </c>
    </row>
    <row r="21" spans="6:78" x14ac:dyDescent="0.25">
      <c r="F21" s="151"/>
      <c r="G21" s="151"/>
      <c r="H21" s="151"/>
      <c r="I21" s="151"/>
      <c r="J21" s="151"/>
      <c r="K21" s="151"/>
      <c r="L21" s="151"/>
      <c r="Y21" s="140" t="s">
        <v>77</v>
      </c>
      <c r="Z21" s="144"/>
      <c r="AA21" s="144"/>
      <c r="AB21" s="143" t="s">
        <v>19</v>
      </c>
      <c r="AC21" s="146"/>
      <c r="AD21" s="140" t="s">
        <v>78</v>
      </c>
      <c r="AE21" s="150"/>
      <c r="AF21" s="150"/>
      <c r="AG21" s="149"/>
      <c r="AH21" s="147" t="s">
        <v>25</v>
      </c>
    </row>
    <row r="22" spans="6:78" x14ac:dyDescent="0.25">
      <c r="F22" s="151"/>
      <c r="G22" s="151"/>
      <c r="H22" s="151"/>
      <c r="I22" s="151"/>
      <c r="J22" s="151"/>
      <c r="K22" s="151"/>
      <c r="L22" s="151"/>
      <c r="Y22" s="140" t="s">
        <v>79</v>
      </c>
      <c r="Z22" s="144"/>
      <c r="AA22" s="144"/>
      <c r="AB22" s="143" t="s">
        <v>20</v>
      </c>
      <c r="AC22" s="146"/>
      <c r="AD22" s="146"/>
      <c r="AE22" s="146"/>
      <c r="AF22" s="146"/>
      <c r="AG22" s="146"/>
      <c r="AH22" s="146"/>
    </row>
    <row r="23" spans="6:78" x14ac:dyDescent="0.25">
      <c r="F23" s="151"/>
      <c r="G23" s="151"/>
      <c r="H23" s="151"/>
      <c r="I23" s="151"/>
      <c r="J23" s="151"/>
      <c r="K23" s="151"/>
      <c r="L23" s="151"/>
    </row>
    <row r="24" spans="6:78" ht="15.75" x14ac:dyDescent="0.25">
      <c r="F24" s="151"/>
      <c r="G24" s="17" t="s">
        <v>62</v>
      </c>
      <c r="H24" s="18"/>
      <c r="I24" s="17"/>
      <c r="J24" s="19"/>
      <c r="M24" s="19"/>
      <c r="N24" s="20"/>
      <c r="O24" s="21"/>
      <c r="P24" s="21"/>
      <c r="Q24" s="22" t="s">
        <v>63</v>
      </c>
      <c r="R24" s="22"/>
      <c r="S24" s="20"/>
      <c r="T24" s="20"/>
      <c r="U24" s="20"/>
      <c r="V24" s="20"/>
      <c r="W24" s="20" t="s">
        <v>64</v>
      </c>
      <c r="X24" s="20"/>
      <c r="Y24" s="20"/>
      <c r="Z24" s="20"/>
      <c r="AA24" s="22" t="s">
        <v>65</v>
      </c>
      <c r="AB24" s="20"/>
    </row>
    <row r="25" spans="6:78" ht="17.25" x14ac:dyDescent="0.25">
      <c r="F25" s="151"/>
      <c r="G25" s="19"/>
      <c r="H25" s="19"/>
      <c r="I25" s="19"/>
      <c r="J25" s="19"/>
      <c r="M25" s="19"/>
      <c r="N25" s="19"/>
      <c r="O25" s="24"/>
      <c r="P25" s="24"/>
      <c r="Q25" s="24"/>
      <c r="R25" s="19"/>
      <c r="S25" s="19"/>
      <c r="T25" s="19"/>
      <c r="U25" s="25"/>
      <c r="V25" s="25"/>
      <c r="W25" s="25"/>
      <c r="X25" s="25"/>
      <c r="Y25" s="25"/>
      <c r="Z25" s="25"/>
      <c r="AA25" s="26"/>
      <c r="AB25" s="26"/>
    </row>
    <row r="26" spans="6:78" ht="17.25" x14ac:dyDescent="0.25">
      <c r="F26" s="151"/>
      <c r="G26" s="27"/>
      <c r="H26" s="19"/>
      <c r="I26" s="27"/>
      <c r="J26" s="19"/>
      <c r="M26" s="19"/>
      <c r="N26" s="27" t="s">
        <v>64</v>
      </c>
      <c r="O26" s="28"/>
      <c r="P26" s="28"/>
      <c r="Q26" s="24"/>
      <c r="R26" s="19"/>
      <c r="S26" s="27"/>
      <c r="T26" s="27"/>
      <c r="U26" s="20"/>
      <c r="V26" s="19"/>
      <c r="W26" s="19"/>
      <c r="X26" s="19"/>
      <c r="Y26" s="19"/>
      <c r="Z26" s="19"/>
      <c r="AA26" s="29"/>
      <c r="AB26" s="29"/>
    </row>
    <row r="27" spans="6:78" ht="17.25" x14ac:dyDescent="0.25">
      <c r="G27" s="27"/>
      <c r="H27" s="19"/>
      <c r="I27" s="27"/>
      <c r="J27" s="19"/>
      <c r="M27" s="19"/>
      <c r="N27" s="27"/>
      <c r="O27" s="28"/>
      <c r="P27" s="28"/>
      <c r="Q27" s="24"/>
      <c r="R27" s="20"/>
      <c r="S27" s="27"/>
      <c r="T27" s="27"/>
      <c r="U27" s="20"/>
      <c r="V27" s="19"/>
      <c r="W27" s="19"/>
      <c r="X27" s="19"/>
      <c r="Y27" s="19"/>
      <c r="Z27" s="19"/>
      <c r="AA27" s="29"/>
      <c r="AB27" s="29"/>
    </row>
    <row r="28" spans="6:78" ht="17.25" x14ac:dyDescent="0.25">
      <c r="G28" s="138"/>
      <c r="H28" s="139" t="s">
        <v>257</v>
      </c>
      <c r="I28" s="19"/>
      <c r="J28" s="19"/>
      <c r="M28" s="19"/>
      <c r="N28" s="27"/>
      <c r="O28" s="24"/>
      <c r="P28" s="28"/>
      <c r="Q28" s="18" t="s">
        <v>295</v>
      </c>
      <c r="R28" s="19"/>
      <c r="S28" s="27"/>
      <c r="T28" s="20"/>
      <c r="U28" s="19"/>
      <c r="V28" s="19"/>
      <c r="W28" s="19"/>
      <c r="X28" s="19"/>
      <c r="Y28" s="19"/>
      <c r="Z28" s="19"/>
      <c r="AA28" s="18" t="s">
        <v>67</v>
      </c>
      <c r="AB28" s="29"/>
    </row>
    <row r="29" spans="6:78" ht="17.25" x14ac:dyDescent="0.25">
      <c r="F29" s="16"/>
      <c r="G29" s="31" t="s">
        <v>68</v>
      </c>
      <c r="H29" s="30"/>
      <c r="I29" s="30"/>
      <c r="J29" s="19"/>
      <c r="M29" s="19"/>
      <c r="N29" s="18"/>
      <c r="O29" s="32"/>
      <c r="P29" s="32"/>
      <c r="Q29" s="18" t="s">
        <v>296</v>
      </c>
      <c r="R29" s="18"/>
      <c r="S29" s="18"/>
      <c r="T29" s="20"/>
      <c r="U29" s="18"/>
      <c r="V29" s="19"/>
      <c r="W29" s="19"/>
      <c r="X29" s="19"/>
      <c r="Y29" s="19"/>
      <c r="Z29" s="19"/>
      <c r="AA29" s="18" t="s">
        <v>70</v>
      </c>
      <c r="AB29" s="29"/>
    </row>
    <row r="30" spans="6:78" ht="15.75" x14ac:dyDescent="0.25">
      <c r="F30" s="23"/>
    </row>
    <row r="31" spans="6:78" ht="15.75" x14ac:dyDescent="0.25">
      <c r="F31" s="23"/>
      <c r="BQ31" s="37"/>
      <c r="BR31" s="37"/>
      <c r="BS31" s="37"/>
      <c r="BT31" s="37"/>
      <c r="BU31" s="37"/>
      <c r="BV31" s="37"/>
      <c r="BW31" s="37"/>
      <c r="BX31" s="37"/>
      <c r="BY31" s="37"/>
      <c r="BZ31" s="37"/>
    </row>
    <row r="32" spans="6:78" ht="15.75" x14ac:dyDescent="0.25">
      <c r="F32" s="30"/>
    </row>
    <row r="33" spans="1:78" s="57" customFormat="1" ht="15.75" x14ac:dyDescent="0.25">
      <c r="A33" s="45"/>
      <c r="B33" s="15"/>
      <c r="C33"/>
      <c r="D33"/>
      <c r="E33"/>
      <c r="F33" s="31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 s="15"/>
      <c r="BO33"/>
      <c r="BP33"/>
      <c r="BQ33"/>
      <c r="BR33"/>
      <c r="BS33"/>
      <c r="BT33"/>
      <c r="BU33"/>
      <c r="BV33"/>
      <c r="BW33"/>
      <c r="BX33"/>
      <c r="BY33"/>
      <c r="BZ33"/>
    </row>
    <row r="34" spans="1:78" s="57" customFormat="1" ht="15.75" x14ac:dyDescent="0.25">
      <c r="A34" s="45"/>
      <c r="B34" s="15"/>
      <c r="C34"/>
      <c r="D34"/>
      <c r="E34"/>
      <c r="F34" s="31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 s="15"/>
      <c r="BO34"/>
      <c r="BP34"/>
      <c r="BQ34"/>
      <c r="BR34"/>
      <c r="BS34"/>
      <c r="BT34"/>
      <c r="BU34"/>
      <c r="BV34"/>
      <c r="BW34"/>
      <c r="BX34"/>
      <c r="BY34"/>
      <c r="BZ34"/>
    </row>
    <row r="40" spans="1:78" s="57" customFormat="1" x14ac:dyDescent="0.25">
      <c r="A40" s="45"/>
      <c r="B40" s="15"/>
      <c r="C40"/>
      <c r="D40"/>
      <c r="E40" s="123"/>
      <c r="F40" s="240" t="s">
        <v>5</v>
      </c>
      <c r="G40" s="241"/>
      <c r="H40" s="240" t="s">
        <v>6</v>
      </c>
      <c r="I40" s="241"/>
      <c r="J40" s="240" t="s">
        <v>7</v>
      </c>
      <c r="K40" s="241"/>
      <c r="L40" s="240" t="s">
        <v>1</v>
      </c>
      <c r="M40" s="241"/>
      <c r="N40" s="240" t="s">
        <v>2</v>
      </c>
      <c r="O40" s="241"/>
      <c r="P40" s="240" t="s">
        <v>3</v>
      </c>
      <c r="Q40" s="241"/>
      <c r="R40" s="240" t="s">
        <v>4</v>
      </c>
      <c r="S40" s="241"/>
      <c r="T40" s="240" t="s">
        <v>5</v>
      </c>
      <c r="U40" s="241"/>
      <c r="V40" s="240" t="s">
        <v>6</v>
      </c>
      <c r="W40" s="241"/>
      <c r="X40" s="240" t="s">
        <v>7</v>
      </c>
      <c r="Y40" s="241"/>
      <c r="Z40" s="240" t="s">
        <v>1</v>
      </c>
      <c r="AA40" s="241"/>
      <c r="AB40" s="240" t="s">
        <v>2</v>
      </c>
      <c r="AC40" s="241"/>
      <c r="AD40" s="240" t="s">
        <v>3</v>
      </c>
      <c r="AE40" s="241"/>
      <c r="AF40" s="240" t="s">
        <v>4</v>
      </c>
      <c r="AG40" s="241"/>
      <c r="AH40" s="235" t="s">
        <v>5</v>
      </c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 s="15"/>
      <c r="BO40"/>
      <c r="BP40"/>
      <c r="BQ40"/>
      <c r="BR40"/>
      <c r="BS40"/>
      <c r="BT40"/>
      <c r="BU40"/>
      <c r="BV40"/>
      <c r="BW40"/>
      <c r="BX40"/>
      <c r="BY40"/>
      <c r="BZ40"/>
    </row>
    <row r="41" spans="1:78" s="57" customFormat="1" x14ac:dyDescent="0.25">
      <c r="A41" s="45"/>
      <c r="B41" s="15"/>
      <c r="C41"/>
      <c r="D41"/>
      <c r="E41" s="100"/>
      <c r="F41" s="242">
        <v>46281</v>
      </c>
      <c r="G41" s="244"/>
      <c r="H41" s="242">
        <v>46282</v>
      </c>
      <c r="I41" s="244"/>
      <c r="J41" s="242">
        <v>46283</v>
      </c>
      <c r="K41" s="244"/>
      <c r="L41" s="242">
        <v>46284</v>
      </c>
      <c r="M41" s="244"/>
      <c r="N41" s="242">
        <v>46285</v>
      </c>
      <c r="O41" s="244"/>
      <c r="P41" s="242">
        <v>46286</v>
      </c>
      <c r="Q41" s="244"/>
      <c r="R41" s="242">
        <v>46287</v>
      </c>
      <c r="S41" s="244"/>
      <c r="T41" s="242">
        <v>46288</v>
      </c>
      <c r="U41" s="244"/>
      <c r="V41" s="242">
        <v>46289</v>
      </c>
      <c r="W41" s="244"/>
      <c r="X41" s="242">
        <v>46290</v>
      </c>
      <c r="Y41" s="244"/>
      <c r="Z41" s="242">
        <v>46291</v>
      </c>
      <c r="AA41" s="244"/>
      <c r="AB41" s="242">
        <v>46292</v>
      </c>
      <c r="AC41" s="244"/>
      <c r="AD41" s="242">
        <v>46293</v>
      </c>
      <c r="AE41" s="244"/>
      <c r="AF41" s="242">
        <v>46294</v>
      </c>
      <c r="AG41" s="244"/>
      <c r="AH41" s="100">
        <v>46295</v>
      </c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 s="15"/>
      <c r="BO41"/>
      <c r="BP41"/>
      <c r="BQ41"/>
      <c r="BR41"/>
      <c r="BS41"/>
      <c r="BT41"/>
      <c r="BU41"/>
      <c r="BV41"/>
      <c r="BW41"/>
      <c r="BX41"/>
      <c r="BY41"/>
      <c r="BZ41"/>
    </row>
    <row r="42" spans="1:78" s="57" customFormat="1" x14ac:dyDescent="0.25">
      <c r="A42" s="45"/>
      <c r="B42" s="15"/>
      <c r="C42"/>
      <c r="D42"/>
      <c r="E42" s="4"/>
      <c r="F42" s="4" t="s">
        <v>13</v>
      </c>
      <c r="G42" s="4" t="s">
        <v>14</v>
      </c>
      <c r="H42" s="4" t="s">
        <v>13</v>
      </c>
      <c r="I42" s="4" t="s">
        <v>14</v>
      </c>
      <c r="J42" s="4" t="s">
        <v>13</v>
      </c>
      <c r="K42" s="4" t="s">
        <v>14</v>
      </c>
      <c r="L42" s="4" t="s">
        <v>13</v>
      </c>
      <c r="M42" s="4" t="s">
        <v>14</v>
      </c>
      <c r="N42" s="4" t="s">
        <v>13</v>
      </c>
      <c r="O42" s="4" t="s">
        <v>14</v>
      </c>
      <c r="P42" s="13" t="s">
        <v>13</v>
      </c>
      <c r="Q42" s="13" t="s">
        <v>14</v>
      </c>
      <c r="R42" s="13" t="s">
        <v>13</v>
      </c>
      <c r="S42" s="13" t="s">
        <v>14</v>
      </c>
      <c r="T42" s="13" t="s">
        <v>13</v>
      </c>
      <c r="U42" s="13" t="s">
        <v>14</v>
      </c>
      <c r="V42" s="13" t="s">
        <v>13</v>
      </c>
      <c r="W42" s="13" t="s">
        <v>14</v>
      </c>
      <c r="X42" s="13" t="s">
        <v>13</v>
      </c>
      <c r="Y42" s="13" t="s">
        <v>14</v>
      </c>
      <c r="Z42" s="4" t="s">
        <v>13</v>
      </c>
      <c r="AA42" s="4" t="s">
        <v>14</v>
      </c>
      <c r="AB42" s="4" t="s">
        <v>13</v>
      </c>
      <c r="AC42" s="4" t="s">
        <v>14</v>
      </c>
      <c r="AD42" s="4" t="s">
        <v>13</v>
      </c>
      <c r="AE42" s="4" t="s">
        <v>14</v>
      </c>
      <c r="AF42" s="4" t="s">
        <v>13</v>
      </c>
      <c r="AG42" s="4" t="s">
        <v>14</v>
      </c>
      <c r="AH42" s="4" t="s">
        <v>13</v>
      </c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 s="15"/>
      <c r="BO42"/>
      <c r="BP42"/>
      <c r="BQ42"/>
      <c r="BR42"/>
      <c r="BS42"/>
      <c r="BT42"/>
      <c r="BU42"/>
      <c r="BV42"/>
      <c r="BW42"/>
      <c r="BX42"/>
      <c r="BY42"/>
      <c r="BZ42"/>
    </row>
    <row r="43" spans="1:78" s="57" customFormat="1" x14ac:dyDescent="0.25">
      <c r="A43" s="45"/>
      <c r="B43" s="15"/>
      <c r="C43"/>
      <c r="D43"/>
      <c r="E43" s="44">
        <v>1</v>
      </c>
      <c r="F43" s="124">
        <v>46250.347905092596</v>
      </c>
      <c r="G43" s="124">
        <v>46250.973101851851</v>
      </c>
      <c r="H43" s="131">
        <v>46251.345891203702</v>
      </c>
      <c r="I43" s="124">
        <v>46251.971030092594</v>
      </c>
      <c r="J43" s="124">
        <v>46252.346273148149</v>
      </c>
      <c r="K43" s="124">
        <v>46252.969131944446</v>
      </c>
      <c r="L43" s="124">
        <v>46253.351967592593</v>
      </c>
      <c r="M43" s="124">
        <v>1</v>
      </c>
      <c r="N43" s="124">
        <v>46254.342499999999</v>
      </c>
      <c r="O43" s="124">
        <v>46254.989374999997</v>
      </c>
      <c r="P43" s="126" t="s">
        <v>15</v>
      </c>
      <c r="Q43" s="126" t="s">
        <v>15</v>
      </c>
      <c r="R43" s="124">
        <v>46256.350752314815</v>
      </c>
      <c r="S43" s="124">
        <v>46256.987256944441</v>
      </c>
      <c r="T43" s="124">
        <v>46257.347453703704</v>
      </c>
      <c r="U43" s="124">
        <v>46257.967719907407</v>
      </c>
      <c r="V43" s="124">
        <v>46258.344155092593</v>
      </c>
      <c r="W43" s="124">
        <v>46258.964699074073</v>
      </c>
      <c r="X43" s="124">
        <v>46259.347719907404</v>
      </c>
      <c r="Y43" s="124">
        <v>46259.990902777776</v>
      </c>
      <c r="Z43" s="124">
        <v>46260.346608796295</v>
      </c>
      <c r="AA43" s="124">
        <v>46260.979363425926</v>
      </c>
      <c r="AB43" s="124">
        <v>46261.34716435185</v>
      </c>
      <c r="AC43" s="124">
        <v>46261.987210648149</v>
      </c>
      <c r="AD43" s="124">
        <v>46262.579305555555</v>
      </c>
      <c r="AE43" s="124">
        <v>46262.981481481482</v>
      </c>
      <c r="AF43" s="124">
        <v>46263.34957175926</v>
      </c>
      <c r="AG43" s="124">
        <v>46263.984039351853</v>
      </c>
      <c r="AH43" s="124">
        <v>46264.338113425925</v>
      </c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 s="15"/>
      <c r="BO43"/>
      <c r="BP43"/>
      <c r="BQ43"/>
      <c r="BR43"/>
      <c r="BS43"/>
      <c r="BT43"/>
      <c r="BU43"/>
      <c r="BV43"/>
      <c r="BW43"/>
      <c r="BX43"/>
      <c r="BY43"/>
      <c r="BZ43"/>
    </row>
  </sheetData>
  <mergeCells count="93">
    <mergeCell ref="F15:H15"/>
    <mergeCell ref="F40:G40"/>
    <mergeCell ref="H40:I40"/>
    <mergeCell ref="AF41:AG41"/>
    <mergeCell ref="E8:F8"/>
    <mergeCell ref="G8:H8"/>
    <mergeCell ref="E9:F9"/>
    <mergeCell ref="G9:H9"/>
    <mergeCell ref="T41:U41"/>
    <mergeCell ref="V41:W41"/>
    <mergeCell ref="X41:Y41"/>
    <mergeCell ref="Z41:AA41"/>
    <mergeCell ref="AB41:AC41"/>
    <mergeCell ref="AD41:AE41"/>
    <mergeCell ref="AD40:AE40"/>
    <mergeCell ref="AF40:AG40"/>
    <mergeCell ref="P41:Q41"/>
    <mergeCell ref="R41:S41"/>
    <mergeCell ref="R40:S40"/>
    <mergeCell ref="T40:U40"/>
    <mergeCell ref="V40:W40"/>
    <mergeCell ref="F41:G41"/>
    <mergeCell ref="H41:I41"/>
    <mergeCell ref="J41:K41"/>
    <mergeCell ref="L41:M41"/>
    <mergeCell ref="N41:O41"/>
    <mergeCell ref="J40:K40"/>
    <mergeCell ref="L40:M40"/>
    <mergeCell ref="N40:O40"/>
    <mergeCell ref="P40:Q40"/>
    <mergeCell ref="AA9:AB9"/>
    <mergeCell ref="X40:Y40"/>
    <mergeCell ref="Z40:AA40"/>
    <mergeCell ref="AB40:AC40"/>
    <mergeCell ref="AC9:AD9"/>
    <mergeCell ref="I9:J9"/>
    <mergeCell ref="K9:L9"/>
    <mergeCell ref="M9:N9"/>
    <mergeCell ref="O9:P9"/>
    <mergeCell ref="Q9:R9"/>
    <mergeCell ref="AE9:AF9"/>
    <mergeCell ref="AG9:AH9"/>
    <mergeCell ref="T13:T15"/>
    <mergeCell ref="U13:U14"/>
    <mergeCell ref="AG8:AH8"/>
    <mergeCell ref="S9:T9"/>
    <mergeCell ref="U9:V9"/>
    <mergeCell ref="W9:X9"/>
    <mergeCell ref="Y9:Z9"/>
    <mergeCell ref="U8:V8"/>
    <mergeCell ref="W8:X8"/>
    <mergeCell ref="Y8:Z8"/>
    <mergeCell ref="AA8:AB8"/>
    <mergeCell ref="AC8:AD8"/>
    <mergeCell ref="AE8:AF8"/>
    <mergeCell ref="AC4:AD4"/>
    <mergeCell ref="I8:J8"/>
    <mergeCell ref="K8:L8"/>
    <mergeCell ref="M8:N8"/>
    <mergeCell ref="O8:P8"/>
    <mergeCell ref="Q8:R8"/>
    <mergeCell ref="Q4:R4"/>
    <mergeCell ref="Y3:Z3"/>
    <mergeCell ref="AA3:AB3"/>
    <mergeCell ref="S8:T8"/>
    <mergeCell ref="W4:X4"/>
    <mergeCell ref="Y4:Z4"/>
    <mergeCell ref="AA4:AB4"/>
    <mergeCell ref="S4:T4"/>
    <mergeCell ref="U4:V4"/>
    <mergeCell ref="U3:V3"/>
    <mergeCell ref="W3:X3"/>
    <mergeCell ref="G4:H4"/>
    <mergeCell ref="I4:J4"/>
    <mergeCell ref="K4:L4"/>
    <mergeCell ref="M4:N4"/>
    <mergeCell ref="O4:P4"/>
    <mergeCell ref="AC3:AD3"/>
    <mergeCell ref="AE3:AF3"/>
    <mergeCell ref="A2:AH2"/>
    <mergeCell ref="A3:C4"/>
    <mergeCell ref="E3:F3"/>
    <mergeCell ref="G3:H3"/>
    <mergeCell ref="I3:J3"/>
    <mergeCell ref="K3:L3"/>
    <mergeCell ref="M3:N3"/>
    <mergeCell ref="O3:P3"/>
    <mergeCell ref="Q3:R3"/>
    <mergeCell ref="S3:T3"/>
    <mergeCell ref="AE4:AF4"/>
    <mergeCell ref="AG4:AH4"/>
    <mergeCell ref="AG3:AH3"/>
    <mergeCell ref="E4:F4"/>
  </mergeCells>
  <phoneticPr fontId="11" type="noConversion"/>
  <conditionalFormatting sqref="A2 E40:E41">
    <cfRule type="containsText" dxfId="125" priority="138" stopIfTrue="1" operator="containsText" text="SICK">
      <formula>NOT(ISERROR(SEARCH("SICK",A2)))</formula>
    </cfRule>
    <cfRule type="containsText" dxfId="124" priority="137" stopIfTrue="1" operator="containsText" text="FL">
      <formula>NOT(ISERROR(SEARCH("FL",A2)))</formula>
    </cfRule>
    <cfRule type="containsText" dxfId="123" priority="136" stopIfTrue="1" operator="containsText" text="AB">
      <formula>NOT(ISERROR(SEARCH("AB",A2)))</formula>
    </cfRule>
    <cfRule type="containsText" dxfId="122" priority="135" stopIfTrue="1" operator="containsText" text="EL">
      <formula>NOT(ISERROR(SEARCH("EL",A2)))</formula>
    </cfRule>
    <cfRule type="containsText" dxfId="121" priority="133" stopIfTrue="1" operator="containsText" text="SP">
      <formula>NOT(ISERROR(SEARCH("SP",A2)))</formula>
    </cfRule>
    <cfRule type="containsText" dxfId="120" priority="134" stopIfTrue="1" operator="containsText" text="AL">
      <formula>NOT(ISERROR(SEARCH("AL",A2)))</formula>
    </cfRule>
  </conditionalFormatting>
  <conditionalFormatting sqref="A1:BN1 A3:D5 A6 T13 T16 E42:AH42">
    <cfRule type="containsText" dxfId="119" priority="61" stopIfTrue="1" operator="containsText" text="SP">
      <formula>NOT(ISERROR(SEARCH("SP",A1)))</formula>
    </cfRule>
    <cfRule type="containsText" dxfId="118" priority="62" stopIfTrue="1" operator="containsText" text="AL">
      <formula>NOT(ISERROR(SEARCH("AL",A1)))</formula>
    </cfRule>
    <cfRule type="containsText" dxfId="117" priority="63" stopIfTrue="1" operator="containsText" text="EL">
      <formula>NOT(ISERROR(SEARCH("EL",A1)))</formula>
    </cfRule>
    <cfRule type="containsText" dxfId="116" priority="64" stopIfTrue="1" operator="containsText" text="AB">
      <formula>NOT(ISERROR(SEARCH("AB",A1)))</formula>
    </cfRule>
    <cfRule type="containsText" dxfId="115" priority="65" stopIfTrue="1" operator="containsText" text="FL">
      <formula>NOT(ISERROR(SEARCH("FL",A1)))</formula>
    </cfRule>
    <cfRule type="containsText" dxfId="114" priority="66" stopIfTrue="1" operator="containsText" text="SICK">
      <formula>NOT(ISERROR(SEARCH("SICK",A1)))</formula>
    </cfRule>
  </conditionalFormatting>
  <conditionalFormatting sqref="C6">
    <cfRule type="duplicateValues" dxfId="113" priority="1"/>
    <cfRule type="duplicateValues" dxfId="112" priority="2"/>
    <cfRule type="duplicateValues" dxfId="111" priority="3"/>
    <cfRule type="duplicateValues" dxfId="110" priority="4"/>
    <cfRule type="duplicateValues" dxfId="109" priority="5"/>
  </conditionalFormatting>
  <conditionalFormatting sqref="C28:C30">
    <cfRule type="duplicateValues" dxfId="108" priority="153"/>
  </conditionalFormatting>
  <conditionalFormatting sqref="C28:C35">
    <cfRule type="duplicateValues" dxfId="107" priority="152"/>
  </conditionalFormatting>
  <conditionalFormatting sqref="C28:C1048576 C1 C3:C5">
    <cfRule type="duplicateValues" dxfId="106" priority="154"/>
  </conditionalFormatting>
  <conditionalFormatting sqref="C28:C1048576 C1 C7:C11 C3:C5">
    <cfRule type="duplicateValues" dxfId="105" priority="155"/>
  </conditionalFormatting>
  <conditionalFormatting sqref="C28:D1048576 C1:D1 C7:D8 C9:C11 C3:D5">
    <cfRule type="duplicateValues" dxfId="104" priority="156"/>
  </conditionalFormatting>
  <conditionalFormatting sqref="D6">
    <cfRule type="duplicateValues" dxfId="103" priority="67"/>
    <cfRule type="timePeriod" priority="59" timePeriod="nextWeek">
      <formula>AND(ROUNDDOWN(D6,0)-TODAY()&gt;(7-WEEKDAY(TODAY())),ROUNDDOWN(D6,0)-TODAY()&lt;(15-WEEKDAY(TODAY())))</formula>
    </cfRule>
    <cfRule type="timePeriod" dxfId="102" priority="60" timePeriod="nextWeek">
      <formula>AND(ROUNDDOWN(D6,0)-TODAY()&gt;(7-WEEKDAY(TODAY())),ROUNDDOWN(D6,0)-TODAY()&lt;(15-WEEKDAY(TODAY())))</formula>
    </cfRule>
  </conditionalFormatting>
  <conditionalFormatting sqref="E43">
    <cfRule type="containsText" dxfId="101" priority="49" operator="containsText" text="EL">
      <formula>NOT(ISERROR(SEARCH("EL",E43)))</formula>
    </cfRule>
    <cfRule type="containsText" dxfId="100" priority="50" operator="containsText" text="SP">
      <formula>NOT(ISERROR(SEARCH("SP",E43)))</formula>
    </cfRule>
    <cfRule type="containsText" dxfId="99" priority="51" operator="containsText" text="NL">
      <formula>NOT(ISERROR(SEARCH("NL",E43)))</formula>
    </cfRule>
    <cfRule type="containsText" dxfId="98" priority="52" operator="containsText" text="SUS">
      <formula>NOT(ISERROR(SEARCH("SUS",E43)))</formula>
    </cfRule>
    <cfRule type="containsText" dxfId="97" priority="53" operator="containsText" text="FL">
      <formula>NOT(ISERROR(SEARCH("FL",E43)))</formula>
    </cfRule>
    <cfRule type="containsText" dxfId="96" priority="54" operator="containsText" text="MC">
      <formula>NOT(ISERROR(SEARCH("MC",E43)))</formula>
    </cfRule>
    <cfRule type="containsText" dxfId="95" priority="55" operator="containsText" text="AB">
      <formula>NOT(ISERROR(SEARCH("AB",E43)))</formula>
    </cfRule>
    <cfRule type="containsText" dxfId="94" priority="56" operator="containsText" text="Sick">
      <formula>NOT(ISERROR(SEARCH("Sick",E43)))</formula>
    </cfRule>
    <cfRule type="containsText" dxfId="93" priority="57" operator="containsText" text="OFF">
      <formula>NOT(ISERROR(SEARCH("OFF",E43)))</formula>
    </cfRule>
    <cfRule type="containsText" dxfId="92" priority="58" operator="containsText" text="AL">
      <formula>NOT(ISERROR(SEARCH("AL",E43)))</formula>
    </cfRule>
  </conditionalFormatting>
  <conditionalFormatting sqref="E5:AH5">
    <cfRule type="containsText" dxfId="91" priority="38" stopIfTrue="1" operator="containsText" text="FL">
      <formula>NOT(ISERROR(SEARCH("FL",E5)))</formula>
    </cfRule>
    <cfRule type="containsText" dxfId="90" priority="34" stopIfTrue="1" operator="containsText" text="SP">
      <formula>NOT(ISERROR(SEARCH("SP",E5)))</formula>
    </cfRule>
    <cfRule type="containsText" dxfId="89" priority="35" stopIfTrue="1" operator="containsText" text="AL">
      <formula>NOT(ISERROR(SEARCH("AL",E5)))</formula>
    </cfRule>
    <cfRule type="containsText" dxfId="88" priority="36" stopIfTrue="1" operator="containsText" text="EL">
      <formula>NOT(ISERROR(SEARCH("EL",E5)))</formula>
    </cfRule>
    <cfRule type="containsText" dxfId="87" priority="37" stopIfTrue="1" operator="containsText" text="AB">
      <formula>NOT(ISERROR(SEARCH("AB",E5)))</formula>
    </cfRule>
    <cfRule type="containsText" dxfId="86" priority="39" stopIfTrue="1" operator="containsText" text="SICK">
      <formula>NOT(ISERROR(SEARCH("SICK",E5)))</formula>
    </cfRule>
  </conditionalFormatting>
  <conditionalFormatting sqref="E10:AH10">
    <cfRule type="containsText" dxfId="85" priority="20" stopIfTrue="1" operator="containsText" text="AL">
      <formula>NOT(ISERROR(SEARCH("AL",E10)))</formula>
    </cfRule>
    <cfRule type="containsText" dxfId="84" priority="21" stopIfTrue="1" operator="containsText" text="EL">
      <formula>NOT(ISERROR(SEARCH("EL",E10)))</formula>
    </cfRule>
    <cfRule type="containsText" dxfId="83" priority="22" stopIfTrue="1" operator="containsText" text="AB">
      <formula>NOT(ISERROR(SEARCH("AB",E10)))</formula>
    </cfRule>
    <cfRule type="containsText" dxfId="82" priority="23" stopIfTrue="1" operator="containsText" text="FL">
      <formula>NOT(ISERROR(SEARCH("FL",E10)))</formula>
    </cfRule>
    <cfRule type="containsText" dxfId="81" priority="19" stopIfTrue="1" operator="containsText" text="SP">
      <formula>NOT(ISERROR(SEARCH("SP",E10)))</formula>
    </cfRule>
    <cfRule type="containsText" dxfId="80" priority="24" stopIfTrue="1" operator="containsText" text="SICK">
      <formula>NOT(ISERROR(SEARCH("SICK",E10)))</formula>
    </cfRule>
  </conditionalFormatting>
  <conditionalFormatting sqref="M24:AB27">
    <cfRule type="containsText" dxfId="79" priority="141" stopIfTrue="1" operator="containsText" text="SP">
      <formula>NOT(ISERROR(SEARCH("SP",M24)))</formula>
    </cfRule>
    <cfRule type="containsText" dxfId="78" priority="143" stopIfTrue="1" operator="containsText" text="SICK">
      <formula>NOT(ISERROR(SEARCH("SICK",M24)))</formula>
    </cfRule>
    <cfRule type="containsText" priority="142" stopIfTrue="1" operator="containsText" text="SP">
      <formula>NOT(ISERROR(SEARCH("SP",M24)))</formula>
    </cfRule>
    <cfRule type="containsText" dxfId="77" priority="140" stopIfTrue="1" operator="containsText" text="SICK">
      <formula>NOT(ISERROR(SEARCH("SICK",M24)))</formula>
    </cfRule>
    <cfRule type="containsText" dxfId="76" priority="139" stopIfTrue="1" operator="containsText" text="AB">
      <formula>NOT(ISERROR(SEARCH("AB",M24)))</formula>
    </cfRule>
  </conditionalFormatting>
  <conditionalFormatting sqref="U13">
    <cfRule type="cellIs" dxfId="75" priority="150" operator="equal">
      <formula>";"</formula>
    </cfRule>
  </conditionalFormatting>
  <conditionalFormatting sqref="U16">
    <cfRule type="cellIs" dxfId="74" priority="151" stopIfTrue="1" operator="equal">
      <formula>";"</formula>
    </cfRule>
  </conditionalFormatting>
  <conditionalFormatting sqref="W15">
    <cfRule type="containsText" dxfId="73" priority="120" operator="containsText" text="FL">
      <formula>NOT(ISERROR(SEARCH("FL",W15)))</formula>
    </cfRule>
    <cfRule type="containsText" dxfId="72" priority="119" operator="containsText" text="SUS">
      <formula>NOT(ISERROR(SEARCH("SUS",W15)))</formula>
    </cfRule>
    <cfRule type="containsText" dxfId="71" priority="123" operator="containsText" text="Sick">
      <formula>NOT(ISERROR(SEARCH("Sick",W15)))</formula>
    </cfRule>
    <cfRule type="containsText" dxfId="70" priority="122" operator="containsText" text="AB">
      <formula>NOT(ISERROR(SEARCH("AB",W15)))</formula>
    </cfRule>
    <cfRule type="containsText" dxfId="69" priority="121" operator="containsText" text="MC">
      <formula>NOT(ISERROR(SEARCH("MC",W15)))</formula>
    </cfRule>
    <cfRule type="containsText" dxfId="68" priority="125" operator="containsText" text="AL">
      <formula>NOT(ISERROR(SEARCH("AL",W15)))</formula>
    </cfRule>
    <cfRule type="containsText" dxfId="67" priority="124" operator="containsText" text="OFF">
      <formula>NOT(ISERROR(SEARCH("OFF",W15)))</formula>
    </cfRule>
  </conditionalFormatting>
  <conditionalFormatting sqref="W15:X15">
    <cfRule type="containsText" dxfId="66" priority="80" operator="containsText" text="AB">
      <formula>NOT(ISERROR(SEARCH("AB",W15)))</formula>
    </cfRule>
  </conditionalFormatting>
  <conditionalFormatting sqref="W15:AB15">
    <cfRule type="containsText" dxfId="65" priority="68" operator="containsText" text="EL">
      <formula>NOT(ISERROR(SEARCH("EL",W15)))</formula>
    </cfRule>
  </conditionalFormatting>
  <conditionalFormatting sqref="X15">
    <cfRule type="containsText" dxfId="64" priority="79" operator="containsText" text="MC">
      <formula>NOT(ISERROR(SEARCH("MC",X15)))</formula>
    </cfRule>
    <cfRule type="containsText" dxfId="63" priority="78" operator="containsText" text="FL">
      <formula>NOT(ISERROR(SEARCH("FL",X15)))</formula>
    </cfRule>
    <cfRule type="containsText" dxfId="62" priority="81" operator="containsText" text="Sick">
      <formula>NOT(ISERROR(SEARCH("Sick",X15)))</formula>
    </cfRule>
    <cfRule type="containsText" dxfId="61" priority="77" operator="containsText" text="SUS">
      <formula>NOT(ISERROR(SEARCH("SUS",X15)))</formula>
    </cfRule>
    <cfRule type="containsText" dxfId="60" priority="83" operator="containsText" text="AL">
      <formula>NOT(ISERROR(SEARCH("AL",X15)))</formula>
    </cfRule>
    <cfRule type="containsText" dxfId="59" priority="82" operator="containsText" text="OFF">
      <formula>NOT(ISERROR(SEARCH("OFF",X15)))</formula>
    </cfRule>
  </conditionalFormatting>
  <conditionalFormatting sqref="X15:Y15">
    <cfRule type="containsText" dxfId="58" priority="73" operator="containsText" text="AB">
      <formula>NOT(ISERROR(SEARCH("AB",X15)))</formula>
    </cfRule>
  </conditionalFormatting>
  <conditionalFormatting sqref="Y15">
    <cfRule type="containsText" dxfId="57" priority="74" operator="containsText" text="Sick">
      <formula>NOT(ISERROR(SEARCH("Sick",Y15)))</formula>
    </cfRule>
    <cfRule type="containsText" dxfId="56" priority="75" operator="containsText" text="OFF">
      <formula>NOT(ISERROR(SEARCH("OFF",Y15)))</formula>
    </cfRule>
    <cfRule type="containsText" dxfId="55" priority="76" operator="containsText" text="AL">
      <formula>NOT(ISERROR(SEARCH("AL",Y15)))</formula>
    </cfRule>
    <cfRule type="containsText" dxfId="54" priority="69" operator="containsText" text="AB">
      <formula>NOT(ISERROR(SEARCH("AB",Y15)))</formula>
    </cfRule>
    <cfRule type="containsText" dxfId="53" priority="70" operator="containsText" text="SUS">
      <formula>NOT(ISERROR(SEARCH("SUS",Y15)))</formula>
    </cfRule>
    <cfRule type="containsText" dxfId="52" priority="71" operator="containsText" text="FL">
      <formula>NOT(ISERROR(SEARCH("FL",Y15)))</formula>
    </cfRule>
    <cfRule type="containsText" dxfId="51" priority="72" operator="containsText" text="MC">
      <formula>NOT(ISERROR(SEARCH("MC",Y15)))</formula>
    </cfRule>
  </conditionalFormatting>
  <conditionalFormatting sqref="Z15">
    <cfRule type="containsText" dxfId="50" priority="129" operator="containsText" text="AB">
      <formula>NOT(ISERROR(SEARCH("AB",Z15)))</formula>
    </cfRule>
    <cfRule type="containsText" dxfId="49" priority="130" operator="containsText" text="Sick">
      <formula>NOT(ISERROR(SEARCH("Sick",Z15)))</formula>
    </cfRule>
    <cfRule type="containsText" dxfId="48" priority="131" operator="containsText" text="OFF">
      <formula>NOT(ISERROR(SEARCH("OFF",Z15)))</formula>
    </cfRule>
    <cfRule type="containsText" dxfId="47" priority="132" operator="containsText" text="AL">
      <formula>NOT(ISERROR(SEARCH("AL",Z15)))</formula>
    </cfRule>
    <cfRule type="containsText" dxfId="46" priority="128" operator="containsText" text="MC">
      <formula>NOT(ISERROR(SEARCH("MC",Z15)))</formula>
    </cfRule>
    <cfRule type="containsText" dxfId="45" priority="126" operator="containsText" text="SUS">
      <formula>NOT(ISERROR(SEARCH("SUS",Z15)))</formula>
    </cfRule>
    <cfRule type="containsText" dxfId="44" priority="127" operator="containsText" text="FL">
      <formula>NOT(ISERROR(SEARCH("FL",Z15)))</formula>
    </cfRule>
  </conditionalFormatting>
  <conditionalFormatting sqref="Z43:AA43">
    <cfRule type="containsText" dxfId="43" priority="41" operator="containsText" text="AB">
      <formula>NOT(ISERROR(SEARCH("AB",Z43)))</formula>
    </cfRule>
    <cfRule type="containsText" dxfId="42" priority="42" operator="containsText" text="SUS">
      <formula>NOT(ISERROR(SEARCH("SUS",Z43)))</formula>
    </cfRule>
    <cfRule type="containsText" dxfId="41" priority="43" operator="containsText" text="FL">
      <formula>NOT(ISERROR(SEARCH("FL",Z43)))</formula>
    </cfRule>
    <cfRule type="containsText" dxfId="40" priority="44" operator="containsText" text="MC">
      <formula>NOT(ISERROR(SEARCH("MC",Z43)))</formula>
    </cfRule>
    <cfRule type="containsText" dxfId="39" priority="45" operator="containsText" text="AB">
      <formula>NOT(ISERROR(SEARCH("AB",Z43)))</formula>
    </cfRule>
    <cfRule type="containsText" dxfId="38" priority="46" operator="containsText" text="Sick">
      <formula>NOT(ISERROR(SEARCH("Sick",Z43)))</formula>
    </cfRule>
    <cfRule type="containsText" dxfId="37" priority="47" operator="containsText" text="OFF">
      <formula>NOT(ISERROR(SEARCH("OFF",Z43)))</formula>
    </cfRule>
    <cfRule type="containsText" dxfId="36" priority="48" operator="containsText" text="AL">
      <formula>NOT(ISERROR(SEARCH("AL",Z43)))</formula>
    </cfRule>
    <cfRule type="containsText" dxfId="35" priority="40" operator="containsText" text="EL">
      <formula>NOT(ISERROR(SEARCH("EL",Z43)))</formula>
    </cfRule>
  </conditionalFormatting>
  <conditionalFormatting sqref="Z15:AB15">
    <cfRule type="containsText" dxfId="34" priority="88" operator="containsText" text="AB">
      <formula>NOT(ISERROR(SEARCH("AB",Z15)))</formula>
    </cfRule>
  </conditionalFormatting>
  <conditionalFormatting sqref="AA15">
    <cfRule type="containsText" dxfId="33" priority="87" operator="containsText" text="MC">
      <formula>NOT(ISERROR(SEARCH("MC",AA15)))</formula>
    </cfRule>
    <cfRule type="containsText" dxfId="32" priority="85" operator="containsText" text="SUS">
      <formula>NOT(ISERROR(SEARCH("SUS",AA15)))</formula>
    </cfRule>
    <cfRule type="containsText" dxfId="31" priority="84" operator="containsText" text="AB">
      <formula>NOT(ISERROR(SEARCH("AB",AA15)))</formula>
    </cfRule>
    <cfRule type="containsText" dxfId="30" priority="86" operator="containsText" text="FL">
      <formula>NOT(ISERROR(SEARCH("FL",AA15)))</formula>
    </cfRule>
    <cfRule type="containsText" dxfId="29" priority="89" operator="containsText" text="Sick">
      <formula>NOT(ISERROR(SEARCH("Sick",AA15)))</formula>
    </cfRule>
    <cfRule type="containsText" dxfId="28" priority="90" operator="containsText" text="OFF">
      <formula>NOT(ISERROR(SEARCH("OFF",AA15)))</formula>
    </cfRule>
    <cfRule type="containsText" dxfId="27" priority="91" operator="containsText" text="AL">
      <formula>NOT(ISERROR(SEARCH("AL",AA15)))</formula>
    </cfRule>
  </conditionalFormatting>
  <conditionalFormatting sqref="AB15">
    <cfRule type="containsText" dxfId="26" priority="94" operator="containsText" text="MC">
      <formula>NOT(ISERROR(SEARCH("MC",AB15)))</formula>
    </cfRule>
    <cfRule type="containsText" dxfId="25" priority="98" operator="containsText" text="AL">
      <formula>NOT(ISERROR(SEARCH("AL",AB15)))</formula>
    </cfRule>
    <cfRule type="containsText" dxfId="24" priority="93" operator="containsText" text="FL">
      <formula>NOT(ISERROR(SEARCH("FL",AB15)))</formula>
    </cfRule>
    <cfRule type="containsText" dxfId="23" priority="97" operator="containsText" text="OFF">
      <formula>NOT(ISERROR(SEARCH("OFF",AB15)))</formula>
    </cfRule>
    <cfRule type="containsText" dxfId="22" priority="96" operator="containsText" text="Sick">
      <formula>NOT(ISERROR(SEARCH("Sick",AB15)))</formula>
    </cfRule>
    <cfRule type="containsText" dxfId="21" priority="92" operator="containsText" text="SUS">
      <formula>NOT(ISERROR(SEARCH("SUS",AB15)))</formula>
    </cfRule>
    <cfRule type="containsText" dxfId="20" priority="95" operator="containsText" text="AB">
      <formula>NOT(ISERROR(SEARCH("AB",AB15)))</formula>
    </cfRule>
  </conditionalFormatting>
  <conditionalFormatting sqref="AC15">
    <cfRule type="containsText" dxfId="19" priority="111" operator="containsText" text="SUS">
      <formula>NOT(ISERROR(SEARCH("SUS",AC15)))</formula>
    </cfRule>
    <cfRule type="containsText" dxfId="18" priority="113" operator="containsText" text="EL">
      <formula>NOT(ISERROR(SEARCH("EL",AC15)))</formula>
    </cfRule>
    <cfRule type="containsText" dxfId="17" priority="109" operator="containsText" text="SP">
      <formula>NOT(ISERROR(SEARCH("SP",AC15)))</formula>
    </cfRule>
    <cfRule type="containsText" dxfId="16" priority="110" operator="containsText" text="NL">
      <formula>NOT(ISERROR(SEARCH("NL",AC15)))</formula>
    </cfRule>
    <cfRule type="containsText" dxfId="15" priority="115" operator="containsText" text="OFF">
      <formula>NOT(ISERROR(SEARCH("OFF",AC15)))</formula>
    </cfRule>
    <cfRule type="containsText" dxfId="14" priority="112" operator="containsText" text="FL">
      <formula>NOT(ISERROR(SEARCH("FL",AC15)))</formula>
    </cfRule>
    <cfRule type="containsText" dxfId="13" priority="117" operator="containsText" text="SICK">
      <formula>NOT(ISERROR(SEARCH("SICK",AC15)))</formula>
    </cfRule>
    <cfRule type="containsText" dxfId="12" priority="116" operator="containsText" text="AB">
      <formula>NOT(ISERROR(SEARCH("AB",AC15)))</formula>
    </cfRule>
    <cfRule type="containsText" dxfId="11" priority="114" operator="containsText" text="MC">
      <formula>NOT(ISERROR(SEARCH("MC",AC15)))</formula>
    </cfRule>
    <cfRule type="containsText" dxfId="10" priority="118" operator="containsText" text="AL">
      <formula>NOT(ISERROR(SEARCH("AL",AC15)))</formula>
    </cfRule>
  </conditionalFormatting>
  <conditionalFormatting sqref="AE15:AG15">
    <cfRule type="containsText" dxfId="9" priority="106" operator="containsText" text="AB">
      <formula>NOT(ISERROR(SEARCH("AB",AE15)))</formula>
    </cfRule>
    <cfRule type="containsText" dxfId="8" priority="107" operator="containsText" text="SICK">
      <formula>NOT(ISERROR(SEARCH("SICK",AE15)))</formula>
    </cfRule>
    <cfRule type="containsText" dxfId="7" priority="105" operator="containsText" text="OFF">
      <formula>NOT(ISERROR(SEARCH("OFF",AE15)))</formula>
    </cfRule>
    <cfRule type="containsText" dxfId="6" priority="108" operator="containsText" text="AL">
      <formula>NOT(ISERROR(SEARCH("AL",AE15)))</formula>
    </cfRule>
    <cfRule type="containsText" dxfId="5" priority="99" operator="containsText" text="SP">
      <formula>NOT(ISERROR(SEARCH("SP",AE15)))</formula>
    </cfRule>
    <cfRule type="containsText" dxfId="4" priority="100" operator="containsText" text="NL">
      <formula>NOT(ISERROR(SEARCH("NL",AE15)))</formula>
    </cfRule>
    <cfRule type="containsText" dxfId="3" priority="101" operator="containsText" text="SUS">
      <formula>NOT(ISERROR(SEARCH("SUS",AE15)))</formula>
    </cfRule>
    <cfRule type="containsText" dxfId="2" priority="102" operator="containsText" text="FL">
      <formula>NOT(ISERROR(SEARCH("FL",AE15)))</formula>
    </cfRule>
    <cfRule type="containsText" dxfId="1" priority="103" operator="containsText" text="EL">
      <formula>NOT(ISERROR(SEARCH("EL",AE15)))</formula>
    </cfRule>
    <cfRule type="containsText" dxfId="0" priority="104" operator="containsText" text="MC">
      <formula>NOT(ISERROR(SEARCH("MC",AE15)))</formula>
    </cfRule>
  </conditionalFormatting>
  <pageMargins left="0.7" right="0.7" top="0.75" bottom="0.75" header="0.3" footer="0.3"/>
  <pageSetup paperSize="9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</vt:lpstr>
      <vt:lpstr>Mithu</vt:lpstr>
      <vt:lpstr>Masom</vt:lpstr>
      <vt:lpstr>Anwar</vt:lpstr>
      <vt:lpstr>Rinosan</vt:lpstr>
      <vt:lpstr>Alisan</vt:lpstr>
      <vt:lpstr>Thirubhuwan</vt:lpstr>
      <vt:lpstr>Manikandhan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2026-10-05T11:33:00Z</cp:lastPrinted>
  <dcterms:created xsi:type="dcterms:W3CDTF">2025-11-02T11:29:49Z</dcterms:created>
  <dcterms:modified xsi:type="dcterms:W3CDTF">2026-10-30T10:01:34Z</dcterms:modified>
</cp:coreProperties>
</file>