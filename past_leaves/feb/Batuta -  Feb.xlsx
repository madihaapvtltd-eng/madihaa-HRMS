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feb\"/>
    </mc:Choice>
  </mc:AlternateContent>
  <xr:revisionPtr revIDLastSave="0" documentId="8_{3A658BA0-5039-49B5-9285-AB352AD5388A}" xr6:coauthVersionLast="47" xr6:coauthVersionMax="47" xr10:uidLastSave="{00000000-0000-0000-0000-000000000000}"/>
  <bookViews>
    <workbookView xWindow="-120" yWindow="-120" windowWidth="29040" windowHeight="15840" tabRatio="605" xr2:uid="{8B529D28-677B-4248-8BFD-D731CA8DB518}"/>
  </bookViews>
  <sheets>
    <sheet name="MASTER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6" i="4" l="1"/>
  <c r="BJ6" i="4"/>
  <c r="BK6" i="4"/>
  <c r="BL6" i="4"/>
  <c r="BM6" i="4"/>
  <c r="BN6" i="4"/>
  <c r="BO6" i="4"/>
  <c r="BP6" i="4"/>
  <c r="BQ6" i="4"/>
  <c r="BR6" i="4"/>
  <c r="BS6" i="4"/>
  <c r="BT6" i="4"/>
  <c r="BI7" i="4"/>
  <c r="BJ7" i="4"/>
  <c r="BK7" i="4"/>
  <c r="BL7" i="4"/>
  <c r="BM7" i="4"/>
  <c r="BN7" i="4"/>
  <c r="BO7" i="4"/>
  <c r="BP7" i="4"/>
  <c r="BQ7" i="4"/>
  <c r="BR7" i="4"/>
  <c r="BS7" i="4"/>
  <c r="BT7" i="4"/>
  <c r="BI8" i="4"/>
  <c r="BJ8" i="4"/>
  <c r="BK8" i="4"/>
  <c r="BL8" i="4"/>
  <c r="BM8" i="4"/>
  <c r="BN8" i="4"/>
  <c r="BO8" i="4"/>
  <c r="BP8" i="4"/>
  <c r="BQ8" i="4"/>
  <c r="BR8" i="4"/>
  <c r="BS8" i="4"/>
  <c r="BT8" i="4"/>
  <c r="BI9" i="4"/>
  <c r="BJ9" i="4"/>
  <c r="BK9" i="4"/>
  <c r="BL9" i="4"/>
  <c r="BM9" i="4"/>
  <c r="BN9" i="4"/>
  <c r="BO9" i="4"/>
  <c r="BP9" i="4"/>
  <c r="BQ9" i="4"/>
  <c r="BR9" i="4"/>
  <c r="BS9" i="4"/>
  <c r="BT9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H7" i="4" l="1"/>
  <c r="BH6" i="4"/>
  <c r="BH13" i="4"/>
  <c r="BH9" i="4"/>
  <c r="BH10" i="4"/>
  <c r="BH12" i="4"/>
  <c r="BH11" i="4"/>
  <c r="BH8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 l="1"/>
  <c r="BI5" i="4"/>
  <c r="BT5" i="4" l="1"/>
  <c r="BS5" i="4"/>
  <c r="BR5" i="4"/>
  <c r="BQ5" i="4"/>
  <c r="BP5" i="4"/>
  <c r="BO5" i="4"/>
  <c r="BN5" i="4"/>
  <c r="BM5" i="4"/>
  <c r="BL5" i="4"/>
  <c r="BK5" i="4"/>
  <c r="BJ5" i="4"/>
  <c r="BH5" i="4" l="1"/>
</calcChain>
</file>

<file path=xl/sharedStrings.xml><?xml version="1.0" encoding="utf-8"?>
<sst xmlns="http://schemas.openxmlformats.org/spreadsheetml/2006/main" count="204" uniqueCount="69">
  <si>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</si>
  <si>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</si>
  <si>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</si>
  <si>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</si>
  <si>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</si>
  <si>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</si>
  <si>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</si>
  <si>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</si>
  <si>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</si>
  <si>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</si>
  <si>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</si>
  <si>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</si>
  <si>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</si>
  <si>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</si>
  <si>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</si>
  <si>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</si>
  <si>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</si>
  <si>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</si>
  <si>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</si>
  <si>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</si>
  <si>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</si>
  <si>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</si>
  <si>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</si>
  <si>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</si>
  <si>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</si>
  <si>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</si>
  <si>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MAD0500</t>
  </si>
  <si>
    <t>Ahmed Munawwaru</t>
  </si>
  <si>
    <t>MAD0661</t>
  </si>
  <si>
    <t>Jose Francis</t>
  </si>
  <si>
    <t>MAD0502</t>
  </si>
  <si>
    <t>Kamaludhdheen</t>
  </si>
  <si>
    <t>MAD0503</t>
  </si>
  <si>
    <t>Imamudhdheen</t>
  </si>
  <si>
    <t>MAD0702</t>
  </si>
  <si>
    <t>Mehedi Hasan Emon</t>
  </si>
  <si>
    <t>MAD0553</t>
  </si>
  <si>
    <t>Ajith Paul Raj</t>
  </si>
  <si>
    <t>MAD0665</t>
  </si>
  <si>
    <t>Saroj Raut</t>
  </si>
  <si>
    <t>Prepared By:</t>
  </si>
  <si>
    <t>Checked By:</t>
  </si>
  <si>
    <t xml:space="preserve"> </t>
  </si>
  <si>
    <t>Approved By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</si>
  <si>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</si>
  <si>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</si>
  <si>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</si>
  <si>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</si>
  <si>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</si>
  <si>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</si>
  <si>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</si>
  <si>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</si>
  <si>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</si>
  <si>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>Hussain Mahir</t>
  </si>
  <si>
    <t>Moosa Ahmed</t>
  </si>
  <si>
    <t>Suspended</t>
  </si>
  <si>
    <t>Special Leave</t>
  </si>
  <si>
    <t>HR Executive</t>
  </si>
  <si>
    <t>Office Manager</t>
  </si>
  <si>
    <t>Chairman</t>
  </si>
  <si>
    <t>Family Leave</t>
  </si>
  <si>
    <t>Abu Moosa</t>
  </si>
  <si>
    <t>MAD0501</t>
  </si>
  <si>
    <t>MAD0734</t>
  </si>
  <si>
    <t>MD Morsalin</t>
  </si>
  <si>
    <t>MAD0738</t>
  </si>
  <si>
    <t>Rabbir hossain</t>
  </si>
  <si>
    <t>Attendance for FEBRUARY 2026 - BATUTA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</si>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</sst>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b/>
      <sz val="12"/>
      <name val="Segoe UI"/>
      <family val="2"/>
    </font>
    <font>
      <sz val="1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.9"/>
      <name val="Arial"/>
      <family val="2"/>
    </font>
    <font>
      <sz val="9.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5" fillId="6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12" fillId="0" borderId="0" xfId="0" applyNumberFormat="1" applyFont="1" applyAlignment="1">
      <alignment horizontal="center" vertical="center" wrapText="1"/>
    </xf>
    <xf numFmtId="0" fontId="13" fillId="9" borderId="0" xfId="0" applyFont="1" applyFill="1" applyAlignment="1">
      <alignment vertical="center"/>
    </xf>
    <xf numFmtId="0" fontId="13" fillId="9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10" borderId="0" xfId="0" applyFont="1" applyFill="1" applyAlignment="1">
      <alignment vertical="center"/>
    </xf>
    <xf numFmtId="0" fontId="13" fillId="10" borderId="0" xfId="0" applyFont="1" applyFill="1" applyAlignment="1">
      <alignment horizontal="left" vertical="center"/>
    </xf>
    <xf numFmtId="0" fontId="8" fillId="10" borderId="0" xfId="0" applyFont="1" applyFill="1"/>
    <xf numFmtId="0" fontId="14" fillId="0" borderId="0" xfId="0" applyFont="1" applyAlignment="1">
      <alignment vertical="center"/>
    </xf>
    <xf numFmtId="0" fontId="10" fillId="0" borderId="0" xfId="0" applyFont="1"/>
    <xf numFmtId="165" fontId="11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49" fontId="13" fillId="10" borderId="0" xfId="0" applyNumberFormat="1" applyFont="1" applyFill="1" applyAlignment="1">
      <alignment vertical="center"/>
    </xf>
    <xf numFmtId="49" fontId="13" fillId="10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9" fillId="0" borderId="0" xfId="0" applyFont="1"/>
    <xf numFmtId="165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20" fontId="22" fillId="2" borderId="2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5" fontId="4" fillId="4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EB03-D27A-4FD2-8612-F4412D5D88C9}">
  <sheetPr>
    <pageSetUpPr fitToPage="1"/>
  </sheetPr>
  <dimension ref="A1:BU33"/>
  <sheetViews>
    <sheetView tabSelected="1" workbookViewId="0">
      <pane xSplit="3" ySplit="4" topLeftCell="AS5" activePane="bottomRight" state="frozen"/>
      <selection pane="topRight" activeCell="D1" sqref="D1"/>
      <selection pane="bottomLeft" activeCell="A5" sqref="A5"/>
      <selection pane="bottomRight" activeCell="A33" sqref="A33:XFD33"/>
    </sheetView>
  </sheetViews>
  <sheetFormatPr defaultRowHeight="15" x14ac:dyDescent="0.25"/>
  <cols>
    <col min="1" max="1" width="5.28515625" customWidth="1"/>
    <col min="2" max="2" width="10.85546875" customWidth="1"/>
    <col min="3" max="3" width="20.85546875" customWidth="1"/>
    <col min="4" max="59" width="6.7109375" customWidth="1"/>
    <col min="60" max="72" width="5.42578125" customWidth="1"/>
  </cols>
  <sheetData>
    <row r="1" spans="1:73" ht="23.25" customHeight="1" x14ac:dyDescent="0.25">
      <c r="A1" s="62" t="s">
        <v>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 t="s">
        <v>67</v>
      </c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</row>
    <row r="2" spans="1:73" s="46" customFormat="1" ht="19.5" customHeight="1" x14ac:dyDescent="0.25">
      <c r="A2" s="64" t="s">
        <v>0</v>
      </c>
      <c r="B2" s="64"/>
      <c r="C2" s="64"/>
      <c r="D2" s="61" t="s">
        <v>5</v>
      </c>
      <c r="E2" s="61"/>
      <c r="F2" s="61" t="s">
        <v>6</v>
      </c>
      <c r="G2" s="61"/>
      <c r="H2" s="61" t="s">
        <v>7</v>
      </c>
      <c r="I2" s="61"/>
      <c r="J2" s="61" t="s">
        <v>1</v>
      </c>
      <c r="K2" s="61"/>
      <c r="L2" s="61" t="s">
        <v>2</v>
      </c>
      <c r="M2" s="61"/>
      <c r="N2" s="61" t="s">
        <v>3</v>
      </c>
      <c r="O2" s="61"/>
      <c r="P2" s="61" t="s">
        <v>4</v>
      </c>
      <c r="Q2" s="61"/>
      <c r="R2" s="61" t="s">
        <v>5</v>
      </c>
      <c r="S2" s="61"/>
      <c r="T2" s="61" t="s">
        <v>6</v>
      </c>
      <c r="U2" s="61"/>
      <c r="V2" s="61" t="s">
        <v>7</v>
      </c>
      <c r="W2" s="61"/>
      <c r="X2" s="61" t="s">
        <v>1</v>
      </c>
      <c r="Y2" s="61"/>
      <c r="Z2" s="61" t="s">
        <v>2</v>
      </c>
      <c r="AA2" s="61"/>
      <c r="AB2" s="61" t="s">
        <v>3</v>
      </c>
      <c r="AC2" s="61"/>
      <c r="AD2" s="61" t="s">
        <v>4</v>
      </c>
      <c r="AE2" s="61"/>
      <c r="AF2" s="61" t="s">
        <v>5</v>
      </c>
      <c r="AG2" s="61"/>
      <c r="AH2" s="61" t="s">
        <v>6</v>
      </c>
      <c r="AI2" s="61"/>
      <c r="AJ2" s="61" t="s">
        <v>7</v>
      </c>
      <c r="AK2" s="61"/>
      <c r="AL2" s="61" t="s">
        <v>1</v>
      </c>
      <c r="AM2" s="61"/>
      <c r="AN2" s="61" t="s">
        <v>2</v>
      </c>
      <c r="AO2" s="61"/>
      <c r="AP2" s="61" t="s">
        <v>3</v>
      </c>
      <c r="AQ2" s="61"/>
      <c r="AR2" s="61" t="s">
        <v>4</v>
      </c>
      <c r="AS2" s="61"/>
      <c r="AT2" s="61" t="s">
        <v>5</v>
      </c>
      <c r="AU2" s="61"/>
      <c r="AV2" s="61" t="s">
        <v>6</v>
      </c>
      <c r="AW2" s="61"/>
      <c r="AX2" s="61" t="s">
        <v>7</v>
      </c>
      <c r="AY2" s="61"/>
      <c r="AZ2" s="61" t="s">
        <v>1</v>
      </c>
      <c r="BA2" s="61"/>
      <c r="BB2" s="61" t="s">
        <v>2</v>
      </c>
      <c r="BC2" s="61"/>
      <c r="BD2" s="61" t="s">
        <v>3</v>
      </c>
      <c r="BE2" s="61"/>
      <c r="BF2" s="61" t="s">
        <v>4</v>
      </c>
      <c r="BG2" s="61"/>
      <c r="BH2" s="65" t="s">
        <v>8</v>
      </c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</row>
    <row r="3" spans="1:73" s="46" customFormat="1" ht="19.5" customHeight="1" x14ac:dyDescent="0.25">
      <c r="A3" s="64"/>
      <c r="B3" s="64"/>
      <c r="C3" s="64"/>
      <c r="D3" s="63">
        <v>46054</v>
      </c>
      <c r="E3" s="63"/>
      <c r="F3" s="63">
        <v>46055</v>
      </c>
      <c r="G3" s="63"/>
      <c r="H3" s="63">
        <v>46056</v>
      </c>
      <c r="I3" s="63"/>
      <c r="J3" s="63">
        <v>46057</v>
      </c>
      <c r="K3" s="63"/>
      <c r="L3" s="63">
        <v>46058</v>
      </c>
      <c r="M3" s="63"/>
      <c r="N3" s="63">
        <v>46059</v>
      </c>
      <c r="O3" s="63"/>
      <c r="P3" s="63">
        <v>46060</v>
      </c>
      <c r="Q3" s="63"/>
      <c r="R3" s="63">
        <v>46061</v>
      </c>
      <c r="S3" s="63"/>
      <c r="T3" s="63">
        <v>46062</v>
      </c>
      <c r="U3" s="63"/>
      <c r="V3" s="63">
        <v>46063</v>
      </c>
      <c r="W3" s="63"/>
      <c r="X3" s="63">
        <v>46064</v>
      </c>
      <c r="Y3" s="63"/>
      <c r="Z3" s="63">
        <v>46065</v>
      </c>
      <c r="AA3" s="63"/>
      <c r="AB3" s="63">
        <v>46066</v>
      </c>
      <c r="AC3" s="63"/>
      <c r="AD3" s="63">
        <v>46067</v>
      </c>
      <c r="AE3" s="63"/>
      <c r="AF3" s="63">
        <v>46068</v>
      </c>
      <c r="AG3" s="63"/>
      <c r="AH3" s="63">
        <v>46069</v>
      </c>
      <c r="AI3" s="63"/>
      <c r="AJ3" s="63">
        <v>46070</v>
      </c>
      <c r="AK3" s="63"/>
      <c r="AL3" s="63">
        <v>46071</v>
      </c>
      <c r="AM3" s="63"/>
      <c r="AN3" s="63">
        <v>46072</v>
      </c>
      <c r="AO3" s="63"/>
      <c r="AP3" s="63">
        <v>46073</v>
      </c>
      <c r="AQ3" s="63"/>
      <c r="AR3" s="63">
        <v>46074</v>
      </c>
      <c r="AS3" s="63"/>
      <c r="AT3" s="63">
        <v>46075</v>
      </c>
      <c r="AU3" s="63"/>
      <c r="AV3" s="63">
        <v>46076</v>
      </c>
      <c r="AW3" s="63"/>
      <c r="AX3" s="63">
        <v>46077</v>
      </c>
      <c r="AY3" s="63"/>
      <c r="AZ3" s="63">
        <v>46078</v>
      </c>
      <c r="BA3" s="63"/>
      <c r="BB3" s="63">
        <v>46079</v>
      </c>
      <c r="BC3" s="63"/>
      <c r="BD3" s="63">
        <v>46080</v>
      </c>
      <c r="BE3" s="63"/>
      <c r="BF3" s="63">
        <v>46081</v>
      </c>
      <c r="BG3" s="63"/>
      <c r="BH3" s="65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2"/>
    </row>
    <row r="4" spans="1:73" s="46" customFormat="1" ht="19.5" customHeight="1" x14ac:dyDescent="0.25">
      <c r="A4" s="47" t="s">
        <v>9</v>
      </c>
      <c r="B4" s="48" t="s">
        <v>10</v>
      </c>
      <c r="C4" s="47" t="s">
        <v>11</v>
      </c>
      <c r="D4" s="49" t="s">
        <v>12</v>
      </c>
      <c r="E4" s="49" t="s">
        <v>13</v>
      </c>
      <c r="F4" s="49" t="s">
        <v>12</v>
      </c>
      <c r="G4" s="49" t="s">
        <v>13</v>
      </c>
      <c r="H4" s="49" t="s">
        <v>12</v>
      </c>
      <c r="I4" s="49" t="s">
        <v>13</v>
      </c>
      <c r="J4" s="49" t="s">
        <v>12</v>
      </c>
      <c r="K4" s="49" t="s">
        <v>13</v>
      </c>
      <c r="L4" s="49" t="s">
        <v>12</v>
      </c>
      <c r="M4" s="49" t="s">
        <v>13</v>
      </c>
      <c r="N4" s="49" t="s">
        <v>12</v>
      </c>
      <c r="O4" s="49" t="s">
        <v>13</v>
      </c>
      <c r="P4" s="49" t="s">
        <v>12</v>
      </c>
      <c r="Q4" s="49" t="s">
        <v>13</v>
      </c>
      <c r="R4" s="49" t="s">
        <v>12</v>
      </c>
      <c r="S4" s="49" t="s">
        <v>13</v>
      </c>
      <c r="T4" s="49" t="s">
        <v>12</v>
      </c>
      <c r="U4" s="49" t="s">
        <v>13</v>
      </c>
      <c r="V4" s="49" t="s">
        <v>12</v>
      </c>
      <c r="W4" s="49" t="s">
        <v>13</v>
      </c>
      <c r="X4" s="49" t="s">
        <v>12</v>
      </c>
      <c r="Y4" s="49" t="s">
        <v>13</v>
      </c>
      <c r="Z4" s="49" t="s">
        <v>12</v>
      </c>
      <c r="AA4" s="49" t="s">
        <v>13</v>
      </c>
      <c r="AB4" s="49" t="s">
        <v>12</v>
      </c>
      <c r="AC4" s="49" t="s">
        <v>13</v>
      </c>
      <c r="AD4" s="49" t="s">
        <v>12</v>
      </c>
      <c r="AE4" s="49" t="s">
        <v>13</v>
      </c>
      <c r="AF4" s="49" t="s">
        <v>12</v>
      </c>
      <c r="AG4" s="49" t="s">
        <v>13</v>
      </c>
      <c r="AH4" s="54" t="s">
        <v>12</v>
      </c>
      <c r="AI4" s="49" t="s">
        <v>13</v>
      </c>
      <c r="AJ4" s="49" t="s">
        <v>12</v>
      </c>
      <c r="AK4" s="49" t="s">
        <v>13</v>
      </c>
      <c r="AL4" s="49" t="s">
        <v>12</v>
      </c>
      <c r="AM4" s="49" t="s">
        <v>13</v>
      </c>
      <c r="AN4" s="49" t="s">
        <v>12</v>
      </c>
      <c r="AO4" s="49" t="s">
        <v>13</v>
      </c>
      <c r="AP4" s="49" t="s">
        <v>12</v>
      </c>
      <c r="AQ4" s="49" t="s">
        <v>13</v>
      </c>
      <c r="AR4" s="49" t="s">
        <v>12</v>
      </c>
      <c r="AS4" s="49" t="s">
        <v>13</v>
      </c>
      <c r="AT4" s="49" t="s">
        <v>12</v>
      </c>
      <c r="AU4" s="49" t="s">
        <v>13</v>
      </c>
      <c r="AV4" s="49" t="s">
        <v>12</v>
      </c>
      <c r="AW4" s="49" t="s">
        <v>13</v>
      </c>
      <c r="AX4" s="49" t="s">
        <v>12</v>
      </c>
      <c r="AY4" s="49" t="s">
        <v>13</v>
      </c>
      <c r="AZ4" s="49" t="s">
        <v>12</v>
      </c>
      <c r="BA4" s="49" t="s">
        <v>13</v>
      </c>
      <c r="BB4" s="49" t="s">
        <v>12</v>
      </c>
      <c r="BC4" s="49" t="s">
        <v>13</v>
      </c>
      <c r="BD4" s="49" t="s">
        <v>12</v>
      </c>
      <c r="BE4" s="49" t="s">
        <v>13</v>
      </c>
      <c r="BF4" s="49" t="s">
        <v>12</v>
      </c>
      <c r="BG4" s="49" t="s">
        <v>13</v>
      </c>
      <c r="BH4" s="65"/>
      <c r="BI4" s="3"/>
      <c r="BJ4" s="4" t="s">
        <v>14</v>
      </c>
      <c r="BK4" s="4" t="s">
        <v>15</v>
      </c>
      <c r="BL4" s="4" t="s">
        <v>16</v>
      </c>
      <c r="BM4" s="4" t="s">
        <v>17</v>
      </c>
      <c r="BN4" s="4" t="s">
        <v>18</v>
      </c>
      <c r="BO4" s="4" t="s">
        <v>19</v>
      </c>
      <c r="BP4" s="4" t="s">
        <v>20</v>
      </c>
      <c r="BQ4" s="4" t="s">
        <v>21</v>
      </c>
      <c r="BR4" s="4" t="s">
        <v>22</v>
      </c>
      <c r="BS4" s="4" t="s">
        <v>23</v>
      </c>
      <c r="BT4" s="4" t="s">
        <v>24</v>
      </c>
      <c r="BU4" s="5" t="s">
        <v>25</v>
      </c>
    </row>
    <row r="5" spans="1:73" ht="21" customHeight="1" x14ac:dyDescent="0.25">
      <c r="A5" s="6">
        <v>1</v>
      </c>
      <c r="B5" s="55" t="s">
        <v>26</v>
      </c>
      <c r="C5" s="52" t="s">
        <v>27</v>
      </c>
      <c r="D5" s="59">
        <v>0.38125000000000003</v>
      </c>
      <c r="E5" s="59">
        <v>0.90277777777777779</v>
      </c>
      <c r="F5" s="59">
        <v>0.3979166666666667</v>
      </c>
      <c r="G5" s="59">
        <v>1.8055555555555557E-2</v>
      </c>
      <c r="H5" s="59">
        <v>0.30763888888888891</v>
      </c>
      <c r="I5" s="59">
        <v>0.90069444444444446</v>
      </c>
      <c r="J5" s="59">
        <v>0.40763888888888888</v>
      </c>
      <c r="K5" s="59">
        <v>0.90625</v>
      </c>
      <c r="L5" s="59">
        <v>0.39374999999999999</v>
      </c>
      <c r="M5" s="59">
        <v>0.91319444444444453</v>
      </c>
      <c r="N5" s="59">
        <v>0.42430555555555555</v>
      </c>
      <c r="O5" s="59">
        <v>0.93958333333333333</v>
      </c>
      <c r="P5" s="60">
        <v>1</v>
      </c>
      <c r="Q5" s="60">
        <v>1</v>
      </c>
      <c r="R5" s="59">
        <v>0.41944444444444445</v>
      </c>
      <c r="S5" s="59">
        <v>0.89722222222222225</v>
      </c>
      <c r="T5" s="59">
        <v>0.31666666666666665</v>
      </c>
      <c r="U5" s="59">
        <v>0.91736111111111107</v>
      </c>
      <c r="V5" s="59">
        <v>0.41180555555555554</v>
      </c>
      <c r="W5" s="60">
        <v>1</v>
      </c>
      <c r="X5" s="59">
        <v>0.41944444444444445</v>
      </c>
      <c r="Y5" s="59">
        <v>0.91388888888888886</v>
      </c>
      <c r="Z5" s="59">
        <v>0.44166666666666665</v>
      </c>
      <c r="AA5" s="59">
        <v>0.89166666666666661</v>
      </c>
      <c r="AB5" s="59">
        <v>0.4145833333333333</v>
      </c>
      <c r="AC5" s="59">
        <v>0.88680555555555562</v>
      </c>
      <c r="AD5" s="59">
        <v>0.30833333333333335</v>
      </c>
      <c r="AE5" s="60">
        <v>1</v>
      </c>
      <c r="AF5" s="59">
        <v>0.31458333333333333</v>
      </c>
      <c r="AG5" s="59">
        <v>0.88680555555555562</v>
      </c>
      <c r="AH5" s="59">
        <v>0.31944444444444448</v>
      </c>
      <c r="AI5" s="59">
        <v>0.95277777777777783</v>
      </c>
      <c r="AJ5" s="59">
        <v>0.40347222222222223</v>
      </c>
      <c r="AK5" s="60">
        <v>1</v>
      </c>
      <c r="AL5" s="59">
        <v>0.41944444444444445</v>
      </c>
      <c r="AM5" s="59">
        <v>0.89236111111111116</v>
      </c>
      <c r="AN5" s="59">
        <v>0.4375</v>
      </c>
      <c r="AO5" s="59">
        <v>0.94791666666666663</v>
      </c>
      <c r="AP5" s="59">
        <v>0.41597222222222219</v>
      </c>
      <c r="AQ5" s="59">
        <v>0.92013888888888884</v>
      </c>
      <c r="AR5" s="59">
        <v>0.43124999999999997</v>
      </c>
      <c r="AS5" s="59">
        <v>0.95624999999999993</v>
      </c>
      <c r="AT5" s="59">
        <v>6.2499999999999995E-3</v>
      </c>
      <c r="AU5" s="60">
        <v>1</v>
      </c>
      <c r="AV5" s="59">
        <v>0.46111111111111108</v>
      </c>
      <c r="AW5" s="59">
        <v>0.89861111111111114</v>
      </c>
      <c r="AX5" s="59">
        <v>0.4458333333333333</v>
      </c>
      <c r="AY5" s="59">
        <v>0.88958333333333339</v>
      </c>
      <c r="AZ5" s="59">
        <v>0.31111111111111112</v>
      </c>
      <c r="BA5" s="59">
        <v>0.98541666666666661</v>
      </c>
      <c r="BB5" s="59">
        <v>0.40972222222222227</v>
      </c>
      <c r="BC5" s="59">
        <v>0.89097222222222217</v>
      </c>
      <c r="BD5" s="59">
        <v>0.44791666666666669</v>
      </c>
      <c r="BE5" s="59">
        <v>2.1527777777777781E-2</v>
      </c>
      <c r="BF5" s="59">
        <v>0.41319444444444442</v>
      </c>
      <c r="BG5" s="59">
        <v>0.98541666666666661</v>
      </c>
      <c r="BH5" s="7">
        <f>BI5+BJ5+BK5+BL5+BQ5+BO5+BP5+BT5</f>
        <v>28</v>
      </c>
      <c r="BI5" s="8">
        <f>COUNT(D5:AH5)/2+COUNT(AI5:BG5)/2</f>
        <v>28</v>
      </c>
      <c r="BJ5" s="55">
        <f>COUNTIF(D5:BG5,"OFF")/2</f>
        <v>0</v>
      </c>
      <c r="BK5" s="55">
        <f>COUNTIF(D5:BG5,"MC")/2</f>
        <v>0</v>
      </c>
      <c r="BL5" s="55">
        <f>COUNTIF(D5:BG5,"EL")/2</f>
        <v>0</v>
      </c>
      <c r="BM5" s="55">
        <f>COUNTIF(D5:BG5,"AL")/2</f>
        <v>0</v>
      </c>
      <c r="BN5" s="55">
        <f>COUNTIF(D5:BG5,"SUS")/2</f>
        <v>0</v>
      </c>
      <c r="BO5" s="55">
        <f>COUNTIF(D5:BG5,"FL")/2</f>
        <v>0</v>
      </c>
      <c r="BP5" s="55">
        <f>COUNTIF(D5:BG5,"SICK")/2</f>
        <v>0</v>
      </c>
      <c r="BQ5" s="55">
        <f>COUNTIF(D5:BG5,"HD")/2</f>
        <v>0</v>
      </c>
      <c r="BR5" s="55">
        <f>COUNTIF(D5:BG5,"AB")/2</f>
        <v>0</v>
      </c>
      <c r="BS5" s="55">
        <f>COUNTIF(D5:BG5,"NL")/2</f>
        <v>0</v>
      </c>
      <c r="BT5" s="55">
        <f>COUNTIF(D5:BG5,"SP")/2</f>
        <v>0</v>
      </c>
      <c r="BU5" s="9"/>
    </row>
    <row r="6" spans="1:73" ht="21" customHeight="1" x14ac:dyDescent="0.25">
      <c r="A6" s="6">
        <v>2</v>
      </c>
      <c r="B6" s="55" t="s">
        <v>28</v>
      </c>
      <c r="C6" s="52" t="s">
        <v>29</v>
      </c>
      <c r="D6" s="59">
        <v>0.37986111111111115</v>
      </c>
      <c r="E6" s="59">
        <v>0.76944444444444438</v>
      </c>
      <c r="F6" s="59">
        <v>0.37291666666666662</v>
      </c>
      <c r="G6" s="59">
        <v>0.77013888888888893</v>
      </c>
      <c r="H6" s="59">
        <v>0.375</v>
      </c>
      <c r="I6" s="59">
        <v>0.78680555555555554</v>
      </c>
      <c r="J6" s="59">
        <v>0.3743055555555555</v>
      </c>
      <c r="K6" s="59">
        <v>0.8354166666666667</v>
      </c>
      <c r="L6" s="59">
        <v>0.375</v>
      </c>
      <c r="M6" s="59">
        <v>0.80069444444444438</v>
      </c>
      <c r="N6" s="59">
        <v>0.59930555555555554</v>
      </c>
      <c r="O6" s="59">
        <v>0.9770833333333333</v>
      </c>
      <c r="P6" s="59">
        <v>0.37152777777777773</v>
      </c>
      <c r="Q6" s="59">
        <v>0.77708333333333324</v>
      </c>
      <c r="R6" s="59">
        <v>0.375</v>
      </c>
      <c r="S6" s="59">
        <v>0.75694444444444453</v>
      </c>
      <c r="T6" s="59">
        <v>0.375</v>
      </c>
      <c r="U6" s="59">
        <v>0.76736111111111116</v>
      </c>
      <c r="V6" s="59">
        <v>0.37638888888888888</v>
      </c>
      <c r="W6" s="59">
        <v>0.78680555555555554</v>
      </c>
      <c r="X6" s="59">
        <v>0.37708333333333338</v>
      </c>
      <c r="Y6" s="59">
        <v>0.75763888888888886</v>
      </c>
      <c r="Z6" s="59">
        <v>0.37291666666666662</v>
      </c>
      <c r="AA6" s="59">
        <v>0.76180555555555562</v>
      </c>
      <c r="AB6" s="59">
        <v>0.62222222222222223</v>
      </c>
      <c r="AC6" s="59">
        <v>0.70000000000000007</v>
      </c>
      <c r="AD6" s="59">
        <v>0.37291666666666662</v>
      </c>
      <c r="AE6" s="59">
        <v>0.80972222222222223</v>
      </c>
      <c r="AF6" s="59">
        <v>0.375</v>
      </c>
      <c r="AG6" s="59">
        <v>0.77430555555555547</v>
      </c>
      <c r="AH6" s="59">
        <v>0.375</v>
      </c>
      <c r="AI6" s="59">
        <v>0.75624999999999998</v>
      </c>
      <c r="AJ6" s="59">
        <v>0.3743055555555555</v>
      </c>
      <c r="AK6" s="59">
        <v>0.76527777777777783</v>
      </c>
      <c r="AL6" s="59">
        <v>0.39513888888888887</v>
      </c>
      <c r="AM6" s="59">
        <v>0.67499999999999993</v>
      </c>
      <c r="AN6" s="59">
        <v>0.39583333333333331</v>
      </c>
      <c r="AO6" s="59">
        <v>0.69930555555555562</v>
      </c>
      <c r="AP6" s="59">
        <v>0.59722222222222221</v>
      </c>
      <c r="AQ6" s="59">
        <v>0.6958333333333333</v>
      </c>
      <c r="AR6" s="59">
        <v>0.39374999999999999</v>
      </c>
      <c r="AS6" s="59">
        <v>0.6972222222222223</v>
      </c>
      <c r="AT6" s="59">
        <v>0.39374999999999999</v>
      </c>
      <c r="AU6" s="59">
        <v>0.70763888888888893</v>
      </c>
      <c r="AV6" s="59">
        <v>0.39583333333333331</v>
      </c>
      <c r="AW6" s="59">
        <v>0.71458333333333324</v>
      </c>
      <c r="AX6" s="59">
        <v>0.39444444444444443</v>
      </c>
      <c r="AY6" s="59">
        <v>0.71250000000000002</v>
      </c>
      <c r="AZ6" s="59">
        <v>0.39444444444444443</v>
      </c>
      <c r="BA6" s="59">
        <v>0.71319444444444446</v>
      </c>
      <c r="BB6" s="59">
        <v>0.39513888888888887</v>
      </c>
      <c r="BC6" s="59">
        <v>0.71666666666666667</v>
      </c>
      <c r="BD6" s="59">
        <v>0.59027777777777779</v>
      </c>
      <c r="BE6" s="59">
        <v>0.71250000000000002</v>
      </c>
      <c r="BF6" s="59">
        <v>0.39444444444444443</v>
      </c>
      <c r="BG6" s="59">
        <v>0.89722222222222225</v>
      </c>
      <c r="BH6" s="7">
        <f t="shared" ref="BH6:BH13" si="0">BI6+BJ6+BK6+BL6+BQ6+BO6+BP6+BT6</f>
        <v>28</v>
      </c>
      <c r="BI6" s="8">
        <f t="shared" ref="BI6:BI13" si="1">COUNT(D6:AH6)/2+COUNT(AI6:BG6)/2</f>
        <v>28</v>
      </c>
      <c r="BJ6" s="55">
        <f t="shared" ref="BJ6:BJ13" si="2">COUNTIF(D6:BG6,"OFF")/2</f>
        <v>0</v>
      </c>
      <c r="BK6" s="55">
        <f t="shared" ref="BK6:BK13" si="3">COUNTIF(D6:BG6,"MC")/2</f>
        <v>0</v>
      </c>
      <c r="BL6" s="55">
        <f t="shared" ref="BL6:BL13" si="4">COUNTIF(D6:BG6,"EL")/2</f>
        <v>0</v>
      </c>
      <c r="BM6" s="55">
        <f t="shared" ref="BM6:BM13" si="5">COUNTIF(D6:BG6,"AL")/2</f>
        <v>0</v>
      </c>
      <c r="BN6" s="55">
        <f t="shared" ref="BN6:BN13" si="6">COUNTIF(D6:BG6,"SUS")/2</f>
        <v>0</v>
      </c>
      <c r="BO6" s="55">
        <f t="shared" ref="BO6:BO13" si="7">COUNTIF(D6:BG6,"FL")/2</f>
        <v>0</v>
      </c>
      <c r="BP6" s="55">
        <f t="shared" ref="BP6:BP13" si="8">COUNTIF(D6:BG6,"SICK")/2</f>
        <v>0</v>
      </c>
      <c r="BQ6" s="55">
        <f t="shared" ref="BQ6:BQ13" si="9">COUNTIF(D6:BG6,"HD")/2</f>
        <v>0</v>
      </c>
      <c r="BR6" s="55">
        <f t="shared" ref="BR6:BR13" si="10">COUNTIF(D6:BG6,"AB")/2</f>
        <v>0</v>
      </c>
      <c r="BS6" s="55">
        <f t="shared" ref="BS6:BS13" si="11">COUNTIF(D6:BG6,"NL")/2</f>
        <v>0</v>
      </c>
      <c r="BT6" s="55">
        <f t="shared" ref="BT6:BT13" si="12">COUNTIF(D6:BG6,"SP")/2</f>
        <v>0</v>
      </c>
      <c r="BU6" s="9"/>
    </row>
    <row r="7" spans="1:73" ht="21" customHeight="1" x14ac:dyDescent="0.25">
      <c r="A7" s="6">
        <v>3</v>
      </c>
      <c r="B7" s="10" t="s">
        <v>62</v>
      </c>
      <c r="C7" s="52" t="s">
        <v>61</v>
      </c>
      <c r="D7" s="59">
        <v>0.23541666666666669</v>
      </c>
      <c r="E7" s="59">
        <v>0.11597222222222221</v>
      </c>
      <c r="F7" s="59">
        <v>0.97152777777777777</v>
      </c>
      <c r="G7" s="60">
        <v>1</v>
      </c>
      <c r="H7" s="59">
        <v>0.2388888888888889</v>
      </c>
      <c r="I7" s="59">
        <v>0.94374999999999998</v>
      </c>
      <c r="J7" s="59">
        <v>0.23472222222222219</v>
      </c>
      <c r="K7" s="59">
        <v>0.94930555555555562</v>
      </c>
      <c r="L7" s="59">
        <v>0.24027777777777778</v>
      </c>
      <c r="M7" s="60">
        <v>1</v>
      </c>
      <c r="N7" s="59">
        <v>0.21805555555555556</v>
      </c>
      <c r="O7" s="59">
        <v>0.96458333333333324</v>
      </c>
      <c r="P7" s="59">
        <v>0.24444444444444446</v>
      </c>
      <c r="Q7" s="59">
        <v>0.94305555555555554</v>
      </c>
      <c r="R7" s="59">
        <v>0.23194444444444443</v>
      </c>
      <c r="S7" s="59">
        <v>0.97777777777777775</v>
      </c>
      <c r="T7" s="59">
        <v>0.22152777777777777</v>
      </c>
      <c r="U7" s="60">
        <v>1</v>
      </c>
      <c r="V7" s="59">
        <v>0.23958333333333334</v>
      </c>
      <c r="W7" s="59">
        <v>0.9506944444444444</v>
      </c>
      <c r="X7" s="59">
        <v>0.21111111111111111</v>
      </c>
      <c r="Y7" s="59">
        <v>0.95486111111111116</v>
      </c>
      <c r="Z7" s="59">
        <v>0.23055555555555554</v>
      </c>
      <c r="AA7" s="59">
        <v>0.9819444444444444</v>
      </c>
      <c r="AB7" s="59">
        <v>0.23541666666666669</v>
      </c>
      <c r="AC7" s="59">
        <v>0.98749999999999993</v>
      </c>
      <c r="AD7" s="59">
        <v>0.21597222222222223</v>
      </c>
      <c r="AE7" s="59">
        <v>6.2499999999999995E-3</v>
      </c>
      <c r="AF7" s="59">
        <v>0.25625000000000003</v>
      </c>
      <c r="AG7" s="59">
        <v>1.7361111111111112E-2</v>
      </c>
      <c r="AH7" s="59">
        <v>0.9506944444444444</v>
      </c>
      <c r="AI7" s="60">
        <v>1</v>
      </c>
      <c r="AJ7" s="59">
        <v>0.22222222222222221</v>
      </c>
      <c r="AK7" s="59">
        <v>0.92569444444444438</v>
      </c>
      <c r="AL7" s="59">
        <v>0.2298611111111111</v>
      </c>
      <c r="AM7" s="59">
        <v>0.9277777777777777</v>
      </c>
      <c r="AN7" s="59">
        <v>0.23402777777777781</v>
      </c>
      <c r="AO7" s="59">
        <v>8.3333333333333332E-3</v>
      </c>
      <c r="AP7" s="59">
        <v>0.23611111111111113</v>
      </c>
      <c r="AQ7" s="59">
        <v>0.24444444444444446</v>
      </c>
      <c r="AR7" s="59">
        <v>0.22430555555555556</v>
      </c>
      <c r="AS7" s="59">
        <v>0.97013888888888899</v>
      </c>
      <c r="AT7" s="59">
        <v>0.26041666666666669</v>
      </c>
      <c r="AU7" s="59">
        <v>0.96597222222222223</v>
      </c>
      <c r="AV7" s="59">
        <v>0.2298611111111111</v>
      </c>
      <c r="AW7" s="59">
        <v>0.89722222222222225</v>
      </c>
      <c r="AX7" s="59">
        <v>0.22152777777777777</v>
      </c>
      <c r="AY7" s="59">
        <v>0.94374999999999998</v>
      </c>
      <c r="AZ7" s="59">
        <v>0.23472222222222219</v>
      </c>
      <c r="BA7" s="60">
        <v>1</v>
      </c>
      <c r="BB7" s="59">
        <v>0.2298611111111111</v>
      </c>
      <c r="BC7" s="59">
        <v>0.9277777777777777</v>
      </c>
      <c r="BD7" s="59">
        <v>0.22569444444444445</v>
      </c>
      <c r="BE7" s="59">
        <v>0.9590277777777777</v>
      </c>
      <c r="BF7" s="59">
        <v>0.2298611111111111</v>
      </c>
      <c r="BG7" s="59">
        <v>0.9277777777777777</v>
      </c>
      <c r="BH7" s="7">
        <f t="shared" si="0"/>
        <v>28</v>
      </c>
      <c r="BI7" s="8">
        <f t="shared" si="1"/>
        <v>28</v>
      </c>
      <c r="BJ7" s="55">
        <f t="shared" si="2"/>
        <v>0</v>
      </c>
      <c r="BK7" s="55">
        <f t="shared" si="3"/>
        <v>0</v>
      </c>
      <c r="BL7" s="55">
        <f t="shared" si="4"/>
        <v>0</v>
      </c>
      <c r="BM7" s="55">
        <f t="shared" si="5"/>
        <v>0</v>
      </c>
      <c r="BN7" s="55">
        <f t="shared" si="6"/>
        <v>0</v>
      </c>
      <c r="BO7" s="55">
        <f t="shared" si="7"/>
        <v>0</v>
      </c>
      <c r="BP7" s="55">
        <f t="shared" si="8"/>
        <v>0</v>
      </c>
      <c r="BQ7" s="55">
        <f t="shared" si="9"/>
        <v>0</v>
      </c>
      <c r="BR7" s="55">
        <f t="shared" si="10"/>
        <v>0</v>
      </c>
      <c r="BS7" s="55">
        <f t="shared" si="11"/>
        <v>0</v>
      </c>
      <c r="BT7" s="55">
        <f t="shared" si="12"/>
        <v>0</v>
      </c>
      <c r="BU7" s="9"/>
    </row>
    <row r="8" spans="1:73" ht="21" customHeight="1" x14ac:dyDescent="0.25">
      <c r="A8" s="6">
        <v>4</v>
      </c>
      <c r="B8" s="55" t="s">
        <v>30</v>
      </c>
      <c r="C8" s="52" t="s">
        <v>31</v>
      </c>
      <c r="D8" s="59">
        <v>0.28541666666666665</v>
      </c>
      <c r="E8" s="59">
        <v>0.91736111111111107</v>
      </c>
      <c r="F8" s="59">
        <v>0.28263888888888888</v>
      </c>
      <c r="G8" s="59">
        <v>0.91805555555555562</v>
      </c>
      <c r="H8" s="59">
        <v>0.30069444444444443</v>
      </c>
      <c r="I8" s="60">
        <v>1</v>
      </c>
      <c r="J8" s="59">
        <v>0.29166666666666669</v>
      </c>
      <c r="K8" s="60">
        <v>1</v>
      </c>
      <c r="L8" s="59">
        <v>0.2722222222222222</v>
      </c>
      <c r="M8" s="60">
        <v>1</v>
      </c>
      <c r="N8" s="59">
        <v>0.29166666666666669</v>
      </c>
      <c r="O8" s="60">
        <v>1</v>
      </c>
      <c r="P8" s="59">
        <v>0.27708333333333335</v>
      </c>
      <c r="Q8" s="59">
        <v>0.94305555555555554</v>
      </c>
      <c r="R8" s="59">
        <v>0.28541666666666665</v>
      </c>
      <c r="S8" s="60">
        <v>1</v>
      </c>
      <c r="T8" s="59">
        <v>0.28819444444444448</v>
      </c>
      <c r="U8" s="60">
        <v>1</v>
      </c>
      <c r="V8" s="59">
        <v>0.2951388888888889</v>
      </c>
      <c r="W8" s="59">
        <v>0.90069444444444446</v>
      </c>
      <c r="X8" s="59">
        <v>0.27291666666666664</v>
      </c>
      <c r="Y8" s="59">
        <v>0.89861111111111114</v>
      </c>
      <c r="Z8" s="59">
        <v>0.28958333333333336</v>
      </c>
      <c r="AA8" s="59">
        <v>0.9243055555555556</v>
      </c>
      <c r="AB8" s="59">
        <v>0.27777777777777779</v>
      </c>
      <c r="AC8" s="59">
        <v>0.95277777777777783</v>
      </c>
      <c r="AD8" s="59">
        <v>0.29444444444444445</v>
      </c>
      <c r="AE8" s="59">
        <v>0.90208333333333324</v>
      </c>
      <c r="AF8" s="59">
        <v>0.28680555555555554</v>
      </c>
      <c r="AG8" s="59">
        <v>0.98749999999999993</v>
      </c>
      <c r="AH8" s="59">
        <v>0.28541666666666665</v>
      </c>
      <c r="AI8" s="59">
        <v>0.90763888888888899</v>
      </c>
      <c r="AJ8" s="59">
        <v>0.27152777777777776</v>
      </c>
      <c r="AK8" s="59">
        <v>0.28055555555555556</v>
      </c>
      <c r="AL8" s="59">
        <v>0.28055555555555556</v>
      </c>
      <c r="AM8" s="60">
        <v>1</v>
      </c>
      <c r="AN8" s="59">
        <v>0.28750000000000003</v>
      </c>
      <c r="AO8" s="60">
        <v>1</v>
      </c>
      <c r="AP8" s="59">
        <v>0.28888888888888892</v>
      </c>
      <c r="AQ8" s="59">
        <v>0.92638888888888893</v>
      </c>
      <c r="AR8" s="59">
        <v>0.28888888888888892</v>
      </c>
      <c r="AS8" s="60">
        <v>1</v>
      </c>
      <c r="AT8" s="59">
        <v>0.2673611111111111</v>
      </c>
      <c r="AU8" s="59">
        <v>0.92986111111111114</v>
      </c>
      <c r="AV8" s="59">
        <v>0.27430555555555552</v>
      </c>
      <c r="AW8" s="59">
        <v>0.90972222222222221</v>
      </c>
      <c r="AX8" s="59">
        <v>0.27708333333333335</v>
      </c>
      <c r="AY8" s="59">
        <v>6.5277777777777782E-2</v>
      </c>
      <c r="AZ8" s="59">
        <v>0.28333333333333333</v>
      </c>
      <c r="BA8" s="60">
        <v>1</v>
      </c>
      <c r="BB8" s="59">
        <v>0.29583333333333334</v>
      </c>
      <c r="BC8" s="59">
        <v>0.9375</v>
      </c>
      <c r="BD8" s="59">
        <v>0.28819444444444448</v>
      </c>
      <c r="BE8" s="59">
        <v>0.95624999999999993</v>
      </c>
      <c r="BF8" s="59">
        <v>0.29166666666666669</v>
      </c>
      <c r="BG8" s="59">
        <v>6.5277777777777782E-2</v>
      </c>
      <c r="BH8" s="7">
        <f t="shared" si="0"/>
        <v>28</v>
      </c>
      <c r="BI8" s="8">
        <f t="shared" si="1"/>
        <v>28</v>
      </c>
      <c r="BJ8" s="55">
        <f t="shared" si="2"/>
        <v>0</v>
      </c>
      <c r="BK8" s="55">
        <f t="shared" si="3"/>
        <v>0</v>
      </c>
      <c r="BL8" s="55">
        <f t="shared" si="4"/>
        <v>0</v>
      </c>
      <c r="BM8" s="55">
        <f t="shared" si="5"/>
        <v>0</v>
      </c>
      <c r="BN8" s="55">
        <f t="shared" si="6"/>
        <v>0</v>
      </c>
      <c r="BO8" s="55">
        <f t="shared" si="7"/>
        <v>0</v>
      </c>
      <c r="BP8" s="55">
        <f t="shared" si="8"/>
        <v>0</v>
      </c>
      <c r="BQ8" s="55">
        <f t="shared" si="9"/>
        <v>0</v>
      </c>
      <c r="BR8" s="55">
        <f t="shared" si="10"/>
        <v>0</v>
      </c>
      <c r="BS8" s="55">
        <f t="shared" si="11"/>
        <v>0</v>
      </c>
      <c r="BT8" s="55">
        <f t="shared" si="12"/>
        <v>0</v>
      </c>
      <c r="BU8" s="9"/>
    </row>
    <row r="9" spans="1:73" ht="21" customHeight="1" x14ac:dyDescent="0.25">
      <c r="A9" s="6">
        <v>5</v>
      </c>
      <c r="B9" s="55" t="s">
        <v>32</v>
      </c>
      <c r="C9" s="52" t="s">
        <v>33</v>
      </c>
      <c r="D9" s="59">
        <v>0.34583333333333338</v>
      </c>
      <c r="E9" s="59">
        <v>1.7361111111111112E-2</v>
      </c>
      <c r="F9" s="59">
        <v>0.35000000000000003</v>
      </c>
      <c r="G9" s="59">
        <v>2.8472222222222222E-2</v>
      </c>
      <c r="H9" s="59">
        <v>0.39027777777777778</v>
      </c>
      <c r="I9" s="59">
        <v>3.6111111111111115E-2</v>
      </c>
      <c r="J9" s="59">
        <v>0.3527777777777778</v>
      </c>
      <c r="K9" s="59">
        <v>0.96388888888888891</v>
      </c>
      <c r="L9" s="59">
        <v>0.37638888888888888</v>
      </c>
      <c r="M9" s="59">
        <v>2.2916666666666669E-2</v>
      </c>
      <c r="N9" s="59">
        <v>0.37361111111111112</v>
      </c>
      <c r="O9" s="59">
        <v>2.7777777777777776E-2</v>
      </c>
      <c r="P9" s="59">
        <v>0.38750000000000001</v>
      </c>
      <c r="Q9" s="59">
        <v>0.9902777777777777</v>
      </c>
      <c r="R9" s="59">
        <v>0.38958333333333334</v>
      </c>
      <c r="S9" s="59">
        <v>2.013888888888889E-2</v>
      </c>
      <c r="T9" s="59">
        <v>0.38750000000000001</v>
      </c>
      <c r="U9" s="60">
        <v>1</v>
      </c>
      <c r="V9" s="59">
        <v>0.3888888888888889</v>
      </c>
      <c r="W9" s="59">
        <v>0.9916666666666667</v>
      </c>
      <c r="X9" s="59">
        <v>0.37847222222222227</v>
      </c>
      <c r="Y9" s="59">
        <v>0.98749999999999993</v>
      </c>
      <c r="Z9" s="59">
        <v>0.36944444444444446</v>
      </c>
      <c r="AA9" s="59">
        <v>0.96944444444444444</v>
      </c>
      <c r="AB9" s="59">
        <v>0.38611111111111113</v>
      </c>
      <c r="AC9" s="59">
        <v>1.7361111111111112E-2</v>
      </c>
      <c r="AD9" s="59">
        <v>0.3923611111111111</v>
      </c>
      <c r="AE9" s="59">
        <v>0.99236111111111114</v>
      </c>
      <c r="AF9" s="59">
        <v>0.37222222222222223</v>
      </c>
      <c r="AG9" s="59">
        <v>0.95277777777777783</v>
      </c>
      <c r="AH9" s="59">
        <v>0.39027777777777778</v>
      </c>
      <c r="AI9" s="59">
        <v>0.95138888888888884</v>
      </c>
      <c r="AJ9" s="59">
        <v>0.37152777777777773</v>
      </c>
      <c r="AK9" s="60">
        <v>1</v>
      </c>
      <c r="AL9" s="59">
        <v>0.38541666666666669</v>
      </c>
      <c r="AM9" s="59">
        <v>0.97152777777777777</v>
      </c>
      <c r="AN9" s="59">
        <v>0.38750000000000001</v>
      </c>
      <c r="AO9" s="59">
        <v>5.4166666666666669E-2</v>
      </c>
      <c r="AP9" s="59">
        <v>0.45347222222222222</v>
      </c>
      <c r="AQ9" s="59">
        <v>0.98749999999999993</v>
      </c>
      <c r="AR9" s="59">
        <v>0.3840277777777778</v>
      </c>
      <c r="AS9" s="59">
        <v>0.97569444444444453</v>
      </c>
      <c r="AT9" s="59">
        <v>0.37638888888888888</v>
      </c>
      <c r="AU9" s="59">
        <v>0.95416666666666661</v>
      </c>
      <c r="AV9" s="59">
        <v>0.36388888888888887</v>
      </c>
      <c r="AW9" s="59">
        <v>0.9902777777777777</v>
      </c>
      <c r="AX9" s="59">
        <v>0.3666666666666667</v>
      </c>
      <c r="AY9" s="59">
        <v>0.97916666666666663</v>
      </c>
      <c r="AZ9" s="59">
        <v>0.36805555555555558</v>
      </c>
      <c r="BA9" s="59">
        <v>1.1805555555555555E-2</v>
      </c>
      <c r="BB9" s="59">
        <v>0.36388888888888887</v>
      </c>
      <c r="BC9" s="59">
        <v>0.98819444444444438</v>
      </c>
      <c r="BD9" s="59">
        <v>0.3756944444444445</v>
      </c>
      <c r="BE9" s="59">
        <v>0.98611111111111116</v>
      </c>
      <c r="BF9" s="59">
        <v>0.3527777777777778</v>
      </c>
      <c r="BG9" s="59">
        <v>6.5277777777777782E-2</v>
      </c>
      <c r="BH9" s="7">
        <f t="shared" si="0"/>
        <v>28</v>
      </c>
      <c r="BI9" s="8">
        <f t="shared" si="1"/>
        <v>28</v>
      </c>
      <c r="BJ9" s="55">
        <f t="shared" si="2"/>
        <v>0</v>
      </c>
      <c r="BK9" s="55">
        <f t="shared" si="3"/>
        <v>0</v>
      </c>
      <c r="BL9" s="55">
        <f t="shared" si="4"/>
        <v>0</v>
      </c>
      <c r="BM9" s="55">
        <f t="shared" si="5"/>
        <v>0</v>
      </c>
      <c r="BN9" s="55">
        <f t="shared" si="6"/>
        <v>0</v>
      </c>
      <c r="BO9" s="55">
        <f t="shared" si="7"/>
        <v>0</v>
      </c>
      <c r="BP9" s="55">
        <f t="shared" si="8"/>
        <v>0</v>
      </c>
      <c r="BQ9" s="55">
        <f t="shared" si="9"/>
        <v>0</v>
      </c>
      <c r="BR9" s="55">
        <f t="shared" si="10"/>
        <v>0</v>
      </c>
      <c r="BS9" s="55">
        <f t="shared" si="11"/>
        <v>0</v>
      </c>
      <c r="BT9" s="55">
        <f t="shared" si="12"/>
        <v>0</v>
      </c>
      <c r="BU9" s="9"/>
    </row>
    <row r="10" spans="1:73" ht="21" customHeight="1" x14ac:dyDescent="0.25">
      <c r="A10" s="6">
        <v>6</v>
      </c>
      <c r="B10" s="10" t="s">
        <v>34</v>
      </c>
      <c r="C10" s="53" t="s">
        <v>35</v>
      </c>
      <c r="D10" s="50">
        <v>0.27152777777777776</v>
      </c>
      <c r="E10" s="50">
        <v>0.93611111111111101</v>
      </c>
      <c r="F10" s="50">
        <v>0.27499999999999997</v>
      </c>
      <c r="G10" s="50">
        <v>0.91111111111111109</v>
      </c>
      <c r="H10" s="50">
        <v>0.29444444444444445</v>
      </c>
      <c r="I10" s="50">
        <v>0.95138888888888884</v>
      </c>
      <c r="J10" s="50">
        <v>0.28194444444444444</v>
      </c>
      <c r="K10" s="50">
        <v>0.92291666666666661</v>
      </c>
      <c r="L10" s="50">
        <v>0.28125</v>
      </c>
      <c r="M10" s="50">
        <v>0.94444444444444453</v>
      </c>
      <c r="N10" s="50">
        <v>0.28055555555555556</v>
      </c>
      <c r="O10" s="50">
        <v>0.93055555555555547</v>
      </c>
      <c r="P10" s="50">
        <v>0.28125</v>
      </c>
      <c r="Q10" s="50">
        <v>0.94374999999999998</v>
      </c>
      <c r="R10" s="50">
        <v>0.27152777777777776</v>
      </c>
      <c r="S10" s="50">
        <v>0.93611111111111101</v>
      </c>
      <c r="T10" s="50">
        <v>0.28194444444444444</v>
      </c>
      <c r="U10" s="50">
        <v>0.92361111111111116</v>
      </c>
      <c r="V10" s="50">
        <v>0.28541666666666665</v>
      </c>
      <c r="W10" s="59">
        <v>0.94444444444444453</v>
      </c>
      <c r="X10" s="59">
        <v>0.28125</v>
      </c>
      <c r="Y10" s="59">
        <v>0.94444444444444453</v>
      </c>
      <c r="Z10" s="59">
        <v>0.28194444444444444</v>
      </c>
      <c r="AA10" s="59">
        <v>0.92291666666666661</v>
      </c>
      <c r="AB10" s="59">
        <v>0.27152777777777776</v>
      </c>
      <c r="AC10" s="59">
        <v>0.93611111111111101</v>
      </c>
      <c r="AD10" s="59">
        <v>0.27152777777777776</v>
      </c>
      <c r="AE10" s="59">
        <v>0.93611111111111101</v>
      </c>
      <c r="AF10" s="60">
        <v>1</v>
      </c>
      <c r="AG10" s="59">
        <v>1</v>
      </c>
      <c r="AH10" s="59">
        <v>0.27777777777777779</v>
      </c>
      <c r="AI10" s="59">
        <v>0.92291666666666661</v>
      </c>
      <c r="AJ10" s="59">
        <v>0.27916666666666667</v>
      </c>
      <c r="AK10" s="59">
        <v>0.9291666666666667</v>
      </c>
      <c r="AL10" s="59">
        <v>0.375</v>
      </c>
      <c r="AM10" s="59">
        <v>0.95138888888888884</v>
      </c>
      <c r="AN10" s="59">
        <v>0.29236111111111113</v>
      </c>
      <c r="AO10" s="59">
        <v>0.9555555555555556</v>
      </c>
      <c r="AP10" s="59">
        <v>0.27777777777777779</v>
      </c>
      <c r="AQ10" s="59">
        <v>0.9243055555555556</v>
      </c>
      <c r="AR10" s="59">
        <v>0.28194444444444444</v>
      </c>
      <c r="AS10" s="59">
        <v>0.92361111111111116</v>
      </c>
      <c r="AT10" s="59">
        <v>0.27986111111111112</v>
      </c>
      <c r="AU10" s="59">
        <v>0.93888888888888899</v>
      </c>
      <c r="AV10" s="59">
        <v>0.27916666666666667</v>
      </c>
      <c r="AW10" s="59">
        <v>0.89374999999999993</v>
      </c>
      <c r="AX10" s="59">
        <v>0.27777777777777779</v>
      </c>
      <c r="AY10" s="59">
        <v>0.92013888888888884</v>
      </c>
      <c r="AZ10" s="59">
        <v>0.28333333333333333</v>
      </c>
      <c r="BA10" s="59">
        <v>0.90138888888888891</v>
      </c>
      <c r="BB10" s="59">
        <v>0.30972222222222223</v>
      </c>
      <c r="BC10" s="59">
        <v>0.92083333333333339</v>
      </c>
      <c r="BD10" s="59">
        <v>0.30555555555555552</v>
      </c>
      <c r="BE10" s="59">
        <v>0.93541666666666667</v>
      </c>
      <c r="BF10" s="59">
        <v>0.27638888888888885</v>
      </c>
      <c r="BG10" s="59">
        <v>0.93888888888888899</v>
      </c>
      <c r="BH10" s="7">
        <f t="shared" si="0"/>
        <v>28</v>
      </c>
      <c r="BI10" s="8">
        <f t="shared" si="1"/>
        <v>28</v>
      </c>
      <c r="BJ10" s="55">
        <f t="shared" si="2"/>
        <v>0</v>
      </c>
      <c r="BK10" s="55">
        <f t="shared" si="3"/>
        <v>0</v>
      </c>
      <c r="BL10" s="55">
        <f t="shared" si="4"/>
        <v>0</v>
      </c>
      <c r="BM10" s="55">
        <f t="shared" si="5"/>
        <v>0</v>
      </c>
      <c r="BN10" s="55">
        <f t="shared" si="6"/>
        <v>0</v>
      </c>
      <c r="BO10" s="55">
        <f t="shared" si="7"/>
        <v>0</v>
      </c>
      <c r="BP10" s="55">
        <f t="shared" si="8"/>
        <v>0</v>
      </c>
      <c r="BQ10" s="55">
        <f t="shared" si="9"/>
        <v>0</v>
      </c>
      <c r="BR10" s="55">
        <f t="shared" si="10"/>
        <v>0</v>
      </c>
      <c r="BS10" s="55">
        <f t="shared" si="11"/>
        <v>0</v>
      </c>
      <c r="BT10" s="55">
        <f t="shared" si="12"/>
        <v>0</v>
      </c>
      <c r="BU10" s="9"/>
    </row>
    <row r="11" spans="1:73" ht="21" customHeight="1" x14ac:dyDescent="0.25">
      <c r="A11" s="6">
        <v>7</v>
      </c>
      <c r="B11" s="55" t="s">
        <v>36</v>
      </c>
      <c r="C11" s="53" t="s">
        <v>37</v>
      </c>
      <c r="D11" s="59">
        <v>0.57638888888888895</v>
      </c>
      <c r="E11" s="59">
        <v>8.3333333333333329E-2</v>
      </c>
      <c r="F11" s="59">
        <v>0.45</v>
      </c>
      <c r="G11" s="59">
        <v>0.10069444444444443</v>
      </c>
      <c r="H11" s="59">
        <v>0.4236111111111111</v>
      </c>
      <c r="I11" s="59">
        <v>9.7916666666666666E-2</v>
      </c>
      <c r="J11" s="59">
        <v>0.43402777777777773</v>
      </c>
      <c r="K11" s="59">
        <v>0.11041666666666666</v>
      </c>
      <c r="L11" s="59">
        <v>0.45416666666666666</v>
      </c>
      <c r="M11" s="59">
        <v>4.7222222222222221E-2</v>
      </c>
      <c r="N11" s="59">
        <v>0.4375</v>
      </c>
      <c r="O11" s="59">
        <v>8.6805555555555566E-2</v>
      </c>
      <c r="P11" s="59">
        <v>0.4597222222222222</v>
      </c>
      <c r="Q11" s="59">
        <v>6.7361111111111108E-2</v>
      </c>
      <c r="R11" s="59">
        <v>0.4513888888888889</v>
      </c>
      <c r="S11" s="59">
        <v>7.7777777777777779E-2</v>
      </c>
      <c r="T11" s="59">
        <v>0.4513888888888889</v>
      </c>
      <c r="U11" s="59">
        <v>4.027777777777778E-2</v>
      </c>
      <c r="V11" s="59">
        <v>0.42777777777777781</v>
      </c>
      <c r="W11" s="59">
        <v>1</v>
      </c>
      <c r="X11" s="59">
        <v>0.43541666666666662</v>
      </c>
      <c r="Y11" s="59">
        <v>5.0694444444444452E-2</v>
      </c>
      <c r="Z11" s="59">
        <v>0.44166666666666665</v>
      </c>
      <c r="AA11" s="59">
        <v>4.5833333333333337E-2</v>
      </c>
      <c r="AB11" s="59">
        <v>0.43194444444444446</v>
      </c>
      <c r="AC11" s="59">
        <v>0.10902777777777778</v>
      </c>
      <c r="AD11" s="59">
        <v>0.46249999999999997</v>
      </c>
      <c r="AE11" s="59">
        <v>0.11458333333333333</v>
      </c>
      <c r="AF11" s="59">
        <v>0.45208333333333334</v>
      </c>
      <c r="AG11" s="59">
        <v>0.9916666666666667</v>
      </c>
      <c r="AH11" s="59">
        <v>0.45416666666666666</v>
      </c>
      <c r="AI11" s="59">
        <v>2.5694444444444447E-2</v>
      </c>
      <c r="AJ11" s="59">
        <v>0.4604166666666667</v>
      </c>
      <c r="AK11" s="59">
        <v>5.0694444444444452E-2</v>
      </c>
      <c r="AL11" s="59">
        <v>0.4458333333333333</v>
      </c>
      <c r="AM11" s="59">
        <v>5.6944444444444443E-2</v>
      </c>
      <c r="AN11" s="59">
        <v>0.4201388888888889</v>
      </c>
      <c r="AO11" s="59">
        <v>7.3611111111111113E-2</v>
      </c>
      <c r="AP11" s="59">
        <v>0.43611111111111112</v>
      </c>
      <c r="AQ11" s="59">
        <v>4.6527777777777779E-2</v>
      </c>
      <c r="AR11" s="59">
        <v>0.45347222222222222</v>
      </c>
      <c r="AS11" s="59">
        <v>9.5833333333333326E-2</v>
      </c>
      <c r="AT11" s="59">
        <v>0.42430555555555555</v>
      </c>
      <c r="AU11" s="59">
        <v>1.8055555555555557E-2</v>
      </c>
      <c r="AV11" s="59">
        <v>0.45</v>
      </c>
      <c r="AW11" s="59">
        <v>5.486111111111111E-2</v>
      </c>
      <c r="AX11" s="59">
        <v>0.42152777777777778</v>
      </c>
      <c r="AY11" s="59">
        <v>6.5277777777777782E-2</v>
      </c>
      <c r="AZ11" s="59">
        <v>0.45</v>
      </c>
      <c r="BA11" s="59">
        <v>0.1277777777777778</v>
      </c>
      <c r="BB11" s="59">
        <v>2.7083333333333334E-2</v>
      </c>
      <c r="BC11" s="60">
        <v>1</v>
      </c>
      <c r="BD11" s="59">
        <v>0.45763888888888887</v>
      </c>
      <c r="BE11" s="59">
        <v>7.013888888888889E-2</v>
      </c>
      <c r="BF11" s="59">
        <v>0.43263888888888885</v>
      </c>
      <c r="BG11" s="59">
        <v>0.9902777777777777</v>
      </c>
      <c r="BH11" s="7">
        <f t="shared" si="0"/>
        <v>28</v>
      </c>
      <c r="BI11" s="8">
        <f t="shared" si="1"/>
        <v>28</v>
      </c>
      <c r="BJ11" s="55">
        <f t="shared" si="2"/>
        <v>0</v>
      </c>
      <c r="BK11" s="55">
        <f t="shared" si="3"/>
        <v>0</v>
      </c>
      <c r="BL11" s="55">
        <f t="shared" si="4"/>
        <v>0</v>
      </c>
      <c r="BM11" s="55">
        <f t="shared" si="5"/>
        <v>0</v>
      </c>
      <c r="BN11" s="55">
        <f t="shared" si="6"/>
        <v>0</v>
      </c>
      <c r="BO11" s="55">
        <f t="shared" si="7"/>
        <v>0</v>
      </c>
      <c r="BP11" s="55">
        <f t="shared" si="8"/>
        <v>0</v>
      </c>
      <c r="BQ11" s="55">
        <f t="shared" si="9"/>
        <v>0</v>
      </c>
      <c r="BR11" s="55">
        <f t="shared" si="10"/>
        <v>0</v>
      </c>
      <c r="BS11" s="55">
        <f t="shared" si="11"/>
        <v>0</v>
      </c>
      <c r="BT11" s="55">
        <f t="shared" si="12"/>
        <v>0</v>
      </c>
      <c r="BU11" s="9"/>
    </row>
    <row r="12" spans="1:73" ht="21" customHeight="1" x14ac:dyDescent="0.25">
      <c r="A12" s="6">
        <v>8</v>
      </c>
      <c r="B12" s="10" t="s">
        <v>63</v>
      </c>
      <c r="C12" s="53" t="s">
        <v>64</v>
      </c>
      <c r="D12" s="59">
        <v>0.89722222222222225</v>
      </c>
      <c r="E12" s="60">
        <v>1</v>
      </c>
      <c r="F12" s="59">
        <v>0.35625000000000001</v>
      </c>
      <c r="G12" s="59">
        <v>0.85763888888888884</v>
      </c>
      <c r="H12" s="58" t="s">
        <v>68</v>
      </c>
      <c r="I12" s="58" t="s">
        <v>68</v>
      </c>
      <c r="J12" s="58" t="s">
        <v>68</v>
      </c>
      <c r="K12" s="58" t="s">
        <v>68</v>
      </c>
      <c r="L12" s="58" t="s">
        <v>68</v>
      </c>
      <c r="M12" s="58" t="s">
        <v>68</v>
      </c>
      <c r="N12" s="59">
        <v>0.8847222222222223</v>
      </c>
      <c r="O12" s="60">
        <v>1</v>
      </c>
      <c r="P12" s="59">
        <v>0.36319444444444443</v>
      </c>
      <c r="Q12" s="59">
        <v>0.87638888888888899</v>
      </c>
      <c r="R12" s="59">
        <v>0.35902777777777778</v>
      </c>
      <c r="S12" s="59">
        <v>0.88194444444444453</v>
      </c>
      <c r="T12" s="59">
        <v>0.35069444444444442</v>
      </c>
      <c r="U12" s="59">
        <v>0.89583333333333337</v>
      </c>
      <c r="V12" s="59">
        <v>0.35347222222222219</v>
      </c>
      <c r="W12" s="59">
        <v>0.90902777777777777</v>
      </c>
      <c r="X12" s="59">
        <v>0.35416666666666669</v>
      </c>
      <c r="Y12" s="59">
        <v>0.88055555555555554</v>
      </c>
      <c r="Z12" s="59">
        <v>0.36180555555555555</v>
      </c>
      <c r="AA12" s="59">
        <v>0.87291666666666667</v>
      </c>
      <c r="AB12" s="59">
        <v>0.2986111111111111</v>
      </c>
      <c r="AC12" s="59">
        <v>0.91249999999999998</v>
      </c>
      <c r="AD12" s="59">
        <v>0.33819444444444446</v>
      </c>
      <c r="AE12" s="59">
        <v>0.87152777777777779</v>
      </c>
      <c r="AF12" s="59">
        <v>0.33333333333333331</v>
      </c>
      <c r="AG12" s="59">
        <v>0.94444444444444453</v>
      </c>
      <c r="AH12" s="59">
        <v>0.30833333333333335</v>
      </c>
      <c r="AI12" s="59">
        <v>0.87291666666666667</v>
      </c>
      <c r="AJ12" s="59">
        <v>0.27499999999999997</v>
      </c>
      <c r="AK12" s="59">
        <v>0.92986111111111114</v>
      </c>
      <c r="AL12" s="59">
        <v>0.87083333333333324</v>
      </c>
      <c r="AM12" s="60">
        <v>1</v>
      </c>
      <c r="AN12" s="59">
        <v>0.29375000000000001</v>
      </c>
      <c r="AO12" s="59">
        <v>0.94305555555555554</v>
      </c>
      <c r="AP12" s="59">
        <v>0.38194444444444442</v>
      </c>
      <c r="AQ12" s="59">
        <v>0.8881944444444444</v>
      </c>
      <c r="AR12" s="59">
        <v>0.30416666666666664</v>
      </c>
      <c r="AS12" s="60">
        <v>1</v>
      </c>
      <c r="AT12" s="59">
        <v>0.27083333333333331</v>
      </c>
      <c r="AU12" s="60">
        <v>1</v>
      </c>
      <c r="AV12" s="59">
        <v>0.27986111111111112</v>
      </c>
      <c r="AW12" s="59">
        <v>0.88958333333333339</v>
      </c>
      <c r="AX12" s="59">
        <v>0.37708333333333338</v>
      </c>
      <c r="AY12" s="59">
        <v>0.89444444444444438</v>
      </c>
      <c r="AZ12" s="59">
        <v>0.27916666666666667</v>
      </c>
      <c r="BA12" s="59">
        <v>0.99791666666666667</v>
      </c>
      <c r="BB12" s="59">
        <v>0.33888888888888885</v>
      </c>
      <c r="BC12" s="59">
        <v>0.89166666666666661</v>
      </c>
      <c r="BD12" s="59">
        <v>0.3354166666666667</v>
      </c>
      <c r="BE12" s="59">
        <v>0.88680555555555562</v>
      </c>
      <c r="BF12" s="59">
        <v>0.27083333333333331</v>
      </c>
      <c r="BG12" s="59">
        <v>0.88958333333333339</v>
      </c>
      <c r="BH12" s="7">
        <f t="shared" si="0"/>
        <v>28</v>
      </c>
      <c r="BI12" s="8">
        <f t="shared" si="1"/>
        <v>25</v>
      </c>
      <c r="BJ12" s="55">
        <f t="shared" si="2"/>
        <v>0</v>
      </c>
      <c r="BK12" s="55">
        <f t="shared" si="3"/>
        <v>0</v>
      </c>
      <c r="BL12" s="55">
        <f t="shared" si="4"/>
        <v>0</v>
      </c>
      <c r="BM12" s="55">
        <f t="shared" si="5"/>
        <v>0</v>
      </c>
      <c r="BN12" s="55">
        <f t="shared" si="6"/>
        <v>0</v>
      </c>
      <c r="BO12" s="55">
        <f t="shared" si="7"/>
        <v>0</v>
      </c>
      <c r="BP12" s="55">
        <f t="shared" si="8"/>
        <v>3</v>
      </c>
      <c r="BQ12" s="55">
        <f t="shared" si="9"/>
        <v>0</v>
      </c>
      <c r="BR12" s="55">
        <f t="shared" si="10"/>
        <v>0</v>
      </c>
      <c r="BS12" s="55">
        <f t="shared" si="11"/>
        <v>0</v>
      </c>
      <c r="BT12" s="55">
        <f t="shared" si="12"/>
        <v>0</v>
      </c>
      <c r="BU12" s="9"/>
    </row>
    <row r="13" spans="1:73" ht="21" customHeight="1" x14ac:dyDescent="0.25">
      <c r="A13" s="6">
        <v>9</v>
      </c>
      <c r="B13" s="10" t="s">
        <v>65</v>
      </c>
      <c r="C13" s="53" t="s">
        <v>66</v>
      </c>
      <c r="D13" s="58" t="s">
        <v>68</v>
      </c>
      <c r="E13" s="58" t="s">
        <v>68</v>
      </c>
      <c r="F13" s="58" t="s">
        <v>68</v>
      </c>
      <c r="G13" s="58" t="s">
        <v>68</v>
      </c>
      <c r="H13" s="58" t="s">
        <v>68</v>
      </c>
      <c r="I13" s="58" t="s">
        <v>68</v>
      </c>
      <c r="J13" s="58" t="s">
        <v>68</v>
      </c>
      <c r="K13" s="58" t="s">
        <v>68</v>
      </c>
      <c r="L13" s="58" t="s">
        <v>68</v>
      </c>
      <c r="M13" s="58" t="s">
        <v>68</v>
      </c>
      <c r="N13" s="58" t="s">
        <v>68</v>
      </c>
      <c r="O13" s="58" t="s">
        <v>68</v>
      </c>
      <c r="P13" s="58" t="s">
        <v>68</v>
      </c>
      <c r="Q13" s="58" t="s">
        <v>68</v>
      </c>
      <c r="R13" s="58" t="s">
        <v>68</v>
      </c>
      <c r="S13" s="58" t="s">
        <v>68</v>
      </c>
      <c r="T13" s="58" t="s">
        <v>68</v>
      </c>
      <c r="U13" s="58" t="s">
        <v>68</v>
      </c>
      <c r="V13" s="58" t="s">
        <v>68</v>
      </c>
      <c r="W13" s="58" t="s">
        <v>68</v>
      </c>
      <c r="X13" s="60">
        <v>1</v>
      </c>
      <c r="Y13" s="60">
        <v>1</v>
      </c>
      <c r="Z13" s="60">
        <v>1</v>
      </c>
      <c r="AA13" s="60">
        <v>1</v>
      </c>
      <c r="AB13" s="60">
        <v>1</v>
      </c>
      <c r="AC13" s="60">
        <v>1</v>
      </c>
      <c r="AD13" s="60">
        <v>1</v>
      </c>
      <c r="AE13" s="60">
        <v>1</v>
      </c>
      <c r="AF13" s="60">
        <v>1</v>
      </c>
      <c r="AG13" s="59">
        <v>0.90902777777777777</v>
      </c>
      <c r="AH13" s="59">
        <v>0.86388888888888893</v>
      </c>
      <c r="AI13" s="60">
        <v>1</v>
      </c>
      <c r="AJ13" s="59">
        <v>0.33402777777777781</v>
      </c>
      <c r="AK13" s="59">
        <v>0.93055555555555547</v>
      </c>
      <c r="AL13" s="59">
        <v>0.37152777777777773</v>
      </c>
      <c r="AM13" s="59">
        <v>0.87916666666666676</v>
      </c>
      <c r="AN13" s="59">
        <v>0.36805555555555558</v>
      </c>
      <c r="AO13" s="59">
        <v>0.89097222222222217</v>
      </c>
      <c r="AP13" s="59">
        <v>0.37708333333333338</v>
      </c>
      <c r="AQ13" s="59">
        <v>0.87847222222222221</v>
      </c>
      <c r="AR13" s="59">
        <v>0.29722222222222222</v>
      </c>
      <c r="AS13" s="59">
        <v>0.89513888888888893</v>
      </c>
      <c r="AT13" s="59">
        <v>0.37708333333333338</v>
      </c>
      <c r="AU13" s="59">
        <v>0.87986111111111109</v>
      </c>
      <c r="AV13" s="59">
        <v>0.33958333333333335</v>
      </c>
      <c r="AW13" s="59">
        <v>0.87847222222222221</v>
      </c>
      <c r="AX13" s="59">
        <v>0.37708333333333338</v>
      </c>
      <c r="AY13" s="59">
        <v>0.88958333333333339</v>
      </c>
      <c r="AZ13" s="59">
        <v>0.34027777777777773</v>
      </c>
      <c r="BA13" s="59">
        <v>0.88680555555555562</v>
      </c>
      <c r="BB13" s="59">
        <v>0.34236111111111112</v>
      </c>
      <c r="BC13" s="59">
        <v>0.87847222222222221</v>
      </c>
      <c r="BD13" s="59">
        <v>0.33888888888888885</v>
      </c>
      <c r="BE13" s="59">
        <v>0.88055555555555554</v>
      </c>
      <c r="BF13" s="59">
        <v>0.3444444444444445</v>
      </c>
      <c r="BG13" s="59">
        <v>0.9902777777777777</v>
      </c>
      <c r="BH13" s="7">
        <f t="shared" si="0"/>
        <v>28</v>
      </c>
      <c r="BI13" s="8">
        <f t="shared" si="1"/>
        <v>18</v>
      </c>
      <c r="BJ13" s="55">
        <f t="shared" si="2"/>
        <v>0</v>
      </c>
      <c r="BK13" s="55">
        <f t="shared" si="3"/>
        <v>0</v>
      </c>
      <c r="BL13" s="55">
        <f t="shared" si="4"/>
        <v>0</v>
      </c>
      <c r="BM13" s="55">
        <f t="shared" si="5"/>
        <v>0</v>
      </c>
      <c r="BN13" s="55">
        <f t="shared" si="6"/>
        <v>0</v>
      </c>
      <c r="BO13" s="55">
        <f t="shared" si="7"/>
        <v>0</v>
      </c>
      <c r="BP13" s="55">
        <f t="shared" si="8"/>
        <v>10</v>
      </c>
      <c r="BQ13" s="55">
        <f t="shared" si="9"/>
        <v>0</v>
      </c>
      <c r="BR13" s="55">
        <f t="shared" si="10"/>
        <v>0</v>
      </c>
      <c r="BS13" s="55">
        <f t="shared" si="11"/>
        <v>0</v>
      </c>
      <c r="BT13" s="55">
        <f t="shared" si="12"/>
        <v>0</v>
      </c>
      <c r="BU13" s="9"/>
    </row>
    <row r="14" spans="1:73" x14ac:dyDescent="0.25">
      <c r="B14" s="11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O14" s="12"/>
      <c r="BP14" s="12"/>
      <c r="BQ14" s="12"/>
      <c r="BR14" s="12"/>
      <c r="BS14" s="12"/>
      <c r="BT14" s="12"/>
      <c r="BU14" s="12"/>
    </row>
    <row r="15" spans="1:73" x14ac:dyDescent="0.25">
      <c r="B15" s="11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J15" s="22" t="s">
        <v>44</v>
      </c>
      <c r="BK15" s="23"/>
      <c r="BL15" s="23"/>
      <c r="BM15" s="24" t="s">
        <v>14</v>
      </c>
      <c r="BN15" s="12"/>
      <c r="BO15" s="12"/>
      <c r="BP15" s="25" t="s">
        <v>45</v>
      </c>
      <c r="BQ15" s="26"/>
      <c r="BR15" s="26"/>
      <c r="BS15" s="27"/>
      <c r="BT15" s="28" t="s">
        <v>20</v>
      </c>
      <c r="BU15" s="12"/>
    </row>
    <row r="16" spans="1:73" ht="15.75" x14ac:dyDescent="0.25">
      <c r="B16" s="11"/>
      <c r="D16" s="13"/>
      <c r="E16" s="14" t="s">
        <v>40</v>
      </c>
      <c r="F16" s="15"/>
      <c r="G16" s="14"/>
      <c r="H16" s="16"/>
      <c r="I16" s="16"/>
      <c r="J16" s="17"/>
      <c r="K16" s="18"/>
      <c r="L16" s="18"/>
      <c r="M16" s="19" t="s">
        <v>41</v>
      </c>
      <c r="N16" s="19"/>
      <c r="O16" s="17"/>
      <c r="P16" s="17"/>
      <c r="Q16" s="17"/>
      <c r="R16" s="17"/>
      <c r="S16" s="17" t="s">
        <v>42</v>
      </c>
      <c r="T16" s="17"/>
      <c r="U16" s="17"/>
      <c r="V16" s="17"/>
      <c r="W16" s="19" t="s">
        <v>43</v>
      </c>
      <c r="X16" s="17"/>
      <c r="Y16" s="20"/>
      <c r="Z16" s="21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J16" s="22" t="s">
        <v>46</v>
      </c>
      <c r="BK16" s="23"/>
      <c r="BL16" s="23"/>
      <c r="BM16" s="24" t="s">
        <v>15</v>
      </c>
      <c r="BN16" s="12"/>
      <c r="BO16" s="12"/>
      <c r="BP16" s="34" t="s">
        <v>47</v>
      </c>
      <c r="BQ16" s="35"/>
      <c r="BR16" s="35"/>
      <c r="BS16" s="27"/>
      <c r="BT16" s="28" t="s">
        <v>21</v>
      </c>
      <c r="BU16" s="12"/>
    </row>
    <row r="17" spans="2:73" ht="17.25" x14ac:dyDescent="0.25">
      <c r="B17" s="11"/>
      <c r="D17" s="29"/>
      <c r="E17" s="16"/>
      <c r="F17" s="16"/>
      <c r="G17" s="16"/>
      <c r="H17" s="16"/>
      <c r="I17" s="16"/>
      <c r="J17" s="16"/>
      <c r="K17" s="30"/>
      <c r="L17" s="30"/>
      <c r="M17" s="30"/>
      <c r="N17" s="16"/>
      <c r="O17" s="16"/>
      <c r="P17" s="16"/>
      <c r="Q17" s="31"/>
      <c r="R17" s="31"/>
      <c r="S17" s="31"/>
      <c r="T17" s="31"/>
      <c r="U17" s="31"/>
      <c r="V17" s="31"/>
      <c r="W17" s="32"/>
      <c r="X17" s="32"/>
      <c r="Y17" s="33"/>
      <c r="Z17" s="20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J17" s="22" t="s">
        <v>48</v>
      </c>
      <c r="BK17" s="23"/>
      <c r="BL17" s="23"/>
      <c r="BM17" s="24" t="s">
        <v>16</v>
      </c>
      <c r="BN17" s="12"/>
      <c r="BO17" s="12"/>
      <c r="BP17" s="34" t="s">
        <v>49</v>
      </c>
      <c r="BQ17" s="35"/>
      <c r="BR17" s="35"/>
      <c r="BS17" s="27"/>
      <c r="BT17" s="28" t="s">
        <v>22</v>
      </c>
      <c r="BU17" s="12"/>
    </row>
    <row r="18" spans="2:73" ht="17.25" x14ac:dyDescent="0.25">
      <c r="B18" s="11"/>
      <c r="D18" s="29"/>
      <c r="E18" s="36"/>
      <c r="F18" s="16"/>
      <c r="G18" s="36"/>
      <c r="H18" s="16"/>
      <c r="I18" s="16"/>
      <c r="J18" s="36" t="s">
        <v>42</v>
      </c>
      <c r="K18" s="37"/>
      <c r="L18" s="37"/>
      <c r="M18" s="30"/>
      <c r="N18" s="16"/>
      <c r="O18" s="36"/>
      <c r="P18" s="36"/>
      <c r="Q18" s="17"/>
      <c r="R18" s="16"/>
      <c r="S18" s="16"/>
      <c r="T18" s="16"/>
      <c r="U18" s="16"/>
      <c r="V18" s="16"/>
      <c r="W18" s="38"/>
      <c r="X18" s="38"/>
      <c r="Y18" s="39"/>
      <c r="Z18" s="20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BF18" s="12"/>
      <c r="BG18" s="12"/>
      <c r="BJ18" s="22" t="s">
        <v>50</v>
      </c>
      <c r="BK18" s="23"/>
      <c r="BL18" s="23"/>
      <c r="BM18" s="24" t="s">
        <v>17</v>
      </c>
      <c r="BN18" s="12"/>
      <c r="BO18" s="12"/>
      <c r="BP18" s="25" t="s">
        <v>51</v>
      </c>
      <c r="BQ18" s="26"/>
      <c r="BR18" s="26"/>
      <c r="BS18" s="27"/>
      <c r="BT18" s="28" t="s">
        <v>23</v>
      </c>
      <c r="BU18" s="12"/>
    </row>
    <row r="19" spans="2:73" ht="17.25" x14ac:dyDescent="0.25">
      <c r="B19" s="11"/>
      <c r="C19" t="s">
        <v>42</v>
      </c>
      <c r="D19" s="40"/>
      <c r="E19" s="36"/>
      <c r="F19" s="16"/>
      <c r="G19" s="36"/>
      <c r="H19" s="16"/>
      <c r="I19" s="16"/>
      <c r="J19" s="36"/>
      <c r="K19" s="37"/>
      <c r="L19" s="37"/>
      <c r="M19" s="30"/>
      <c r="N19" s="17"/>
      <c r="O19" s="36"/>
      <c r="P19" s="36"/>
      <c r="Q19" s="17"/>
      <c r="R19" s="16"/>
      <c r="S19" s="16"/>
      <c r="T19" s="16"/>
      <c r="U19" s="16"/>
      <c r="V19" s="16"/>
      <c r="W19" s="38"/>
      <c r="X19" s="38"/>
      <c r="Y19" s="39"/>
      <c r="Z19" s="41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J19" s="22" t="s">
        <v>55</v>
      </c>
      <c r="BK19" s="23"/>
      <c r="BL19" s="23"/>
      <c r="BM19" s="24" t="s">
        <v>18</v>
      </c>
      <c r="BN19" s="12"/>
      <c r="BO19" s="12"/>
      <c r="BP19" s="25" t="s">
        <v>56</v>
      </c>
      <c r="BQ19" s="26"/>
      <c r="BR19" s="26"/>
      <c r="BS19" s="27"/>
      <c r="BT19" s="28" t="s">
        <v>24</v>
      </c>
      <c r="BU19" s="12"/>
    </row>
    <row r="20" spans="2:73" ht="17.25" x14ac:dyDescent="0.25">
      <c r="B20" s="11"/>
      <c r="D20" s="42" t="s">
        <v>52</v>
      </c>
      <c r="E20" s="43"/>
      <c r="F20" s="13"/>
      <c r="G20" s="42"/>
      <c r="H20" s="16"/>
      <c r="I20" s="16"/>
      <c r="J20" s="36"/>
      <c r="K20" s="30"/>
      <c r="L20" s="37"/>
      <c r="M20" s="15" t="s">
        <v>53</v>
      </c>
      <c r="N20" s="16"/>
      <c r="O20" s="36"/>
      <c r="P20" s="17"/>
      <c r="Q20" s="16"/>
      <c r="R20" s="16"/>
      <c r="S20" s="16"/>
      <c r="T20" s="16"/>
      <c r="U20" s="16"/>
      <c r="V20" s="16"/>
      <c r="W20" s="15" t="s">
        <v>54</v>
      </c>
      <c r="X20" s="38"/>
      <c r="Y20" s="39"/>
      <c r="Z20" s="41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45"/>
      <c r="AT20" s="12"/>
      <c r="AU20" s="12"/>
      <c r="AV20" s="12"/>
      <c r="AW20" s="12"/>
      <c r="AX20" s="12"/>
      <c r="AY20" s="12"/>
      <c r="BB20" s="12"/>
      <c r="BC20" s="12"/>
      <c r="BD20" s="12"/>
      <c r="BE20" s="12"/>
      <c r="BF20" s="12"/>
      <c r="BG20" s="12"/>
      <c r="BH20" s="12"/>
      <c r="BI20" s="12"/>
      <c r="BJ20" s="22" t="s">
        <v>60</v>
      </c>
      <c r="BK20" s="23"/>
      <c r="BL20" s="23"/>
      <c r="BM20" s="24" t="s">
        <v>19</v>
      </c>
      <c r="BN20" s="12"/>
      <c r="BO20" s="12"/>
      <c r="BP20" s="12"/>
      <c r="BQ20" s="12"/>
      <c r="BR20" s="12"/>
      <c r="BS20" s="12"/>
      <c r="BT20" s="12"/>
      <c r="BU20" s="12"/>
    </row>
    <row r="21" spans="2:73" ht="17.25" x14ac:dyDescent="0.25">
      <c r="D21" s="42"/>
      <c r="E21" s="42" t="s">
        <v>57</v>
      </c>
      <c r="F21" s="40"/>
      <c r="G21" s="40"/>
      <c r="H21" s="16"/>
      <c r="I21" s="16"/>
      <c r="J21" s="15"/>
      <c r="K21" s="44"/>
      <c r="L21" s="44"/>
      <c r="M21" s="15" t="s">
        <v>58</v>
      </c>
      <c r="N21" s="15"/>
      <c r="O21" s="15"/>
      <c r="P21" s="17"/>
      <c r="Q21" s="15"/>
      <c r="R21" s="16"/>
      <c r="S21" s="16" t="s">
        <v>42</v>
      </c>
      <c r="T21" s="16"/>
      <c r="U21" s="16"/>
      <c r="V21" s="16"/>
      <c r="W21" s="15" t="s">
        <v>59</v>
      </c>
      <c r="X21" s="38"/>
      <c r="Y21" s="39"/>
      <c r="Z21" s="41"/>
    </row>
    <row r="22" spans="2:73" x14ac:dyDescent="0.2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33" spans="1:73" ht="21" customHeight="1" x14ac:dyDescent="0.25">
      <c r="A33" s="6">
        <v>7</v>
      </c>
      <c r="B33" s="10" t="s">
        <v>38</v>
      </c>
      <c r="C33" s="53" t="s">
        <v>39</v>
      </c>
      <c r="D33" s="56">
        <v>0.40833333333333338</v>
      </c>
      <c r="E33" s="56">
        <v>0.88541666666666663</v>
      </c>
      <c r="F33" s="56">
        <v>0.3972222222222222</v>
      </c>
      <c r="G33" s="56">
        <v>0.90833333333333333</v>
      </c>
      <c r="H33" s="56">
        <v>0.39583333333333331</v>
      </c>
      <c r="I33" s="56">
        <v>0.87291666666666667</v>
      </c>
      <c r="J33" s="56">
        <v>0.25138888888888888</v>
      </c>
      <c r="K33" s="56">
        <v>0.93888888888888899</v>
      </c>
      <c r="L33" s="56">
        <v>0.33611111111111108</v>
      </c>
      <c r="M33" s="57">
        <v>1</v>
      </c>
      <c r="N33" s="56">
        <v>0.27013888888888887</v>
      </c>
      <c r="O33" s="56">
        <v>0.89861111111111114</v>
      </c>
      <c r="P33" s="56">
        <v>0.27708333333333335</v>
      </c>
      <c r="Q33" s="56">
        <v>0.93611111111111101</v>
      </c>
      <c r="R33" s="56">
        <v>0.27986111111111112</v>
      </c>
      <c r="S33" s="56">
        <v>0.89027777777777783</v>
      </c>
      <c r="T33" s="56">
        <v>0.26666666666666666</v>
      </c>
      <c r="U33" s="56">
        <v>0.84166666666666667</v>
      </c>
      <c r="V33" s="56">
        <v>0.39583333333333331</v>
      </c>
      <c r="W33" s="56">
        <v>0.87013888888888891</v>
      </c>
      <c r="X33" s="56">
        <v>0.41736111111111113</v>
      </c>
      <c r="Y33" s="56">
        <v>0.85555555555555562</v>
      </c>
      <c r="Z33" s="57">
        <v>1</v>
      </c>
      <c r="AA33" s="51">
        <v>1</v>
      </c>
      <c r="AB33" s="50">
        <v>0.40763888888888888</v>
      </c>
      <c r="AC33" s="50">
        <v>0.9</v>
      </c>
      <c r="AD33" s="50">
        <v>0.43194444444444446</v>
      </c>
      <c r="AE33" s="50">
        <v>0.87083333333333324</v>
      </c>
      <c r="AF33" s="50">
        <v>0.40486111111111112</v>
      </c>
      <c r="AG33" s="51">
        <v>1</v>
      </c>
      <c r="AH33" s="51">
        <v>1</v>
      </c>
      <c r="AI33" s="51">
        <v>1</v>
      </c>
      <c r="AJ33" s="51">
        <v>1</v>
      </c>
      <c r="AK33" s="51">
        <v>1</v>
      </c>
      <c r="AL33" s="51">
        <v>1</v>
      </c>
      <c r="AM33" s="51">
        <v>1</v>
      </c>
      <c r="AN33" s="50" t="s">
        <v>22</v>
      </c>
      <c r="AO33" s="50" t="s">
        <v>22</v>
      </c>
      <c r="AP33" s="50" t="s">
        <v>22</v>
      </c>
      <c r="AQ33" s="50" t="s">
        <v>22</v>
      </c>
      <c r="AR33" s="50" t="s">
        <v>22</v>
      </c>
      <c r="AS33" s="50" t="s">
        <v>22</v>
      </c>
      <c r="AT33" s="50" t="s">
        <v>22</v>
      </c>
      <c r="AU33" s="50" t="s">
        <v>22</v>
      </c>
      <c r="AV33" s="50" t="s">
        <v>22</v>
      </c>
      <c r="AW33" s="50" t="s">
        <v>22</v>
      </c>
      <c r="AX33" s="50" t="s">
        <v>22</v>
      </c>
      <c r="AY33" s="50" t="s">
        <v>22</v>
      </c>
      <c r="AZ33" s="50" t="s">
        <v>22</v>
      </c>
      <c r="BA33" s="50" t="s">
        <v>22</v>
      </c>
      <c r="BB33" s="50" t="s">
        <v>22</v>
      </c>
      <c r="BC33" s="50" t="s">
        <v>22</v>
      </c>
      <c r="BD33" s="50" t="s">
        <v>22</v>
      </c>
      <c r="BE33" s="50" t="s">
        <v>22</v>
      </c>
      <c r="BF33" s="50" t="s">
        <v>22</v>
      </c>
      <c r="BG33" s="50" t="s">
        <v>22</v>
      </c>
      <c r="BH33" s="7">
        <f>BI33+BJ33+BK33+BL33+BQ33+BO33+BP33+BT33+BM33</f>
        <v>18</v>
      </c>
      <c r="BI33" s="8">
        <f>COUNT(D33:AG33)/2+COUNT(AH33:BG33)/2</f>
        <v>18</v>
      </c>
      <c r="BJ33" s="55">
        <f>COUNTIF(D33:BG33,"OFF")/2</f>
        <v>0</v>
      </c>
      <c r="BK33" s="55">
        <f>COUNTIF(D33:BG33,"MC")/2</f>
        <v>0</v>
      </c>
      <c r="BL33" s="55">
        <f>COUNTIF(D33:BG33,"EL")/2</f>
        <v>0</v>
      </c>
      <c r="BM33" s="55">
        <f>COUNTIF(D33:BG33,"AL")/2</f>
        <v>0</v>
      </c>
      <c r="BN33" s="55">
        <f>COUNTIF(D33:BG33,"SUS")/2</f>
        <v>0</v>
      </c>
      <c r="BO33" s="55">
        <f>COUNTIF(D33:BG33,"FL")/2</f>
        <v>0</v>
      </c>
      <c r="BP33" s="55">
        <f>COUNTIF(D33:BG33,"SICK")/2</f>
        <v>0</v>
      </c>
      <c r="BQ33" s="55">
        <f>COUNTIF(D33:BG33,"HD")/2</f>
        <v>0</v>
      </c>
      <c r="BR33" s="55">
        <f>COUNTIF(D33:BG33,"AB")/2</f>
        <v>10</v>
      </c>
      <c r="BS33" s="55">
        <f>COUNTIF(D33:BG33,"NL")/2</f>
        <v>0</v>
      </c>
      <c r="BT33" s="55">
        <f>COUNTIF(D33:BG33,"SP")/2</f>
        <v>0</v>
      </c>
      <c r="BU33" s="9"/>
    </row>
  </sheetData>
  <mergeCells count="61">
    <mergeCell ref="AN3:AO3"/>
    <mergeCell ref="AP3:AQ3"/>
    <mergeCell ref="AR3:AS3"/>
    <mergeCell ref="AT3:AU3"/>
    <mergeCell ref="AJ3:AK3"/>
    <mergeCell ref="AL3:AM3"/>
    <mergeCell ref="BI2:BU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BB2:BC2"/>
    <mergeCell ref="BD2:BE2"/>
    <mergeCell ref="BF2:BG2"/>
    <mergeCell ref="AV3:AW3"/>
    <mergeCell ref="AX3:AY3"/>
    <mergeCell ref="AZ3:BA3"/>
    <mergeCell ref="AH2:AI2"/>
    <mergeCell ref="AJ2:AK2"/>
    <mergeCell ref="AL2:AM2"/>
    <mergeCell ref="V3:W3"/>
    <mergeCell ref="X3:Y3"/>
    <mergeCell ref="Z3:AA3"/>
    <mergeCell ref="AB3:AC3"/>
    <mergeCell ref="AD3:AE3"/>
    <mergeCell ref="AF3:AG3"/>
    <mergeCell ref="AH3:AI3"/>
    <mergeCell ref="X2:Y2"/>
    <mergeCell ref="Z2:AA2"/>
    <mergeCell ref="AB2:AC2"/>
    <mergeCell ref="AP2:AQ2"/>
    <mergeCell ref="AR2:AS2"/>
    <mergeCell ref="AT2:AU2"/>
    <mergeCell ref="AV2:AW2"/>
    <mergeCell ref="AX2:AY2"/>
    <mergeCell ref="AZ2:BA2"/>
    <mergeCell ref="BD3:BE3"/>
    <mergeCell ref="BB3:BC3"/>
    <mergeCell ref="AH1:BU1"/>
    <mergeCell ref="A2:C3"/>
    <mergeCell ref="D2:E2"/>
    <mergeCell ref="F2:G2"/>
    <mergeCell ref="H2:I2"/>
    <mergeCell ref="J2:K2"/>
    <mergeCell ref="L2:M2"/>
    <mergeCell ref="N2:O2"/>
    <mergeCell ref="P2:Q2"/>
    <mergeCell ref="AN2:AO2"/>
    <mergeCell ref="R2:S2"/>
    <mergeCell ref="BH2:BH4"/>
    <mergeCell ref="BF3:BG3"/>
    <mergeCell ref="T2:U2"/>
    <mergeCell ref="V2:W2"/>
    <mergeCell ref="AD2:AE2"/>
    <mergeCell ref="AF2:AG2"/>
    <mergeCell ref="A1:AG1"/>
  </mergeCells>
  <phoneticPr fontId="20" type="noConversion"/>
  <conditionalFormatting sqref="A2">
    <cfRule type="cellIs" dxfId="7" priority="29" operator="equal">
      <formula>";"</formula>
    </cfRule>
  </conditionalFormatting>
  <conditionalFormatting sqref="B7">
    <cfRule type="duplicateValues" dxfId="6" priority="26"/>
  </conditionalFormatting>
  <conditionalFormatting sqref="B10">
    <cfRule type="duplicateValues" dxfId="5" priority="177"/>
  </conditionalFormatting>
  <conditionalFormatting sqref="B12:B13">
    <cfRule type="duplicateValues" dxfId="4" priority="25"/>
  </conditionalFormatting>
  <conditionalFormatting sqref="B33">
    <cfRule type="duplicateValues" dxfId="3" priority="7"/>
  </conditionalFormatting>
  <conditionalFormatting sqref="D13:W13">
    <cfRule type="containsText" dxfId="2" priority="2" stopIfTrue="1" operator="containsText" text="SICK">
      <formula>NOT(ISERROR(SEARCH("SICK",D13)))</formula>
    </cfRule>
  </conditionalFormatting>
  <conditionalFormatting sqref="H12:M12">
    <cfRule type="containsText" dxfId="1" priority="1" stopIfTrue="1" operator="containsText" text="SICK">
      <formula>NOT(ISERROR(SEARCH("SICK",H12)))</formula>
    </cfRule>
  </conditionalFormatting>
  <conditionalFormatting sqref="AH33:BG33">
    <cfRule type="containsText" dxfId="0" priority="6" stopIfTrue="1" operator="containsText" text="AB">
      <formula>NOT(ISERROR(SEARCH("AB",AH33)))</formula>
    </cfRule>
  </conditionalFormatting>
  <pageMargins left="0.7" right="0.7" top="0.75" bottom="0.75" header="0.3" footer="0.3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2026-03-28T06:22:27Z</cp:lastPrinted>
  <dcterms:created xsi:type="dcterms:W3CDTF">2025-11-05T10:24:14Z</dcterms:created>
  <dcterms:modified xsi:type="dcterms:W3CDTF">2026-10-30T08:50:31Z</dcterms:modified>
</cp:coreProperties>
</file>