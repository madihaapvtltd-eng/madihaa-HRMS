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May\"/>
    </mc:Choice>
  </mc:AlternateContent>
  <xr:revisionPtr revIDLastSave="0" documentId="13_ncr:1_{C68FAB3C-B4A8-418F-BCB6-87D87D561EF8}" xr6:coauthVersionLast="47" xr6:coauthVersionMax="47" xr10:uidLastSave="{00000000-0000-0000-0000-000000000000}"/>
  <bookViews>
    <workbookView xWindow="-120" yWindow="-120" windowWidth="29040" windowHeight="15840" tabRatio="630" activeTab="5" xr2:uid="{7B5E2D85-C188-4C2A-B943-BB771193A8A7}"/>
  </bookViews>
  <sheets>
    <sheet name="MASTER" sheetId="1" r:id="rId1"/>
    <sheet name="SURIYA" sheetId="15" r:id="rId2"/>
    <sheet name="arun" sheetId="16" r:id="rId3"/>
    <sheet name="karim" sheetId="17" r:id="rId4"/>
    <sheet name="Enamul Hoque" sheetId="18" r:id="rId5"/>
    <sheet name="MD SAHMAD" sheetId="19" r:id="rId6"/>
    <sheet name="Sumon" sheetId="20" r:id="rId7"/>
    <sheet name="Rumi" sheetId="21" r:id="rId8"/>
    <sheet name="Saswati" sheetId="22" r:id="rId9"/>
    <sheet name="Manik Hossain" sheetId="23" r:id="rId10"/>
    <sheet name="Anuj Mishra" sheetId="2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102" i="1" l="1"/>
  <c r="CR68" i="1"/>
  <c r="CR69" i="1"/>
  <c r="CR70" i="1"/>
  <c r="CR71" i="1"/>
  <c r="CS28" i="24" l="1"/>
  <c r="CS27" i="24"/>
  <c r="CS24" i="24"/>
  <c r="CS23" i="24"/>
  <c r="CS22" i="24"/>
  <c r="CS5" i="24"/>
  <c r="CD5" i="24"/>
  <c r="CC5" i="24"/>
  <c r="CB5" i="24"/>
  <c r="CA5" i="24"/>
  <c r="BZ5" i="24"/>
  <c r="BY5" i="24"/>
  <c r="BX5" i="24"/>
  <c r="BW5" i="24"/>
  <c r="BV5" i="24"/>
  <c r="BU5" i="24"/>
  <c r="BT5" i="24"/>
  <c r="BS5" i="24"/>
  <c r="CP125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O126" i="1" l="1"/>
  <c r="BQ5" i="24"/>
  <c r="BT5" i="1" l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38" i="1"/>
  <c r="CA40" i="1"/>
  <c r="CB40" i="1"/>
  <c r="CC40" i="1"/>
  <c r="CD40" i="1"/>
  <c r="CA41" i="1"/>
  <c r="CB41" i="1"/>
  <c r="CC41" i="1"/>
  <c r="CD41" i="1"/>
  <c r="CA42" i="1"/>
  <c r="CB42" i="1"/>
  <c r="CC42" i="1"/>
  <c r="CD42" i="1"/>
  <c r="CA43" i="1"/>
  <c r="CB43" i="1"/>
  <c r="CC43" i="1"/>
  <c r="CD43" i="1"/>
  <c r="CA44" i="1"/>
  <c r="CB44" i="1"/>
  <c r="CC44" i="1"/>
  <c r="CD44" i="1"/>
  <c r="CA45" i="1"/>
  <c r="CB45" i="1"/>
  <c r="CC45" i="1"/>
  <c r="CD45" i="1"/>
  <c r="CA46" i="1"/>
  <c r="CB46" i="1"/>
  <c r="CC46" i="1"/>
  <c r="CD46" i="1"/>
  <c r="CA47" i="1"/>
  <c r="CB47" i="1"/>
  <c r="CC47" i="1"/>
  <c r="CD47" i="1"/>
  <c r="CA48" i="1"/>
  <c r="CB48" i="1"/>
  <c r="CC48" i="1"/>
  <c r="CD48" i="1"/>
  <c r="CA49" i="1"/>
  <c r="CB49" i="1"/>
  <c r="CC49" i="1"/>
  <c r="CD49" i="1"/>
  <c r="CA50" i="1"/>
  <c r="CB50" i="1"/>
  <c r="CC50" i="1"/>
  <c r="CD50" i="1"/>
  <c r="CA51" i="1"/>
  <c r="CB51" i="1"/>
  <c r="CC51" i="1"/>
  <c r="CD51" i="1"/>
  <c r="CA52" i="1"/>
  <c r="CB52" i="1"/>
  <c r="CC52" i="1"/>
  <c r="CD52" i="1"/>
  <c r="CA53" i="1"/>
  <c r="CB53" i="1"/>
  <c r="CC53" i="1"/>
  <c r="CD53" i="1"/>
  <c r="CA54" i="1"/>
  <c r="CB54" i="1"/>
  <c r="CC54" i="1"/>
  <c r="CD54" i="1"/>
  <c r="CA55" i="1"/>
  <c r="CB55" i="1"/>
  <c r="CC55" i="1"/>
  <c r="CD55" i="1"/>
  <c r="CA56" i="1"/>
  <c r="CB56" i="1"/>
  <c r="CC56" i="1"/>
  <c r="CD56" i="1"/>
  <c r="CA57" i="1"/>
  <c r="CB57" i="1"/>
  <c r="CC57" i="1"/>
  <c r="CD57" i="1"/>
  <c r="CA58" i="1"/>
  <c r="CB58" i="1"/>
  <c r="CC58" i="1"/>
  <c r="CD58" i="1"/>
  <c r="CA59" i="1"/>
  <c r="CB59" i="1"/>
  <c r="CC59" i="1"/>
  <c r="CD59" i="1"/>
  <c r="CA60" i="1"/>
  <c r="CB60" i="1"/>
  <c r="CC60" i="1"/>
  <c r="CD60" i="1"/>
  <c r="CA61" i="1"/>
  <c r="CB61" i="1"/>
  <c r="CC61" i="1"/>
  <c r="CD61" i="1"/>
  <c r="CA62" i="1"/>
  <c r="CB62" i="1"/>
  <c r="CC62" i="1"/>
  <c r="CD62" i="1"/>
  <c r="CA63" i="1"/>
  <c r="CB63" i="1"/>
  <c r="CC63" i="1"/>
  <c r="CD63" i="1"/>
  <c r="CA64" i="1"/>
  <c r="CB64" i="1"/>
  <c r="CC64" i="1"/>
  <c r="CD64" i="1"/>
  <c r="CA65" i="1"/>
  <c r="CB65" i="1"/>
  <c r="CC65" i="1"/>
  <c r="CD65" i="1"/>
  <c r="CA66" i="1"/>
  <c r="CB66" i="1"/>
  <c r="CC66" i="1"/>
  <c r="CD66" i="1"/>
  <c r="CA67" i="1"/>
  <c r="CB67" i="1"/>
  <c r="CC67" i="1"/>
  <c r="CD67" i="1"/>
  <c r="CA68" i="1"/>
  <c r="CB68" i="1"/>
  <c r="CC68" i="1"/>
  <c r="CD68" i="1"/>
  <c r="CA69" i="1"/>
  <c r="CB69" i="1"/>
  <c r="CC69" i="1"/>
  <c r="CD69" i="1"/>
  <c r="CA70" i="1"/>
  <c r="CB70" i="1"/>
  <c r="CC70" i="1"/>
  <c r="CD70" i="1"/>
  <c r="CA71" i="1"/>
  <c r="CB71" i="1"/>
  <c r="CC71" i="1"/>
  <c r="CD71" i="1"/>
  <c r="CA72" i="1"/>
  <c r="CB72" i="1"/>
  <c r="CC72" i="1"/>
  <c r="CD72" i="1"/>
  <c r="CA73" i="1"/>
  <c r="CB73" i="1"/>
  <c r="CC73" i="1"/>
  <c r="CD73" i="1"/>
  <c r="CA74" i="1"/>
  <c r="CB74" i="1"/>
  <c r="CC74" i="1"/>
  <c r="CD74" i="1"/>
  <c r="CA75" i="1"/>
  <c r="CB75" i="1"/>
  <c r="CC75" i="1"/>
  <c r="CD75" i="1"/>
  <c r="CA76" i="1"/>
  <c r="CB76" i="1"/>
  <c r="CC76" i="1"/>
  <c r="CD76" i="1"/>
  <c r="CA77" i="1"/>
  <c r="CB77" i="1"/>
  <c r="CC77" i="1"/>
  <c r="CD77" i="1"/>
  <c r="CA78" i="1"/>
  <c r="CB78" i="1"/>
  <c r="CC78" i="1"/>
  <c r="CD78" i="1"/>
  <c r="CA79" i="1"/>
  <c r="CB79" i="1"/>
  <c r="CC79" i="1"/>
  <c r="CD79" i="1"/>
  <c r="CA80" i="1"/>
  <c r="CB80" i="1"/>
  <c r="CC80" i="1"/>
  <c r="CD80" i="1"/>
  <c r="CA81" i="1"/>
  <c r="CB81" i="1"/>
  <c r="CC81" i="1"/>
  <c r="CD81" i="1"/>
  <c r="CA82" i="1"/>
  <c r="CB82" i="1"/>
  <c r="CC82" i="1"/>
  <c r="CD82" i="1"/>
  <c r="CA83" i="1"/>
  <c r="CB83" i="1"/>
  <c r="CC83" i="1"/>
  <c r="CD83" i="1"/>
  <c r="CA84" i="1"/>
  <c r="CB84" i="1"/>
  <c r="CC84" i="1"/>
  <c r="CD84" i="1"/>
  <c r="CA85" i="1"/>
  <c r="CB85" i="1"/>
  <c r="CC85" i="1"/>
  <c r="CD85" i="1"/>
  <c r="CA86" i="1"/>
  <c r="CB86" i="1"/>
  <c r="CC86" i="1"/>
  <c r="CD86" i="1"/>
  <c r="CA87" i="1"/>
  <c r="CB87" i="1"/>
  <c r="CC87" i="1"/>
  <c r="CD87" i="1"/>
  <c r="CA88" i="1"/>
  <c r="CB88" i="1"/>
  <c r="CC88" i="1"/>
  <c r="CD88" i="1"/>
  <c r="CA89" i="1"/>
  <c r="CB89" i="1"/>
  <c r="CC89" i="1"/>
  <c r="CD89" i="1"/>
  <c r="CA90" i="1"/>
  <c r="CB90" i="1"/>
  <c r="CC90" i="1"/>
  <c r="CD90" i="1"/>
  <c r="CA91" i="1"/>
  <c r="CB91" i="1"/>
  <c r="CC91" i="1"/>
  <c r="CD91" i="1"/>
  <c r="CA92" i="1"/>
  <c r="CB92" i="1"/>
  <c r="CC92" i="1"/>
  <c r="CD92" i="1"/>
  <c r="CA93" i="1"/>
  <c r="CB93" i="1"/>
  <c r="CC93" i="1"/>
  <c r="CD93" i="1"/>
  <c r="CA94" i="1"/>
  <c r="CB94" i="1"/>
  <c r="CC94" i="1"/>
  <c r="CD94" i="1"/>
  <c r="CA95" i="1"/>
  <c r="CB95" i="1"/>
  <c r="CC95" i="1"/>
  <c r="CD95" i="1"/>
  <c r="CA96" i="1"/>
  <c r="CB96" i="1"/>
  <c r="CC96" i="1"/>
  <c r="CD96" i="1"/>
  <c r="CA97" i="1"/>
  <c r="CB97" i="1"/>
  <c r="CC97" i="1"/>
  <c r="CD97" i="1"/>
  <c r="CA98" i="1"/>
  <c r="CB98" i="1"/>
  <c r="CC98" i="1"/>
  <c r="CD98" i="1"/>
  <c r="CA99" i="1"/>
  <c r="CB99" i="1"/>
  <c r="CC99" i="1"/>
  <c r="CD99" i="1"/>
  <c r="BT63" i="1"/>
  <c r="BU63" i="1"/>
  <c r="BV63" i="1"/>
  <c r="BW63" i="1"/>
  <c r="BX63" i="1"/>
  <c r="BY63" i="1"/>
  <c r="BT64" i="1"/>
  <c r="BU64" i="1"/>
  <c r="BV64" i="1"/>
  <c r="BW64" i="1"/>
  <c r="BX64" i="1"/>
  <c r="BY64" i="1"/>
  <c r="BT65" i="1"/>
  <c r="BU65" i="1"/>
  <c r="BV65" i="1"/>
  <c r="BW65" i="1"/>
  <c r="BX65" i="1"/>
  <c r="BY65" i="1"/>
  <c r="BT66" i="1"/>
  <c r="BU66" i="1"/>
  <c r="BV66" i="1"/>
  <c r="BW66" i="1"/>
  <c r="BX66" i="1"/>
  <c r="BY66" i="1"/>
  <c r="BT67" i="1"/>
  <c r="BU67" i="1"/>
  <c r="BV67" i="1"/>
  <c r="BW67" i="1"/>
  <c r="BX67" i="1"/>
  <c r="BY67" i="1"/>
  <c r="BT68" i="1"/>
  <c r="BU68" i="1"/>
  <c r="BV68" i="1"/>
  <c r="BW68" i="1"/>
  <c r="BX68" i="1"/>
  <c r="BY68" i="1"/>
  <c r="BT69" i="1"/>
  <c r="BU69" i="1"/>
  <c r="BV69" i="1"/>
  <c r="BW69" i="1"/>
  <c r="BX69" i="1"/>
  <c r="BY69" i="1"/>
  <c r="BT70" i="1"/>
  <c r="BU70" i="1"/>
  <c r="BV70" i="1"/>
  <c r="BW70" i="1"/>
  <c r="BX70" i="1"/>
  <c r="BY70" i="1"/>
  <c r="BT71" i="1"/>
  <c r="BU71" i="1"/>
  <c r="BV71" i="1"/>
  <c r="BW71" i="1"/>
  <c r="BX71" i="1"/>
  <c r="BY71" i="1"/>
  <c r="BT72" i="1"/>
  <c r="BU72" i="1"/>
  <c r="BV72" i="1"/>
  <c r="BW72" i="1"/>
  <c r="BX72" i="1"/>
  <c r="BY72" i="1"/>
  <c r="BT73" i="1"/>
  <c r="BU73" i="1"/>
  <c r="BV73" i="1"/>
  <c r="BW73" i="1"/>
  <c r="BX73" i="1"/>
  <c r="BY73" i="1"/>
  <c r="BT74" i="1"/>
  <c r="BU74" i="1"/>
  <c r="BV74" i="1"/>
  <c r="BW74" i="1"/>
  <c r="BX74" i="1"/>
  <c r="BY74" i="1"/>
  <c r="BT75" i="1"/>
  <c r="BU75" i="1"/>
  <c r="BV75" i="1"/>
  <c r="BW75" i="1"/>
  <c r="BX75" i="1"/>
  <c r="BY75" i="1"/>
  <c r="BT76" i="1"/>
  <c r="BU76" i="1"/>
  <c r="BV76" i="1"/>
  <c r="BW76" i="1"/>
  <c r="BX76" i="1"/>
  <c r="BY76" i="1"/>
  <c r="BT77" i="1"/>
  <c r="BU77" i="1"/>
  <c r="BV77" i="1"/>
  <c r="BW77" i="1"/>
  <c r="BX77" i="1"/>
  <c r="BY77" i="1"/>
  <c r="BT78" i="1"/>
  <c r="BU78" i="1"/>
  <c r="BV78" i="1"/>
  <c r="BW78" i="1"/>
  <c r="BX78" i="1"/>
  <c r="BY78" i="1"/>
  <c r="BT79" i="1"/>
  <c r="BU79" i="1"/>
  <c r="BV79" i="1"/>
  <c r="BW79" i="1"/>
  <c r="BX79" i="1"/>
  <c r="BY79" i="1"/>
  <c r="BT80" i="1"/>
  <c r="BU80" i="1"/>
  <c r="BV80" i="1"/>
  <c r="BW80" i="1"/>
  <c r="BX80" i="1"/>
  <c r="BY80" i="1"/>
  <c r="BT81" i="1"/>
  <c r="BU81" i="1"/>
  <c r="BV81" i="1"/>
  <c r="BW81" i="1"/>
  <c r="BX81" i="1"/>
  <c r="BY81" i="1"/>
  <c r="BT82" i="1"/>
  <c r="BU82" i="1"/>
  <c r="BV82" i="1"/>
  <c r="BW82" i="1"/>
  <c r="BX82" i="1"/>
  <c r="BY82" i="1"/>
  <c r="BT83" i="1"/>
  <c r="BU83" i="1"/>
  <c r="BV83" i="1"/>
  <c r="BW83" i="1"/>
  <c r="BX83" i="1"/>
  <c r="BY83" i="1"/>
  <c r="BT84" i="1"/>
  <c r="BU84" i="1"/>
  <c r="BV84" i="1"/>
  <c r="BW84" i="1"/>
  <c r="BX84" i="1"/>
  <c r="BY84" i="1"/>
  <c r="BT85" i="1"/>
  <c r="BU85" i="1"/>
  <c r="BV85" i="1"/>
  <c r="BW85" i="1"/>
  <c r="BX85" i="1"/>
  <c r="BY85" i="1"/>
  <c r="BT86" i="1"/>
  <c r="BU86" i="1"/>
  <c r="BV86" i="1"/>
  <c r="BW86" i="1"/>
  <c r="BX86" i="1"/>
  <c r="BY86" i="1"/>
  <c r="BT87" i="1"/>
  <c r="BU87" i="1"/>
  <c r="BV87" i="1"/>
  <c r="BW87" i="1"/>
  <c r="BX87" i="1"/>
  <c r="BY87" i="1"/>
  <c r="BT88" i="1"/>
  <c r="BU88" i="1"/>
  <c r="BV88" i="1"/>
  <c r="BW88" i="1"/>
  <c r="BX88" i="1"/>
  <c r="BY88" i="1"/>
  <c r="BT89" i="1"/>
  <c r="BU89" i="1"/>
  <c r="BV89" i="1"/>
  <c r="BW89" i="1"/>
  <c r="BX89" i="1"/>
  <c r="BY89" i="1"/>
  <c r="BT90" i="1"/>
  <c r="BU90" i="1"/>
  <c r="BV90" i="1"/>
  <c r="BW90" i="1"/>
  <c r="BX90" i="1"/>
  <c r="BY90" i="1"/>
  <c r="BT91" i="1"/>
  <c r="BU91" i="1"/>
  <c r="BV91" i="1"/>
  <c r="BW91" i="1"/>
  <c r="BX91" i="1"/>
  <c r="BY91" i="1"/>
  <c r="BT92" i="1"/>
  <c r="BU92" i="1"/>
  <c r="BV92" i="1"/>
  <c r="BW92" i="1"/>
  <c r="BX92" i="1"/>
  <c r="BY92" i="1"/>
  <c r="BT93" i="1"/>
  <c r="BU93" i="1"/>
  <c r="BV93" i="1"/>
  <c r="BW93" i="1"/>
  <c r="BX93" i="1"/>
  <c r="BY93" i="1"/>
  <c r="BT94" i="1"/>
  <c r="BU94" i="1"/>
  <c r="BV94" i="1"/>
  <c r="BW94" i="1"/>
  <c r="BX94" i="1"/>
  <c r="BY94" i="1"/>
  <c r="BT95" i="1"/>
  <c r="BU95" i="1"/>
  <c r="BV95" i="1"/>
  <c r="BW95" i="1"/>
  <c r="BX95" i="1"/>
  <c r="BY95" i="1"/>
  <c r="BT96" i="1"/>
  <c r="BU96" i="1"/>
  <c r="BV96" i="1"/>
  <c r="BW96" i="1"/>
  <c r="BX96" i="1"/>
  <c r="BY96" i="1"/>
  <c r="BT97" i="1"/>
  <c r="BU97" i="1"/>
  <c r="BV97" i="1"/>
  <c r="BW97" i="1"/>
  <c r="BX97" i="1"/>
  <c r="BY97" i="1"/>
  <c r="BT98" i="1"/>
  <c r="BU98" i="1"/>
  <c r="BV98" i="1"/>
  <c r="BW98" i="1"/>
  <c r="BX98" i="1"/>
  <c r="BY98" i="1"/>
  <c r="BT39" i="1"/>
  <c r="BU39" i="1"/>
  <c r="BV39" i="1"/>
  <c r="BW39" i="1"/>
  <c r="BX39" i="1"/>
  <c r="BY39" i="1"/>
  <c r="BT40" i="1"/>
  <c r="BU40" i="1"/>
  <c r="BV40" i="1"/>
  <c r="BW40" i="1"/>
  <c r="BX40" i="1"/>
  <c r="BY40" i="1"/>
  <c r="BT41" i="1"/>
  <c r="BU41" i="1"/>
  <c r="BV41" i="1"/>
  <c r="BW41" i="1"/>
  <c r="BX41" i="1"/>
  <c r="BY41" i="1"/>
  <c r="BT42" i="1"/>
  <c r="BU42" i="1"/>
  <c r="BV42" i="1"/>
  <c r="BW42" i="1"/>
  <c r="BX42" i="1"/>
  <c r="BY42" i="1"/>
  <c r="BT43" i="1"/>
  <c r="BU43" i="1"/>
  <c r="BV43" i="1"/>
  <c r="BW43" i="1"/>
  <c r="BX43" i="1"/>
  <c r="BY43" i="1"/>
  <c r="BT44" i="1"/>
  <c r="BU44" i="1"/>
  <c r="BV44" i="1"/>
  <c r="BW44" i="1"/>
  <c r="BX44" i="1"/>
  <c r="BY44" i="1"/>
  <c r="BT45" i="1"/>
  <c r="BU45" i="1"/>
  <c r="BV45" i="1"/>
  <c r="BW45" i="1"/>
  <c r="BX45" i="1"/>
  <c r="BY45" i="1"/>
  <c r="BT46" i="1"/>
  <c r="BU46" i="1"/>
  <c r="BV46" i="1"/>
  <c r="BW46" i="1"/>
  <c r="BX46" i="1"/>
  <c r="BY46" i="1"/>
  <c r="BT47" i="1"/>
  <c r="BU47" i="1"/>
  <c r="BV47" i="1"/>
  <c r="BW47" i="1"/>
  <c r="BX47" i="1"/>
  <c r="BY47" i="1"/>
  <c r="BT48" i="1"/>
  <c r="BU48" i="1"/>
  <c r="BV48" i="1"/>
  <c r="BW48" i="1"/>
  <c r="BX48" i="1"/>
  <c r="BY48" i="1"/>
  <c r="BT49" i="1"/>
  <c r="BU49" i="1"/>
  <c r="BV49" i="1"/>
  <c r="BW49" i="1"/>
  <c r="BX49" i="1"/>
  <c r="BY49" i="1"/>
  <c r="BT50" i="1"/>
  <c r="BU50" i="1"/>
  <c r="BV50" i="1"/>
  <c r="BW50" i="1"/>
  <c r="BX50" i="1"/>
  <c r="BY50" i="1"/>
  <c r="BT51" i="1"/>
  <c r="BU51" i="1"/>
  <c r="BV51" i="1"/>
  <c r="BW51" i="1"/>
  <c r="BX51" i="1"/>
  <c r="BY51" i="1"/>
  <c r="BT52" i="1"/>
  <c r="BU52" i="1"/>
  <c r="BV52" i="1"/>
  <c r="BW52" i="1"/>
  <c r="BX52" i="1"/>
  <c r="BY52" i="1"/>
  <c r="BT53" i="1"/>
  <c r="BU53" i="1"/>
  <c r="BV53" i="1"/>
  <c r="BW53" i="1"/>
  <c r="BX53" i="1"/>
  <c r="BY53" i="1"/>
  <c r="BT54" i="1"/>
  <c r="BU54" i="1"/>
  <c r="BV54" i="1"/>
  <c r="BW54" i="1"/>
  <c r="BX54" i="1"/>
  <c r="BY54" i="1"/>
  <c r="BT55" i="1"/>
  <c r="BU55" i="1"/>
  <c r="BV55" i="1"/>
  <c r="BW55" i="1"/>
  <c r="BX55" i="1"/>
  <c r="BY55" i="1"/>
  <c r="BT56" i="1"/>
  <c r="BU56" i="1"/>
  <c r="BV56" i="1"/>
  <c r="BW56" i="1"/>
  <c r="BX56" i="1"/>
  <c r="BY56" i="1"/>
  <c r="BT57" i="1"/>
  <c r="BU57" i="1"/>
  <c r="BV57" i="1"/>
  <c r="BW57" i="1"/>
  <c r="BX57" i="1"/>
  <c r="BY57" i="1"/>
  <c r="BT58" i="1"/>
  <c r="BU58" i="1"/>
  <c r="BV58" i="1"/>
  <c r="BW58" i="1"/>
  <c r="BX58" i="1"/>
  <c r="BY58" i="1"/>
  <c r="BT59" i="1"/>
  <c r="BU59" i="1"/>
  <c r="BV59" i="1"/>
  <c r="BW59" i="1"/>
  <c r="BX59" i="1"/>
  <c r="BY59" i="1"/>
  <c r="BT60" i="1"/>
  <c r="BU60" i="1"/>
  <c r="BV60" i="1"/>
  <c r="BW60" i="1"/>
  <c r="BX60" i="1"/>
  <c r="BY60" i="1"/>
  <c r="BT61" i="1"/>
  <c r="BU61" i="1"/>
  <c r="BV61" i="1"/>
  <c r="BW61" i="1"/>
  <c r="BX61" i="1"/>
  <c r="BY61" i="1"/>
  <c r="BT62" i="1"/>
  <c r="BU62" i="1"/>
  <c r="BV62" i="1"/>
  <c r="BW62" i="1"/>
  <c r="BX62" i="1"/>
  <c r="BY62" i="1"/>
  <c r="BY38" i="1"/>
  <c r="BZ9" i="1"/>
  <c r="BZ6" i="1"/>
  <c r="BZ7" i="1"/>
  <c r="BZ8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5" i="1"/>
  <c r="BZ9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9" i="1"/>
  <c r="BZ100" i="1"/>
  <c r="BZ101" i="1"/>
  <c r="BZ102" i="1"/>
  <c r="BZ38" i="1"/>
  <c r="BS101" i="1"/>
  <c r="BS102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T6" i="1"/>
  <c r="BU6" i="1"/>
  <c r="BV6" i="1"/>
  <c r="BW6" i="1"/>
  <c r="BX6" i="1"/>
  <c r="BY6" i="1"/>
  <c r="CA6" i="1"/>
  <c r="CB6" i="1"/>
  <c r="CC6" i="1"/>
  <c r="CD6" i="1"/>
  <c r="BT7" i="1"/>
  <c r="BU7" i="1"/>
  <c r="BV7" i="1"/>
  <c r="BW7" i="1"/>
  <c r="BX7" i="1"/>
  <c r="BY7" i="1"/>
  <c r="CA7" i="1"/>
  <c r="CB7" i="1"/>
  <c r="CC7" i="1"/>
  <c r="CD7" i="1"/>
  <c r="BT8" i="1"/>
  <c r="BU8" i="1"/>
  <c r="BV8" i="1"/>
  <c r="BW8" i="1"/>
  <c r="BX8" i="1"/>
  <c r="BY8" i="1"/>
  <c r="CA8" i="1"/>
  <c r="CB8" i="1"/>
  <c r="CC8" i="1"/>
  <c r="CD8" i="1"/>
  <c r="BT9" i="1"/>
  <c r="BU9" i="1"/>
  <c r="BV9" i="1"/>
  <c r="BW9" i="1"/>
  <c r="BX9" i="1"/>
  <c r="BY9" i="1"/>
  <c r="CA9" i="1"/>
  <c r="CB9" i="1"/>
  <c r="CC9" i="1"/>
  <c r="CD9" i="1"/>
  <c r="BT10" i="1"/>
  <c r="BU10" i="1"/>
  <c r="BV10" i="1"/>
  <c r="BW10" i="1"/>
  <c r="BX10" i="1"/>
  <c r="BY10" i="1"/>
  <c r="CA10" i="1"/>
  <c r="CB10" i="1"/>
  <c r="CC10" i="1"/>
  <c r="CD10" i="1"/>
  <c r="BT11" i="1"/>
  <c r="BU11" i="1"/>
  <c r="BV11" i="1"/>
  <c r="BW11" i="1"/>
  <c r="BX11" i="1"/>
  <c r="BY11" i="1"/>
  <c r="CA11" i="1"/>
  <c r="CB11" i="1"/>
  <c r="CC11" i="1"/>
  <c r="CD11" i="1"/>
  <c r="BT12" i="1"/>
  <c r="BU12" i="1"/>
  <c r="BV12" i="1"/>
  <c r="BW12" i="1"/>
  <c r="BX12" i="1"/>
  <c r="BY12" i="1"/>
  <c r="CA12" i="1"/>
  <c r="CB12" i="1"/>
  <c r="CC12" i="1"/>
  <c r="CD12" i="1"/>
  <c r="BT13" i="1"/>
  <c r="BU13" i="1"/>
  <c r="BV13" i="1"/>
  <c r="BW13" i="1"/>
  <c r="BX13" i="1"/>
  <c r="BY13" i="1"/>
  <c r="CA13" i="1"/>
  <c r="CB13" i="1"/>
  <c r="CC13" i="1"/>
  <c r="CD13" i="1"/>
  <c r="BT14" i="1"/>
  <c r="BU14" i="1"/>
  <c r="BV14" i="1"/>
  <c r="BW14" i="1"/>
  <c r="BX14" i="1"/>
  <c r="BY14" i="1"/>
  <c r="CA14" i="1"/>
  <c r="CB14" i="1"/>
  <c r="CC14" i="1"/>
  <c r="CD14" i="1"/>
  <c r="BT15" i="1"/>
  <c r="BU15" i="1"/>
  <c r="BV15" i="1"/>
  <c r="BW15" i="1"/>
  <c r="BX15" i="1"/>
  <c r="BY15" i="1"/>
  <c r="CA15" i="1"/>
  <c r="CB15" i="1"/>
  <c r="CC15" i="1"/>
  <c r="CD15" i="1"/>
  <c r="BT16" i="1"/>
  <c r="BU16" i="1"/>
  <c r="BV16" i="1"/>
  <c r="BW16" i="1"/>
  <c r="BX16" i="1"/>
  <c r="BY16" i="1"/>
  <c r="CA16" i="1"/>
  <c r="CB16" i="1"/>
  <c r="CC16" i="1"/>
  <c r="CD16" i="1"/>
  <c r="BT17" i="1"/>
  <c r="BU17" i="1"/>
  <c r="BV17" i="1"/>
  <c r="BW17" i="1"/>
  <c r="BX17" i="1"/>
  <c r="BY17" i="1"/>
  <c r="CA17" i="1"/>
  <c r="CB17" i="1"/>
  <c r="CC17" i="1"/>
  <c r="CD17" i="1"/>
  <c r="BT18" i="1"/>
  <c r="BU18" i="1"/>
  <c r="BV18" i="1"/>
  <c r="BW18" i="1"/>
  <c r="BX18" i="1"/>
  <c r="BY18" i="1"/>
  <c r="CA18" i="1"/>
  <c r="CB18" i="1"/>
  <c r="CC18" i="1"/>
  <c r="CD18" i="1"/>
  <c r="BT19" i="1"/>
  <c r="BU19" i="1"/>
  <c r="BV19" i="1"/>
  <c r="BW19" i="1"/>
  <c r="BX19" i="1"/>
  <c r="BY19" i="1"/>
  <c r="CA19" i="1"/>
  <c r="CB19" i="1"/>
  <c r="CC19" i="1"/>
  <c r="CD19" i="1"/>
  <c r="BT20" i="1"/>
  <c r="BU20" i="1"/>
  <c r="BV20" i="1"/>
  <c r="BW20" i="1"/>
  <c r="BX20" i="1"/>
  <c r="BY20" i="1"/>
  <c r="CA20" i="1"/>
  <c r="CB20" i="1"/>
  <c r="CC20" i="1"/>
  <c r="CD20" i="1"/>
  <c r="BT21" i="1"/>
  <c r="BU21" i="1"/>
  <c r="BV21" i="1"/>
  <c r="BW21" i="1"/>
  <c r="BX21" i="1"/>
  <c r="BY21" i="1"/>
  <c r="CA21" i="1"/>
  <c r="CB21" i="1"/>
  <c r="CC21" i="1"/>
  <c r="CD21" i="1"/>
  <c r="BT22" i="1"/>
  <c r="BU22" i="1"/>
  <c r="BV22" i="1"/>
  <c r="BW22" i="1"/>
  <c r="BX22" i="1"/>
  <c r="BY22" i="1"/>
  <c r="CA22" i="1"/>
  <c r="CB22" i="1"/>
  <c r="CC22" i="1"/>
  <c r="CD22" i="1"/>
  <c r="BT23" i="1"/>
  <c r="BU23" i="1"/>
  <c r="BV23" i="1"/>
  <c r="BW23" i="1"/>
  <c r="BX23" i="1"/>
  <c r="BY23" i="1"/>
  <c r="CA23" i="1"/>
  <c r="CB23" i="1"/>
  <c r="CC23" i="1"/>
  <c r="CD23" i="1"/>
  <c r="BT24" i="1"/>
  <c r="BU24" i="1"/>
  <c r="BV24" i="1"/>
  <c r="BW24" i="1"/>
  <c r="BX24" i="1"/>
  <c r="BY24" i="1"/>
  <c r="CA24" i="1"/>
  <c r="CB24" i="1"/>
  <c r="CC24" i="1"/>
  <c r="CD24" i="1"/>
  <c r="BT25" i="1"/>
  <c r="BU25" i="1"/>
  <c r="BV25" i="1"/>
  <c r="BW25" i="1"/>
  <c r="BX25" i="1"/>
  <c r="BY25" i="1"/>
  <c r="CA25" i="1"/>
  <c r="CB25" i="1"/>
  <c r="CC25" i="1"/>
  <c r="CD25" i="1"/>
  <c r="CA39" i="1"/>
  <c r="CB39" i="1"/>
  <c r="CC39" i="1"/>
  <c r="CD39" i="1"/>
  <c r="BT99" i="1"/>
  <c r="BU99" i="1"/>
  <c r="BV99" i="1"/>
  <c r="BW99" i="1"/>
  <c r="BX99" i="1"/>
  <c r="BY99" i="1"/>
  <c r="BT100" i="1"/>
  <c r="BU100" i="1"/>
  <c r="BV100" i="1"/>
  <c r="BW100" i="1"/>
  <c r="BX100" i="1"/>
  <c r="BY100" i="1"/>
  <c r="CA100" i="1"/>
  <c r="CB100" i="1"/>
  <c r="CC100" i="1"/>
  <c r="CD100" i="1"/>
  <c r="BT101" i="1"/>
  <c r="BU101" i="1"/>
  <c r="BV101" i="1"/>
  <c r="BW101" i="1"/>
  <c r="BX101" i="1"/>
  <c r="BY101" i="1"/>
  <c r="CA101" i="1"/>
  <c r="CB101" i="1"/>
  <c r="CC101" i="1"/>
  <c r="CD101" i="1"/>
  <c r="BT102" i="1"/>
  <c r="BU102" i="1"/>
  <c r="BV102" i="1"/>
  <c r="BW102" i="1"/>
  <c r="BX102" i="1"/>
  <c r="BY102" i="1"/>
  <c r="CA102" i="1"/>
  <c r="CB102" i="1"/>
  <c r="CC102" i="1"/>
  <c r="CD102" i="1"/>
  <c r="BQ69" i="1" l="1"/>
  <c r="BQ12" i="1"/>
  <c r="BQ8" i="1"/>
  <c r="BQ13" i="1"/>
  <c r="BQ9" i="1"/>
  <c r="BQ6" i="1"/>
  <c r="BQ14" i="1"/>
  <c r="BQ10" i="1"/>
  <c r="BQ11" i="1"/>
  <c r="BQ7" i="1"/>
  <c r="BQ102" i="1"/>
  <c r="BN5" i="23" l="1"/>
  <c r="BM5" i="23"/>
  <c r="BL5" i="23"/>
  <c r="BK5" i="23"/>
  <c r="BJ5" i="23"/>
  <c r="BI5" i="23"/>
  <c r="BH5" i="23"/>
  <c r="BG5" i="23"/>
  <c r="BF5" i="23"/>
  <c r="BE5" i="23"/>
  <c r="BD5" i="23"/>
  <c r="BC5" i="23"/>
  <c r="BD5" i="22"/>
  <c r="BC5" i="22"/>
  <c r="BB5" i="22"/>
  <c r="BA5" i="22"/>
  <c r="AZ5" i="22"/>
  <c r="AY5" i="22"/>
  <c r="AX5" i="22"/>
  <c r="AW5" i="22"/>
  <c r="AV5" i="22"/>
  <c r="AU5" i="22"/>
  <c r="AT5" i="22"/>
  <c r="AS5" i="22"/>
  <c r="AZ5" i="21"/>
  <c r="AY5" i="21"/>
  <c r="AX5" i="21"/>
  <c r="AW5" i="21"/>
  <c r="AV5" i="21"/>
  <c r="AU5" i="21"/>
  <c r="AT5" i="21"/>
  <c r="AS5" i="21"/>
  <c r="AR5" i="21"/>
  <c r="AQ5" i="21"/>
  <c r="AP5" i="21"/>
  <c r="AO5" i="21"/>
  <c r="AM5" i="21" s="1"/>
  <c r="AZ5" i="20"/>
  <c r="AY5" i="20"/>
  <c r="AX5" i="20"/>
  <c r="AW5" i="20"/>
  <c r="AV5" i="20"/>
  <c r="AU5" i="20"/>
  <c r="AT5" i="20"/>
  <c r="AS5" i="20"/>
  <c r="AR5" i="20"/>
  <c r="AQ5" i="20"/>
  <c r="AP5" i="20"/>
  <c r="AO5" i="20"/>
  <c r="AT5" i="19"/>
  <c r="AS5" i="19"/>
  <c r="AR5" i="19"/>
  <c r="AQ5" i="19"/>
  <c r="AP5" i="19"/>
  <c r="AO5" i="19"/>
  <c r="AN5" i="19"/>
  <c r="AM5" i="19"/>
  <c r="AL5" i="19"/>
  <c r="AK5" i="19"/>
  <c r="AJ5" i="19"/>
  <c r="AI5" i="19"/>
  <c r="AR5" i="18"/>
  <c r="AQ5" i="18"/>
  <c r="AP5" i="18"/>
  <c r="AO5" i="18"/>
  <c r="AN5" i="18"/>
  <c r="AM5" i="18"/>
  <c r="AL5" i="18"/>
  <c r="AK5" i="18"/>
  <c r="AJ5" i="18"/>
  <c r="AI5" i="18"/>
  <c r="AH5" i="18"/>
  <c r="AG5" i="18"/>
  <c r="BG5" i="17"/>
  <c r="AR5" i="17"/>
  <c r="AQ5" i="17"/>
  <c r="AP5" i="17"/>
  <c r="AO5" i="17"/>
  <c r="AN5" i="17"/>
  <c r="AM5" i="17"/>
  <c r="AL5" i="17"/>
  <c r="AK5" i="17"/>
  <c r="AJ5" i="17"/>
  <c r="AI5" i="17"/>
  <c r="AH5" i="17"/>
  <c r="AG5" i="17"/>
  <c r="AY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BA5" i="23" l="1"/>
  <c r="AQ5" i="22"/>
  <c r="AM5" i="20"/>
  <c r="AG5" i="19"/>
  <c r="AE5" i="18"/>
  <c r="AE5" i="17"/>
  <c r="W5" i="16"/>
  <c r="AU5" i="15" l="1"/>
  <c r="AF5" i="15"/>
  <c r="AE5" i="15"/>
  <c r="AD5" i="15"/>
  <c r="AC5" i="15"/>
  <c r="AB5" i="15"/>
  <c r="AA5" i="15"/>
  <c r="Z5" i="15"/>
  <c r="Y5" i="15"/>
  <c r="X5" i="15"/>
  <c r="W5" i="15"/>
  <c r="V5" i="15"/>
  <c r="U5" i="15"/>
  <c r="BS5" i="1"/>
  <c r="BT140" i="1"/>
  <c r="BT137" i="1"/>
  <c r="BS140" i="1"/>
  <c r="BU140" i="1"/>
  <c r="BV140" i="1"/>
  <c r="BW140" i="1"/>
  <c r="BX140" i="1"/>
  <c r="BY140" i="1"/>
  <c r="BZ140" i="1"/>
  <c r="CA140" i="1"/>
  <c r="CB140" i="1"/>
  <c r="CC140" i="1"/>
  <c r="BS134" i="1"/>
  <c r="BS135" i="1"/>
  <c r="BS138" i="1"/>
  <c r="BS139" i="1"/>
  <c r="BS137" i="1"/>
  <c r="BS141" i="1"/>
  <c r="BS142" i="1"/>
  <c r="BS136" i="1"/>
  <c r="S5" i="15" l="1"/>
  <c r="BS132" i="1" l="1"/>
  <c r="BT132" i="1"/>
  <c r="BU132" i="1"/>
  <c r="BV132" i="1"/>
  <c r="BW132" i="1"/>
  <c r="BX132" i="1"/>
  <c r="BY132" i="1"/>
  <c r="BZ132" i="1"/>
  <c r="CA132" i="1"/>
  <c r="CB132" i="1"/>
  <c r="CC132" i="1"/>
  <c r="CD132" i="1"/>
  <c r="BT134" i="1"/>
  <c r="BU134" i="1"/>
  <c r="BV134" i="1"/>
  <c r="BW134" i="1"/>
  <c r="BX134" i="1"/>
  <c r="BY134" i="1"/>
  <c r="BZ134" i="1"/>
  <c r="CA134" i="1"/>
  <c r="CB134" i="1"/>
  <c r="CC134" i="1"/>
  <c r="CD134" i="1"/>
  <c r="BT135" i="1"/>
  <c r="BU135" i="1"/>
  <c r="BV135" i="1"/>
  <c r="BW135" i="1"/>
  <c r="BX135" i="1"/>
  <c r="BY135" i="1"/>
  <c r="BZ135" i="1"/>
  <c r="CA135" i="1"/>
  <c r="CB135" i="1"/>
  <c r="CC135" i="1"/>
  <c r="CD135" i="1"/>
  <c r="BT130" i="1"/>
  <c r="BU130" i="1"/>
  <c r="BV130" i="1"/>
  <c r="BW130" i="1"/>
  <c r="BX130" i="1"/>
  <c r="BY130" i="1"/>
  <c r="BZ130" i="1"/>
  <c r="CA130" i="1"/>
  <c r="CB130" i="1"/>
  <c r="CC130" i="1"/>
  <c r="CD130" i="1"/>
  <c r="CR23" i="1"/>
  <c r="CR24" i="1"/>
  <c r="CR25" i="1"/>
  <c r="BS129" i="1"/>
  <c r="BS133" i="1"/>
  <c r="BS131" i="1"/>
  <c r="BS130" i="1"/>
  <c r="BQ134" i="1" l="1"/>
  <c r="BQ47" i="1"/>
  <c r="BQ63" i="1"/>
  <c r="BQ64" i="1"/>
  <c r="BQ25" i="1"/>
  <c r="BQ24" i="1"/>
  <c r="BQ135" i="1" l="1"/>
  <c r="BQ22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BT138" i="1"/>
  <c r="BU138" i="1"/>
  <c r="BV138" i="1"/>
  <c r="BW138" i="1"/>
  <c r="BX138" i="1"/>
  <c r="BY138" i="1"/>
  <c r="BZ138" i="1"/>
  <c r="CA138" i="1"/>
  <c r="CB138" i="1"/>
  <c r="CC138" i="1"/>
  <c r="CD13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BT139" i="1"/>
  <c r="BU139" i="1"/>
  <c r="BV139" i="1"/>
  <c r="BW139" i="1"/>
  <c r="BX139" i="1"/>
  <c r="BY139" i="1"/>
  <c r="BZ139" i="1"/>
  <c r="CA139" i="1"/>
  <c r="CB139" i="1"/>
  <c r="CC139" i="1"/>
  <c r="CD139" i="1"/>
  <c r="BT129" i="1"/>
  <c r="BU129" i="1"/>
  <c r="BV129" i="1"/>
  <c r="BW129" i="1"/>
  <c r="BX129" i="1"/>
  <c r="BY129" i="1"/>
  <c r="BZ129" i="1"/>
  <c r="CA129" i="1"/>
  <c r="CB129" i="1"/>
  <c r="CC129" i="1"/>
  <c r="CD129" i="1"/>
  <c r="CD140" i="1"/>
  <c r="BQ140" i="1" s="1"/>
  <c r="BU137" i="1"/>
  <c r="BV137" i="1"/>
  <c r="BW137" i="1"/>
  <c r="BX137" i="1"/>
  <c r="BY137" i="1"/>
  <c r="BZ137" i="1"/>
  <c r="CA137" i="1"/>
  <c r="CB137" i="1"/>
  <c r="CC137" i="1"/>
  <c r="CD137" i="1"/>
  <c r="BT141" i="1"/>
  <c r="BU141" i="1"/>
  <c r="BV141" i="1"/>
  <c r="BW141" i="1"/>
  <c r="BX141" i="1"/>
  <c r="BY141" i="1"/>
  <c r="BZ141" i="1"/>
  <c r="CA141" i="1"/>
  <c r="CB141" i="1"/>
  <c r="CC141" i="1"/>
  <c r="CD141" i="1"/>
  <c r="BT142" i="1"/>
  <c r="BU142" i="1"/>
  <c r="BV142" i="1"/>
  <c r="BW142" i="1"/>
  <c r="BX142" i="1"/>
  <c r="BY142" i="1"/>
  <c r="BZ142" i="1"/>
  <c r="CA142" i="1"/>
  <c r="CB142" i="1"/>
  <c r="CC142" i="1"/>
  <c r="CD142" i="1"/>
  <c r="BT133" i="1"/>
  <c r="BU133" i="1"/>
  <c r="BV133" i="1"/>
  <c r="BW133" i="1"/>
  <c r="BX133" i="1"/>
  <c r="BY133" i="1"/>
  <c r="BZ133" i="1"/>
  <c r="CA133" i="1"/>
  <c r="CB133" i="1"/>
  <c r="CC133" i="1"/>
  <c r="CD133" i="1"/>
  <c r="BT131" i="1"/>
  <c r="BU131" i="1"/>
  <c r="BV131" i="1"/>
  <c r="BW131" i="1"/>
  <c r="BX131" i="1"/>
  <c r="BY131" i="1"/>
  <c r="BZ131" i="1"/>
  <c r="CA131" i="1"/>
  <c r="CB131" i="1"/>
  <c r="CC131" i="1"/>
  <c r="CD131" i="1"/>
  <c r="BT136" i="1"/>
  <c r="BU136" i="1"/>
  <c r="BV136" i="1"/>
  <c r="BW136" i="1"/>
  <c r="BX136" i="1"/>
  <c r="BY136" i="1"/>
  <c r="BZ136" i="1"/>
  <c r="CA136" i="1"/>
  <c r="CB136" i="1"/>
  <c r="CC136" i="1"/>
  <c r="CD136" i="1"/>
  <c r="BQ98" i="1" l="1"/>
  <c r="BQ39" i="1"/>
  <c r="BQ90" i="1"/>
  <c r="BQ86" i="1"/>
  <c r="BQ82" i="1"/>
  <c r="BQ78" i="1"/>
  <c r="BQ74" i="1"/>
  <c r="BQ70" i="1"/>
  <c r="BQ66" i="1"/>
  <c r="BQ94" i="1"/>
  <c r="BQ65" i="1"/>
  <c r="BQ59" i="1"/>
  <c r="BQ56" i="1"/>
  <c r="BQ141" i="1"/>
  <c r="BQ51" i="1"/>
  <c r="BQ138" i="1"/>
  <c r="BQ43" i="1"/>
  <c r="BQ99" i="1"/>
  <c r="BQ95" i="1"/>
  <c r="BQ91" i="1"/>
  <c r="BQ87" i="1"/>
  <c r="BQ83" i="1"/>
  <c r="BQ79" i="1"/>
  <c r="BQ75" i="1"/>
  <c r="BQ71" i="1"/>
  <c r="BQ67" i="1"/>
  <c r="BQ60" i="1"/>
  <c r="BQ57" i="1"/>
  <c r="BQ53" i="1"/>
  <c r="BQ137" i="1"/>
  <c r="BQ139" i="1"/>
  <c r="BQ48" i="1"/>
  <c r="BQ44" i="1"/>
  <c r="BQ40" i="1"/>
  <c r="BQ100" i="1"/>
  <c r="BQ96" i="1"/>
  <c r="BQ92" i="1"/>
  <c r="BQ88" i="1"/>
  <c r="BQ84" i="1"/>
  <c r="BQ80" i="1"/>
  <c r="BQ76" i="1"/>
  <c r="BQ72" i="1"/>
  <c r="BQ68" i="1"/>
  <c r="BQ61" i="1"/>
  <c r="BQ142" i="1"/>
  <c r="BQ54" i="1"/>
  <c r="BQ52" i="1"/>
  <c r="BQ49" i="1"/>
  <c r="BQ45" i="1"/>
  <c r="BQ41" i="1"/>
  <c r="BQ101" i="1"/>
  <c r="BQ97" i="1"/>
  <c r="BQ93" i="1"/>
  <c r="BQ89" i="1"/>
  <c r="BQ85" i="1"/>
  <c r="BQ81" i="1"/>
  <c r="BQ77" i="1"/>
  <c r="BQ73" i="1"/>
  <c r="BQ62" i="1"/>
  <c r="BQ58" i="1"/>
  <c r="BQ55" i="1"/>
  <c r="BQ50" i="1"/>
  <c r="BQ42" i="1"/>
  <c r="BQ136" i="1"/>
  <c r="BQ46" i="1"/>
  <c r="BQ23" i="1"/>
  <c r="BQ19" i="1"/>
  <c r="BQ17" i="1"/>
  <c r="BQ131" i="1"/>
  <c r="BQ20" i="1"/>
  <c r="BQ18" i="1"/>
  <c r="BQ15" i="1"/>
  <c r="BQ21" i="1"/>
  <c r="BQ130" i="1"/>
  <c r="BQ16" i="1"/>
  <c r="BQ133" i="1"/>
  <c r="BQ132" i="1"/>
  <c r="BQ129" i="1"/>
  <c r="CR99" i="1" l="1"/>
  <c r="CR100" i="1"/>
  <c r="CR101" i="1" l="1"/>
  <c r="CR98" i="1"/>
  <c r="CR129" i="1" l="1"/>
  <c r="CR52" i="1"/>
  <c r="CR94" i="1"/>
  <c r="CR93" i="1"/>
  <c r="CR92" i="1"/>
  <c r="CR91" i="1"/>
  <c r="CR90" i="1"/>
  <c r="CR89" i="1"/>
  <c r="CR88" i="1"/>
  <c r="CR87" i="1"/>
  <c r="CR86" i="1"/>
  <c r="CR85" i="1"/>
  <c r="CR84" i="1"/>
  <c r="CR83" i="1"/>
  <c r="CR21" i="1"/>
  <c r="CR82" i="1"/>
  <c r="CR81" i="1"/>
  <c r="CR80" i="1"/>
  <c r="CR79" i="1"/>
  <c r="CR78" i="1"/>
  <c r="CR77" i="1"/>
  <c r="CR76" i="1"/>
  <c r="CR75" i="1"/>
  <c r="CR74" i="1"/>
  <c r="CR73" i="1"/>
  <c r="CR128" i="1"/>
  <c r="CR72" i="1"/>
  <c r="CR127" i="1"/>
  <c r="CR67" i="1"/>
  <c r="CR66" i="1"/>
  <c r="CR135" i="1"/>
  <c r="CR65" i="1"/>
  <c r="CR64" i="1"/>
  <c r="CR63" i="1"/>
  <c r="CR62" i="1"/>
  <c r="CR61" i="1"/>
  <c r="CR60" i="1"/>
  <c r="CR59" i="1"/>
  <c r="CR58" i="1"/>
  <c r="CR141" i="1"/>
  <c r="CR57" i="1"/>
  <c r="CR56" i="1"/>
  <c r="CR55" i="1"/>
  <c r="CR54" i="1"/>
  <c r="CR53" i="1"/>
  <c r="CR123" i="1"/>
  <c r="CR140" i="1"/>
  <c r="CR136" i="1"/>
  <c r="CR139" i="1"/>
  <c r="CR138" i="1"/>
  <c r="CR51" i="1"/>
  <c r="CR50" i="1"/>
  <c r="CR49" i="1"/>
  <c r="CR48" i="1"/>
  <c r="CR47" i="1"/>
  <c r="CR120" i="1"/>
  <c r="CR137" i="1"/>
  <c r="CR46" i="1"/>
  <c r="CR45" i="1"/>
  <c r="CR44" i="1"/>
  <c r="CR43" i="1"/>
  <c r="CR42" i="1"/>
  <c r="CR41" i="1"/>
  <c r="CR119" i="1"/>
  <c r="CR40" i="1"/>
  <c r="CR39" i="1"/>
  <c r="CR38" i="1"/>
  <c r="CR20" i="1"/>
  <c r="CR19" i="1"/>
  <c r="CR124" i="1"/>
  <c r="CR18" i="1"/>
  <c r="CR17" i="1"/>
  <c r="CR134" i="1"/>
  <c r="CR16" i="1"/>
  <c r="CR15" i="1"/>
  <c r="CR14" i="1"/>
  <c r="CR126" i="1"/>
  <c r="CR13" i="1"/>
  <c r="CR133" i="1"/>
  <c r="CR12" i="1"/>
  <c r="CR11" i="1"/>
  <c r="CR10" i="1"/>
  <c r="CR9" i="1"/>
  <c r="CR8" i="1"/>
  <c r="CR7" i="1"/>
  <c r="CR6" i="1"/>
  <c r="CR5" i="1"/>
  <c r="CD38" i="1"/>
  <c r="CC38" i="1"/>
  <c r="CB38" i="1"/>
  <c r="CA38" i="1"/>
  <c r="BX38" i="1"/>
  <c r="BW38" i="1"/>
  <c r="BV38" i="1"/>
  <c r="BU38" i="1"/>
  <c r="BT38" i="1"/>
  <c r="BQ38" i="1" l="1"/>
  <c r="CR97" i="1"/>
  <c r="CR22" i="1"/>
  <c r="CR96" i="1" l="1"/>
  <c r="CR95" i="1" l="1"/>
  <c r="CD5" i="1"/>
  <c r="CC5" i="1"/>
  <c r="CB5" i="1"/>
  <c r="CA5" i="1"/>
  <c r="BY5" i="1"/>
  <c r="BX5" i="1"/>
  <c r="BW5" i="1"/>
  <c r="BV5" i="1"/>
  <c r="BU5" i="1"/>
  <c r="CR118" i="1" l="1"/>
  <c r="BQ5" i="1"/>
</calcChain>
</file>

<file path=xl/sharedStrings.xml><?xml version="1.0" encoding="utf-8"?>
<sst xmlns="http://schemas.openxmlformats.org/spreadsheetml/2006/main" count="2261" uniqueCount="287">
  <si>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</si>
  <si>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</si>
  <si>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</si>
  <si>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</si>
  <si>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</si>
  <si>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</si>
  <si>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</si>
  <si>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</si>
  <si>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</si>
  <si>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</si>
  <si>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</si>
  <si>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</si>
  <si>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</si>
  <si>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</si>
  <si>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</si>
  <si>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</si>
  <si>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</si>
  <si>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</si>
  <si>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</si>
  <si>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</si>
  <si>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</si>
  <si>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</si>
  <si>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</si>
  <si>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</si>
  <si>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</si>
  <si>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</si>
  <si>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</si>
  <si>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</si>
  <si>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</si>
  <si>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</si>
  <si>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</si>
  <si>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</si>
  <si>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</si>
  <si>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</si>
  <si>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</si>
  <si>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</si>
  <si>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</si>
  <si>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</si>
  <si>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</si>
  <si>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</si>
  <si>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</si>
  <si>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MAD0652</t>
  </si>
  <si>
    <t>MAD0599</t>
  </si>
  <si>
    <t>Suriya krishnan</t>
  </si>
  <si>
    <t>MAD0606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</si>
  <si>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</si>
  <si>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</si>
  <si>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</si>
  <si>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</si>
  <si>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</si>
  <si>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</si>
  <si>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</si>
  <si>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</si>
  <si>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</si>
  <si>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</si>
  <si>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</si>
  <si>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</si>
  <si>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</si>
  <si>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</si>
  <si>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 xml:space="preserve">Mohammed Kalifa Mohamed </t>
  </si>
  <si>
    <t>MAD0711</t>
  </si>
  <si>
    <t>Vijayakumar Kaliaraj</t>
  </si>
  <si>
    <t>MAD0717</t>
  </si>
  <si>
    <t>Prepared By:</t>
  </si>
  <si>
    <t>Checked By:</t>
  </si>
  <si>
    <t xml:space="preserve"> 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</si>
  <si>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</si>
  <si>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</si>
  <si>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</si>
  <si>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</si>
  <si>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</si>
  <si>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</si>
  <si>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</si>
  <si>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</si>
  <si>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</si>
  <si>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</si>
  <si>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</si>
  <si>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</si>
  <si>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</si>
  <si>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</si>
  <si>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</si>
  <si>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</si>
  <si>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</si>
  <si>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</si>
  <si>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MAD0026</t>
  </si>
  <si>
    <t>Ruhul Amin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</si>
  <si>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</si>
  <si>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</si>
  <si>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</si>
  <si>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</si>
  <si>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</si>
  <si>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</si>
  <si>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</si>
  <si>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</si>
  <si>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</si>
  <si>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</si>
  <si>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</si>
  <si>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</si>
  <si>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</si>
  <si>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</si>
  <si>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</si>
  <si>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</si>
  <si>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MDA0396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</si>
  <si>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</si>
  <si>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</si>
  <si>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</si>
  <si>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</si>
  <si>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</si>
  <si>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</si>
  <si>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</si>
  <si>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</si>
  <si>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</si>
  <si>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</si>
  <si>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</si>
  <si>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</si>
  <si>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</si>
  <si>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</si>
  <si>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</si>
  <si>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</si>
  <si>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</si>
  <si>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</si>
  <si>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</si>
  <si>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</si>
  <si>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</si>
  <si>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</si>
  <si>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</si>
  <si>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</si>
  <si>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</si>
  <si>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MAD0612</t>
  </si>
  <si>
    <t>MAD0613</t>
  </si>
  <si>
    <t>MAD0618</t>
  </si>
  <si>
    <t>MAD0623</t>
  </si>
  <si>
    <t>Yabuddin</t>
  </si>
  <si>
    <t>MAD0632</t>
  </si>
  <si>
    <t>Nabina Thapa</t>
  </si>
  <si>
    <t>MAD0636</t>
  </si>
  <si>
    <t>MAD0642</t>
  </si>
  <si>
    <t>Mohammad Salman</t>
  </si>
  <si>
    <t>MAD0643</t>
  </si>
  <si>
    <t>MAD0655</t>
  </si>
  <si>
    <t>Arulmani Kumaresan</t>
  </si>
  <si>
    <t>MAD0656</t>
  </si>
  <si>
    <t>Thamaraiselvan Narayanan</t>
  </si>
  <si>
    <t>MAD0667</t>
  </si>
  <si>
    <t>Shameer Sakhariah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</si>
  <si>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</si>
  <si>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</si>
  <si>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</si>
  <si>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</si>
  <si>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</si>
  <si>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</si>
  <si>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</si>
  <si>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</si>
  <si>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</si>
  <si>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</si>
  <si>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</si>
  <si>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</si>
  <si>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</si>
  <si>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</si>
  <si>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</si>
  <si>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</si>
  <si>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</si>
  <si>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</si>
  <si>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</si>
  <si>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</si>
  <si>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</si>
  <si>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</si>
  <si>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</si>
  <si>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</si>
  <si>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</si>
  <si>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</si>
  <si>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</si>
  <si>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</si>
  <si>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</si>
  <si>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</si>
  <si>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</si>
  <si>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</si>
  <si>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</si>
  <si>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</si>
  <si>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</si>
  <si>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</si>
  <si>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</si>
  <si>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</si>
  <si>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</si>
  <si>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Biswajit Prasad Sah</t>
  </si>
  <si>
    <t>MAD0644</t>
  </si>
  <si>
    <t>Saswati Kundu Debnath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</si>
  <si>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</si>
  <si>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</si>
  <si>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</si>
  <si>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</si>
  <si>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</si>
  <si>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</si>
  <si>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</si>
  <si>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</si>
  <si>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</si>
  <si>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</si>
  <si>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</si>
  <si>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</si>
  <si>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</si>
  <si>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</si>
  <si>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</si>
  <si>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</si>
  <si>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</si>
  <si>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>Total</t>
  </si>
  <si>
    <t>MAD0407</t>
  </si>
  <si>
    <t>Pratheesh Prasad</t>
  </si>
  <si>
    <t>MAD0733</t>
  </si>
  <si>
    <t>Sabbir Hossain</t>
  </si>
  <si>
    <t>MAD0233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</si>
  <si>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</si>
  <si>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</si>
  <si>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</si>
  <si>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</si>
  <si>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</si>
  <si>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</si>
  <si>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</si>
  <si>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</si>
  <si>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</si>
  <si>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</si>
  <si>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</si>
  <si>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</si>
  <si>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</si>
  <si>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</si>
  <si>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>MAD0672</t>
  </si>
  <si>
    <t>MAD0748</t>
  </si>
  <si>
    <t>MAD0749</t>
  </si>
  <si>
    <t>Pranav Muraleedharannair</t>
  </si>
  <si>
    <t>RamPrasath Ravipugal</t>
  </si>
  <si>
    <t>MAD0755</t>
  </si>
  <si>
    <t>Imran Hossian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</si>
  <si>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</si>
  <si>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</si>
  <si>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</si>
  <si>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</si>
  <si>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</si>
  <si>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</si>
  <si>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</si>
  <si>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</si>
  <si>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Enamul Hoque</t>
  </si>
  <si>
    <t>MD Manik Hossain</t>
  </si>
  <si>
    <t>Adnan Abdul Majeed</t>
  </si>
  <si>
    <t>Thirugnanam Maruthai</t>
  </si>
  <si>
    <t>Mohammad Ajmal</t>
  </si>
  <si>
    <t>Raju Ahmed</t>
  </si>
  <si>
    <t>MD Naim Sarder</t>
  </si>
  <si>
    <t>MD Nahim Gazi</t>
  </si>
  <si>
    <t>MAD0762</t>
  </si>
  <si>
    <t>Tribhuwan Bhandari</t>
  </si>
  <si>
    <t>MAD0763</t>
  </si>
  <si>
    <t xml:space="preserve">Used Leave Totals (Running Year, up to end of this month - APRIL 2026) </t>
  </si>
  <si>
    <t>Muneswari Sandrapalli</t>
  </si>
  <si>
    <t xml:space="preserve">Mohamed Aiyash Mohamed </t>
  </si>
  <si>
    <t>Attendance for MAY 2026  - MALE SENIOR FOREIGN STAFFS</t>
  </si>
  <si>
    <t>Attendance for MAY 2026   - MALE JUNIOR FOREIGN STAFFS</t>
  </si>
  <si>
    <t xml:space="preserve">Note:    </t>
  </si>
  <si>
    <t>OT</t>
  </si>
  <si>
    <t>Please  pay food allowance for 7 days( 1st - 7th) May</t>
  </si>
  <si>
    <t>Salary and Allowance Settlement for May 2026  - MALE SENIOR FOREIGN STAFFS</t>
  </si>
  <si>
    <t xml:space="preserve">                HR Executive</t>
  </si>
  <si>
    <t>Overtime:30h = 300 Rf (26th April - 5th May)2026</t>
  </si>
  <si>
    <t>Please  pay food allowance for 9 days( 1st - 9th) May 2026</t>
  </si>
  <si>
    <t>Salary and Allowance Settlement for May 2026  - MALE JUNIOR FOREIGN STAFFS</t>
  </si>
  <si>
    <t>Overtime:28H50M = 285 Rf(26th April - 5th May)</t>
  </si>
  <si>
    <t>Please  pay food allowance for 13 days( 1st - 13th) May</t>
  </si>
  <si>
    <t>Overtime:49h6m = 496 Rf(26th April - 9th May)</t>
  </si>
  <si>
    <t>Please  pay food allowance for 13 days( 1st - 13th) May 2026</t>
  </si>
  <si>
    <t>Overtime:52h15m = 521.5 Rf (26th April - 9th May)2026</t>
  </si>
  <si>
    <t>Please  pay food allowance for 14 days( 1st - 14th) May 2026</t>
  </si>
  <si>
    <t>Overtime: 52h30m = 523 Rf (26th April - 10th May)2026</t>
  </si>
  <si>
    <t>Please  pay food allowance for 17 days( 1st - 17th) May 2026</t>
  </si>
  <si>
    <t>Overtime: 58h= 580 Rf (26th April - 14th May)2026</t>
  </si>
  <si>
    <t>Overtime: Fixed OT</t>
  </si>
  <si>
    <t>Overtime: 68h8m = 688 Rf (26th April - 16th May) 2026</t>
  </si>
  <si>
    <t>Please  pay food allowance for 4 days( 15th - 19th) May 2026</t>
  </si>
  <si>
    <t>Please  pay food allowance for 9 days( 15th - 24th) May 2026</t>
  </si>
  <si>
    <t>Overtime: 80h46m = 804.6 Rf (26th April - 21th May) 2026</t>
  </si>
  <si>
    <t>LAST MONTH 1 FRIDAY ADDED</t>
  </si>
  <si>
    <t>MAD0767</t>
  </si>
  <si>
    <t>Solaiappan Gurusamy</t>
  </si>
  <si>
    <t>JOINING ON 29TH MAY 2026</t>
  </si>
  <si>
    <t xml:space="preserve">Shahinur Alam </t>
  </si>
  <si>
    <t>2 days Annual Leave</t>
  </si>
  <si>
    <t>EID Day Worked</t>
  </si>
  <si>
    <t>Najir Shekh</t>
  </si>
  <si>
    <t>Overtime: 81h= 810 Rf (26th April - 25th May)2026</t>
  </si>
  <si>
    <t xml:space="preserve">Used Leave Totals (Running Year, up to end of this month - May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</si>
</sst>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9.9"/>
      <color rgb="FF1E293B"/>
      <name val="Arial"/>
      <family val="2"/>
    </font>
    <font>
      <sz val="12"/>
      <name val="Calibri"/>
      <family val="2"/>
      <scheme val="minor"/>
    </font>
    <font>
      <sz val="12"/>
      <color theme="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9FA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4" fillId="0" borderId="0"/>
  </cellStyleXfs>
  <cellXfs count="182">
    <xf numFmtId="0" fontId="0" fillId="0" borderId="0" xfId="0"/>
    <xf numFmtId="0" fontId="3" fillId="0" borderId="2" xfId="0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164" fontId="15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vertical="center"/>
    </xf>
    <xf numFmtId="0" fontId="18" fillId="0" borderId="0" xfId="0" applyFont="1"/>
    <xf numFmtId="164" fontId="14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0" fontId="20" fillId="6" borderId="0" xfId="0" applyFont="1" applyFill="1" applyAlignment="1">
      <alignment vertical="center"/>
    </xf>
    <xf numFmtId="0" fontId="20" fillId="6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0" fillId="7" borderId="0" xfId="0" applyFont="1" applyFill="1" applyAlignment="1">
      <alignment vertical="center"/>
    </xf>
    <xf numFmtId="0" fontId="20" fillId="7" borderId="0" xfId="0" applyFont="1" applyFill="1" applyAlignment="1">
      <alignment horizontal="left" vertical="center"/>
    </xf>
    <xf numFmtId="0" fontId="12" fillId="7" borderId="0" xfId="0" applyFont="1" applyFill="1"/>
    <xf numFmtId="0" fontId="21" fillId="0" borderId="0" xfId="0" applyFont="1" applyAlignment="1">
      <alignment vertical="center"/>
    </xf>
    <xf numFmtId="49" fontId="20" fillId="7" borderId="0" xfId="0" applyNumberFormat="1" applyFont="1" applyFill="1" applyAlignment="1">
      <alignment vertical="center"/>
    </xf>
    <xf numFmtId="49" fontId="20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5" fontId="8" fillId="4" borderId="5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" fillId="0" borderId="1" xfId="0" applyFont="1" applyBorder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20" fontId="26" fillId="4" borderId="3" xfId="0" applyNumberFormat="1" applyFont="1" applyFill="1" applyBorder="1" applyAlignment="1">
      <alignment horizontal="center" vertical="center" wrapText="1"/>
    </xf>
    <xf numFmtId="1" fontId="26" fillId="4" borderId="3" xfId="0" applyNumberFormat="1" applyFont="1" applyFill="1" applyBorder="1" applyAlignment="1">
      <alignment horizontal="center" vertical="center" wrapText="1"/>
    </xf>
    <xf numFmtId="20" fontId="27" fillId="10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5" fillId="4" borderId="11" xfId="0" applyFont="1" applyFill="1" applyBorder="1" applyAlignment="1">
      <alignment horizontal="center" vertical="center"/>
    </xf>
    <xf numFmtId="0" fontId="0" fillId="4" borderId="0" xfId="0" applyFill="1"/>
    <xf numFmtId="20" fontId="29" fillId="4" borderId="3" xfId="0" applyNumberFormat="1" applyFont="1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4" borderId="6" xfId="0" applyFill="1" applyBorder="1"/>
    <xf numFmtId="20" fontId="30" fillId="10" borderId="3" xfId="0" applyNumberFormat="1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0" fillId="12" borderId="0" xfId="0" applyFill="1"/>
    <xf numFmtId="0" fontId="31" fillId="13" borderId="16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1" fontId="9" fillId="4" borderId="1" xfId="0" applyNumberFormat="1" applyFont="1" applyFill="1" applyBorder="1" applyAlignment="1">
      <alignment horizontal="left" vertical="center"/>
    </xf>
    <xf numFmtId="0" fontId="22" fillId="4" borderId="1" xfId="1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vertical="center"/>
    </xf>
    <xf numFmtId="20" fontId="31" fillId="13" borderId="16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20" fontId="30" fillId="10" borderId="1" xfId="0" applyNumberFormat="1" applyFont="1" applyFill="1" applyBorder="1" applyAlignment="1">
      <alignment horizontal="center" vertical="center" wrapText="1"/>
    </xf>
    <xf numFmtId="0" fontId="0" fillId="8" borderId="0" xfId="0" applyFill="1"/>
    <xf numFmtId="0" fontId="4" fillId="2" borderId="3" xfId="0" applyFont="1" applyFill="1" applyBorder="1" applyAlignment="1">
      <alignment horizontal="center" vertical="center"/>
    </xf>
    <xf numFmtId="15" fontId="0" fillId="0" borderId="17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20" fontId="29" fillId="9" borderId="3" xfId="0" applyNumberFormat="1" applyFont="1" applyFill="1" applyBorder="1" applyAlignment="1">
      <alignment horizontal="center" vertical="center" wrapText="1"/>
    </xf>
    <xf numFmtId="20" fontId="31" fillId="4" borderId="3" xfId="0" applyNumberFormat="1" applyFont="1" applyFill="1" applyBorder="1" applyAlignment="1">
      <alignment horizontal="center" vertical="center" wrapText="1"/>
    </xf>
    <xf numFmtId="20" fontId="26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20" fontId="29" fillId="0" borderId="3" xfId="0" applyNumberFormat="1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20" fontId="30" fillId="0" borderId="3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15" fontId="0" fillId="8" borderId="8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0" fontId="30" fillId="4" borderId="3" xfId="0" applyNumberFormat="1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1" fontId="30" fillId="4" borderId="3" xfId="0" applyNumberFormat="1" applyFont="1" applyFill="1" applyBorder="1" applyAlignment="1">
      <alignment horizontal="center" vertical="center" wrapText="1"/>
    </xf>
    <xf numFmtId="0" fontId="15" fillId="8" borderId="0" xfId="0" applyFont="1" applyFill="1" applyAlignment="1">
      <alignment vertical="center"/>
    </xf>
    <xf numFmtId="1" fontId="29" fillId="4" borderId="3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1" fontId="9" fillId="4" borderId="3" xfId="0" applyNumberFormat="1" applyFont="1" applyFill="1" applyBorder="1" applyAlignment="1">
      <alignment horizontal="center" vertical="center"/>
    </xf>
    <xf numFmtId="15" fontId="0" fillId="4" borderId="8" xfId="0" applyNumberForma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3" fillId="0" borderId="0" xfId="0" applyFont="1"/>
    <xf numFmtId="164" fontId="32" fillId="0" borderId="0" xfId="0" applyNumberFormat="1" applyFont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15" fontId="8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30" fillId="0" borderId="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15" fontId="8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Normal" xfId="0" builtinId="0"/>
    <cellStyle name="Normal 2" xfId="1" xr:uid="{A4EC3061-B914-4480-9893-F99140BDDDFD}"/>
  </cellStyles>
  <dxfs count="3272"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H4:CR25" totalsRowShown="0" headerRowDxfId="3271" dataDxfId="3269" headerRowBorderDxfId="3270" tableBorderDxfId="3268" totalsRowBorderDxfId="3267">
  <autoFilter ref="CH4:CR25" xr:uid="{C5309D74-53D8-451C-BBF6-C79A1162CA3E}"/>
  <tableColumns count="11">
    <tableColumn id="1" xr3:uid="{77A0E13E-5799-4C51-9B9D-764F7EC3B2A2}" name="MC" dataDxfId="3266"/>
    <tableColumn id="2" xr3:uid="{EB5D1FE6-2099-48DC-843A-922345D1799C}" name="EL" dataDxfId="3265"/>
    <tableColumn id="3" xr3:uid="{273122D7-D3D7-4F6A-9E6D-E93DF2DF0B27}" name="AL" dataDxfId="3264"/>
    <tableColumn id="4" xr3:uid="{B7AA7E3F-797D-4E59-ABF4-A10DED797705}" name="SUS" dataDxfId="3263"/>
    <tableColumn id="5" xr3:uid="{FF39316F-7211-4A90-81FC-66B156DA3370}" name="FL" dataDxfId="3262"/>
    <tableColumn id="6" xr3:uid="{C1AC8A82-6AED-43E8-BC9E-B08DBA59F3CB}" name="S" dataDxfId="3261"/>
    <tableColumn id="7" xr3:uid="{9F1B4AC5-FE14-4372-9A6B-3C39BF751A75}" name="HD" dataDxfId="3260"/>
    <tableColumn id="8" xr3:uid="{C1782C61-8577-4048-80AA-855C84FC8A55}" name="AB" dataDxfId="3259"/>
    <tableColumn id="9" xr3:uid="{06E98CE2-1D98-4581-9F55-176721D2D094}" name="NL" dataDxfId="3258"/>
    <tableColumn id="10" xr3:uid="{AD8D1379-4ABC-49D0-8269-2F105F33CF9F}" name="SP" dataDxfId="3257"/>
    <tableColumn id="11" xr3:uid="{578C8149-ECDB-4F46-B84E-C814E33BCF50}" name="Total" dataDxfId="325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A1A2E-9207-48A7-9E2B-652C557C9266}" name="Table13" displayName="Table13" ref="CH37:CR102" totalsRowShown="0" headerRowDxfId="3255" dataDxfId="3253" headerRowBorderDxfId="3254" tableBorderDxfId="3252" totalsRowBorderDxfId="3251">
  <autoFilter ref="CH37:CR102" xr:uid="{E75A1A2E-9207-48A7-9E2B-652C557C9266}"/>
  <tableColumns count="11">
    <tableColumn id="1" xr3:uid="{C09AF12D-79B9-4AAE-AE40-4F26181C148B}" name="MC" dataDxfId="3250"/>
    <tableColumn id="2" xr3:uid="{3D2526A2-6499-4D6D-8AEE-A126EADE84B2}" name="EL" dataDxfId="3249"/>
    <tableColumn id="3" xr3:uid="{C5AE97C0-0C27-4ED9-93F2-E3037050652D}" name="AL" dataDxfId="3248"/>
    <tableColumn id="4" xr3:uid="{3C7DF5FA-C5B8-4E13-9C02-BBAA6EC3DC90}" name="SUS" dataDxfId="3247"/>
    <tableColumn id="5" xr3:uid="{24511860-20CF-45F5-92F7-F4ACD085EEC3}" name="FL" dataDxfId="3246"/>
    <tableColumn id="6" xr3:uid="{E42BB61F-37F5-4497-A296-1DF6D3DE3304}" name="S" dataDxfId="3245"/>
    <tableColumn id="7" xr3:uid="{C0B9D2A6-DBB2-4D29-9D22-B0666E19E96F}" name="HD" dataDxfId="3244"/>
    <tableColumn id="8" xr3:uid="{29667B8F-020A-4767-83B3-F35973126DDB}" name="AB" dataDxfId="3243"/>
    <tableColumn id="9" xr3:uid="{99109EE1-B355-406D-97D0-62441D2C7EC3}" name="NL" dataDxfId="3242"/>
    <tableColumn id="10" xr3:uid="{B7DDCD9B-BDB2-440A-B4B9-538FC222E55B}" name="SP" dataDxfId="3241"/>
    <tableColumn id="11" xr3:uid="{B7572C54-4ADC-403A-8E66-BFB3794D5D62}" name="Total" dataDxfId="324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2B2C8-9EB5-42BD-8118-F7E1EC835831}" name="Table14" displayName="Table14" ref="AK4:AU5" totalsRowShown="0" headerRowDxfId="3124" dataDxfId="3122" headerRowBorderDxfId="3123" tableBorderDxfId="3121" totalsRowBorderDxfId="3120">
  <autoFilter ref="AK4:AU5" xr:uid="{C5309D74-53D8-451C-BBF6-C79A1162CA3E}"/>
  <tableColumns count="11">
    <tableColumn id="1" xr3:uid="{87907B03-B8A6-4383-A5C9-52616EB17628}" name="MC" dataDxfId="3119"/>
    <tableColumn id="2" xr3:uid="{B001014A-738A-4D7A-B36F-05E4480BFAB2}" name="EL" dataDxfId="3118"/>
    <tableColumn id="3" xr3:uid="{D9806C19-AB04-48CF-9467-FCC0A85A86FC}" name="AL" dataDxfId="3117"/>
    <tableColumn id="4" xr3:uid="{1F85AD85-EB52-459F-9AD0-119C510B328D}" name="SUS" dataDxfId="3116"/>
    <tableColumn id="5" xr3:uid="{B69E32C9-37D6-44F6-88F1-557791DC47D9}" name="FL" dataDxfId="3115"/>
    <tableColumn id="6" xr3:uid="{475D9A04-6DC1-4025-9AF1-DF1C4EAF826F}" name="S" dataDxfId="3114"/>
    <tableColumn id="7" xr3:uid="{4E948E5D-9143-4F09-87CD-DED1E5D5CCEE}" name="HD" dataDxfId="3113"/>
    <tableColumn id="8" xr3:uid="{6E0A6C34-89E0-459C-8D07-09B814335D2C}" name="AB" dataDxfId="3112"/>
    <tableColumn id="9" xr3:uid="{39183D71-1382-4AF2-8299-4F4A18B86EA0}" name="NL" dataDxfId="3111"/>
    <tableColumn id="10" xr3:uid="{4EDB4B93-F75E-4E1D-9602-1AA73FF84240}" name="SP" dataDxfId="3110"/>
    <tableColumn id="11" xr3:uid="{50076751-2908-41B7-B704-E76BCE62F609}" name="Total" dataDxfId="3109">
      <calculatedColumnFormula>SUM(AK5:AT5)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8C1985-0F37-4850-A9BF-551B00715D5D}" name="Table137" displayName="Table137" ref="AO4:AY5" totalsRowShown="0" headerRowDxfId="2991" dataDxfId="2989" headerRowBorderDxfId="2990" tableBorderDxfId="2988" totalsRowBorderDxfId="2987">
  <autoFilter ref="AO4:AY5" xr:uid="{E75A1A2E-9207-48A7-9E2B-652C557C9266}"/>
  <tableColumns count="11">
    <tableColumn id="1" xr3:uid="{03B97203-17A1-4162-B2F2-194495203F80}" name="MC" dataDxfId="2986"/>
    <tableColumn id="2" xr3:uid="{2D71465A-8765-448E-ABA8-2F34760637CD}" name="EL" dataDxfId="2985"/>
    <tableColumn id="3" xr3:uid="{428A811C-EE62-4E30-9391-21EF6D14654F}" name="AL" dataDxfId="2984"/>
    <tableColumn id="4" xr3:uid="{8D7B2A2C-3F77-48EA-8209-02F437590EA8}" name="SUS" dataDxfId="2983"/>
    <tableColumn id="5" xr3:uid="{D848FCC9-E576-4644-963B-0F13E89808F9}" name="FL" dataDxfId="2982"/>
    <tableColumn id="6" xr3:uid="{C8A00EFD-78D3-4F14-9DAB-527048A00A11}" name="S" dataDxfId="2981"/>
    <tableColumn id="7" xr3:uid="{546FBE88-0F77-4FC5-BC9A-CD7BF6AA6A5F}" name="HD" dataDxfId="2980"/>
    <tableColumn id="8" xr3:uid="{9B45A7A2-60CD-4859-A450-80ABD48B5CA9}" name="AB" dataDxfId="2979"/>
    <tableColumn id="9" xr3:uid="{3E97E2C0-21BF-45E8-A80C-EC5B79E75D76}" name="NL" dataDxfId="2978"/>
    <tableColumn id="10" xr3:uid="{274F660E-4407-475B-8C9F-ACB14CE159C2}" name="SP" dataDxfId="2977"/>
    <tableColumn id="11" xr3:uid="{C0945A02-055E-43E6-906F-695EDFBBFC60}" name="Total" dataDxfId="297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19BFA9-24C2-47AB-A0AC-2CDF9F1DDCCA}" name="Table145" displayName="Table145" ref="AW4:BG5" totalsRowShown="0" headerRowDxfId="2850" dataDxfId="2848" headerRowBorderDxfId="2849" tableBorderDxfId="2847" totalsRowBorderDxfId="2846">
  <autoFilter ref="AW4:BG5" xr:uid="{C5309D74-53D8-451C-BBF6-C79A1162CA3E}"/>
  <tableColumns count="11">
    <tableColumn id="1" xr3:uid="{B560B5AB-A555-498A-854E-4D1B99CAF2C1}" name="MC" dataDxfId="2845"/>
    <tableColumn id="2" xr3:uid="{4E11A57F-9ADC-4DDB-B3A8-9F703F583562}" name="EL" dataDxfId="2844"/>
    <tableColumn id="3" xr3:uid="{DE3BD9E2-B23A-42D2-BF9E-A1DB17243620}" name="AL" dataDxfId="2843"/>
    <tableColumn id="4" xr3:uid="{38E07DE7-CAEC-43A3-B508-6C695090E309}" name="SUS" dataDxfId="2842"/>
    <tableColumn id="5" xr3:uid="{82418A8F-8AC0-498F-B74C-FC98379F1272}" name="FL" dataDxfId="2841"/>
    <tableColumn id="6" xr3:uid="{28A7BCD5-2B93-4D2B-B03E-B84E933E10DB}" name="S" dataDxfId="2840"/>
    <tableColumn id="7" xr3:uid="{DFF0DD99-267D-4AED-9661-51C97175BC5F}" name="HD" dataDxfId="2839"/>
    <tableColumn id="8" xr3:uid="{36D269D7-114B-4360-9FDE-0E4E220C171B}" name="AB" dataDxfId="2838"/>
    <tableColumn id="9" xr3:uid="{C347B9CA-0831-4E64-B97F-BCFDBD66F60E}" name="NL" dataDxfId="2837"/>
    <tableColumn id="10" xr3:uid="{8935CB9A-7CD6-4437-BC71-C9BFD1149BB1}" name="SP" dataDxfId="2836"/>
    <tableColumn id="11" xr3:uid="{881B6E99-D3CF-40FC-8226-870D38F0C381}" name="Total" dataDxfId="2835">
      <calculatedColumnFormula>SUM(AW5:BF5)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71541D-A8E0-4F4E-A91E-BD2E21665471}" name="Table138" displayName="Table138" ref="CI4:CS6" totalsRowShown="0" headerRowDxfId="1894" dataDxfId="1892" headerRowBorderDxfId="1893" tableBorderDxfId="1891" totalsRowBorderDxfId="1890">
  <autoFilter ref="CI4:CS6" xr:uid="{E75A1A2E-9207-48A7-9E2B-652C557C9266}"/>
  <tableColumns count="11">
    <tableColumn id="1" xr3:uid="{C524164C-582D-4095-8757-B2DA318BD226}" name="MC" dataDxfId="1889"/>
    <tableColumn id="2" xr3:uid="{D592A92C-9D01-49F6-AC92-42BBDACEBC7E}" name="EL" dataDxfId="1888"/>
    <tableColumn id="3" xr3:uid="{7E49ECC8-0455-44BD-911A-8CB7CA4A2EB9}" name="AL" dataDxfId="1887"/>
    <tableColumn id="4" xr3:uid="{D14C902A-7560-4A3B-A284-17B05F551FAA}" name="SUS" dataDxfId="1886"/>
    <tableColumn id="5" xr3:uid="{38FB15F8-941E-48EB-B0DD-E51C67330349}" name="FL" dataDxfId="1885"/>
    <tableColumn id="6" xr3:uid="{CCD14B97-05F0-43B9-AB63-EF5F6D4A8380}" name="S" dataDxfId="1884"/>
    <tableColumn id="7" xr3:uid="{CA7168BF-FC72-46D9-9910-8DCBC3BDB9B6}" name="HD" dataDxfId="1883"/>
    <tableColumn id="8" xr3:uid="{F583B034-E917-4602-B997-B066C14A4732}" name="AB" dataDxfId="1882"/>
    <tableColumn id="9" xr3:uid="{FC715639-E7AE-4E59-ACC6-7090D28DE98B}" name="NL" dataDxfId="1881"/>
    <tableColumn id="10" xr3:uid="{A36A4FB3-7853-4C99-9048-C99922FB8A72}" name="SP" dataDxfId="1880"/>
    <tableColumn id="11" xr3:uid="{C4B558B0-D088-4C3B-9284-4F6506239AAF}" name="Total" dataDxfId="187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R152"/>
  <sheetViews>
    <sheetView zoomScaleNormal="100" workbookViewId="0">
      <pane xSplit="4" ySplit="4" topLeftCell="CF95" activePane="bottomRight" state="frozen"/>
      <selection pane="topRight" activeCell="E1" sqref="E1"/>
      <selection pane="bottomLeft" activeCell="A5" sqref="A5"/>
      <selection pane="bottomRight" activeCell="CY4" sqref="CY4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34" width="6.5703125" customWidth="1"/>
    <col min="35" max="35" width="5.5703125" customWidth="1"/>
    <col min="36" max="36" width="5.140625" style="64" customWidth="1"/>
    <col min="37" max="68" width="6.5703125" customWidth="1"/>
    <col min="69" max="69" width="5.85546875" style="16" customWidth="1"/>
    <col min="70" max="77" width="5" customWidth="1"/>
    <col min="78" max="78" width="5.85546875" customWidth="1"/>
    <col min="79" max="82" width="5" customWidth="1"/>
    <col min="83" max="83" width="27.140625" customWidth="1"/>
    <col min="84" max="85" width="6.42578125" customWidth="1"/>
    <col min="86" max="96" width="6" customWidth="1"/>
  </cols>
  <sheetData>
    <row r="1" spans="1:96" ht="25.5" customHeight="1" x14ac:dyDescent="0.25">
      <c r="A1" s="166" t="s">
        <v>253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8"/>
      <c r="AI1" s="49"/>
      <c r="AJ1" s="153" t="s">
        <v>253</v>
      </c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96" ht="22.5" customHeight="1" x14ac:dyDescent="0.25">
      <c r="A2" s="154" t="s">
        <v>0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0" t="s">
        <v>5</v>
      </c>
      <c r="X2" s="150"/>
      <c r="Y2" s="150" t="s">
        <v>6</v>
      </c>
      <c r="Z2" s="150"/>
      <c r="AA2" s="150" t="s">
        <v>7</v>
      </c>
      <c r="AB2" s="150"/>
      <c r="AC2" s="150" t="s">
        <v>1</v>
      </c>
      <c r="AD2" s="150"/>
      <c r="AE2" s="150" t="s">
        <v>2</v>
      </c>
      <c r="AF2" s="150"/>
      <c r="AG2" s="150" t="s">
        <v>3</v>
      </c>
      <c r="AH2" s="150"/>
      <c r="AI2" s="50"/>
      <c r="AJ2" s="62"/>
      <c r="AK2" s="150" t="s">
        <v>4</v>
      </c>
      <c r="AL2" s="151"/>
      <c r="AM2" s="150" t="s">
        <v>5</v>
      </c>
      <c r="AN2" s="151"/>
      <c r="AO2" s="150" t="s">
        <v>6</v>
      </c>
      <c r="AP2" s="151"/>
      <c r="AQ2" s="150" t="s">
        <v>7</v>
      </c>
      <c r="AR2" s="151"/>
      <c r="AS2" s="150" t="s">
        <v>1</v>
      </c>
      <c r="AT2" s="151"/>
      <c r="AU2" s="150" t="s">
        <v>2</v>
      </c>
      <c r="AV2" s="151"/>
      <c r="AW2" s="150" t="s">
        <v>3</v>
      </c>
      <c r="AX2" s="151"/>
      <c r="AY2" s="150" t="s">
        <v>4</v>
      </c>
      <c r="AZ2" s="151"/>
      <c r="BA2" s="150" t="s">
        <v>5</v>
      </c>
      <c r="BB2" s="151"/>
      <c r="BC2" s="150" t="s">
        <v>6</v>
      </c>
      <c r="BD2" s="151"/>
      <c r="BE2" s="150" t="s">
        <v>7</v>
      </c>
      <c r="BF2" s="151"/>
      <c r="BG2" s="150" t="s">
        <v>1</v>
      </c>
      <c r="BH2" s="151"/>
      <c r="BI2" s="150" t="s">
        <v>2</v>
      </c>
      <c r="BJ2" s="151"/>
      <c r="BK2" s="150" t="s">
        <v>3</v>
      </c>
      <c r="BL2" s="151"/>
      <c r="BM2" s="150" t="s">
        <v>4</v>
      </c>
      <c r="BN2" s="151"/>
      <c r="BO2" s="150" t="s">
        <v>5</v>
      </c>
      <c r="BP2" s="151"/>
      <c r="BQ2" s="171" t="s">
        <v>8</v>
      </c>
      <c r="BR2" s="163" t="s">
        <v>9</v>
      </c>
      <c r="BS2" s="160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2"/>
      <c r="CH2" s="155" t="s">
        <v>203</v>
      </c>
      <c r="CI2" s="155"/>
      <c r="CJ2" s="155"/>
      <c r="CK2" s="155"/>
      <c r="CL2" s="155"/>
      <c r="CM2" s="155"/>
      <c r="CN2" s="155"/>
      <c r="CO2" s="155"/>
      <c r="CP2" s="155"/>
      <c r="CQ2" s="155"/>
      <c r="CR2" s="48"/>
    </row>
    <row r="3" spans="1:96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49">
        <v>46152</v>
      </c>
      <c r="X3" s="149"/>
      <c r="Y3" s="149">
        <v>46153</v>
      </c>
      <c r="Z3" s="149"/>
      <c r="AA3" s="149">
        <v>46154</v>
      </c>
      <c r="AB3" s="149"/>
      <c r="AC3" s="149">
        <v>46155</v>
      </c>
      <c r="AD3" s="149"/>
      <c r="AE3" s="149">
        <v>46156</v>
      </c>
      <c r="AF3" s="149"/>
      <c r="AG3" s="149">
        <v>46157</v>
      </c>
      <c r="AH3" s="149"/>
      <c r="AI3" s="50"/>
      <c r="AJ3" s="63"/>
      <c r="AK3" s="149">
        <v>46158</v>
      </c>
      <c r="AL3" s="152"/>
      <c r="AM3" s="149">
        <v>46159</v>
      </c>
      <c r="AN3" s="152"/>
      <c r="AO3" s="149">
        <v>46160</v>
      </c>
      <c r="AP3" s="152"/>
      <c r="AQ3" s="149">
        <v>46161</v>
      </c>
      <c r="AR3" s="152"/>
      <c r="AS3" s="149">
        <v>46162</v>
      </c>
      <c r="AT3" s="152"/>
      <c r="AU3" s="149">
        <v>46163</v>
      </c>
      <c r="AV3" s="152"/>
      <c r="AW3" s="149">
        <v>46164</v>
      </c>
      <c r="AX3" s="152"/>
      <c r="AY3" s="149">
        <v>46165</v>
      </c>
      <c r="AZ3" s="152"/>
      <c r="BA3" s="149">
        <v>46166</v>
      </c>
      <c r="BB3" s="152"/>
      <c r="BC3" s="149">
        <v>46167</v>
      </c>
      <c r="BD3" s="152"/>
      <c r="BE3" s="149">
        <v>46168</v>
      </c>
      <c r="BF3" s="152"/>
      <c r="BG3" s="149">
        <v>46169</v>
      </c>
      <c r="BH3" s="152"/>
      <c r="BI3" s="149">
        <v>46170</v>
      </c>
      <c r="BJ3" s="152"/>
      <c r="BK3" s="149">
        <v>46171</v>
      </c>
      <c r="BL3" s="152"/>
      <c r="BM3" s="149">
        <v>46172</v>
      </c>
      <c r="BN3" s="152"/>
      <c r="BO3" s="149">
        <v>46173</v>
      </c>
      <c r="BP3" s="152"/>
      <c r="BQ3" s="172"/>
      <c r="BR3" s="164"/>
      <c r="BS3" s="2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4"/>
      <c r="CH3" s="61" t="s">
        <v>286</v>
      </c>
      <c r="CI3" s="61"/>
      <c r="CJ3" s="61"/>
      <c r="CK3" s="61"/>
      <c r="CL3" s="61"/>
      <c r="CM3" s="61"/>
      <c r="CN3" s="61"/>
      <c r="CO3" s="61"/>
      <c r="CP3" s="61"/>
      <c r="CQ3" s="61"/>
      <c r="CR3" s="48"/>
    </row>
    <row r="4" spans="1:96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14" t="s">
        <v>13</v>
      </c>
      <c r="R4" s="14" t="s">
        <v>14</v>
      </c>
      <c r="S4" s="14" t="s">
        <v>13</v>
      </c>
      <c r="T4" s="14" t="s">
        <v>14</v>
      </c>
      <c r="U4" s="14" t="s">
        <v>13</v>
      </c>
      <c r="V4" s="14" t="s">
        <v>14</v>
      </c>
      <c r="W4" s="14" t="s">
        <v>13</v>
      </c>
      <c r="X4" s="14" t="s">
        <v>14</v>
      </c>
      <c r="Y4" s="14" t="s">
        <v>13</v>
      </c>
      <c r="Z4" s="14" t="s">
        <v>14</v>
      </c>
      <c r="AA4" s="14" t="s">
        <v>13</v>
      </c>
      <c r="AB4" s="14" t="s">
        <v>14</v>
      </c>
      <c r="AC4" s="14" t="s">
        <v>13</v>
      </c>
      <c r="AD4" s="14" t="s">
        <v>14</v>
      </c>
      <c r="AE4" s="14" t="s">
        <v>13</v>
      </c>
      <c r="AF4" s="14" t="s">
        <v>14</v>
      </c>
      <c r="AG4" s="14" t="s">
        <v>13</v>
      </c>
      <c r="AH4" s="15" t="s">
        <v>14</v>
      </c>
      <c r="AI4" s="50"/>
      <c r="AJ4" s="88"/>
      <c r="AK4" s="14" t="s">
        <v>13</v>
      </c>
      <c r="AL4" s="15" t="s">
        <v>14</v>
      </c>
      <c r="AM4" s="14" t="s">
        <v>13</v>
      </c>
      <c r="AN4" s="15" t="s">
        <v>14</v>
      </c>
      <c r="AO4" s="14" t="s">
        <v>13</v>
      </c>
      <c r="AP4" s="15" t="s">
        <v>14</v>
      </c>
      <c r="AQ4" s="14" t="s">
        <v>13</v>
      </c>
      <c r="AR4" s="15" t="s">
        <v>14</v>
      </c>
      <c r="AS4" s="14" t="s">
        <v>13</v>
      </c>
      <c r="AT4" s="15" t="s">
        <v>14</v>
      </c>
      <c r="AU4" s="14" t="s">
        <v>13</v>
      </c>
      <c r="AV4" s="15" t="s">
        <v>14</v>
      </c>
      <c r="AW4" s="14" t="s">
        <v>13</v>
      </c>
      <c r="AX4" s="15" t="s">
        <v>14</v>
      </c>
      <c r="AY4" s="14" t="s">
        <v>13</v>
      </c>
      <c r="AZ4" s="15" t="s">
        <v>14</v>
      </c>
      <c r="BA4" s="14" t="s">
        <v>13</v>
      </c>
      <c r="BB4" s="15" t="s">
        <v>14</v>
      </c>
      <c r="BC4" s="14" t="s">
        <v>13</v>
      </c>
      <c r="BD4" s="15" t="s">
        <v>14</v>
      </c>
      <c r="BE4" s="14" t="s">
        <v>13</v>
      </c>
      <c r="BF4" s="15" t="s">
        <v>14</v>
      </c>
      <c r="BG4" s="14" t="s">
        <v>13</v>
      </c>
      <c r="BH4" s="15" t="s">
        <v>14</v>
      </c>
      <c r="BI4" s="14" t="s">
        <v>13</v>
      </c>
      <c r="BJ4" s="15" t="s">
        <v>14</v>
      </c>
      <c r="BK4" s="14" t="s">
        <v>13</v>
      </c>
      <c r="BL4" s="15" t="s">
        <v>14</v>
      </c>
      <c r="BM4" s="14" t="s">
        <v>13</v>
      </c>
      <c r="BN4" s="15" t="s">
        <v>14</v>
      </c>
      <c r="BO4" s="14" t="s">
        <v>13</v>
      </c>
      <c r="BP4" s="15" t="s">
        <v>14</v>
      </c>
      <c r="BQ4" s="173"/>
      <c r="BR4" s="165"/>
      <c r="BS4" s="6"/>
      <c r="BT4" s="120" t="s">
        <v>15</v>
      </c>
      <c r="BU4" s="118" t="s">
        <v>16</v>
      </c>
      <c r="BV4" s="118" t="s">
        <v>17</v>
      </c>
      <c r="BW4" s="115" t="s">
        <v>18</v>
      </c>
      <c r="BX4" s="118" t="s">
        <v>19</v>
      </c>
      <c r="BY4" s="118" t="s">
        <v>20</v>
      </c>
      <c r="BZ4" s="90" t="s">
        <v>183</v>
      </c>
      <c r="CA4" s="7" t="s">
        <v>22</v>
      </c>
      <c r="CB4" s="91" t="s">
        <v>23</v>
      </c>
      <c r="CC4" s="91" t="s">
        <v>24</v>
      </c>
      <c r="CD4" s="91" t="s">
        <v>25</v>
      </c>
      <c r="CE4" s="8" t="s">
        <v>26</v>
      </c>
      <c r="CH4" s="55" t="s">
        <v>16</v>
      </c>
      <c r="CI4" s="56" t="s">
        <v>17</v>
      </c>
      <c r="CJ4" s="56" t="s">
        <v>18</v>
      </c>
      <c r="CK4" s="56" t="s">
        <v>19</v>
      </c>
      <c r="CL4" s="56" t="s">
        <v>20</v>
      </c>
      <c r="CM4" s="56" t="s">
        <v>21</v>
      </c>
      <c r="CN4" s="56" t="s">
        <v>22</v>
      </c>
      <c r="CO4" s="56" t="s">
        <v>23</v>
      </c>
      <c r="CP4" s="56" t="s">
        <v>24</v>
      </c>
      <c r="CQ4" s="56" t="s">
        <v>25</v>
      </c>
      <c r="CR4" s="57" t="s">
        <v>204</v>
      </c>
    </row>
    <row r="5" spans="1:96" ht="22.5" customHeight="1" x14ac:dyDescent="0.25">
      <c r="A5" s="11">
        <v>1</v>
      </c>
      <c r="B5" s="12" t="s">
        <v>27</v>
      </c>
      <c r="C5" s="9" t="s">
        <v>28</v>
      </c>
      <c r="D5" s="110">
        <v>44045</v>
      </c>
      <c r="E5" s="115" t="s">
        <v>18</v>
      </c>
      <c r="F5" s="115" t="s">
        <v>18</v>
      </c>
      <c r="G5" s="115" t="s">
        <v>18</v>
      </c>
      <c r="H5" s="115" t="s">
        <v>18</v>
      </c>
      <c r="I5" s="90">
        <v>0.40902777777777777</v>
      </c>
      <c r="J5" s="90">
        <v>0.73472222222222217</v>
      </c>
      <c r="K5" s="90">
        <v>0.39374999999999999</v>
      </c>
      <c r="L5" s="90">
        <v>0.72291666666666676</v>
      </c>
      <c r="M5" s="90">
        <v>0.37291666666666662</v>
      </c>
      <c r="N5" s="90">
        <v>0.73125000000000007</v>
      </c>
      <c r="O5" s="90">
        <v>0.3888888888888889</v>
      </c>
      <c r="P5" s="90">
        <v>0.72916666666666663</v>
      </c>
      <c r="Q5" s="90">
        <v>0.3840277777777778</v>
      </c>
      <c r="R5" s="90">
        <v>0.73263888888888884</v>
      </c>
      <c r="S5" s="120" t="s">
        <v>15</v>
      </c>
      <c r="T5" s="120" t="s">
        <v>15</v>
      </c>
      <c r="U5" s="90">
        <v>0.42291666666666666</v>
      </c>
      <c r="V5" s="90">
        <v>0.42291666666666666</v>
      </c>
      <c r="W5" s="90">
        <v>0.3840277777777778</v>
      </c>
      <c r="X5" s="90">
        <v>0.72222222222222221</v>
      </c>
      <c r="Y5" s="90">
        <v>0.39166666666666666</v>
      </c>
      <c r="Z5" s="90">
        <v>0.75347222222222221</v>
      </c>
      <c r="AA5" s="90">
        <v>0.38541666666666669</v>
      </c>
      <c r="AB5" s="90">
        <v>0.71875</v>
      </c>
      <c r="AC5" s="90">
        <v>0.3840277777777778</v>
      </c>
      <c r="AD5" s="90">
        <v>0.71944444444444444</v>
      </c>
      <c r="AE5" s="90">
        <v>0.3923611111111111</v>
      </c>
      <c r="AF5" s="90">
        <v>0.73055555555555562</v>
      </c>
      <c r="AG5" s="120" t="s">
        <v>15</v>
      </c>
      <c r="AH5" s="120" t="s">
        <v>15</v>
      </c>
      <c r="AJ5" s="116">
        <v>1</v>
      </c>
      <c r="AK5" s="90">
        <v>0.42222222222222222</v>
      </c>
      <c r="AL5" s="90">
        <v>0.75277777777777777</v>
      </c>
      <c r="AM5" s="90">
        <v>0.375</v>
      </c>
      <c r="AN5" s="90">
        <v>0.73055555555555562</v>
      </c>
      <c r="AO5" s="90" t="s">
        <v>183</v>
      </c>
      <c r="AP5" s="90" t="s">
        <v>183</v>
      </c>
      <c r="AQ5" s="90">
        <v>0.40902777777777777</v>
      </c>
      <c r="AR5" s="91">
        <v>1</v>
      </c>
      <c r="AS5" s="90">
        <v>0.38680555555555557</v>
      </c>
      <c r="AT5" s="90">
        <v>0.72986111111111107</v>
      </c>
      <c r="AU5" s="90">
        <v>0.39027777777777778</v>
      </c>
      <c r="AV5" s="90">
        <v>0.73055555555555562</v>
      </c>
      <c r="AW5" s="120" t="s">
        <v>15</v>
      </c>
      <c r="AX5" s="120" t="s">
        <v>15</v>
      </c>
      <c r="AY5" s="90" t="s">
        <v>183</v>
      </c>
      <c r="AZ5" s="90" t="s">
        <v>183</v>
      </c>
      <c r="BA5" s="90">
        <v>0.42777777777777781</v>
      </c>
      <c r="BB5" s="90">
        <v>0.7402777777777777</v>
      </c>
      <c r="BC5" s="90">
        <v>0.41180555555555554</v>
      </c>
      <c r="BD5" s="90">
        <v>0.73263888888888884</v>
      </c>
      <c r="BE5" s="90">
        <v>0.42569444444444443</v>
      </c>
      <c r="BF5" s="90">
        <v>0.70694444444444438</v>
      </c>
      <c r="BG5" s="120" t="s">
        <v>15</v>
      </c>
      <c r="BH5" s="120" t="s">
        <v>15</v>
      </c>
      <c r="BI5" s="90">
        <v>0.38958333333333334</v>
      </c>
      <c r="BJ5" s="90">
        <v>0.71805555555555556</v>
      </c>
      <c r="BK5" s="120" t="s">
        <v>15</v>
      </c>
      <c r="BL5" s="120" t="s">
        <v>15</v>
      </c>
      <c r="BM5" s="90">
        <v>0.40138888888888885</v>
      </c>
      <c r="BN5" s="90">
        <v>0.72638888888888886</v>
      </c>
      <c r="BO5" s="90">
        <v>0.40347222222222223</v>
      </c>
      <c r="BP5" s="90">
        <v>0.72291666666666676</v>
      </c>
      <c r="BQ5" s="147">
        <f>BS5+BT5+BV5+CA5+BY5+BZ5+CD5+BW5</f>
        <v>31</v>
      </c>
      <c r="BR5" s="81">
        <v>0</v>
      </c>
      <c r="BS5" s="2">
        <f>COUNT(E5:AH5)/2+COUNT(AK5:BP5)/2</f>
        <v>22</v>
      </c>
      <c r="BT5" s="3">
        <f>COUNTIF(E5:BP5,"OFF")/2</f>
        <v>5</v>
      </c>
      <c r="BU5" s="3">
        <f>COUNTIF(E5:BP5,"MC")/2</f>
        <v>0</v>
      </c>
      <c r="BV5" s="3">
        <f>COUNTIF(E5:BP5,"EL")/2</f>
        <v>0</v>
      </c>
      <c r="BW5" s="3">
        <f>COUNTIF(E5:BP5,"AL")/2</f>
        <v>2</v>
      </c>
      <c r="BX5" s="3">
        <f>COUNTIF(E5:BP5,"SUS")/2</f>
        <v>0</v>
      </c>
      <c r="BY5" s="3">
        <f>COUNTIF(E5:BP5,"FL")/2</f>
        <v>0</v>
      </c>
      <c r="BZ5" s="3">
        <f>COUNTIF(E5:BP5,"SICK")/2</f>
        <v>2</v>
      </c>
      <c r="CA5" s="3">
        <f>COUNTIF(E5:BP5,"HD")/2</f>
        <v>0</v>
      </c>
      <c r="CB5" s="3">
        <f>COUNTIF(E5:BP5,"AB")/2</f>
        <v>0</v>
      </c>
      <c r="CC5" s="3">
        <f>COUNTIF(E5:BP5,"NL")/2</f>
        <v>0</v>
      </c>
      <c r="CD5" s="3">
        <f>COUNTIF(E5:BP5,"SP")/2</f>
        <v>0</v>
      </c>
      <c r="CE5" s="4" t="s">
        <v>282</v>
      </c>
      <c r="CH5" s="58">
        <v>0</v>
      </c>
      <c r="CI5" s="58">
        <v>0</v>
      </c>
      <c r="CJ5" s="59">
        <v>77</v>
      </c>
      <c r="CK5" s="58">
        <v>0</v>
      </c>
      <c r="CL5" s="59">
        <v>1</v>
      </c>
      <c r="CM5" s="59">
        <v>5</v>
      </c>
      <c r="CN5" s="58">
        <v>0</v>
      </c>
      <c r="CO5" s="58">
        <v>0</v>
      </c>
      <c r="CP5" s="58">
        <v>0</v>
      </c>
      <c r="CQ5" s="58">
        <v>0</v>
      </c>
      <c r="CR5" s="54">
        <f>SUM(CH5:CQ5)</f>
        <v>83</v>
      </c>
    </row>
    <row r="6" spans="1:96" ht="21" customHeight="1" x14ac:dyDescent="0.25">
      <c r="A6" s="11">
        <v>2</v>
      </c>
      <c r="B6" s="12" t="s">
        <v>29</v>
      </c>
      <c r="C6" s="98" t="s">
        <v>30</v>
      </c>
      <c r="D6" s="110">
        <v>41972</v>
      </c>
      <c r="E6" s="126">
        <v>0.63680555555555551</v>
      </c>
      <c r="F6" s="127">
        <v>1</v>
      </c>
      <c r="G6" s="90">
        <v>0.4145833333333333</v>
      </c>
      <c r="H6" s="91">
        <v>1</v>
      </c>
      <c r="I6" s="90">
        <v>0.39583333333333331</v>
      </c>
      <c r="J6" s="91">
        <v>1</v>
      </c>
      <c r="K6" s="90">
        <v>0.39513888888888887</v>
      </c>
      <c r="L6" s="91">
        <v>1</v>
      </c>
      <c r="M6" s="90">
        <v>0.41388888888888892</v>
      </c>
      <c r="N6" s="91">
        <v>1</v>
      </c>
      <c r="O6" s="90">
        <v>0.40138888888888885</v>
      </c>
      <c r="P6" s="91">
        <v>1</v>
      </c>
      <c r="Q6" s="90">
        <v>0.40763888888888888</v>
      </c>
      <c r="R6" s="91">
        <v>1</v>
      </c>
      <c r="S6" s="126">
        <v>0.60069444444444442</v>
      </c>
      <c r="T6" s="127">
        <v>1</v>
      </c>
      <c r="U6" s="90">
        <v>0.43194444444444446</v>
      </c>
      <c r="V6" s="91">
        <v>1</v>
      </c>
      <c r="W6" s="90">
        <v>0.41388888888888892</v>
      </c>
      <c r="X6" s="91">
        <v>1</v>
      </c>
      <c r="Y6" s="90">
        <v>0.41736111111111113</v>
      </c>
      <c r="Z6" s="91">
        <v>1</v>
      </c>
      <c r="AA6" s="90">
        <v>0.4055555555555555</v>
      </c>
      <c r="AB6" s="90">
        <v>0.41666666666666669</v>
      </c>
      <c r="AC6" s="90">
        <v>0.41736111111111113</v>
      </c>
      <c r="AD6" s="91">
        <v>1</v>
      </c>
      <c r="AE6" s="90">
        <v>0.41180555555555554</v>
      </c>
      <c r="AF6" s="91">
        <v>1</v>
      </c>
      <c r="AG6" s="126">
        <v>0.62291666666666667</v>
      </c>
      <c r="AH6" s="127">
        <v>1</v>
      </c>
      <c r="AJ6" s="116">
        <v>2</v>
      </c>
      <c r="AK6" s="90">
        <v>0.41041666666666665</v>
      </c>
      <c r="AL6" s="91">
        <v>1</v>
      </c>
      <c r="AM6" s="90">
        <v>0.41875000000000001</v>
      </c>
      <c r="AN6" s="91">
        <v>1</v>
      </c>
      <c r="AO6" s="90">
        <v>0.42430555555555555</v>
      </c>
      <c r="AP6" s="91">
        <v>1</v>
      </c>
      <c r="AQ6" s="90">
        <v>0.4152777777777778</v>
      </c>
      <c r="AR6" s="91">
        <v>1</v>
      </c>
      <c r="AS6" s="90">
        <v>0.42152777777777778</v>
      </c>
      <c r="AT6" s="91">
        <v>1</v>
      </c>
      <c r="AU6" s="90">
        <v>0.41597222222222219</v>
      </c>
      <c r="AV6" s="91">
        <v>1</v>
      </c>
      <c r="AW6" s="126">
        <v>0.66805555555555562</v>
      </c>
      <c r="AX6" s="127">
        <v>1</v>
      </c>
      <c r="AY6" s="90">
        <v>0.42430555555555555</v>
      </c>
      <c r="AZ6" s="91">
        <v>1</v>
      </c>
      <c r="BA6" s="90">
        <v>0.41111111111111115</v>
      </c>
      <c r="BB6" s="91">
        <v>1</v>
      </c>
      <c r="BC6" s="90">
        <v>0.41944444444444445</v>
      </c>
      <c r="BD6" s="91">
        <v>1</v>
      </c>
      <c r="BE6" s="90">
        <v>0.41388888888888892</v>
      </c>
      <c r="BF6" s="91">
        <v>1</v>
      </c>
      <c r="BG6" s="120" t="s">
        <v>15</v>
      </c>
      <c r="BH6" s="120" t="s">
        <v>15</v>
      </c>
      <c r="BI6" s="90">
        <v>0.43263888888888885</v>
      </c>
      <c r="BJ6" s="91">
        <v>1</v>
      </c>
      <c r="BK6" s="126">
        <v>0.61597222222222225</v>
      </c>
      <c r="BL6" s="127">
        <v>1</v>
      </c>
      <c r="BM6" s="90">
        <v>0.43333333333333335</v>
      </c>
      <c r="BN6" s="91">
        <v>1</v>
      </c>
      <c r="BO6" s="90">
        <v>0.41597222222222219</v>
      </c>
      <c r="BP6" s="91">
        <v>1</v>
      </c>
      <c r="BQ6" s="147">
        <f t="shared" ref="BQ6:BQ14" si="0">BS6+BT6+BV6+CA6+BY6+BZ6+CD6+BW6</f>
        <v>31</v>
      </c>
      <c r="BR6" s="81">
        <v>5</v>
      </c>
      <c r="BS6" s="2">
        <f t="shared" ref="BS6:BS25" si="1">COUNT(E6:AH6)/2+COUNT(AK6:BP6)/2</f>
        <v>30</v>
      </c>
      <c r="BT6" s="3">
        <f t="shared" ref="BT6:BT12" si="2">COUNTIF(E6:BN6,"OFF")/2</f>
        <v>1</v>
      </c>
      <c r="BU6" s="3">
        <f t="shared" ref="BU6:BU12" si="3">COUNTIF(E6:BN6,"MC")/2</f>
        <v>0</v>
      </c>
      <c r="BV6" s="3">
        <f t="shared" ref="BV6:BV12" si="4">COUNTIF(E6:BN6,"EL")/2</f>
        <v>0</v>
      </c>
      <c r="BW6" s="3">
        <f t="shared" ref="BW6:BW12" si="5">COUNTIF(E6:BN6,"AL")/2</f>
        <v>0</v>
      </c>
      <c r="BX6" s="3">
        <f t="shared" ref="BX6:BX12" si="6">COUNTIF(E6:BN6,"SUS")/2</f>
        <v>0</v>
      </c>
      <c r="BY6" s="3">
        <f t="shared" ref="BY6:BY12" si="7">COUNTIF(E6:BN6,"FL")/2</f>
        <v>0</v>
      </c>
      <c r="BZ6" s="3">
        <f t="shared" ref="BZ6:BZ25" si="8">COUNTIF(E6:BP6,"SICK")/2</f>
        <v>0</v>
      </c>
      <c r="CA6" s="3">
        <f t="shared" ref="CA6:CA12" si="9">COUNTIF(E6:BN6,"HD")/2</f>
        <v>0</v>
      </c>
      <c r="CB6" s="3">
        <f t="shared" ref="CB6:CB12" si="10">COUNTIF(E6:BN6,"AB")/2</f>
        <v>0</v>
      </c>
      <c r="CC6" s="3">
        <f t="shared" ref="CC6:CC12" si="11">COUNTIF(E6:BN6,"NL")/2</f>
        <v>0</v>
      </c>
      <c r="CD6" s="3">
        <f t="shared" ref="CD6:CD12" si="12">COUNTIF(E6:BN6,"SP")/2</f>
        <v>0</v>
      </c>
      <c r="CE6" s="85"/>
      <c r="CH6" s="58">
        <v>0</v>
      </c>
      <c r="CI6" s="58">
        <v>39</v>
      </c>
      <c r="CJ6" s="59">
        <v>0</v>
      </c>
      <c r="CK6" s="58">
        <v>0</v>
      </c>
      <c r="CL6" s="58">
        <v>0</v>
      </c>
      <c r="CM6" s="58">
        <v>1</v>
      </c>
      <c r="CN6" s="58">
        <v>0</v>
      </c>
      <c r="CO6" s="58">
        <v>0</v>
      </c>
      <c r="CP6" s="58">
        <v>0</v>
      </c>
      <c r="CQ6" s="58">
        <v>0</v>
      </c>
      <c r="CR6" s="54">
        <f>SUM(CH6:CQ6)</f>
        <v>40</v>
      </c>
    </row>
    <row r="7" spans="1:96" ht="21" customHeight="1" x14ac:dyDescent="0.25">
      <c r="A7" s="11">
        <v>3</v>
      </c>
      <c r="B7" s="12" t="s">
        <v>31</v>
      </c>
      <c r="C7" s="98" t="s">
        <v>32</v>
      </c>
      <c r="D7" s="110">
        <v>44650</v>
      </c>
      <c r="E7" s="126">
        <v>0.60972222222222217</v>
      </c>
      <c r="F7" s="126">
        <v>0.75416666666666676</v>
      </c>
      <c r="G7" s="90">
        <v>0.38055555555555554</v>
      </c>
      <c r="H7" s="90">
        <v>0.49027777777777781</v>
      </c>
      <c r="I7" s="118" t="s">
        <v>17</v>
      </c>
      <c r="J7" s="118" t="s">
        <v>17</v>
      </c>
      <c r="K7" s="118" t="s">
        <v>17</v>
      </c>
      <c r="L7" s="118" t="s">
        <v>17</v>
      </c>
      <c r="M7" s="118" t="s">
        <v>17</v>
      </c>
      <c r="N7" s="118" t="s">
        <v>17</v>
      </c>
      <c r="O7" s="118" t="s">
        <v>17</v>
      </c>
      <c r="P7" s="118" t="s">
        <v>17</v>
      </c>
      <c r="Q7" s="118" t="s">
        <v>17</v>
      </c>
      <c r="R7" s="118" t="s">
        <v>17</v>
      </c>
      <c r="S7" s="126">
        <v>0.57777777777777783</v>
      </c>
      <c r="T7" s="126">
        <v>0.75694444444444453</v>
      </c>
      <c r="U7" s="90">
        <v>0.41875000000000001</v>
      </c>
      <c r="V7" s="90">
        <v>0.75763888888888886</v>
      </c>
      <c r="W7" s="90">
        <v>0.375</v>
      </c>
      <c r="X7" s="90">
        <v>0.97916666666666663</v>
      </c>
      <c r="Y7" s="90">
        <v>0.37361111111111112</v>
      </c>
      <c r="Z7" s="90">
        <v>0.96875</v>
      </c>
      <c r="AA7" s="90">
        <v>0.375</v>
      </c>
      <c r="AB7" s="90">
        <v>0.99097222222222225</v>
      </c>
      <c r="AC7" s="90">
        <v>0.37638888888888888</v>
      </c>
      <c r="AD7" s="90">
        <v>0.7597222222222223</v>
      </c>
      <c r="AE7" s="90">
        <v>0.37986111111111115</v>
      </c>
      <c r="AF7" s="90">
        <v>6.2499999999999995E-3</v>
      </c>
      <c r="AG7" s="126">
        <v>0.57986111111111105</v>
      </c>
      <c r="AH7" s="126">
        <v>0.75555555555555554</v>
      </c>
      <c r="AJ7" s="116">
        <v>3</v>
      </c>
      <c r="AK7" s="90">
        <v>0.41388888888888892</v>
      </c>
      <c r="AL7" s="90">
        <v>4.1666666666666666E-3</v>
      </c>
      <c r="AM7" s="90">
        <v>0.375</v>
      </c>
      <c r="AN7" s="90">
        <v>0.99236111111111114</v>
      </c>
      <c r="AO7" s="90">
        <v>0.37638888888888888</v>
      </c>
      <c r="AP7" s="90">
        <v>0.98263888888888884</v>
      </c>
      <c r="AQ7" s="90">
        <v>0.74583333333333324</v>
      </c>
      <c r="AR7" s="90">
        <v>0.97916666666666663</v>
      </c>
      <c r="AS7" s="90">
        <v>0.37638888888888888</v>
      </c>
      <c r="AT7" s="90">
        <v>0.98819444444444438</v>
      </c>
      <c r="AU7" s="90">
        <v>0.37847222222222227</v>
      </c>
      <c r="AV7" s="90">
        <v>0.99652777777777779</v>
      </c>
      <c r="AW7" s="126">
        <v>0.57291666666666663</v>
      </c>
      <c r="AX7" s="127">
        <v>1</v>
      </c>
      <c r="AY7" s="90">
        <v>0.41805555555555557</v>
      </c>
      <c r="AZ7" s="90">
        <v>0.74861111111111101</v>
      </c>
      <c r="BA7" s="90">
        <v>0.3833333333333333</v>
      </c>
      <c r="BB7" s="90">
        <v>0.9902777777777777</v>
      </c>
      <c r="BC7" s="90">
        <v>0.3743055555555555</v>
      </c>
      <c r="BD7" s="90">
        <v>0.74236111111111114</v>
      </c>
      <c r="BE7" s="90">
        <v>0.37847222222222227</v>
      </c>
      <c r="BF7" s="90">
        <v>6.9444444444444447E-4</v>
      </c>
      <c r="BG7" s="120" t="s">
        <v>15</v>
      </c>
      <c r="BH7" s="120" t="s">
        <v>15</v>
      </c>
      <c r="BI7" s="90">
        <v>0.37222222222222223</v>
      </c>
      <c r="BJ7" s="90">
        <v>2.0833333333333333E-3</v>
      </c>
      <c r="BK7" s="126">
        <v>0.59305555555555556</v>
      </c>
      <c r="BL7" s="126">
        <v>0.74861111111111101</v>
      </c>
      <c r="BM7" s="90">
        <v>0.41250000000000003</v>
      </c>
      <c r="BN7" s="90">
        <v>6.9444444444444447E-4</v>
      </c>
      <c r="BO7" s="90">
        <v>0.37291666666666662</v>
      </c>
      <c r="BP7" s="90">
        <v>0.98125000000000007</v>
      </c>
      <c r="BQ7" s="147">
        <f t="shared" si="0"/>
        <v>31</v>
      </c>
      <c r="BR7" s="81">
        <v>5</v>
      </c>
      <c r="BS7" s="2">
        <f t="shared" si="1"/>
        <v>25</v>
      </c>
      <c r="BT7" s="3">
        <f t="shared" si="2"/>
        <v>1</v>
      </c>
      <c r="BU7" s="3">
        <f t="shared" si="3"/>
        <v>0</v>
      </c>
      <c r="BV7" s="3">
        <f t="shared" si="4"/>
        <v>5</v>
      </c>
      <c r="BW7" s="3">
        <f t="shared" si="5"/>
        <v>0</v>
      </c>
      <c r="BX7" s="3">
        <f t="shared" si="6"/>
        <v>0</v>
      </c>
      <c r="BY7" s="3">
        <f t="shared" si="7"/>
        <v>0</v>
      </c>
      <c r="BZ7" s="3">
        <f t="shared" si="8"/>
        <v>0</v>
      </c>
      <c r="CA7" s="3">
        <f t="shared" si="9"/>
        <v>0</v>
      </c>
      <c r="CB7" s="3">
        <f t="shared" si="10"/>
        <v>0</v>
      </c>
      <c r="CC7" s="3">
        <f t="shared" si="11"/>
        <v>0</v>
      </c>
      <c r="CD7" s="3">
        <f t="shared" si="12"/>
        <v>0</v>
      </c>
      <c r="CE7" s="85"/>
      <c r="CH7" s="58">
        <v>0</v>
      </c>
      <c r="CI7" s="58">
        <v>5</v>
      </c>
      <c r="CJ7" s="59">
        <v>65</v>
      </c>
      <c r="CK7" s="58">
        <v>0</v>
      </c>
      <c r="CL7" s="58">
        <v>1</v>
      </c>
      <c r="CM7" s="58">
        <v>2</v>
      </c>
      <c r="CN7" s="58">
        <v>0</v>
      </c>
      <c r="CO7" s="58">
        <v>0</v>
      </c>
      <c r="CP7" s="58">
        <v>0</v>
      </c>
      <c r="CQ7" s="58">
        <v>0</v>
      </c>
      <c r="CR7" s="60">
        <f t="shared" ref="CR7" si="13">SUM(CH7:CQ7)</f>
        <v>73</v>
      </c>
    </row>
    <row r="8" spans="1:96" ht="21" customHeight="1" x14ac:dyDescent="0.25">
      <c r="A8" s="11">
        <v>4</v>
      </c>
      <c r="B8" s="12" t="s">
        <v>33</v>
      </c>
      <c r="C8" s="98" t="s">
        <v>34</v>
      </c>
      <c r="D8" s="110">
        <v>37431</v>
      </c>
      <c r="E8" s="126">
        <v>0.57430555555555551</v>
      </c>
      <c r="F8" s="126">
        <v>0.98888888888888893</v>
      </c>
      <c r="G8" s="90">
        <v>0.38680555555555557</v>
      </c>
      <c r="H8" s="90">
        <v>5.5555555555555558E-3</v>
      </c>
      <c r="I8" s="90">
        <v>0.39027777777777778</v>
      </c>
      <c r="J8" s="90">
        <v>0.98541666666666661</v>
      </c>
      <c r="K8" s="90">
        <v>0.3840277777777778</v>
      </c>
      <c r="L8" s="90">
        <v>0.99375000000000002</v>
      </c>
      <c r="M8" s="90">
        <v>0.36319444444444443</v>
      </c>
      <c r="N8" s="90">
        <v>0.98958333333333337</v>
      </c>
      <c r="O8" s="90">
        <v>0.3666666666666667</v>
      </c>
      <c r="P8" s="90">
        <v>0.99652777777777779</v>
      </c>
      <c r="Q8" s="90">
        <v>0.39513888888888887</v>
      </c>
      <c r="R8" s="90">
        <v>2.361111111111111E-2</v>
      </c>
      <c r="S8" s="126">
        <v>0.96666666666666667</v>
      </c>
      <c r="T8" s="126">
        <v>0.9902777777777777</v>
      </c>
      <c r="U8" s="90">
        <v>0.35972222222222222</v>
      </c>
      <c r="V8" s="90">
        <v>2.0833333333333333E-3</v>
      </c>
      <c r="W8" s="90">
        <v>0.38125000000000003</v>
      </c>
      <c r="X8" s="90">
        <v>0.9819444444444444</v>
      </c>
      <c r="Y8" s="90">
        <v>0.39027777777777778</v>
      </c>
      <c r="Z8" s="90">
        <v>0.98611111111111116</v>
      </c>
      <c r="AA8" s="90">
        <v>0.36874999999999997</v>
      </c>
      <c r="AB8" s="90">
        <v>0.98958333333333337</v>
      </c>
      <c r="AC8" s="90">
        <v>0.36180555555555555</v>
      </c>
      <c r="AD8" s="90">
        <v>0.98819444444444438</v>
      </c>
      <c r="AE8" s="90">
        <v>0.37777777777777777</v>
      </c>
      <c r="AF8" s="90">
        <v>1.8055555555555557E-2</v>
      </c>
      <c r="AG8" s="126">
        <v>0.57847222222222217</v>
      </c>
      <c r="AH8" s="126">
        <v>0.9868055555555556</v>
      </c>
      <c r="AJ8" s="116">
        <v>4</v>
      </c>
      <c r="AK8" s="90">
        <v>0.37847222222222227</v>
      </c>
      <c r="AL8" s="90">
        <v>1.4583333333333332E-2</v>
      </c>
      <c r="AM8" s="90">
        <v>0.38263888888888892</v>
      </c>
      <c r="AN8" s="90">
        <v>4.1666666666666666E-3</v>
      </c>
      <c r="AO8" s="90">
        <v>0.38055555555555554</v>
      </c>
      <c r="AP8" s="90">
        <v>0.98541666666666661</v>
      </c>
      <c r="AQ8" s="90">
        <v>0.37361111111111112</v>
      </c>
      <c r="AR8" s="90">
        <v>0.98749999999999993</v>
      </c>
      <c r="AS8" s="90">
        <v>0.40416666666666662</v>
      </c>
      <c r="AT8" s="90">
        <v>0.99444444444444446</v>
      </c>
      <c r="AU8" s="90">
        <v>0.375</v>
      </c>
      <c r="AV8" s="90">
        <v>6.2499999999999995E-3</v>
      </c>
      <c r="AW8" s="120" t="s">
        <v>15</v>
      </c>
      <c r="AX8" s="120" t="s">
        <v>15</v>
      </c>
      <c r="AY8" s="90">
        <v>0.35000000000000003</v>
      </c>
      <c r="AZ8" s="90">
        <v>6.9444444444444441E-3</v>
      </c>
      <c r="BA8" s="90">
        <v>0.3520833333333333</v>
      </c>
      <c r="BB8" s="90">
        <v>0.98888888888888893</v>
      </c>
      <c r="BC8" s="90">
        <v>0.36180555555555555</v>
      </c>
      <c r="BD8" s="91">
        <v>1</v>
      </c>
      <c r="BE8" s="90">
        <v>0.36249999999999999</v>
      </c>
      <c r="BF8" s="90">
        <v>9.7222222222222224E-3</v>
      </c>
      <c r="BG8" s="120" t="s">
        <v>15</v>
      </c>
      <c r="BH8" s="120" t="s">
        <v>15</v>
      </c>
      <c r="BI8" s="90">
        <v>0.3527777777777778</v>
      </c>
      <c r="BJ8" s="90">
        <v>2.9166666666666664E-2</v>
      </c>
      <c r="BK8" s="126">
        <v>0.57777777777777783</v>
      </c>
      <c r="BL8" s="126">
        <v>0.98055555555555562</v>
      </c>
      <c r="BM8" s="90">
        <v>0.44027777777777777</v>
      </c>
      <c r="BN8" s="90">
        <v>6.2499999999999995E-3</v>
      </c>
      <c r="BO8" s="90">
        <v>0.38750000000000001</v>
      </c>
      <c r="BP8" s="90">
        <v>0.99305555555555547</v>
      </c>
      <c r="BQ8" s="147">
        <f t="shared" si="0"/>
        <v>31</v>
      </c>
      <c r="BR8" s="81">
        <v>4</v>
      </c>
      <c r="BS8" s="2">
        <f t="shared" si="1"/>
        <v>29</v>
      </c>
      <c r="BT8" s="3">
        <f t="shared" si="2"/>
        <v>2</v>
      </c>
      <c r="BU8" s="3">
        <f t="shared" si="3"/>
        <v>0</v>
      </c>
      <c r="BV8" s="3">
        <f t="shared" si="4"/>
        <v>0</v>
      </c>
      <c r="BW8" s="3">
        <f t="shared" si="5"/>
        <v>0</v>
      </c>
      <c r="BX8" s="3">
        <f t="shared" si="6"/>
        <v>0</v>
      </c>
      <c r="BY8" s="3">
        <f t="shared" si="7"/>
        <v>0</v>
      </c>
      <c r="BZ8" s="3">
        <f t="shared" si="8"/>
        <v>0</v>
      </c>
      <c r="CA8" s="3">
        <f t="shared" si="9"/>
        <v>0</v>
      </c>
      <c r="CB8" s="3">
        <f t="shared" si="10"/>
        <v>0</v>
      </c>
      <c r="CC8" s="3">
        <f t="shared" si="11"/>
        <v>0</v>
      </c>
      <c r="CD8" s="3">
        <f t="shared" si="12"/>
        <v>0</v>
      </c>
      <c r="CE8" s="85"/>
      <c r="CH8" s="58">
        <v>0</v>
      </c>
      <c r="CI8" s="58">
        <v>0</v>
      </c>
      <c r="CJ8" s="59">
        <v>23</v>
      </c>
      <c r="CK8" s="58">
        <v>0</v>
      </c>
      <c r="CL8" s="58">
        <v>0</v>
      </c>
      <c r="CM8" s="58">
        <v>0</v>
      </c>
      <c r="CN8" s="58">
        <v>0</v>
      </c>
      <c r="CO8" s="58">
        <v>0</v>
      </c>
      <c r="CP8" s="58">
        <v>0</v>
      </c>
      <c r="CQ8" s="58">
        <v>0</v>
      </c>
      <c r="CR8" s="60">
        <f t="shared" ref="CR8:CR9" si="14">SUM(CH8:CQ8)</f>
        <v>23</v>
      </c>
    </row>
    <row r="9" spans="1:96" ht="21" customHeight="1" x14ac:dyDescent="0.25">
      <c r="A9" s="11">
        <v>5</v>
      </c>
      <c r="B9" s="12" t="s">
        <v>35</v>
      </c>
      <c r="C9" s="98" t="s">
        <v>36</v>
      </c>
      <c r="D9" s="110">
        <v>38630</v>
      </c>
      <c r="E9" s="120" t="s">
        <v>15</v>
      </c>
      <c r="F9" s="120" t="s">
        <v>15</v>
      </c>
      <c r="G9" s="90">
        <v>0.35902777777777778</v>
      </c>
      <c r="H9" s="90">
        <v>0.95416666666666661</v>
      </c>
      <c r="I9" s="90">
        <v>0.36874999999999997</v>
      </c>
      <c r="J9" s="90">
        <v>0.93611111111111101</v>
      </c>
      <c r="K9" s="90">
        <v>0.37847222222222227</v>
      </c>
      <c r="L9" s="90">
        <v>0.9555555555555556</v>
      </c>
      <c r="M9" s="90">
        <v>0.38958333333333334</v>
      </c>
      <c r="N9" s="90">
        <v>0.93402777777777779</v>
      </c>
      <c r="O9" s="90">
        <v>0.38125000000000003</v>
      </c>
      <c r="P9" s="90">
        <v>0.95833333333333337</v>
      </c>
      <c r="Q9" s="90">
        <v>0.35555555555555557</v>
      </c>
      <c r="R9" s="90">
        <v>0.92638888888888893</v>
      </c>
      <c r="S9" s="126">
        <v>0.57430555555555551</v>
      </c>
      <c r="T9" s="126">
        <v>0.94027777777777777</v>
      </c>
      <c r="U9" s="90">
        <v>0.3659722222222222</v>
      </c>
      <c r="V9" s="90">
        <v>0.9458333333333333</v>
      </c>
      <c r="W9" s="90">
        <v>0.36319444444444443</v>
      </c>
      <c r="X9" s="90">
        <v>0.9194444444444444</v>
      </c>
      <c r="Y9" s="90" t="s">
        <v>183</v>
      </c>
      <c r="Z9" s="90" t="s">
        <v>183</v>
      </c>
      <c r="AA9" s="90">
        <v>0.35833333333333334</v>
      </c>
      <c r="AB9" s="90">
        <v>0.9159722222222223</v>
      </c>
      <c r="AC9" s="90">
        <v>0.34236111111111112</v>
      </c>
      <c r="AD9" s="90">
        <v>0.95624999999999993</v>
      </c>
      <c r="AE9" s="90">
        <v>0.34513888888888888</v>
      </c>
      <c r="AF9" s="90">
        <v>0.95000000000000007</v>
      </c>
      <c r="AG9" s="120" t="s">
        <v>15</v>
      </c>
      <c r="AH9" s="120" t="s">
        <v>15</v>
      </c>
      <c r="AJ9" s="116">
        <v>5</v>
      </c>
      <c r="AK9" s="90">
        <v>0.35069444444444442</v>
      </c>
      <c r="AL9" s="91">
        <v>1</v>
      </c>
      <c r="AM9" s="90">
        <v>0.39861111111111108</v>
      </c>
      <c r="AN9" s="90">
        <v>0.95138888888888884</v>
      </c>
      <c r="AO9" s="90">
        <v>0.3840277777777778</v>
      </c>
      <c r="AP9" s="90">
        <v>0.92499999999999993</v>
      </c>
      <c r="AQ9" s="90">
        <v>0.38194444444444442</v>
      </c>
      <c r="AR9" s="90">
        <v>0.92569444444444438</v>
      </c>
      <c r="AS9" s="90">
        <v>0.3840277777777778</v>
      </c>
      <c r="AT9" s="90">
        <v>0.94652777777777775</v>
      </c>
      <c r="AU9" s="90">
        <v>0.37708333333333338</v>
      </c>
      <c r="AV9" s="90">
        <v>0.95972222222222225</v>
      </c>
      <c r="AW9" s="126">
        <v>0.57777777777777783</v>
      </c>
      <c r="AX9" s="126">
        <v>0.9902777777777777</v>
      </c>
      <c r="AY9" s="90">
        <v>0.3972222222222222</v>
      </c>
      <c r="AZ9" s="90">
        <v>0.94444444444444453</v>
      </c>
      <c r="BA9" s="90">
        <v>0.36041666666666666</v>
      </c>
      <c r="BB9" s="90">
        <v>0.96736111111111101</v>
      </c>
      <c r="BC9" s="90">
        <v>0.3666666666666667</v>
      </c>
      <c r="BD9" s="90">
        <v>0.99652777777777779</v>
      </c>
      <c r="BE9" s="90">
        <v>0.36736111111111108</v>
      </c>
      <c r="BF9" s="90">
        <v>0.98263888888888884</v>
      </c>
      <c r="BG9" s="120" t="s">
        <v>15</v>
      </c>
      <c r="BH9" s="120" t="s">
        <v>15</v>
      </c>
      <c r="BI9" s="90">
        <v>0.35972222222222222</v>
      </c>
      <c r="BJ9" s="90">
        <v>0.96875</v>
      </c>
      <c r="BK9" s="120" t="s">
        <v>15</v>
      </c>
      <c r="BL9" s="120" t="s">
        <v>15</v>
      </c>
      <c r="BM9" s="90">
        <v>0.37152777777777773</v>
      </c>
      <c r="BN9" s="90">
        <v>0.90625</v>
      </c>
      <c r="BO9" s="90">
        <v>0.39861111111111108</v>
      </c>
      <c r="BP9" s="90">
        <v>0.94444444444444453</v>
      </c>
      <c r="BQ9" s="147">
        <f t="shared" si="0"/>
        <v>31</v>
      </c>
      <c r="BR9" s="81">
        <v>2</v>
      </c>
      <c r="BS9" s="2">
        <f t="shared" si="1"/>
        <v>26</v>
      </c>
      <c r="BT9" s="3">
        <f t="shared" si="2"/>
        <v>4</v>
      </c>
      <c r="BU9" s="3">
        <f t="shared" si="3"/>
        <v>0</v>
      </c>
      <c r="BV9" s="3">
        <f t="shared" si="4"/>
        <v>0</v>
      </c>
      <c r="BW9" s="3">
        <f t="shared" si="5"/>
        <v>0</v>
      </c>
      <c r="BX9" s="3">
        <f t="shared" si="6"/>
        <v>0</v>
      </c>
      <c r="BY9" s="3">
        <f t="shared" si="7"/>
        <v>0</v>
      </c>
      <c r="BZ9" s="3">
        <f>COUNTIF(E9:BP9,"SICK")/2</f>
        <v>1</v>
      </c>
      <c r="CA9" s="3">
        <f t="shared" si="9"/>
        <v>0</v>
      </c>
      <c r="CB9" s="3">
        <f t="shared" si="10"/>
        <v>0</v>
      </c>
      <c r="CC9" s="3">
        <f t="shared" si="11"/>
        <v>0</v>
      </c>
      <c r="CD9" s="3">
        <f t="shared" si="12"/>
        <v>0</v>
      </c>
      <c r="CE9" s="85"/>
      <c r="CH9" s="58">
        <v>0</v>
      </c>
      <c r="CI9" s="58">
        <v>0</v>
      </c>
      <c r="CJ9" s="59">
        <v>30</v>
      </c>
      <c r="CK9" s="58">
        <v>0</v>
      </c>
      <c r="CL9" s="58">
        <v>0</v>
      </c>
      <c r="CM9" s="58">
        <v>4</v>
      </c>
      <c r="CN9" s="58">
        <v>0</v>
      </c>
      <c r="CO9" s="58">
        <v>0</v>
      </c>
      <c r="CP9" s="58">
        <v>0</v>
      </c>
      <c r="CQ9" s="58">
        <v>0</v>
      </c>
      <c r="CR9" s="60">
        <f t="shared" si="14"/>
        <v>34</v>
      </c>
    </row>
    <row r="10" spans="1:96" ht="21" customHeight="1" x14ac:dyDescent="0.25">
      <c r="A10" s="11">
        <v>6</v>
      </c>
      <c r="B10" s="12" t="s">
        <v>37</v>
      </c>
      <c r="C10" s="98" t="s">
        <v>38</v>
      </c>
      <c r="D10" s="110">
        <v>44509</v>
      </c>
      <c r="E10" s="120" t="s">
        <v>15</v>
      </c>
      <c r="F10" s="120" t="s">
        <v>15</v>
      </c>
      <c r="G10" s="90">
        <v>0.37638888888888888</v>
      </c>
      <c r="H10" s="90">
        <v>0.72013888888888899</v>
      </c>
      <c r="I10" s="118" t="s">
        <v>20</v>
      </c>
      <c r="J10" s="118" t="s">
        <v>20</v>
      </c>
      <c r="K10" s="90">
        <v>0.41180555555555554</v>
      </c>
      <c r="L10" s="90">
        <v>0.70416666666666661</v>
      </c>
      <c r="M10" s="90">
        <v>0.37291666666666662</v>
      </c>
      <c r="N10" s="90">
        <v>0.73541666666666661</v>
      </c>
      <c r="O10" s="90">
        <v>0.38125000000000003</v>
      </c>
      <c r="P10" s="90">
        <v>0.72291666666666676</v>
      </c>
      <c r="Q10" s="90">
        <v>0.36736111111111108</v>
      </c>
      <c r="R10" s="90">
        <v>0.73125000000000007</v>
      </c>
      <c r="S10" s="120" t="s">
        <v>15</v>
      </c>
      <c r="T10" s="120" t="s">
        <v>15</v>
      </c>
      <c r="U10" s="90">
        <v>0.41319444444444442</v>
      </c>
      <c r="V10" s="90">
        <v>0.72638888888888886</v>
      </c>
      <c r="W10" s="90">
        <v>0.3923611111111111</v>
      </c>
      <c r="X10" s="90">
        <v>0.72986111111111107</v>
      </c>
      <c r="Y10" s="90">
        <v>0.37222222222222223</v>
      </c>
      <c r="Z10" s="90">
        <v>0.74444444444444446</v>
      </c>
      <c r="AA10" s="90">
        <v>0.3743055555555555</v>
      </c>
      <c r="AB10" s="90">
        <v>0.71736111111111101</v>
      </c>
      <c r="AC10" s="90">
        <v>0.375</v>
      </c>
      <c r="AD10" s="90">
        <v>0.71944444444444444</v>
      </c>
      <c r="AE10" s="90">
        <v>0.36736111111111108</v>
      </c>
      <c r="AF10" s="90">
        <v>0.7284722222222223</v>
      </c>
      <c r="AG10" s="120" t="s">
        <v>15</v>
      </c>
      <c r="AH10" s="120" t="s">
        <v>15</v>
      </c>
      <c r="AJ10" s="116">
        <v>6</v>
      </c>
      <c r="AK10" s="90">
        <v>0.41736111111111113</v>
      </c>
      <c r="AL10" s="90">
        <v>0.68472222222222223</v>
      </c>
      <c r="AM10" s="90">
        <v>0.36736111111111108</v>
      </c>
      <c r="AN10" s="91">
        <v>1</v>
      </c>
      <c r="AO10" s="90">
        <v>0.37222222222222223</v>
      </c>
      <c r="AP10" s="90">
        <v>0.72291666666666676</v>
      </c>
      <c r="AQ10" s="91">
        <v>1</v>
      </c>
      <c r="AR10" s="90">
        <v>0.72569444444444453</v>
      </c>
      <c r="AS10" s="90">
        <v>0.3743055555555555</v>
      </c>
      <c r="AT10" s="90">
        <v>0.7284722222222223</v>
      </c>
      <c r="AU10" s="90">
        <v>0.38194444444444442</v>
      </c>
      <c r="AV10" s="91">
        <v>1</v>
      </c>
      <c r="AW10" s="120" t="s">
        <v>15</v>
      </c>
      <c r="AX10" s="120" t="s">
        <v>15</v>
      </c>
      <c r="AY10" s="90">
        <v>0.38472222222222219</v>
      </c>
      <c r="AZ10" s="90">
        <v>0.72083333333333333</v>
      </c>
      <c r="BA10" s="90">
        <v>0.38541666666666669</v>
      </c>
      <c r="BB10" s="90">
        <v>0.73402777777777783</v>
      </c>
      <c r="BC10" s="90">
        <v>0.3923611111111111</v>
      </c>
      <c r="BD10" s="90">
        <v>0.73333333333333339</v>
      </c>
      <c r="BE10" s="90">
        <v>0.41388888888888892</v>
      </c>
      <c r="BF10" s="90">
        <v>0.70416666666666661</v>
      </c>
      <c r="BG10" s="120" t="s">
        <v>15</v>
      </c>
      <c r="BH10" s="120" t="s">
        <v>15</v>
      </c>
      <c r="BI10" s="90">
        <v>0.3743055555555555</v>
      </c>
      <c r="BJ10" s="91">
        <v>1</v>
      </c>
      <c r="BK10" s="126">
        <v>0.59097222222222223</v>
      </c>
      <c r="BL10" s="126">
        <v>0.9375</v>
      </c>
      <c r="BM10" s="90">
        <v>0.39861111111111108</v>
      </c>
      <c r="BN10" s="90">
        <v>0.57708333333333328</v>
      </c>
      <c r="BO10" s="90">
        <v>0.41666666666666669</v>
      </c>
      <c r="BP10" s="90">
        <v>0.93958333333333333</v>
      </c>
      <c r="BQ10" s="147">
        <f t="shared" si="0"/>
        <v>31</v>
      </c>
      <c r="BR10" s="81">
        <v>1</v>
      </c>
      <c r="BS10" s="2">
        <f t="shared" si="1"/>
        <v>25</v>
      </c>
      <c r="BT10" s="3">
        <f t="shared" si="2"/>
        <v>5</v>
      </c>
      <c r="BU10" s="3">
        <f t="shared" si="3"/>
        <v>0</v>
      </c>
      <c r="BV10" s="3">
        <f t="shared" si="4"/>
        <v>0</v>
      </c>
      <c r="BW10" s="3">
        <f t="shared" si="5"/>
        <v>0</v>
      </c>
      <c r="BX10" s="3">
        <f t="shared" si="6"/>
        <v>0</v>
      </c>
      <c r="BY10" s="3">
        <f t="shared" si="7"/>
        <v>1</v>
      </c>
      <c r="BZ10" s="3">
        <f t="shared" si="8"/>
        <v>0</v>
      </c>
      <c r="CA10" s="3">
        <f t="shared" si="9"/>
        <v>0</v>
      </c>
      <c r="CB10" s="3">
        <f t="shared" si="10"/>
        <v>0</v>
      </c>
      <c r="CC10" s="3">
        <f t="shared" si="11"/>
        <v>0</v>
      </c>
      <c r="CD10" s="3">
        <f t="shared" si="12"/>
        <v>0</v>
      </c>
      <c r="CE10" s="85"/>
      <c r="CH10" s="58">
        <v>0</v>
      </c>
      <c r="CI10" s="58">
        <v>0</v>
      </c>
      <c r="CJ10" s="59">
        <v>22</v>
      </c>
      <c r="CK10" s="58">
        <v>0</v>
      </c>
      <c r="CL10" s="59">
        <v>3</v>
      </c>
      <c r="CM10" s="59">
        <v>2</v>
      </c>
      <c r="CN10" s="59">
        <v>4</v>
      </c>
      <c r="CO10" s="58">
        <v>0</v>
      </c>
      <c r="CP10" s="58">
        <v>0</v>
      </c>
      <c r="CQ10" s="58">
        <v>0</v>
      </c>
      <c r="CR10" s="60">
        <f t="shared" ref="CR10:CR19" si="15">SUM(CH10:CQ10)</f>
        <v>31</v>
      </c>
    </row>
    <row r="11" spans="1:96" ht="21" customHeight="1" x14ac:dyDescent="0.25">
      <c r="A11" s="11">
        <v>7</v>
      </c>
      <c r="B11" s="12" t="s">
        <v>39</v>
      </c>
      <c r="C11" s="98" t="s">
        <v>40</v>
      </c>
      <c r="D11" s="111">
        <v>45183</v>
      </c>
      <c r="E11" s="120" t="s">
        <v>15</v>
      </c>
      <c r="F11" s="120" t="s">
        <v>15</v>
      </c>
      <c r="G11" s="90">
        <v>0.72361111111111109</v>
      </c>
      <c r="H11" s="90">
        <v>0.72361111111111109</v>
      </c>
      <c r="I11" s="90">
        <v>0.37083333333333335</v>
      </c>
      <c r="J11" s="90">
        <v>0.74097222222222225</v>
      </c>
      <c r="K11" s="90">
        <v>0.5756944444444444</v>
      </c>
      <c r="L11" s="90">
        <v>0.72083333333333333</v>
      </c>
      <c r="M11" s="90">
        <v>0.36527777777777781</v>
      </c>
      <c r="N11" s="90">
        <v>0.73263888888888884</v>
      </c>
      <c r="O11" s="90">
        <v>0.375</v>
      </c>
      <c r="P11" s="90">
        <v>0.72916666666666663</v>
      </c>
      <c r="Q11" s="90">
        <v>0.37013888888888885</v>
      </c>
      <c r="R11" s="90">
        <v>0.72777777777777775</v>
      </c>
      <c r="S11" s="120" t="s">
        <v>15</v>
      </c>
      <c r="T11" s="120" t="s">
        <v>15</v>
      </c>
      <c r="U11" s="90">
        <v>0.38611111111111113</v>
      </c>
      <c r="V11" s="90">
        <v>0.72499999999999998</v>
      </c>
      <c r="W11" s="90">
        <v>0.36805555555555558</v>
      </c>
      <c r="X11" s="90">
        <v>0.72638888888888886</v>
      </c>
      <c r="Y11" s="90">
        <v>0.37708333333333338</v>
      </c>
      <c r="Z11" s="90">
        <v>0.72777777777777775</v>
      </c>
      <c r="AA11" s="90">
        <v>0.36527777777777781</v>
      </c>
      <c r="AB11" s="90">
        <v>0.71736111111111101</v>
      </c>
      <c r="AC11" s="90">
        <v>0.36041666666666666</v>
      </c>
      <c r="AD11" s="90">
        <v>0.71875</v>
      </c>
      <c r="AE11" s="90">
        <v>0.36319444444444443</v>
      </c>
      <c r="AF11" s="90">
        <v>0.73125000000000007</v>
      </c>
      <c r="AG11" s="120" t="s">
        <v>15</v>
      </c>
      <c r="AH11" s="120" t="s">
        <v>15</v>
      </c>
      <c r="AJ11" s="116">
        <v>7</v>
      </c>
      <c r="AK11" s="90">
        <v>0.37361111111111112</v>
      </c>
      <c r="AL11" s="90">
        <v>0.74930555555555556</v>
      </c>
      <c r="AM11" s="90">
        <v>0.37152777777777773</v>
      </c>
      <c r="AN11" s="90">
        <v>0.72986111111111107</v>
      </c>
      <c r="AO11" s="90">
        <v>0.36527777777777781</v>
      </c>
      <c r="AP11" s="90">
        <v>0.72638888888888886</v>
      </c>
      <c r="AQ11" s="91">
        <v>1</v>
      </c>
      <c r="AR11" s="90">
        <v>0.72499999999999998</v>
      </c>
      <c r="AS11" s="90">
        <v>0.37013888888888885</v>
      </c>
      <c r="AT11" s="90">
        <v>0.72222222222222221</v>
      </c>
      <c r="AU11" s="90">
        <v>0.37013888888888885</v>
      </c>
      <c r="AV11" s="90">
        <v>0.82847222222222217</v>
      </c>
      <c r="AW11" s="120" t="s">
        <v>15</v>
      </c>
      <c r="AX11" s="120" t="s">
        <v>15</v>
      </c>
      <c r="AY11" s="90">
        <v>0.37638888888888888</v>
      </c>
      <c r="AZ11" s="90">
        <v>0.7715277777777777</v>
      </c>
      <c r="BA11" s="90">
        <v>0.3833333333333333</v>
      </c>
      <c r="BB11" s="90">
        <v>0.73958333333333337</v>
      </c>
      <c r="BC11" s="90">
        <v>0.36249999999999999</v>
      </c>
      <c r="BD11" s="90">
        <v>0.73333333333333339</v>
      </c>
      <c r="BE11" s="90">
        <v>0.44027777777777777</v>
      </c>
      <c r="BF11" s="90">
        <v>0.69861111111111107</v>
      </c>
      <c r="BG11" s="120" t="s">
        <v>15</v>
      </c>
      <c r="BH11" s="120" t="s">
        <v>15</v>
      </c>
      <c r="BI11" s="90">
        <v>0.35902777777777778</v>
      </c>
      <c r="BJ11" s="90">
        <v>0.71666666666666667</v>
      </c>
      <c r="BK11" s="120" t="s">
        <v>15</v>
      </c>
      <c r="BL11" s="120" t="s">
        <v>15</v>
      </c>
      <c r="BM11" s="90" t="s">
        <v>183</v>
      </c>
      <c r="BN11" s="90" t="s">
        <v>183</v>
      </c>
      <c r="BO11" s="90">
        <v>0.3659722222222222</v>
      </c>
      <c r="BP11" s="90">
        <v>0.72152777777777777</v>
      </c>
      <c r="BQ11" s="147">
        <f t="shared" si="0"/>
        <v>31</v>
      </c>
      <c r="BR11" s="81">
        <v>0</v>
      </c>
      <c r="BS11" s="2">
        <f t="shared" si="1"/>
        <v>24</v>
      </c>
      <c r="BT11" s="3">
        <f t="shared" si="2"/>
        <v>6</v>
      </c>
      <c r="BU11" s="3">
        <f t="shared" si="3"/>
        <v>0</v>
      </c>
      <c r="BV11" s="3">
        <f t="shared" si="4"/>
        <v>0</v>
      </c>
      <c r="BW11" s="3">
        <f t="shared" si="5"/>
        <v>0</v>
      </c>
      <c r="BX11" s="3">
        <f t="shared" si="6"/>
        <v>0</v>
      </c>
      <c r="BY11" s="3">
        <f t="shared" si="7"/>
        <v>0</v>
      </c>
      <c r="BZ11" s="3">
        <f t="shared" si="8"/>
        <v>1</v>
      </c>
      <c r="CA11" s="3">
        <f t="shared" si="9"/>
        <v>0</v>
      </c>
      <c r="CB11" s="3">
        <f t="shared" si="10"/>
        <v>0</v>
      </c>
      <c r="CC11" s="3">
        <f t="shared" si="11"/>
        <v>0</v>
      </c>
      <c r="CD11" s="3">
        <f t="shared" si="12"/>
        <v>0</v>
      </c>
      <c r="CE11" s="85"/>
      <c r="CH11" s="58">
        <v>0</v>
      </c>
      <c r="CI11" s="58">
        <v>0</v>
      </c>
      <c r="CJ11" s="58">
        <v>0</v>
      </c>
      <c r="CK11" s="58">
        <v>0</v>
      </c>
      <c r="CL11" s="58">
        <v>0</v>
      </c>
      <c r="CM11" s="58">
        <v>11</v>
      </c>
      <c r="CN11" s="58">
        <v>0</v>
      </c>
      <c r="CO11" s="58">
        <v>0</v>
      </c>
      <c r="CP11" s="58">
        <v>0</v>
      </c>
      <c r="CQ11" s="58">
        <v>0</v>
      </c>
      <c r="CR11" s="60">
        <f t="shared" si="15"/>
        <v>11</v>
      </c>
    </row>
    <row r="12" spans="1:96" ht="21" customHeight="1" x14ac:dyDescent="0.25">
      <c r="A12" s="11">
        <v>8</v>
      </c>
      <c r="B12" s="12" t="s">
        <v>41</v>
      </c>
      <c r="C12" s="98" t="s">
        <v>241</v>
      </c>
      <c r="D12" s="112">
        <v>45592</v>
      </c>
      <c r="E12" s="120" t="s">
        <v>15</v>
      </c>
      <c r="F12" s="120" t="s">
        <v>15</v>
      </c>
      <c r="G12" s="90">
        <v>0.41875000000000001</v>
      </c>
      <c r="H12" s="90">
        <v>0.72361111111111109</v>
      </c>
      <c r="I12" s="90">
        <v>0.38541666666666669</v>
      </c>
      <c r="J12" s="90">
        <v>0.71805555555555556</v>
      </c>
      <c r="K12" s="90">
        <v>0.38472222222222219</v>
      </c>
      <c r="L12" s="91">
        <v>1</v>
      </c>
      <c r="M12" s="90">
        <v>0.39305555555555555</v>
      </c>
      <c r="N12" s="90">
        <v>0.94444444444444453</v>
      </c>
      <c r="O12" s="90">
        <v>0.39444444444444443</v>
      </c>
      <c r="P12" s="90">
        <v>0.96805555555555556</v>
      </c>
      <c r="Q12" s="90">
        <v>0.3840277777777778</v>
      </c>
      <c r="R12" s="90">
        <v>0.73472222222222217</v>
      </c>
      <c r="S12" s="126">
        <v>0.61527777777777781</v>
      </c>
      <c r="T12" s="126">
        <v>0.75208333333333333</v>
      </c>
      <c r="U12" s="90">
        <v>0.42430555555555555</v>
      </c>
      <c r="V12" s="90">
        <v>0.80555555555555547</v>
      </c>
      <c r="W12" s="90">
        <v>0.38263888888888892</v>
      </c>
      <c r="X12" s="90">
        <v>0.7416666666666667</v>
      </c>
      <c r="Y12" s="90">
        <v>0.38541666666666669</v>
      </c>
      <c r="Z12" s="90">
        <v>0.72291666666666676</v>
      </c>
      <c r="AA12" s="90">
        <v>0.38611111111111113</v>
      </c>
      <c r="AB12" s="90">
        <v>0.71736111111111101</v>
      </c>
      <c r="AC12" s="90">
        <v>0.37083333333333335</v>
      </c>
      <c r="AD12" s="90">
        <v>0.71875</v>
      </c>
      <c r="AE12" s="90">
        <v>0.37916666666666665</v>
      </c>
      <c r="AF12" s="90">
        <v>0.72916666666666663</v>
      </c>
      <c r="AG12" s="120" t="s">
        <v>15</v>
      </c>
      <c r="AH12" s="120" t="s">
        <v>15</v>
      </c>
      <c r="AJ12" s="116">
        <v>8</v>
      </c>
      <c r="AK12" s="90">
        <v>0.72013888888888899</v>
      </c>
      <c r="AL12" s="91">
        <v>1</v>
      </c>
      <c r="AM12" s="90">
        <v>0.39097222222222222</v>
      </c>
      <c r="AN12" s="91">
        <v>1</v>
      </c>
      <c r="AO12" s="90">
        <v>0.44861111111111113</v>
      </c>
      <c r="AP12" s="90">
        <v>0.72361111111111109</v>
      </c>
      <c r="AQ12" s="90">
        <v>0.38750000000000001</v>
      </c>
      <c r="AR12" s="90">
        <v>0.72152777777777777</v>
      </c>
      <c r="AS12" s="90">
        <v>0.38472222222222219</v>
      </c>
      <c r="AT12" s="90">
        <v>0.7284722222222223</v>
      </c>
      <c r="AU12" s="90">
        <v>0.37916666666666665</v>
      </c>
      <c r="AV12" s="90">
        <v>0.73402777777777783</v>
      </c>
      <c r="AW12" s="126">
        <v>0.61111111111111105</v>
      </c>
      <c r="AX12" s="126">
        <v>0.71805555555555556</v>
      </c>
      <c r="AY12" s="90">
        <v>0.42291666666666666</v>
      </c>
      <c r="AZ12" s="90">
        <v>0.74930555555555556</v>
      </c>
      <c r="BA12" s="90">
        <v>0.41736111111111113</v>
      </c>
      <c r="BB12" s="90">
        <v>0.75555555555555554</v>
      </c>
      <c r="BC12" s="90">
        <v>0.41736111111111113</v>
      </c>
      <c r="BD12" s="90">
        <v>0.73333333333333339</v>
      </c>
      <c r="BE12" s="90">
        <v>0.7055555555555556</v>
      </c>
      <c r="BF12" s="91">
        <v>1</v>
      </c>
      <c r="BG12" s="120" t="s">
        <v>15</v>
      </c>
      <c r="BH12" s="120" t="s">
        <v>15</v>
      </c>
      <c r="BI12" s="90">
        <v>0.37777777777777777</v>
      </c>
      <c r="BJ12" s="90">
        <v>0.71736111111111101</v>
      </c>
      <c r="BK12" s="126">
        <v>0.6118055555555556</v>
      </c>
      <c r="BL12" s="126">
        <v>0.73402777777777783</v>
      </c>
      <c r="BM12" s="90">
        <v>0.42222222222222222</v>
      </c>
      <c r="BN12" s="90">
        <v>0.7270833333333333</v>
      </c>
      <c r="BO12" s="90">
        <v>0.38611111111111113</v>
      </c>
      <c r="BP12" s="91">
        <v>1</v>
      </c>
      <c r="BQ12" s="147">
        <f t="shared" si="0"/>
        <v>31</v>
      </c>
      <c r="BR12" s="81">
        <v>3</v>
      </c>
      <c r="BS12" s="2">
        <f t="shared" si="1"/>
        <v>28</v>
      </c>
      <c r="BT12" s="3">
        <f t="shared" si="2"/>
        <v>3</v>
      </c>
      <c r="BU12" s="3">
        <f t="shared" si="3"/>
        <v>0</v>
      </c>
      <c r="BV12" s="3">
        <f t="shared" si="4"/>
        <v>0</v>
      </c>
      <c r="BW12" s="3">
        <f t="shared" si="5"/>
        <v>0</v>
      </c>
      <c r="BX12" s="3">
        <f t="shared" si="6"/>
        <v>0</v>
      </c>
      <c r="BY12" s="3">
        <f t="shared" si="7"/>
        <v>0</v>
      </c>
      <c r="BZ12" s="3">
        <f t="shared" si="8"/>
        <v>0</v>
      </c>
      <c r="CA12" s="3">
        <f t="shared" si="9"/>
        <v>0</v>
      </c>
      <c r="CB12" s="3">
        <f t="shared" si="10"/>
        <v>0</v>
      </c>
      <c r="CC12" s="3">
        <f t="shared" si="11"/>
        <v>0</v>
      </c>
      <c r="CD12" s="3">
        <f t="shared" si="12"/>
        <v>0</v>
      </c>
      <c r="CE12" s="85"/>
      <c r="CH12" s="58">
        <v>0</v>
      </c>
      <c r="CI12" s="58">
        <v>0</v>
      </c>
      <c r="CJ12" s="58">
        <v>38</v>
      </c>
      <c r="CK12" s="58">
        <v>0</v>
      </c>
      <c r="CL12" s="58">
        <v>0</v>
      </c>
      <c r="CM12" s="59">
        <v>9</v>
      </c>
      <c r="CN12" s="59">
        <v>0</v>
      </c>
      <c r="CO12" s="59">
        <v>0</v>
      </c>
      <c r="CP12" s="58">
        <v>0</v>
      </c>
      <c r="CQ12" s="58">
        <v>0</v>
      </c>
      <c r="CR12" s="60">
        <f>SUM(CH12:CQ12)</f>
        <v>47</v>
      </c>
    </row>
    <row r="13" spans="1:96" ht="21" customHeight="1" x14ac:dyDescent="0.25">
      <c r="A13" s="11">
        <v>9</v>
      </c>
      <c r="B13" s="12" t="s">
        <v>44</v>
      </c>
      <c r="C13" s="98" t="s">
        <v>242</v>
      </c>
      <c r="D13" s="112">
        <v>45386</v>
      </c>
      <c r="E13" s="120" t="s">
        <v>15</v>
      </c>
      <c r="F13" s="120" t="s">
        <v>15</v>
      </c>
      <c r="G13" s="90">
        <v>0.35486111111111113</v>
      </c>
      <c r="H13" s="90">
        <v>0.9770833333333333</v>
      </c>
      <c r="I13" s="90">
        <v>0.35555555555555557</v>
      </c>
      <c r="J13" s="90">
        <v>0.94305555555555554</v>
      </c>
      <c r="K13" s="90">
        <v>0.35486111111111113</v>
      </c>
      <c r="L13" s="90">
        <v>0.96527777777777779</v>
      </c>
      <c r="M13" s="90">
        <v>0.35347222222222219</v>
      </c>
      <c r="N13" s="90">
        <v>0.94513888888888886</v>
      </c>
      <c r="O13" s="90">
        <v>0.35416666666666669</v>
      </c>
      <c r="P13" s="90">
        <v>0.96944444444444444</v>
      </c>
      <c r="Q13" s="90">
        <v>0.3527777777777778</v>
      </c>
      <c r="R13" s="91">
        <v>1</v>
      </c>
      <c r="S13" s="126">
        <v>0.57847222222222217</v>
      </c>
      <c r="T13" s="126">
        <v>0.94027777777777777</v>
      </c>
      <c r="U13" s="90">
        <v>0.35416666666666669</v>
      </c>
      <c r="V13" s="90">
        <v>0.95138888888888884</v>
      </c>
      <c r="W13" s="90">
        <v>0.35347222222222219</v>
      </c>
      <c r="X13" s="90">
        <v>0.94791666666666663</v>
      </c>
      <c r="Y13" s="90">
        <v>0.35347222222222219</v>
      </c>
      <c r="Z13" s="90">
        <v>0.95208333333333339</v>
      </c>
      <c r="AA13" s="90">
        <v>0.35416666666666669</v>
      </c>
      <c r="AB13" s="90">
        <v>0.9458333333333333</v>
      </c>
      <c r="AC13" s="90">
        <v>0.35416666666666669</v>
      </c>
      <c r="AD13" s="90">
        <v>0.94097222222222221</v>
      </c>
      <c r="AE13" s="90">
        <v>0.35347222222222219</v>
      </c>
      <c r="AF13" s="90">
        <v>0.96527777777777779</v>
      </c>
      <c r="AG13" s="120" t="s">
        <v>15</v>
      </c>
      <c r="AH13" s="120" t="s">
        <v>15</v>
      </c>
      <c r="AJ13" s="116">
        <v>9</v>
      </c>
      <c r="AK13" s="90">
        <v>0.35347222222222219</v>
      </c>
      <c r="AL13" s="90">
        <v>0.95972222222222225</v>
      </c>
      <c r="AM13" s="90">
        <v>0.35347222222222219</v>
      </c>
      <c r="AN13" s="90">
        <v>0.95416666666666661</v>
      </c>
      <c r="AO13" s="90">
        <v>0.35347222222222219</v>
      </c>
      <c r="AP13" s="90">
        <v>0.9472222222222223</v>
      </c>
      <c r="AQ13" s="90">
        <v>0.35486111111111113</v>
      </c>
      <c r="AR13" s="90">
        <v>0.94027777777777777</v>
      </c>
      <c r="AS13" s="90">
        <v>0.35347222222222219</v>
      </c>
      <c r="AT13" s="90">
        <v>0.95347222222222217</v>
      </c>
      <c r="AU13" s="90">
        <v>0.3520833333333333</v>
      </c>
      <c r="AV13" s="90">
        <v>0.98749999999999993</v>
      </c>
      <c r="AW13" s="126">
        <v>0.58124999999999993</v>
      </c>
      <c r="AX13" s="126">
        <v>0.94861111111111107</v>
      </c>
      <c r="AY13" s="90">
        <v>0.35347222222222219</v>
      </c>
      <c r="AZ13" s="90">
        <v>0.9784722222222223</v>
      </c>
      <c r="BA13" s="90">
        <v>0.35555555555555557</v>
      </c>
      <c r="BB13" s="90">
        <v>2.2222222222222223E-2</v>
      </c>
      <c r="BC13" s="90">
        <v>0.35347222222222219</v>
      </c>
      <c r="BD13" s="91">
        <v>1</v>
      </c>
      <c r="BE13" s="90">
        <v>0.35347222222222219</v>
      </c>
      <c r="BF13" s="90">
        <v>0.9590277777777777</v>
      </c>
      <c r="BG13" s="120" t="s">
        <v>15</v>
      </c>
      <c r="BH13" s="120" t="s">
        <v>15</v>
      </c>
      <c r="BI13" s="90">
        <v>0.35416666666666669</v>
      </c>
      <c r="BJ13" s="91">
        <v>1</v>
      </c>
      <c r="BK13" s="126">
        <v>0.57986111111111105</v>
      </c>
      <c r="BL13" s="126">
        <v>0.93680555555555556</v>
      </c>
      <c r="BM13" s="90">
        <v>0.35486111111111113</v>
      </c>
      <c r="BN13" s="90">
        <v>0.95833333333333337</v>
      </c>
      <c r="BO13" s="90">
        <v>0.35416666666666669</v>
      </c>
      <c r="BP13" s="90">
        <v>0.98263888888888884</v>
      </c>
      <c r="BQ13" s="147">
        <f t="shared" si="0"/>
        <v>31</v>
      </c>
      <c r="BR13" s="81">
        <v>3</v>
      </c>
      <c r="BS13" s="2">
        <f t="shared" si="1"/>
        <v>28</v>
      </c>
      <c r="BT13" s="3">
        <f>COUNTIF(E13:BP13,"OFF")/2</f>
        <v>3</v>
      </c>
      <c r="BU13" s="3">
        <f>COUNTIF(E13:BP13,"MC")/2</f>
        <v>0</v>
      </c>
      <c r="BV13" s="3">
        <f>COUNTIF(E13:BP13,"EL")/2</f>
        <v>0</v>
      </c>
      <c r="BW13" s="3">
        <f>COUNTIF(E13:BP13,"AL")/2</f>
        <v>0</v>
      </c>
      <c r="BX13" s="3">
        <f>COUNTIF(E13:BP13,"SUS")/2</f>
        <v>0</v>
      </c>
      <c r="BY13" s="3">
        <f>COUNTIF(E13:BP13,"FL")/2</f>
        <v>0</v>
      </c>
      <c r="BZ13" s="3">
        <f t="shared" si="8"/>
        <v>0</v>
      </c>
      <c r="CA13" s="3">
        <f>COUNTIF(E13:BP13,"HD")/2</f>
        <v>0</v>
      </c>
      <c r="CB13" s="3">
        <f>COUNTIF(E13:BP13,"AB")/2</f>
        <v>0</v>
      </c>
      <c r="CC13" s="3">
        <f>COUNTIF(E13:BP13,"NL")/2</f>
        <v>0</v>
      </c>
      <c r="CD13" s="3">
        <f>COUNTIF(E13:BP13,"SP")/2</f>
        <v>0</v>
      </c>
      <c r="CE13" s="85"/>
      <c r="CH13" s="58">
        <v>0</v>
      </c>
      <c r="CI13" s="58">
        <v>0</v>
      </c>
      <c r="CJ13" s="59">
        <v>28</v>
      </c>
      <c r="CK13" s="58">
        <v>0</v>
      </c>
      <c r="CL13" s="58">
        <v>0</v>
      </c>
      <c r="CM13" s="59">
        <v>1</v>
      </c>
      <c r="CN13" s="58">
        <v>0</v>
      </c>
      <c r="CO13" s="58">
        <v>0</v>
      </c>
      <c r="CP13" s="58">
        <v>0</v>
      </c>
      <c r="CQ13" s="58">
        <v>0</v>
      </c>
      <c r="CR13" s="60">
        <f t="shared" si="15"/>
        <v>29</v>
      </c>
    </row>
    <row r="14" spans="1:96" ht="21" customHeight="1" x14ac:dyDescent="0.25">
      <c r="A14" s="11">
        <v>10</v>
      </c>
      <c r="B14" s="12" t="s">
        <v>45</v>
      </c>
      <c r="C14" s="98" t="s">
        <v>46</v>
      </c>
      <c r="D14" s="112">
        <v>45654</v>
      </c>
      <c r="E14" s="120" t="s">
        <v>15</v>
      </c>
      <c r="F14" s="120" t="s">
        <v>15</v>
      </c>
      <c r="G14" s="90">
        <v>0.34930555555555554</v>
      </c>
      <c r="H14" s="90">
        <v>0.96805555555555556</v>
      </c>
      <c r="I14" s="90">
        <v>0.34652777777777777</v>
      </c>
      <c r="J14" s="90">
        <v>0.94305555555555554</v>
      </c>
      <c r="K14" s="90">
        <v>0.34097222222222223</v>
      </c>
      <c r="L14" s="90">
        <v>0.94791666666666663</v>
      </c>
      <c r="M14" s="90">
        <v>0.34027777777777773</v>
      </c>
      <c r="N14" s="90">
        <v>0.94513888888888886</v>
      </c>
      <c r="O14" s="90">
        <v>0.3430555555555555</v>
      </c>
      <c r="P14" s="90">
        <v>0.95833333333333337</v>
      </c>
      <c r="Q14" s="90">
        <v>0.34097222222222223</v>
      </c>
      <c r="R14" s="90">
        <v>0.96666666666666667</v>
      </c>
      <c r="S14" s="126">
        <v>0.57361111111111118</v>
      </c>
      <c r="T14" s="126">
        <v>0.94305555555555554</v>
      </c>
      <c r="U14" s="90">
        <v>0.34652777777777777</v>
      </c>
      <c r="V14" s="90">
        <v>0.96250000000000002</v>
      </c>
      <c r="W14" s="90">
        <v>0.34652777777777777</v>
      </c>
      <c r="X14" s="90">
        <v>0.95138888888888884</v>
      </c>
      <c r="Y14" s="90">
        <v>0.34652777777777777</v>
      </c>
      <c r="Z14" s="90">
        <v>0.9458333333333333</v>
      </c>
      <c r="AA14" s="90">
        <v>0.34652777777777777</v>
      </c>
      <c r="AB14" s="90">
        <v>0.95000000000000007</v>
      </c>
      <c r="AC14" s="90">
        <v>0.32847222222222222</v>
      </c>
      <c r="AD14" s="90">
        <v>0.94166666666666676</v>
      </c>
      <c r="AE14" s="90">
        <v>0.3354166666666667</v>
      </c>
      <c r="AF14" s="90">
        <v>0.94236111111111109</v>
      </c>
      <c r="AG14" s="120" t="s">
        <v>15</v>
      </c>
      <c r="AH14" s="120" t="s">
        <v>15</v>
      </c>
      <c r="AJ14" s="116">
        <v>10</v>
      </c>
      <c r="AK14" s="90">
        <v>0.33055555555555555</v>
      </c>
      <c r="AL14" s="90">
        <v>0.96111111111111114</v>
      </c>
      <c r="AM14" s="90">
        <v>0.33333333333333331</v>
      </c>
      <c r="AN14" s="90">
        <v>0.93819444444444444</v>
      </c>
      <c r="AO14" s="90">
        <v>0.32916666666666666</v>
      </c>
      <c r="AP14" s="90">
        <v>0.94791666666666663</v>
      </c>
      <c r="AQ14" s="90">
        <v>0.33333333333333331</v>
      </c>
      <c r="AR14" s="90">
        <v>0.94444444444444453</v>
      </c>
      <c r="AS14" s="90">
        <v>0.37847222222222227</v>
      </c>
      <c r="AT14" s="90">
        <v>0.93402777777777779</v>
      </c>
      <c r="AU14" s="90">
        <v>0.34930555555555554</v>
      </c>
      <c r="AV14" s="90">
        <v>0.93819444444444444</v>
      </c>
      <c r="AW14" s="126">
        <v>0.5708333333333333</v>
      </c>
      <c r="AX14" s="126">
        <v>0.93680555555555556</v>
      </c>
      <c r="AY14" s="90">
        <v>0.32847222222222222</v>
      </c>
      <c r="AZ14" s="90">
        <v>0.96111111111111114</v>
      </c>
      <c r="BA14" s="90">
        <v>0.32916666666666666</v>
      </c>
      <c r="BB14" s="90">
        <v>0.93402777777777779</v>
      </c>
      <c r="BC14" s="90">
        <v>0.33263888888888887</v>
      </c>
      <c r="BD14" s="90">
        <v>0.9375</v>
      </c>
      <c r="BE14" s="90">
        <v>0.3298611111111111</v>
      </c>
      <c r="BF14" s="91">
        <v>1</v>
      </c>
      <c r="BG14" s="120" t="s">
        <v>15</v>
      </c>
      <c r="BH14" s="120" t="s">
        <v>15</v>
      </c>
      <c r="BI14" s="90">
        <v>0.97986111111111107</v>
      </c>
      <c r="BJ14" s="91">
        <v>1</v>
      </c>
      <c r="BK14" s="126">
        <v>0.58819444444444446</v>
      </c>
      <c r="BL14" s="126">
        <v>0.93541666666666667</v>
      </c>
      <c r="BM14" s="90">
        <v>0.32847222222222222</v>
      </c>
      <c r="BN14" s="91">
        <v>1</v>
      </c>
      <c r="BO14" s="90">
        <v>0.33333333333333331</v>
      </c>
      <c r="BP14" s="90">
        <v>0.96597222222222223</v>
      </c>
      <c r="BQ14" s="147">
        <f t="shared" si="0"/>
        <v>31</v>
      </c>
      <c r="BR14" s="81">
        <v>3</v>
      </c>
      <c r="BS14" s="2">
        <f t="shared" si="1"/>
        <v>28</v>
      </c>
      <c r="BT14" s="3">
        <f>COUNTIF(E14:BP14,"OFF")/2</f>
        <v>3</v>
      </c>
      <c r="BU14" s="3">
        <f>COUNTIF(E14:BP14,"MC")/2</f>
        <v>0</v>
      </c>
      <c r="BV14" s="3">
        <f>COUNTIF(E14:BP14,"EL")/2</f>
        <v>0</v>
      </c>
      <c r="BW14" s="3">
        <f>COUNTIF(E14:BP14,"AL")/2</f>
        <v>0</v>
      </c>
      <c r="BX14" s="3">
        <f>COUNTIF(E14:BP14,"SUS")/2</f>
        <v>0</v>
      </c>
      <c r="BY14" s="3">
        <f>COUNTIF(E14:BP14,"FL")/2</f>
        <v>0</v>
      </c>
      <c r="BZ14" s="3">
        <f t="shared" si="8"/>
        <v>0</v>
      </c>
      <c r="CA14" s="3">
        <f>COUNTIF(E14:BP14,"HD")/2</f>
        <v>0</v>
      </c>
      <c r="CB14" s="3">
        <f>COUNTIF(E14:BP14,"AB")/2</f>
        <v>0</v>
      </c>
      <c r="CC14" s="3">
        <f>COUNTIF(E14:BP14,"NL")/2</f>
        <v>0</v>
      </c>
      <c r="CD14" s="3">
        <f>COUNTIF(E14:BP14,"SP")/2</f>
        <v>0</v>
      </c>
      <c r="CE14" s="85"/>
      <c r="CH14" s="58">
        <v>0</v>
      </c>
      <c r="CI14" s="58">
        <v>0</v>
      </c>
      <c r="CJ14" s="58">
        <v>0</v>
      </c>
      <c r="CK14" s="58">
        <v>0</v>
      </c>
      <c r="CL14" s="58">
        <v>0</v>
      </c>
      <c r="CM14" s="59">
        <v>4</v>
      </c>
      <c r="CN14" s="58">
        <v>0</v>
      </c>
      <c r="CO14" s="58">
        <v>0</v>
      </c>
      <c r="CP14" s="58">
        <v>0</v>
      </c>
      <c r="CQ14" s="58">
        <v>0</v>
      </c>
      <c r="CR14" s="60">
        <f t="shared" si="15"/>
        <v>4</v>
      </c>
    </row>
    <row r="15" spans="1:96" ht="21" customHeight="1" x14ac:dyDescent="0.25">
      <c r="A15" s="11">
        <v>11</v>
      </c>
      <c r="B15" s="12" t="s">
        <v>47</v>
      </c>
      <c r="C15" s="98" t="s">
        <v>48</v>
      </c>
      <c r="D15" s="112">
        <v>45837</v>
      </c>
      <c r="E15" s="126">
        <v>0.62083333333333335</v>
      </c>
      <c r="F15" s="127">
        <v>1</v>
      </c>
      <c r="G15" s="90">
        <v>0.4069444444444445</v>
      </c>
      <c r="H15" s="90">
        <v>0.9555555555555556</v>
      </c>
      <c r="I15" s="90">
        <v>0.35000000000000003</v>
      </c>
      <c r="J15" s="90">
        <v>0.9472222222222223</v>
      </c>
      <c r="K15" s="90">
        <v>0.375</v>
      </c>
      <c r="L15" s="91">
        <v>1</v>
      </c>
      <c r="M15" s="90">
        <v>0.34930555555555554</v>
      </c>
      <c r="N15" s="90">
        <v>0.96597222222222223</v>
      </c>
      <c r="O15" s="90">
        <v>0.37013888888888885</v>
      </c>
      <c r="P15" s="91">
        <v>1</v>
      </c>
      <c r="Q15" s="90">
        <v>0.37638888888888888</v>
      </c>
      <c r="R15" s="91">
        <v>1</v>
      </c>
      <c r="S15" s="126">
        <v>0.56458333333333333</v>
      </c>
      <c r="T15" s="127">
        <v>1</v>
      </c>
      <c r="U15" s="90">
        <v>0.38263888888888892</v>
      </c>
      <c r="V15" s="91">
        <v>1</v>
      </c>
      <c r="W15" s="90">
        <v>0.37152777777777773</v>
      </c>
      <c r="X15" s="91">
        <v>1</v>
      </c>
      <c r="Y15" s="90">
        <v>0.37361111111111112</v>
      </c>
      <c r="Z15" s="91">
        <v>1</v>
      </c>
      <c r="AA15" s="90">
        <v>0.37777777777777777</v>
      </c>
      <c r="AB15" s="91">
        <v>1</v>
      </c>
      <c r="AC15" s="90">
        <v>0.36944444444444446</v>
      </c>
      <c r="AD15" s="91">
        <v>1</v>
      </c>
      <c r="AE15" s="90">
        <v>0.36736111111111108</v>
      </c>
      <c r="AF15" s="91">
        <v>1</v>
      </c>
      <c r="AG15" s="126">
        <v>0.58750000000000002</v>
      </c>
      <c r="AH15" s="126">
        <v>0.86805555555555547</v>
      </c>
      <c r="AJ15" s="116">
        <v>11</v>
      </c>
      <c r="AK15" s="90">
        <v>0.37013888888888885</v>
      </c>
      <c r="AL15" s="90">
        <v>0.37013888888888885</v>
      </c>
      <c r="AM15" s="90">
        <v>0.3354166666666667</v>
      </c>
      <c r="AN15" s="90">
        <v>0.3354166666666667</v>
      </c>
      <c r="AO15" s="90">
        <v>0.37916666666666665</v>
      </c>
      <c r="AP15" s="90">
        <v>0.37916666666666665</v>
      </c>
      <c r="AQ15" s="90">
        <v>0.37986111111111115</v>
      </c>
      <c r="AR15" s="91">
        <v>1</v>
      </c>
      <c r="AS15" s="90">
        <v>0.37847222222222227</v>
      </c>
      <c r="AT15" s="91">
        <v>1</v>
      </c>
      <c r="AU15" s="90">
        <v>0.37777777777777777</v>
      </c>
      <c r="AV15" s="91">
        <v>1</v>
      </c>
      <c r="AW15" s="126">
        <v>0.57916666666666672</v>
      </c>
      <c r="AX15" s="127">
        <v>1</v>
      </c>
      <c r="AY15" s="90">
        <v>0.37361111111111112</v>
      </c>
      <c r="AZ15" s="91">
        <v>1</v>
      </c>
      <c r="BA15" s="90">
        <v>0.37291666666666662</v>
      </c>
      <c r="BB15" s="91">
        <v>1</v>
      </c>
      <c r="BC15" s="90">
        <v>0.3576388888888889</v>
      </c>
      <c r="BD15" s="90">
        <v>0.96319444444444446</v>
      </c>
      <c r="BE15" s="90">
        <v>0.36249999999999999</v>
      </c>
      <c r="BF15" s="90">
        <v>0.36249999999999999</v>
      </c>
      <c r="BG15" s="120" t="s">
        <v>15</v>
      </c>
      <c r="BH15" s="120" t="s">
        <v>15</v>
      </c>
      <c r="BI15" s="90">
        <v>0.36249999999999999</v>
      </c>
      <c r="BJ15" s="90">
        <v>2.7777777777777779E-3</v>
      </c>
      <c r="BK15" s="126">
        <v>0.63472222222222219</v>
      </c>
      <c r="BL15" s="126">
        <v>0.9590277777777777</v>
      </c>
      <c r="BM15" s="90">
        <v>0.36805555555555558</v>
      </c>
      <c r="BN15" s="90">
        <v>0.36805555555555558</v>
      </c>
      <c r="BO15" s="90">
        <v>0.43333333333333335</v>
      </c>
      <c r="BP15" s="91">
        <v>1</v>
      </c>
      <c r="BQ15" s="147">
        <f t="shared" ref="BQ15:BQ25" si="16">BS15+BT15+BV15+BW15+CA15+BY15+BZ15+CD15</f>
        <v>31</v>
      </c>
      <c r="BR15" s="81">
        <v>5</v>
      </c>
      <c r="BS15" s="2">
        <f t="shared" si="1"/>
        <v>30</v>
      </c>
      <c r="BT15" s="3">
        <f>COUNTIF(E15:BN15,"OFF")/2</f>
        <v>1</v>
      </c>
      <c r="BU15" s="3">
        <f>COUNTIF(E15:BN15,"MC")/2</f>
        <v>0</v>
      </c>
      <c r="BV15" s="3">
        <f>COUNTIF(E15:BN15,"EL")/2</f>
        <v>0</v>
      </c>
      <c r="BW15" s="3">
        <f>COUNTIF(E15:BN15,"AL")/2</f>
        <v>0</v>
      </c>
      <c r="BX15" s="3">
        <f>COUNTIF(E15:BN15,"SUS")/2</f>
        <v>0</v>
      </c>
      <c r="BY15" s="3">
        <f>COUNTIF(E15:BN15,"FL")/2</f>
        <v>0</v>
      </c>
      <c r="BZ15" s="3">
        <f t="shared" si="8"/>
        <v>0</v>
      </c>
      <c r="CA15" s="3">
        <f>COUNTIF(E15:BN15,"HD")/2</f>
        <v>0</v>
      </c>
      <c r="CB15" s="3">
        <f>COUNTIF(E15:BN15,"AB")/2</f>
        <v>0</v>
      </c>
      <c r="CC15" s="3">
        <f>COUNTIF(E15:BN15,"NL")/2</f>
        <v>0</v>
      </c>
      <c r="CD15" s="3">
        <f>COUNTIF(E15:BN15,"SP")/2</f>
        <v>0</v>
      </c>
      <c r="CE15" s="85"/>
      <c r="CH15" s="58">
        <v>0</v>
      </c>
      <c r="CI15" s="58">
        <v>0</v>
      </c>
      <c r="CJ15" s="58">
        <v>0</v>
      </c>
      <c r="CK15" s="58">
        <v>0</v>
      </c>
      <c r="CL15" s="58">
        <v>0</v>
      </c>
      <c r="CM15" s="58">
        <v>0</v>
      </c>
      <c r="CN15" s="58">
        <v>0</v>
      </c>
      <c r="CO15" s="58">
        <v>0</v>
      </c>
      <c r="CP15" s="58">
        <v>0</v>
      </c>
      <c r="CQ15" s="58">
        <v>0</v>
      </c>
      <c r="CR15" s="60">
        <f t="shared" si="15"/>
        <v>0</v>
      </c>
    </row>
    <row r="16" spans="1:96" ht="21" customHeight="1" x14ac:dyDescent="0.25">
      <c r="A16" s="11">
        <v>12</v>
      </c>
      <c r="B16" s="12" t="s">
        <v>49</v>
      </c>
      <c r="C16" s="98" t="s">
        <v>50</v>
      </c>
      <c r="D16" s="110">
        <v>38713</v>
      </c>
      <c r="E16" s="126">
        <v>0.55625000000000002</v>
      </c>
      <c r="F16" s="126">
        <v>2.7777777777777779E-3</v>
      </c>
      <c r="G16" s="90">
        <v>0.35555555555555557</v>
      </c>
      <c r="H16" s="91">
        <v>1</v>
      </c>
      <c r="I16" s="90">
        <v>0.36041666666666666</v>
      </c>
      <c r="J16" s="91">
        <v>1</v>
      </c>
      <c r="K16" s="90">
        <v>0.36874999999999997</v>
      </c>
      <c r="L16" s="91">
        <v>1</v>
      </c>
      <c r="M16" s="90">
        <v>0.37361111111111112</v>
      </c>
      <c r="N16" s="90">
        <v>0.3743055555555555</v>
      </c>
      <c r="O16" s="90">
        <v>0.37083333333333335</v>
      </c>
      <c r="P16" s="91">
        <v>1</v>
      </c>
      <c r="Q16" s="90">
        <v>0.36180555555555555</v>
      </c>
      <c r="R16" s="90">
        <v>0.36319444444444443</v>
      </c>
      <c r="S16" s="120" t="s">
        <v>15</v>
      </c>
      <c r="T16" s="120" t="s">
        <v>15</v>
      </c>
      <c r="U16" s="90">
        <v>0.35694444444444445</v>
      </c>
      <c r="V16" s="91">
        <v>1</v>
      </c>
      <c r="W16" s="90">
        <v>0.3527777777777778</v>
      </c>
      <c r="X16" s="91">
        <v>1</v>
      </c>
      <c r="Y16" s="90">
        <v>0.3520833333333333</v>
      </c>
      <c r="Z16" s="91">
        <v>1</v>
      </c>
      <c r="AA16" s="90">
        <v>0.35833333333333334</v>
      </c>
      <c r="AB16" s="91">
        <v>1</v>
      </c>
      <c r="AC16" s="90">
        <v>0.35138888888888892</v>
      </c>
      <c r="AD16" s="91">
        <v>1</v>
      </c>
      <c r="AE16" s="90">
        <v>0.35138888888888892</v>
      </c>
      <c r="AF16" s="91">
        <v>1</v>
      </c>
      <c r="AG16" s="126">
        <v>0.57986111111111105</v>
      </c>
      <c r="AH16" s="127">
        <v>1</v>
      </c>
      <c r="AJ16" s="116">
        <v>12</v>
      </c>
      <c r="AK16" s="90">
        <v>0.3527777777777778</v>
      </c>
      <c r="AL16" s="91">
        <v>1</v>
      </c>
      <c r="AM16" s="90">
        <v>0.35138888888888892</v>
      </c>
      <c r="AN16" s="91">
        <v>1</v>
      </c>
      <c r="AO16" s="90">
        <v>0.3527777777777778</v>
      </c>
      <c r="AP16" s="91">
        <v>1</v>
      </c>
      <c r="AQ16" s="90">
        <v>0.36041666666666666</v>
      </c>
      <c r="AR16" s="91">
        <v>1</v>
      </c>
      <c r="AS16" s="90">
        <v>0.3527777777777778</v>
      </c>
      <c r="AT16" s="91">
        <v>1</v>
      </c>
      <c r="AU16" s="90">
        <v>0.35000000000000003</v>
      </c>
      <c r="AV16" s="90">
        <v>0.9868055555555556</v>
      </c>
      <c r="AW16" s="120" t="s">
        <v>15</v>
      </c>
      <c r="AX16" s="120" t="s">
        <v>15</v>
      </c>
      <c r="AY16" s="90">
        <v>0.35138888888888892</v>
      </c>
      <c r="AZ16" s="90">
        <v>0.9916666666666667</v>
      </c>
      <c r="BA16" s="90">
        <v>0.35486111111111113</v>
      </c>
      <c r="BB16" s="90">
        <v>2.7083333333333334E-2</v>
      </c>
      <c r="BC16" s="90">
        <v>0.35555555555555557</v>
      </c>
      <c r="BD16" s="91">
        <v>1</v>
      </c>
      <c r="BE16" s="90">
        <v>0.37361111111111112</v>
      </c>
      <c r="BF16" s="91">
        <v>1</v>
      </c>
      <c r="BG16" s="120" t="s">
        <v>15</v>
      </c>
      <c r="BH16" s="120" t="s">
        <v>15</v>
      </c>
      <c r="BI16" s="90">
        <v>0.3527777777777778</v>
      </c>
      <c r="BJ16" s="90">
        <v>0.99375000000000002</v>
      </c>
      <c r="BK16" s="120" t="s">
        <v>15</v>
      </c>
      <c r="BL16" s="120" t="s">
        <v>15</v>
      </c>
      <c r="BM16" s="90">
        <v>0.35486111111111113</v>
      </c>
      <c r="BN16" s="91">
        <v>1</v>
      </c>
      <c r="BO16" s="90">
        <v>0.3527777777777778</v>
      </c>
      <c r="BP16" s="91">
        <v>1</v>
      </c>
      <c r="BQ16" s="147">
        <f t="shared" si="16"/>
        <v>31</v>
      </c>
      <c r="BR16" s="81">
        <v>2</v>
      </c>
      <c r="BS16" s="2">
        <f t="shared" si="1"/>
        <v>27</v>
      </c>
      <c r="BT16" s="3">
        <f>COUNTIF(E16:BN16,"OFF")/2</f>
        <v>4</v>
      </c>
      <c r="BU16" s="3">
        <f>COUNTIF(E16:BN16,"MC")/2</f>
        <v>0</v>
      </c>
      <c r="BV16" s="3">
        <f>COUNTIF(E16:BN16,"EL")/2</f>
        <v>0</v>
      </c>
      <c r="BW16" s="3">
        <f>COUNTIF(E16:BN16,"AL")/2</f>
        <v>0</v>
      </c>
      <c r="BX16" s="3">
        <f>COUNTIF(E16:BN16,"SUS")/2</f>
        <v>0</v>
      </c>
      <c r="BY16" s="3">
        <f>COUNTIF(E16:BN16,"FL")/2</f>
        <v>0</v>
      </c>
      <c r="BZ16" s="3">
        <f t="shared" si="8"/>
        <v>0</v>
      </c>
      <c r="CA16" s="3">
        <f>COUNTIF(E16:BN16,"HD")/2</f>
        <v>0</v>
      </c>
      <c r="CB16" s="3">
        <f>COUNTIF(E16:BN16,"AB")/2</f>
        <v>0</v>
      </c>
      <c r="CC16" s="3">
        <f>COUNTIF(E16:BN16,"NL")/2</f>
        <v>0</v>
      </c>
      <c r="CD16" s="3">
        <f>COUNTIF(E16:BN16,"SP")/2</f>
        <v>0</v>
      </c>
      <c r="CE16" s="85"/>
      <c r="CH16" s="58">
        <v>0</v>
      </c>
      <c r="CI16" s="59">
        <v>5</v>
      </c>
      <c r="CJ16" s="58">
        <v>0</v>
      </c>
      <c r="CK16" s="58">
        <v>0</v>
      </c>
      <c r="CL16" s="58">
        <v>0</v>
      </c>
      <c r="CM16" s="58">
        <v>0</v>
      </c>
      <c r="CN16" s="58">
        <v>0</v>
      </c>
      <c r="CO16" s="58">
        <v>0</v>
      </c>
      <c r="CP16" s="58">
        <v>0</v>
      </c>
      <c r="CQ16" s="58">
        <v>0</v>
      </c>
      <c r="CR16" s="60">
        <f t="shared" si="15"/>
        <v>5</v>
      </c>
    </row>
    <row r="17" spans="1:96" ht="21" customHeight="1" x14ac:dyDescent="0.25">
      <c r="A17" s="11">
        <v>13</v>
      </c>
      <c r="B17" s="13" t="s">
        <v>53</v>
      </c>
      <c r="C17" s="98" t="s">
        <v>54</v>
      </c>
      <c r="D17" s="110">
        <v>40896</v>
      </c>
      <c r="E17" s="126">
        <v>0.57986111111111105</v>
      </c>
      <c r="F17" s="126">
        <v>0.9916666666666667</v>
      </c>
      <c r="G17" s="90">
        <v>0.3444444444444445</v>
      </c>
      <c r="H17" s="90">
        <v>0.97013888888888899</v>
      </c>
      <c r="I17" s="90">
        <v>0.34513888888888888</v>
      </c>
      <c r="J17" s="90">
        <v>0.94374999999999998</v>
      </c>
      <c r="K17" s="90">
        <v>0.34930555555555554</v>
      </c>
      <c r="L17" s="90">
        <v>0.9590277777777777</v>
      </c>
      <c r="M17" s="90">
        <v>0.35000000000000003</v>
      </c>
      <c r="N17" s="90">
        <v>0.94236111111111109</v>
      </c>
      <c r="O17" s="90">
        <v>0.34652777777777777</v>
      </c>
      <c r="P17" s="90">
        <v>0.34652777777777777</v>
      </c>
      <c r="Q17" s="90">
        <v>0.34861111111111115</v>
      </c>
      <c r="R17" s="90">
        <v>0.98333333333333339</v>
      </c>
      <c r="S17" s="120" t="s">
        <v>15</v>
      </c>
      <c r="T17" s="120" t="s">
        <v>15</v>
      </c>
      <c r="U17" s="90">
        <v>0.34375</v>
      </c>
      <c r="V17" s="90">
        <v>0.95763888888888893</v>
      </c>
      <c r="W17" s="90">
        <v>0.34583333333333338</v>
      </c>
      <c r="X17" s="90">
        <v>0.94861111111111107</v>
      </c>
      <c r="Y17" s="90">
        <v>0.34791666666666665</v>
      </c>
      <c r="Z17" s="90">
        <v>0.95833333333333337</v>
      </c>
      <c r="AA17" s="90">
        <v>0.34583333333333338</v>
      </c>
      <c r="AB17" s="90">
        <v>0.95138888888888884</v>
      </c>
      <c r="AC17" s="90">
        <v>0.34861111111111115</v>
      </c>
      <c r="AD17" s="90">
        <v>0.94861111111111107</v>
      </c>
      <c r="AE17" s="90">
        <v>0.34583333333333338</v>
      </c>
      <c r="AF17" s="90">
        <v>0.9590277777777777</v>
      </c>
      <c r="AG17" s="126">
        <v>0.5805555555555556</v>
      </c>
      <c r="AH17" s="126">
        <v>0.93819444444444444</v>
      </c>
      <c r="AJ17" s="116">
        <v>13</v>
      </c>
      <c r="AK17" s="90">
        <v>0.34722222222222227</v>
      </c>
      <c r="AL17" s="90">
        <v>0.97152777777777777</v>
      </c>
      <c r="AM17" s="90">
        <v>0.3527777777777778</v>
      </c>
      <c r="AN17" s="90">
        <v>0.3527777777777778</v>
      </c>
      <c r="AO17" s="90">
        <v>0.34930555555555554</v>
      </c>
      <c r="AP17" s="90">
        <v>0.95138888888888884</v>
      </c>
      <c r="AQ17" s="90">
        <v>0.34652777777777777</v>
      </c>
      <c r="AR17" s="90">
        <v>0.95347222222222217</v>
      </c>
      <c r="AS17" s="90">
        <v>0.34861111111111115</v>
      </c>
      <c r="AT17" s="90">
        <v>0.9555555555555556</v>
      </c>
      <c r="AU17" s="90">
        <v>0.34652777777777777</v>
      </c>
      <c r="AV17" s="90">
        <v>0.9819444444444444</v>
      </c>
      <c r="AW17" s="120" t="s">
        <v>15</v>
      </c>
      <c r="AX17" s="120" t="s">
        <v>15</v>
      </c>
      <c r="AY17" s="90">
        <v>0.3527777777777778</v>
      </c>
      <c r="AZ17" s="90">
        <v>0.9784722222222223</v>
      </c>
      <c r="BA17" s="90">
        <v>0.34791666666666665</v>
      </c>
      <c r="BB17" s="90">
        <v>1.3888888888888888E-2</v>
      </c>
      <c r="BC17" s="91">
        <v>1</v>
      </c>
      <c r="BD17" s="91">
        <v>1</v>
      </c>
      <c r="BE17" s="90">
        <v>0.35347222222222219</v>
      </c>
      <c r="BF17" s="90">
        <v>0.94305555555555554</v>
      </c>
      <c r="BG17" s="120" t="s">
        <v>15</v>
      </c>
      <c r="BH17" s="120" t="s">
        <v>15</v>
      </c>
      <c r="BI17" s="90">
        <v>0.35138888888888892</v>
      </c>
      <c r="BJ17" s="90">
        <v>0.98263888888888884</v>
      </c>
      <c r="BK17" s="126">
        <v>0.58194444444444449</v>
      </c>
      <c r="BL17" s="126">
        <v>0.9375</v>
      </c>
      <c r="BM17" s="90">
        <v>0.35000000000000003</v>
      </c>
      <c r="BN17" s="90">
        <v>0.95972222222222225</v>
      </c>
      <c r="BO17" s="90">
        <v>0.35416666666666669</v>
      </c>
      <c r="BP17" s="90">
        <v>0.97222222222222221</v>
      </c>
      <c r="BQ17" s="147">
        <f t="shared" si="16"/>
        <v>31</v>
      </c>
      <c r="BR17" s="81">
        <v>3</v>
      </c>
      <c r="BS17" s="2">
        <f t="shared" si="1"/>
        <v>28</v>
      </c>
      <c r="BT17" s="3">
        <f>COUNTIF(E17:BP17,"OFF")/2</f>
        <v>3</v>
      </c>
      <c r="BU17" s="3">
        <f>COUNTIF(E17:BP17,"MC")/2</f>
        <v>0</v>
      </c>
      <c r="BV17" s="3">
        <f>COUNTIF(E17:BP17,"EL")/2</f>
        <v>0</v>
      </c>
      <c r="BW17" s="3">
        <f>COUNTIF(E17:BP17,"AL")/2</f>
        <v>0</v>
      </c>
      <c r="BX17" s="3">
        <f>COUNTIF(E17:BP17,"SUS")/2</f>
        <v>0</v>
      </c>
      <c r="BY17" s="3">
        <f>COUNTIF(E17:BP17,"FL")/2</f>
        <v>0</v>
      </c>
      <c r="BZ17" s="3">
        <f t="shared" si="8"/>
        <v>0</v>
      </c>
      <c r="CA17" s="3">
        <f>COUNTIF(E17:BP17,"HD")/2</f>
        <v>0</v>
      </c>
      <c r="CB17" s="3">
        <f>COUNTIF(E17:BP17,"AB")/2</f>
        <v>0</v>
      </c>
      <c r="CC17" s="3">
        <f>COUNTIF(E17:BP17,"NL")/2</f>
        <v>0</v>
      </c>
      <c r="CD17" s="3">
        <f>COUNTIF(E17:BP17,"SP")/2</f>
        <v>0</v>
      </c>
      <c r="CE17" s="85"/>
      <c r="CH17" s="58">
        <v>0</v>
      </c>
      <c r="CI17" s="58">
        <v>0</v>
      </c>
      <c r="CJ17" s="58">
        <v>0</v>
      </c>
      <c r="CK17" s="58">
        <v>0</v>
      </c>
      <c r="CL17" s="58">
        <v>0</v>
      </c>
      <c r="CM17" s="59">
        <v>1</v>
      </c>
      <c r="CN17" s="58">
        <v>0</v>
      </c>
      <c r="CO17" s="58">
        <v>0</v>
      </c>
      <c r="CP17" s="58">
        <v>0</v>
      </c>
      <c r="CQ17" s="58">
        <v>0</v>
      </c>
      <c r="CR17" s="60">
        <f t="shared" si="15"/>
        <v>1</v>
      </c>
    </row>
    <row r="18" spans="1:96" ht="21" customHeight="1" x14ac:dyDescent="0.25">
      <c r="A18" s="11">
        <v>14</v>
      </c>
      <c r="B18" s="12" t="s">
        <v>55</v>
      </c>
      <c r="C18" s="98" t="s">
        <v>56</v>
      </c>
      <c r="D18" s="110">
        <v>42446</v>
      </c>
      <c r="E18" s="126">
        <v>0.57430555555555551</v>
      </c>
      <c r="F18" s="126">
        <v>0.93541666666666667</v>
      </c>
      <c r="G18" s="90">
        <v>0.34375</v>
      </c>
      <c r="H18" s="90">
        <v>0.94166666666666676</v>
      </c>
      <c r="I18" s="90">
        <v>0.34375</v>
      </c>
      <c r="J18" s="90">
        <v>0.90138888888888891</v>
      </c>
      <c r="K18" s="90">
        <v>0.34722222222222227</v>
      </c>
      <c r="L18" s="90">
        <v>0.93125000000000002</v>
      </c>
      <c r="M18" s="90">
        <v>0.9145833333333333</v>
      </c>
      <c r="N18" s="90">
        <v>0.9145833333333333</v>
      </c>
      <c r="O18" s="90">
        <v>0.34513888888888888</v>
      </c>
      <c r="P18" s="90">
        <v>0.9194444444444444</v>
      </c>
      <c r="Q18" s="90">
        <v>0.34375</v>
      </c>
      <c r="R18" s="90">
        <v>0.93402777777777779</v>
      </c>
      <c r="S18" s="120" t="s">
        <v>15</v>
      </c>
      <c r="T18" s="120" t="s">
        <v>15</v>
      </c>
      <c r="U18" s="90">
        <v>0.3444444444444445</v>
      </c>
      <c r="V18" s="90">
        <v>0.93125000000000002</v>
      </c>
      <c r="W18" s="90">
        <v>0.34375</v>
      </c>
      <c r="X18" s="90">
        <v>0.92013888888888884</v>
      </c>
      <c r="Y18" s="90">
        <v>0.34375</v>
      </c>
      <c r="Z18" s="90">
        <v>0.90833333333333333</v>
      </c>
      <c r="AA18" s="90">
        <v>0.34375</v>
      </c>
      <c r="AB18" s="90">
        <v>0.92708333333333337</v>
      </c>
      <c r="AC18" s="90">
        <v>0.3430555555555555</v>
      </c>
      <c r="AD18" s="90">
        <v>0.90694444444444444</v>
      </c>
      <c r="AE18" s="90">
        <v>0.3430555555555555</v>
      </c>
      <c r="AF18" s="90">
        <v>0.93680555555555556</v>
      </c>
      <c r="AG18" s="126">
        <v>0.57430555555555551</v>
      </c>
      <c r="AH18" s="126">
        <v>0.91805555555555562</v>
      </c>
      <c r="AJ18" s="116">
        <v>14</v>
      </c>
      <c r="AK18" s="90">
        <v>0.3430555555555555</v>
      </c>
      <c r="AL18" s="90">
        <v>0.93680555555555556</v>
      </c>
      <c r="AM18" s="90">
        <v>0.3430555555555555</v>
      </c>
      <c r="AN18" s="91">
        <v>1</v>
      </c>
      <c r="AO18" s="90">
        <v>0.34236111111111112</v>
      </c>
      <c r="AP18" s="90">
        <v>0.90902777777777777</v>
      </c>
      <c r="AQ18" s="90">
        <v>0.34236111111111112</v>
      </c>
      <c r="AR18" s="90">
        <v>0.92361111111111116</v>
      </c>
      <c r="AS18" s="90">
        <v>0.3430555555555555</v>
      </c>
      <c r="AT18" s="90">
        <v>0.90694444444444444</v>
      </c>
      <c r="AU18" s="90">
        <v>0.34236111111111112</v>
      </c>
      <c r="AV18" s="90">
        <v>0.94166666666666676</v>
      </c>
      <c r="AW18" s="120" t="s">
        <v>15</v>
      </c>
      <c r="AX18" s="120" t="s">
        <v>15</v>
      </c>
      <c r="AY18" s="90">
        <v>0.34236111111111112</v>
      </c>
      <c r="AZ18" s="90">
        <v>0.96666666666666667</v>
      </c>
      <c r="BA18" s="90">
        <v>0.34375</v>
      </c>
      <c r="BB18" s="90">
        <v>0.99375000000000002</v>
      </c>
      <c r="BC18" s="90">
        <v>0.34236111111111112</v>
      </c>
      <c r="BD18" s="90">
        <v>0.99791666666666667</v>
      </c>
      <c r="BE18" s="90">
        <v>0.3430555555555555</v>
      </c>
      <c r="BF18" s="90">
        <v>0.97638888888888886</v>
      </c>
      <c r="BG18" s="120" t="s">
        <v>15</v>
      </c>
      <c r="BH18" s="120" t="s">
        <v>15</v>
      </c>
      <c r="BI18" s="90">
        <v>0.34375</v>
      </c>
      <c r="BJ18" s="90">
        <v>0.94305555555555554</v>
      </c>
      <c r="BK18" s="126">
        <v>0.5708333333333333</v>
      </c>
      <c r="BL18" s="126">
        <v>0.90208333333333324</v>
      </c>
      <c r="BM18" s="90">
        <v>0.34375</v>
      </c>
      <c r="BN18" s="91">
        <v>1</v>
      </c>
      <c r="BO18" s="90">
        <v>0.34375</v>
      </c>
      <c r="BP18" s="90">
        <v>0.93611111111111101</v>
      </c>
      <c r="BQ18" s="147">
        <f t="shared" si="16"/>
        <v>31</v>
      </c>
      <c r="BR18" s="81">
        <v>3</v>
      </c>
      <c r="BS18" s="2">
        <f t="shared" si="1"/>
        <v>28</v>
      </c>
      <c r="BT18" s="3">
        <f>COUNTIF(E18:BP18,"OFF")/2</f>
        <v>3</v>
      </c>
      <c r="BU18" s="3">
        <f>COUNTIF(E18:BP18,"MC")/2</f>
        <v>0</v>
      </c>
      <c r="BV18" s="3">
        <f>COUNTIF(E18:BP18,"EL")/2</f>
        <v>0</v>
      </c>
      <c r="BW18" s="3">
        <f>COUNTIF(E18:BP18,"AL")/2</f>
        <v>0</v>
      </c>
      <c r="BX18" s="3">
        <f>COUNTIF(E18:BP18,"SUS")/2</f>
        <v>0</v>
      </c>
      <c r="BY18" s="3">
        <f>COUNTIF(E18:BP18,"FL")/2</f>
        <v>0</v>
      </c>
      <c r="BZ18" s="3">
        <f t="shared" si="8"/>
        <v>0</v>
      </c>
      <c r="CA18" s="3">
        <f>COUNTIF(E18:BP18,"HD")/2</f>
        <v>0</v>
      </c>
      <c r="CB18" s="3">
        <f>COUNTIF(E18:BP18,"AB")/2</f>
        <v>0</v>
      </c>
      <c r="CC18" s="3">
        <f>COUNTIF(E18:BP18,"NL")/2</f>
        <v>0</v>
      </c>
      <c r="CD18" s="3">
        <f>COUNTIF(E18:BP18,"SP")/2</f>
        <v>0</v>
      </c>
      <c r="CE18" s="85"/>
      <c r="CH18" s="58">
        <v>0</v>
      </c>
      <c r="CI18" s="58">
        <v>0</v>
      </c>
      <c r="CJ18" s="59">
        <v>2</v>
      </c>
      <c r="CK18" s="58">
        <v>0</v>
      </c>
      <c r="CL18" s="58">
        <v>0</v>
      </c>
      <c r="CM18" s="58">
        <v>0</v>
      </c>
      <c r="CN18" s="58">
        <v>0</v>
      </c>
      <c r="CO18" s="58">
        <v>0</v>
      </c>
      <c r="CP18" s="58">
        <v>0</v>
      </c>
      <c r="CQ18" s="58">
        <v>0</v>
      </c>
      <c r="CR18" s="60">
        <f t="shared" si="15"/>
        <v>2</v>
      </c>
    </row>
    <row r="19" spans="1:96" ht="21" customHeight="1" x14ac:dyDescent="0.25">
      <c r="A19" s="11">
        <v>15</v>
      </c>
      <c r="B19" s="12" t="s">
        <v>60</v>
      </c>
      <c r="C19" s="98" t="s">
        <v>61</v>
      </c>
      <c r="D19" s="112">
        <v>45881</v>
      </c>
      <c r="E19" s="126">
        <v>0.56111111111111112</v>
      </c>
      <c r="F19" s="126">
        <v>0.98472222222222217</v>
      </c>
      <c r="G19" s="90">
        <v>0.33819444444444446</v>
      </c>
      <c r="H19" s="91">
        <v>1</v>
      </c>
      <c r="I19" s="90">
        <v>0.32500000000000001</v>
      </c>
      <c r="J19" s="91">
        <v>1</v>
      </c>
      <c r="K19" s="90">
        <v>0.32916666666666666</v>
      </c>
      <c r="L19" s="91">
        <v>1</v>
      </c>
      <c r="M19" s="90">
        <v>0.33402777777777781</v>
      </c>
      <c r="N19" s="91">
        <v>1</v>
      </c>
      <c r="O19" s="90">
        <v>0.32569444444444445</v>
      </c>
      <c r="P19" s="90">
        <v>0.9868055555555556</v>
      </c>
      <c r="Q19" s="90">
        <v>0.32777777777777778</v>
      </c>
      <c r="R19" s="90">
        <v>0.96666666666666667</v>
      </c>
      <c r="S19" s="126">
        <v>0.5625</v>
      </c>
      <c r="T19" s="126">
        <v>0.94374999999999998</v>
      </c>
      <c r="U19" s="90">
        <v>0.33333333333333331</v>
      </c>
      <c r="V19" s="90">
        <v>0.99305555555555547</v>
      </c>
      <c r="W19" s="90">
        <v>0.32847222222222222</v>
      </c>
      <c r="X19" s="90">
        <v>0.96250000000000002</v>
      </c>
      <c r="Y19" s="90">
        <v>0.33055555555555555</v>
      </c>
      <c r="Z19" s="91">
        <v>1</v>
      </c>
      <c r="AA19" s="90">
        <v>0.32847222222222222</v>
      </c>
      <c r="AB19" s="90">
        <v>0.9916666666666667</v>
      </c>
      <c r="AC19" s="90">
        <v>0.32569444444444445</v>
      </c>
      <c r="AD19" s="90">
        <v>0.96388888888888891</v>
      </c>
      <c r="AE19" s="90">
        <v>0.32847222222222222</v>
      </c>
      <c r="AF19" s="91">
        <v>1</v>
      </c>
      <c r="AG19" s="126">
        <v>0.56666666666666665</v>
      </c>
      <c r="AH19" s="126">
        <v>0.94513888888888886</v>
      </c>
      <c r="AJ19" s="116">
        <v>15</v>
      </c>
      <c r="AK19" s="90">
        <v>0.33263888888888887</v>
      </c>
      <c r="AL19" s="90">
        <v>0.9590277777777777</v>
      </c>
      <c r="AM19" s="90">
        <v>0.33263888888888887</v>
      </c>
      <c r="AN19" s="91">
        <v>1</v>
      </c>
      <c r="AO19" s="90">
        <v>0.3298611111111111</v>
      </c>
      <c r="AP19" s="90">
        <v>0.94097222222222221</v>
      </c>
      <c r="AQ19" s="90">
        <v>0.33124999999999999</v>
      </c>
      <c r="AR19" s="90">
        <v>0.94861111111111107</v>
      </c>
      <c r="AS19" s="90">
        <v>0.32916666666666666</v>
      </c>
      <c r="AT19" s="90">
        <v>0.96111111111111114</v>
      </c>
      <c r="AU19" s="90">
        <v>0.3298611111111111</v>
      </c>
      <c r="AV19" s="90">
        <v>0.97916666666666663</v>
      </c>
      <c r="AW19" s="126">
        <v>0.56319444444444444</v>
      </c>
      <c r="AX19" s="126">
        <v>0.93888888888888899</v>
      </c>
      <c r="AY19" s="90">
        <v>0.32430555555555557</v>
      </c>
      <c r="AZ19" s="91">
        <v>1</v>
      </c>
      <c r="BA19" s="90">
        <v>0.32569444444444445</v>
      </c>
      <c r="BB19" s="91">
        <v>1</v>
      </c>
      <c r="BC19" s="90">
        <v>0.32500000000000001</v>
      </c>
      <c r="BD19" s="91">
        <v>1</v>
      </c>
      <c r="BE19" s="90">
        <v>0.33333333333333331</v>
      </c>
      <c r="BF19" s="91">
        <v>1</v>
      </c>
      <c r="BG19" s="120" t="s">
        <v>15</v>
      </c>
      <c r="BH19" s="120" t="s">
        <v>15</v>
      </c>
      <c r="BI19" s="90">
        <v>0.3298611111111111</v>
      </c>
      <c r="BJ19" s="91">
        <v>1</v>
      </c>
      <c r="BK19" s="126">
        <v>0.57500000000000007</v>
      </c>
      <c r="BL19" s="126">
        <v>0.93541666666666667</v>
      </c>
      <c r="BM19" s="90">
        <v>0.34375</v>
      </c>
      <c r="BN19" s="90">
        <v>0.97986111111111107</v>
      </c>
      <c r="BO19" s="90">
        <v>0.33194444444444443</v>
      </c>
      <c r="BP19" s="90">
        <v>0.98263888888888884</v>
      </c>
      <c r="BQ19" s="147">
        <f t="shared" si="16"/>
        <v>31</v>
      </c>
      <c r="BR19" s="81">
        <v>6</v>
      </c>
      <c r="BS19" s="2">
        <f t="shared" si="1"/>
        <v>30</v>
      </c>
      <c r="BT19" s="3">
        <f>COUNTIF(E19:BP19,"OFF")/2</f>
        <v>1</v>
      </c>
      <c r="BU19" s="3">
        <f>COUNTIF(E19:BP19,"MC")/2</f>
        <v>0</v>
      </c>
      <c r="BV19" s="3">
        <f>COUNTIF(E19:BP19,"EL")/2</f>
        <v>0</v>
      </c>
      <c r="BW19" s="3">
        <f>COUNTIF(E19:BP19,"AL")/2</f>
        <v>0</v>
      </c>
      <c r="BX19" s="3">
        <f>COUNTIF(E19:BP19,"SUS")/2</f>
        <v>0</v>
      </c>
      <c r="BY19" s="3">
        <f>COUNTIF(E19:BP19,"FL")/2</f>
        <v>0</v>
      </c>
      <c r="BZ19" s="3">
        <f t="shared" si="8"/>
        <v>0</v>
      </c>
      <c r="CA19" s="3">
        <f>COUNTIF(E19:BP19,"HD")/2</f>
        <v>0</v>
      </c>
      <c r="CB19" s="3">
        <f>COUNTIF(E19:BP19,"AB")/2</f>
        <v>0</v>
      </c>
      <c r="CC19" s="3">
        <f>COUNTIF(E19:BP19,"NL")/2</f>
        <v>0</v>
      </c>
      <c r="CD19" s="3">
        <f>COUNTIF(E19:BP19,"SP")/2</f>
        <v>0</v>
      </c>
      <c r="CE19" s="4" t="s">
        <v>277</v>
      </c>
      <c r="CH19" s="58">
        <v>0</v>
      </c>
      <c r="CI19" s="58">
        <v>0</v>
      </c>
      <c r="CJ19" s="58">
        <v>0</v>
      </c>
      <c r="CK19" s="58">
        <v>0</v>
      </c>
      <c r="CL19" s="58">
        <v>0</v>
      </c>
      <c r="CM19" s="58">
        <v>0</v>
      </c>
      <c r="CN19" s="58">
        <v>0</v>
      </c>
      <c r="CO19" s="58">
        <v>0</v>
      </c>
      <c r="CP19" s="58">
        <v>0</v>
      </c>
      <c r="CQ19" s="58">
        <v>0</v>
      </c>
      <c r="CR19" s="60">
        <f t="shared" si="15"/>
        <v>0</v>
      </c>
    </row>
    <row r="20" spans="1:96" ht="21" customHeight="1" x14ac:dyDescent="0.25">
      <c r="A20" s="11">
        <v>16</v>
      </c>
      <c r="B20" s="12" t="s">
        <v>62</v>
      </c>
      <c r="C20" s="99" t="s">
        <v>251</v>
      </c>
      <c r="D20" s="112">
        <v>45936</v>
      </c>
      <c r="E20" s="126">
        <v>0.57916666666666672</v>
      </c>
      <c r="F20" s="126">
        <v>0.73472222222222217</v>
      </c>
      <c r="G20" s="90">
        <v>0.37083333333333335</v>
      </c>
      <c r="H20" s="90">
        <v>0.73611111111111116</v>
      </c>
      <c r="I20" s="90">
        <v>0.36458333333333331</v>
      </c>
      <c r="J20" s="90">
        <v>0.73888888888888893</v>
      </c>
      <c r="K20" s="90">
        <v>0.36944444444444446</v>
      </c>
      <c r="L20" s="90">
        <v>0.7284722222222223</v>
      </c>
      <c r="M20" s="90">
        <v>0.37222222222222223</v>
      </c>
      <c r="N20" s="90">
        <v>0.73888888888888893</v>
      </c>
      <c r="O20" s="90">
        <v>0.37152777777777773</v>
      </c>
      <c r="P20" s="90">
        <v>0.7402777777777777</v>
      </c>
      <c r="Q20" s="90">
        <v>0.36736111111111108</v>
      </c>
      <c r="R20" s="90">
        <v>0.73472222222222217</v>
      </c>
      <c r="S20" s="120" t="s">
        <v>15</v>
      </c>
      <c r="T20" s="120" t="s">
        <v>15</v>
      </c>
      <c r="U20" s="90">
        <v>0.37083333333333335</v>
      </c>
      <c r="V20" s="90">
        <v>0.73055555555555562</v>
      </c>
      <c r="W20" s="90">
        <v>0.36805555555555558</v>
      </c>
      <c r="X20" s="90">
        <v>0.73333333333333339</v>
      </c>
      <c r="Y20" s="90">
        <v>0.3666666666666667</v>
      </c>
      <c r="Z20" s="90">
        <v>0.73263888888888884</v>
      </c>
      <c r="AA20" s="90">
        <v>0.36944444444444446</v>
      </c>
      <c r="AB20" s="90">
        <v>0.73402777777777783</v>
      </c>
      <c r="AC20" s="90">
        <v>0.36805555555555558</v>
      </c>
      <c r="AD20" s="90">
        <v>0.73958333333333337</v>
      </c>
      <c r="AE20" s="90">
        <v>0.36388888888888887</v>
      </c>
      <c r="AF20" s="90">
        <v>0.73472222222222217</v>
      </c>
      <c r="AG20" s="126">
        <v>0.59027777777777779</v>
      </c>
      <c r="AH20" s="126">
        <v>0.71875</v>
      </c>
      <c r="AJ20" s="116">
        <v>16</v>
      </c>
      <c r="AK20" s="90">
        <v>0.37361111111111112</v>
      </c>
      <c r="AL20" s="90">
        <v>0.73333333333333339</v>
      </c>
      <c r="AM20" s="90">
        <v>0.3666666666666667</v>
      </c>
      <c r="AN20" s="90">
        <v>0.73402777777777783</v>
      </c>
      <c r="AO20" s="90">
        <v>0.3659722222222222</v>
      </c>
      <c r="AP20" s="90">
        <v>0.73472222222222217</v>
      </c>
      <c r="AQ20" s="90">
        <v>0.38055555555555554</v>
      </c>
      <c r="AR20" s="90">
        <v>0.73402777777777783</v>
      </c>
      <c r="AS20" s="90">
        <v>0.37222222222222223</v>
      </c>
      <c r="AT20" s="90">
        <v>0.73819444444444438</v>
      </c>
      <c r="AU20" s="90">
        <v>0.3666666666666667</v>
      </c>
      <c r="AV20" s="90">
        <v>0.72361111111111109</v>
      </c>
      <c r="AW20" s="120" t="s">
        <v>15</v>
      </c>
      <c r="AX20" s="120" t="s">
        <v>15</v>
      </c>
      <c r="AY20" s="90">
        <v>0.38055555555555554</v>
      </c>
      <c r="AZ20" s="90">
        <v>0.7270833333333333</v>
      </c>
      <c r="BA20" s="90">
        <v>0.36319444444444443</v>
      </c>
      <c r="BB20" s="90">
        <v>0.73402777777777783</v>
      </c>
      <c r="BC20" s="90">
        <v>0.37152777777777773</v>
      </c>
      <c r="BD20" s="90">
        <v>0.69166666666666676</v>
      </c>
      <c r="BE20" s="90">
        <v>0.39861111111111108</v>
      </c>
      <c r="BF20" s="90">
        <v>0.72222222222222221</v>
      </c>
      <c r="BG20" s="120" t="s">
        <v>15</v>
      </c>
      <c r="BH20" s="120" t="s">
        <v>15</v>
      </c>
      <c r="BI20" s="90">
        <v>0.36388888888888887</v>
      </c>
      <c r="BJ20" s="90">
        <v>0.7284722222222223</v>
      </c>
      <c r="BK20" s="126">
        <v>0.57986111111111105</v>
      </c>
      <c r="BL20" s="126">
        <v>0.70208333333333339</v>
      </c>
      <c r="BM20" s="90">
        <v>0.36805555555555558</v>
      </c>
      <c r="BN20" s="90">
        <v>0.72986111111111107</v>
      </c>
      <c r="BO20" s="90">
        <v>0.3659722222222222</v>
      </c>
      <c r="BP20" s="90">
        <v>0.72638888888888886</v>
      </c>
      <c r="BQ20" s="147">
        <f t="shared" si="16"/>
        <v>31</v>
      </c>
      <c r="BR20" s="81">
        <v>3</v>
      </c>
      <c r="BS20" s="2">
        <f t="shared" si="1"/>
        <v>28</v>
      </c>
      <c r="BT20" s="3">
        <f t="shared" ref="BT20:BT25" si="17">COUNTIF(E20:BN20,"OFF")/2</f>
        <v>3</v>
      </c>
      <c r="BU20" s="3">
        <f t="shared" ref="BU20:BU25" si="18">COUNTIF(E20:BN20,"MC")/2</f>
        <v>0</v>
      </c>
      <c r="BV20" s="3">
        <f t="shared" ref="BV20:BV25" si="19">COUNTIF(E20:BN20,"EL")/2</f>
        <v>0</v>
      </c>
      <c r="BW20" s="3">
        <f t="shared" ref="BW20:BW25" si="20">COUNTIF(E20:BN20,"AL")/2</f>
        <v>0</v>
      </c>
      <c r="BX20" s="3">
        <f t="shared" ref="BX20:BX25" si="21">COUNTIF(E20:BN20,"SUS")/2</f>
        <v>0</v>
      </c>
      <c r="BY20" s="3">
        <f t="shared" ref="BY20:BY25" si="22">COUNTIF(E20:BN20,"FL")/2</f>
        <v>0</v>
      </c>
      <c r="BZ20" s="3">
        <f t="shared" si="8"/>
        <v>0</v>
      </c>
      <c r="CA20" s="3">
        <f t="shared" ref="CA20:CA25" si="23">COUNTIF(E20:BN20,"HD")/2</f>
        <v>0</v>
      </c>
      <c r="CB20" s="3">
        <f t="shared" ref="CB20:CB25" si="24">COUNTIF(E20:BN20,"AB")/2</f>
        <v>0</v>
      </c>
      <c r="CC20" s="3">
        <f t="shared" ref="CC20:CC25" si="25">COUNTIF(E20:BN20,"NL")/2</f>
        <v>0</v>
      </c>
      <c r="CD20" s="3">
        <f t="shared" ref="CD20:CD25" si="26">COUNTIF(E20:BN20,"SP")/2</f>
        <v>0</v>
      </c>
      <c r="CE20" s="85"/>
      <c r="CH20" s="58">
        <v>0</v>
      </c>
      <c r="CI20" s="58">
        <v>0</v>
      </c>
      <c r="CJ20" s="58">
        <v>0</v>
      </c>
      <c r="CK20" s="58">
        <v>0</v>
      </c>
      <c r="CL20" s="58">
        <v>0</v>
      </c>
      <c r="CM20" s="58">
        <v>0</v>
      </c>
      <c r="CN20" s="58">
        <v>0</v>
      </c>
      <c r="CO20" s="58">
        <v>0</v>
      </c>
      <c r="CP20" s="58">
        <v>0</v>
      </c>
      <c r="CQ20" s="58">
        <v>0</v>
      </c>
      <c r="CR20" s="60">
        <f>SUM(CH20:CQ20)</f>
        <v>0</v>
      </c>
    </row>
    <row r="21" spans="1:96" ht="21.75" customHeight="1" x14ac:dyDescent="0.25">
      <c r="A21" s="11">
        <v>17</v>
      </c>
      <c r="B21" s="46" t="s">
        <v>178</v>
      </c>
      <c r="C21" s="99" t="s">
        <v>179</v>
      </c>
      <c r="D21" s="112">
        <v>45945</v>
      </c>
      <c r="E21" s="126">
        <v>0.56111111111111112</v>
      </c>
      <c r="F21" s="126">
        <v>0.97638888888888886</v>
      </c>
      <c r="G21" s="90">
        <v>0.3215277777777778</v>
      </c>
      <c r="H21" s="90">
        <v>0.97499999999999998</v>
      </c>
      <c r="I21" s="90">
        <v>0.32777777777777778</v>
      </c>
      <c r="J21" s="91">
        <v>1</v>
      </c>
      <c r="K21" s="90">
        <v>0.33611111111111108</v>
      </c>
      <c r="L21" s="90">
        <v>0.96597222222222223</v>
      </c>
      <c r="M21" s="90">
        <v>0.33333333333333331</v>
      </c>
      <c r="N21" s="90">
        <v>0.94236111111111109</v>
      </c>
      <c r="O21" s="90">
        <v>0.32916666666666666</v>
      </c>
      <c r="P21" s="90">
        <v>0.97291666666666676</v>
      </c>
      <c r="Q21" s="90">
        <v>0.95277777777777783</v>
      </c>
      <c r="R21" s="91">
        <v>1</v>
      </c>
      <c r="S21" s="126">
        <v>0.56458333333333333</v>
      </c>
      <c r="T21" s="126">
        <v>0.95138888888888884</v>
      </c>
      <c r="U21" s="90">
        <v>0.32777777777777778</v>
      </c>
      <c r="V21" s="91">
        <v>1</v>
      </c>
      <c r="W21" s="91">
        <v>1</v>
      </c>
      <c r="X21" s="90">
        <v>0.94930555555555562</v>
      </c>
      <c r="Y21" s="90">
        <v>0.33611111111111108</v>
      </c>
      <c r="Z21" s="90">
        <v>0.96736111111111101</v>
      </c>
      <c r="AA21" s="90">
        <v>0.3263888888888889</v>
      </c>
      <c r="AB21" s="90">
        <v>0.36041666666666666</v>
      </c>
      <c r="AC21" s="90">
        <v>0.33819444444444446</v>
      </c>
      <c r="AD21" s="90">
        <v>0.97638888888888886</v>
      </c>
      <c r="AE21" s="90">
        <v>0.32777777777777778</v>
      </c>
      <c r="AF21" s="91">
        <v>1</v>
      </c>
      <c r="AG21" s="126">
        <v>0.57222222222222219</v>
      </c>
      <c r="AH21" s="126">
        <v>0.91527777777777775</v>
      </c>
      <c r="AJ21" s="116">
        <v>17</v>
      </c>
      <c r="AK21" s="90">
        <v>0.33402777777777781</v>
      </c>
      <c r="AL21" s="90">
        <v>0.96111111111111114</v>
      </c>
      <c r="AM21" s="90">
        <v>0.33194444444444443</v>
      </c>
      <c r="AN21" s="90">
        <v>0.98819444444444438</v>
      </c>
      <c r="AO21" s="90">
        <v>0.3347222222222222</v>
      </c>
      <c r="AP21" s="91">
        <v>1</v>
      </c>
      <c r="AQ21" s="90">
        <v>0.33124999999999999</v>
      </c>
      <c r="AR21" s="90">
        <v>0.95833333333333337</v>
      </c>
      <c r="AS21" s="90">
        <v>0.33124999999999999</v>
      </c>
      <c r="AT21" s="90">
        <v>0.96805555555555556</v>
      </c>
      <c r="AU21" s="90">
        <v>0.33124999999999999</v>
      </c>
      <c r="AV21" s="90">
        <v>0.9506944444444444</v>
      </c>
      <c r="AW21" s="126">
        <v>0.56597222222222221</v>
      </c>
      <c r="AX21" s="126">
        <v>0.95694444444444438</v>
      </c>
      <c r="AY21" s="90">
        <v>0.32708333333333334</v>
      </c>
      <c r="AZ21" s="90">
        <v>0.95972222222222225</v>
      </c>
      <c r="BA21" s="90">
        <v>0.32708333333333334</v>
      </c>
      <c r="BB21" s="91">
        <v>1</v>
      </c>
      <c r="BC21" s="90">
        <v>0.32708333333333334</v>
      </c>
      <c r="BD21" s="91">
        <v>1</v>
      </c>
      <c r="BE21" s="90">
        <v>0.33402777777777781</v>
      </c>
      <c r="BF21" s="91">
        <v>1</v>
      </c>
      <c r="BG21" s="120" t="s">
        <v>15</v>
      </c>
      <c r="BH21" s="120" t="s">
        <v>15</v>
      </c>
      <c r="BI21" s="90">
        <v>0.33749999999999997</v>
      </c>
      <c r="BJ21" s="90">
        <v>2.9861111111111113E-2</v>
      </c>
      <c r="BK21" s="126">
        <v>0.57430555555555551</v>
      </c>
      <c r="BL21" s="126">
        <v>0.91180555555555554</v>
      </c>
      <c r="BM21" s="90">
        <v>0.33194444444444443</v>
      </c>
      <c r="BN21" s="90">
        <v>0.95833333333333337</v>
      </c>
      <c r="BO21" s="90">
        <v>0.32916666666666666</v>
      </c>
      <c r="BP21" s="90">
        <v>0.95138888888888884</v>
      </c>
      <c r="BQ21" s="147">
        <f t="shared" si="16"/>
        <v>31</v>
      </c>
      <c r="BR21" s="81">
        <v>5</v>
      </c>
      <c r="BS21" s="2">
        <f t="shared" si="1"/>
        <v>30</v>
      </c>
      <c r="BT21" s="3">
        <f t="shared" si="17"/>
        <v>1</v>
      </c>
      <c r="BU21" s="3">
        <f t="shared" si="18"/>
        <v>0</v>
      </c>
      <c r="BV21" s="3">
        <f t="shared" si="19"/>
        <v>0</v>
      </c>
      <c r="BW21" s="3">
        <f t="shared" si="20"/>
        <v>0</v>
      </c>
      <c r="BX21" s="3">
        <f t="shared" si="21"/>
        <v>0</v>
      </c>
      <c r="BY21" s="3">
        <f t="shared" si="22"/>
        <v>0</v>
      </c>
      <c r="BZ21" s="3">
        <f t="shared" si="8"/>
        <v>0</v>
      </c>
      <c r="CA21" s="3">
        <f t="shared" si="23"/>
        <v>0</v>
      </c>
      <c r="CB21" s="3">
        <f t="shared" si="24"/>
        <v>0</v>
      </c>
      <c r="CC21" s="3">
        <f t="shared" si="25"/>
        <v>0</v>
      </c>
      <c r="CD21" s="3">
        <f t="shared" si="26"/>
        <v>0</v>
      </c>
      <c r="CE21" s="85"/>
      <c r="CH21" s="58">
        <v>0</v>
      </c>
      <c r="CI21" s="58">
        <v>0</v>
      </c>
      <c r="CJ21" s="58">
        <v>0</v>
      </c>
      <c r="CK21" s="58">
        <v>0</v>
      </c>
      <c r="CL21" s="58">
        <v>0</v>
      </c>
      <c r="CM21" s="58">
        <v>0</v>
      </c>
      <c r="CN21" s="58">
        <v>0</v>
      </c>
      <c r="CO21" s="58">
        <v>0</v>
      </c>
      <c r="CP21" s="58">
        <v>0</v>
      </c>
      <c r="CQ21" s="58">
        <v>0</v>
      </c>
      <c r="CR21" s="60">
        <f>SUM(CH21:CQ21)</f>
        <v>0</v>
      </c>
    </row>
    <row r="22" spans="1:96" ht="22.5" customHeight="1" x14ac:dyDescent="0.25">
      <c r="A22" s="11">
        <v>18</v>
      </c>
      <c r="B22" s="46" t="s">
        <v>226</v>
      </c>
      <c r="C22" s="100" t="s">
        <v>228</v>
      </c>
      <c r="D22" s="112">
        <v>46052</v>
      </c>
      <c r="E22" s="126">
        <v>0.55833333333333335</v>
      </c>
      <c r="F22" s="126">
        <v>0</v>
      </c>
      <c r="G22" s="90">
        <v>0.35694444444444445</v>
      </c>
      <c r="H22" s="90">
        <v>0.96875</v>
      </c>
      <c r="I22" s="90">
        <v>0.35694444444444445</v>
      </c>
      <c r="J22" s="90">
        <v>0.93958333333333333</v>
      </c>
      <c r="K22" s="90">
        <v>0.35694444444444445</v>
      </c>
      <c r="L22" s="90">
        <v>1.2499999999999999E-2</v>
      </c>
      <c r="M22" s="90">
        <v>0.35625000000000001</v>
      </c>
      <c r="N22" s="90">
        <v>0.94444444444444453</v>
      </c>
      <c r="O22" s="90">
        <v>0.35694444444444445</v>
      </c>
      <c r="P22" s="90">
        <v>0.97291666666666676</v>
      </c>
      <c r="Q22" s="90">
        <v>0.35625000000000001</v>
      </c>
      <c r="R22" s="90">
        <v>0.96875</v>
      </c>
      <c r="S22" s="126">
        <v>0.5805555555555556</v>
      </c>
      <c r="T22" s="126">
        <v>0.95138888888888884</v>
      </c>
      <c r="U22" s="90">
        <v>0.35416666666666669</v>
      </c>
      <c r="V22" s="90">
        <v>0.95000000000000007</v>
      </c>
      <c r="W22" s="90">
        <v>0.35694444444444445</v>
      </c>
      <c r="X22" s="90">
        <v>0.97499999999999998</v>
      </c>
      <c r="Y22" s="90">
        <v>0.3576388888888889</v>
      </c>
      <c r="Z22" s="90">
        <v>0.96527777777777779</v>
      </c>
      <c r="AA22" s="90">
        <v>0.35694444444444445</v>
      </c>
      <c r="AB22" s="90">
        <v>0.95833333333333337</v>
      </c>
      <c r="AC22" s="90">
        <v>0.35486111111111113</v>
      </c>
      <c r="AD22" s="90">
        <v>0.9555555555555556</v>
      </c>
      <c r="AE22" s="90">
        <v>0.3576388888888889</v>
      </c>
      <c r="AF22" s="90">
        <v>0.96875</v>
      </c>
      <c r="AG22" s="120" t="s">
        <v>15</v>
      </c>
      <c r="AH22" s="120" t="s">
        <v>15</v>
      </c>
      <c r="AJ22" s="116">
        <v>18</v>
      </c>
      <c r="AK22" s="90">
        <v>0.34791666666666665</v>
      </c>
      <c r="AL22" s="90">
        <v>0.9604166666666667</v>
      </c>
      <c r="AM22" s="90">
        <v>0.35694444444444445</v>
      </c>
      <c r="AN22" s="90">
        <v>0.95694444444444438</v>
      </c>
      <c r="AO22" s="90">
        <v>0.35625000000000001</v>
      </c>
      <c r="AP22" s="90">
        <v>0.94930555555555562</v>
      </c>
      <c r="AQ22" s="90">
        <v>0.3527777777777778</v>
      </c>
      <c r="AR22" s="90">
        <v>0.95138888888888884</v>
      </c>
      <c r="AS22" s="90">
        <v>0.35694444444444445</v>
      </c>
      <c r="AT22" s="90">
        <v>0.96250000000000002</v>
      </c>
      <c r="AU22" s="90">
        <v>0.3576388888888889</v>
      </c>
      <c r="AV22" s="90">
        <v>0.99583333333333324</v>
      </c>
      <c r="AW22" s="126">
        <v>0.56736111111111109</v>
      </c>
      <c r="AX22" s="126">
        <v>0.95694444444444438</v>
      </c>
      <c r="AY22" s="90">
        <v>0.3520833333333333</v>
      </c>
      <c r="AZ22" s="90">
        <v>0.98055555555555562</v>
      </c>
      <c r="BA22" s="90">
        <v>0.3520833333333333</v>
      </c>
      <c r="BB22" s="90">
        <v>1.6666666666666666E-2</v>
      </c>
      <c r="BC22" s="90">
        <v>0.35555555555555557</v>
      </c>
      <c r="BD22" s="90">
        <v>0.67291666666666661</v>
      </c>
      <c r="BE22" s="90">
        <v>0.35902777777777778</v>
      </c>
      <c r="BF22" s="90">
        <v>0.96875</v>
      </c>
      <c r="BG22" s="120" t="s">
        <v>15</v>
      </c>
      <c r="BH22" s="120" t="s">
        <v>15</v>
      </c>
      <c r="BI22" s="90">
        <v>0.35138888888888892</v>
      </c>
      <c r="BJ22" s="90">
        <v>0.99930555555555556</v>
      </c>
      <c r="BK22" s="120" t="s">
        <v>15</v>
      </c>
      <c r="BL22" s="120" t="s">
        <v>15</v>
      </c>
      <c r="BM22" s="90">
        <v>0.35486111111111113</v>
      </c>
      <c r="BN22" s="90">
        <v>0.96180555555555547</v>
      </c>
      <c r="BO22" s="90">
        <v>0.35555555555555557</v>
      </c>
      <c r="BP22" s="90">
        <v>0.98958333333333337</v>
      </c>
      <c r="BQ22" s="147">
        <f t="shared" si="16"/>
        <v>31</v>
      </c>
      <c r="BR22" s="81">
        <v>3</v>
      </c>
      <c r="BS22" s="2">
        <f t="shared" si="1"/>
        <v>28</v>
      </c>
      <c r="BT22" s="3">
        <f t="shared" si="17"/>
        <v>3</v>
      </c>
      <c r="BU22" s="3">
        <f t="shared" si="18"/>
        <v>0</v>
      </c>
      <c r="BV22" s="3">
        <f t="shared" si="19"/>
        <v>0</v>
      </c>
      <c r="BW22" s="3">
        <f t="shared" si="20"/>
        <v>0</v>
      </c>
      <c r="BX22" s="3">
        <f t="shared" si="21"/>
        <v>0</v>
      </c>
      <c r="BY22" s="3">
        <f t="shared" si="22"/>
        <v>0</v>
      </c>
      <c r="BZ22" s="3">
        <f t="shared" si="8"/>
        <v>0</v>
      </c>
      <c r="CA22" s="3">
        <f t="shared" si="23"/>
        <v>0</v>
      </c>
      <c r="CB22" s="3">
        <f t="shared" si="24"/>
        <v>0</v>
      </c>
      <c r="CC22" s="3">
        <f t="shared" si="25"/>
        <v>0</v>
      </c>
      <c r="CD22" s="3">
        <f t="shared" si="26"/>
        <v>0</v>
      </c>
      <c r="CE22" s="85"/>
      <c r="CH22" s="79">
        <v>0</v>
      </c>
      <c r="CI22" s="79">
        <v>0</v>
      </c>
      <c r="CJ22" s="79">
        <v>0</v>
      </c>
      <c r="CK22" s="79">
        <v>0</v>
      </c>
      <c r="CL22" s="79">
        <v>0</v>
      </c>
      <c r="CM22" s="79">
        <v>0</v>
      </c>
      <c r="CN22" s="79">
        <v>0</v>
      </c>
      <c r="CO22" s="79">
        <v>0</v>
      </c>
      <c r="CP22" s="79">
        <v>0</v>
      </c>
      <c r="CQ22" s="79">
        <v>0</v>
      </c>
      <c r="CR22" s="60">
        <f>SUM(CH22:CQ22)</f>
        <v>0</v>
      </c>
    </row>
    <row r="23" spans="1:96" ht="22.5" customHeight="1" x14ac:dyDescent="0.25">
      <c r="A23" s="11">
        <v>19</v>
      </c>
      <c r="B23" s="46" t="s">
        <v>234</v>
      </c>
      <c r="C23" s="100" t="s">
        <v>238</v>
      </c>
      <c r="D23" s="112">
        <v>46070</v>
      </c>
      <c r="E23" s="126">
        <v>0.58124999999999993</v>
      </c>
      <c r="F23" s="126">
        <v>6.9444444444444447E-4</v>
      </c>
      <c r="G23" s="90">
        <v>0.3527777777777778</v>
      </c>
      <c r="H23" s="90">
        <v>0.97152777777777777</v>
      </c>
      <c r="I23" s="90">
        <v>0.34722222222222227</v>
      </c>
      <c r="J23" s="90">
        <v>0.94027777777777777</v>
      </c>
      <c r="K23" s="90">
        <v>0.34791666666666665</v>
      </c>
      <c r="L23" s="90">
        <v>1.2499999999999999E-2</v>
      </c>
      <c r="M23" s="90">
        <v>0.34583333333333338</v>
      </c>
      <c r="N23" s="90">
        <v>0.95138888888888884</v>
      </c>
      <c r="O23" s="90">
        <v>0.34861111111111115</v>
      </c>
      <c r="P23" s="90">
        <v>0.97638888888888886</v>
      </c>
      <c r="Q23" s="90">
        <v>0.34652777777777777</v>
      </c>
      <c r="R23" s="90">
        <v>0.97083333333333333</v>
      </c>
      <c r="S23" s="120" t="s">
        <v>15</v>
      </c>
      <c r="T23" s="120" t="s">
        <v>15</v>
      </c>
      <c r="U23" s="90">
        <v>0.34583333333333338</v>
      </c>
      <c r="V23" s="90">
        <v>0.95347222222222217</v>
      </c>
      <c r="W23" s="90">
        <v>0.34513888888888888</v>
      </c>
      <c r="X23" s="90">
        <v>0.96319444444444446</v>
      </c>
      <c r="Y23" s="90">
        <v>0.34722222222222227</v>
      </c>
      <c r="Z23" s="90">
        <v>0.96319444444444446</v>
      </c>
      <c r="AA23" s="90">
        <v>0.34722222222222227</v>
      </c>
      <c r="AB23" s="90">
        <v>0.95208333333333339</v>
      </c>
      <c r="AC23" s="90">
        <v>0.34652777777777777</v>
      </c>
      <c r="AD23" s="90">
        <v>0.95763888888888893</v>
      </c>
      <c r="AE23" s="90">
        <v>0.34166666666666662</v>
      </c>
      <c r="AF23" s="90">
        <v>0.97083333333333333</v>
      </c>
      <c r="AG23" s="126">
        <v>0.57916666666666672</v>
      </c>
      <c r="AH23" s="126">
        <v>0.95208333333333339</v>
      </c>
      <c r="AJ23" s="116">
        <v>19</v>
      </c>
      <c r="AK23" s="90">
        <v>0.34722222222222227</v>
      </c>
      <c r="AL23" s="90">
        <v>0.9604166666666667</v>
      </c>
      <c r="AM23" s="90">
        <v>0.34791666666666665</v>
      </c>
      <c r="AN23" s="90">
        <v>0.96388888888888891</v>
      </c>
      <c r="AO23" s="90">
        <v>0.34583333333333338</v>
      </c>
      <c r="AP23" s="90">
        <v>0.94930555555555562</v>
      </c>
      <c r="AQ23" s="90">
        <v>0.34236111111111112</v>
      </c>
      <c r="AR23" s="90">
        <v>0.9506944444444444</v>
      </c>
      <c r="AS23" s="90">
        <v>0.3444444444444445</v>
      </c>
      <c r="AT23" s="90">
        <v>0.96180555555555547</v>
      </c>
      <c r="AU23" s="90">
        <v>0.35694444444444445</v>
      </c>
      <c r="AV23" s="90">
        <v>0.98819444444444438</v>
      </c>
      <c r="AW23" s="120" t="s">
        <v>15</v>
      </c>
      <c r="AX23" s="120" t="s">
        <v>15</v>
      </c>
      <c r="AY23" s="90">
        <v>0.34375</v>
      </c>
      <c r="AZ23" s="90">
        <v>0.97986111111111107</v>
      </c>
      <c r="BA23" s="90">
        <v>0.3430555555555555</v>
      </c>
      <c r="BB23" s="90">
        <v>0.60972222222222217</v>
      </c>
      <c r="BC23" s="90">
        <v>0.34375</v>
      </c>
      <c r="BD23" s="90">
        <v>0.61458333333333337</v>
      </c>
      <c r="BE23" s="90">
        <v>0.34375</v>
      </c>
      <c r="BF23" s="90">
        <v>0.96458333333333324</v>
      </c>
      <c r="BG23" s="120" t="s">
        <v>15</v>
      </c>
      <c r="BH23" s="120" t="s">
        <v>15</v>
      </c>
      <c r="BI23" s="90">
        <v>0.34513888888888888</v>
      </c>
      <c r="BJ23" s="90">
        <v>0.99930555555555556</v>
      </c>
      <c r="BK23" s="126">
        <v>0.56041666666666667</v>
      </c>
      <c r="BL23" s="126">
        <v>0.94305555555555554</v>
      </c>
      <c r="BM23" s="90">
        <v>0.34861111111111115</v>
      </c>
      <c r="BN23" s="90">
        <v>0.96597222222222223</v>
      </c>
      <c r="BO23" s="90">
        <v>0.3444444444444445</v>
      </c>
      <c r="BP23" s="90">
        <v>0.99097222222222225</v>
      </c>
      <c r="BQ23" s="147">
        <f t="shared" si="16"/>
        <v>31</v>
      </c>
      <c r="BR23" s="81">
        <v>3</v>
      </c>
      <c r="BS23" s="2">
        <f t="shared" si="1"/>
        <v>28</v>
      </c>
      <c r="BT23" s="3">
        <f t="shared" si="17"/>
        <v>3</v>
      </c>
      <c r="BU23" s="3">
        <f t="shared" si="18"/>
        <v>0</v>
      </c>
      <c r="BV23" s="3">
        <f t="shared" si="19"/>
        <v>0</v>
      </c>
      <c r="BW23" s="3">
        <f t="shared" si="20"/>
        <v>0</v>
      </c>
      <c r="BX23" s="3">
        <f t="shared" si="21"/>
        <v>0</v>
      </c>
      <c r="BY23" s="3">
        <f t="shared" si="22"/>
        <v>0</v>
      </c>
      <c r="BZ23" s="3">
        <f t="shared" si="8"/>
        <v>0</v>
      </c>
      <c r="CA23" s="3">
        <f t="shared" si="23"/>
        <v>0</v>
      </c>
      <c r="CB23" s="3">
        <f t="shared" si="24"/>
        <v>0</v>
      </c>
      <c r="CC23" s="3">
        <f t="shared" si="25"/>
        <v>0</v>
      </c>
      <c r="CD23" s="3">
        <f t="shared" si="26"/>
        <v>0</v>
      </c>
      <c r="CE23" s="85"/>
      <c r="CH23" s="79">
        <v>0</v>
      </c>
      <c r="CI23" s="79">
        <v>0</v>
      </c>
      <c r="CJ23" s="79">
        <v>0</v>
      </c>
      <c r="CK23" s="79">
        <v>0</v>
      </c>
      <c r="CL23" s="79">
        <v>1</v>
      </c>
      <c r="CM23" s="79">
        <v>0</v>
      </c>
      <c r="CN23" s="79">
        <v>0</v>
      </c>
      <c r="CO23" s="79">
        <v>0</v>
      </c>
      <c r="CP23" s="79">
        <v>0</v>
      </c>
      <c r="CQ23" s="79">
        <v>0</v>
      </c>
      <c r="CR23" s="60">
        <f t="shared" ref="CR23:CR25" si="27">SUM(CH23:CQ23)</f>
        <v>1</v>
      </c>
    </row>
    <row r="24" spans="1:96" ht="22.5" customHeight="1" x14ac:dyDescent="0.25">
      <c r="A24" s="11">
        <v>20</v>
      </c>
      <c r="B24" s="46" t="s">
        <v>247</v>
      </c>
      <c r="C24" s="87" t="s">
        <v>248</v>
      </c>
      <c r="D24" s="112">
        <v>46083</v>
      </c>
      <c r="E24" s="120" t="s">
        <v>15</v>
      </c>
      <c r="F24" s="120" t="s">
        <v>15</v>
      </c>
      <c r="G24" s="90">
        <v>0.3444444444444445</v>
      </c>
      <c r="H24" s="90">
        <v>0.97291666666666676</v>
      </c>
      <c r="I24" s="90">
        <v>0.34236111111111112</v>
      </c>
      <c r="J24" s="90">
        <v>0.95416666666666661</v>
      </c>
      <c r="K24" s="90">
        <v>0.34652777777777777</v>
      </c>
      <c r="L24" s="90">
        <v>0.96736111111111101</v>
      </c>
      <c r="M24" s="90">
        <v>0.35486111111111113</v>
      </c>
      <c r="N24" s="90">
        <v>0.9604166666666667</v>
      </c>
      <c r="O24" s="90">
        <v>0.3444444444444445</v>
      </c>
      <c r="P24" s="90">
        <v>0.95277777777777783</v>
      </c>
      <c r="Q24" s="90">
        <v>0.34027777777777773</v>
      </c>
      <c r="R24" s="90">
        <v>0.98402777777777783</v>
      </c>
      <c r="S24" s="126">
        <v>0.57222222222222219</v>
      </c>
      <c r="T24" s="126">
        <v>0.9770833333333333</v>
      </c>
      <c r="U24" s="90">
        <v>0.3430555555555555</v>
      </c>
      <c r="V24" s="90">
        <v>0.97916666666666663</v>
      </c>
      <c r="W24" s="90">
        <v>0.33680555555555558</v>
      </c>
      <c r="X24" s="90">
        <v>0.95833333333333337</v>
      </c>
      <c r="Y24" s="90">
        <v>0.3444444444444445</v>
      </c>
      <c r="Z24" s="90">
        <v>0.9590277777777777</v>
      </c>
      <c r="AA24" s="90">
        <v>0.34513888888888888</v>
      </c>
      <c r="AB24" s="90">
        <v>0.95833333333333337</v>
      </c>
      <c r="AC24" s="90">
        <v>0.34375</v>
      </c>
      <c r="AD24" s="90">
        <v>0.95833333333333337</v>
      </c>
      <c r="AE24" s="90">
        <v>0.34375</v>
      </c>
      <c r="AF24" s="90">
        <v>0.97291666666666676</v>
      </c>
      <c r="AG24" s="120" t="s">
        <v>15</v>
      </c>
      <c r="AH24" s="120" t="s">
        <v>15</v>
      </c>
      <c r="AJ24" s="116">
        <v>20</v>
      </c>
      <c r="AK24" s="90">
        <v>0.34652777777777777</v>
      </c>
      <c r="AL24" s="90">
        <v>0.97222222222222221</v>
      </c>
      <c r="AM24" s="90">
        <v>0.34722222222222227</v>
      </c>
      <c r="AN24" s="91">
        <v>1</v>
      </c>
      <c r="AO24" s="90">
        <v>0.35000000000000003</v>
      </c>
      <c r="AP24" s="90">
        <v>0.9604166666666667</v>
      </c>
      <c r="AQ24" s="90">
        <v>0.34930555555555554</v>
      </c>
      <c r="AR24" s="90">
        <v>0.95277777777777783</v>
      </c>
      <c r="AS24" s="90">
        <v>0.34930555555555554</v>
      </c>
      <c r="AT24" s="90">
        <v>0.95694444444444438</v>
      </c>
      <c r="AU24" s="90">
        <v>0.34930555555555554</v>
      </c>
      <c r="AV24" s="90">
        <v>0.97152777777777777</v>
      </c>
      <c r="AW24" s="126">
        <v>0.57638888888888895</v>
      </c>
      <c r="AX24" s="126">
        <v>0.95347222222222217</v>
      </c>
      <c r="AY24" s="90">
        <v>0.34722222222222227</v>
      </c>
      <c r="AZ24" s="90">
        <v>0.97083333333333333</v>
      </c>
      <c r="BA24" s="90">
        <v>0.34861111111111115</v>
      </c>
      <c r="BB24" s="90">
        <v>0.95763888888888893</v>
      </c>
      <c r="BC24" s="90">
        <v>0.3520833333333333</v>
      </c>
      <c r="BD24" s="90">
        <v>0.97499999999999998</v>
      </c>
      <c r="BE24" s="90">
        <v>0.35138888888888892</v>
      </c>
      <c r="BF24" s="90">
        <v>0.97638888888888886</v>
      </c>
      <c r="BG24" s="120" t="s">
        <v>15</v>
      </c>
      <c r="BH24" s="120" t="s">
        <v>15</v>
      </c>
      <c r="BI24" s="90">
        <v>0.35138888888888892</v>
      </c>
      <c r="BJ24" s="90">
        <v>2.7777777777777779E-3</v>
      </c>
      <c r="BK24" s="126">
        <v>0.5805555555555556</v>
      </c>
      <c r="BL24" s="126">
        <v>0.95624999999999993</v>
      </c>
      <c r="BM24" s="90">
        <v>0.35000000000000003</v>
      </c>
      <c r="BN24" s="90">
        <v>0.97222222222222221</v>
      </c>
      <c r="BO24" s="90">
        <v>0.3520833333333333</v>
      </c>
      <c r="BP24" s="90">
        <v>0.95763888888888893</v>
      </c>
      <c r="BQ24" s="147">
        <f t="shared" si="16"/>
        <v>31</v>
      </c>
      <c r="BR24" s="81">
        <v>3</v>
      </c>
      <c r="BS24" s="2">
        <f t="shared" si="1"/>
        <v>28</v>
      </c>
      <c r="BT24" s="3">
        <f t="shared" si="17"/>
        <v>3</v>
      </c>
      <c r="BU24" s="3">
        <f t="shared" si="18"/>
        <v>0</v>
      </c>
      <c r="BV24" s="3">
        <f t="shared" si="19"/>
        <v>0</v>
      </c>
      <c r="BW24" s="3">
        <f t="shared" si="20"/>
        <v>0</v>
      </c>
      <c r="BX24" s="3">
        <f t="shared" si="21"/>
        <v>0</v>
      </c>
      <c r="BY24" s="3">
        <f t="shared" si="22"/>
        <v>0</v>
      </c>
      <c r="BZ24" s="3">
        <f t="shared" si="8"/>
        <v>0</v>
      </c>
      <c r="CA24" s="3">
        <f t="shared" si="23"/>
        <v>0</v>
      </c>
      <c r="CB24" s="3">
        <f t="shared" si="24"/>
        <v>0</v>
      </c>
      <c r="CC24" s="3">
        <f t="shared" si="25"/>
        <v>0</v>
      </c>
      <c r="CD24" s="3">
        <f t="shared" si="26"/>
        <v>0</v>
      </c>
      <c r="CE24" s="85"/>
      <c r="CH24" s="79">
        <v>0</v>
      </c>
      <c r="CI24" s="79">
        <v>0</v>
      </c>
      <c r="CJ24" s="79">
        <v>0</v>
      </c>
      <c r="CK24" s="79">
        <v>0</v>
      </c>
      <c r="CL24" s="79">
        <v>0</v>
      </c>
      <c r="CM24" s="79">
        <v>0</v>
      </c>
      <c r="CN24" s="79">
        <v>0</v>
      </c>
      <c r="CO24" s="79">
        <v>0</v>
      </c>
      <c r="CP24" s="79">
        <v>0</v>
      </c>
      <c r="CQ24" s="79">
        <v>0</v>
      </c>
      <c r="CR24" s="60">
        <f t="shared" si="27"/>
        <v>0</v>
      </c>
    </row>
    <row r="25" spans="1:96" ht="22.5" customHeight="1" x14ac:dyDescent="0.25">
      <c r="A25" s="11">
        <v>21</v>
      </c>
      <c r="B25" s="46" t="s">
        <v>249</v>
      </c>
      <c r="C25" s="87" t="s">
        <v>252</v>
      </c>
      <c r="D25" s="112">
        <v>46097</v>
      </c>
      <c r="E25" s="120" t="s">
        <v>15</v>
      </c>
      <c r="F25" s="120" t="s">
        <v>15</v>
      </c>
      <c r="G25" s="90">
        <v>0.41666666666666669</v>
      </c>
      <c r="H25" s="90">
        <v>0.72361111111111109</v>
      </c>
      <c r="I25" s="90">
        <v>0.375</v>
      </c>
      <c r="J25" s="90">
        <v>0.73402777777777783</v>
      </c>
      <c r="K25" s="90">
        <v>0.37777777777777777</v>
      </c>
      <c r="L25" s="90">
        <v>0.72083333333333333</v>
      </c>
      <c r="M25" s="90">
        <v>0.37708333333333338</v>
      </c>
      <c r="N25" s="90">
        <v>0.73263888888888884</v>
      </c>
      <c r="O25" s="90">
        <v>0.375</v>
      </c>
      <c r="P25" s="90">
        <v>0.72986111111111107</v>
      </c>
      <c r="Q25" s="90">
        <v>0.3756944444444445</v>
      </c>
      <c r="R25" s="90">
        <v>0.73263888888888884</v>
      </c>
      <c r="S25" s="120" t="s">
        <v>15</v>
      </c>
      <c r="T25" s="120" t="s">
        <v>15</v>
      </c>
      <c r="U25" s="90">
        <v>0.41736111111111113</v>
      </c>
      <c r="V25" s="90">
        <v>0.80347222222222225</v>
      </c>
      <c r="W25" s="90">
        <v>0.3743055555555555</v>
      </c>
      <c r="X25" s="90">
        <v>0.7416666666666667</v>
      </c>
      <c r="Y25" s="90">
        <v>0.3756944444444445</v>
      </c>
      <c r="Z25" s="90">
        <v>0.7284722222222223</v>
      </c>
      <c r="AA25" s="90">
        <v>0.37638888888888888</v>
      </c>
      <c r="AB25" s="90">
        <v>0.71736111111111101</v>
      </c>
      <c r="AC25" s="90">
        <v>0.375</v>
      </c>
      <c r="AD25" s="90">
        <v>0.71875</v>
      </c>
      <c r="AE25" s="90">
        <v>0.3756944444444445</v>
      </c>
      <c r="AF25" s="90">
        <v>0.72916666666666663</v>
      </c>
      <c r="AG25" s="120" t="s">
        <v>15</v>
      </c>
      <c r="AH25" s="120" t="s">
        <v>15</v>
      </c>
      <c r="AJ25" s="116">
        <v>21</v>
      </c>
      <c r="AK25" s="90">
        <v>0.41666666666666669</v>
      </c>
      <c r="AL25" s="90">
        <v>0.74930555555555556</v>
      </c>
      <c r="AM25" s="90">
        <v>0.3756944444444445</v>
      </c>
      <c r="AN25" s="90">
        <v>0.72986111111111107</v>
      </c>
      <c r="AO25" s="90">
        <v>0.37777777777777777</v>
      </c>
      <c r="AP25" s="90">
        <v>0.72430555555555554</v>
      </c>
      <c r="AQ25" s="90">
        <v>0.72291666666666676</v>
      </c>
      <c r="AR25" s="91">
        <v>1</v>
      </c>
      <c r="AS25" s="90">
        <v>0.375</v>
      </c>
      <c r="AT25" s="90">
        <v>0.7284722222222223</v>
      </c>
      <c r="AU25" s="90">
        <v>0.3743055555555555</v>
      </c>
      <c r="AV25" s="90">
        <v>0.73055555555555562</v>
      </c>
      <c r="AW25" s="126">
        <v>0.61319444444444449</v>
      </c>
      <c r="AX25" s="126">
        <v>0.70833333333333337</v>
      </c>
      <c r="AY25" s="90">
        <v>0.42083333333333334</v>
      </c>
      <c r="AZ25" s="90">
        <v>0.77222222222222225</v>
      </c>
      <c r="BA25" s="90">
        <v>0.37152777777777773</v>
      </c>
      <c r="BB25" s="90">
        <v>0.74097222222222225</v>
      </c>
      <c r="BC25" s="90">
        <v>0.37361111111111112</v>
      </c>
      <c r="BD25" s="90">
        <v>0.7284722222222223</v>
      </c>
      <c r="BE25" s="90">
        <v>0.41388888888888892</v>
      </c>
      <c r="BF25" s="90">
        <v>0.70624999999999993</v>
      </c>
      <c r="BG25" s="120" t="s">
        <v>15</v>
      </c>
      <c r="BH25" s="120" t="s">
        <v>15</v>
      </c>
      <c r="BI25" s="90">
        <v>0.45347222222222222</v>
      </c>
      <c r="BJ25" s="90">
        <v>0.71666666666666667</v>
      </c>
      <c r="BK25" s="120" t="s">
        <v>15</v>
      </c>
      <c r="BL25" s="120" t="s">
        <v>15</v>
      </c>
      <c r="BM25" s="90">
        <v>0.41736111111111113</v>
      </c>
      <c r="BN25" s="90">
        <v>0.72638888888888886</v>
      </c>
      <c r="BO25" s="90">
        <v>0.375</v>
      </c>
      <c r="BP25" s="90">
        <v>0.71180555555555547</v>
      </c>
      <c r="BQ25" s="147">
        <f t="shared" si="16"/>
        <v>31</v>
      </c>
      <c r="BR25" s="81">
        <v>1</v>
      </c>
      <c r="BS25" s="2">
        <f t="shared" si="1"/>
        <v>26</v>
      </c>
      <c r="BT25" s="3">
        <f t="shared" si="17"/>
        <v>5</v>
      </c>
      <c r="BU25" s="3">
        <f t="shared" si="18"/>
        <v>0</v>
      </c>
      <c r="BV25" s="3">
        <f t="shared" si="19"/>
        <v>0</v>
      </c>
      <c r="BW25" s="3">
        <f t="shared" si="20"/>
        <v>0</v>
      </c>
      <c r="BX25" s="3">
        <f t="shared" si="21"/>
        <v>0</v>
      </c>
      <c r="BY25" s="3">
        <f t="shared" si="22"/>
        <v>0</v>
      </c>
      <c r="BZ25" s="3">
        <f t="shared" si="8"/>
        <v>0</v>
      </c>
      <c r="CA25" s="3">
        <f t="shared" si="23"/>
        <v>0</v>
      </c>
      <c r="CB25" s="3">
        <f t="shared" si="24"/>
        <v>0</v>
      </c>
      <c r="CC25" s="3">
        <f t="shared" si="25"/>
        <v>0</v>
      </c>
      <c r="CD25" s="3">
        <f t="shared" si="26"/>
        <v>0</v>
      </c>
      <c r="CE25" s="85"/>
      <c r="CH25" s="79">
        <v>0</v>
      </c>
      <c r="CI25" s="79">
        <v>0</v>
      </c>
      <c r="CJ25" s="79">
        <v>0</v>
      </c>
      <c r="CK25" s="79">
        <v>0</v>
      </c>
      <c r="CL25" s="79">
        <v>0</v>
      </c>
      <c r="CM25" s="79">
        <v>0</v>
      </c>
      <c r="CN25" s="79">
        <v>0</v>
      </c>
      <c r="CO25" s="79">
        <v>0</v>
      </c>
      <c r="CP25" s="79">
        <v>0</v>
      </c>
      <c r="CQ25" s="79">
        <v>0</v>
      </c>
      <c r="CR25" s="60">
        <f t="shared" si="27"/>
        <v>0</v>
      </c>
    </row>
    <row r="27" spans="1:96" ht="15.75" x14ac:dyDescent="0.25">
      <c r="E27" s="17"/>
      <c r="F27" s="18" t="s">
        <v>63</v>
      </c>
      <c r="G27" s="19"/>
      <c r="H27" s="18"/>
      <c r="I27" s="20"/>
      <c r="L27" s="20"/>
      <c r="M27" s="21"/>
      <c r="N27" s="22"/>
      <c r="O27" s="22"/>
      <c r="P27" s="23" t="s">
        <v>64</v>
      </c>
      <c r="Q27" s="23"/>
      <c r="R27" s="21"/>
      <c r="S27" s="21"/>
      <c r="T27" s="21"/>
      <c r="U27" s="21"/>
      <c r="V27" s="21" t="s">
        <v>65</v>
      </c>
      <c r="W27" s="21"/>
      <c r="X27" s="21"/>
      <c r="Y27" s="21"/>
      <c r="Z27" s="23" t="s">
        <v>66</v>
      </c>
      <c r="AA27" s="21"/>
      <c r="BR27" s="36" t="s">
        <v>75</v>
      </c>
      <c r="BS27" s="37"/>
      <c r="BT27" s="37"/>
      <c r="BU27" s="38" t="s">
        <v>17</v>
      </c>
      <c r="BV27" s="39"/>
      <c r="BW27" s="44" t="s">
        <v>76</v>
      </c>
      <c r="BX27" s="45"/>
      <c r="BY27" s="45"/>
      <c r="BZ27" s="42"/>
      <c r="CA27" s="43" t="s">
        <v>23</v>
      </c>
    </row>
    <row r="28" spans="1:96" ht="23.25" customHeight="1" x14ac:dyDescent="0.25">
      <c r="E28" s="24"/>
      <c r="F28" s="20"/>
      <c r="G28" s="20"/>
      <c r="H28" s="20"/>
      <c r="I28" s="20"/>
      <c r="L28" s="20"/>
      <c r="M28" s="20"/>
      <c r="N28" s="25"/>
      <c r="O28" s="25"/>
      <c r="P28" s="25"/>
      <c r="Q28" s="20"/>
      <c r="R28" s="20"/>
      <c r="S28" s="20"/>
      <c r="T28" s="26"/>
      <c r="U28" s="26"/>
      <c r="V28" s="26"/>
      <c r="W28" s="26"/>
      <c r="X28" s="26"/>
      <c r="Y28" s="26"/>
      <c r="Z28" s="27"/>
      <c r="AA28" s="27"/>
      <c r="AI28" s="51"/>
      <c r="BR28" s="36" t="s">
        <v>77</v>
      </c>
      <c r="BS28" s="37"/>
      <c r="BT28" s="37"/>
      <c r="BU28" s="38" t="s">
        <v>18</v>
      </c>
      <c r="BV28" s="39"/>
      <c r="BW28" s="40" t="s">
        <v>78</v>
      </c>
      <c r="BX28" s="41"/>
      <c r="BY28" s="41"/>
      <c r="BZ28" s="42"/>
      <c r="CA28" s="43" t="s">
        <v>24</v>
      </c>
    </row>
    <row r="29" spans="1:96" ht="17.25" x14ac:dyDescent="0.25">
      <c r="E29" s="24"/>
      <c r="F29" s="28"/>
      <c r="G29" s="20"/>
      <c r="H29" s="28"/>
      <c r="I29" s="20"/>
      <c r="L29" s="20"/>
      <c r="M29" s="28" t="s">
        <v>65</v>
      </c>
      <c r="N29" s="29"/>
      <c r="O29" s="29"/>
      <c r="P29" s="25"/>
      <c r="Q29" s="20"/>
      <c r="R29" s="28"/>
      <c r="S29" s="28"/>
      <c r="T29" s="21"/>
      <c r="U29" s="20"/>
      <c r="V29" s="20"/>
      <c r="W29" s="20"/>
      <c r="X29" s="20"/>
      <c r="Y29" s="20"/>
      <c r="Z29" s="30"/>
      <c r="AA29" s="30"/>
      <c r="BR29" s="36" t="s">
        <v>79</v>
      </c>
      <c r="BS29" s="37"/>
      <c r="BT29" s="37"/>
      <c r="BU29" s="38" t="s">
        <v>19</v>
      </c>
      <c r="BV29" s="39"/>
      <c r="BW29" s="40" t="s">
        <v>80</v>
      </c>
      <c r="BX29" s="41"/>
      <c r="BY29" s="41"/>
      <c r="BZ29" s="42"/>
      <c r="CA29" s="43" t="s">
        <v>25</v>
      </c>
    </row>
    <row r="30" spans="1:96" ht="17.25" x14ac:dyDescent="0.25">
      <c r="E30" s="31"/>
      <c r="F30" s="28"/>
      <c r="G30" s="20"/>
      <c r="H30" s="28"/>
      <c r="I30" s="20"/>
      <c r="L30" s="20"/>
      <c r="M30" s="28"/>
      <c r="N30" s="29"/>
      <c r="O30" s="29"/>
      <c r="P30" s="25"/>
      <c r="Q30" s="21"/>
      <c r="R30" s="28"/>
      <c r="S30" s="28"/>
      <c r="T30" s="21"/>
      <c r="U30" s="20"/>
      <c r="V30" s="20"/>
      <c r="W30" s="20"/>
      <c r="X30" s="20"/>
      <c r="Y30" s="20"/>
      <c r="Z30" s="30"/>
      <c r="AA30" s="30"/>
      <c r="BR30" s="36" t="s">
        <v>81</v>
      </c>
      <c r="BS30" s="37"/>
      <c r="BT30" s="37"/>
      <c r="BU30" s="38" t="s">
        <v>20</v>
      </c>
      <c r="BV30" s="39"/>
      <c r="BW30" s="39"/>
      <c r="BX30" s="39"/>
      <c r="BY30" s="39"/>
      <c r="BZ30" s="39"/>
      <c r="CA30" s="39"/>
    </row>
    <row r="31" spans="1:96" ht="17.25" x14ac:dyDescent="0.25">
      <c r="E31" s="32" t="s">
        <v>67</v>
      </c>
      <c r="F31" s="33"/>
      <c r="G31" s="17"/>
      <c r="H31" s="32"/>
      <c r="I31" s="20"/>
      <c r="L31" s="20"/>
      <c r="M31" s="28"/>
      <c r="N31" s="25"/>
      <c r="O31" s="29"/>
      <c r="P31" s="19" t="s">
        <v>68</v>
      </c>
      <c r="Q31" s="20"/>
      <c r="R31" s="28"/>
      <c r="S31" s="21"/>
      <c r="T31" s="20"/>
      <c r="U31" s="20"/>
      <c r="V31" s="20"/>
      <c r="W31" s="20"/>
      <c r="X31" s="20"/>
      <c r="Y31" s="20"/>
      <c r="Z31" s="19" t="s">
        <v>69</v>
      </c>
      <c r="AA31" s="30"/>
    </row>
    <row r="32" spans="1:96" ht="17.25" x14ac:dyDescent="0.25">
      <c r="E32" s="32"/>
      <c r="F32" s="32" t="s">
        <v>70</v>
      </c>
      <c r="G32" s="31"/>
      <c r="H32" s="31"/>
      <c r="I32" s="20"/>
      <c r="L32" s="20"/>
      <c r="M32" s="19"/>
      <c r="N32" s="34"/>
      <c r="O32" s="34"/>
      <c r="P32" s="19" t="s">
        <v>71</v>
      </c>
      <c r="Q32" s="19"/>
      <c r="R32" s="19"/>
      <c r="S32" s="21"/>
      <c r="T32" s="19"/>
      <c r="U32" s="20"/>
      <c r="V32" s="20"/>
      <c r="W32" s="20"/>
      <c r="X32" s="20"/>
      <c r="Y32" s="20"/>
      <c r="Z32" s="19" t="s">
        <v>72</v>
      </c>
      <c r="AA32" s="30"/>
    </row>
    <row r="33" spans="1:96" ht="15.75" x14ac:dyDescent="0.25"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35"/>
      <c r="Y33" s="35"/>
    </row>
    <row r="34" spans="1:96" ht="25.5" customHeight="1" x14ac:dyDescent="0.25">
      <c r="A34" s="153" t="s">
        <v>254</v>
      </c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89"/>
      <c r="AJ34" s="153" t="s">
        <v>254</v>
      </c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153"/>
      <c r="BQ34" s="153"/>
      <c r="BR34" s="65"/>
      <c r="BS34" s="69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1"/>
    </row>
    <row r="35" spans="1:96" ht="22.5" customHeight="1" x14ac:dyDescent="0.25">
      <c r="A35" s="154" t="s">
        <v>182</v>
      </c>
      <c r="B35" s="154"/>
      <c r="C35" s="154"/>
      <c r="D35" s="109"/>
      <c r="E35" s="150" t="s">
        <v>3</v>
      </c>
      <c r="F35" s="150"/>
      <c r="G35" s="150" t="s">
        <v>4</v>
      </c>
      <c r="H35" s="150"/>
      <c r="I35" s="150" t="s">
        <v>5</v>
      </c>
      <c r="J35" s="150"/>
      <c r="K35" s="150" t="s">
        <v>6</v>
      </c>
      <c r="L35" s="150"/>
      <c r="M35" s="150" t="s">
        <v>7</v>
      </c>
      <c r="N35" s="150"/>
      <c r="O35" s="150" t="s">
        <v>1</v>
      </c>
      <c r="P35" s="150"/>
      <c r="Q35" s="150" t="s">
        <v>2</v>
      </c>
      <c r="R35" s="150"/>
      <c r="S35" s="150" t="s">
        <v>3</v>
      </c>
      <c r="T35" s="150"/>
      <c r="U35" s="150" t="s">
        <v>4</v>
      </c>
      <c r="V35" s="150"/>
      <c r="W35" s="150" t="s">
        <v>5</v>
      </c>
      <c r="X35" s="150"/>
      <c r="Y35" s="150" t="s">
        <v>6</v>
      </c>
      <c r="Z35" s="150"/>
      <c r="AA35" s="150" t="s">
        <v>7</v>
      </c>
      <c r="AB35" s="150"/>
      <c r="AC35" s="150" t="s">
        <v>1</v>
      </c>
      <c r="AD35" s="150"/>
      <c r="AE35" s="150" t="s">
        <v>2</v>
      </c>
      <c r="AF35" s="150"/>
      <c r="AG35" s="150" t="s">
        <v>3</v>
      </c>
      <c r="AH35" s="150"/>
      <c r="AI35" s="92"/>
      <c r="AJ35" s="5"/>
      <c r="AK35" s="150" t="s">
        <v>4</v>
      </c>
      <c r="AL35" s="151"/>
      <c r="AM35" s="150" t="s">
        <v>5</v>
      </c>
      <c r="AN35" s="151"/>
      <c r="AO35" s="150" t="s">
        <v>6</v>
      </c>
      <c r="AP35" s="151"/>
      <c r="AQ35" s="150" t="s">
        <v>7</v>
      </c>
      <c r="AR35" s="151"/>
      <c r="AS35" s="150" t="s">
        <v>1</v>
      </c>
      <c r="AT35" s="151"/>
      <c r="AU35" s="150" t="s">
        <v>2</v>
      </c>
      <c r="AV35" s="151"/>
      <c r="AW35" s="150" t="s">
        <v>3</v>
      </c>
      <c r="AX35" s="151"/>
      <c r="AY35" s="150" t="s">
        <v>4</v>
      </c>
      <c r="AZ35" s="151"/>
      <c r="BA35" s="150" t="s">
        <v>5</v>
      </c>
      <c r="BB35" s="151"/>
      <c r="BC35" s="150" t="s">
        <v>6</v>
      </c>
      <c r="BD35" s="151"/>
      <c r="BE35" s="150" t="s">
        <v>7</v>
      </c>
      <c r="BF35" s="151"/>
      <c r="BG35" s="150" t="s">
        <v>1</v>
      </c>
      <c r="BH35" s="151"/>
      <c r="BI35" s="150" t="s">
        <v>2</v>
      </c>
      <c r="BJ35" s="151"/>
      <c r="BK35" s="150" t="s">
        <v>3</v>
      </c>
      <c r="BL35" s="151"/>
      <c r="BM35" s="150" t="s">
        <v>4</v>
      </c>
      <c r="BN35" s="151"/>
      <c r="BO35" s="150" t="s">
        <v>5</v>
      </c>
      <c r="BP35" s="151"/>
      <c r="BQ35" s="159" t="s">
        <v>8</v>
      </c>
      <c r="BR35" s="169" t="s">
        <v>9</v>
      </c>
      <c r="BS35" s="156"/>
      <c r="BT35" s="157"/>
      <c r="BU35" s="157"/>
      <c r="BV35" s="157"/>
      <c r="BW35" s="157"/>
      <c r="BX35" s="157"/>
      <c r="BY35" s="157"/>
      <c r="BZ35" s="157"/>
      <c r="CA35" s="157"/>
      <c r="CB35" s="157"/>
      <c r="CC35" s="157"/>
      <c r="CD35" s="157"/>
      <c r="CE35" s="158"/>
      <c r="CH35" s="155" t="s">
        <v>203</v>
      </c>
      <c r="CI35" s="155"/>
      <c r="CJ35" s="155"/>
      <c r="CK35" s="155"/>
      <c r="CL35" s="155"/>
      <c r="CM35" s="155"/>
      <c r="CN35" s="155"/>
      <c r="CO35" s="155"/>
      <c r="CP35" s="155"/>
      <c r="CQ35" s="155"/>
      <c r="CR35" s="48"/>
    </row>
    <row r="36" spans="1:96" ht="22.5" customHeight="1" x14ac:dyDescent="0.25">
      <c r="A36" s="154"/>
      <c r="B36" s="154"/>
      <c r="C36" s="154"/>
      <c r="D36" s="109"/>
      <c r="E36" s="149">
        <v>46143</v>
      </c>
      <c r="F36" s="149"/>
      <c r="G36" s="149">
        <v>46144</v>
      </c>
      <c r="H36" s="149"/>
      <c r="I36" s="149">
        <v>46145</v>
      </c>
      <c r="J36" s="149"/>
      <c r="K36" s="149">
        <v>46146</v>
      </c>
      <c r="L36" s="149"/>
      <c r="M36" s="149">
        <v>46147</v>
      </c>
      <c r="N36" s="149"/>
      <c r="O36" s="149">
        <v>46148</v>
      </c>
      <c r="P36" s="149"/>
      <c r="Q36" s="149">
        <v>46149</v>
      </c>
      <c r="R36" s="149"/>
      <c r="S36" s="149">
        <v>46150</v>
      </c>
      <c r="T36" s="149"/>
      <c r="U36" s="149">
        <v>46151</v>
      </c>
      <c r="V36" s="149"/>
      <c r="W36" s="149">
        <v>46152</v>
      </c>
      <c r="X36" s="149"/>
      <c r="Y36" s="149">
        <v>46153</v>
      </c>
      <c r="Z36" s="149"/>
      <c r="AA36" s="149">
        <v>46154</v>
      </c>
      <c r="AB36" s="149"/>
      <c r="AC36" s="149">
        <v>46155</v>
      </c>
      <c r="AD36" s="149"/>
      <c r="AE36" s="149">
        <v>46156</v>
      </c>
      <c r="AF36" s="149"/>
      <c r="AG36" s="149">
        <v>46157</v>
      </c>
      <c r="AH36" s="149"/>
      <c r="AI36" s="93"/>
      <c r="AJ36" s="83"/>
      <c r="AK36" s="149">
        <v>46158</v>
      </c>
      <c r="AL36" s="152"/>
      <c r="AM36" s="149">
        <v>46159</v>
      </c>
      <c r="AN36" s="152"/>
      <c r="AO36" s="149">
        <v>46160</v>
      </c>
      <c r="AP36" s="152"/>
      <c r="AQ36" s="149">
        <v>46161</v>
      </c>
      <c r="AR36" s="152"/>
      <c r="AS36" s="149">
        <v>46162</v>
      </c>
      <c r="AT36" s="152"/>
      <c r="AU36" s="149">
        <v>46163</v>
      </c>
      <c r="AV36" s="152"/>
      <c r="AW36" s="149">
        <v>46164</v>
      </c>
      <c r="AX36" s="152"/>
      <c r="AY36" s="149">
        <v>46165</v>
      </c>
      <c r="AZ36" s="152"/>
      <c r="BA36" s="149">
        <v>46166</v>
      </c>
      <c r="BB36" s="152"/>
      <c r="BC36" s="149">
        <v>46167</v>
      </c>
      <c r="BD36" s="152"/>
      <c r="BE36" s="149">
        <v>46168</v>
      </c>
      <c r="BF36" s="152"/>
      <c r="BG36" s="149">
        <v>46169</v>
      </c>
      <c r="BH36" s="152"/>
      <c r="BI36" s="149">
        <v>46170</v>
      </c>
      <c r="BJ36" s="152"/>
      <c r="BK36" s="149">
        <v>46171</v>
      </c>
      <c r="BL36" s="152"/>
      <c r="BM36" s="149">
        <v>46172</v>
      </c>
      <c r="BN36" s="152"/>
      <c r="BO36" s="149">
        <v>46173</v>
      </c>
      <c r="BP36" s="152"/>
      <c r="BQ36" s="159"/>
      <c r="BR36" s="169"/>
      <c r="BS36" s="72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4"/>
      <c r="CH36" s="61" t="s">
        <v>250</v>
      </c>
      <c r="CI36" s="61"/>
      <c r="CJ36" s="61"/>
      <c r="CK36" s="61"/>
      <c r="CL36" s="61"/>
      <c r="CM36" s="61"/>
      <c r="CN36" s="61"/>
      <c r="CO36" s="61"/>
      <c r="CP36" s="61"/>
      <c r="CQ36" s="61"/>
      <c r="CR36" s="48"/>
    </row>
    <row r="37" spans="1:96" ht="20.25" customHeight="1" x14ac:dyDescent="0.25">
      <c r="A37" s="5" t="s">
        <v>10</v>
      </c>
      <c r="B37" s="5" t="s">
        <v>11</v>
      </c>
      <c r="C37" s="5" t="s">
        <v>12</v>
      </c>
      <c r="D37" s="14"/>
      <c r="E37" s="14" t="s">
        <v>13</v>
      </c>
      <c r="F37" s="14" t="s">
        <v>14</v>
      </c>
      <c r="G37" s="14" t="s">
        <v>13</v>
      </c>
      <c r="H37" s="14" t="s">
        <v>14</v>
      </c>
      <c r="I37" s="14" t="s">
        <v>13</v>
      </c>
      <c r="J37" s="14" t="s">
        <v>14</v>
      </c>
      <c r="K37" s="14" t="s">
        <v>13</v>
      </c>
      <c r="L37" s="14" t="s">
        <v>14</v>
      </c>
      <c r="M37" s="14" t="s">
        <v>13</v>
      </c>
      <c r="N37" s="14" t="s">
        <v>14</v>
      </c>
      <c r="O37" s="14" t="s">
        <v>13</v>
      </c>
      <c r="P37" s="14" t="s">
        <v>14</v>
      </c>
      <c r="Q37" s="5" t="s">
        <v>13</v>
      </c>
      <c r="R37" s="5" t="s">
        <v>14</v>
      </c>
      <c r="S37" s="5" t="s">
        <v>13</v>
      </c>
      <c r="T37" s="5" t="s">
        <v>14</v>
      </c>
      <c r="U37" s="5" t="s">
        <v>13</v>
      </c>
      <c r="V37" s="5" t="s">
        <v>14</v>
      </c>
      <c r="W37" s="5" t="s">
        <v>13</v>
      </c>
      <c r="X37" s="5" t="s">
        <v>14</v>
      </c>
      <c r="Y37" s="5" t="s">
        <v>13</v>
      </c>
      <c r="Z37" s="5" t="s">
        <v>14</v>
      </c>
      <c r="AA37" s="5" t="s">
        <v>13</v>
      </c>
      <c r="AB37" s="5" t="s">
        <v>14</v>
      </c>
      <c r="AC37" s="5" t="s">
        <v>13</v>
      </c>
      <c r="AD37" s="5" t="s">
        <v>14</v>
      </c>
      <c r="AE37" s="5" t="s">
        <v>13</v>
      </c>
      <c r="AF37" s="5" t="s">
        <v>14</v>
      </c>
      <c r="AG37" s="5" t="s">
        <v>13</v>
      </c>
      <c r="AH37" s="5" t="s">
        <v>14</v>
      </c>
      <c r="AJ37" s="5"/>
      <c r="AK37" s="5" t="s">
        <v>13</v>
      </c>
      <c r="AL37" s="5" t="s">
        <v>14</v>
      </c>
      <c r="AM37" s="5" t="s">
        <v>13</v>
      </c>
      <c r="AN37" s="5" t="s">
        <v>14</v>
      </c>
      <c r="AO37" s="5" t="s">
        <v>13</v>
      </c>
      <c r="AP37" s="5" t="s">
        <v>14</v>
      </c>
      <c r="AQ37" s="5" t="s">
        <v>13</v>
      </c>
      <c r="AR37" s="5" t="s">
        <v>14</v>
      </c>
      <c r="AS37" s="5" t="s">
        <v>13</v>
      </c>
      <c r="AT37" s="5" t="s">
        <v>14</v>
      </c>
      <c r="AU37" s="14" t="s">
        <v>13</v>
      </c>
      <c r="AV37" s="14" t="s">
        <v>14</v>
      </c>
      <c r="AW37" s="14" t="s">
        <v>13</v>
      </c>
      <c r="AX37" s="14" t="s">
        <v>14</v>
      </c>
      <c r="AY37" s="14" t="s">
        <v>13</v>
      </c>
      <c r="AZ37" s="14" t="s">
        <v>14</v>
      </c>
      <c r="BA37" s="14" t="s">
        <v>13</v>
      </c>
      <c r="BB37" s="14" t="s">
        <v>14</v>
      </c>
      <c r="BC37" s="14" t="s">
        <v>13</v>
      </c>
      <c r="BD37" s="14" t="s">
        <v>14</v>
      </c>
      <c r="BE37" s="5" t="s">
        <v>13</v>
      </c>
      <c r="BF37" s="5" t="s">
        <v>14</v>
      </c>
      <c r="BG37" s="5" t="s">
        <v>13</v>
      </c>
      <c r="BH37" s="5" t="s">
        <v>14</v>
      </c>
      <c r="BI37" s="5" t="s">
        <v>13</v>
      </c>
      <c r="BJ37" s="5" t="s">
        <v>14</v>
      </c>
      <c r="BK37" s="5" t="s">
        <v>13</v>
      </c>
      <c r="BL37" s="5" t="s">
        <v>14</v>
      </c>
      <c r="BM37" s="5" t="s">
        <v>13</v>
      </c>
      <c r="BN37" s="5" t="s">
        <v>14</v>
      </c>
      <c r="BO37" s="5" t="s">
        <v>13</v>
      </c>
      <c r="BP37" s="5" t="s">
        <v>14</v>
      </c>
      <c r="BQ37" s="159"/>
      <c r="BR37" s="170"/>
      <c r="BS37" s="66"/>
      <c r="BT37" s="120" t="s">
        <v>15</v>
      </c>
      <c r="BU37" s="118" t="s">
        <v>16</v>
      </c>
      <c r="BV37" s="118" t="s">
        <v>17</v>
      </c>
      <c r="BW37" s="115" t="s">
        <v>18</v>
      </c>
      <c r="BX37" s="118" t="s">
        <v>19</v>
      </c>
      <c r="BY37" s="118" t="s">
        <v>20</v>
      </c>
      <c r="BZ37" s="90" t="s">
        <v>183</v>
      </c>
      <c r="CA37" s="67" t="s">
        <v>22</v>
      </c>
      <c r="CB37" s="91" t="s">
        <v>23</v>
      </c>
      <c r="CC37" s="91" t="s">
        <v>24</v>
      </c>
      <c r="CD37" s="91" t="s">
        <v>25</v>
      </c>
      <c r="CE37" s="68" t="s">
        <v>26</v>
      </c>
      <c r="CH37" s="55" t="s">
        <v>16</v>
      </c>
      <c r="CI37" s="56" t="s">
        <v>17</v>
      </c>
      <c r="CJ37" s="56" t="s">
        <v>18</v>
      </c>
      <c r="CK37" s="56" t="s">
        <v>19</v>
      </c>
      <c r="CL37" s="56" t="s">
        <v>20</v>
      </c>
      <c r="CM37" s="56" t="s">
        <v>21</v>
      </c>
      <c r="CN37" s="56" t="s">
        <v>22</v>
      </c>
      <c r="CO37" s="56" t="s">
        <v>23</v>
      </c>
      <c r="CP37" s="56" t="s">
        <v>24</v>
      </c>
      <c r="CQ37" s="56" t="s">
        <v>25</v>
      </c>
      <c r="CR37" s="57" t="s">
        <v>204</v>
      </c>
    </row>
    <row r="38" spans="1:96" ht="21.75" customHeight="1" x14ac:dyDescent="0.25">
      <c r="A38" s="46">
        <v>22</v>
      </c>
      <c r="B38" s="12" t="s">
        <v>82</v>
      </c>
      <c r="C38" s="98" t="s">
        <v>83</v>
      </c>
      <c r="D38" s="112">
        <v>41196</v>
      </c>
      <c r="E38" s="126">
        <v>0.58194444444444449</v>
      </c>
      <c r="F38" s="126">
        <v>0.98958333333333337</v>
      </c>
      <c r="G38" s="90">
        <v>0.3520833333333333</v>
      </c>
      <c r="H38" s="90">
        <v>0.96944444444444444</v>
      </c>
      <c r="I38" s="90">
        <v>0.35486111111111113</v>
      </c>
      <c r="J38" s="90">
        <v>0.9277777777777777</v>
      </c>
      <c r="K38" s="90">
        <v>0.35694444444444445</v>
      </c>
      <c r="L38" s="90">
        <v>0.96111111111111114</v>
      </c>
      <c r="M38" s="90">
        <v>0.35416666666666669</v>
      </c>
      <c r="N38" s="90">
        <v>0.94236111111111109</v>
      </c>
      <c r="O38" s="90">
        <v>0.35416666666666669</v>
      </c>
      <c r="P38" s="90">
        <v>0.96736111111111101</v>
      </c>
      <c r="Q38" s="90">
        <v>0.35416666666666669</v>
      </c>
      <c r="R38" s="90">
        <v>0.96944444444444444</v>
      </c>
      <c r="S38" s="120" t="s">
        <v>15</v>
      </c>
      <c r="T38" s="120" t="s">
        <v>15</v>
      </c>
      <c r="U38" s="90">
        <v>0.35416666666666669</v>
      </c>
      <c r="V38" s="90">
        <v>0.94444444444444453</v>
      </c>
      <c r="W38" s="90">
        <v>0.3520833333333333</v>
      </c>
      <c r="X38" s="91">
        <v>1</v>
      </c>
      <c r="Y38" s="90">
        <v>0.35486111111111113</v>
      </c>
      <c r="Z38" s="90">
        <v>0.94027777777777777</v>
      </c>
      <c r="AA38" s="90">
        <v>0.35555555555555557</v>
      </c>
      <c r="AB38" s="90">
        <v>0.92361111111111116</v>
      </c>
      <c r="AC38" s="90">
        <v>0.3520833333333333</v>
      </c>
      <c r="AD38" s="90">
        <v>0.94652777777777775</v>
      </c>
      <c r="AE38" s="90">
        <v>0.58124999999999993</v>
      </c>
      <c r="AF38" s="91">
        <v>1</v>
      </c>
      <c r="AG38" s="126">
        <v>0.58124999999999993</v>
      </c>
      <c r="AH38" s="126">
        <v>0.93472222222222223</v>
      </c>
      <c r="AJ38" s="123">
        <v>22</v>
      </c>
      <c r="AK38" s="90">
        <v>0.35555555555555557</v>
      </c>
      <c r="AL38" s="90">
        <v>0.35555555555555557</v>
      </c>
      <c r="AM38" s="90">
        <v>0.35347222222222219</v>
      </c>
      <c r="AN38" s="90">
        <v>0.94374999999999998</v>
      </c>
      <c r="AO38" s="90">
        <v>0.35416666666666669</v>
      </c>
      <c r="AP38" s="90">
        <v>0.94027777777777777</v>
      </c>
      <c r="AQ38" s="90">
        <v>0.35347222222222219</v>
      </c>
      <c r="AR38" s="90">
        <v>0.9375</v>
      </c>
      <c r="AS38" s="90">
        <v>0.3520833333333333</v>
      </c>
      <c r="AT38" s="90">
        <v>0.9458333333333333</v>
      </c>
      <c r="AU38" s="90">
        <v>0.34930555555555554</v>
      </c>
      <c r="AV38" s="90">
        <v>0.98541666666666661</v>
      </c>
      <c r="AW38" s="120" t="s">
        <v>15</v>
      </c>
      <c r="AX38" s="120" t="s">
        <v>15</v>
      </c>
      <c r="AY38" s="90">
        <v>0.35416666666666669</v>
      </c>
      <c r="AZ38" s="90">
        <v>0.97291666666666676</v>
      </c>
      <c r="BA38" s="90">
        <v>0.34791666666666665</v>
      </c>
      <c r="BB38" s="91">
        <v>1</v>
      </c>
      <c r="BC38" s="90">
        <v>0.3520833333333333</v>
      </c>
      <c r="BD38" s="91">
        <v>1</v>
      </c>
      <c r="BE38" s="90">
        <v>0.35138888888888892</v>
      </c>
      <c r="BF38" s="90">
        <v>0.35138888888888892</v>
      </c>
      <c r="BG38" s="120" t="s">
        <v>15</v>
      </c>
      <c r="BH38" s="120" t="s">
        <v>15</v>
      </c>
      <c r="BI38" s="90">
        <v>0.34791666666666665</v>
      </c>
      <c r="BJ38" s="91">
        <v>1</v>
      </c>
      <c r="BK38" s="126">
        <v>0.5805555555555556</v>
      </c>
      <c r="BL38" s="126">
        <v>0.93333333333333324</v>
      </c>
      <c r="BM38" s="90">
        <v>0.35416666666666669</v>
      </c>
      <c r="BN38" s="90">
        <v>0.9555555555555556</v>
      </c>
      <c r="BO38" s="90">
        <v>0.35347222222222219</v>
      </c>
      <c r="BP38" s="91">
        <v>1</v>
      </c>
      <c r="BQ38" s="147">
        <f t="shared" ref="BQ38:BQ95" si="28">BS38+BT38+BV38+BW38+CA38+BY38+BZ38+CD38</f>
        <v>31</v>
      </c>
      <c r="BR38" s="81">
        <v>3</v>
      </c>
      <c r="BS38" s="2">
        <f>COUNT(E38:AH38)/2+COUNT(AK38:BP38)/2</f>
        <v>28</v>
      </c>
      <c r="BT38" s="3">
        <f>COUNTIF(E38:BP38,"OFF")/2</f>
        <v>3</v>
      </c>
      <c r="BU38" s="3">
        <f>COUNTIF(E38:BP38,"MC")/2</f>
        <v>0</v>
      </c>
      <c r="BV38" s="3">
        <f>COUNTIF(E38:BP38,"EL")/2</f>
        <v>0</v>
      </c>
      <c r="BW38" s="3">
        <f>COUNTIF(E38:BP38,"AL")/2</f>
        <v>0</v>
      </c>
      <c r="BX38" s="3">
        <f>COUNTIF(E38:BP38,"SUS")/2</f>
        <v>0</v>
      </c>
      <c r="BY38" s="3">
        <f>COUNTIF(E38:BN38,"FL")/2</f>
        <v>0</v>
      </c>
      <c r="BZ38" s="3">
        <f>COUNTIF(E38:BP38,"SICK")/2</f>
        <v>0</v>
      </c>
      <c r="CA38" s="3">
        <f>COUNTIF(E38:BP38,"HD")/2</f>
        <v>0</v>
      </c>
      <c r="CB38" s="3">
        <f>COUNTIF(E38:BP38,"AB")/2</f>
        <v>0</v>
      </c>
      <c r="CC38" s="3">
        <f>COUNTIF(E38:BP38,"NL")/2</f>
        <v>0</v>
      </c>
      <c r="CD38" s="3">
        <f>COUNTIF(E38:BP38,"SP")/2</f>
        <v>0</v>
      </c>
      <c r="CE38" s="4"/>
      <c r="CH38" s="58">
        <v>0</v>
      </c>
      <c r="CI38" s="58">
        <v>0</v>
      </c>
      <c r="CJ38" s="58">
        <v>0</v>
      </c>
      <c r="CK38" s="58">
        <v>0</v>
      </c>
      <c r="CL38" s="58">
        <v>1</v>
      </c>
      <c r="CM38" s="58">
        <v>0</v>
      </c>
      <c r="CN38" s="58">
        <v>0</v>
      </c>
      <c r="CO38" s="58">
        <v>0</v>
      </c>
      <c r="CP38" s="58">
        <v>0</v>
      </c>
      <c r="CQ38" s="58">
        <v>0</v>
      </c>
      <c r="CR38" s="54">
        <f>SUM(CH38:CQ38)</f>
        <v>1</v>
      </c>
    </row>
    <row r="39" spans="1:96" ht="21.75" customHeight="1" x14ac:dyDescent="0.25">
      <c r="A39" s="46">
        <v>23</v>
      </c>
      <c r="B39" s="12" t="s">
        <v>84</v>
      </c>
      <c r="C39" s="98" t="s">
        <v>85</v>
      </c>
      <c r="D39" s="112">
        <v>39855</v>
      </c>
      <c r="E39" s="126">
        <v>0.57777777777777783</v>
      </c>
      <c r="F39" s="126">
        <v>0.95000000000000007</v>
      </c>
      <c r="G39" s="90">
        <v>0.35416666666666669</v>
      </c>
      <c r="H39" s="90">
        <v>0.97083333333333333</v>
      </c>
      <c r="I39" s="90">
        <v>0.3520833333333333</v>
      </c>
      <c r="J39" s="90">
        <v>0.95277777777777783</v>
      </c>
      <c r="K39" s="90">
        <v>0.35138888888888892</v>
      </c>
      <c r="L39" s="90">
        <v>0.9506944444444444</v>
      </c>
      <c r="M39" s="90">
        <v>0.3520833333333333</v>
      </c>
      <c r="N39" s="90">
        <v>0.94444444444444453</v>
      </c>
      <c r="O39" s="90">
        <v>0.35138888888888892</v>
      </c>
      <c r="P39" s="90">
        <v>0.94791666666666663</v>
      </c>
      <c r="Q39" s="90">
        <v>0.35069444444444442</v>
      </c>
      <c r="R39" s="90">
        <v>0.97152777777777777</v>
      </c>
      <c r="S39" s="120" t="s">
        <v>15</v>
      </c>
      <c r="T39" s="120" t="s">
        <v>15</v>
      </c>
      <c r="U39" s="90">
        <v>0.35069444444444442</v>
      </c>
      <c r="V39" s="90">
        <v>0.97083333333333333</v>
      </c>
      <c r="W39" s="90">
        <v>0.34930555555555554</v>
      </c>
      <c r="X39" s="90">
        <v>0.95138888888888884</v>
      </c>
      <c r="Y39" s="90">
        <v>0.35138888888888892</v>
      </c>
      <c r="Z39" s="90">
        <v>0.94374999999999998</v>
      </c>
      <c r="AA39" s="90">
        <v>0.35347222222222219</v>
      </c>
      <c r="AB39" s="90">
        <v>0.94236111111111109</v>
      </c>
      <c r="AC39" s="90">
        <v>0.34930555555555554</v>
      </c>
      <c r="AD39" s="90">
        <v>0.94513888888888886</v>
      </c>
      <c r="AE39" s="90">
        <v>0.35069444444444442</v>
      </c>
      <c r="AF39" s="90">
        <v>0.96875</v>
      </c>
      <c r="AG39" s="126">
        <v>0.57152777777777775</v>
      </c>
      <c r="AH39" s="126">
        <v>0.95416666666666661</v>
      </c>
      <c r="AJ39" s="123">
        <v>23</v>
      </c>
      <c r="AK39" s="90">
        <v>0.3520833333333333</v>
      </c>
      <c r="AL39" s="90">
        <v>0.96944444444444444</v>
      </c>
      <c r="AM39" s="90">
        <v>0.35069444444444442</v>
      </c>
      <c r="AN39" s="90">
        <v>0.95416666666666661</v>
      </c>
      <c r="AO39" s="90">
        <v>0.34930555555555554</v>
      </c>
      <c r="AP39" s="90">
        <v>0.9458333333333333</v>
      </c>
      <c r="AQ39" s="90">
        <v>0.3520833333333333</v>
      </c>
      <c r="AR39" s="90">
        <v>0.94444444444444453</v>
      </c>
      <c r="AS39" s="90">
        <v>0.34652777777777777</v>
      </c>
      <c r="AT39" s="90">
        <v>0.95138888888888884</v>
      </c>
      <c r="AU39" s="90">
        <v>0.35347222222222219</v>
      </c>
      <c r="AV39" s="90">
        <v>0.97499999999999998</v>
      </c>
      <c r="AW39" s="120" t="s">
        <v>15</v>
      </c>
      <c r="AX39" s="120" t="s">
        <v>15</v>
      </c>
      <c r="AY39" s="90">
        <v>0.36180555555555555</v>
      </c>
      <c r="AZ39" s="90">
        <v>0.96944444444444444</v>
      </c>
      <c r="BA39" s="90">
        <v>0.34861111111111115</v>
      </c>
      <c r="BB39" s="90">
        <v>0.95416666666666661</v>
      </c>
      <c r="BC39" s="90">
        <v>0.35138888888888892</v>
      </c>
      <c r="BD39" s="90">
        <v>0.96944444444444444</v>
      </c>
      <c r="BE39" s="90">
        <v>0.35486111111111113</v>
      </c>
      <c r="BF39" s="90">
        <v>0.96319444444444446</v>
      </c>
      <c r="BG39" s="120" t="s">
        <v>15</v>
      </c>
      <c r="BH39" s="120" t="s">
        <v>15</v>
      </c>
      <c r="BI39" s="90">
        <v>0.35902777777777778</v>
      </c>
      <c r="BJ39" s="91">
        <v>1</v>
      </c>
      <c r="BK39" s="126">
        <v>0.57638888888888895</v>
      </c>
      <c r="BL39" s="126">
        <v>0.95347222222222217</v>
      </c>
      <c r="BM39" s="90">
        <v>0.35347222222222219</v>
      </c>
      <c r="BN39" s="90">
        <v>0.96944444444444444</v>
      </c>
      <c r="BO39" s="90">
        <v>0.3520833333333333</v>
      </c>
      <c r="BP39" s="90">
        <v>0.9555555555555556</v>
      </c>
      <c r="BQ39" s="147">
        <f t="shared" si="28"/>
        <v>31</v>
      </c>
      <c r="BR39" s="81">
        <v>3</v>
      </c>
      <c r="BS39" s="2">
        <f t="shared" ref="BS39:BS100" si="29">COUNT(E39:AH39)/2+COUNT(AK39:BP39)/2</f>
        <v>28</v>
      </c>
      <c r="BT39" s="3">
        <f t="shared" ref="BT39:BT63" si="30">COUNTIF(E39:BP39,"OFF")/2</f>
        <v>3</v>
      </c>
      <c r="BU39" s="3">
        <f t="shared" ref="BU39:BU63" si="31">COUNTIF(E39:BP39,"MC")/2</f>
        <v>0</v>
      </c>
      <c r="BV39" s="3">
        <f t="shared" ref="BV39:BV63" si="32">COUNTIF(E39:BP39,"EL")/2</f>
        <v>0</v>
      </c>
      <c r="BW39" s="3">
        <f t="shared" ref="BW39:BW63" si="33">COUNTIF(E39:BP39,"AL")/2</f>
        <v>0</v>
      </c>
      <c r="BX39" s="3">
        <f t="shared" ref="BX39:BX63" si="34">COUNTIF(E39:BP39,"SUS")/2</f>
        <v>0</v>
      </c>
      <c r="BY39" s="3">
        <f t="shared" ref="BY39:BY63" si="35">COUNTIF(E39:BN39,"FL")/2</f>
        <v>0</v>
      </c>
      <c r="BZ39" s="3">
        <f t="shared" ref="BZ39:BZ102" si="36">COUNTIF(E39:BP39,"SICK")/2</f>
        <v>0</v>
      </c>
      <c r="CA39" s="3">
        <f>COUNTIF(E39:BN39,"HD")/2</f>
        <v>0</v>
      </c>
      <c r="CB39" s="3">
        <f>COUNTIF(E39:BN39,"AB")/2</f>
        <v>0</v>
      </c>
      <c r="CC39" s="3">
        <f>COUNTIF(E39:BN39,"NL")/2</f>
        <v>0</v>
      </c>
      <c r="CD39" s="3">
        <f>COUNTIF(E39:BN39,"SP")/2</f>
        <v>0</v>
      </c>
      <c r="CE39" s="4"/>
      <c r="CH39" s="58">
        <v>0</v>
      </c>
      <c r="CI39" s="58">
        <v>0</v>
      </c>
      <c r="CJ39" s="58">
        <v>0</v>
      </c>
      <c r="CK39" s="58">
        <v>0</v>
      </c>
      <c r="CL39" s="58">
        <v>0</v>
      </c>
      <c r="CM39" s="59">
        <v>2</v>
      </c>
      <c r="CN39" s="58">
        <v>0</v>
      </c>
      <c r="CO39" s="58">
        <v>0</v>
      </c>
      <c r="CP39" s="58">
        <v>0</v>
      </c>
      <c r="CQ39" s="58">
        <v>0</v>
      </c>
      <c r="CR39" s="54">
        <f t="shared" ref="CR39:CR40" si="37">SUM(CH39:CQ39)</f>
        <v>2</v>
      </c>
    </row>
    <row r="40" spans="1:96" ht="21.75" customHeight="1" x14ac:dyDescent="0.25">
      <c r="A40" s="46">
        <v>24</v>
      </c>
      <c r="B40" s="12" t="s">
        <v>86</v>
      </c>
      <c r="C40" s="98" t="s">
        <v>87</v>
      </c>
      <c r="D40" s="112">
        <v>43466</v>
      </c>
      <c r="E40" s="120" t="s">
        <v>15</v>
      </c>
      <c r="F40" s="120" t="s">
        <v>15</v>
      </c>
      <c r="G40" s="90">
        <v>0.35138888888888892</v>
      </c>
      <c r="H40" s="90">
        <v>0.96527777777777779</v>
      </c>
      <c r="I40" s="90">
        <v>0.35138888888888892</v>
      </c>
      <c r="J40" s="90">
        <v>0.94652777777777775</v>
      </c>
      <c r="K40" s="90">
        <v>0.35138888888888892</v>
      </c>
      <c r="L40" s="90">
        <v>0.9472222222222223</v>
      </c>
      <c r="M40" s="90">
        <v>0.3520833333333333</v>
      </c>
      <c r="N40" s="90">
        <v>0.94444444444444453</v>
      </c>
      <c r="O40" s="90">
        <v>0.35138888888888892</v>
      </c>
      <c r="P40" s="90">
        <v>0.94791666666666663</v>
      </c>
      <c r="Q40" s="90">
        <v>0.3520833333333333</v>
      </c>
      <c r="R40" s="90">
        <v>0.96875</v>
      </c>
      <c r="S40" s="126">
        <v>0.57986111111111105</v>
      </c>
      <c r="T40" s="126">
        <v>0.9604166666666667</v>
      </c>
      <c r="U40" s="90">
        <v>0.35138888888888892</v>
      </c>
      <c r="V40" s="90">
        <v>0.96319444444444446</v>
      </c>
      <c r="W40" s="90">
        <v>0.3520833333333333</v>
      </c>
      <c r="X40" s="90">
        <v>0.9458333333333333</v>
      </c>
      <c r="Y40" s="90">
        <v>0.3520833333333333</v>
      </c>
      <c r="Z40" s="90">
        <v>0.94305555555555554</v>
      </c>
      <c r="AA40" s="90">
        <v>0.35138888888888892</v>
      </c>
      <c r="AB40" s="90">
        <v>0.9472222222222223</v>
      </c>
      <c r="AC40" s="90">
        <v>0.35138888888888892</v>
      </c>
      <c r="AD40" s="90">
        <v>0.9472222222222223</v>
      </c>
      <c r="AE40" s="90">
        <v>0.35138888888888892</v>
      </c>
      <c r="AF40" s="90">
        <v>0.96875</v>
      </c>
      <c r="AG40" s="120" t="s">
        <v>15</v>
      </c>
      <c r="AH40" s="120" t="s">
        <v>15</v>
      </c>
      <c r="AJ40" s="123">
        <v>24</v>
      </c>
      <c r="AK40" s="90">
        <v>0.35138888888888892</v>
      </c>
      <c r="AL40" s="90">
        <v>0.96805555555555556</v>
      </c>
      <c r="AM40" s="90">
        <v>0.35138888888888892</v>
      </c>
      <c r="AN40" s="90">
        <v>0.94791666666666663</v>
      </c>
      <c r="AO40" s="90">
        <v>0.35138888888888892</v>
      </c>
      <c r="AP40" s="90">
        <v>0.9458333333333333</v>
      </c>
      <c r="AQ40" s="90">
        <v>0.3520833333333333</v>
      </c>
      <c r="AR40" s="90">
        <v>0.94305555555555554</v>
      </c>
      <c r="AS40" s="90">
        <v>0.35138888888888892</v>
      </c>
      <c r="AT40" s="90">
        <v>0.9472222222222223</v>
      </c>
      <c r="AU40" s="90">
        <v>0.35138888888888892</v>
      </c>
      <c r="AV40" s="90">
        <v>0.96458333333333324</v>
      </c>
      <c r="AW40" s="126">
        <v>0.57638888888888895</v>
      </c>
      <c r="AX40" s="126">
        <v>0.95138888888888884</v>
      </c>
      <c r="AY40" s="90">
        <v>0.35138888888888892</v>
      </c>
      <c r="AZ40" s="90">
        <v>0.96527777777777779</v>
      </c>
      <c r="BA40" s="90">
        <v>0.35069444444444442</v>
      </c>
      <c r="BB40" s="90">
        <v>0.9472222222222223</v>
      </c>
      <c r="BC40" s="90">
        <v>0.35138888888888892</v>
      </c>
      <c r="BD40" s="90">
        <v>0.95972222222222225</v>
      </c>
      <c r="BE40" s="90">
        <v>0.35069444444444442</v>
      </c>
      <c r="BF40" s="90">
        <v>0.96111111111111114</v>
      </c>
      <c r="BG40" s="120" t="s">
        <v>15</v>
      </c>
      <c r="BH40" s="120" t="s">
        <v>15</v>
      </c>
      <c r="BI40" s="90">
        <v>0.35069444444444442</v>
      </c>
      <c r="BJ40" s="91">
        <v>1</v>
      </c>
      <c r="BK40" s="120" t="s">
        <v>15</v>
      </c>
      <c r="BL40" s="120" t="s">
        <v>15</v>
      </c>
      <c r="BM40" s="90">
        <v>0.35138888888888892</v>
      </c>
      <c r="BN40" s="90">
        <v>0.9604166666666667</v>
      </c>
      <c r="BO40" s="90">
        <v>0.35138888888888892</v>
      </c>
      <c r="BP40" s="90">
        <v>0.9458333333333333</v>
      </c>
      <c r="BQ40" s="147">
        <f t="shared" si="28"/>
        <v>31</v>
      </c>
      <c r="BR40" s="81">
        <v>2</v>
      </c>
      <c r="BS40" s="2">
        <f t="shared" si="29"/>
        <v>27</v>
      </c>
      <c r="BT40" s="3">
        <f t="shared" si="30"/>
        <v>4</v>
      </c>
      <c r="BU40" s="3">
        <f t="shared" si="31"/>
        <v>0</v>
      </c>
      <c r="BV40" s="3">
        <f t="shared" si="32"/>
        <v>0</v>
      </c>
      <c r="BW40" s="3">
        <f t="shared" si="33"/>
        <v>0</v>
      </c>
      <c r="BX40" s="3">
        <f t="shared" si="34"/>
        <v>0</v>
      </c>
      <c r="BY40" s="3">
        <f t="shared" si="35"/>
        <v>0</v>
      </c>
      <c r="BZ40" s="3">
        <f t="shared" si="36"/>
        <v>0</v>
      </c>
      <c r="CA40" s="3">
        <f t="shared" ref="CA40:CA99" si="38">COUNTIF(E40:BN40,"HD")/2</f>
        <v>0</v>
      </c>
      <c r="CB40" s="3">
        <f t="shared" ref="CB40:CB99" si="39">COUNTIF(E40:BN40,"AB")/2</f>
        <v>0</v>
      </c>
      <c r="CC40" s="3">
        <f t="shared" ref="CC40:CC99" si="40">COUNTIF(E40:BN40,"NL")/2</f>
        <v>0</v>
      </c>
      <c r="CD40" s="3">
        <f t="shared" ref="CD40:CD99" si="41">COUNTIF(E40:BN40,"SP")/2</f>
        <v>0</v>
      </c>
      <c r="CE40" s="4"/>
      <c r="CH40" s="58">
        <v>0</v>
      </c>
      <c r="CI40" s="58">
        <v>0</v>
      </c>
      <c r="CJ40" s="58">
        <v>13</v>
      </c>
      <c r="CK40" s="58">
        <v>0</v>
      </c>
      <c r="CL40" s="58">
        <v>0</v>
      </c>
      <c r="CM40" s="58">
        <v>0</v>
      </c>
      <c r="CN40" s="58">
        <v>0</v>
      </c>
      <c r="CO40" s="58">
        <v>0</v>
      </c>
      <c r="CP40" s="58">
        <v>0</v>
      </c>
      <c r="CQ40" s="58">
        <v>0</v>
      </c>
      <c r="CR40" s="60">
        <f t="shared" si="37"/>
        <v>13</v>
      </c>
    </row>
    <row r="41" spans="1:96" ht="21.75" customHeight="1" x14ac:dyDescent="0.25">
      <c r="A41" s="46">
        <v>25</v>
      </c>
      <c r="B41" s="12" t="s">
        <v>209</v>
      </c>
      <c r="C41" s="101" t="s">
        <v>281</v>
      </c>
      <c r="D41" s="112">
        <v>43468</v>
      </c>
      <c r="E41" s="126">
        <v>0.57916666666666672</v>
      </c>
      <c r="F41" s="126">
        <v>0.99375000000000002</v>
      </c>
      <c r="G41" s="90">
        <v>0.34861111111111115</v>
      </c>
      <c r="H41" s="90">
        <v>0.96875</v>
      </c>
      <c r="I41" s="90">
        <v>0.34930555555555554</v>
      </c>
      <c r="J41" s="90">
        <v>0.93125000000000002</v>
      </c>
      <c r="K41" s="90">
        <v>0.34861111111111115</v>
      </c>
      <c r="L41" s="90">
        <v>0.9590277777777777</v>
      </c>
      <c r="M41" s="90">
        <v>0.35000000000000003</v>
      </c>
      <c r="N41" s="90">
        <v>0.94374999999999998</v>
      </c>
      <c r="O41" s="90">
        <v>0.34861111111111115</v>
      </c>
      <c r="P41" s="90">
        <v>0.96319444444444446</v>
      </c>
      <c r="Q41" s="90">
        <v>0.34861111111111115</v>
      </c>
      <c r="R41" s="90">
        <v>0.96944444444444444</v>
      </c>
      <c r="S41" s="120" t="s">
        <v>15</v>
      </c>
      <c r="T41" s="120" t="s">
        <v>15</v>
      </c>
      <c r="U41" s="90">
        <v>0.34930555555555554</v>
      </c>
      <c r="V41" s="90">
        <v>0.94930555555555562</v>
      </c>
      <c r="W41" s="90">
        <v>0.34930555555555554</v>
      </c>
      <c r="X41" s="90">
        <v>0.94513888888888886</v>
      </c>
      <c r="Y41" s="90">
        <v>0.35000000000000003</v>
      </c>
      <c r="Z41" s="90">
        <v>0.93888888888888899</v>
      </c>
      <c r="AA41" s="90">
        <v>0.35000000000000003</v>
      </c>
      <c r="AB41" s="90">
        <v>0.94097222222222221</v>
      </c>
      <c r="AC41" s="90">
        <v>0.34930555555555554</v>
      </c>
      <c r="AD41" s="90">
        <v>0.93402777777777779</v>
      </c>
      <c r="AE41" s="90">
        <v>0.34861111111111115</v>
      </c>
      <c r="AF41" s="90">
        <v>0.95694444444444438</v>
      </c>
      <c r="AG41" s="126">
        <v>0.57986111111111105</v>
      </c>
      <c r="AH41" s="126">
        <v>0.93125000000000002</v>
      </c>
      <c r="AJ41" s="123">
        <v>25</v>
      </c>
      <c r="AK41" s="90">
        <v>0.34930555555555554</v>
      </c>
      <c r="AL41" s="90">
        <v>0.95138888888888884</v>
      </c>
      <c r="AM41" s="90">
        <v>0.34930555555555554</v>
      </c>
      <c r="AN41" s="90">
        <v>0.95208333333333339</v>
      </c>
      <c r="AO41" s="90">
        <v>0.34861111111111115</v>
      </c>
      <c r="AP41" s="90">
        <v>0.93958333333333333</v>
      </c>
      <c r="AQ41" s="90">
        <v>0.34930555555555554</v>
      </c>
      <c r="AR41" s="90">
        <v>0.93888888888888899</v>
      </c>
      <c r="AS41" s="90">
        <v>0.34861111111111115</v>
      </c>
      <c r="AT41" s="90">
        <v>0.95000000000000007</v>
      </c>
      <c r="AU41" s="90">
        <v>0.34791666666666665</v>
      </c>
      <c r="AV41" s="90">
        <v>0.98472222222222217</v>
      </c>
      <c r="AW41" s="120" t="s">
        <v>15</v>
      </c>
      <c r="AX41" s="120" t="s">
        <v>15</v>
      </c>
      <c r="AY41" s="90">
        <v>0.34861111111111115</v>
      </c>
      <c r="AZ41" s="90">
        <v>0.97499999999999998</v>
      </c>
      <c r="BA41" s="90">
        <v>0.34861111111111115</v>
      </c>
      <c r="BB41" s="90">
        <v>1.9444444444444445E-2</v>
      </c>
      <c r="BC41" s="90">
        <v>0.34930555555555554</v>
      </c>
      <c r="BD41" s="90">
        <v>0.34930555555555554</v>
      </c>
      <c r="BE41" s="90">
        <v>0.34861111111111115</v>
      </c>
      <c r="BF41" s="90">
        <v>0.95763888888888893</v>
      </c>
      <c r="BG41" s="120" t="s">
        <v>15</v>
      </c>
      <c r="BH41" s="120" t="s">
        <v>15</v>
      </c>
      <c r="BI41" s="90">
        <v>0.34513888888888888</v>
      </c>
      <c r="BJ41" s="90">
        <v>0.99236111111111114</v>
      </c>
      <c r="BK41" s="126">
        <v>0.57777777777777783</v>
      </c>
      <c r="BL41" s="126">
        <v>0.93541666666666667</v>
      </c>
      <c r="BM41" s="90">
        <v>0.34930555555555554</v>
      </c>
      <c r="BN41" s="90">
        <v>0.95694444444444438</v>
      </c>
      <c r="BO41" s="90">
        <v>0.34930555555555554</v>
      </c>
      <c r="BP41" s="90">
        <v>0.96458333333333324</v>
      </c>
      <c r="BQ41" s="147">
        <f t="shared" si="28"/>
        <v>31</v>
      </c>
      <c r="BR41" s="81">
        <v>3</v>
      </c>
      <c r="BS41" s="2">
        <f t="shared" si="29"/>
        <v>28</v>
      </c>
      <c r="BT41" s="3">
        <f t="shared" si="30"/>
        <v>3</v>
      </c>
      <c r="BU41" s="3">
        <f t="shared" si="31"/>
        <v>0</v>
      </c>
      <c r="BV41" s="3">
        <f t="shared" si="32"/>
        <v>0</v>
      </c>
      <c r="BW41" s="3">
        <f t="shared" si="33"/>
        <v>0</v>
      </c>
      <c r="BX41" s="3">
        <f t="shared" si="34"/>
        <v>0</v>
      </c>
      <c r="BY41" s="3">
        <f t="shared" si="35"/>
        <v>0</v>
      </c>
      <c r="BZ41" s="3">
        <f t="shared" si="36"/>
        <v>0</v>
      </c>
      <c r="CA41" s="3">
        <f t="shared" si="38"/>
        <v>0</v>
      </c>
      <c r="CB41" s="3">
        <f t="shared" si="39"/>
        <v>0</v>
      </c>
      <c r="CC41" s="3">
        <f t="shared" si="40"/>
        <v>0</v>
      </c>
      <c r="CD41" s="3">
        <f t="shared" si="41"/>
        <v>0</v>
      </c>
      <c r="CE41" s="4"/>
      <c r="CH41" s="58">
        <v>0</v>
      </c>
      <c r="CI41" s="58">
        <v>0</v>
      </c>
      <c r="CJ41" s="59">
        <v>4</v>
      </c>
      <c r="CK41" s="58">
        <v>0</v>
      </c>
      <c r="CL41" s="58">
        <v>0</v>
      </c>
      <c r="CM41" s="59">
        <v>11</v>
      </c>
      <c r="CN41" s="58">
        <v>0</v>
      </c>
      <c r="CO41" s="59">
        <v>2</v>
      </c>
      <c r="CP41" s="58">
        <v>0</v>
      </c>
      <c r="CQ41" s="58">
        <v>0</v>
      </c>
      <c r="CR41" s="60">
        <f t="shared" ref="CR41:CR88" si="42">SUM(CH41:CQ41)</f>
        <v>17</v>
      </c>
    </row>
    <row r="42" spans="1:96" ht="21.75" customHeight="1" x14ac:dyDescent="0.25">
      <c r="A42" s="46">
        <v>26</v>
      </c>
      <c r="B42" s="12" t="s">
        <v>90</v>
      </c>
      <c r="C42" s="98" t="s">
        <v>91</v>
      </c>
      <c r="D42" s="112">
        <v>42522</v>
      </c>
      <c r="E42" s="126">
        <v>0.57847222222222217</v>
      </c>
      <c r="F42" s="126">
        <v>0.99305555555555547</v>
      </c>
      <c r="G42" s="90">
        <v>0.34861111111111115</v>
      </c>
      <c r="H42" s="90">
        <v>0.96944444444444444</v>
      </c>
      <c r="I42" s="90">
        <v>0.3520833333333333</v>
      </c>
      <c r="J42" s="90">
        <v>0.93611111111111101</v>
      </c>
      <c r="K42" s="90">
        <v>0.35000000000000003</v>
      </c>
      <c r="L42" s="90">
        <v>0.9590277777777777</v>
      </c>
      <c r="M42" s="90">
        <v>0.3520833333333333</v>
      </c>
      <c r="N42" s="91">
        <v>1</v>
      </c>
      <c r="O42" s="90">
        <v>0.34791666666666665</v>
      </c>
      <c r="P42" s="90">
        <v>0.96875</v>
      </c>
      <c r="Q42" s="90">
        <v>0.35138888888888892</v>
      </c>
      <c r="R42" s="90">
        <v>0.98333333333333339</v>
      </c>
      <c r="S42" s="120" t="s">
        <v>15</v>
      </c>
      <c r="T42" s="120" t="s">
        <v>15</v>
      </c>
      <c r="U42" s="90">
        <v>0.35000000000000003</v>
      </c>
      <c r="V42" s="91">
        <v>1</v>
      </c>
      <c r="W42" s="90">
        <v>0.35138888888888892</v>
      </c>
      <c r="X42" s="90">
        <v>0.94513888888888886</v>
      </c>
      <c r="Y42" s="90">
        <v>0.35000000000000003</v>
      </c>
      <c r="Z42" s="91">
        <v>1</v>
      </c>
      <c r="AA42" s="90">
        <v>0.35138888888888892</v>
      </c>
      <c r="AB42" s="91">
        <v>1</v>
      </c>
      <c r="AC42" s="90">
        <v>0.35069444444444442</v>
      </c>
      <c r="AD42" s="91">
        <v>1</v>
      </c>
      <c r="AE42" s="90">
        <v>0.35000000000000003</v>
      </c>
      <c r="AF42" s="90">
        <v>0.95972222222222225</v>
      </c>
      <c r="AG42" s="126">
        <v>0.56527777777777777</v>
      </c>
      <c r="AH42" s="127">
        <v>1</v>
      </c>
      <c r="AJ42" s="123">
        <v>26</v>
      </c>
      <c r="AK42" s="90">
        <v>0.35000000000000003</v>
      </c>
      <c r="AL42" s="90">
        <v>0.95138888888888884</v>
      </c>
      <c r="AM42" s="90">
        <v>0.35069444444444442</v>
      </c>
      <c r="AN42" s="90">
        <v>0.9458333333333333</v>
      </c>
      <c r="AO42" s="90">
        <v>0.3520833333333333</v>
      </c>
      <c r="AP42" s="90">
        <v>0.94444444444444453</v>
      </c>
      <c r="AQ42" s="90">
        <v>0.35069444444444442</v>
      </c>
      <c r="AR42" s="91">
        <v>1</v>
      </c>
      <c r="AS42" s="90">
        <v>0.35000000000000003</v>
      </c>
      <c r="AT42" s="91">
        <v>1</v>
      </c>
      <c r="AU42" s="90">
        <v>0.34791666666666665</v>
      </c>
      <c r="AV42" s="90">
        <v>0.98541666666666661</v>
      </c>
      <c r="AW42" s="120" t="s">
        <v>15</v>
      </c>
      <c r="AX42" s="120" t="s">
        <v>15</v>
      </c>
      <c r="AY42" s="90">
        <v>0.35069444444444442</v>
      </c>
      <c r="AZ42" s="90">
        <v>0.97916666666666663</v>
      </c>
      <c r="BA42" s="90">
        <v>0.34861111111111115</v>
      </c>
      <c r="BB42" s="90">
        <v>1.9444444444444445E-2</v>
      </c>
      <c r="BC42" s="90">
        <v>0.35069444444444442</v>
      </c>
      <c r="BD42" s="91">
        <v>1</v>
      </c>
      <c r="BE42" s="90">
        <v>0.56180555555555556</v>
      </c>
      <c r="BF42" s="91">
        <v>1</v>
      </c>
      <c r="BG42" s="120" t="s">
        <v>15</v>
      </c>
      <c r="BH42" s="120" t="s">
        <v>15</v>
      </c>
      <c r="BI42" s="90">
        <v>0.35347222222222219</v>
      </c>
      <c r="BJ42" s="91">
        <v>1</v>
      </c>
      <c r="BK42" s="126">
        <v>0.57777777777777783</v>
      </c>
      <c r="BL42" s="127">
        <v>1</v>
      </c>
      <c r="BM42" s="90">
        <v>0.35347222222222219</v>
      </c>
      <c r="BN42" s="91">
        <v>1</v>
      </c>
      <c r="BO42" s="90">
        <v>0.35000000000000003</v>
      </c>
      <c r="BP42" s="90">
        <v>0.35000000000000003</v>
      </c>
      <c r="BQ42" s="147">
        <f t="shared" si="28"/>
        <v>31</v>
      </c>
      <c r="BR42" s="81">
        <v>3</v>
      </c>
      <c r="BS42" s="2">
        <f t="shared" si="29"/>
        <v>28</v>
      </c>
      <c r="BT42" s="3">
        <f t="shared" si="30"/>
        <v>3</v>
      </c>
      <c r="BU42" s="3">
        <f t="shared" si="31"/>
        <v>0</v>
      </c>
      <c r="BV42" s="3">
        <f t="shared" si="32"/>
        <v>0</v>
      </c>
      <c r="BW42" s="3">
        <f t="shared" si="33"/>
        <v>0</v>
      </c>
      <c r="BX42" s="3">
        <f t="shared" si="34"/>
        <v>0</v>
      </c>
      <c r="BY42" s="3">
        <f t="shared" si="35"/>
        <v>0</v>
      </c>
      <c r="BZ42" s="3">
        <f t="shared" si="36"/>
        <v>0</v>
      </c>
      <c r="CA42" s="3">
        <f t="shared" si="38"/>
        <v>0</v>
      </c>
      <c r="CB42" s="3">
        <f t="shared" si="39"/>
        <v>0</v>
      </c>
      <c r="CC42" s="3">
        <f t="shared" si="40"/>
        <v>0</v>
      </c>
      <c r="CD42" s="3">
        <f t="shared" si="41"/>
        <v>0</v>
      </c>
      <c r="CE42" s="4"/>
      <c r="CH42" s="58">
        <v>0</v>
      </c>
      <c r="CI42" s="58">
        <v>0</v>
      </c>
      <c r="CJ42" s="58">
        <v>0</v>
      </c>
      <c r="CK42" s="58">
        <v>0</v>
      </c>
      <c r="CL42" s="58">
        <v>0</v>
      </c>
      <c r="CM42" s="59">
        <v>6</v>
      </c>
      <c r="CN42" s="58">
        <v>0</v>
      </c>
      <c r="CO42" s="58">
        <v>0</v>
      </c>
      <c r="CP42" s="58">
        <v>0</v>
      </c>
      <c r="CQ42" s="58">
        <v>0</v>
      </c>
      <c r="CR42" s="60">
        <f t="shared" si="42"/>
        <v>6</v>
      </c>
    </row>
    <row r="43" spans="1:96" ht="21.75" customHeight="1" x14ac:dyDescent="0.25">
      <c r="A43" s="46">
        <v>27</v>
      </c>
      <c r="B43" s="12" t="s">
        <v>92</v>
      </c>
      <c r="C43" s="98" t="s">
        <v>93</v>
      </c>
      <c r="D43" s="112">
        <v>42439</v>
      </c>
      <c r="E43" s="120" t="s">
        <v>15</v>
      </c>
      <c r="F43" s="120" t="s">
        <v>15</v>
      </c>
      <c r="G43" s="90">
        <v>0.35486111111111113</v>
      </c>
      <c r="H43" s="90">
        <v>0.92291666666666661</v>
      </c>
      <c r="I43" s="90" t="s">
        <v>183</v>
      </c>
      <c r="J43" s="90" t="s">
        <v>183</v>
      </c>
      <c r="K43" s="90" t="s">
        <v>183</v>
      </c>
      <c r="L43" s="90" t="s">
        <v>183</v>
      </c>
      <c r="M43" s="90">
        <v>0.35694444444444445</v>
      </c>
      <c r="N43" s="90">
        <v>0.90277777777777779</v>
      </c>
      <c r="O43" s="90">
        <v>0.35347222222222219</v>
      </c>
      <c r="P43" s="90">
        <v>0.9194444444444444</v>
      </c>
      <c r="Q43" s="90">
        <v>0.3520833333333333</v>
      </c>
      <c r="R43" s="90">
        <v>0.92847222222222225</v>
      </c>
      <c r="S43" s="126">
        <v>0.5805555555555556</v>
      </c>
      <c r="T43" s="126">
        <v>0.88680555555555562</v>
      </c>
      <c r="U43" s="90">
        <v>0.35694444444444445</v>
      </c>
      <c r="V43" s="90">
        <v>0.91041666666666676</v>
      </c>
      <c r="W43" s="90">
        <v>0.35486111111111113</v>
      </c>
      <c r="X43" s="90">
        <v>0.91319444444444453</v>
      </c>
      <c r="Y43" s="90">
        <v>0.35347222222222219</v>
      </c>
      <c r="Z43" s="90">
        <v>0.89930555555555547</v>
      </c>
      <c r="AA43" s="90">
        <v>0.35347222222222219</v>
      </c>
      <c r="AB43" s="90">
        <v>0.92291666666666661</v>
      </c>
      <c r="AC43" s="90">
        <v>0.35347222222222219</v>
      </c>
      <c r="AD43" s="90">
        <v>0.91666666666666663</v>
      </c>
      <c r="AE43" s="90">
        <v>0.35069444444444442</v>
      </c>
      <c r="AF43" s="90">
        <v>0.90138888888888891</v>
      </c>
      <c r="AG43" s="120" t="s">
        <v>15</v>
      </c>
      <c r="AH43" s="120" t="s">
        <v>15</v>
      </c>
      <c r="AJ43" s="123">
        <v>27</v>
      </c>
      <c r="AK43" s="90">
        <v>0.34861111111111115</v>
      </c>
      <c r="AL43" s="90">
        <v>0.93472222222222223</v>
      </c>
      <c r="AM43" s="90">
        <v>0.35347222222222219</v>
      </c>
      <c r="AN43" s="90">
        <v>0.95208333333333339</v>
      </c>
      <c r="AO43" s="90">
        <v>0.35138888888888892</v>
      </c>
      <c r="AP43" s="90">
        <v>0.9</v>
      </c>
      <c r="AQ43" s="90">
        <v>0.3520833333333333</v>
      </c>
      <c r="AR43" s="90">
        <v>0.91666666666666663</v>
      </c>
      <c r="AS43" s="90">
        <v>0.35416666666666669</v>
      </c>
      <c r="AT43" s="90">
        <v>0.90416666666666667</v>
      </c>
      <c r="AU43" s="90">
        <v>0.35555555555555557</v>
      </c>
      <c r="AV43" s="90">
        <v>0.89930555555555547</v>
      </c>
      <c r="AW43" s="126">
        <v>0.58333333333333337</v>
      </c>
      <c r="AX43" s="126">
        <v>0.91180555555555554</v>
      </c>
      <c r="AY43" s="90">
        <v>0.35000000000000003</v>
      </c>
      <c r="AZ43" s="90">
        <v>0.92638888888888893</v>
      </c>
      <c r="BA43" s="90">
        <v>0.34791666666666665</v>
      </c>
      <c r="BB43" s="90">
        <v>0.96875</v>
      </c>
      <c r="BC43" s="90">
        <v>0.35902777777777778</v>
      </c>
      <c r="BD43" s="90">
        <v>0.92152777777777783</v>
      </c>
      <c r="BE43" s="90">
        <v>0.36458333333333331</v>
      </c>
      <c r="BF43" s="90">
        <v>0.95347222222222217</v>
      </c>
      <c r="BG43" s="120" t="s">
        <v>15</v>
      </c>
      <c r="BH43" s="120" t="s">
        <v>15</v>
      </c>
      <c r="BI43" s="90">
        <v>0.35833333333333334</v>
      </c>
      <c r="BJ43" s="90">
        <v>0.8965277777777777</v>
      </c>
      <c r="BK43" s="120" t="s">
        <v>15</v>
      </c>
      <c r="BL43" s="120" t="s">
        <v>15</v>
      </c>
      <c r="BM43" s="90">
        <v>0.3520833333333333</v>
      </c>
      <c r="BN43" s="90">
        <v>0.94791666666666663</v>
      </c>
      <c r="BO43" s="90">
        <v>0.35486111111111113</v>
      </c>
      <c r="BP43" s="90">
        <v>0.91249999999999998</v>
      </c>
      <c r="BQ43" s="147">
        <f t="shared" si="28"/>
        <v>31</v>
      </c>
      <c r="BR43" s="81">
        <v>2</v>
      </c>
      <c r="BS43" s="2">
        <f t="shared" si="29"/>
        <v>25</v>
      </c>
      <c r="BT43" s="3">
        <f t="shared" si="30"/>
        <v>4</v>
      </c>
      <c r="BU43" s="3">
        <f t="shared" si="31"/>
        <v>0</v>
      </c>
      <c r="BV43" s="3">
        <f t="shared" si="32"/>
        <v>0</v>
      </c>
      <c r="BW43" s="3">
        <f t="shared" si="33"/>
        <v>0</v>
      </c>
      <c r="BX43" s="3">
        <f t="shared" si="34"/>
        <v>0</v>
      </c>
      <c r="BY43" s="3">
        <f t="shared" si="35"/>
        <v>0</v>
      </c>
      <c r="BZ43" s="3">
        <f t="shared" si="36"/>
        <v>2</v>
      </c>
      <c r="CA43" s="3">
        <f t="shared" si="38"/>
        <v>0</v>
      </c>
      <c r="CB43" s="3">
        <f t="shared" si="39"/>
        <v>0</v>
      </c>
      <c r="CC43" s="3">
        <f t="shared" si="40"/>
        <v>0</v>
      </c>
      <c r="CD43" s="3">
        <f t="shared" si="41"/>
        <v>0</v>
      </c>
      <c r="CE43" s="4"/>
      <c r="CH43" s="58">
        <v>0</v>
      </c>
      <c r="CI43" s="58">
        <v>0</v>
      </c>
      <c r="CJ43" s="58">
        <v>0</v>
      </c>
      <c r="CK43" s="58">
        <v>0</v>
      </c>
      <c r="CL43" s="58">
        <v>0</v>
      </c>
      <c r="CM43" s="59">
        <v>2</v>
      </c>
      <c r="CN43" s="58">
        <v>0</v>
      </c>
      <c r="CO43" s="59">
        <v>19</v>
      </c>
      <c r="CP43" s="58">
        <v>0</v>
      </c>
      <c r="CQ43" s="58">
        <v>0</v>
      </c>
      <c r="CR43" s="60">
        <f t="shared" si="42"/>
        <v>21</v>
      </c>
    </row>
    <row r="44" spans="1:96" ht="23.25" customHeight="1" x14ac:dyDescent="0.25">
      <c r="A44" s="46">
        <v>28</v>
      </c>
      <c r="B44" s="12" t="s">
        <v>94</v>
      </c>
      <c r="C44" s="98" t="s">
        <v>95</v>
      </c>
      <c r="D44" s="112">
        <v>43566</v>
      </c>
      <c r="E44" s="126">
        <v>0.56666666666666665</v>
      </c>
      <c r="F44" s="126">
        <v>0.98958333333333337</v>
      </c>
      <c r="G44" s="90">
        <v>0.3430555555555555</v>
      </c>
      <c r="H44" s="90">
        <v>0.95833333333333337</v>
      </c>
      <c r="I44" s="90">
        <v>0.3430555555555555</v>
      </c>
      <c r="J44" s="90">
        <v>0.92986111111111114</v>
      </c>
      <c r="K44" s="90">
        <v>0.3430555555555555</v>
      </c>
      <c r="L44" s="90">
        <v>0.95486111111111116</v>
      </c>
      <c r="M44" s="90">
        <v>0.35416666666666669</v>
      </c>
      <c r="N44" s="90">
        <v>0.93472222222222223</v>
      </c>
      <c r="O44" s="90">
        <v>0.34236111111111112</v>
      </c>
      <c r="P44" s="90">
        <v>0.96111111111111114</v>
      </c>
      <c r="Q44" s="90">
        <v>0.3430555555555555</v>
      </c>
      <c r="R44" s="90">
        <v>0.96527777777777779</v>
      </c>
      <c r="S44" s="120" t="s">
        <v>15</v>
      </c>
      <c r="T44" s="120" t="s">
        <v>15</v>
      </c>
      <c r="U44" s="90">
        <v>0.32916666666666666</v>
      </c>
      <c r="V44" s="90">
        <v>0.92708333333333337</v>
      </c>
      <c r="W44" s="90">
        <v>0.32847222222222222</v>
      </c>
      <c r="X44" s="90">
        <v>0.92013888888888884</v>
      </c>
      <c r="Y44" s="90">
        <v>0.32569444444444445</v>
      </c>
      <c r="Z44" s="90">
        <v>0.92083333333333339</v>
      </c>
      <c r="AA44" s="90">
        <v>0.3263888888888889</v>
      </c>
      <c r="AB44" s="90">
        <v>0.9277777777777777</v>
      </c>
      <c r="AC44" s="90">
        <v>0.32847222222222222</v>
      </c>
      <c r="AD44" s="90">
        <v>0.92847222222222225</v>
      </c>
      <c r="AE44" s="90">
        <v>0.3215277777777778</v>
      </c>
      <c r="AF44" s="90">
        <v>0.95000000000000007</v>
      </c>
      <c r="AG44" s="126">
        <v>0.58263888888888882</v>
      </c>
      <c r="AH44" s="126">
        <v>0.92708333333333337</v>
      </c>
      <c r="AJ44" s="123">
        <v>28</v>
      </c>
      <c r="AK44" s="90">
        <v>0.34236111111111112</v>
      </c>
      <c r="AL44" s="90">
        <v>0.94861111111111107</v>
      </c>
      <c r="AM44" s="90">
        <v>0.3430555555555555</v>
      </c>
      <c r="AN44" s="90">
        <v>0.94236111111111109</v>
      </c>
      <c r="AO44" s="90">
        <v>0.34236111111111112</v>
      </c>
      <c r="AP44" s="90">
        <v>0.9375</v>
      </c>
      <c r="AQ44" s="90">
        <v>0.3430555555555555</v>
      </c>
      <c r="AR44" s="90">
        <v>0.93125000000000002</v>
      </c>
      <c r="AS44" s="90">
        <v>0.34236111111111112</v>
      </c>
      <c r="AT44" s="90">
        <v>0.95138888888888884</v>
      </c>
      <c r="AU44" s="90">
        <v>0.34166666666666662</v>
      </c>
      <c r="AV44" s="90">
        <v>0.98472222222222217</v>
      </c>
      <c r="AW44" s="120" t="s">
        <v>15</v>
      </c>
      <c r="AX44" s="120" t="s">
        <v>15</v>
      </c>
      <c r="AY44" s="90">
        <v>0.34236111111111112</v>
      </c>
      <c r="AZ44" s="90">
        <v>0.9784722222222223</v>
      </c>
      <c r="BA44" s="90">
        <v>0.34236111111111112</v>
      </c>
      <c r="BB44" s="90">
        <v>1.1805555555555555E-2</v>
      </c>
      <c r="BC44" s="90">
        <v>0.34236111111111112</v>
      </c>
      <c r="BD44" s="91">
        <v>1</v>
      </c>
      <c r="BE44" s="90">
        <v>0.34097222222222223</v>
      </c>
      <c r="BF44" s="90">
        <v>0.94791666666666663</v>
      </c>
      <c r="BG44" s="120" t="s">
        <v>15</v>
      </c>
      <c r="BH44" s="120" t="s">
        <v>15</v>
      </c>
      <c r="BI44" s="90">
        <v>0.34375</v>
      </c>
      <c r="BJ44" s="90">
        <v>0.97986111111111107</v>
      </c>
      <c r="BK44" s="126">
        <v>0.58194444444444449</v>
      </c>
      <c r="BL44" s="126">
        <v>0.92569444444444438</v>
      </c>
      <c r="BM44" s="90">
        <v>0.34375</v>
      </c>
      <c r="BN44" s="90">
        <v>0.94305555555555554</v>
      </c>
      <c r="BO44" s="90">
        <v>0.3430555555555555</v>
      </c>
      <c r="BP44" s="90">
        <v>0.97916666666666663</v>
      </c>
      <c r="BQ44" s="147">
        <f t="shared" si="28"/>
        <v>31</v>
      </c>
      <c r="BR44" s="81">
        <v>3</v>
      </c>
      <c r="BS44" s="2">
        <f t="shared" si="29"/>
        <v>28</v>
      </c>
      <c r="BT44" s="3">
        <f t="shared" si="30"/>
        <v>3</v>
      </c>
      <c r="BU44" s="3">
        <f t="shared" si="31"/>
        <v>0</v>
      </c>
      <c r="BV44" s="3">
        <f t="shared" si="32"/>
        <v>0</v>
      </c>
      <c r="BW44" s="3">
        <f t="shared" si="33"/>
        <v>0</v>
      </c>
      <c r="BX44" s="3">
        <f t="shared" si="34"/>
        <v>0</v>
      </c>
      <c r="BY44" s="3">
        <f t="shared" si="35"/>
        <v>0</v>
      </c>
      <c r="BZ44" s="3">
        <f t="shared" si="36"/>
        <v>0</v>
      </c>
      <c r="CA44" s="3">
        <f t="shared" si="38"/>
        <v>0</v>
      </c>
      <c r="CB44" s="3">
        <f t="shared" si="39"/>
        <v>0</v>
      </c>
      <c r="CC44" s="3">
        <f t="shared" si="40"/>
        <v>0</v>
      </c>
      <c r="CD44" s="3">
        <f t="shared" si="41"/>
        <v>0</v>
      </c>
      <c r="CE44" s="4"/>
      <c r="CH44" s="58">
        <v>0</v>
      </c>
      <c r="CI44" s="58">
        <v>0</v>
      </c>
      <c r="CJ44" s="59">
        <v>80</v>
      </c>
      <c r="CK44" s="58">
        <v>0</v>
      </c>
      <c r="CL44" s="58">
        <v>0</v>
      </c>
      <c r="CM44" s="59">
        <v>11</v>
      </c>
      <c r="CN44" s="58">
        <v>0</v>
      </c>
      <c r="CO44" s="58">
        <v>0</v>
      </c>
      <c r="CP44" s="58">
        <v>0</v>
      </c>
      <c r="CQ44" s="58">
        <v>0</v>
      </c>
      <c r="CR44" s="60">
        <f t="shared" si="42"/>
        <v>91</v>
      </c>
    </row>
    <row r="45" spans="1:96" ht="21.75" customHeight="1" x14ac:dyDescent="0.25">
      <c r="A45" s="46">
        <v>29</v>
      </c>
      <c r="B45" s="12" t="s">
        <v>96</v>
      </c>
      <c r="C45" s="98" t="s">
        <v>97</v>
      </c>
      <c r="D45" s="112">
        <v>45707</v>
      </c>
      <c r="E45" s="120" t="s">
        <v>15</v>
      </c>
      <c r="F45" s="120" t="s">
        <v>15</v>
      </c>
      <c r="G45" s="90">
        <v>0.37361111111111112</v>
      </c>
      <c r="H45" s="90">
        <v>0.94513888888888886</v>
      </c>
      <c r="I45" s="90" t="s">
        <v>183</v>
      </c>
      <c r="J45" s="90" t="s">
        <v>183</v>
      </c>
      <c r="K45" s="90">
        <v>0.34791666666666665</v>
      </c>
      <c r="L45" s="91">
        <v>1</v>
      </c>
      <c r="M45" s="91">
        <v>1</v>
      </c>
      <c r="N45" s="91">
        <v>1</v>
      </c>
      <c r="O45" s="90">
        <v>0.3520833333333333</v>
      </c>
      <c r="P45" s="91">
        <v>1</v>
      </c>
      <c r="Q45" s="90">
        <v>0.3347222222222222</v>
      </c>
      <c r="R45" s="91">
        <v>1</v>
      </c>
      <c r="S45" s="126">
        <v>0.57013888888888886</v>
      </c>
      <c r="T45" s="127">
        <v>1</v>
      </c>
      <c r="U45" s="90">
        <v>0.3354166666666667</v>
      </c>
      <c r="V45" s="90">
        <v>0.9291666666666667</v>
      </c>
      <c r="W45" s="90">
        <v>0.33611111111111108</v>
      </c>
      <c r="X45" s="91">
        <v>1</v>
      </c>
      <c r="Y45" s="90">
        <v>0.32916666666666666</v>
      </c>
      <c r="Z45" s="90">
        <v>0.91736111111111107</v>
      </c>
      <c r="AA45" s="90">
        <v>0.3520833333333333</v>
      </c>
      <c r="AB45" s="91">
        <v>1</v>
      </c>
      <c r="AC45" s="90">
        <v>0.33055555555555555</v>
      </c>
      <c r="AD45" s="91">
        <v>1</v>
      </c>
      <c r="AE45" s="90">
        <v>0.33888888888888885</v>
      </c>
      <c r="AF45" s="91">
        <v>1</v>
      </c>
      <c r="AG45" s="120" t="s">
        <v>15</v>
      </c>
      <c r="AH45" s="120" t="s">
        <v>15</v>
      </c>
      <c r="AJ45" s="123">
        <v>29</v>
      </c>
      <c r="AK45" s="90">
        <v>0.35833333333333334</v>
      </c>
      <c r="AL45" s="91">
        <v>1</v>
      </c>
      <c r="AM45" s="90">
        <v>0.36874999999999997</v>
      </c>
      <c r="AN45" s="91">
        <v>1</v>
      </c>
      <c r="AO45" s="90">
        <v>0.34791666666666665</v>
      </c>
      <c r="AP45" s="91">
        <v>1</v>
      </c>
      <c r="AQ45" s="90">
        <v>0.3354166666666667</v>
      </c>
      <c r="AR45" s="91">
        <v>1</v>
      </c>
      <c r="AS45" s="90">
        <v>0.34722222222222227</v>
      </c>
      <c r="AT45" s="90">
        <v>0.93819444444444444</v>
      </c>
      <c r="AU45" s="90">
        <v>0.36180555555555555</v>
      </c>
      <c r="AV45" s="90">
        <v>0.93472222222222223</v>
      </c>
      <c r="AW45" s="126">
        <v>0.56319444444444444</v>
      </c>
      <c r="AX45" s="126">
        <v>0.94097222222222221</v>
      </c>
      <c r="AY45" s="90">
        <v>0.3527777777777778</v>
      </c>
      <c r="AZ45" s="91">
        <v>1</v>
      </c>
      <c r="BA45" s="90">
        <v>0.33124999999999999</v>
      </c>
      <c r="BB45" s="91">
        <v>1</v>
      </c>
      <c r="BC45" s="90">
        <v>0.3354166666666667</v>
      </c>
      <c r="BD45" s="91">
        <v>1</v>
      </c>
      <c r="BE45" s="90">
        <v>0.33194444444444443</v>
      </c>
      <c r="BF45" s="91">
        <v>1</v>
      </c>
      <c r="BG45" s="120" t="s">
        <v>15</v>
      </c>
      <c r="BH45" s="120" t="s">
        <v>15</v>
      </c>
      <c r="BI45" s="90">
        <v>0.32916666666666666</v>
      </c>
      <c r="BJ45" s="91">
        <v>1</v>
      </c>
      <c r="BK45" s="120" t="s">
        <v>15</v>
      </c>
      <c r="BL45" s="120" t="s">
        <v>15</v>
      </c>
      <c r="BM45" s="90">
        <v>0.35347222222222219</v>
      </c>
      <c r="BN45" s="90">
        <v>0.9555555555555556</v>
      </c>
      <c r="BO45" s="90">
        <v>0.3527777777777778</v>
      </c>
      <c r="BP45" s="91">
        <v>1</v>
      </c>
      <c r="BQ45" s="147">
        <f t="shared" si="28"/>
        <v>31</v>
      </c>
      <c r="BR45" s="81">
        <v>2</v>
      </c>
      <c r="BS45" s="2">
        <f t="shared" si="29"/>
        <v>26</v>
      </c>
      <c r="BT45" s="3">
        <f t="shared" si="30"/>
        <v>4</v>
      </c>
      <c r="BU45" s="3">
        <f t="shared" si="31"/>
        <v>0</v>
      </c>
      <c r="BV45" s="3">
        <f t="shared" si="32"/>
        <v>0</v>
      </c>
      <c r="BW45" s="3">
        <f t="shared" si="33"/>
        <v>0</v>
      </c>
      <c r="BX45" s="3">
        <f t="shared" si="34"/>
        <v>0</v>
      </c>
      <c r="BY45" s="3">
        <f t="shared" si="35"/>
        <v>0</v>
      </c>
      <c r="BZ45" s="3">
        <f t="shared" si="36"/>
        <v>1</v>
      </c>
      <c r="CA45" s="3">
        <f t="shared" si="38"/>
        <v>0</v>
      </c>
      <c r="CB45" s="3">
        <f t="shared" si="39"/>
        <v>0</v>
      </c>
      <c r="CC45" s="3">
        <f t="shared" si="40"/>
        <v>0</v>
      </c>
      <c r="CD45" s="3">
        <f t="shared" si="41"/>
        <v>0</v>
      </c>
      <c r="CE45" s="4"/>
      <c r="CH45" s="58">
        <v>0</v>
      </c>
      <c r="CI45" s="58">
        <v>0</v>
      </c>
      <c r="CJ45" s="58">
        <v>0</v>
      </c>
      <c r="CK45" s="59">
        <v>15</v>
      </c>
      <c r="CL45" s="58">
        <v>0</v>
      </c>
      <c r="CM45" s="59">
        <v>5</v>
      </c>
      <c r="CN45" s="59">
        <v>2</v>
      </c>
      <c r="CO45" s="59">
        <v>1</v>
      </c>
      <c r="CP45" s="58">
        <v>0</v>
      </c>
      <c r="CQ45" s="58">
        <v>0</v>
      </c>
      <c r="CR45" s="60">
        <f t="shared" si="42"/>
        <v>23</v>
      </c>
    </row>
    <row r="46" spans="1:96" ht="21.75" customHeight="1" x14ac:dyDescent="0.25">
      <c r="A46" s="46">
        <v>30</v>
      </c>
      <c r="B46" s="12" t="s">
        <v>98</v>
      </c>
      <c r="C46" s="98" t="s">
        <v>99</v>
      </c>
      <c r="D46" s="112">
        <v>42262</v>
      </c>
      <c r="E46" s="120" t="s">
        <v>15</v>
      </c>
      <c r="F46" s="120" t="s">
        <v>15</v>
      </c>
      <c r="G46" s="90">
        <v>0.96111111111111114</v>
      </c>
      <c r="H46" s="91">
        <v>1</v>
      </c>
      <c r="I46" s="90">
        <v>0.38472222222222219</v>
      </c>
      <c r="J46" s="91">
        <v>1</v>
      </c>
      <c r="K46" s="91">
        <v>1</v>
      </c>
      <c r="L46" s="91">
        <v>1</v>
      </c>
      <c r="M46" s="91">
        <v>1</v>
      </c>
      <c r="N46" s="91">
        <v>1</v>
      </c>
      <c r="O46" s="90">
        <v>0.3520833333333333</v>
      </c>
      <c r="P46" s="91">
        <v>1</v>
      </c>
      <c r="Q46" s="90">
        <v>0.33055555555555555</v>
      </c>
      <c r="R46" s="91">
        <v>1</v>
      </c>
      <c r="S46" s="126">
        <v>0.95624999999999993</v>
      </c>
      <c r="T46" s="126">
        <v>0.95624999999999993</v>
      </c>
      <c r="U46" s="90">
        <v>0.40625</v>
      </c>
      <c r="V46" s="91">
        <v>1</v>
      </c>
      <c r="W46" s="90">
        <v>0.35486111111111113</v>
      </c>
      <c r="X46" s="91">
        <v>1</v>
      </c>
      <c r="Y46" s="90">
        <v>0.34722222222222227</v>
      </c>
      <c r="Z46" s="91">
        <v>1</v>
      </c>
      <c r="AA46" s="90">
        <v>0.35625000000000001</v>
      </c>
      <c r="AB46" s="91">
        <v>1</v>
      </c>
      <c r="AC46" s="90">
        <v>0.39166666666666666</v>
      </c>
      <c r="AD46" s="90">
        <v>0.95763888888888893</v>
      </c>
      <c r="AE46" s="90">
        <v>0.38194444444444442</v>
      </c>
      <c r="AF46" s="91">
        <v>1</v>
      </c>
      <c r="AG46" s="126">
        <v>0.64166666666666672</v>
      </c>
      <c r="AH46" s="126">
        <v>0.93263888888888891</v>
      </c>
      <c r="AJ46" s="123">
        <v>30</v>
      </c>
      <c r="AK46" s="90">
        <v>0.96666666666666667</v>
      </c>
      <c r="AL46" s="91">
        <v>1</v>
      </c>
      <c r="AM46" s="90">
        <v>0.37708333333333338</v>
      </c>
      <c r="AN46" s="90">
        <v>0.9590277777777777</v>
      </c>
      <c r="AO46" s="90">
        <v>0.36458333333333331</v>
      </c>
      <c r="AP46" s="91">
        <v>1</v>
      </c>
      <c r="AQ46" s="90">
        <v>0.39166666666666666</v>
      </c>
      <c r="AR46" s="90">
        <v>0.9472222222222223</v>
      </c>
      <c r="AS46" s="90">
        <v>0.35555555555555557</v>
      </c>
      <c r="AT46" s="91">
        <v>1</v>
      </c>
      <c r="AU46" s="90">
        <v>0.36874999999999997</v>
      </c>
      <c r="AV46" s="91">
        <v>1</v>
      </c>
      <c r="AW46" s="126">
        <v>0.62152777777777779</v>
      </c>
      <c r="AX46" s="127">
        <v>1</v>
      </c>
      <c r="AY46" s="90">
        <v>0.92986111111111114</v>
      </c>
      <c r="AZ46" s="91">
        <v>1</v>
      </c>
      <c r="BA46" s="90">
        <v>0.38680555555555557</v>
      </c>
      <c r="BB46" s="91">
        <v>1</v>
      </c>
      <c r="BC46" s="90">
        <v>0.38194444444444442</v>
      </c>
      <c r="BD46" s="90">
        <v>0.9819444444444444</v>
      </c>
      <c r="BE46" s="90">
        <v>0.40416666666666662</v>
      </c>
      <c r="BF46" s="91">
        <v>1</v>
      </c>
      <c r="BG46" s="120">
        <v>1</v>
      </c>
      <c r="BH46" s="120">
        <v>1</v>
      </c>
      <c r="BI46" s="91">
        <v>1</v>
      </c>
      <c r="BJ46" s="91">
        <v>1</v>
      </c>
      <c r="BK46" s="120" t="s">
        <v>15</v>
      </c>
      <c r="BL46" s="120" t="s">
        <v>15</v>
      </c>
      <c r="BM46" s="90">
        <v>0.9506944444444444</v>
      </c>
      <c r="BN46" s="91">
        <v>1</v>
      </c>
      <c r="BO46" s="90">
        <v>0.40902777777777777</v>
      </c>
      <c r="BP46" s="91">
        <v>1</v>
      </c>
      <c r="BQ46" s="147">
        <f t="shared" si="28"/>
        <v>31</v>
      </c>
      <c r="BR46" s="81">
        <v>3</v>
      </c>
      <c r="BS46" s="2">
        <f t="shared" si="29"/>
        <v>29</v>
      </c>
      <c r="BT46" s="3">
        <f t="shared" si="30"/>
        <v>2</v>
      </c>
      <c r="BU46" s="3">
        <f t="shared" si="31"/>
        <v>0</v>
      </c>
      <c r="BV46" s="3">
        <f t="shared" si="32"/>
        <v>0</v>
      </c>
      <c r="BW46" s="3">
        <f t="shared" si="33"/>
        <v>0</v>
      </c>
      <c r="BX46" s="3">
        <f t="shared" si="34"/>
        <v>0</v>
      </c>
      <c r="BY46" s="3">
        <f t="shared" si="35"/>
        <v>0</v>
      </c>
      <c r="BZ46" s="3">
        <f t="shared" si="36"/>
        <v>0</v>
      </c>
      <c r="CA46" s="3">
        <f t="shared" si="38"/>
        <v>0</v>
      </c>
      <c r="CB46" s="3">
        <f t="shared" si="39"/>
        <v>0</v>
      </c>
      <c r="CC46" s="3">
        <f t="shared" si="40"/>
        <v>0</v>
      </c>
      <c r="CD46" s="3">
        <f t="shared" si="41"/>
        <v>0</v>
      </c>
      <c r="CE46" s="86" t="s">
        <v>283</v>
      </c>
      <c r="CH46" s="58">
        <v>0</v>
      </c>
      <c r="CI46" s="58">
        <v>0</v>
      </c>
      <c r="CJ46" s="58">
        <v>0</v>
      </c>
      <c r="CK46" s="58">
        <v>0</v>
      </c>
      <c r="CL46" s="58">
        <v>0</v>
      </c>
      <c r="CM46" s="59">
        <v>1</v>
      </c>
      <c r="CN46" s="59">
        <v>0</v>
      </c>
      <c r="CO46" s="59">
        <v>3</v>
      </c>
      <c r="CP46" s="58">
        <v>0</v>
      </c>
      <c r="CQ46" s="58">
        <v>0</v>
      </c>
      <c r="CR46" s="60">
        <f t="shared" si="42"/>
        <v>4</v>
      </c>
    </row>
    <row r="47" spans="1:96" ht="21.75" customHeight="1" x14ac:dyDescent="0.25">
      <c r="A47" s="46">
        <v>31</v>
      </c>
      <c r="B47" s="46" t="s">
        <v>104</v>
      </c>
      <c r="C47" s="98" t="s">
        <v>105</v>
      </c>
      <c r="D47" s="112">
        <v>44920</v>
      </c>
      <c r="E47" s="126">
        <v>0.58124999999999993</v>
      </c>
      <c r="F47" s="126">
        <v>0.9902777777777777</v>
      </c>
      <c r="G47" s="90">
        <v>0.34722222222222227</v>
      </c>
      <c r="H47" s="90">
        <v>0.97222222222222221</v>
      </c>
      <c r="I47" s="90">
        <v>0.35486111111111113</v>
      </c>
      <c r="J47" s="90">
        <v>0.9291666666666667</v>
      </c>
      <c r="K47" s="90">
        <v>0.35416666666666669</v>
      </c>
      <c r="L47" s="90">
        <v>0.95972222222222225</v>
      </c>
      <c r="M47" s="90">
        <v>0.35486111111111113</v>
      </c>
      <c r="N47" s="90">
        <v>0.93055555555555547</v>
      </c>
      <c r="O47" s="90">
        <v>0.35138888888888892</v>
      </c>
      <c r="P47" s="90">
        <v>0.96944444444444444</v>
      </c>
      <c r="Q47" s="90">
        <v>0.3527777777777778</v>
      </c>
      <c r="R47" s="91">
        <v>1</v>
      </c>
      <c r="S47" s="120" t="s">
        <v>15</v>
      </c>
      <c r="T47" s="120" t="s">
        <v>15</v>
      </c>
      <c r="U47" s="90">
        <v>0.35347222222222219</v>
      </c>
      <c r="V47" s="90">
        <v>0.94791666666666663</v>
      </c>
      <c r="W47" s="90">
        <v>0.35000000000000003</v>
      </c>
      <c r="X47" s="90">
        <v>0.95208333333333339</v>
      </c>
      <c r="Y47" s="90">
        <v>0.35069444444444442</v>
      </c>
      <c r="Z47" s="90">
        <v>0.93888888888888899</v>
      </c>
      <c r="AA47" s="90">
        <v>0.35138888888888892</v>
      </c>
      <c r="AB47" s="90">
        <v>0.93819444444444444</v>
      </c>
      <c r="AC47" s="90">
        <v>0.3527777777777778</v>
      </c>
      <c r="AD47" s="90">
        <v>0.95763888888888893</v>
      </c>
      <c r="AE47" s="90">
        <v>0.3520833333333333</v>
      </c>
      <c r="AF47" s="90">
        <v>0.95833333333333337</v>
      </c>
      <c r="AG47" s="126">
        <v>0.56597222222222221</v>
      </c>
      <c r="AH47" s="127">
        <v>1</v>
      </c>
      <c r="AJ47" s="123">
        <v>31</v>
      </c>
      <c r="AK47" s="90">
        <v>0.35347222222222219</v>
      </c>
      <c r="AL47" s="90">
        <v>0.9590277777777777</v>
      </c>
      <c r="AM47" s="90">
        <v>0.3527777777777778</v>
      </c>
      <c r="AN47" s="90">
        <v>0.95833333333333337</v>
      </c>
      <c r="AO47" s="90">
        <v>0.35138888888888892</v>
      </c>
      <c r="AP47" s="90">
        <v>0.94791666666666663</v>
      </c>
      <c r="AQ47" s="90">
        <v>0.35138888888888892</v>
      </c>
      <c r="AR47" s="90">
        <v>0.93819444444444444</v>
      </c>
      <c r="AS47" s="90">
        <v>0.35347222222222219</v>
      </c>
      <c r="AT47" s="90">
        <v>0.94236111111111109</v>
      </c>
      <c r="AU47" s="90">
        <v>0.35069444444444442</v>
      </c>
      <c r="AV47" s="91">
        <v>1</v>
      </c>
      <c r="AW47" s="120" t="s">
        <v>15</v>
      </c>
      <c r="AX47" s="120" t="s">
        <v>15</v>
      </c>
      <c r="AY47" s="90">
        <v>0.35555555555555557</v>
      </c>
      <c r="AZ47" s="90">
        <v>0.97916666666666663</v>
      </c>
      <c r="BA47" s="90">
        <v>0.3520833333333333</v>
      </c>
      <c r="BB47" s="90">
        <v>7.6388888888888886E-3</v>
      </c>
      <c r="BC47" s="90">
        <v>0.35416666666666669</v>
      </c>
      <c r="BD47" s="91">
        <v>1</v>
      </c>
      <c r="BE47" s="90">
        <v>0.40138888888888885</v>
      </c>
      <c r="BF47" s="90">
        <v>0.94236111111111109</v>
      </c>
      <c r="BG47" s="120" t="s">
        <v>15</v>
      </c>
      <c r="BH47" s="120" t="s">
        <v>15</v>
      </c>
      <c r="BI47" s="90">
        <v>0.34236111111111112</v>
      </c>
      <c r="BJ47" s="90">
        <v>0.96250000000000002</v>
      </c>
      <c r="BK47" s="126">
        <v>0.56111111111111112</v>
      </c>
      <c r="BL47" s="126">
        <v>0.91875000000000007</v>
      </c>
      <c r="BM47" s="90">
        <v>0.32847222222222222</v>
      </c>
      <c r="BN47" s="90">
        <v>0.93958333333333333</v>
      </c>
      <c r="BO47" s="90">
        <v>0.33333333333333331</v>
      </c>
      <c r="BP47" s="90">
        <v>0.9590277777777777</v>
      </c>
      <c r="BQ47" s="147">
        <f t="shared" si="28"/>
        <v>31</v>
      </c>
      <c r="BR47" s="81">
        <v>3</v>
      </c>
      <c r="BS47" s="2">
        <f t="shared" si="29"/>
        <v>28</v>
      </c>
      <c r="BT47" s="3">
        <f t="shared" si="30"/>
        <v>3</v>
      </c>
      <c r="BU47" s="3">
        <f t="shared" si="31"/>
        <v>0</v>
      </c>
      <c r="BV47" s="3">
        <f t="shared" si="32"/>
        <v>0</v>
      </c>
      <c r="BW47" s="3">
        <f t="shared" si="33"/>
        <v>0</v>
      </c>
      <c r="BX47" s="3">
        <f t="shared" si="34"/>
        <v>0</v>
      </c>
      <c r="BY47" s="3">
        <f t="shared" si="35"/>
        <v>0</v>
      </c>
      <c r="BZ47" s="3">
        <f t="shared" si="36"/>
        <v>0</v>
      </c>
      <c r="CA47" s="3">
        <f t="shared" si="38"/>
        <v>0</v>
      </c>
      <c r="CB47" s="3">
        <f t="shared" si="39"/>
        <v>0</v>
      </c>
      <c r="CC47" s="3">
        <f t="shared" si="40"/>
        <v>0</v>
      </c>
      <c r="CD47" s="3">
        <f t="shared" si="41"/>
        <v>0</v>
      </c>
      <c r="CE47" s="4"/>
      <c r="CH47" s="58">
        <v>0</v>
      </c>
      <c r="CI47" s="58">
        <v>0</v>
      </c>
      <c r="CJ47" s="59">
        <v>14</v>
      </c>
      <c r="CK47" s="58">
        <v>0</v>
      </c>
      <c r="CL47" s="58">
        <v>0</v>
      </c>
      <c r="CM47" s="59">
        <v>1</v>
      </c>
      <c r="CN47" s="59">
        <v>0</v>
      </c>
      <c r="CO47" s="58">
        <v>0</v>
      </c>
      <c r="CP47" s="58">
        <v>0</v>
      </c>
      <c r="CQ47" s="58">
        <v>0</v>
      </c>
      <c r="CR47" s="60">
        <f t="shared" si="42"/>
        <v>15</v>
      </c>
    </row>
    <row r="48" spans="1:96" ht="21.75" customHeight="1" x14ac:dyDescent="0.25">
      <c r="A48" s="46">
        <v>32</v>
      </c>
      <c r="B48" s="12" t="s">
        <v>106</v>
      </c>
      <c r="C48" s="98" t="s">
        <v>107</v>
      </c>
      <c r="D48" s="112">
        <v>44641</v>
      </c>
      <c r="E48" s="126">
        <v>0.58124999999999993</v>
      </c>
      <c r="F48" s="126">
        <v>0.99375000000000002</v>
      </c>
      <c r="G48" s="90">
        <v>0.34513888888888888</v>
      </c>
      <c r="H48" s="90">
        <v>0.96875</v>
      </c>
      <c r="I48" s="90">
        <v>0.34861111111111115</v>
      </c>
      <c r="J48" s="90">
        <v>0.9291666666666667</v>
      </c>
      <c r="K48" s="90">
        <v>0.34930555555555554</v>
      </c>
      <c r="L48" s="90">
        <v>0.9604166666666667</v>
      </c>
      <c r="M48" s="90">
        <v>0.3520833333333333</v>
      </c>
      <c r="N48" s="90">
        <v>0.93472222222222223</v>
      </c>
      <c r="O48" s="90">
        <v>0.35000000000000003</v>
      </c>
      <c r="P48" s="90">
        <v>0.96875</v>
      </c>
      <c r="Q48" s="90">
        <v>0.34375</v>
      </c>
      <c r="R48" s="90">
        <v>0.93958333333333333</v>
      </c>
      <c r="S48" s="120" t="s">
        <v>15</v>
      </c>
      <c r="T48" s="120" t="s">
        <v>15</v>
      </c>
      <c r="U48" s="90">
        <v>0.34791666666666665</v>
      </c>
      <c r="V48" s="90">
        <v>0.94166666666666676</v>
      </c>
      <c r="W48" s="90">
        <v>0.34652777777777777</v>
      </c>
      <c r="X48" s="90">
        <v>0.94444444444444453</v>
      </c>
      <c r="Y48" s="90">
        <v>0.34930555555555554</v>
      </c>
      <c r="Z48" s="90">
        <v>0.95138888888888884</v>
      </c>
      <c r="AA48" s="90">
        <v>0.35069444444444442</v>
      </c>
      <c r="AB48" s="90">
        <v>0.93680555555555556</v>
      </c>
      <c r="AC48" s="90">
        <v>0.3520833333333333</v>
      </c>
      <c r="AD48" s="90">
        <v>0.9375</v>
      </c>
      <c r="AE48" s="90">
        <v>0.34652777777777777</v>
      </c>
      <c r="AF48" s="90">
        <v>0.95833333333333337</v>
      </c>
      <c r="AG48" s="126">
        <v>0.57222222222222219</v>
      </c>
      <c r="AH48" s="126">
        <v>0.93055555555555547</v>
      </c>
      <c r="AJ48" s="123">
        <v>32</v>
      </c>
      <c r="AK48" s="90">
        <v>0.35138888888888892</v>
      </c>
      <c r="AL48" s="90">
        <v>0.94930555555555562</v>
      </c>
      <c r="AM48" s="90">
        <v>0.35138888888888892</v>
      </c>
      <c r="AN48" s="90">
        <v>0.95000000000000007</v>
      </c>
      <c r="AO48" s="90">
        <v>0.34722222222222227</v>
      </c>
      <c r="AP48" s="90">
        <v>0.94444444444444453</v>
      </c>
      <c r="AQ48" s="90">
        <v>0.34513888888888888</v>
      </c>
      <c r="AR48" s="90">
        <v>0.92986111111111114</v>
      </c>
      <c r="AS48" s="90">
        <v>0.35138888888888892</v>
      </c>
      <c r="AT48" s="90">
        <v>0.94930555555555562</v>
      </c>
      <c r="AU48" s="90">
        <v>0.35000000000000003</v>
      </c>
      <c r="AV48" s="90">
        <v>0.98541666666666661</v>
      </c>
      <c r="AW48" s="120" t="s">
        <v>15</v>
      </c>
      <c r="AX48" s="120" t="s">
        <v>15</v>
      </c>
      <c r="AY48" s="90">
        <v>0.34236111111111112</v>
      </c>
      <c r="AZ48" s="90">
        <v>0.97916666666666663</v>
      </c>
      <c r="BA48" s="90">
        <v>0.35138888888888892</v>
      </c>
      <c r="BB48" s="90">
        <v>1.7361111111111112E-2</v>
      </c>
      <c r="BC48" s="90">
        <v>0.35000000000000003</v>
      </c>
      <c r="BD48" s="91">
        <v>1</v>
      </c>
      <c r="BE48" s="90">
        <v>0.37777777777777777</v>
      </c>
      <c r="BF48" s="90">
        <v>0.92013888888888884</v>
      </c>
      <c r="BG48" s="120" t="s">
        <v>15</v>
      </c>
      <c r="BH48" s="120" t="s">
        <v>15</v>
      </c>
      <c r="BI48" s="90">
        <v>0.35138888888888892</v>
      </c>
      <c r="BJ48" s="90">
        <v>0.98958333333333337</v>
      </c>
      <c r="BK48" s="126">
        <v>0.57986111111111105</v>
      </c>
      <c r="BL48" s="126">
        <v>0.91805555555555562</v>
      </c>
      <c r="BM48" s="90">
        <v>0.34166666666666662</v>
      </c>
      <c r="BN48" s="90">
        <v>0.9472222222222223</v>
      </c>
      <c r="BO48" s="90">
        <v>0.34652777777777777</v>
      </c>
      <c r="BP48" s="90">
        <v>0.98055555555555562</v>
      </c>
      <c r="BQ48" s="147">
        <f t="shared" si="28"/>
        <v>31</v>
      </c>
      <c r="BR48" s="81">
        <v>3</v>
      </c>
      <c r="BS48" s="2">
        <f t="shared" si="29"/>
        <v>28</v>
      </c>
      <c r="BT48" s="3">
        <f t="shared" si="30"/>
        <v>3</v>
      </c>
      <c r="BU48" s="3">
        <f t="shared" si="31"/>
        <v>0</v>
      </c>
      <c r="BV48" s="3">
        <f t="shared" si="32"/>
        <v>0</v>
      </c>
      <c r="BW48" s="3">
        <f t="shared" si="33"/>
        <v>0</v>
      </c>
      <c r="BX48" s="3">
        <f t="shared" si="34"/>
        <v>0</v>
      </c>
      <c r="BY48" s="3">
        <f t="shared" si="35"/>
        <v>0</v>
      </c>
      <c r="BZ48" s="3">
        <f t="shared" si="36"/>
        <v>0</v>
      </c>
      <c r="CA48" s="3">
        <f t="shared" si="38"/>
        <v>0</v>
      </c>
      <c r="CB48" s="3">
        <f t="shared" si="39"/>
        <v>0</v>
      </c>
      <c r="CC48" s="3">
        <f t="shared" si="40"/>
        <v>0</v>
      </c>
      <c r="CD48" s="3">
        <f t="shared" si="41"/>
        <v>0</v>
      </c>
      <c r="CE48" s="4"/>
      <c r="CH48" s="58">
        <v>0</v>
      </c>
      <c r="CI48" s="58">
        <v>0</v>
      </c>
      <c r="CJ48" s="58">
        <v>0</v>
      </c>
      <c r="CK48" s="59">
        <v>8</v>
      </c>
      <c r="CL48" s="58">
        <v>0</v>
      </c>
      <c r="CM48" s="59">
        <v>3</v>
      </c>
      <c r="CN48" s="59">
        <v>0</v>
      </c>
      <c r="CO48" s="59">
        <v>4</v>
      </c>
      <c r="CP48" s="58">
        <v>0</v>
      </c>
      <c r="CQ48" s="58">
        <v>0</v>
      </c>
      <c r="CR48" s="60">
        <f t="shared" si="42"/>
        <v>15</v>
      </c>
    </row>
    <row r="49" spans="1:96" ht="21.75" customHeight="1" x14ac:dyDescent="0.25">
      <c r="A49" s="46">
        <v>33</v>
      </c>
      <c r="B49" s="12" t="s">
        <v>108</v>
      </c>
      <c r="C49" s="98" t="s">
        <v>109</v>
      </c>
      <c r="D49" s="112">
        <v>45283</v>
      </c>
      <c r="E49" s="126">
        <v>0.57986111111111105</v>
      </c>
      <c r="F49" s="126">
        <v>0.99305555555555547</v>
      </c>
      <c r="G49" s="90">
        <v>0.35069444444444442</v>
      </c>
      <c r="H49" s="90">
        <v>0.9590277777777777</v>
      </c>
      <c r="I49" s="90">
        <v>0.35555555555555557</v>
      </c>
      <c r="J49" s="90">
        <v>0.92847222222222225</v>
      </c>
      <c r="K49" s="90">
        <v>0.35694444444444445</v>
      </c>
      <c r="L49" s="90">
        <v>0.95972222222222225</v>
      </c>
      <c r="M49" s="90">
        <v>0.35486111111111113</v>
      </c>
      <c r="N49" s="90">
        <v>0.91666666666666663</v>
      </c>
      <c r="O49" s="90">
        <v>0.35486111111111113</v>
      </c>
      <c r="P49" s="90">
        <v>0.96875</v>
      </c>
      <c r="Q49" s="90">
        <v>0.35000000000000003</v>
      </c>
      <c r="R49" s="90">
        <v>0.92638888888888893</v>
      </c>
      <c r="S49" s="120" t="s">
        <v>15</v>
      </c>
      <c r="T49" s="120" t="s">
        <v>15</v>
      </c>
      <c r="U49" s="90">
        <v>0.35694444444444445</v>
      </c>
      <c r="V49" s="90">
        <v>0.93958333333333333</v>
      </c>
      <c r="W49" s="90">
        <v>0.3527777777777778</v>
      </c>
      <c r="X49" s="90">
        <v>0.93125000000000002</v>
      </c>
      <c r="Y49" s="90">
        <v>0.3527777777777778</v>
      </c>
      <c r="Z49" s="90">
        <v>0.91875000000000007</v>
      </c>
      <c r="AA49" s="90">
        <v>0.3527777777777778</v>
      </c>
      <c r="AB49" s="90">
        <v>0.93472222222222223</v>
      </c>
      <c r="AC49" s="90">
        <v>0.3527777777777778</v>
      </c>
      <c r="AD49" s="90">
        <v>0.93333333333333324</v>
      </c>
      <c r="AE49" s="90">
        <v>0.35555555555555557</v>
      </c>
      <c r="AF49" s="90">
        <v>0.95972222222222225</v>
      </c>
      <c r="AG49" s="126">
        <v>0.57500000000000007</v>
      </c>
      <c r="AH49" s="126">
        <v>0.9194444444444444</v>
      </c>
      <c r="AJ49" s="123">
        <v>33</v>
      </c>
      <c r="AK49" s="90">
        <v>0.35486111111111113</v>
      </c>
      <c r="AL49" s="90">
        <v>0.95138888888888884</v>
      </c>
      <c r="AM49" s="90">
        <v>0.35347222222222219</v>
      </c>
      <c r="AN49" s="90">
        <v>0.93819444444444444</v>
      </c>
      <c r="AO49" s="90">
        <v>0.3527777777777778</v>
      </c>
      <c r="AP49" s="90">
        <v>0.94444444444444453</v>
      </c>
      <c r="AQ49" s="90">
        <v>0.35486111111111113</v>
      </c>
      <c r="AR49" s="90">
        <v>0.92986111111111114</v>
      </c>
      <c r="AS49" s="90">
        <v>0.35486111111111113</v>
      </c>
      <c r="AT49" s="90">
        <v>0.92708333333333337</v>
      </c>
      <c r="AU49" s="90">
        <v>0.34930555555555554</v>
      </c>
      <c r="AV49" s="90">
        <v>0.98472222222222217</v>
      </c>
      <c r="AW49" s="120" t="s">
        <v>15</v>
      </c>
      <c r="AX49" s="120" t="s">
        <v>15</v>
      </c>
      <c r="AY49" s="90">
        <v>0.35833333333333334</v>
      </c>
      <c r="AZ49" s="90">
        <v>0.95138888888888884</v>
      </c>
      <c r="BA49" s="90">
        <v>0.35347222222222219</v>
      </c>
      <c r="BB49" s="90">
        <v>9.0277777777777787E-3</v>
      </c>
      <c r="BC49" s="90">
        <v>0.35486111111111113</v>
      </c>
      <c r="BD49" s="91">
        <v>1</v>
      </c>
      <c r="BE49" s="90">
        <v>0.4055555555555555</v>
      </c>
      <c r="BF49" s="90">
        <v>0.95138888888888884</v>
      </c>
      <c r="BG49" s="120" t="s">
        <v>15</v>
      </c>
      <c r="BH49" s="120" t="s">
        <v>15</v>
      </c>
      <c r="BI49" s="90">
        <v>0.35555555555555557</v>
      </c>
      <c r="BJ49" s="90">
        <v>0.9916666666666667</v>
      </c>
      <c r="BK49" s="126">
        <v>0.57777777777777783</v>
      </c>
      <c r="BL49" s="126">
        <v>0.91805555555555562</v>
      </c>
      <c r="BM49" s="90">
        <v>0.35486111111111113</v>
      </c>
      <c r="BN49" s="90">
        <v>0.9194444444444444</v>
      </c>
      <c r="BO49" s="90">
        <v>0.3527777777777778</v>
      </c>
      <c r="BP49" s="90">
        <v>0.94097222222222221</v>
      </c>
      <c r="BQ49" s="147">
        <f t="shared" si="28"/>
        <v>31</v>
      </c>
      <c r="BR49" s="81">
        <v>3</v>
      </c>
      <c r="BS49" s="2">
        <f t="shared" si="29"/>
        <v>28</v>
      </c>
      <c r="BT49" s="3">
        <f t="shared" si="30"/>
        <v>3</v>
      </c>
      <c r="BU49" s="3">
        <f t="shared" si="31"/>
        <v>0</v>
      </c>
      <c r="BV49" s="3">
        <f t="shared" si="32"/>
        <v>0</v>
      </c>
      <c r="BW49" s="3">
        <f t="shared" si="33"/>
        <v>0</v>
      </c>
      <c r="BX49" s="3">
        <f t="shared" si="34"/>
        <v>0</v>
      </c>
      <c r="BY49" s="3">
        <f t="shared" si="35"/>
        <v>0</v>
      </c>
      <c r="BZ49" s="3">
        <f t="shared" si="36"/>
        <v>0</v>
      </c>
      <c r="CA49" s="3">
        <f t="shared" si="38"/>
        <v>0</v>
      </c>
      <c r="CB49" s="3">
        <f t="shared" si="39"/>
        <v>0</v>
      </c>
      <c r="CC49" s="3">
        <f t="shared" si="40"/>
        <v>0</v>
      </c>
      <c r="CD49" s="3">
        <f t="shared" si="41"/>
        <v>0</v>
      </c>
      <c r="CE49" s="4"/>
      <c r="CH49" s="58">
        <v>0</v>
      </c>
      <c r="CI49" s="58">
        <v>0</v>
      </c>
      <c r="CJ49" s="58">
        <v>0</v>
      </c>
      <c r="CK49" s="58">
        <v>0</v>
      </c>
      <c r="CL49" s="58">
        <v>0</v>
      </c>
      <c r="CM49" s="59">
        <v>1</v>
      </c>
      <c r="CN49" s="59">
        <v>0</v>
      </c>
      <c r="CO49" s="59">
        <v>0</v>
      </c>
      <c r="CP49" s="58">
        <v>0</v>
      </c>
      <c r="CQ49" s="58">
        <v>0</v>
      </c>
      <c r="CR49" s="60">
        <f t="shared" si="42"/>
        <v>1</v>
      </c>
    </row>
    <row r="50" spans="1:96" ht="21.75" customHeight="1" x14ac:dyDescent="0.25">
      <c r="A50" s="46">
        <v>34</v>
      </c>
      <c r="B50" s="12" t="s">
        <v>110</v>
      </c>
      <c r="C50" s="98" t="s">
        <v>189</v>
      </c>
      <c r="D50" s="112">
        <v>44987</v>
      </c>
      <c r="E50" s="120" t="s">
        <v>15</v>
      </c>
      <c r="F50" s="120" t="s">
        <v>15</v>
      </c>
      <c r="G50" s="90">
        <v>0.3520833333333333</v>
      </c>
      <c r="H50" s="90">
        <v>0.93472222222222223</v>
      </c>
      <c r="I50" s="90">
        <v>0.3527777777777778</v>
      </c>
      <c r="J50" s="90">
        <v>0.89722222222222225</v>
      </c>
      <c r="K50" s="90">
        <v>0.3520833333333333</v>
      </c>
      <c r="L50" s="90">
        <v>0.91805555555555562</v>
      </c>
      <c r="M50" s="90">
        <v>0.3527777777777778</v>
      </c>
      <c r="N50" s="90">
        <v>0.90763888888888899</v>
      </c>
      <c r="O50" s="90">
        <v>0.3520833333333333</v>
      </c>
      <c r="P50" s="90">
        <v>0.91666666666666663</v>
      </c>
      <c r="Q50" s="90">
        <v>0.3520833333333333</v>
      </c>
      <c r="R50" s="90">
        <v>0.92847222222222225</v>
      </c>
      <c r="S50" s="126">
        <v>0.57638888888888895</v>
      </c>
      <c r="T50" s="126">
        <v>0.88541666666666663</v>
      </c>
      <c r="U50" s="90">
        <v>0.3520833333333333</v>
      </c>
      <c r="V50" s="90">
        <v>0.92569444444444438</v>
      </c>
      <c r="W50" s="90">
        <v>0.3520833333333333</v>
      </c>
      <c r="X50" s="90">
        <v>0.92569444444444438</v>
      </c>
      <c r="Y50" s="90">
        <v>0.35069444444444442</v>
      </c>
      <c r="Z50" s="90">
        <v>0.90347222222222223</v>
      </c>
      <c r="AA50" s="90">
        <v>0.3520833333333333</v>
      </c>
      <c r="AB50" s="90">
        <v>0.9194444444444444</v>
      </c>
      <c r="AC50" s="90">
        <v>0.35138888888888892</v>
      </c>
      <c r="AD50" s="90">
        <v>0.90069444444444446</v>
      </c>
      <c r="AE50" s="90">
        <v>0.35138888888888892</v>
      </c>
      <c r="AF50" s="90">
        <v>0.93194444444444446</v>
      </c>
      <c r="AG50" s="120" t="s">
        <v>15</v>
      </c>
      <c r="AH50" s="120" t="s">
        <v>15</v>
      </c>
      <c r="AJ50" s="123">
        <v>34</v>
      </c>
      <c r="AK50" s="90">
        <v>0.35138888888888892</v>
      </c>
      <c r="AL50" s="90">
        <v>0.93333333333333324</v>
      </c>
      <c r="AM50" s="90">
        <v>0.3520833333333333</v>
      </c>
      <c r="AN50" s="90">
        <v>0.91388888888888886</v>
      </c>
      <c r="AO50" s="90">
        <v>0.3520833333333333</v>
      </c>
      <c r="AP50" s="90">
        <v>0.9</v>
      </c>
      <c r="AQ50" s="90">
        <v>0.3520833333333333</v>
      </c>
      <c r="AR50" s="90">
        <v>0.91875000000000007</v>
      </c>
      <c r="AS50" s="90">
        <v>0.3527777777777778</v>
      </c>
      <c r="AT50" s="90">
        <v>0.90069444444444446</v>
      </c>
      <c r="AU50" s="90">
        <v>0.35138888888888892</v>
      </c>
      <c r="AV50" s="90">
        <v>0.9375</v>
      </c>
      <c r="AW50" s="126">
        <v>0.58124999999999993</v>
      </c>
      <c r="AX50" s="126">
        <v>0.89930555555555547</v>
      </c>
      <c r="AY50" s="90" t="s">
        <v>183</v>
      </c>
      <c r="AZ50" s="90" t="s">
        <v>183</v>
      </c>
      <c r="BA50" s="90">
        <v>0.35138888888888892</v>
      </c>
      <c r="BB50" s="90">
        <v>8.3333333333333332E-3</v>
      </c>
      <c r="BC50" s="90">
        <v>0.35416666666666669</v>
      </c>
      <c r="BD50" s="90">
        <v>0.99236111111111114</v>
      </c>
      <c r="BE50" s="90">
        <v>0.3527777777777778</v>
      </c>
      <c r="BF50" s="90">
        <v>0.9770833333333333</v>
      </c>
      <c r="BG50" s="120" t="s">
        <v>15</v>
      </c>
      <c r="BH50" s="120" t="s">
        <v>15</v>
      </c>
      <c r="BI50" s="90">
        <v>0.35138888888888892</v>
      </c>
      <c r="BJ50" s="90">
        <v>0.93333333333333324</v>
      </c>
      <c r="BK50" s="120" t="s">
        <v>15</v>
      </c>
      <c r="BL50" s="120" t="s">
        <v>15</v>
      </c>
      <c r="BM50" s="90">
        <v>0.3520833333333333</v>
      </c>
      <c r="BN50" s="90">
        <v>0.93819444444444444</v>
      </c>
      <c r="BO50" s="90">
        <v>0.3520833333333333</v>
      </c>
      <c r="BP50" s="90">
        <v>0.93541666666666667</v>
      </c>
      <c r="BQ50" s="147">
        <f t="shared" si="28"/>
        <v>31</v>
      </c>
      <c r="BR50" s="81">
        <v>2</v>
      </c>
      <c r="BS50" s="2">
        <f t="shared" si="29"/>
        <v>26</v>
      </c>
      <c r="BT50" s="3">
        <f t="shared" si="30"/>
        <v>4</v>
      </c>
      <c r="BU50" s="3">
        <f t="shared" si="31"/>
        <v>0</v>
      </c>
      <c r="BV50" s="3">
        <f t="shared" si="32"/>
        <v>0</v>
      </c>
      <c r="BW50" s="3">
        <f t="shared" si="33"/>
        <v>0</v>
      </c>
      <c r="BX50" s="3">
        <f t="shared" si="34"/>
        <v>0</v>
      </c>
      <c r="BY50" s="3">
        <f t="shared" si="35"/>
        <v>0</v>
      </c>
      <c r="BZ50" s="3">
        <f t="shared" si="36"/>
        <v>1</v>
      </c>
      <c r="CA50" s="3">
        <f t="shared" si="38"/>
        <v>0</v>
      </c>
      <c r="CB50" s="3">
        <f t="shared" si="39"/>
        <v>0</v>
      </c>
      <c r="CC50" s="3">
        <f t="shared" si="40"/>
        <v>0</v>
      </c>
      <c r="CD50" s="3">
        <f t="shared" si="41"/>
        <v>0</v>
      </c>
      <c r="CE50" s="4"/>
      <c r="CH50" s="58">
        <v>0</v>
      </c>
      <c r="CI50" s="58">
        <v>0</v>
      </c>
      <c r="CJ50" s="58">
        <v>0</v>
      </c>
      <c r="CK50" s="58">
        <v>0</v>
      </c>
      <c r="CL50" s="58">
        <v>0</v>
      </c>
      <c r="CM50" s="59">
        <v>3</v>
      </c>
      <c r="CN50" s="59">
        <v>0</v>
      </c>
      <c r="CO50" s="59">
        <v>0</v>
      </c>
      <c r="CP50" s="58">
        <v>0</v>
      </c>
      <c r="CQ50" s="58">
        <v>0</v>
      </c>
      <c r="CR50" s="60">
        <f t="shared" si="42"/>
        <v>3</v>
      </c>
    </row>
    <row r="51" spans="1:96" ht="21.75" customHeight="1" x14ac:dyDescent="0.25">
      <c r="A51" s="46">
        <v>35</v>
      </c>
      <c r="B51" s="12" t="s">
        <v>111</v>
      </c>
      <c r="C51" s="98" t="s">
        <v>112</v>
      </c>
      <c r="D51" s="112">
        <v>44990</v>
      </c>
      <c r="E51" s="126">
        <v>0.57986111111111105</v>
      </c>
      <c r="F51" s="126">
        <v>0.99375000000000002</v>
      </c>
      <c r="G51" s="90">
        <v>0.35347222222222219</v>
      </c>
      <c r="H51" s="90">
        <v>0.97013888888888899</v>
      </c>
      <c r="I51" s="90">
        <v>0.3527777777777778</v>
      </c>
      <c r="J51" s="90">
        <v>0.93055555555555547</v>
      </c>
      <c r="K51" s="90">
        <v>0.35486111111111113</v>
      </c>
      <c r="L51" s="90">
        <v>0.9590277777777777</v>
      </c>
      <c r="M51" s="90">
        <v>0.3520833333333333</v>
      </c>
      <c r="N51" s="90">
        <v>0.9375</v>
      </c>
      <c r="O51" s="90">
        <v>0.35138888888888892</v>
      </c>
      <c r="P51" s="91">
        <v>1</v>
      </c>
      <c r="Q51" s="90">
        <v>0.3527777777777778</v>
      </c>
      <c r="R51" s="90">
        <v>0.96597222222222223</v>
      </c>
      <c r="S51" s="120" t="s">
        <v>15</v>
      </c>
      <c r="T51" s="120" t="s">
        <v>15</v>
      </c>
      <c r="U51" s="90">
        <v>0.3527777777777778</v>
      </c>
      <c r="V51" s="90">
        <v>0.94166666666666676</v>
      </c>
      <c r="W51" s="90">
        <v>0.35347222222222219</v>
      </c>
      <c r="X51" s="90">
        <v>0.94513888888888886</v>
      </c>
      <c r="Y51" s="90">
        <v>0.3527777777777778</v>
      </c>
      <c r="Z51" s="90">
        <v>0.95208333333333339</v>
      </c>
      <c r="AA51" s="90">
        <v>0.35347222222222219</v>
      </c>
      <c r="AB51" s="90">
        <v>0.9375</v>
      </c>
      <c r="AC51" s="90">
        <v>0.35347222222222219</v>
      </c>
      <c r="AD51" s="90">
        <v>0.9375</v>
      </c>
      <c r="AE51" s="90">
        <v>0.3527777777777778</v>
      </c>
      <c r="AF51" s="90">
        <v>0.9590277777777777</v>
      </c>
      <c r="AG51" s="126">
        <v>0.58194444444444449</v>
      </c>
      <c r="AH51" s="126">
        <v>0.93055555555555547</v>
      </c>
      <c r="AJ51" s="123">
        <v>35</v>
      </c>
      <c r="AK51" s="90">
        <v>0.35347222222222219</v>
      </c>
      <c r="AL51" s="90">
        <v>0.9506944444444444</v>
      </c>
      <c r="AM51" s="90">
        <v>0.3527777777777778</v>
      </c>
      <c r="AN51" s="90">
        <v>0.95000000000000007</v>
      </c>
      <c r="AO51" s="90">
        <v>0.3527777777777778</v>
      </c>
      <c r="AP51" s="90">
        <v>0.94513888888888886</v>
      </c>
      <c r="AQ51" s="90">
        <v>0.35347222222222219</v>
      </c>
      <c r="AR51" s="90">
        <v>0.9375</v>
      </c>
      <c r="AS51" s="90">
        <v>0.35347222222222219</v>
      </c>
      <c r="AT51" s="90">
        <v>0.95000000000000007</v>
      </c>
      <c r="AU51" s="90">
        <v>0.35138888888888892</v>
      </c>
      <c r="AV51" s="90">
        <v>0.98541666666666661</v>
      </c>
      <c r="AW51" s="120" t="s">
        <v>15</v>
      </c>
      <c r="AX51" s="120" t="s">
        <v>15</v>
      </c>
      <c r="AY51" s="90">
        <v>0.3527777777777778</v>
      </c>
      <c r="AZ51" s="90">
        <v>0.97916666666666663</v>
      </c>
      <c r="BA51" s="90">
        <v>0.35347222222222219</v>
      </c>
      <c r="BB51" s="90">
        <v>2.013888888888889E-2</v>
      </c>
      <c r="BC51" s="90">
        <v>0.35347222222222219</v>
      </c>
      <c r="BD51" s="91">
        <v>1</v>
      </c>
      <c r="BE51" s="90">
        <v>0.3743055555555555</v>
      </c>
      <c r="BF51" s="90">
        <v>0.94305555555555554</v>
      </c>
      <c r="BG51" s="120" t="s">
        <v>15</v>
      </c>
      <c r="BH51" s="120" t="s">
        <v>15</v>
      </c>
      <c r="BI51" s="90">
        <v>0.3520833333333333</v>
      </c>
      <c r="BJ51" s="90">
        <v>0.97986111111111107</v>
      </c>
      <c r="BK51" s="126">
        <v>0.58194444444444449</v>
      </c>
      <c r="BL51" s="126">
        <v>0.91736111111111107</v>
      </c>
      <c r="BM51" s="90">
        <v>0.35416666666666669</v>
      </c>
      <c r="BN51" s="90">
        <v>0.94374999999999998</v>
      </c>
      <c r="BO51" s="90">
        <v>0.35486111111111113</v>
      </c>
      <c r="BP51" s="90">
        <v>0.9819444444444444</v>
      </c>
      <c r="BQ51" s="147">
        <f t="shared" si="28"/>
        <v>31</v>
      </c>
      <c r="BR51" s="81">
        <v>3</v>
      </c>
      <c r="BS51" s="2">
        <f t="shared" si="29"/>
        <v>28</v>
      </c>
      <c r="BT51" s="3">
        <f t="shared" si="30"/>
        <v>3</v>
      </c>
      <c r="BU51" s="3">
        <f t="shared" si="31"/>
        <v>0</v>
      </c>
      <c r="BV51" s="3">
        <f t="shared" si="32"/>
        <v>0</v>
      </c>
      <c r="BW51" s="3">
        <f t="shared" si="33"/>
        <v>0</v>
      </c>
      <c r="BX51" s="3">
        <f t="shared" si="34"/>
        <v>0</v>
      </c>
      <c r="BY51" s="3">
        <f t="shared" si="35"/>
        <v>0</v>
      </c>
      <c r="BZ51" s="3">
        <f t="shared" si="36"/>
        <v>0</v>
      </c>
      <c r="CA51" s="3">
        <f t="shared" si="38"/>
        <v>0</v>
      </c>
      <c r="CB51" s="3">
        <f t="shared" si="39"/>
        <v>0</v>
      </c>
      <c r="CC51" s="3">
        <f t="shared" si="40"/>
        <v>0</v>
      </c>
      <c r="CD51" s="3">
        <f t="shared" si="41"/>
        <v>0</v>
      </c>
      <c r="CE51" s="4"/>
      <c r="CH51" s="58">
        <v>0</v>
      </c>
      <c r="CI51" s="58">
        <v>0</v>
      </c>
      <c r="CJ51" s="58">
        <v>0</v>
      </c>
      <c r="CK51" s="58">
        <v>0</v>
      </c>
      <c r="CL51" s="58">
        <v>0</v>
      </c>
      <c r="CM51" s="59">
        <v>1</v>
      </c>
      <c r="CN51" s="59">
        <v>0</v>
      </c>
      <c r="CO51" s="59">
        <v>2</v>
      </c>
      <c r="CP51" s="58">
        <v>0</v>
      </c>
      <c r="CQ51" s="58">
        <v>0</v>
      </c>
      <c r="CR51" s="60">
        <f t="shared" si="42"/>
        <v>3</v>
      </c>
    </row>
    <row r="52" spans="1:96" ht="21.75" customHeight="1" x14ac:dyDescent="0.25">
      <c r="A52" s="46">
        <v>36</v>
      </c>
      <c r="B52" s="12" t="s">
        <v>114</v>
      </c>
      <c r="C52" s="98" t="s">
        <v>187</v>
      </c>
      <c r="D52" s="112">
        <v>45243</v>
      </c>
      <c r="E52" s="120" t="s">
        <v>15</v>
      </c>
      <c r="F52" s="120" t="s">
        <v>15</v>
      </c>
      <c r="G52" s="90">
        <v>0.34861111111111115</v>
      </c>
      <c r="H52" s="90">
        <v>0.95833333333333337</v>
      </c>
      <c r="I52" s="90">
        <v>0.3520833333333333</v>
      </c>
      <c r="J52" s="90">
        <v>0.9291666666666667</v>
      </c>
      <c r="K52" s="90">
        <v>0.3527777777777778</v>
      </c>
      <c r="L52" s="90">
        <v>0.95277777777777783</v>
      </c>
      <c r="M52" s="90">
        <v>0.35416666666666669</v>
      </c>
      <c r="N52" s="90">
        <v>0.93888888888888899</v>
      </c>
      <c r="O52" s="90">
        <v>0.35069444444444442</v>
      </c>
      <c r="P52" s="90">
        <v>0.9590277777777777</v>
      </c>
      <c r="Q52" s="90">
        <v>0.3527777777777778</v>
      </c>
      <c r="R52" s="90">
        <v>0.96597222222222223</v>
      </c>
      <c r="S52" s="126">
        <v>0.59027777777777779</v>
      </c>
      <c r="T52" s="126">
        <v>0.91736111111111107</v>
      </c>
      <c r="U52" s="90">
        <v>0.35416666666666669</v>
      </c>
      <c r="V52" s="90">
        <v>0.94027777777777777</v>
      </c>
      <c r="W52" s="90">
        <v>0.35486111111111113</v>
      </c>
      <c r="X52" s="90">
        <v>0.94374999999999998</v>
      </c>
      <c r="Y52" s="90">
        <v>0.35000000000000003</v>
      </c>
      <c r="Z52" s="90">
        <v>0.94652777777777775</v>
      </c>
      <c r="AA52" s="90">
        <v>0.3520833333333333</v>
      </c>
      <c r="AB52" s="90">
        <v>0.93819444444444444</v>
      </c>
      <c r="AC52" s="90">
        <v>0.34930555555555554</v>
      </c>
      <c r="AD52" s="90">
        <v>0.93611111111111101</v>
      </c>
      <c r="AE52" s="90">
        <v>0.35138888888888892</v>
      </c>
      <c r="AF52" s="90">
        <v>0.95763888888888893</v>
      </c>
      <c r="AG52" s="120" t="s">
        <v>15</v>
      </c>
      <c r="AH52" s="120" t="s">
        <v>15</v>
      </c>
      <c r="AJ52" s="123">
        <v>36</v>
      </c>
      <c r="AK52" s="90">
        <v>0.33055555555555555</v>
      </c>
      <c r="AL52" s="90">
        <v>0.91736111111111107</v>
      </c>
      <c r="AM52" s="90">
        <v>0.33263888888888887</v>
      </c>
      <c r="AN52" s="90">
        <v>0.92708333333333337</v>
      </c>
      <c r="AO52" s="90">
        <v>0.33263888888888887</v>
      </c>
      <c r="AP52" s="90">
        <v>0.93333333333333324</v>
      </c>
      <c r="AQ52" s="90">
        <v>0.33333333333333331</v>
      </c>
      <c r="AR52" s="90">
        <v>0.92986111111111114</v>
      </c>
      <c r="AS52" s="90">
        <v>0.32916666666666666</v>
      </c>
      <c r="AT52" s="90">
        <v>0.92291666666666661</v>
      </c>
      <c r="AU52" s="90">
        <v>0.33055555555555555</v>
      </c>
      <c r="AV52" s="90">
        <v>0.95416666666666661</v>
      </c>
      <c r="AW52" s="126">
        <v>0.57916666666666672</v>
      </c>
      <c r="AX52" s="126">
        <v>0.92986111111111114</v>
      </c>
      <c r="AY52" s="90">
        <v>0.35069444444444442</v>
      </c>
      <c r="AZ52" s="90">
        <v>0.96458333333333324</v>
      </c>
      <c r="BA52" s="90">
        <v>0.35000000000000003</v>
      </c>
      <c r="BB52" s="90">
        <v>8.3333333333333332E-3</v>
      </c>
      <c r="BC52" s="90">
        <v>0.39305555555555555</v>
      </c>
      <c r="BD52" s="90">
        <v>0.39305555555555555</v>
      </c>
      <c r="BE52" s="90">
        <v>0.35000000000000003</v>
      </c>
      <c r="BF52" s="90">
        <v>0.93888888888888899</v>
      </c>
      <c r="BG52" s="120" t="s">
        <v>15</v>
      </c>
      <c r="BH52" s="120" t="s">
        <v>15</v>
      </c>
      <c r="BI52" s="90">
        <v>0.3527777777777778</v>
      </c>
      <c r="BJ52" s="90">
        <v>0.96527777777777779</v>
      </c>
      <c r="BK52" s="120" t="s">
        <v>15</v>
      </c>
      <c r="BL52" s="120" t="s">
        <v>15</v>
      </c>
      <c r="BM52" s="90">
        <v>0.3520833333333333</v>
      </c>
      <c r="BN52" s="90">
        <v>0.9472222222222223</v>
      </c>
      <c r="BO52" s="90">
        <v>0.35416666666666669</v>
      </c>
      <c r="BP52" s="90">
        <v>0.95208333333333339</v>
      </c>
      <c r="BQ52" s="147">
        <f t="shared" si="28"/>
        <v>31</v>
      </c>
      <c r="BR52" s="81">
        <v>2</v>
      </c>
      <c r="BS52" s="2">
        <f t="shared" si="29"/>
        <v>27</v>
      </c>
      <c r="BT52" s="3">
        <f t="shared" si="30"/>
        <v>4</v>
      </c>
      <c r="BU52" s="3">
        <f t="shared" si="31"/>
        <v>0</v>
      </c>
      <c r="BV52" s="3">
        <f t="shared" si="32"/>
        <v>0</v>
      </c>
      <c r="BW52" s="3">
        <f t="shared" si="33"/>
        <v>0</v>
      </c>
      <c r="BX52" s="3">
        <f t="shared" si="34"/>
        <v>0</v>
      </c>
      <c r="BY52" s="3">
        <f t="shared" si="35"/>
        <v>0</v>
      </c>
      <c r="BZ52" s="3">
        <f t="shared" si="36"/>
        <v>0</v>
      </c>
      <c r="CA52" s="3">
        <f t="shared" si="38"/>
        <v>0</v>
      </c>
      <c r="CB52" s="3">
        <f t="shared" si="39"/>
        <v>0</v>
      </c>
      <c r="CC52" s="3">
        <f t="shared" si="40"/>
        <v>0</v>
      </c>
      <c r="CD52" s="3">
        <f t="shared" si="41"/>
        <v>0</v>
      </c>
      <c r="CE52" s="4"/>
      <c r="CH52" s="58">
        <v>0</v>
      </c>
      <c r="CI52" s="58">
        <v>0</v>
      </c>
      <c r="CJ52" s="58">
        <v>0</v>
      </c>
      <c r="CK52" s="58">
        <v>0</v>
      </c>
      <c r="CL52" s="58">
        <v>0</v>
      </c>
      <c r="CM52" s="58">
        <v>0</v>
      </c>
      <c r="CN52" s="58">
        <v>0</v>
      </c>
      <c r="CO52" s="58">
        <v>0</v>
      </c>
      <c r="CP52" s="58">
        <v>0</v>
      </c>
      <c r="CQ52" s="58">
        <v>0</v>
      </c>
      <c r="CR52" s="60">
        <f>SUM(CH52:CQ52)</f>
        <v>0</v>
      </c>
    </row>
    <row r="53" spans="1:96" ht="21.75" customHeight="1" x14ac:dyDescent="0.25">
      <c r="A53" s="46">
        <v>37</v>
      </c>
      <c r="B53" s="12" t="s">
        <v>120</v>
      </c>
      <c r="C53" s="98" t="s">
        <v>121</v>
      </c>
      <c r="D53" s="112">
        <v>45371</v>
      </c>
      <c r="E53" s="126">
        <v>0.57638888888888895</v>
      </c>
      <c r="F53" s="126">
        <v>0.94652777777777775</v>
      </c>
      <c r="G53" s="90">
        <v>0.34791666666666665</v>
      </c>
      <c r="H53" s="90">
        <v>0.9604166666666667</v>
      </c>
      <c r="I53" s="90">
        <v>0.3430555555555555</v>
      </c>
      <c r="J53" s="90">
        <v>0.94166666666666676</v>
      </c>
      <c r="K53" s="90">
        <v>0.33888888888888885</v>
      </c>
      <c r="L53" s="90">
        <v>0.96111111111111114</v>
      </c>
      <c r="M53" s="90">
        <v>0.94236111111111109</v>
      </c>
      <c r="N53" s="90">
        <v>0.94236111111111109</v>
      </c>
      <c r="O53" s="90">
        <v>0.34930555555555554</v>
      </c>
      <c r="P53" s="90">
        <v>0.96875</v>
      </c>
      <c r="Q53" s="90">
        <v>0.34583333333333338</v>
      </c>
      <c r="R53" s="90">
        <v>0.98541666666666661</v>
      </c>
      <c r="S53" s="120" t="s">
        <v>15</v>
      </c>
      <c r="T53" s="120" t="s">
        <v>15</v>
      </c>
      <c r="U53" s="90">
        <v>0.34375</v>
      </c>
      <c r="V53" s="90">
        <v>0.9555555555555556</v>
      </c>
      <c r="W53" s="90">
        <v>0.34861111111111115</v>
      </c>
      <c r="X53" s="90">
        <v>0.9458333333333333</v>
      </c>
      <c r="Y53" s="90">
        <v>0.34722222222222227</v>
      </c>
      <c r="Z53" s="90">
        <v>0.94236111111111109</v>
      </c>
      <c r="AA53" s="90">
        <v>0.33888888888888885</v>
      </c>
      <c r="AB53" s="90">
        <v>0.9472222222222223</v>
      </c>
      <c r="AC53" s="90">
        <v>0.3430555555555555</v>
      </c>
      <c r="AD53" s="90">
        <v>0.94513888888888886</v>
      </c>
      <c r="AE53" s="90">
        <v>0.34583333333333338</v>
      </c>
      <c r="AF53" s="90">
        <v>0.96180555555555547</v>
      </c>
      <c r="AG53" s="126">
        <v>0.5756944444444444</v>
      </c>
      <c r="AH53" s="126">
        <v>0.94097222222222221</v>
      </c>
      <c r="AJ53" s="123">
        <v>37</v>
      </c>
      <c r="AK53" s="90">
        <v>0.34513888888888888</v>
      </c>
      <c r="AL53" s="90">
        <v>0.95833333333333337</v>
      </c>
      <c r="AM53" s="90">
        <v>0.34375</v>
      </c>
      <c r="AN53" s="90">
        <v>0.94374999999999998</v>
      </c>
      <c r="AO53" s="90">
        <v>0.34375</v>
      </c>
      <c r="AP53" s="90">
        <v>0.94513888888888886</v>
      </c>
      <c r="AQ53" s="90">
        <v>0.33958333333333335</v>
      </c>
      <c r="AR53" s="90">
        <v>0.94027777777777777</v>
      </c>
      <c r="AS53" s="90">
        <v>0.34097222222222223</v>
      </c>
      <c r="AT53" s="90">
        <v>0.94166666666666676</v>
      </c>
      <c r="AU53" s="90">
        <v>0.34166666666666662</v>
      </c>
      <c r="AV53" s="90">
        <v>0.98541666666666661</v>
      </c>
      <c r="AW53" s="120" t="s">
        <v>15</v>
      </c>
      <c r="AX53" s="120" t="s">
        <v>15</v>
      </c>
      <c r="AY53" s="90">
        <v>0.34236111111111112</v>
      </c>
      <c r="AZ53" s="90">
        <v>0.98055555555555562</v>
      </c>
      <c r="BA53" s="90">
        <v>0.3444444444444445</v>
      </c>
      <c r="BB53" s="90">
        <v>0.99861111111111101</v>
      </c>
      <c r="BC53" s="90">
        <v>0.34375</v>
      </c>
      <c r="BD53" s="90">
        <v>0.99722222222222223</v>
      </c>
      <c r="BE53" s="90">
        <v>0.33958333333333335</v>
      </c>
      <c r="BF53" s="90">
        <v>0.95972222222222225</v>
      </c>
      <c r="BG53" s="120" t="s">
        <v>15</v>
      </c>
      <c r="BH53" s="120" t="s">
        <v>15</v>
      </c>
      <c r="BI53" s="90">
        <v>0.34583333333333338</v>
      </c>
      <c r="BJ53" s="90">
        <v>0.95833333333333337</v>
      </c>
      <c r="BK53" s="126">
        <v>0.57152777777777775</v>
      </c>
      <c r="BL53" s="126">
        <v>0.94097222222222221</v>
      </c>
      <c r="BM53" s="90">
        <v>0.3444444444444445</v>
      </c>
      <c r="BN53" s="90">
        <v>0.95833333333333337</v>
      </c>
      <c r="BO53" s="90">
        <v>0.34513888888888888</v>
      </c>
      <c r="BP53" s="90">
        <v>0.95208333333333339</v>
      </c>
      <c r="BQ53" s="147">
        <f t="shared" si="28"/>
        <v>31</v>
      </c>
      <c r="BR53" s="81">
        <v>3</v>
      </c>
      <c r="BS53" s="2">
        <f t="shared" si="29"/>
        <v>28</v>
      </c>
      <c r="BT53" s="3">
        <f t="shared" si="30"/>
        <v>3</v>
      </c>
      <c r="BU53" s="3">
        <f t="shared" si="31"/>
        <v>0</v>
      </c>
      <c r="BV53" s="3">
        <f t="shared" si="32"/>
        <v>0</v>
      </c>
      <c r="BW53" s="3">
        <f t="shared" si="33"/>
        <v>0</v>
      </c>
      <c r="BX53" s="3">
        <f t="shared" si="34"/>
        <v>0</v>
      </c>
      <c r="BY53" s="3">
        <f t="shared" si="35"/>
        <v>0</v>
      </c>
      <c r="BZ53" s="3">
        <f t="shared" si="36"/>
        <v>0</v>
      </c>
      <c r="CA53" s="3">
        <f t="shared" si="38"/>
        <v>0</v>
      </c>
      <c r="CB53" s="3">
        <f t="shared" si="39"/>
        <v>0</v>
      </c>
      <c r="CC53" s="3">
        <f t="shared" si="40"/>
        <v>0</v>
      </c>
      <c r="CD53" s="3">
        <f t="shared" si="41"/>
        <v>0</v>
      </c>
      <c r="CE53" s="4"/>
      <c r="CH53" s="58">
        <v>0</v>
      </c>
      <c r="CI53" s="58">
        <v>0</v>
      </c>
      <c r="CJ53" s="58">
        <v>0</v>
      </c>
      <c r="CK53" s="58">
        <v>0</v>
      </c>
      <c r="CL53" s="58">
        <v>0</v>
      </c>
      <c r="CM53" s="58">
        <v>7</v>
      </c>
      <c r="CN53" s="59">
        <v>0</v>
      </c>
      <c r="CO53" s="59">
        <v>4</v>
      </c>
      <c r="CP53" s="58">
        <v>0</v>
      </c>
      <c r="CQ53" s="58">
        <v>0</v>
      </c>
      <c r="CR53" s="60">
        <f t="shared" si="42"/>
        <v>11</v>
      </c>
    </row>
    <row r="54" spans="1:96" ht="21.75" customHeight="1" x14ac:dyDescent="0.25">
      <c r="A54" s="46">
        <v>38</v>
      </c>
      <c r="B54" s="53" t="s">
        <v>202</v>
      </c>
      <c r="C54" s="102" t="s">
        <v>201</v>
      </c>
      <c r="D54" s="112">
        <v>45371</v>
      </c>
      <c r="E54" s="120" t="s">
        <v>15</v>
      </c>
      <c r="F54" s="120" t="s">
        <v>15</v>
      </c>
      <c r="G54" s="90">
        <v>0.34861111111111115</v>
      </c>
      <c r="H54" s="90">
        <v>0.91111111111111109</v>
      </c>
      <c r="I54" s="90">
        <v>0.34375</v>
      </c>
      <c r="J54" s="90">
        <v>0.93055555555555547</v>
      </c>
      <c r="K54" s="90" t="s">
        <v>183</v>
      </c>
      <c r="L54" s="90" t="s">
        <v>183</v>
      </c>
      <c r="M54" s="90" t="s">
        <v>183</v>
      </c>
      <c r="N54" s="90" t="s">
        <v>183</v>
      </c>
      <c r="O54" s="90">
        <v>0.34791666666666665</v>
      </c>
      <c r="P54" s="90">
        <v>0.93888888888888899</v>
      </c>
      <c r="Q54" s="90">
        <v>0.34583333333333338</v>
      </c>
      <c r="R54" s="91">
        <v>1</v>
      </c>
      <c r="S54" s="126">
        <v>0.56666666666666665</v>
      </c>
      <c r="T54" s="126">
        <v>0.88263888888888886</v>
      </c>
      <c r="U54" s="90">
        <v>0.34652777777777777</v>
      </c>
      <c r="V54" s="90">
        <v>0.90972222222222221</v>
      </c>
      <c r="W54" s="90">
        <v>0.34722222222222227</v>
      </c>
      <c r="X54" s="90">
        <v>0.90625</v>
      </c>
      <c r="Y54" s="90">
        <v>0.34791666666666665</v>
      </c>
      <c r="Z54" s="90">
        <v>0.90694444444444444</v>
      </c>
      <c r="AA54" s="90">
        <v>0.34791666666666665</v>
      </c>
      <c r="AB54" s="91">
        <v>1</v>
      </c>
      <c r="AC54" s="90">
        <v>0.34375</v>
      </c>
      <c r="AD54" s="91">
        <v>1</v>
      </c>
      <c r="AE54" s="90">
        <v>0.34236111111111112</v>
      </c>
      <c r="AF54" s="90">
        <v>0.9145833333333333</v>
      </c>
      <c r="AG54" s="120" t="s">
        <v>15</v>
      </c>
      <c r="AH54" s="120" t="s">
        <v>15</v>
      </c>
      <c r="AJ54" s="123">
        <v>38</v>
      </c>
      <c r="AK54" s="90">
        <v>0.34513888888888888</v>
      </c>
      <c r="AL54" s="90">
        <v>0.93958333333333333</v>
      </c>
      <c r="AM54" s="90">
        <v>0.34791666666666665</v>
      </c>
      <c r="AN54" s="91">
        <v>1</v>
      </c>
      <c r="AO54" s="90">
        <v>0.34930555555555554</v>
      </c>
      <c r="AP54" s="90">
        <v>0.91388888888888886</v>
      </c>
      <c r="AQ54" s="90">
        <v>0.34652777777777777</v>
      </c>
      <c r="AR54" s="90">
        <v>0.92638888888888893</v>
      </c>
      <c r="AS54" s="90">
        <v>0.34861111111111115</v>
      </c>
      <c r="AT54" s="90">
        <v>0.9243055555555556</v>
      </c>
      <c r="AU54" s="90">
        <v>0.34166666666666662</v>
      </c>
      <c r="AV54" s="90">
        <v>0.91180555555555554</v>
      </c>
      <c r="AW54" s="126">
        <v>0.57361111111111118</v>
      </c>
      <c r="AX54" s="127">
        <v>1</v>
      </c>
      <c r="AY54" s="90">
        <v>0.35486111111111113</v>
      </c>
      <c r="AZ54" s="91">
        <v>1</v>
      </c>
      <c r="BA54" s="90">
        <v>0.34722222222222227</v>
      </c>
      <c r="BB54" s="90">
        <v>0.95416666666666661</v>
      </c>
      <c r="BC54" s="90">
        <v>0.34652777777777777</v>
      </c>
      <c r="BD54" s="90">
        <v>0.99097222222222225</v>
      </c>
      <c r="BE54" s="90">
        <v>0.34861111111111115</v>
      </c>
      <c r="BF54" s="91">
        <v>1</v>
      </c>
      <c r="BG54" s="120" t="s">
        <v>15</v>
      </c>
      <c r="BH54" s="120" t="s">
        <v>15</v>
      </c>
      <c r="BI54" s="90">
        <v>0.35138888888888892</v>
      </c>
      <c r="BJ54" s="90">
        <v>0.93888888888888899</v>
      </c>
      <c r="BK54" s="120" t="s">
        <v>15</v>
      </c>
      <c r="BL54" s="120" t="s">
        <v>15</v>
      </c>
      <c r="BM54" s="90">
        <v>0.34930555555555554</v>
      </c>
      <c r="BN54" s="90">
        <v>0.90138888888888891</v>
      </c>
      <c r="BO54" s="90">
        <v>0.34861111111111115</v>
      </c>
      <c r="BP54" s="90">
        <v>0.93680555555555556</v>
      </c>
      <c r="BQ54" s="147">
        <f t="shared" si="28"/>
        <v>31</v>
      </c>
      <c r="BR54" s="81">
        <v>2</v>
      </c>
      <c r="BS54" s="2">
        <f t="shared" si="29"/>
        <v>25</v>
      </c>
      <c r="BT54" s="3">
        <f t="shared" si="30"/>
        <v>4</v>
      </c>
      <c r="BU54" s="3">
        <f t="shared" si="31"/>
        <v>0</v>
      </c>
      <c r="BV54" s="3">
        <f t="shared" si="32"/>
        <v>0</v>
      </c>
      <c r="BW54" s="3">
        <f t="shared" si="33"/>
        <v>0</v>
      </c>
      <c r="BX54" s="3">
        <f t="shared" si="34"/>
        <v>0</v>
      </c>
      <c r="BY54" s="3">
        <f t="shared" si="35"/>
        <v>0</v>
      </c>
      <c r="BZ54" s="3">
        <f t="shared" si="36"/>
        <v>2</v>
      </c>
      <c r="CA54" s="3">
        <f t="shared" si="38"/>
        <v>0</v>
      </c>
      <c r="CB54" s="3">
        <f t="shared" si="39"/>
        <v>0</v>
      </c>
      <c r="CC54" s="3">
        <f t="shared" si="40"/>
        <v>0</v>
      </c>
      <c r="CD54" s="3">
        <f t="shared" si="41"/>
        <v>0</v>
      </c>
      <c r="CE54" s="4"/>
      <c r="CH54" s="58">
        <v>0</v>
      </c>
      <c r="CI54" s="58">
        <v>0</v>
      </c>
      <c r="CJ54" s="58">
        <v>0</v>
      </c>
      <c r="CK54" s="58">
        <v>0</v>
      </c>
      <c r="CL54" s="58">
        <v>0</v>
      </c>
      <c r="CM54" s="59">
        <v>6</v>
      </c>
      <c r="CN54" s="59">
        <v>1</v>
      </c>
      <c r="CO54" s="59">
        <v>1</v>
      </c>
      <c r="CP54" s="58">
        <v>0</v>
      </c>
      <c r="CQ54" s="58">
        <v>0</v>
      </c>
      <c r="CR54" s="60">
        <f t="shared" si="42"/>
        <v>8</v>
      </c>
    </row>
    <row r="55" spans="1:96" ht="21.75" customHeight="1" x14ac:dyDescent="0.25">
      <c r="A55" s="46">
        <v>39</v>
      </c>
      <c r="B55" s="12" t="s">
        <v>122</v>
      </c>
      <c r="C55" s="98" t="s">
        <v>123</v>
      </c>
      <c r="D55" s="112">
        <v>45382</v>
      </c>
      <c r="E55" s="120" t="s">
        <v>15</v>
      </c>
      <c r="F55" s="120" t="s">
        <v>15</v>
      </c>
      <c r="G55" s="90">
        <v>0.34583333333333338</v>
      </c>
      <c r="H55" s="90">
        <v>0.95624999999999993</v>
      </c>
      <c r="I55" s="90">
        <v>0.34583333333333338</v>
      </c>
      <c r="J55" s="90">
        <v>0.93263888888888891</v>
      </c>
      <c r="K55" s="90">
        <v>0.3444444444444445</v>
      </c>
      <c r="L55" s="90">
        <v>0.95972222222222225</v>
      </c>
      <c r="M55" s="90">
        <v>0.35902777777777778</v>
      </c>
      <c r="N55" s="90">
        <v>0.92361111111111116</v>
      </c>
      <c r="O55" s="90">
        <v>0.33124999999999999</v>
      </c>
      <c r="P55" s="90">
        <v>0.96875</v>
      </c>
      <c r="Q55" s="90">
        <v>0.34166666666666662</v>
      </c>
      <c r="R55" s="90">
        <v>0.96597222222222223</v>
      </c>
      <c r="S55" s="126">
        <v>0.56736111111111109</v>
      </c>
      <c r="T55" s="126">
        <v>0.92083333333333339</v>
      </c>
      <c r="U55" s="90">
        <v>0.34097222222222223</v>
      </c>
      <c r="V55" s="91">
        <v>1</v>
      </c>
      <c r="W55" s="90">
        <v>0.34652777777777777</v>
      </c>
      <c r="X55" s="90">
        <v>0.9458333333333333</v>
      </c>
      <c r="Y55" s="90">
        <v>0.34027777777777773</v>
      </c>
      <c r="Z55" s="90">
        <v>0.94236111111111109</v>
      </c>
      <c r="AA55" s="90">
        <v>0.33888888888888885</v>
      </c>
      <c r="AB55" s="90">
        <v>0.94027777777777777</v>
      </c>
      <c r="AC55" s="90">
        <v>0.33958333333333335</v>
      </c>
      <c r="AD55" s="90">
        <v>0.93333333333333324</v>
      </c>
      <c r="AE55" s="90">
        <v>0.34652777777777777</v>
      </c>
      <c r="AF55" s="90">
        <v>0.95833333333333337</v>
      </c>
      <c r="AG55" s="120" t="s">
        <v>15</v>
      </c>
      <c r="AH55" s="120" t="s">
        <v>15</v>
      </c>
      <c r="AJ55" s="123">
        <v>39</v>
      </c>
      <c r="AK55" s="90">
        <v>0.3354166666666667</v>
      </c>
      <c r="AL55" s="90">
        <v>0.95138888888888884</v>
      </c>
      <c r="AM55" s="90">
        <v>0.34236111111111112</v>
      </c>
      <c r="AN55" s="90">
        <v>0.95208333333333339</v>
      </c>
      <c r="AO55" s="90">
        <v>0.3444444444444445</v>
      </c>
      <c r="AP55" s="90">
        <v>0.94513888888888886</v>
      </c>
      <c r="AQ55" s="90">
        <v>0.3430555555555555</v>
      </c>
      <c r="AR55" s="90">
        <v>0.9375</v>
      </c>
      <c r="AS55" s="90">
        <v>0.34583333333333338</v>
      </c>
      <c r="AT55" s="90">
        <v>0.94236111111111109</v>
      </c>
      <c r="AU55" s="90">
        <v>0.3354166666666667</v>
      </c>
      <c r="AV55" s="90">
        <v>0.9819444444444444</v>
      </c>
      <c r="AW55" s="126">
        <v>0.5708333333333333</v>
      </c>
      <c r="AX55" s="126">
        <v>0.94097222222222221</v>
      </c>
      <c r="AY55" s="90">
        <v>0.34097222222222223</v>
      </c>
      <c r="AZ55" s="90">
        <v>0.96458333333333324</v>
      </c>
      <c r="BA55" s="90">
        <v>0.34166666666666662</v>
      </c>
      <c r="BB55" s="90">
        <v>0.95486111111111116</v>
      </c>
      <c r="BC55" s="90">
        <v>0.33055555555555555</v>
      </c>
      <c r="BD55" s="90">
        <v>0.98263888888888884</v>
      </c>
      <c r="BE55" s="90">
        <v>0.34027777777777773</v>
      </c>
      <c r="BF55" s="90">
        <v>0.93333333333333324</v>
      </c>
      <c r="BG55" s="120" t="s">
        <v>15</v>
      </c>
      <c r="BH55" s="120" t="s">
        <v>15</v>
      </c>
      <c r="BI55" s="90">
        <v>0.33958333333333335</v>
      </c>
      <c r="BJ55" s="90">
        <v>0.96111111111111114</v>
      </c>
      <c r="BK55" s="120" t="s">
        <v>15</v>
      </c>
      <c r="BL55" s="120" t="s">
        <v>15</v>
      </c>
      <c r="BM55" s="90">
        <v>0.33611111111111108</v>
      </c>
      <c r="BN55" s="90">
        <v>0.94791666666666663</v>
      </c>
      <c r="BO55" s="90">
        <v>0.34027777777777773</v>
      </c>
      <c r="BP55" s="90">
        <v>0.96319444444444446</v>
      </c>
      <c r="BQ55" s="147">
        <f t="shared" si="28"/>
        <v>31</v>
      </c>
      <c r="BR55" s="81">
        <v>2</v>
      </c>
      <c r="BS55" s="2">
        <f t="shared" si="29"/>
        <v>27</v>
      </c>
      <c r="BT55" s="3">
        <f t="shared" si="30"/>
        <v>4</v>
      </c>
      <c r="BU55" s="3">
        <f t="shared" si="31"/>
        <v>0</v>
      </c>
      <c r="BV55" s="3">
        <f t="shared" si="32"/>
        <v>0</v>
      </c>
      <c r="BW55" s="3">
        <f t="shared" si="33"/>
        <v>0</v>
      </c>
      <c r="BX55" s="3">
        <f t="shared" si="34"/>
        <v>0</v>
      </c>
      <c r="BY55" s="3">
        <f t="shared" si="35"/>
        <v>0</v>
      </c>
      <c r="BZ55" s="3">
        <f t="shared" si="36"/>
        <v>0</v>
      </c>
      <c r="CA55" s="3">
        <f t="shared" si="38"/>
        <v>0</v>
      </c>
      <c r="CB55" s="3">
        <f t="shared" si="39"/>
        <v>0</v>
      </c>
      <c r="CC55" s="3">
        <f t="shared" si="40"/>
        <v>0</v>
      </c>
      <c r="CD55" s="3">
        <f t="shared" si="41"/>
        <v>0</v>
      </c>
      <c r="CE55" s="4"/>
      <c r="CH55" s="58">
        <v>0</v>
      </c>
      <c r="CI55" s="58">
        <v>0</v>
      </c>
      <c r="CJ55" s="58">
        <v>0</v>
      </c>
      <c r="CK55" s="58">
        <v>0</v>
      </c>
      <c r="CL55" s="58">
        <v>0</v>
      </c>
      <c r="CM55" s="59">
        <v>11</v>
      </c>
      <c r="CN55" s="58">
        <v>0</v>
      </c>
      <c r="CO55" s="58">
        <v>0</v>
      </c>
      <c r="CP55" s="58">
        <v>0</v>
      </c>
      <c r="CQ55" s="58">
        <v>0</v>
      </c>
      <c r="CR55" s="60">
        <f t="shared" si="42"/>
        <v>11</v>
      </c>
    </row>
    <row r="56" spans="1:96" ht="21.75" customHeight="1" x14ac:dyDescent="0.25">
      <c r="A56" s="46">
        <v>40</v>
      </c>
      <c r="B56" s="12" t="s">
        <v>124</v>
      </c>
      <c r="C56" s="98" t="s">
        <v>125</v>
      </c>
      <c r="D56" s="112">
        <v>45401</v>
      </c>
      <c r="E56" s="126">
        <v>0.58124999999999993</v>
      </c>
      <c r="F56" s="126">
        <v>0.9472222222222223</v>
      </c>
      <c r="G56" s="90">
        <v>0.35347222222222219</v>
      </c>
      <c r="H56" s="90">
        <v>0.96875</v>
      </c>
      <c r="I56" s="90">
        <v>0.3520833333333333</v>
      </c>
      <c r="J56" s="90">
        <v>0.93125000000000002</v>
      </c>
      <c r="K56" s="90">
        <v>0.3576388888888889</v>
      </c>
      <c r="L56" s="91">
        <v>1</v>
      </c>
      <c r="M56" s="90">
        <v>0.3520833333333333</v>
      </c>
      <c r="N56" s="90">
        <v>0.93819444444444444</v>
      </c>
      <c r="O56" s="90">
        <v>0.3527777777777778</v>
      </c>
      <c r="P56" s="90">
        <v>0.96805555555555556</v>
      </c>
      <c r="Q56" s="90">
        <v>0.35347222222222219</v>
      </c>
      <c r="R56" s="90">
        <v>0.98125000000000007</v>
      </c>
      <c r="S56" s="120" t="s">
        <v>15</v>
      </c>
      <c r="T56" s="120" t="s">
        <v>15</v>
      </c>
      <c r="U56" s="90">
        <v>0.35347222222222219</v>
      </c>
      <c r="V56" s="90">
        <v>0.94236111111111109</v>
      </c>
      <c r="W56" s="90">
        <v>0.35347222222222219</v>
      </c>
      <c r="X56" s="90">
        <v>0.94513888888888886</v>
      </c>
      <c r="Y56" s="90">
        <v>0.3527777777777778</v>
      </c>
      <c r="Z56" s="90">
        <v>0.95138888888888884</v>
      </c>
      <c r="AA56" s="90">
        <v>0.35486111111111113</v>
      </c>
      <c r="AB56" s="90">
        <v>0.93472222222222223</v>
      </c>
      <c r="AC56" s="90">
        <v>0.3520833333333333</v>
      </c>
      <c r="AD56" s="90">
        <v>0.93680555555555556</v>
      </c>
      <c r="AE56" s="90">
        <v>0.3520833333333333</v>
      </c>
      <c r="AF56" s="90">
        <v>0.95833333333333337</v>
      </c>
      <c r="AG56" s="126">
        <v>0.58124999999999993</v>
      </c>
      <c r="AH56" s="127">
        <v>1</v>
      </c>
      <c r="AJ56" s="123">
        <v>40</v>
      </c>
      <c r="AK56" s="90">
        <v>0.3527777777777778</v>
      </c>
      <c r="AL56" s="90">
        <v>0.94861111111111107</v>
      </c>
      <c r="AM56" s="90">
        <v>0.35347222222222219</v>
      </c>
      <c r="AN56" s="90">
        <v>0.94861111111111107</v>
      </c>
      <c r="AO56" s="90">
        <v>0.3527777777777778</v>
      </c>
      <c r="AP56" s="90">
        <v>0.94374999999999998</v>
      </c>
      <c r="AQ56" s="90">
        <v>0.35347222222222219</v>
      </c>
      <c r="AR56" s="90">
        <v>0.93333333333333324</v>
      </c>
      <c r="AS56" s="90">
        <v>0.35347222222222219</v>
      </c>
      <c r="AT56" s="90">
        <v>0.94930555555555562</v>
      </c>
      <c r="AU56" s="90">
        <v>0.35347222222222219</v>
      </c>
      <c r="AV56" s="90">
        <v>0.98472222222222217</v>
      </c>
      <c r="AW56" s="120" t="s">
        <v>15</v>
      </c>
      <c r="AX56" s="120" t="s">
        <v>15</v>
      </c>
      <c r="AY56" s="90">
        <v>0.35416666666666669</v>
      </c>
      <c r="AZ56" s="90">
        <v>0.97916666666666663</v>
      </c>
      <c r="BA56" s="90">
        <v>0.35347222222222219</v>
      </c>
      <c r="BB56" s="90">
        <v>1.9444444444444445E-2</v>
      </c>
      <c r="BC56" s="90">
        <v>0.35347222222222219</v>
      </c>
      <c r="BD56" s="90">
        <v>0.35347222222222219</v>
      </c>
      <c r="BE56" s="90">
        <v>0.38125000000000003</v>
      </c>
      <c r="BF56" s="90">
        <v>0.9458333333333333</v>
      </c>
      <c r="BG56" s="120" t="s">
        <v>15</v>
      </c>
      <c r="BH56" s="120" t="s">
        <v>15</v>
      </c>
      <c r="BI56" s="90">
        <v>0.35347222222222219</v>
      </c>
      <c r="BJ56" s="90">
        <v>0.9819444444444444</v>
      </c>
      <c r="BK56" s="126">
        <v>0.58194444444444449</v>
      </c>
      <c r="BL56" s="127">
        <v>1</v>
      </c>
      <c r="BM56" s="90">
        <v>0.35416666666666669</v>
      </c>
      <c r="BN56" s="90">
        <v>0.9472222222222223</v>
      </c>
      <c r="BO56" s="90">
        <v>0.35138888888888892</v>
      </c>
      <c r="BP56" s="90">
        <v>0.97916666666666663</v>
      </c>
      <c r="BQ56" s="147">
        <f t="shared" si="28"/>
        <v>31</v>
      </c>
      <c r="BR56" s="81">
        <v>3</v>
      </c>
      <c r="BS56" s="2">
        <f t="shared" si="29"/>
        <v>28</v>
      </c>
      <c r="BT56" s="3">
        <f t="shared" si="30"/>
        <v>3</v>
      </c>
      <c r="BU56" s="3">
        <f t="shared" si="31"/>
        <v>0</v>
      </c>
      <c r="BV56" s="3">
        <f t="shared" si="32"/>
        <v>0</v>
      </c>
      <c r="BW56" s="3">
        <f t="shared" si="33"/>
        <v>0</v>
      </c>
      <c r="BX56" s="3">
        <f t="shared" si="34"/>
        <v>0</v>
      </c>
      <c r="BY56" s="3">
        <f t="shared" si="35"/>
        <v>0</v>
      </c>
      <c r="BZ56" s="3">
        <f t="shared" si="36"/>
        <v>0</v>
      </c>
      <c r="CA56" s="3">
        <f t="shared" si="38"/>
        <v>0</v>
      </c>
      <c r="CB56" s="3">
        <f t="shared" si="39"/>
        <v>0</v>
      </c>
      <c r="CC56" s="3">
        <f t="shared" si="40"/>
        <v>0</v>
      </c>
      <c r="CD56" s="3">
        <f t="shared" si="41"/>
        <v>0</v>
      </c>
      <c r="CE56" s="4"/>
      <c r="CH56" s="58">
        <v>0</v>
      </c>
      <c r="CI56" s="58">
        <v>0</v>
      </c>
      <c r="CJ56" s="58">
        <v>0</v>
      </c>
      <c r="CK56" s="58">
        <v>0</v>
      </c>
      <c r="CL56" s="58">
        <v>0</v>
      </c>
      <c r="CM56" s="59">
        <v>1</v>
      </c>
      <c r="CN56" s="59">
        <v>1</v>
      </c>
      <c r="CO56" s="58">
        <v>0</v>
      </c>
      <c r="CP56" s="58">
        <v>0</v>
      </c>
      <c r="CQ56" s="58">
        <v>0</v>
      </c>
      <c r="CR56" s="60">
        <f t="shared" si="42"/>
        <v>2</v>
      </c>
    </row>
    <row r="57" spans="1:96" ht="21.75" customHeight="1" x14ac:dyDescent="0.25">
      <c r="A57" s="46">
        <v>41</v>
      </c>
      <c r="B57" s="12" t="s">
        <v>126</v>
      </c>
      <c r="C57" s="98" t="s">
        <v>127</v>
      </c>
      <c r="D57" s="112">
        <v>45401</v>
      </c>
      <c r="E57" s="120" t="s">
        <v>15</v>
      </c>
      <c r="F57" s="120" t="s">
        <v>15</v>
      </c>
      <c r="G57" s="90">
        <v>0.35000000000000003</v>
      </c>
      <c r="H57" s="90">
        <v>0.93472222222222223</v>
      </c>
      <c r="I57" s="90">
        <v>0.3527777777777778</v>
      </c>
      <c r="J57" s="90">
        <v>0.91249999999999998</v>
      </c>
      <c r="K57" s="90">
        <v>0.35833333333333334</v>
      </c>
      <c r="L57" s="90">
        <v>0.92986111111111114</v>
      </c>
      <c r="M57" s="90">
        <v>0.3527777777777778</v>
      </c>
      <c r="N57" s="90">
        <v>0.92708333333333337</v>
      </c>
      <c r="O57" s="90">
        <v>0.35625000000000001</v>
      </c>
      <c r="P57" s="90">
        <v>0.92013888888888884</v>
      </c>
      <c r="Q57" s="90">
        <v>0.3520833333333333</v>
      </c>
      <c r="R57" s="90">
        <v>0.93888888888888899</v>
      </c>
      <c r="S57" s="126">
        <v>0.58263888888888882</v>
      </c>
      <c r="T57" s="126">
        <v>0.89444444444444438</v>
      </c>
      <c r="U57" s="90">
        <v>0.3520833333333333</v>
      </c>
      <c r="V57" s="90">
        <v>0.9277777777777777</v>
      </c>
      <c r="W57" s="90">
        <v>0.35138888888888892</v>
      </c>
      <c r="X57" s="90">
        <v>0.94444444444444453</v>
      </c>
      <c r="Y57" s="90">
        <v>0.35416666666666669</v>
      </c>
      <c r="Z57" s="90">
        <v>0.93402777777777779</v>
      </c>
      <c r="AA57" s="90">
        <v>0.35069444444444442</v>
      </c>
      <c r="AB57" s="90">
        <v>0.93611111111111101</v>
      </c>
      <c r="AC57" s="90">
        <v>0.34930555555555554</v>
      </c>
      <c r="AD57" s="91">
        <v>1</v>
      </c>
      <c r="AE57" s="90">
        <v>0.34513888888888888</v>
      </c>
      <c r="AF57" s="91">
        <v>1</v>
      </c>
      <c r="AG57" s="120" t="s">
        <v>15</v>
      </c>
      <c r="AH57" s="120" t="s">
        <v>15</v>
      </c>
      <c r="AJ57" s="123">
        <v>41</v>
      </c>
      <c r="AK57" s="90">
        <v>0.3527777777777778</v>
      </c>
      <c r="AL57" s="90">
        <v>0.94166666666666676</v>
      </c>
      <c r="AM57" s="90">
        <v>0.35000000000000003</v>
      </c>
      <c r="AN57" s="90">
        <v>0.91180555555555554</v>
      </c>
      <c r="AO57" s="90">
        <v>0.3527777777777778</v>
      </c>
      <c r="AP57" s="90">
        <v>0.91805555555555562</v>
      </c>
      <c r="AQ57" s="90">
        <v>0.35347222222222219</v>
      </c>
      <c r="AR57" s="90">
        <v>0.9375</v>
      </c>
      <c r="AS57" s="90">
        <v>0.35138888888888892</v>
      </c>
      <c r="AT57" s="90">
        <v>0.93055555555555547</v>
      </c>
      <c r="AU57" s="90">
        <v>0.35625000000000001</v>
      </c>
      <c r="AV57" s="90">
        <v>0.93680555555555556</v>
      </c>
      <c r="AW57" s="120" t="s">
        <v>15</v>
      </c>
      <c r="AX57" s="120" t="s">
        <v>15</v>
      </c>
      <c r="AY57" s="90">
        <v>0.34930555555555554</v>
      </c>
      <c r="AZ57" s="90">
        <v>0.95833333333333337</v>
      </c>
      <c r="BA57" s="90">
        <v>0.34861111111111115</v>
      </c>
      <c r="BB57" s="90">
        <v>0.99305555555555547</v>
      </c>
      <c r="BC57" s="90">
        <v>0.35138888888888892</v>
      </c>
      <c r="BD57" s="90">
        <v>0.99583333333333324</v>
      </c>
      <c r="BE57" s="90">
        <v>0.35625000000000001</v>
      </c>
      <c r="BF57" s="90">
        <v>0.97083333333333333</v>
      </c>
      <c r="BG57" s="120" t="s">
        <v>15</v>
      </c>
      <c r="BH57" s="120" t="s">
        <v>15</v>
      </c>
      <c r="BI57" s="90">
        <v>0.3527777777777778</v>
      </c>
      <c r="BJ57" s="90">
        <v>0.95277777777777783</v>
      </c>
      <c r="BK57" s="126">
        <v>0.57916666666666672</v>
      </c>
      <c r="BL57" s="126">
        <v>0.89861111111111114</v>
      </c>
      <c r="BM57" s="90">
        <v>0.35347222222222219</v>
      </c>
      <c r="BN57" s="90">
        <v>0.94097222222222221</v>
      </c>
      <c r="BO57" s="90">
        <v>0.3520833333333333</v>
      </c>
      <c r="BP57" s="90">
        <v>0.93888888888888899</v>
      </c>
      <c r="BQ57" s="147">
        <f t="shared" si="28"/>
        <v>31</v>
      </c>
      <c r="BR57" s="81">
        <v>2</v>
      </c>
      <c r="BS57" s="2">
        <f t="shared" si="29"/>
        <v>27</v>
      </c>
      <c r="BT57" s="3">
        <f t="shared" si="30"/>
        <v>4</v>
      </c>
      <c r="BU57" s="3">
        <f t="shared" si="31"/>
        <v>0</v>
      </c>
      <c r="BV57" s="3">
        <f t="shared" si="32"/>
        <v>0</v>
      </c>
      <c r="BW57" s="3">
        <f t="shared" si="33"/>
        <v>0</v>
      </c>
      <c r="BX57" s="3">
        <f t="shared" si="34"/>
        <v>0</v>
      </c>
      <c r="BY57" s="3">
        <f t="shared" si="35"/>
        <v>0</v>
      </c>
      <c r="BZ57" s="3">
        <f t="shared" si="36"/>
        <v>0</v>
      </c>
      <c r="CA57" s="3">
        <f t="shared" si="38"/>
        <v>0</v>
      </c>
      <c r="CB57" s="3">
        <f t="shared" si="39"/>
        <v>0</v>
      </c>
      <c r="CC57" s="3">
        <f t="shared" si="40"/>
        <v>0</v>
      </c>
      <c r="CD57" s="3">
        <f t="shared" si="41"/>
        <v>0</v>
      </c>
      <c r="CE57" s="4"/>
      <c r="CH57" s="58">
        <v>0</v>
      </c>
      <c r="CI57" s="58">
        <v>0</v>
      </c>
      <c r="CJ57" s="58">
        <v>0</v>
      </c>
      <c r="CK57" s="58">
        <v>0</v>
      </c>
      <c r="CL57" s="58">
        <v>0</v>
      </c>
      <c r="CM57" s="59">
        <v>1</v>
      </c>
      <c r="CN57" s="58">
        <v>0</v>
      </c>
      <c r="CO57" s="58">
        <v>0</v>
      </c>
      <c r="CP57" s="58">
        <v>0</v>
      </c>
      <c r="CQ57" s="58">
        <v>0</v>
      </c>
      <c r="CR57" s="60">
        <f t="shared" si="42"/>
        <v>1</v>
      </c>
    </row>
    <row r="58" spans="1:96" ht="21.75" customHeight="1" x14ac:dyDescent="0.25">
      <c r="A58" s="46">
        <v>42</v>
      </c>
      <c r="B58" s="12" t="s">
        <v>129</v>
      </c>
      <c r="C58" s="98" t="s">
        <v>191</v>
      </c>
      <c r="D58" s="112">
        <v>45447</v>
      </c>
      <c r="E58" s="120" t="s">
        <v>15</v>
      </c>
      <c r="F58" s="120" t="s">
        <v>15</v>
      </c>
      <c r="G58" s="90">
        <v>0.34722222222222227</v>
      </c>
      <c r="H58" s="90">
        <v>0.93472222222222223</v>
      </c>
      <c r="I58" s="90">
        <v>0.34652777777777777</v>
      </c>
      <c r="J58" s="90">
        <v>0.8965277777777777</v>
      </c>
      <c r="K58" s="90">
        <v>0.34583333333333338</v>
      </c>
      <c r="L58" s="90">
        <v>0.91805555555555562</v>
      </c>
      <c r="M58" s="91">
        <v>1</v>
      </c>
      <c r="N58" s="90">
        <v>0.90763888888888899</v>
      </c>
      <c r="O58" s="90">
        <v>0.34513888888888888</v>
      </c>
      <c r="P58" s="90">
        <v>0.91527777777777775</v>
      </c>
      <c r="Q58" s="90">
        <v>0.34652777777777777</v>
      </c>
      <c r="R58" s="90">
        <v>0.92847222222222225</v>
      </c>
      <c r="S58" s="126">
        <v>0.57361111111111118</v>
      </c>
      <c r="T58" s="126">
        <v>0.87916666666666676</v>
      </c>
      <c r="U58" s="90">
        <v>0.3430555555555555</v>
      </c>
      <c r="V58" s="90">
        <v>0.92569444444444438</v>
      </c>
      <c r="W58" s="90">
        <v>0.34861111111111115</v>
      </c>
      <c r="X58" s="90">
        <v>0.91319444444444453</v>
      </c>
      <c r="Y58" s="90">
        <v>0.34861111111111115</v>
      </c>
      <c r="Z58" s="90">
        <v>0.90277777777777779</v>
      </c>
      <c r="AA58" s="90">
        <v>0.34722222222222227</v>
      </c>
      <c r="AB58" s="90">
        <v>0.92013888888888884</v>
      </c>
      <c r="AC58" s="90">
        <v>0.34513888888888888</v>
      </c>
      <c r="AD58" s="90">
        <v>0.90138888888888891</v>
      </c>
      <c r="AE58" s="90">
        <v>0.34513888888888888</v>
      </c>
      <c r="AF58" s="90">
        <v>0.92986111111111114</v>
      </c>
      <c r="AG58" s="120" t="s">
        <v>15</v>
      </c>
      <c r="AH58" s="120" t="s">
        <v>15</v>
      </c>
      <c r="AJ58" s="123">
        <v>42</v>
      </c>
      <c r="AK58" s="90">
        <v>0.34513888888888888</v>
      </c>
      <c r="AL58" s="90">
        <v>0.93333333333333324</v>
      </c>
      <c r="AM58" s="90">
        <v>0.3444444444444445</v>
      </c>
      <c r="AN58" s="90">
        <v>0.91388888888888886</v>
      </c>
      <c r="AO58" s="90">
        <v>0.34583333333333338</v>
      </c>
      <c r="AP58" s="90">
        <v>0.9</v>
      </c>
      <c r="AQ58" s="90">
        <v>0.34722222222222227</v>
      </c>
      <c r="AR58" s="90">
        <v>0.91875000000000007</v>
      </c>
      <c r="AS58" s="90">
        <v>0.34930555555555554</v>
      </c>
      <c r="AT58" s="90">
        <v>0.9</v>
      </c>
      <c r="AU58" s="90">
        <v>0.34861111111111115</v>
      </c>
      <c r="AV58" s="90">
        <v>0.9375</v>
      </c>
      <c r="AW58" s="126">
        <v>0.57291666666666663</v>
      </c>
      <c r="AX58" s="126">
        <v>0.89930555555555547</v>
      </c>
      <c r="AY58" s="90">
        <v>0.34861111111111115</v>
      </c>
      <c r="AZ58" s="90">
        <v>0.94930555555555562</v>
      </c>
      <c r="BA58" s="90">
        <v>0.34722222222222227</v>
      </c>
      <c r="BB58" s="90">
        <v>0.9375</v>
      </c>
      <c r="BC58" s="90">
        <v>0.34652777777777777</v>
      </c>
      <c r="BD58" s="90">
        <v>0.98541666666666661</v>
      </c>
      <c r="BE58" s="90">
        <v>0.34513888888888888</v>
      </c>
      <c r="BF58" s="90">
        <v>0.97083333333333333</v>
      </c>
      <c r="BG58" s="120" t="s">
        <v>15</v>
      </c>
      <c r="BH58" s="120" t="s">
        <v>15</v>
      </c>
      <c r="BI58" s="90">
        <v>0.35000000000000003</v>
      </c>
      <c r="BJ58" s="90">
        <v>0.93333333333333324</v>
      </c>
      <c r="BK58" s="120" t="s">
        <v>15</v>
      </c>
      <c r="BL58" s="120" t="s">
        <v>15</v>
      </c>
      <c r="BM58" s="90">
        <v>0.34513888888888888</v>
      </c>
      <c r="BN58" s="90">
        <v>0.93819444444444444</v>
      </c>
      <c r="BO58" s="90">
        <v>0.34583333333333338</v>
      </c>
      <c r="BP58" s="90">
        <v>0.93125000000000002</v>
      </c>
      <c r="BQ58" s="147">
        <f t="shared" si="28"/>
        <v>31</v>
      </c>
      <c r="BR58" s="81">
        <v>2</v>
      </c>
      <c r="BS58" s="2">
        <f t="shared" si="29"/>
        <v>27</v>
      </c>
      <c r="BT58" s="3">
        <f t="shared" si="30"/>
        <v>4</v>
      </c>
      <c r="BU58" s="3">
        <f t="shared" si="31"/>
        <v>0</v>
      </c>
      <c r="BV58" s="3">
        <f t="shared" si="32"/>
        <v>0</v>
      </c>
      <c r="BW58" s="3">
        <f t="shared" si="33"/>
        <v>0</v>
      </c>
      <c r="BX58" s="3">
        <f t="shared" si="34"/>
        <v>0</v>
      </c>
      <c r="BY58" s="3">
        <f t="shared" si="35"/>
        <v>0</v>
      </c>
      <c r="BZ58" s="3">
        <f t="shared" si="36"/>
        <v>0</v>
      </c>
      <c r="CA58" s="3">
        <f t="shared" si="38"/>
        <v>0</v>
      </c>
      <c r="CB58" s="3">
        <f t="shared" si="39"/>
        <v>0</v>
      </c>
      <c r="CC58" s="3">
        <f t="shared" si="40"/>
        <v>0</v>
      </c>
      <c r="CD58" s="3">
        <f t="shared" si="41"/>
        <v>0</v>
      </c>
      <c r="CE58" s="4"/>
      <c r="CH58" s="58">
        <v>0</v>
      </c>
      <c r="CI58" s="58">
        <v>0</v>
      </c>
      <c r="CJ58" s="58">
        <v>0</v>
      </c>
      <c r="CK58" s="58">
        <v>0</v>
      </c>
      <c r="CL58" s="58">
        <v>0</v>
      </c>
      <c r="CM58" s="59">
        <v>1</v>
      </c>
      <c r="CN58" s="58">
        <v>0</v>
      </c>
      <c r="CO58" s="58">
        <v>0</v>
      </c>
      <c r="CP58" s="58">
        <v>0</v>
      </c>
      <c r="CQ58" s="58">
        <v>0</v>
      </c>
      <c r="CR58" s="60">
        <f t="shared" si="42"/>
        <v>1</v>
      </c>
    </row>
    <row r="59" spans="1:96" ht="21.75" customHeight="1" x14ac:dyDescent="0.25">
      <c r="A59" s="46">
        <v>43</v>
      </c>
      <c r="B59" s="12" t="s">
        <v>130</v>
      </c>
      <c r="C59" s="98" t="s">
        <v>192</v>
      </c>
      <c r="D59" s="112">
        <v>45467</v>
      </c>
      <c r="E59" s="126">
        <v>0.57638888888888895</v>
      </c>
      <c r="F59" s="126">
        <v>0.9590277777777777</v>
      </c>
      <c r="G59" s="90">
        <v>0.3527777777777778</v>
      </c>
      <c r="H59" s="90">
        <v>0.97083333333333333</v>
      </c>
      <c r="I59" s="90">
        <v>0.3520833333333333</v>
      </c>
      <c r="J59" s="90">
        <v>0.95277777777777783</v>
      </c>
      <c r="K59" s="90">
        <v>0.35625000000000001</v>
      </c>
      <c r="L59" s="90">
        <v>0.95486111111111116</v>
      </c>
      <c r="M59" s="90">
        <v>0.3611111111111111</v>
      </c>
      <c r="N59" s="90">
        <v>0.95833333333333337</v>
      </c>
      <c r="O59" s="90">
        <v>0.3520833333333333</v>
      </c>
      <c r="P59" s="90">
        <v>0.94930555555555562</v>
      </c>
      <c r="Q59" s="90">
        <v>0.35069444444444442</v>
      </c>
      <c r="R59" s="90">
        <v>0.97986111111111107</v>
      </c>
      <c r="S59" s="120" t="s">
        <v>15</v>
      </c>
      <c r="T59" s="120" t="s">
        <v>15</v>
      </c>
      <c r="U59" s="90">
        <v>0.3527777777777778</v>
      </c>
      <c r="V59" s="90">
        <v>0.9784722222222223</v>
      </c>
      <c r="W59" s="90">
        <v>0.35347222222222219</v>
      </c>
      <c r="X59" s="90">
        <v>0.95833333333333337</v>
      </c>
      <c r="Y59" s="90">
        <v>0.3527777777777778</v>
      </c>
      <c r="Z59" s="90">
        <v>0.95763888888888893</v>
      </c>
      <c r="AA59" s="90">
        <v>0.3520833333333333</v>
      </c>
      <c r="AB59" s="90">
        <v>0.95833333333333337</v>
      </c>
      <c r="AC59" s="90">
        <v>0.35486111111111113</v>
      </c>
      <c r="AD59" s="90">
        <v>0.95416666666666661</v>
      </c>
      <c r="AE59" s="90">
        <v>0.35555555555555557</v>
      </c>
      <c r="AF59" s="90">
        <v>0.97569444444444453</v>
      </c>
      <c r="AG59" s="126">
        <v>0.58472222222222225</v>
      </c>
      <c r="AH59" s="126">
        <v>0.95486111111111116</v>
      </c>
      <c r="AJ59" s="123">
        <v>43</v>
      </c>
      <c r="AK59" s="90">
        <v>0.35694444444444445</v>
      </c>
      <c r="AL59" s="90">
        <v>0.97083333333333333</v>
      </c>
      <c r="AM59" s="90">
        <v>0.35694444444444445</v>
      </c>
      <c r="AN59" s="90">
        <v>0.95486111111111116</v>
      </c>
      <c r="AO59" s="90">
        <v>0.3611111111111111</v>
      </c>
      <c r="AP59" s="90">
        <v>0.9555555555555556</v>
      </c>
      <c r="AQ59" s="90">
        <v>0.35416666666666669</v>
      </c>
      <c r="AR59" s="90">
        <v>0.9555555555555556</v>
      </c>
      <c r="AS59" s="90">
        <v>0.35555555555555557</v>
      </c>
      <c r="AT59" s="90">
        <v>0.95000000000000007</v>
      </c>
      <c r="AU59" s="90">
        <v>0.35555555555555557</v>
      </c>
      <c r="AV59" s="90">
        <v>0.97638888888888886</v>
      </c>
      <c r="AW59" s="120" t="s">
        <v>15</v>
      </c>
      <c r="AX59" s="120" t="s">
        <v>15</v>
      </c>
      <c r="AY59" s="90">
        <v>0.35416666666666669</v>
      </c>
      <c r="AZ59" s="90">
        <v>0.96944444444444444</v>
      </c>
      <c r="BA59" s="90">
        <v>0.35416666666666669</v>
      </c>
      <c r="BB59" s="90">
        <v>0.95138888888888884</v>
      </c>
      <c r="BC59" s="90">
        <v>0.35486111111111113</v>
      </c>
      <c r="BD59" s="90">
        <v>0.97291666666666676</v>
      </c>
      <c r="BE59" s="90">
        <v>0.35416666666666669</v>
      </c>
      <c r="BF59" s="90">
        <v>0.98819444444444438</v>
      </c>
      <c r="BG59" s="120" t="s">
        <v>15</v>
      </c>
      <c r="BH59" s="120" t="s">
        <v>15</v>
      </c>
      <c r="BI59" s="90">
        <v>0.35486111111111113</v>
      </c>
      <c r="BJ59" s="90">
        <v>0.99444444444444446</v>
      </c>
      <c r="BK59" s="126">
        <v>0.58333333333333337</v>
      </c>
      <c r="BL59" s="126">
        <v>0.95277777777777783</v>
      </c>
      <c r="BM59" s="90">
        <v>0.35625000000000001</v>
      </c>
      <c r="BN59" s="90">
        <v>0.97569444444444453</v>
      </c>
      <c r="BO59" s="90">
        <v>0.35625000000000001</v>
      </c>
      <c r="BP59" s="90">
        <v>0.35625000000000001</v>
      </c>
      <c r="BQ59" s="147">
        <f t="shared" si="28"/>
        <v>31</v>
      </c>
      <c r="BR59" s="81">
        <v>3</v>
      </c>
      <c r="BS59" s="2">
        <f t="shared" si="29"/>
        <v>28</v>
      </c>
      <c r="BT59" s="3">
        <f t="shared" si="30"/>
        <v>3</v>
      </c>
      <c r="BU59" s="3">
        <f t="shared" si="31"/>
        <v>0</v>
      </c>
      <c r="BV59" s="3">
        <f t="shared" si="32"/>
        <v>0</v>
      </c>
      <c r="BW59" s="3">
        <f t="shared" si="33"/>
        <v>0</v>
      </c>
      <c r="BX59" s="3">
        <f t="shared" si="34"/>
        <v>0</v>
      </c>
      <c r="BY59" s="3">
        <f t="shared" si="35"/>
        <v>0</v>
      </c>
      <c r="BZ59" s="3">
        <f t="shared" si="36"/>
        <v>0</v>
      </c>
      <c r="CA59" s="3">
        <f t="shared" si="38"/>
        <v>0</v>
      </c>
      <c r="CB59" s="3">
        <f t="shared" si="39"/>
        <v>0</v>
      </c>
      <c r="CC59" s="3">
        <f t="shared" si="40"/>
        <v>0</v>
      </c>
      <c r="CD59" s="3">
        <f t="shared" si="41"/>
        <v>0</v>
      </c>
      <c r="CE59" s="4"/>
      <c r="CH59" s="58">
        <v>0</v>
      </c>
      <c r="CI59" s="58">
        <v>0</v>
      </c>
      <c r="CJ59" s="58">
        <v>0</v>
      </c>
      <c r="CK59" s="58">
        <v>0</v>
      </c>
      <c r="CL59" s="58">
        <v>0</v>
      </c>
      <c r="CM59" s="59">
        <v>1</v>
      </c>
      <c r="CN59" s="58">
        <v>0</v>
      </c>
      <c r="CO59" s="58">
        <v>0</v>
      </c>
      <c r="CP59" s="58">
        <v>0</v>
      </c>
      <c r="CQ59" s="58">
        <v>0</v>
      </c>
      <c r="CR59" s="60">
        <f t="shared" si="42"/>
        <v>1</v>
      </c>
    </row>
    <row r="60" spans="1:96" ht="21.75" customHeight="1" x14ac:dyDescent="0.25">
      <c r="A60" s="46">
        <v>44</v>
      </c>
      <c r="B60" s="12" t="s">
        <v>131</v>
      </c>
      <c r="C60" s="98" t="s">
        <v>132</v>
      </c>
      <c r="D60" s="112">
        <v>45491</v>
      </c>
      <c r="E60" s="126">
        <v>0.58333333333333337</v>
      </c>
      <c r="F60" s="126">
        <v>0.99375000000000002</v>
      </c>
      <c r="G60" s="90">
        <v>0.35486111111111113</v>
      </c>
      <c r="H60" s="90">
        <v>0.97152777777777777</v>
      </c>
      <c r="I60" s="90">
        <v>0.35416666666666669</v>
      </c>
      <c r="J60" s="90">
        <v>0.92986111111111114</v>
      </c>
      <c r="K60" s="90">
        <v>0.3576388888888889</v>
      </c>
      <c r="L60" s="91">
        <v>1</v>
      </c>
      <c r="M60" s="90" t="s">
        <v>183</v>
      </c>
      <c r="N60" s="90" t="s">
        <v>183</v>
      </c>
      <c r="O60" s="90">
        <v>0.35486111111111113</v>
      </c>
      <c r="P60" s="90">
        <v>0.96805555555555556</v>
      </c>
      <c r="Q60" s="90">
        <v>0.35416666666666669</v>
      </c>
      <c r="R60" s="91">
        <v>1</v>
      </c>
      <c r="S60" s="120" t="s">
        <v>15</v>
      </c>
      <c r="T60" s="120" t="s">
        <v>15</v>
      </c>
      <c r="U60" s="90">
        <v>0.35486111111111113</v>
      </c>
      <c r="V60" s="90">
        <v>0.94791666666666663</v>
      </c>
      <c r="W60" s="90">
        <v>0.35347222222222219</v>
      </c>
      <c r="X60" s="90">
        <v>0.94652777777777775</v>
      </c>
      <c r="Y60" s="90">
        <v>0.3527777777777778</v>
      </c>
      <c r="Z60" s="90">
        <v>0.95138888888888884</v>
      </c>
      <c r="AA60" s="90">
        <v>0.35347222222222219</v>
      </c>
      <c r="AB60" s="90">
        <v>0.93819444444444444</v>
      </c>
      <c r="AC60" s="90">
        <v>0.3527777777777778</v>
      </c>
      <c r="AD60" s="90">
        <v>0.93819444444444444</v>
      </c>
      <c r="AE60" s="90">
        <v>0.35347222222222219</v>
      </c>
      <c r="AF60" s="90">
        <v>0.95833333333333337</v>
      </c>
      <c r="AG60" s="126">
        <v>0.58124999999999993</v>
      </c>
      <c r="AH60" s="126">
        <v>0.93055555555555547</v>
      </c>
      <c r="AJ60" s="123">
        <v>44</v>
      </c>
      <c r="AK60" s="90">
        <v>0.3527777777777778</v>
      </c>
      <c r="AL60" s="90">
        <v>0.9506944444444444</v>
      </c>
      <c r="AM60" s="90">
        <v>0.3527777777777778</v>
      </c>
      <c r="AN60" s="90">
        <v>0.95000000000000007</v>
      </c>
      <c r="AO60" s="90">
        <v>0.35416666666666669</v>
      </c>
      <c r="AP60" s="90">
        <v>0.9458333333333333</v>
      </c>
      <c r="AQ60" s="90">
        <v>0.35486111111111113</v>
      </c>
      <c r="AR60" s="90">
        <v>0.9375</v>
      </c>
      <c r="AS60" s="90">
        <v>0.35416666666666669</v>
      </c>
      <c r="AT60" s="90">
        <v>0.95138888888888884</v>
      </c>
      <c r="AU60" s="90">
        <v>0.35347222222222219</v>
      </c>
      <c r="AV60" s="90">
        <v>0.98611111111111116</v>
      </c>
      <c r="AW60" s="120" t="s">
        <v>15</v>
      </c>
      <c r="AX60" s="120" t="s">
        <v>15</v>
      </c>
      <c r="AY60" s="90">
        <v>0.35416666666666669</v>
      </c>
      <c r="AZ60" s="90">
        <v>0.9784722222222223</v>
      </c>
      <c r="BA60" s="90">
        <v>0.35416666666666669</v>
      </c>
      <c r="BB60" s="90">
        <v>2.013888888888889E-2</v>
      </c>
      <c r="BC60" s="90">
        <v>0.35416666666666669</v>
      </c>
      <c r="BD60" s="91">
        <v>1</v>
      </c>
      <c r="BE60" s="90">
        <v>0.36180555555555555</v>
      </c>
      <c r="BF60" s="90">
        <v>0.93958333333333333</v>
      </c>
      <c r="BG60" s="120" t="s">
        <v>15</v>
      </c>
      <c r="BH60" s="120" t="s">
        <v>15</v>
      </c>
      <c r="BI60" s="90">
        <v>0.35347222222222219</v>
      </c>
      <c r="BJ60" s="90">
        <v>0.98958333333333337</v>
      </c>
      <c r="BK60" s="126">
        <v>0.58263888888888882</v>
      </c>
      <c r="BL60" s="126">
        <v>0.91875000000000007</v>
      </c>
      <c r="BM60" s="90">
        <v>0.35486111111111113</v>
      </c>
      <c r="BN60" s="90">
        <v>0.9472222222222223</v>
      </c>
      <c r="BO60" s="90">
        <v>0.35416666666666669</v>
      </c>
      <c r="BP60" s="90">
        <v>0.98055555555555562</v>
      </c>
      <c r="BQ60" s="147">
        <f t="shared" si="28"/>
        <v>31</v>
      </c>
      <c r="BR60" s="81">
        <v>3</v>
      </c>
      <c r="BS60" s="2">
        <f t="shared" si="29"/>
        <v>27</v>
      </c>
      <c r="BT60" s="3">
        <f t="shared" si="30"/>
        <v>3</v>
      </c>
      <c r="BU60" s="3">
        <f t="shared" si="31"/>
        <v>0</v>
      </c>
      <c r="BV60" s="3">
        <f t="shared" si="32"/>
        <v>0</v>
      </c>
      <c r="BW60" s="3">
        <f t="shared" si="33"/>
        <v>0</v>
      </c>
      <c r="BX60" s="3">
        <f t="shared" si="34"/>
        <v>0</v>
      </c>
      <c r="BY60" s="3">
        <f t="shared" si="35"/>
        <v>0</v>
      </c>
      <c r="BZ60" s="3">
        <f t="shared" si="36"/>
        <v>1</v>
      </c>
      <c r="CA60" s="3">
        <f t="shared" si="38"/>
        <v>0</v>
      </c>
      <c r="CB60" s="3">
        <f t="shared" si="39"/>
        <v>0</v>
      </c>
      <c r="CC60" s="3">
        <f t="shared" si="40"/>
        <v>0</v>
      </c>
      <c r="CD60" s="3">
        <f t="shared" si="41"/>
        <v>0</v>
      </c>
      <c r="CE60" s="4"/>
      <c r="CH60" s="58">
        <v>0</v>
      </c>
      <c r="CI60" s="58">
        <v>0</v>
      </c>
      <c r="CJ60" s="58">
        <v>0</v>
      </c>
      <c r="CK60" s="58">
        <v>0</v>
      </c>
      <c r="CL60" s="58">
        <v>0</v>
      </c>
      <c r="CM60" s="59">
        <v>4</v>
      </c>
      <c r="CN60" s="58">
        <v>0</v>
      </c>
      <c r="CO60" s="59">
        <v>5</v>
      </c>
      <c r="CP60" s="58">
        <v>0</v>
      </c>
      <c r="CQ60" s="58">
        <v>0</v>
      </c>
      <c r="CR60" s="60">
        <f t="shared" si="42"/>
        <v>9</v>
      </c>
    </row>
    <row r="61" spans="1:96" ht="21.75" customHeight="1" x14ac:dyDescent="0.25">
      <c r="A61" s="46">
        <v>45</v>
      </c>
      <c r="B61" s="12" t="s">
        <v>133</v>
      </c>
      <c r="C61" s="98" t="s">
        <v>134</v>
      </c>
      <c r="D61" s="112">
        <v>45512</v>
      </c>
      <c r="E61" s="120" t="s">
        <v>15</v>
      </c>
      <c r="F61" s="120" t="s">
        <v>15</v>
      </c>
      <c r="G61" s="90">
        <v>0.3520833333333333</v>
      </c>
      <c r="H61" s="90">
        <v>0.97152777777777777</v>
      </c>
      <c r="I61" s="90">
        <v>0.3520833333333333</v>
      </c>
      <c r="J61" s="90">
        <v>0.94930555555555562</v>
      </c>
      <c r="K61" s="90">
        <v>0.35069444444444442</v>
      </c>
      <c r="L61" s="90">
        <v>0.9555555555555556</v>
      </c>
      <c r="M61" s="91">
        <v>1</v>
      </c>
      <c r="N61" s="90">
        <v>0.94791666666666663</v>
      </c>
      <c r="O61" s="90">
        <v>0.3520833333333333</v>
      </c>
      <c r="P61" s="90">
        <v>0.95208333333333339</v>
      </c>
      <c r="Q61" s="90">
        <v>0.35138888888888892</v>
      </c>
      <c r="R61" s="90">
        <v>0.97291666666666676</v>
      </c>
      <c r="S61" s="126">
        <v>0.58124999999999993</v>
      </c>
      <c r="T61" s="126">
        <v>0.9604166666666667</v>
      </c>
      <c r="U61" s="90">
        <v>0.35138888888888892</v>
      </c>
      <c r="V61" s="90">
        <v>0.96944444444444444</v>
      </c>
      <c r="W61" s="90">
        <v>0.35347222222222219</v>
      </c>
      <c r="X61" s="90">
        <v>0.95138888888888884</v>
      </c>
      <c r="Y61" s="90">
        <v>0.3527777777777778</v>
      </c>
      <c r="Z61" s="90">
        <v>0.95000000000000007</v>
      </c>
      <c r="AA61" s="90">
        <v>0.3527777777777778</v>
      </c>
      <c r="AB61" s="90">
        <v>0.95416666666666661</v>
      </c>
      <c r="AC61" s="90">
        <v>0.3520833333333333</v>
      </c>
      <c r="AD61" s="90">
        <v>0.95000000000000007</v>
      </c>
      <c r="AE61" s="90">
        <v>0.3520833333333333</v>
      </c>
      <c r="AF61" s="90">
        <v>0.97499999999999998</v>
      </c>
      <c r="AG61" s="120" t="s">
        <v>15</v>
      </c>
      <c r="AH61" s="120" t="s">
        <v>15</v>
      </c>
      <c r="AJ61" s="123">
        <v>45</v>
      </c>
      <c r="AK61" s="90">
        <v>0.35347222222222219</v>
      </c>
      <c r="AL61" s="90">
        <v>0.97291666666666676</v>
      </c>
      <c r="AM61" s="90">
        <v>0.3520833333333333</v>
      </c>
      <c r="AN61" s="90">
        <v>0.95208333333333339</v>
      </c>
      <c r="AO61" s="90">
        <v>0.35138888888888892</v>
      </c>
      <c r="AP61" s="90">
        <v>0.95416666666666661</v>
      </c>
      <c r="AQ61" s="90">
        <v>0.3527777777777778</v>
      </c>
      <c r="AR61" s="90">
        <v>0.94930555555555562</v>
      </c>
      <c r="AS61" s="90">
        <v>0.35555555555555557</v>
      </c>
      <c r="AT61" s="90">
        <v>0.95277777777777783</v>
      </c>
      <c r="AU61" s="90">
        <v>0.35138888888888892</v>
      </c>
      <c r="AV61" s="90">
        <v>0.97361111111111109</v>
      </c>
      <c r="AW61" s="126">
        <v>0.57708333333333328</v>
      </c>
      <c r="AX61" s="126">
        <v>0.9506944444444444</v>
      </c>
      <c r="AY61" s="90">
        <v>0.3520833333333333</v>
      </c>
      <c r="AZ61" s="90">
        <v>0.96805555555555556</v>
      </c>
      <c r="BA61" s="90">
        <v>0.3520833333333333</v>
      </c>
      <c r="BB61" s="90">
        <v>0.95486111111111116</v>
      </c>
      <c r="BC61" s="90">
        <v>0.3520833333333333</v>
      </c>
      <c r="BD61" s="90">
        <v>0.97291666666666676</v>
      </c>
      <c r="BE61" s="90">
        <v>0.3520833333333333</v>
      </c>
      <c r="BF61" s="90">
        <v>0.97083333333333333</v>
      </c>
      <c r="BG61" s="120" t="s">
        <v>15</v>
      </c>
      <c r="BH61" s="120" t="s">
        <v>15</v>
      </c>
      <c r="BI61" s="90">
        <v>0.3527777777777778</v>
      </c>
      <c r="BJ61" s="91">
        <v>1</v>
      </c>
      <c r="BK61" s="120" t="s">
        <v>15</v>
      </c>
      <c r="BL61" s="120" t="s">
        <v>15</v>
      </c>
      <c r="BM61" s="90">
        <v>0.35347222222222219</v>
      </c>
      <c r="BN61" s="90">
        <v>0.96875</v>
      </c>
      <c r="BO61" s="90">
        <v>0.3520833333333333</v>
      </c>
      <c r="BP61" s="90">
        <v>0.95486111111111116</v>
      </c>
      <c r="BQ61" s="147">
        <f t="shared" si="28"/>
        <v>31</v>
      </c>
      <c r="BR61" s="81">
        <v>2</v>
      </c>
      <c r="BS61" s="2">
        <f t="shared" si="29"/>
        <v>27</v>
      </c>
      <c r="BT61" s="3">
        <f t="shared" si="30"/>
        <v>4</v>
      </c>
      <c r="BU61" s="3">
        <f t="shared" si="31"/>
        <v>0</v>
      </c>
      <c r="BV61" s="3">
        <f t="shared" si="32"/>
        <v>0</v>
      </c>
      <c r="BW61" s="3">
        <f t="shared" si="33"/>
        <v>0</v>
      </c>
      <c r="BX61" s="3">
        <f t="shared" si="34"/>
        <v>0</v>
      </c>
      <c r="BY61" s="3">
        <f t="shared" si="35"/>
        <v>0</v>
      </c>
      <c r="BZ61" s="3">
        <f t="shared" si="36"/>
        <v>0</v>
      </c>
      <c r="CA61" s="3">
        <f t="shared" si="38"/>
        <v>0</v>
      </c>
      <c r="CB61" s="3">
        <f t="shared" si="39"/>
        <v>0</v>
      </c>
      <c r="CC61" s="3">
        <f t="shared" si="40"/>
        <v>0</v>
      </c>
      <c r="CD61" s="3">
        <f t="shared" si="41"/>
        <v>0</v>
      </c>
      <c r="CE61" s="4"/>
      <c r="CH61" s="58">
        <v>0</v>
      </c>
      <c r="CI61" s="58">
        <v>0</v>
      </c>
      <c r="CJ61" s="58">
        <v>0</v>
      </c>
      <c r="CK61" s="58">
        <v>0</v>
      </c>
      <c r="CL61" s="58">
        <v>0</v>
      </c>
      <c r="CM61" s="58">
        <v>5</v>
      </c>
      <c r="CN61" s="58">
        <v>0</v>
      </c>
      <c r="CO61" s="59">
        <v>1</v>
      </c>
      <c r="CP61" s="58">
        <v>0</v>
      </c>
      <c r="CQ61" s="58">
        <v>0</v>
      </c>
      <c r="CR61" s="60">
        <f t="shared" si="42"/>
        <v>6</v>
      </c>
    </row>
    <row r="62" spans="1:96" ht="21.75" customHeight="1" x14ac:dyDescent="0.25">
      <c r="A62" s="46">
        <v>46</v>
      </c>
      <c r="B62" s="12" t="s">
        <v>135</v>
      </c>
      <c r="C62" s="98" t="s">
        <v>243</v>
      </c>
      <c r="D62" s="112">
        <v>45536</v>
      </c>
      <c r="E62" s="126">
        <v>0.58333333333333337</v>
      </c>
      <c r="F62" s="126">
        <v>0.99375000000000002</v>
      </c>
      <c r="G62" s="90">
        <v>0.35486111111111113</v>
      </c>
      <c r="H62" s="90">
        <v>0.96944444444444444</v>
      </c>
      <c r="I62" s="90">
        <v>0.3520833333333333</v>
      </c>
      <c r="J62" s="90">
        <v>0.92986111111111114</v>
      </c>
      <c r="K62" s="90">
        <v>0.3576388888888889</v>
      </c>
      <c r="L62" s="90">
        <v>0.9590277777777777</v>
      </c>
      <c r="M62" s="90">
        <v>0.3527777777777778</v>
      </c>
      <c r="N62" s="90">
        <v>0.95624999999999993</v>
      </c>
      <c r="O62" s="90">
        <v>0.35416666666666669</v>
      </c>
      <c r="P62" s="90">
        <v>0.96805555555555556</v>
      </c>
      <c r="Q62" s="90">
        <v>0.35347222222222219</v>
      </c>
      <c r="R62" s="90">
        <v>0.9819444444444444</v>
      </c>
      <c r="S62" s="126">
        <v>0.58333333333333337</v>
      </c>
      <c r="T62" s="126">
        <v>0.91875000000000007</v>
      </c>
      <c r="U62" s="90">
        <v>0.35347222222222219</v>
      </c>
      <c r="V62" s="90">
        <v>0.94236111111111109</v>
      </c>
      <c r="W62" s="90">
        <v>0.3520833333333333</v>
      </c>
      <c r="X62" s="90">
        <v>0.94513888888888886</v>
      </c>
      <c r="Y62" s="90">
        <v>0.3520833333333333</v>
      </c>
      <c r="Z62" s="90">
        <v>0.9506944444444444</v>
      </c>
      <c r="AA62" s="90">
        <v>0.3520833333333333</v>
      </c>
      <c r="AB62" s="90">
        <v>0.93819444444444444</v>
      </c>
      <c r="AC62" s="90">
        <v>0.35416666666666669</v>
      </c>
      <c r="AD62" s="90">
        <v>0.93611111111111101</v>
      </c>
      <c r="AE62" s="90">
        <v>0.3520833333333333</v>
      </c>
      <c r="AF62" s="90">
        <v>0.95833333333333337</v>
      </c>
      <c r="AG62" s="120" t="s">
        <v>15</v>
      </c>
      <c r="AH62" s="120" t="s">
        <v>15</v>
      </c>
      <c r="AJ62" s="123">
        <v>46</v>
      </c>
      <c r="AK62" s="90">
        <v>0.35138888888888892</v>
      </c>
      <c r="AL62" s="90">
        <v>0.94930555555555562</v>
      </c>
      <c r="AM62" s="90">
        <v>0.35347222222222219</v>
      </c>
      <c r="AN62" s="90">
        <v>0.95000000000000007</v>
      </c>
      <c r="AO62" s="90">
        <v>0.35416666666666669</v>
      </c>
      <c r="AP62" s="90">
        <v>0.94444444444444453</v>
      </c>
      <c r="AQ62" s="90">
        <v>0.35347222222222219</v>
      </c>
      <c r="AR62" s="90">
        <v>0.9375</v>
      </c>
      <c r="AS62" s="90">
        <v>0.35486111111111113</v>
      </c>
      <c r="AT62" s="90">
        <v>0.9506944444444444</v>
      </c>
      <c r="AU62" s="90">
        <v>0.35416666666666669</v>
      </c>
      <c r="AV62" s="90">
        <v>0.98541666666666661</v>
      </c>
      <c r="AW62" s="126">
        <v>0.58263888888888882</v>
      </c>
      <c r="AX62" s="126">
        <v>0.92847222222222225</v>
      </c>
      <c r="AY62" s="90">
        <v>0.35486111111111113</v>
      </c>
      <c r="AZ62" s="90">
        <v>0.9770833333333333</v>
      </c>
      <c r="BA62" s="90">
        <v>0.35486111111111113</v>
      </c>
      <c r="BB62" s="90">
        <v>1.9444444444444445E-2</v>
      </c>
      <c r="BC62" s="90">
        <v>0.35833333333333334</v>
      </c>
      <c r="BD62" s="91">
        <v>1</v>
      </c>
      <c r="BE62" s="90">
        <v>0.36319444444444443</v>
      </c>
      <c r="BF62" s="90">
        <v>0.95138888888888884</v>
      </c>
      <c r="BG62" s="120" t="s">
        <v>15</v>
      </c>
      <c r="BH62" s="120" t="s">
        <v>15</v>
      </c>
      <c r="BI62" s="90">
        <v>0.35694444444444445</v>
      </c>
      <c r="BJ62" s="90">
        <v>0.98958333333333337</v>
      </c>
      <c r="BK62" s="120" t="s">
        <v>15</v>
      </c>
      <c r="BL62" s="120" t="s">
        <v>15</v>
      </c>
      <c r="BM62" s="90">
        <v>0.35555555555555557</v>
      </c>
      <c r="BN62" s="90">
        <v>0.94930555555555562</v>
      </c>
      <c r="BO62" s="90">
        <v>0.35069444444444442</v>
      </c>
      <c r="BP62" s="90">
        <v>0.98055555555555562</v>
      </c>
      <c r="BQ62" s="147">
        <f t="shared" si="28"/>
        <v>31</v>
      </c>
      <c r="BR62" s="81">
        <v>3</v>
      </c>
      <c r="BS62" s="2">
        <f t="shared" si="29"/>
        <v>28</v>
      </c>
      <c r="BT62" s="3">
        <f t="shared" si="30"/>
        <v>3</v>
      </c>
      <c r="BU62" s="3">
        <f t="shared" si="31"/>
        <v>0</v>
      </c>
      <c r="BV62" s="3">
        <f t="shared" si="32"/>
        <v>0</v>
      </c>
      <c r="BW62" s="3">
        <f t="shared" si="33"/>
        <v>0</v>
      </c>
      <c r="BX62" s="3">
        <f t="shared" si="34"/>
        <v>0</v>
      </c>
      <c r="BY62" s="3">
        <f t="shared" si="35"/>
        <v>0</v>
      </c>
      <c r="BZ62" s="3">
        <f t="shared" si="36"/>
        <v>0</v>
      </c>
      <c r="CA62" s="3">
        <f t="shared" si="38"/>
        <v>0</v>
      </c>
      <c r="CB62" s="3">
        <f t="shared" si="39"/>
        <v>0</v>
      </c>
      <c r="CC62" s="3">
        <f t="shared" si="40"/>
        <v>0</v>
      </c>
      <c r="CD62" s="3">
        <f t="shared" si="41"/>
        <v>0</v>
      </c>
      <c r="CE62" s="4"/>
      <c r="CH62" s="58">
        <v>0</v>
      </c>
      <c r="CI62" s="58">
        <v>0</v>
      </c>
      <c r="CJ62" s="58">
        <v>0</v>
      </c>
      <c r="CK62" s="59">
        <v>8</v>
      </c>
      <c r="CL62" s="58">
        <v>0</v>
      </c>
      <c r="CM62" s="59">
        <v>4</v>
      </c>
      <c r="CN62" s="58">
        <v>0</v>
      </c>
      <c r="CO62" s="58">
        <v>0</v>
      </c>
      <c r="CP62" s="58">
        <v>0</v>
      </c>
      <c r="CQ62" s="58">
        <v>0</v>
      </c>
      <c r="CR62" s="60">
        <f t="shared" si="42"/>
        <v>12</v>
      </c>
    </row>
    <row r="63" spans="1:96" ht="21.75" customHeight="1" x14ac:dyDescent="0.25">
      <c r="A63" s="46">
        <v>47</v>
      </c>
      <c r="B63" s="12" t="s">
        <v>138</v>
      </c>
      <c r="C63" s="98" t="s">
        <v>284</v>
      </c>
      <c r="D63" s="112">
        <v>45562</v>
      </c>
      <c r="E63" s="126">
        <v>0.57847222222222217</v>
      </c>
      <c r="F63" s="126">
        <v>0.91527777777777775</v>
      </c>
      <c r="G63" s="90">
        <v>0.33958333333333335</v>
      </c>
      <c r="H63" s="90">
        <v>0.91666666666666663</v>
      </c>
      <c r="I63" s="90">
        <v>0.42986111111111108</v>
      </c>
      <c r="J63" s="90">
        <v>0.9159722222222223</v>
      </c>
      <c r="K63" s="90">
        <v>0.42708333333333331</v>
      </c>
      <c r="L63" s="90">
        <v>0.42708333333333331</v>
      </c>
      <c r="M63" s="91">
        <v>1</v>
      </c>
      <c r="N63" s="90">
        <v>0.93333333333333324</v>
      </c>
      <c r="O63" s="90">
        <v>0.42291666666666666</v>
      </c>
      <c r="P63" s="90">
        <v>0.94652777777777775</v>
      </c>
      <c r="Q63" s="90">
        <v>0.42152777777777778</v>
      </c>
      <c r="R63" s="91">
        <v>1</v>
      </c>
      <c r="S63" s="126">
        <v>0.56944444444444442</v>
      </c>
      <c r="T63" s="126">
        <v>0.93333333333333324</v>
      </c>
      <c r="U63" s="90">
        <v>0.34097222222222223</v>
      </c>
      <c r="V63" s="90">
        <v>0.96388888888888891</v>
      </c>
      <c r="W63" s="90">
        <v>0.35694444444444445</v>
      </c>
      <c r="X63" s="90">
        <v>0.94444444444444453</v>
      </c>
      <c r="Y63" s="90">
        <v>0.41736111111111113</v>
      </c>
      <c r="Z63" s="91">
        <v>1</v>
      </c>
      <c r="AA63" s="90">
        <v>0.41875000000000001</v>
      </c>
      <c r="AB63" s="90">
        <v>0.91666666666666663</v>
      </c>
      <c r="AC63" s="90">
        <v>0.47638888888888892</v>
      </c>
      <c r="AD63" s="90">
        <v>0.91527777777777775</v>
      </c>
      <c r="AE63" s="90">
        <v>0.4236111111111111</v>
      </c>
      <c r="AF63" s="90">
        <v>0.42430555555555555</v>
      </c>
      <c r="AG63" s="126">
        <v>0.56527777777777777</v>
      </c>
      <c r="AH63" s="126">
        <v>0.93541666666666667</v>
      </c>
      <c r="AJ63" s="123">
        <v>47</v>
      </c>
      <c r="AK63" s="90">
        <v>0.34166666666666662</v>
      </c>
      <c r="AL63" s="91">
        <v>1</v>
      </c>
      <c r="AM63" s="90">
        <v>0.41944444444444445</v>
      </c>
      <c r="AN63" s="90">
        <v>0.95624999999999993</v>
      </c>
      <c r="AO63" s="90">
        <v>0.42986111111111108</v>
      </c>
      <c r="AP63" s="91">
        <v>1</v>
      </c>
      <c r="AQ63" s="90">
        <v>0.41805555555555557</v>
      </c>
      <c r="AR63" s="91">
        <v>1</v>
      </c>
      <c r="AS63" s="90">
        <v>0.42291666666666666</v>
      </c>
      <c r="AT63" s="90">
        <v>0.93541666666666667</v>
      </c>
      <c r="AU63" s="90">
        <v>0.43263888888888885</v>
      </c>
      <c r="AV63" s="90">
        <v>0.95833333333333337</v>
      </c>
      <c r="AW63" s="126">
        <v>0.57500000000000007</v>
      </c>
      <c r="AX63" s="126">
        <v>0.92638888888888893</v>
      </c>
      <c r="AY63" s="90">
        <v>0.34166666666666662</v>
      </c>
      <c r="AZ63" s="91">
        <v>1</v>
      </c>
      <c r="BA63" s="90">
        <v>0.34375</v>
      </c>
      <c r="BB63" s="90">
        <v>0.91666666666666663</v>
      </c>
      <c r="BC63" s="90">
        <v>0.34097222222222223</v>
      </c>
      <c r="BD63" s="90">
        <v>0.98125000000000007</v>
      </c>
      <c r="BE63" s="90">
        <v>0.34722222222222227</v>
      </c>
      <c r="BF63" s="91">
        <v>1</v>
      </c>
      <c r="BG63" s="120">
        <v>1</v>
      </c>
      <c r="BH63" s="120">
        <v>1</v>
      </c>
      <c r="BI63" s="90">
        <v>0.3354166666666667</v>
      </c>
      <c r="BJ63" s="91">
        <v>1</v>
      </c>
      <c r="BK63" s="126">
        <v>0.56805555555555554</v>
      </c>
      <c r="BL63" s="126">
        <v>0.94861111111111107</v>
      </c>
      <c r="BM63" s="90">
        <v>0.3611111111111111</v>
      </c>
      <c r="BN63" s="91">
        <v>1</v>
      </c>
      <c r="BO63" s="90">
        <v>0.42638888888888887</v>
      </c>
      <c r="BP63" s="90">
        <v>0.91666666666666663</v>
      </c>
      <c r="BQ63" s="147">
        <f t="shared" si="28"/>
        <v>31</v>
      </c>
      <c r="BR63" s="81">
        <v>6</v>
      </c>
      <c r="BS63" s="2">
        <f t="shared" si="29"/>
        <v>31</v>
      </c>
      <c r="BT63" s="3">
        <f t="shared" si="30"/>
        <v>0</v>
      </c>
      <c r="BU63" s="3">
        <f t="shared" si="31"/>
        <v>0</v>
      </c>
      <c r="BV63" s="3">
        <f t="shared" si="32"/>
        <v>0</v>
      </c>
      <c r="BW63" s="3">
        <f t="shared" si="33"/>
        <v>0</v>
      </c>
      <c r="BX63" s="3">
        <f t="shared" si="34"/>
        <v>0</v>
      </c>
      <c r="BY63" s="3">
        <f t="shared" si="35"/>
        <v>0</v>
      </c>
      <c r="BZ63" s="3">
        <f t="shared" si="36"/>
        <v>0</v>
      </c>
      <c r="CA63" s="3">
        <f t="shared" si="38"/>
        <v>0</v>
      </c>
      <c r="CB63" s="3">
        <f t="shared" si="39"/>
        <v>0</v>
      </c>
      <c r="CC63" s="3">
        <f t="shared" si="40"/>
        <v>0</v>
      </c>
      <c r="CD63" s="3">
        <f t="shared" si="41"/>
        <v>0</v>
      </c>
      <c r="CE63" s="86" t="s">
        <v>283</v>
      </c>
      <c r="CH63" s="58">
        <v>0</v>
      </c>
      <c r="CI63" s="58">
        <v>0</v>
      </c>
      <c r="CJ63" s="58">
        <v>0</v>
      </c>
      <c r="CK63" s="58">
        <v>0</v>
      </c>
      <c r="CL63" s="58">
        <v>0</v>
      </c>
      <c r="CM63" s="58">
        <v>0</v>
      </c>
      <c r="CN63" s="58">
        <v>0</v>
      </c>
      <c r="CO63" s="58">
        <v>0</v>
      </c>
      <c r="CP63" s="58">
        <v>0</v>
      </c>
      <c r="CQ63" s="58">
        <v>0</v>
      </c>
      <c r="CR63" s="60">
        <f t="shared" si="42"/>
        <v>0</v>
      </c>
    </row>
    <row r="64" spans="1:96" ht="21.75" customHeight="1" x14ac:dyDescent="0.25">
      <c r="A64" s="46">
        <v>48</v>
      </c>
      <c r="B64" s="12" t="s">
        <v>185</v>
      </c>
      <c r="C64" s="98" t="s">
        <v>184</v>
      </c>
      <c r="D64" s="112">
        <v>45562</v>
      </c>
      <c r="E64" s="126">
        <v>0.57708333333333328</v>
      </c>
      <c r="F64" s="126">
        <v>0.91527777777777775</v>
      </c>
      <c r="G64" s="90">
        <v>0.34791666666666665</v>
      </c>
      <c r="H64" s="90">
        <v>0.9604166666666667</v>
      </c>
      <c r="I64" s="90">
        <v>0.34652777777777777</v>
      </c>
      <c r="J64" s="90">
        <v>0.94374999999999998</v>
      </c>
      <c r="K64" s="90">
        <v>0.35833333333333334</v>
      </c>
      <c r="L64" s="90">
        <v>0.96805555555555556</v>
      </c>
      <c r="M64" s="91">
        <v>1</v>
      </c>
      <c r="N64" s="90">
        <v>0.94513888888888886</v>
      </c>
      <c r="O64" s="90">
        <v>0.34930555555555554</v>
      </c>
      <c r="P64" s="90">
        <v>0.95416666666666661</v>
      </c>
      <c r="Q64" s="90">
        <v>0.34722222222222227</v>
      </c>
      <c r="R64" s="90">
        <v>0.93472222222222223</v>
      </c>
      <c r="S64" s="120" t="s">
        <v>15</v>
      </c>
      <c r="T64" s="120" t="s">
        <v>15</v>
      </c>
      <c r="U64" s="90">
        <v>0.34722222222222227</v>
      </c>
      <c r="V64" s="90">
        <v>0.94305555555555554</v>
      </c>
      <c r="W64" s="90">
        <v>0.34722222222222227</v>
      </c>
      <c r="X64" s="90">
        <v>0.93263888888888891</v>
      </c>
      <c r="Y64" s="90">
        <v>0.34583333333333338</v>
      </c>
      <c r="Z64" s="90">
        <v>0.93680555555555556</v>
      </c>
      <c r="AA64" s="90">
        <v>0.34513888888888888</v>
      </c>
      <c r="AB64" s="90">
        <v>0.92569444444444438</v>
      </c>
      <c r="AC64" s="90">
        <v>0.34722222222222227</v>
      </c>
      <c r="AD64" s="91">
        <v>1</v>
      </c>
      <c r="AE64" s="90">
        <v>0.52500000000000002</v>
      </c>
      <c r="AF64" s="90">
        <v>0.94861111111111107</v>
      </c>
      <c r="AG64" s="126">
        <v>0.58194444444444449</v>
      </c>
      <c r="AH64" s="126">
        <v>0.9194444444444444</v>
      </c>
      <c r="AJ64" s="123">
        <v>48</v>
      </c>
      <c r="AK64" s="90">
        <v>0.34583333333333338</v>
      </c>
      <c r="AL64" s="90">
        <v>0.94444444444444453</v>
      </c>
      <c r="AM64" s="90">
        <v>0.34652777777777777</v>
      </c>
      <c r="AN64" s="90">
        <v>0.94513888888888886</v>
      </c>
      <c r="AO64" s="90">
        <v>0.34583333333333338</v>
      </c>
      <c r="AP64" s="90">
        <v>0.91875000000000007</v>
      </c>
      <c r="AQ64" s="90">
        <v>0.34861111111111115</v>
      </c>
      <c r="AR64" s="90">
        <v>0.92013888888888884</v>
      </c>
      <c r="AS64" s="90">
        <v>0.34791666666666665</v>
      </c>
      <c r="AT64" s="90">
        <v>0.94027777777777777</v>
      </c>
      <c r="AU64" s="90">
        <v>0.34722222222222227</v>
      </c>
      <c r="AV64" s="90">
        <v>0.95208333333333339</v>
      </c>
      <c r="AW64" s="120" t="s">
        <v>15</v>
      </c>
      <c r="AX64" s="120" t="s">
        <v>15</v>
      </c>
      <c r="AY64" s="90">
        <v>0.34930555555555554</v>
      </c>
      <c r="AZ64" s="90">
        <v>0.94097222222222221</v>
      </c>
      <c r="BA64" s="90">
        <v>0.34583333333333338</v>
      </c>
      <c r="BB64" s="90">
        <v>0.95972222222222225</v>
      </c>
      <c r="BC64" s="90">
        <v>0.34652777777777777</v>
      </c>
      <c r="BD64" s="90">
        <v>0.99097222222222225</v>
      </c>
      <c r="BE64" s="90">
        <v>0.34513888888888888</v>
      </c>
      <c r="BF64" s="90">
        <v>0.98333333333333339</v>
      </c>
      <c r="BG64" s="120" t="s">
        <v>15</v>
      </c>
      <c r="BH64" s="120" t="s">
        <v>15</v>
      </c>
      <c r="BI64" s="90">
        <v>0.34791666666666665</v>
      </c>
      <c r="BJ64" s="90">
        <v>0.96527777777777779</v>
      </c>
      <c r="BK64" s="126">
        <v>0.57500000000000007</v>
      </c>
      <c r="BL64" s="126">
        <v>0.8930555555555556</v>
      </c>
      <c r="BM64" s="90">
        <v>0.34861111111111115</v>
      </c>
      <c r="BN64" s="91">
        <v>1</v>
      </c>
      <c r="BO64" s="90">
        <v>0.35000000000000003</v>
      </c>
      <c r="BP64" s="90">
        <v>0.9375</v>
      </c>
      <c r="BQ64" s="147">
        <f t="shared" si="28"/>
        <v>31</v>
      </c>
      <c r="BR64" s="81">
        <v>3</v>
      </c>
      <c r="BS64" s="2">
        <f t="shared" si="29"/>
        <v>28</v>
      </c>
      <c r="BT64" s="3">
        <f t="shared" ref="BT64:BT98" si="43">COUNTIF(E64:BP64,"OFF")/2</f>
        <v>3</v>
      </c>
      <c r="BU64" s="3">
        <f t="shared" ref="BU64:BU98" si="44">COUNTIF(E64:BP64,"MC")/2</f>
        <v>0</v>
      </c>
      <c r="BV64" s="3">
        <f t="shared" ref="BV64:BV98" si="45">COUNTIF(E64:BP64,"EL")/2</f>
        <v>0</v>
      </c>
      <c r="BW64" s="3">
        <f t="shared" ref="BW64:BW98" si="46">COUNTIF(E64:BP64,"AL")/2</f>
        <v>0</v>
      </c>
      <c r="BX64" s="3">
        <f t="shared" ref="BX64:BX98" si="47">COUNTIF(E64:BP64,"SUS")/2</f>
        <v>0</v>
      </c>
      <c r="BY64" s="3">
        <f t="shared" ref="BY64:BY98" si="48">COUNTIF(E64:BN64,"FL")/2</f>
        <v>0</v>
      </c>
      <c r="BZ64" s="3">
        <f t="shared" si="36"/>
        <v>0</v>
      </c>
      <c r="CA64" s="3">
        <f t="shared" si="38"/>
        <v>0</v>
      </c>
      <c r="CB64" s="3">
        <f t="shared" si="39"/>
        <v>0</v>
      </c>
      <c r="CC64" s="3">
        <f t="shared" si="40"/>
        <v>0</v>
      </c>
      <c r="CD64" s="3">
        <f t="shared" si="41"/>
        <v>0</v>
      </c>
      <c r="CE64" s="4"/>
      <c r="CH64" s="58">
        <v>0</v>
      </c>
      <c r="CI64" s="58">
        <v>0</v>
      </c>
      <c r="CJ64" s="58">
        <v>0</v>
      </c>
      <c r="CK64" s="58">
        <v>0</v>
      </c>
      <c r="CL64" s="58">
        <v>0</v>
      </c>
      <c r="CM64" s="59">
        <v>3</v>
      </c>
      <c r="CN64" s="58">
        <v>0</v>
      </c>
      <c r="CO64" s="58">
        <v>0</v>
      </c>
      <c r="CP64" s="58">
        <v>0</v>
      </c>
      <c r="CQ64" s="58">
        <v>0</v>
      </c>
      <c r="CR64" s="60">
        <f t="shared" si="42"/>
        <v>3</v>
      </c>
    </row>
    <row r="65" spans="1:96" ht="21.75" customHeight="1" x14ac:dyDescent="0.25">
      <c r="A65" s="46">
        <v>49</v>
      </c>
      <c r="B65" s="12" t="s">
        <v>139</v>
      </c>
      <c r="C65" s="98" t="s">
        <v>140</v>
      </c>
      <c r="D65" s="112">
        <v>45612</v>
      </c>
      <c r="E65" s="126">
        <v>0.57291666666666663</v>
      </c>
      <c r="F65" s="127">
        <v>1</v>
      </c>
      <c r="G65" s="90">
        <v>0.34236111111111112</v>
      </c>
      <c r="H65" s="90">
        <v>0.97361111111111109</v>
      </c>
      <c r="I65" s="90">
        <v>0.34583333333333338</v>
      </c>
      <c r="J65" s="90">
        <v>0.9555555555555556</v>
      </c>
      <c r="K65" s="90">
        <v>0.34583333333333338</v>
      </c>
      <c r="L65" s="91">
        <v>1</v>
      </c>
      <c r="M65" s="90">
        <v>0.35486111111111113</v>
      </c>
      <c r="N65" s="90">
        <v>0.96111111111111114</v>
      </c>
      <c r="O65" s="90">
        <v>0.34375</v>
      </c>
      <c r="P65" s="90">
        <v>0.95486111111111116</v>
      </c>
      <c r="Q65" s="90">
        <v>0.34513888888888888</v>
      </c>
      <c r="R65" s="90">
        <v>0.98819444444444438</v>
      </c>
      <c r="S65" s="120" t="s">
        <v>15</v>
      </c>
      <c r="T65" s="120" t="s">
        <v>15</v>
      </c>
      <c r="U65" s="90">
        <v>0.3444444444444445</v>
      </c>
      <c r="V65" s="90">
        <v>0.9784722222222223</v>
      </c>
      <c r="W65" s="90">
        <v>0.3430555555555555</v>
      </c>
      <c r="X65" s="90">
        <v>0.9590277777777777</v>
      </c>
      <c r="Y65" s="90">
        <v>0.34166666666666662</v>
      </c>
      <c r="Z65" s="90">
        <v>0.9590277777777777</v>
      </c>
      <c r="AA65" s="90">
        <v>0.3444444444444445</v>
      </c>
      <c r="AB65" s="90">
        <v>0.9604166666666667</v>
      </c>
      <c r="AC65" s="90">
        <v>0.3444444444444445</v>
      </c>
      <c r="AD65" s="90">
        <v>0.95833333333333337</v>
      </c>
      <c r="AE65" s="90">
        <v>0.3430555555555555</v>
      </c>
      <c r="AF65" s="90">
        <v>0.97569444444444453</v>
      </c>
      <c r="AG65" s="126">
        <v>0.56527777777777777</v>
      </c>
      <c r="AH65" s="126">
        <v>0.95416666666666661</v>
      </c>
      <c r="AJ65" s="123">
        <v>49</v>
      </c>
      <c r="AK65" s="90">
        <v>0.34236111111111112</v>
      </c>
      <c r="AL65" s="90">
        <v>0.97569444444444453</v>
      </c>
      <c r="AM65" s="90">
        <v>0.34166666666666662</v>
      </c>
      <c r="AN65" s="90">
        <v>0.95972222222222225</v>
      </c>
      <c r="AO65" s="90">
        <v>0.34375</v>
      </c>
      <c r="AP65" s="90">
        <v>0.95763888888888893</v>
      </c>
      <c r="AQ65" s="90">
        <v>0.34027777777777773</v>
      </c>
      <c r="AR65" s="90">
        <v>0.95486111111111116</v>
      </c>
      <c r="AS65" s="90">
        <v>0.3430555555555555</v>
      </c>
      <c r="AT65" s="90">
        <v>0.96944444444444444</v>
      </c>
      <c r="AU65" s="90">
        <v>0.33888888888888885</v>
      </c>
      <c r="AV65" s="90">
        <v>0.97777777777777775</v>
      </c>
      <c r="AW65" s="120" t="s">
        <v>15</v>
      </c>
      <c r="AX65" s="120" t="s">
        <v>15</v>
      </c>
      <c r="AY65" s="90">
        <v>0.34513888888888888</v>
      </c>
      <c r="AZ65" s="90">
        <v>0.97499999999999998</v>
      </c>
      <c r="BA65" s="90">
        <v>0.3430555555555555</v>
      </c>
      <c r="BB65" s="90">
        <v>0.9506944444444444</v>
      </c>
      <c r="BC65" s="90">
        <v>0.3444444444444445</v>
      </c>
      <c r="BD65" s="90">
        <v>0.97430555555555554</v>
      </c>
      <c r="BE65" s="90">
        <v>0.3430555555555555</v>
      </c>
      <c r="BF65" s="90">
        <v>0.99097222222222225</v>
      </c>
      <c r="BG65" s="120" t="s">
        <v>15</v>
      </c>
      <c r="BH65" s="120" t="s">
        <v>15</v>
      </c>
      <c r="BI65" s="90">
        <v>0.3430555555555555</v>
      </c>
      <c r="BJ65" s="90">
        <v>0.98958333333333337</v>
      </c>
      <c r="BK65" s="126">
        <v>0.56944444444444442</v>
      </c>
      <c r="BL65" s="126">
        <v>0.95347222222222217</v>
      </c>
      <c r="BM65" s="90">
        <v>0.34375</v>
      </c>
      <c r="BN65" s="90">
        <v>0.97430555555555554</v>
      </c>
      <c r="BO65" s="90">
        <v>0.34236111111111112</v>
      </c>
      <c r="BP65" s="90">
        <v>0.96458333333333324</v>
      </c>
      <c r="BQ65" s="147">
        <f t="shared" si="28"/>
        <v>31</v>
      </c>
      <c r="BR65" s="81">
        <v>3</v>
      </c>
      <c r="BS65" s="2">
        <f t="shared" si="29"/>
        <v>28</v>
      </c>
      <c r="BT65" s="3">
        <f t="shared" si="43"/>
        <v>3</v>
      </c>
      <c r="BU65" s="3">
        <f t="shared" si="44"/>
        <v>0</v>
      </c>
      <c r="BV65" s="3">
        <f t="shared" si="45"/>
        <v>0</v>
      </c>
      <c r="BW65" s="3">
        <f t="shared" si="46"/>
        <v>0</v>
      </c>
      <c r="BX65" s="3">
        <f t="shared" si="47"/>
        <v>0</v>
      </c>
      <c r="BY65" s="3">
        <f t="shared" si="48"/>
        <v>0</v>
      </c>
      <c r="BZ65" s="3">
        <f t="shared" si="36"/>
        <v>0</v>
      </c>
      <c r="CA65" s="3">
        <f t="shared" si="38"/>
        <v>0</v>
      </c>
      <c r="CB65" s="3">
        <f t="shared" si="39"/>
        <v>0</v>
      </c>
      <c r="CC65" s="3">
        <f t="shared" si="40"/>
        <v>0</v>
      </c>
      <c r="CD65" s="3">
        <f t="shared" si="41"/>
        <v>0</v>
      </c>
      <c r="CE65" s="4"/>
      <c r="CH65" s="58">
        <v>0</v>
      </c>
      <c r="CI65" s="58">
        <v>0</v>
      </c>
      <c r="CJ65" s="58">
        <v>0</v>
      </c>
      <c r="CK65" s="58">
        <v>0</v>
      </c>
      <c r="CL65" s="58">
        <v>0</v>
      </c>
      <c r="CM65" s="58">
        <v>0</v>
      </c>
      <c r="CN65" s="58">
        <v>0</v>
      </c>
      <c r="CO65" s="58">
        <v>0</v>
      </c>
      <c r="CP65" s="58">
        <v>0</v>
      </c>
      <c r="CQ65" s="58">
        <v>0</v>
      </c>
      <c r="CR65" s="60">
        <f t="shared" si="42"/>
        <v>0</v>
      </c>
    </row>
    <row r="66" spans="1:96" ht="21.75" customHeight="1" x14ac:dyDescent="0.25">
      <c r="A66" s="46">
        <v>50</v>
      </c>
      <c r="B66" s="12" t="s">
        <v>147</v>
      </c>
      <c r="C66" s="98" t="s">
        <v>148</v>
      </c>
      <c r="D66" s="112">
        <v>45653</v>
      </c>
      <c r="E66" s="120" t="s">
        <v>15</v>
      </c>
      <c r="F66" s="120" t="s">
        <v>15</v>
      </c>
      <c r="G66" s="90">
        <v>0.3430555555555555</v>
      </c>
      <c r="H66" s="90">
        <v>0.96944444444444444</v>
      </c>
      <c r="I66" s="90">
        <v>0.34375</v>
      </c>
      <c r="J66" s="90">
        <v>0.92847222222222225</v>
      </c>
      <c r="K66" s="90">
        <v>0.34722222222222227</v>
      </c>
      <c r="L66" s="90">
        <v>0.95833333333333337</v>
      </c>
      <c r="M66" s="90">
        <v>0.35138888888888892</v>
      </c>
      <c r="N66" s="90">
        <v>0.9375</v>
      </c>
      <c r="O66" s="90">
        <v>0.35138888888888892</v>
      </c>
      <c r="P66" s="90">
        <v>0.96875</v>
      </c>
      <c r="Q66" s="90">
        <v>0.35138888888888892</v>
      </c>
      <c r="R66" s="90">
        <v>0.98125000000000007</v>
      </c>
      <c r="S66" s="126">
        <v>0.55902777777777779</v>
      </c>
      <c r="T66" s="126">
        <v>0.92152777777777783</v>
      </c>
      <c r="U66" s="90">
        <v>0.35069444444444442</v>
      </c>
      <c r="V66" s="90">
        <v>0.94236111111111109</v>
      </c>
      <c r="W66" s="90">
        <v>0.34791666666666665</v>
      </c>
      <c r="X66" s="90">
        <v>0.95208333333333339</v>
      </c>
      <c r="Y66" s="90">
        <v>0.35000000000000003</v>
      </c>
      <c r="Z66" s="90">
        <v>0.95138888888888884</v>
      </c>
      <c r="AA66" s="90">
        <v>0.3444444444444445</v>
      </c>
      <c r="AB66" s="90">
        <v>0.9375</v>
      </c>
      <c r="AC66" s="90">
        <v>0.34861111111111115</v>
      </c>
      <c r="AD66" s="90">
        <v>0.93194444444444446</v>
      </c>
      <c r="AE66" s="90">
        <v>0.35416666666666669</v>
      </c>
      <c r="AF66" s="90">
        <v>0.95833333333333337</v>
      </c>
      <c r="AG66" s="120" t="s">
        <v>15</v>
      </c>
      <c r="AH66" s="120" t="s">
        <v>15</v>
      </c>
      <c r="AJ66" s="123">
        <v>50</v>
      </c>
      <c r="AK66" s="90">
        <v>0.34722222222222227</v>
      </c>
      <c r="AL66" s="90">
        <v>0.9506944444444444</v>
      </c>
      <c r="AM66" s="90">
        <v>0.35069444444444442</v>
      </c>
      <c r="AN66" s="90">
        <v>0.95000000000000007</v>
      </c>
      <c r="AO66" s="90">
        <v>0.34930555555555554</v>
      </c>
      <c r="AP66" s="90">
        <v>0.94374999999999998</v>
      </c>
      <c r="AQ66" s="90">
        <v>0.35000000000000003</v>
      </c>
      <c r="AR66" s="90">
        <v>0.9375</v>
      </c>
      <c r="AS66" s="90">
        <v>0.34791666666666665</v>
      </c>
      <c r="AT66" s="90">
        <v>0.95138888888888884</v>
      </c>
      <c r="AU66" s="90">
        <v>0.34652777777777777</v>
      </c>
      <c r="AV66" s="90">
        <v>0.98611111111111116</v>
      </c>
      <c r="AW66" s="126">
        <v>0.57916666666666672</v>
      </c>
      <c r="AX66" s="126">
        <v>0.92638888888888893</v>
      </c>
      <c r="AY66" s="90">
        <v>0.35486111111111113</v>
      </c>
      <c r="AZ66" s="90">
        <v>0.9784722222222223</v>
      </c>
      <c r="BA66" s="90">
        <v>0.34791666666666665</v>
      </c>
      <c r="BB66" s="90">
        <v>1.9444444444444445E-2</v>
      </c>
      <c r="BC66" s="90">
        <v>0.3527777777777778</v>
      </c>
      <c r="BD66" s="91">
        <v>1</v>
      </c>
      <c r="BE66" s="90">
        <v>0.3979166666666667</v>
      </c>
      <c r="BF66" s="90">
        <v>0.95833333333333337</v>
      </c>
      <c r="BG66" s="120" t="s">
        <v>15</v>
      </c>
      <c r="BH66" s="120" t="s">
        <v>15</v>
      </c>
      <c r="BI66" s="90">
        <v>0.35000000000000003</v>
      </c>
      <c r="BJ66" s="90">
        <v>0.97986111111111107</v>
      </c>
      <c r="BK66" s="120" t="s">
        <v>15</v>
      </c>
      <c r="BL66" s="120" t="s">
        <v>15</v>
      </c>
      <c r="BM66" s="90">
        <v>0.34861111111111115</v>
      </c>
      <c r="BN66" s="90">
        <v>0.94374999999999998</v>
      </c>
      <c r="BO66" s="90">
        <v>0.35625000000000001</v>
      </c>
      <c r="BP66" s="90">
        <v>0.97986111111111107</v>
      </c>
      <c r="BQ66" s="147">
        <f t="shared" si="28"/>
        <v>31</v>
      </c>
      <c r="BR66" s="81">
        <v>2</v>
      </c>
      <c r="BS66" s="2">
        <f t="shared" si="29"/>
        <v>27</v>
      </c>
      <c r="BT66" s="3">
        <f t="shared" si="43"/>
        <v>4</v>
      </c>
      <c r="BU66" s="3">
        <f t="shared" si="44"/>
        <v>0</v>
      </c>
      <c r="BV66" s="3">
        <f t="shared" si="45"/>
        <v>0</v>
      </c>
      <c r="BW66" s="3">
        <f t="shared" si="46"/>
        <v>0</v>
      </c>
      <c r="BX66" s="3">
        <f t="shared" si="47"/>
        <v>0</v>
      </c>
      <c r="BY66" s="3">
        <f t="shared" si="48"/>
        <v>0</v>
      </c>
      <c r="BZ66" s="3">
        <f t="shared" si="36"/>
        <v>0</v>
      </c>
      <c r="CA66" s="3">
        <f t="shared" si="38"/>
        <v>0</v>
      </c>
      <c r="CB66" s="3">
        <f t="shared" si="39"/>
        <v>0</v>
      </c>
      <c r="CC66" s="3">
        <f t="shared" si="40"/>
        <v>0</v>
      </c>
      <c r="CD66" s="3">
        <f t="shared" si="41"/>
        <v>0</v>
      </c>
      <c r="CE66" s="4"/>
      <c r="CH66" s="58">
        <v>0</v>
      </c>
      <c r="CI66" s="58">
        <v>0</v>
      </c>
      <c r="CJ66" s="58">
        <v>0</v>
      </c>
      <c r="CK66" s="58">
        <v>0</v>
      </c>
      <c r="CL66" s="58">
        <v>0</v>
      </c>
      <c r="CM66" s="59">
        <v>6</v>
      </c>
      <c r="CN66" s="58">
        <v>0</v>
      </c>
      <c r="CO66" s="58">
        <v>0</v>
      </c>
      <c r="CP66" s="58">
        <v>0</v>
      </c>
      <c r="CQ66" s="58">
        <v>0</v>
      </c>
      <c r="CR66" s="60">
        <f t="shared" si="42"/>
        <v>6</v>
      </c>
    </row>
    <row r="67" spans="1:96" ht="21.75" customHeight="1" x14ac:dyDescent="0.25">
      <c r="A67" s="46">
        <v>51</v>
      </c>
      <c r="B67" s="12" t="s">
        <v>149</v>
      </c>
      <c r="C67" s="98" t="s">
        <v>150</v>
      </c>
      <c r="D67" s="112">
        <v>45670</v>
      </c>
      <c r="E67" s="126">
        <v>0.58263888888888882</v>
      </c>
      <c r="F67" s="126">
        <v>0.99791666666666667</v>
      </c>
      <c r="G67" s="90">
        <v>0.35486111111111113</v>
      </c>
      <c r="H67" s="90">
        <v>0.97916666666666663</v>
      </c>
      <c r="I67" s="90">
        <v>0.35416666666666669</v>
      </c>
      <c r="J67" s="90">
        <v>0.96180555555555547</v>
      </c>
      <c r="K67" s="90">
        <v>0.35416666666666669</v>
      </c>
      <c r="L67" s="90">
        <v>0.97222222222222221</v>
      </c>
      <c r="M67" s="90">
        <v>0.35416666666666669</v>
      </c>
      <c r="N67" s="90">
        <v>0.96388888888888891</v>
      </c>
      <c r="O67" s="90">
        <v>0.3527777777777778</v>
      </c>
      <c r="P67" s="90">
        <v>0.97222222222222221</v>
      </c>
      <c r="Q67" s="90">
        <v>0.35138888888888892</v>
      </c>
      <c r="R67" s="90">
        <v>0.98541666666666661</v>
      </c>
      <c r="S67" s="120" t="s">
        <v>15</v>
      </c>
      <c r="T67" s="120" t="s">
        <v>15</v>
      </c>
      <c r="U67" s="90">
        <v>0.32916666666666666</v>
      </c>
      <c r="V67" s="90">
        <v>0.98125000000000007</v>
      </c>
      <c r="W67" s="90">
        <v>0.34097222222222223</v>
      </c>
      <c r="X67" s="90">
        <v>0.9590277777777777</v>
      </c>
      <c r="Y67" s="90">
        <v>0.33194444444444443</v>
      </c>
      <c r="Z67" s="90">
        <v>0.95833333333333337</v>
      </c>
      <c r="AA67" s="90">
        <v>0.32777777777777778</v>
      </c>
      <c r="AB67" s="90">
        <v>0.96319444444444446</v>
      </c>
      <c r="AC67" s="90">
        <v>0.33749999999999997</v>
      </c>
      <c r="AD67" s="90">
        <v>0.95763888888888893</v>
      </c>
      <c r="AE67" s="90">
        <v>0.49444444444444446</v>
      </c>
      <c r="AF67" s="90">
        <v>0.94305555555555554</v>
      </c>
      <c r="AG67" s="126">
        <v>0.57708333333333328</v>
      </c>
      <c r="AH67" s="126">
        <v>0.96111111111111114</v>
      </c>
      <c r="AJ67" s="123">
        <v>51</v>
      </c>
      <c r="AK67" s="90">
        <v>0.34722222222222227</v>
      </c>
      <c r="AL67" s="90">
        <v>0.9868055555555556</v>
      </c>
      <c r="AM67" s="90">
        <v>0.33263888888888887</v>
      </c>
      <c r="AN67" s="90">
        <v>0.96458333333333324</v>
      </c>
      <c r="AO67" s="90">
        <v>0.33333333333333331</v>
      </c>
      <c r="AP67" s="90">
        <v>0.96319444444444446</v>
      </c>
      <c r="AQ67" s="90">
        <v>0.3520833333333333</v>
      </c>
      <c r="AR67" s="90">
        <v>0.95763888888888893</v>
      </c>
      <c r="AS67" s="90">
        <v>0.34166666666666662</v>
      </c>
      <c r="AT67" s="90">
        <v>0.96527777777777779</v>
      </c>
      <c r="AU67" s="90">
        <v>0.35069444444444442</v>
      </c>
      <c r="AV67" s="90">
        <v>0.9868055555555556</v>
      </c>
      <c r="AW67" s="120" t="s">
        <v>15</v>
      </c>
      <c r="AX67" s="120" t="s">
        <v>15</v>
      </c>
      <c r="AY67" s="90">
        <v>0.34027777777777773</v>
      </c>
      <c r="AZ67" s="90">
        <v>0.98263888888888884</v>
      </c>
      <c r="BA67" s="90">
        <v>0.33194444444444443</v>
      </c>
      <c r="BB67" s="90">
        <v>0.95486111111111116</v>
      </c>
      <c r="BC67" s="90">
        <v>0.33055555555555555</v>
      </c>
      <c r="BD67" s="91">
        <v>1</v>
      </c>
      <c r="BE67" s="90">
        <v>0.34652777777777777</v>
      </c>
      <c r="BF67" s="90">
        <v>0.98958333333333337</v>
      </c>
      <c r="BG67" s="120" t="s">
        <v>15</v>
      </c>
      <c r="BH67" s="120" t="s">
        <v>15</v>
      </c>
      <c r="BI67" s="90">
        <v>0.34930555555555554</v>
      </c>
      <c r="BJ67" s="90">
        <v>0.98541666666666661</v>
      </c>
      <c r="BK67" s="126">
        <v>0.57986111111111105</v>
      </c>
      <c r="BL67" s="126">
        <v>0.96250000000000002</v>
      </c>
      <c r="BM67" s="90">
        <v>0.34652777777777777</v>
      </c>
      <c r="BN67" s="90">
        <v>0.9770833333333333</v>
      </c>
      <c r="BO67" s="90">
        <v>0.34166666666666662</v>
      </c>
      <c r="BP67" s="90">
        <v>0.98888888888888893</v>
      </c>
      <c r="BQ67" s="147">
        <f t="shared" si="28"/>
        <v>31</v>
      </c>
      <c r="BR67" s="81">
        <v>3</v>
      </c>
      <c r="BS67" s="2">
        <f t="shared" si="29"/>
        <v>28</v>
      </c>
      <c r="BT67" s="3">
        <f t="shared" si="43"/>
        <v>3</v>
      </c>
      <c r="BU67" s="3">
        <f t="shared" si="44"/>
        <v>0</v>
      </c>
      <c r="BV67" s="3">
        <f t="shared" si="45"/>
        <v>0</v>
      </c>
      <c r="BW67" s="3">
        <f t="shared" si="46"/>
        <v>0</v>
      </c>
      <c r="BX67" s="3">
        <f t="shared" si="47"/>
        <v>0</v>
      </c>
      <c r="BY67" s="3">
        <f t="shared" si="48"/>
        <v>0</v>
      </c>
      <c r="BZ67" s="3">
        <f t="shared" si="36"/>
        <v>0</v>
      </c>
      <c r="CA67" s="3">
        <f t="shared" si="38"/>
        <v>0</v>
      </c>
      <c r="CB67" s="3">
        <f t="shared" si="39"/>
        <v>0</v>
      </c>
      <c r="CC67" s="3">
        <f t="shared" si="40"/>
        <v>0</v>
      </c>
      <c r="CD67" s="3">
        <f t="shared" si="41"/>
        <v>0</v>
      </c>
      <c r="CE67" s="4"/>
      <c r="CH67" s="58">
        <v>0</v>
      </c>
      <c r="CI67" s="58">
        <v>0</v>
      </c>
      <c r="CJ67" s="58">
        <v>0</v>
      </c>
      <c r="CK67" s="58">
        <v>0</v>
      </c>
      <c r="CL67" s="58">
        <v>0</v>
      </c>
      <c r="CM67" s="58">
        <v>0</v>
      </c>
      <c r="CN67" s="58">
        <v>0</v>
      </c>
      <c r="CO67" s="58">
        <v>0</v>
      </c>
      <c r="CP67" s="58">
        <v>0</v>
      </c>
      <c r="CQ67" s="58">
        <v>0</v>
      </c>
      <c r="CR67" s="60">
        <f t="shared" si="42"/>
        <v>0</v>
      </c>
    </row>
    <row r="68" spans="1:96" ht="21.75" customHeight="1" x14ac:dyDescent="0.25">
      <c r="A68" s="46">
        <v>52</v>
      </c>
      <c r="B68" s="12" t="s">
        <v>151</v>
      </c>
      <c r="C68" s="98" t="s">
        <v>152</v>
      </c>
      <c r="D68" s="112">
        <v>45670</v>
      </c>
      <c r="E68" s="126">
        <v>0.56458333333333333</v>
      </c>
      <c r="F68" s="126">
        <v>0.87013888888888891</v>
      </c>
      <c r="G68" s="90">
        <v>0.41111111111111115</v>
      </c>
      <c r="H68" s="90">
        <v>0.95624999999999993</v>
      </c>
      <c r="I68" s="90">
        <v>0.95624999999999993</v>
      </c>
      <c r="J68" s="90">
        <v>0.95624999999999993</v>
      </c>
      <c r="K68" s="90">
        <v>0.40416666666666662</v>
      </c>
      <c r="L68" s="90">
        <v>0.95208333333333339</v>
      </c>
      <c r="M68" s="91">
        <v>1</v>
      </c>
      <c r="N68" s="91">
        <v>1</v>
      </c>
      <c r="O68" s="90">
        <v>0.41666666666666669</v>
      </c>
      <c r="P68" s="91">
        <v>1</v>
      </c>
      <c r="Q68" s="90">
        <v>0.41250000000000003</v>
      </c>
      <c r="R68" s="90">
        <v>0.95486111111111116</v>
      </c>
      <c r="S68" s="126">
        <v>0.58472222222222225</v>
      </c>
      <c r="T68" s="126">
        <v>0.92013888888888884</v>
      </c>
      <c r="U68" s="90">
        <v>0.40138888888888885</v>
      </c>
      <c r="V68" s="90">
        <v>0.94791666666666663</v>
      </c>
      <c r="W68" s="90">
        <v>0.4069444444444445</v>
      </c>
      <c r="X68" s="90">
        <v>0.95208333333333339</v>
      </c>
      <c r="Y68" s="90">
        <v>0.41875000000000001</v>
      </c>
      <c r="Z68" s="91">
        <v>1</v>
      </c>
      <c r="AA68" s="90">
        <v>0.42291666666666666</v>
      </c>
      <c r="AB68" s="91">
        <v>1</v>
      </c>
      <c r="AC68" s="90">
        <v>0.41180555555555554</v>
      </c>
      <c r="AD68" s="90">
        <v>0.95277777777777783</v>
      </c>
      <c r="AE68" s="90">
        <v>0.41041666666666665</v>
      </c>
      <c r="AF68" s="90">
        <v>0.95277777777777783</v>
      </c>
      <c r="AG68" s="126">
        <v>0.56666666666666665</v>
      </c>
      <c r="AH68" s="127">
        <v>1</v>
      </c>
      <c r="AJ68" s="123">
        <v>52</v>
      </c>
      <c r="AK68" s="90">
        <v>0.41875000000000001</v>
      </c>
      <c r="AL68" s="90">
        <v>0.95208333333333339</v>
      </c>
      <c r="AM68" s="90">
        <v>0.39097222222222222</v>
      </c>
      <c r="AN68" s="90">
        <v>0.93888888888888899</v>
      </c>
      <c r="AO68" s="90">
        <v>0.4055555555555555</v>
      </c>
      <c r="AP68" s="90">
        <v>0.94305555555555554</v>
      </c>
      <c r="AQ68" s="90">
        <v>0.40347222222222223</v>
      </c>
      <c r="AR68" s="90">
        <v>0.95763888888888893</v>
      </c>
      <c r="AS68" s="90">
        <v>0.39583333333333331</v>
      </c>
      <c r="AT68" s="90">
        <v>0.96458333333333324</v>
      </c>
      <c r="AU68" s="90">
        <v>0.40138888888888885</v>
      </c>
      <c r="AV68" s="90">
        <v>0.9458333333333333</v>
      </c>
      <c r="AW68" s="126">
        <v>0.58750000000000002</v>
      </c>
      <c r="AX68" s="126">
        <v>0.87013888888888891</v>
      </c>
      <c r="AY68" s="90">
        <v>0.40277777777777773</v>
      </c>
      <c r="AZ68" s="90">
        <v>0.95138888888888884</v>
      </c>
      <c r="BA68" s="90">
        <v>0.4055555555555555</v>
      </c>
      <c r="BB68" s="91">
        <v>1</v>
      </c>
      <c r="BC68" s="90">
        <v>0.40763888888888888</v>
      </c>
      <c r="BD68" s="90">
        <v>0.95138888888888884</v>
      </c>
      <c r="BE68" s="90">
        <v>0.4069444444444445</v>
      </c>
      <c r="BF68" s="91">
        <v>1</v>
      </c>
      <c r="BG68" s="120" t="s">
        <v>15</v>
      </c>
      <c r="BH68" s="120" t="s">
        <v>15</v>
      </c>
      <c r="BI68" s="90">
        <v>0.40138888888888885</v>
      </c>
      <c r="BJ68" s="90">
        <v>0.9472222222222223</v>
      </c>
      <c r="BK68" s="126">
        <v>0.56874999999999998</v>
      </c>
      <c r="BL68" s="127">
        <v>1</v>
      </c>
      <c r="BM68" s="90">
        <v>0.40416666666666662</v>
      </c>
      <c r="BN68" s="90">
        <v>0.96458333333333324</v>
      </c>
      <c r="BO68" s="90">
        <v>0.40625</v>
      </c>
      <c r="BP68" s="90">
        <v>0.94791666666666663</v>
      </c>
      <c r="BQ68" s="147">
        <f t="shared" si="28"/>
        <v>31</v>
      </c>
      <c r="BR68" s="81">
        <v>5</v>
      </c>
      <c r="BS68" s="2">
        <f t="shared" si="29"/>
        <v>30</v>
      </c>
      <c r="BT68" s="3">
        <f t="shared" si="43"/>
        <v>1</v>
      </c>
      <c r="BU68" s="3">
        <f t="shared" si="44"/>
        <v>0</v>
      </c>
      <c r="BV68" s="3">
        <f t="shared" si="45"/>
        <v>0</v>
      </c>
      <c r="BW68" s="3">
        <f t="shared" si="46"/>
        <v>0</v>
      </c>
      <c r="BX68" s="3">
        <f t="shared" si="47"/>
        <v>0</v>
      </c>
      <c r="BY68" s="3">
        <f t="shared" si="48"/>
        <v>0</v>
      </c>
      <c r="BZ68" s="3">
        <f t="shared" si="36"/>
        <v>0</v>
      </c>
      <c r="CA68" s="3">
        <f t="shared" si="38"/>
        <v>0</v>
      </c>
      <c r="CB68" s="3">
        <f t="shared" si="39"/>
        <v>0</v>
      </c>
      <c r="CC68" s="3">
        <f t="shared" si="40"/>
        <v>0</v>
      </c>
      <c r="CD68" s="3">
        <f t="shared" si="41"/>
        <v>0</v>
      </c>
      <c r="CE68" s="4"/>
      <c r="CH68" s="58">
        <v>0</v>
      </c>
      <c r="CI68" s="58">
        <v>0</v>
      </c>
      <c r="CJ68" s="58">
        <v>0</v>
      </c>
      <c r="CK68" s="58">
        <v>0</v>
      </c>
      <c r="CL68" s="58">
        <v>0</v>
      </c>
      <c r="CM68" s="58">
        <v>0</v>
      </c>
      <c r="CN68" s="58">
        <v>0</v>
      </c>
      <c r="CO68" s="58">
        <v>0</v>
      </c>
      <c r="CP68" s="58">
        <v>0</v>
      </c>
      <c r="CQ68" s="58">
        <v>0</v>
      </c>
      <c r="CR68" s="60">
        <f t="shared" si="42"/>
        <v>0</v>
      </c>
    </row>
    <row r="69" spans="1:96" ht="21.75" customHeight="1" x14ac:dyDescent="0.25">
      <c r="A69" s="46">
        <v>53</v>
      </c>
      <c r="B69" s="12" t="s">
        <v>153</v>
      </c>
      <c r="C69" s="98" t="s">
        <v>154</v>
      </c>
      <c r="D69" s="112">
        <v>45670</v>
      </c>
      <c r="E69" s="115" t="s">
        <v>18</v>
      </c>
      <c r="F69" s="115" t="s">
        <v>18</v>
      </c>
      <c r="G69" s="115" t="s">
        <v>18</v>
      </c>
      <c r="H69" s="115" t="s">
        <v>18</v>
      </c>
      <c r="I69" s="115" t="s">
        <v>18</v>
      </c>
      <c r="J69" s="115" t="s">
        <v>18</v>
      </c>
      <c r="K69" s="115" t="s">
        <v>18</v>
      </c>
      <c r="L69" s="115" t="s">
        <v>18</v>
      </c>
      <c r="M69" s="115" t="s">
        <v>18</v>
      </c>
      <c r="N69" s="115" t="s">
        <v>18</v>
      </c>
      <c r="O69" s="115" t="s">
        <v>18</v>
      </c>
      <c r="P69" s="115" t="s">
        <v>18</v>
      </c>
      <c r="Q69" s="115" t="s">
        <v>18</v>
      </c>
      <c r="R69" s="115" t="s">
        <v>18</v>
      </c>
      <c r="S69" s="115" t="s">
        <v>18</v>
      </c>
      <c r="T69" s="115" t="s">
        <v>18</v>
      </c>
      <c r="U69" s="115" t="s">
        <v>18</v>
      </c>
      <c r="V69" s="115" t="s">
        <v>18</v>
      </c>
      <c r="W69" s="115" t="s">
        <v>18</v>
      </c>
      <c r="X69" s="115" t="s">
        <v>18</v>
      </c>
      <c r="Y69" s="90">
        <v>0.34097222222222223</v>
      </c>
      <c r="Z69" s="90">
        <v>0.95208333333333339</v>
      </c>
      <c r="AA69" s="90">
        <v>0.34791666666666665</v>
      </c>
      <c r="AB69" s="90">
        <v>0.9375</v>
      </c>
      <c r="AC69" s="90">
        <v>0.35069444444444442</v>
      </c>
      <c r="AD69" s="90">
        <v>0.9375</v>
      </c>
      <c r="AE69" s="90">
        <v>0.34583333333333338</v>
      </c>
      <c r="AF69" s="90">
        <v>0.95833333333333337</v>
      </c>
      <c r="AG69" s="126">
        <v>0.5805555555555556</v>
      </c>
      <c r="AH69" s="126">
        <v>0.93958333333333333</v>
      </c>
      <c r="AJ69" s="123">
        <v>53</v>
      </c>
      <c r="AK69" s="90">
        <v>0.34652777777777777</v>
      </c>
      <c r="AL69" s="90">
        <v>0.9506944444444444</v>
      </c>
      <c r="AM69" s="90">
        <v>0.34722222222222227</v>
      </c>
      <c r="AN69" s="90">
        <v>0.95000000000000007</v>
      </c>
      <c r="AO69" s="90">
        <v>0.34513888888888888</v>
      </c>
      <c r="AP69" s="90">
        <v>0.94444444444444453</v>
      </c>
      <c r="AQ69" s="90">
        <v>0.34722222222222227</v>
      </c>
      <c r="AR69" s="90">
        <v>0.9375</v>
      </c>
      <c r="AS69" s="90">
        <v>0.34722222222222227</v>
      </c>
      <c r="AT69" s="90">
        <v>0.95000000000000007</v>
      </c>
      <c r="AU69" s="90">
        <v>0.34513888888888888</v>
      </c>
      <c r="AV69" s="90">
        <v>0.98541666666666661</v>
      </c>
      <c r="AW69" s="120" t="s">
        <v>15</v>
      </c>
      <c r="AX69" s="120" t="s">
        <v>15</v>
      </c>
      <c r="AY69" s="90">
        <v>0.34236111111111112</v>
      </c>
      <c r="AZ69" s="90">
        <v>0.97916666666666663</v>
      </c>
      <c r="BA69" s="90">
        <v>0.34236111111111112</v>
      </c>
      <c r="BB69" s="90">
        <v>1.3888888888888888E-2</v>
      </c>
      <c r="BC69" s="90">
        <v>0.34166666666666662</v>
      </c>
      <c r="BD69" s="91">
        <v>1</v>
      </c>
      <c r="BE69" s="90">
        <v>0.33958333333333335</v>
      </c>
      <c r="BF69" s="90">
        <v>0.95486111111111116</v>
      </c>
      <c r="BG69" s="120" t="s">
        <v>15</v>
      </c>
      <c r="BH69" s="120" t="s">
        <v>15</v>
      </c>
      <c r="BI69" s="90">
        <v>0.34236111111111112</v>
      </c>
      <c r="BJ69" s="90">
        <v>0.97986111111111107</v>
      </c>
      <c r="BK69" s="126">
        <v>0.5805555555555556</v>
      </c>
      <c r="BL69" s="126">
        <v>0.91736111111111107</v>
      </c>
      <c r="BM69" s="90">
        <v>0.34375</v>
      </c>
      <c r="BN69" s="90">
        <v>0.94652777777777775</v>
      </c>
      <c r="BO69" s="90">
        <v>0.34166666666666662</v>
      </c>
      <c r="BP69" s="90">
        <v>0.98055555555555562</v>
      </c>
      <c r="BQ69" s="147">
        <f>BS69+BT69+BV69+CA69+BY69+BZ69+CD69</f>
        <v>21</v>
      </c>
      <c r="BR69" s="81">
        <v>2</v>
      </c>
      <c r="BS69" s="2">
        <f t="shared" si="29"/>
        <v>19</v>
      </c>
      <c r="BT69" s="3">
        <f t="shared" si="43"/>
        <v>2</v>
      </c>
      <c r="BU69" s="3">
        <f t="shared" si="44"/>
        <v>0</v>
      </c>
      <c r="BV69" s="3">
        <f t="shared" si="45"/>
        <v>0</v>
      </c>
      <c r="BW69" s="3">
        <f t="shared" si="46"/>
        <v>10</v>
      </c>
      <c r="BX69" s="3">
        <f t="shared" si="47"/>
        <v>0</v>
      </c>
      <c r="BY69" s="3">
        <f t="shared" si="48"/>
        <v>0</v>
      </c>
      <c r="BZ69" s="3">
        <f t="shared" si="36"/>
        <v>0</v>
      </c>
      <c r="CA69" s="3">
        <f t="shared" si="38"/>
        <v>0</v>
      </c>
      <c r="CB69" s="3">
        <f t="shared" si="39"/>
        <v>0</v>
      </c>
      <c r="CC69" s="3">
        <f t="shared" si="40"/>
        <v>0</v>
      </c>
      <c r="CD69" s="3">
        <f t="shared" si="41"/>
        <v>0</v>
      </c>
      <c r="CE69" s="4"/>
      <c r="CH69" s="58">
        <v>0</v>
      </c>
      <c r="CI69" s="58">
        <v>0</v>
      </c>
      <c r="CJ69" s="58">
        <v>30</v>
      </c>
      <c r="CK69" s="58">
        <v>0</v>
      </c>
      <c r="CL69" s="58">
        <v>0</v>
      </c>
      <c r="CM69" s="58">
        <v>0</v>
      </c>
      <c r="CN69" s="58">
        <v>0</v>
      </c>
      <c r="CO69" s="58">
        <v>0</v>
      </c>
      <c r="CP69" s="58">
        <v>0</v>
      </c>
      <c r="CQ69" s="58">
        <v>0</v>
      </c>
      <c r="CR69" s="60">
        <f t="shared" si="42"/>
        <v>30</v>
      </c>
    </row>
    <row r="70" spans="1:96" ht="21.75" customHeight="1" x14ac:dyDescent="0.25">
      <c r="A70" s="46">
        <v>54</v>
      </c>
      <c r="B70" s="12" t="s">
        <v>155</v>
      </c>
      <c r="C70" s="98" t="s">
        <v>156</v>
      </c>
      <c r="D70" s="112">
        <v>45673</v>
      </c>
      <c r="E70" s="126">
        <v>0.57986111111111105</v>
      </c>
      <c r="F70" s="126">
        <v>0.95000000000000007</v>
      </c>
      <c r="G70" s="90">
        <v>0.3520833333333333</v>
      </c>
      <c r="H70" s="90">
        <v>0.97152777777777777</v>
      </c>
      <c r="I70" s="90">
        <v>0.3520833333333333</v>
      </c>
      <c r="J70" s="90">
        <v>0.94930555555555562</v>
      </c>
      <c r="K70" s="90">
        <v>0.35069444444444442</v>
      </c>
      <c r="L70" s="90">
        <v>0.9555555555555556</v>
      </c>
      <c r="M70" s="91">
        <v>1</v>
      </c>
      <c r="N70" s="90">
        <v>0.94791666666666663</v>
      </c>
      <c r="O70" s="90">
        <v>0.3520833333333333</v>
      </c>
      <c r="P70" s="90">
        <v>0.95208333333333339</v>
      </c>
      <c r="Q70" s="90">
        <v>0.35069444444444442</v>
      </c>
      <c r="R70" s="90">
        <v>0.97291666666666676</v>
      </c>
      <c r="S70" s="120" t="s">
        <v>15</v>
      </c>
      <c r="T70" s="120" t="s">
        <v>15</v>
      </c>
      <c r="U70" s="90">
        <v>0.35138888888888892</v>
      </c>
      <c r="V70" s="90">
        <v>0.96944444444444444</v>
      </c>
      <c r="W70" s="90">
        <v>0.35347222222222219</v>
      </c>
      <c r="X70" s="90">
        <v>0.95138888888888884</v>
      </c>
      <c r="Y70" s="90">
        <v>0.3527777777777778</v>
      </c>
      <c r="Z70" s="90">
        <v>0.95000000000000007</v>
      </c>
      <c r="AA70" s="90">
        <v>0.3527777777777778</v>
      </c>
      <c r="AB70" s="90">
        <v>0.95416666666666661</v>
      </c>
      <c r="AC70" s="90">
        <v>0.3520833333333333</v>
      </c>
      <c r="AD70" s="90">
        <v>0.95000000000000007</v>
      </c>
      <c r="AE70" s="90">
        <v>0.3520833333333333</v>
      </c>
      <c r="AF70" s="90">
        <v>0.97499999999999998</v>
      </c>
      <c r="AG70" s="126">
        <v>0.57916666666666672</v>
      </c>
      <c r="AH70" s="126">
        <v>0.95347222222222217</v>
      </c>
      <c r="AJ70" s="123">
        <v>54</v>
      </c>
      <c r="AK70" s="90">
        <v>0.3527777777777778</v>
      </c>
      <c r="AL70" s="90">
        <v>0.97291666666666676</v>
      </c>
      <c r="AM70" s="90">
        <v>0.3520833333333333</v>
      </c>
      <c r="AN70" s="90">
        <v>0.95208333333333339</v>
      </c>
      <c r="AO70" s="90">
        <v>0.35138888888888892</v>
      </c>
      <c r="AP70" s="90">
        <v>0.95416666666666661</v>
      </c>
      <c r="AQ70" s="90">
        <v>0.3527777777777778</v>
      </c>
      <c r="AR70" s="90">
        <v>0.94930555555555562</v>
      </c>
      <c r="AS70" s="90">
        <v>0.35555555555555557</v>
      </c>
      <c r="AT70" s="90">
        <v>0.95347222222222217</v>
      </c>
      <c r="AU70" s="90">
        <v>0.35138888888888892</v>
      </c>
      <c r="AV70" s="90">
        <v>0.97430555555555554</v>
      </c>
      <c r="AW70" s="120" t="s">
        <v>15</v>
      </c>
      <c r="AX70" s="120" t="s">
        <v>15</v>
      </c>
      <c r="AY70" s="90">
        <v>0.3520833333333333</v>
      </c>
      <c r="AZ70" s="90">
        <v>0.96805555555555556</v>
      </c>
      <c r="BA70" s="90" t="s">
        <v>183</v>
      </c>
      <c r="BB70" s="90" t="s">
        <v>183</v>
      </c>
      <c r="BC70" s="90">
        <v>0.35138888888888892</v>
      </c>
      <c r="BD70" s="90">
        <v>0.97291666666666676</v>
      </c>
      <c r="BE70" s="90">
        <v>0.3520833333333333</v>
      </c>
      <c r="BF70" s="90">
        <v>0.97083333333333333</v>
      </c>
      <c r="BG70" s="120" t="s">
        <v>15</v>
      </c>
      <c r="BH70" s="120" t="s">
        <v>15</v>
      </c>
      <c r="BI70" s="90">
        <v>0.3527777777777778</v>
      </c>
      <c r="BJ70" s="91">
        <v>1</v>
      </c>
      <c r="BK70" s="126">
        <v>0.57916666666666672</v>
      </c>
      <c r="BL70" s="126">
        <v>0.95347222222222217</v>
      </c>
      <c r="BM70" s="90">
        <v>0.35347222222222219</v>
      </c>
      <c r="BN70" s="90">
        <v>0.96875</v>
      </c>
      <c r="BO70" s="90">
        <v>0.3520833333333333</v>
      </c>
      <c r="BP70" s="90">
        <v>0.95486111111111116</v>
      </c>
      <c r="BQ70" s="147">
        <f t="shared" si="28"/>
        <v>31</v>
      </c>
      <c r="BR70" s="81">
        <v>3</v>
      </c>
      <c r="BS70" s="2">
        <f t="shared" si="29"/>
        <v>27</v>
      </c>
      <c r="BT70" s="3">
        <f t="shared" si="43"/>
        <v>3</v>
      </c>
      <c r="BU70" s="3">
        <f t="shared" si="44"/>
        <v>0</v>
      </c>
      <c r="BV70" s="3">
        <f t="shared" si="45"/>
        <v>0</v>
      </c>
      <c r="BW70" s="3">
        <f t="shared" si="46"/>
        <v>0</v>
      </c>
      <c r="BX70" s="3">
        <f t="shared" si="47"/>
        <v>0</v>
      </c>
      <c r="BY70" s="3">
        <f t="shared" si="48"/>
        <v>0</v>
      </c>
      <c r="BZ70" s="3">
        <f t="shared" si="36"/>
        <v>1</v>
      </c>
      <c r="CA70" s="3">
        <f t="shared" si="38"/>
        <v>0</v>
      </c>
      <c r="CB70" s="3">
        <f t="shared" si="39"/>
        <v>0</v>
      </c>
      <c r="CC70" s="3">
        <f t="shared" si="40"/>
        <v>0</v>
      </c>
      <c r="CD70" s="3">
        <f t="shared" si="41"/>
        <v>0</v>
      </c>
      <c r="CE70" s="4"/>
      <c r="CH70" s="58">
        <v>0</v>
      </c>
      <c r="CI70" s="58">
        <v>0</v>
      </c>
      <c r="CJ70" s="58">
        <v>0</v>
      </c>
      <c r="CK70" s="58">
        <v>0</v>
      </c>
      <c r="CL70" s="58">
        <v>0</v>
      </c>
      <c r="CM70" s="58">
        <v>1</v>
      </c>
      <c r="CN70" s="58">
        <v>0</v>
      </c>
      <c r="CO70" s="58">
        <v>0</v>
      </c>
      <c r="CP70" s="58">
        <v>0</v>
      </c>
      <c r="CQ70" s="58">
        <v>0</v>
      </c>
      <c r="CR70" s="60">
        <f t="shared" si="42"/>
        <v>1</v>
      </c>
    </row>
    <row r="71" spans="1:96" ht="21.75" customHeight="1" x14ac:dyDescent="0.25">
      <c r="A71" s="46">
        <v>55</v>
      </c>
      <c r="B71" s="12" t="s">
        <v>157</v>
      </c>
      <c r="C71" s="98" t="s">
        <v>158</v>
      </c>
      <c r="D71" s="112">
        <v>45679</v>
      </c>
      <c r="E71" s="126">
        <v>0.57777777777777783</v>
      </c>
      <c r="F71" s="126">
        <v>0.95000000000000007</v>
      </c>
      <c r="G71" s="90">
        <v>0.35138888888888892</v>
      </c>
      <c r="H71" s="90">
        <v>0.97222222222222221</v>
      </c>
      <c r="I71" s="90">
        <v>0.3520833333333333</v>
      </c>
      <c r="J71" s="90">
        <v>0.95277777777777783</v>
      </c>
      <c r="K71" s="90">
        <v>0.35000000000000003</v>
      </c>
      <c r="L71" s="90">
        <v>0.95347222222222217</v>
      </c>
      <c r="M71" s="90">
        <v>0.35347222222222219</v>
      </c>
      <c r="N71" s="90">
        <v>0.94652777777777775</v>
      </c>
      <c r="O71" s="90">
        <v>0.3520833333333333</v>
      </c>
      <c r="P71" s="90">
        <v>0.9472222222222223</v>
      </c>
      <c r="Q71" s="90">
        <v>0.35138888888888892</v>
      </c>
      <c r="R71" s="90">
        <v>0.96805555555555556</v>
      </c>
      <c r="S71" s="120" t="s">
        <v>15</v>
      </c>
      <c r="T71" s="120" t="s">
        <v>15</v>
      </c>
      <c r="U71" s="90">
        <v>0.35000000000000003</v>
      </c>
      <c r="V71" s="90">
        <v>0.97083333333333333</v>
      </c>
      <c r="W71" s="90">
        <v>0.3520833333333333</v>
      </c>
      <c r="X71" s="90">
        <v>0.95138888888888884</v>
      </c>
      <c r="Y71" s="90">
        <v>0.35069444444444442</v>
      </c>
      <c r="Z71" s="90">
        <v>0.9458333333333333</v>
      </c>
      <c r="AA71" s="90">
        <v>0.3520833333333333</v>
      </c>
      <c r="AB71" s="90">
        <v>0.94861111111111107</v>
      </c>
      <c r="AC71" s="90">
        <v>0.35138888888888892</v>
      </c>
      <c r="AD71" s="90">
        <v>0.94513888888888886</v>
      </c>
      <c r="AE71" s="90">
        <v>0.35138888888888892</v>
      </c>
      <c r="AF71" s="90">
        <v>0.97222222222222221</v>
      </c>
      <c r="AG71" s="126">
        <v>0.57777777777777783</v>
      </c>
      <c r="AH71" s="126">
        <v>0.95416666666666661</v>
      </c>
      <c r="AJ71" s="123">
        <v>55</v>
      </c>
      <c r="AK71" s="90">
        <v>0.35138888888888892</v>
      </c>
      <c r="AL71" s="90">
        <v>0.97013888888888899</v>
      </c>
      <c r="AM71" s="90">
        <v>0.3527777777777778</v>
      </c>
      <c r="AN71" s="90">
        <v>0.95347222222222217</v>
      </c>
      <c r="AO71" s="90">
        <v>0.3520833333333333</v>
      </c>
      <c r="AP71" s="90">
        <v>0.94791666666666663</v>
      </c>
      <c r="AQ71" s="90">
        <v>0.3520833333333333</v>
      </c>
      <c r="AR71" s="90">
        <v>0.94513888888888886</v>
      </c>
      <c r="AS71" s="90">
        <v>0.35138888888888892</v>
      </c>
      <c r="AT71" s="90">
        <v>0.95138888888888884</v>
      </c>
      <c r="AU71" s="90">
        <v>0.35138888888888892</v>
      </c>
      <c r="AV71" s="90">
        <v>0.97222222222222221</v>
      </c>
      <c r="AW71" s="120" t="s">
        <v>15</v>
      </c>
      <c r="AX71" s="120" t="s">
        <v>15</v>
      </c>
      <c r="AY71" s="90">
        <v>0.35069444444444442</v>
      </c>
      <c r="AZ71" s="90">
        <v>0.96944444444444444</v>
      </c>
      <c r="BA71" s="90">
        <v>0.3520833333333333</v>
      </c>
      <c r="BB71" s="90">
        <v>0.95416666666666661</v>
      </c>
      <c r="BC71" s="90">
        <v>0.35138888888888892</v>
      </c>
      <c r="BD71" s="90">
        <v>0.96597222222222223</v>
      </c>
      <c r="BE71" s="90">
        <v>0.35138888888888892</v>
      </c>
      <c r="BF71" s="90">
        <v>0.96527777777777779</v>
      </c>
      <c r="BG71" s="120" t="s">
        <v>15</v>
      </c>
      <c r="BH71" s="120" t="s">
        <v>15</v>
      </c>
      <c r="BI71" s="90">
        <v>0.35138888888888892</v>
      </c>
      <c r="BJ71" s="91">
        <v>1</v>
      </c>
      <c r="BK71" s="126">
        <v>0.57916666666666672</v>
      </c>
      <c r="BL71" s="126">
        <v>0.95624999999999993</v>
      </c>
      <c r="BM71" s="90">
        <v>0.3520833333333333</v>
      </c>
      <c r="BN71" s="90">
        <v>0.96875</v>
      </c>
      <c r="BO71" s="90">
        <v>0.3520833333333333</v>
      </c>
      <c r="BP71" s="90">
        <v>0.9555555555555556</v>
      </c>
      <c r="BQ71" s="147">
        <f t="shared" si="28"/>
        <v>31</v>
      </c>
      <c r="BR71" s="81">
        <v>3</v>
      </c>
      <c r="BS71" s="2">
        <f t="shared" si="29"/>
        <v>28</v>
      </c>
      <c r="BT71" s="3">
        <f t="shared" si="43"/>
        <v>3</v>
      </c>
      <c r="BU71" s="3">
        <f t="shared" si="44"/>
        <v>0</v>
      </c>
      <c r="BV71" s="3">
        <f t="shared" si="45"/>
        <v>0</v>
      </c>
      <c r="BW71" s="3">
        <f t="shared" si="46"/>
        <v>0</v>
      </c>
      <c r="BX71" s="3">
        <f t="shared" si="47"/>
        <v>0</v>
      </c>
      <c r="BY71" s="3">
        <f t="shared" si="48"/>
        <v>0</v>
      </c>
      <c r="BZ71" s="3">
        <f t="shared" si="36"/>
        <v>0</v>
      </c>
      <c r="CA71" s="3">
        <f t="shared" si="38"/>
        <v>0</v>
      </c>
      <c r="CB71" s="3">
        <f t="shared" si="39"/>
        <v>0</v>
      </c>
      <c r="CC71" s="3">
        <f t="shared" si="40"/>
        <v>0</v>
      </c>
      <c r="CD71" s="3">
        <f t="shared" si="41"/>
        <v>0</v>
      </c>
      <c r="CE71" s="4"/>
      <c r="CH71" s="58">
        <v>0</v>
      </c>
      <c r="CI71" s="58">
        <v>0</v>
      </c>
      <c r="CJ71" s="58">
        <v>0</v>
      </c>
      <c r="CK71" s="58">
        <v>0</v>
      </c>
      <c r="CL71" s="58">
        <v>0</v>
      </c>
      <c r="CM71" s="58">
        <v>0</v>
      </c>
      <c r="CN71" s="58">
        <v>0</v>
      </c>
      <c r="CO71" s="58">
        <v>0</v>
      </c>
      <c r="CP71" s="58">
        <v>0</v>
      </c>
      <c r="CQ71" s="58">
        <v>0</v>
      </c>
      <c r="CR71" s="60">
        <f t="shared" si="42"/>
        <v>0</v>
      </c>
    </row>
    <row r="72" spans="1:96" ht="21.75" customHeight="1" x14ac:dyDescent="0.25">
      <c r="A72" s="46">
        <v>56</v>
      </c>
      <c r="B72" s="12" t="s">
        <v>159</v>
      </c>
      <c r="C72" s="98" t="s">
        <v>160</v>
      </c>
      <c r="D72" s="112">
        <v>45679</v>
      </c>
      <c r="E72" s="120" t="s">
        <v>15</v>
      </c>
      <c r="F72" s="120" t="s">
        <v>15</v>
      </c>
      <c r="G72" s="90">
        <v>0.35347222222222219</v>
      </c>
      <c r="H72" s="90">
        <v>0.96875</v>
      </c>
      <c r="I72" s="90">
        <v>0.35486111111111113</v>
      </c>
      <c r="J72" s="90">
        <v>0.9277777777777777</v>
      </c>
      <c r="K72" s="90">
        <v>0.35833333333333334</v>
      </c>
      <c r="L72" s="90">
        <v>0.97013888888888899</v>
      </c>
      <c r="M72" s="90">
        <v>0.35416666666666669</v>
      </c>
      <c r="N72" s="90">
        <v>0.94513888888888886</v>
      </c>
      <c r="O72" s="90">
        <v>0.3527777777777778</v>
      </c>
      <c r="P72" s="90">
        <v>0.96458333333333324</v>
      </c>
      <c r="Q72" s="90">
        <v>0.35347222222222219</v>
      </c>
      <c r="R72" s="90">
        <v>0.96944444444444444</v>
      </c>
      <c r="S72" s="126">
        <v>0.57986111111111105</v>
      </c>
      <c r="T72" s="126">
        <v>0.93541666666666667</v>
      </c>
      <c r="U72" s="90">
        <v>0.34791666666666665</v>
      </c>
      <c r="V72" s="90">
        <v>0.94444444444444453</v>
      </c>
      <c r="W72" s="90">
        <v>0.3527777777777778</v>
      </c>
      <c r="X72" s="90">
        <v>0.9472222222222223</v>
      </c>
      <c r="Y72" s="90">
        <v>0.34930555555555554</v>
      </c>
      <c r="Z72" s="90">
        <v>0.93888888888888899</v>
      </c>
      <c r="AA72" s="90">
        <v>0.34930555555555554</v>
      </c>
      <c r="AB72" s="90">
        <v>0.94027777777777777</v>
      </c>
      <c r="AC72" s="90">
        <v>0.34930555555555554</v>
      </c>
      <c r="AD72" s="90">
        <v>0.95416666666666661</v>
      </c>
      <c r="AE72" s="90">
        <v>0.34583333333333338</v>
      </c>
      <c r="AF72" s="90">
        <v>0.95833333333333337</v>
      </c>
      <c r="AG72" s="120" t="s">
        <v>15</v>
      </c>
      <c r="AH72" s="120" t="s">
        <v>15</v>
      </c>
      <c r="AJ72" s="123">
        <v>56</v>
      </c>
      <c r="AK72" s="90">
        <v>0.3527777777777778</v>
      </c>
      <c r="AL72" s="90">
        <v>0.95138888888888884</v>
      </c>
      <c r="AM72" s="90">
        <v>0.34791666666666665</v>
      </c>
      <c r="AN72" s="90">
        <v>0.95138888888888884</v>
      </c>
      <c r="AO72" s="90">
        <v>0.34722222222222227</v>
      </c>
      <c r="AP72" s="90">
        <v>0.93888888888888899</v>
      </c>
      <c r="AQ72" s="90">
        <v>0.3527777777777778</v>
      </c>
      <c r="AR72" s="90">
        <v>0.9375</v>
      </c>
      <c r="AS72" s="90">
        <v>0.34930555555555554</v>
      </c>
      <c r="AT72" s="90">
        <v>0.95138888888888884</v>
      </c>
      <c r="AU72" s="90">
        <v>0.34583333333333338</v>
      </c>
      <c r="AV72" s="90">
        <v>0.98541666666666661</v>
      </c>
      <c r="AW72" s="126">
        <v>0.5756944444444444</v>
      </c>
      <c r="AX72" s="126">
        <v>0.94652777777777775</v>
      </c>
      <c r="AY72" s="90">
        <v>0.35000000000000003</v>
      </c>
      <c r="AZ72" s="90">
        <v>0.97222222222222221</v>
      </c>
      <c r="BA72" s="90">
        <v>0.3520833333333333</v>
      </c>
      <c r="BB72" s="90">
        <v>2.013888888888889E-2</v>
      </c>
      <c r="BC72" s="90">
        <v>0.3520833333333333</v>
      </c>
      <c r="BD72" s="90">
        <v>0.99375000000000002</v>
      </c>
      <c r="BE72" s="90">
        <v>0.35416666666666669</v>
      </c>
      <c r="BF72" s="90">
        <v>0.92222222222222217</v>
      </c>
      <c r="BG72" s="120" t="s">
        <v>15</v>
      </c>
      <c r="BH72" s="120" t="s">
        <v>15</v>
      </c>
      <c r="BI72" s="90">
        <v>0.3520833333333333</v>
      </c>
      <c r="BJ72" s="90">
        <v>0.98958333333333337</v>
      </c>
      <c r="BK72" s="120" t="s">
        <v>15</v>
      </c>
      <c r="BL72" s="120" t="s">
        <v>15</v>
      </c>
      <c r="BM72" s="90">
        <v>0.34791666666666665</v>
      </c>
      <c r="BN72" s="90">
        <v>0.9555555555555556</v>
      </c>
      <c r="BO72" s="90">
        <v>0.35347222222222219</v>
      </c>
      <c r="BP72" s="90">
        <v>0.97986111111111107</v>
      </c>
      <c r="BQ72" s="147">
        <f t="shared" si="28"/>
        <v>31</v>
      </c>
      <c r="BR72" s="81">
        <v>2</v>
      </c>
      <c r="BS72" s="2">
        <f t="shared" si="29"/>
        <v>27</v>
      </c>
      <c r="BT72" s="3">
        <f t="shared" si="43"/>
        <v>4</v>
      </c>
      <c r="BU72" s="3">
        <f t="shared" si="44"/>
        <v>0</v>
      </c>
      <c r="BV72" s="3">
        <f t="shared" si="45"/>
        <v>0</v>
      </c>
      <c r="BW72" s="3">
        <f t="shared" si="46"/>
        <v>0</v>
      </c>
      <c r="BX72" s="3">
        <f t="shared" si="47"/>
        <v>0</v>
      </c>
      <c r="BY72" s="3">
        <f t="shared" si="48"/>
        <v>0</v>
      </c>
      <c r="BZ72" s="3">
        <f t="shared" si="36"/>
        <v>0</v>
      </c>
      <c r="CA72" s="3">
        <f t="shared" si="38"/>
        <v>0</v>
      </c>
      <c r="CB72" s="3">
        <f t="shared" si="39"/>
        <v>0</v>
      </c>
      <c r="CC72" s="3">
        <f t="shared" si="40"/>
        <v>0</v>
      </c>
      <c r="CD72" s="3">
        <f t="shared" si="41"/>
        <v>0</v>
      </c>
      <c r="CE72" s="4"/>
      <c r="CH72" s="58">
        <v>0</v>
      </c>
      <c r="CI72" s="58">
        <v>0</v>
      </c>
      <c r="CJ72" s="58">
        <v>0</v>
      </c>
      <c r="CK72" s="58">
        <v>0</v>
      </c>
      <c r="CL72" s="58">
        <v>0</v>
      </c>
      <c r="CM72" s="58">
        <v>0</v>
      </c>
      <c r="CN72" s="58">
        <v>0</v>
      </c>
      <c r="CO72" s="58">
        <v>0</v>
      </c>
      <c r="CP72" s="58">
        <v>0</v>
      </c>
      <c r="CQ72" s="58">
        <v>0</v>
      </c>
      <c r="CR72" s="60">
        <f t="shared" si="42"/>
        <v>0</v>
      </c>
    </row>
    <row r="73" spans="1:96" ht="21.75" customHeight="1" x14ac:dyDescent="0.25">
      <c r="A73" s="46">
        <v>57</v>
      </c>
      <c r="B73" s="12" t="s">
        <v>161</v>
      </c>
      <c r="C73" s="98" t="s">
        <v>244</v>
      </c>
      <c r="D73" s="112">
        <v>45679</v>
      </c>
      <c r="E73" s="120" t="s">
        <v>15</v>
      </c>
      <c r="F73" s="120" t="s">
        <v>15</v>
      </c>
      <c r="G73" s="90">
        <v>0.33749999999999997</v>
      </c>
      <c r="H73" s="90">
        <v>0.97222222222222221</v>
      </c>
      <c r="I73" s="90">
        <v>0.33819444444444446</v>
      </c>
      <c r="J73" s="90">
        <v>0.94930555555555562</v>
      </c>
      <c r="K73" s="90">
        <v>0.33611111111111108</v>
      </c>
      <c r="L73" s="90">
        <v>0.95486111111111116</v>
      </c>
      <c r="M73" s="90">
        <v>0.35347222222222219</v>
      </c>
      <c r="N73" s="90">
        <v>0.94791666666666663</v>
      </c>
      <c r="O73" s="90">
        <v>0.3354166666666667</v>
      </c>
      <c r="P73" s="90">
        <v>0.95138888888888884</v>
      </c>
      <c r="Q73" s="90">
        <v>0.33611111111111108</v>
      </c>
      <c r="R73" s="90">
        <v>0.97291666666666676</v>
      </c>
      <c r="S73" s="126">
        <v>0.58194444444444449</v>
      </c>
      <c r="T73" s="126">
        <v>0.9604166666666667</v>
      </c>
      <c r="U73" s="90">
        <v>0.33680555555555558</v>
      </c>
      <c r="V73" s="90">
        <v>0.96944444444444444</v>
      </c>
      <c r="W73" s="90">
        <v>0.33611111111111108</v>
      </c>
      <c r="X73" s="90">
        <v>0.95138888888888884</v>
      </c>
      <c r="Y73" s="90">
        <v>0.33611111111111108</v>
      </c>
      <c r="Z73" s="90">
        <v>0.95000000000000007</v>
      </c>
      <c r="AA73" s="90">
        <v>0.3354166666666667</v>
      </c>
      <c r="AB73" s="90">
        <v>0.95416666666666661</v>
      </c>
      <c r="AC73" s="90">
        <v>0.33749999999999997</v>
      </c>
      <c r="AD73" s="90">
        <v>0.95000000000000007</v>
      </c>
      <c r="AE73" s="90">
        <v>0.3347222222222222</v>
      </c>
      <c r="AF73" s="90">
        <v>0.97569444444444453</v>
      </c>
      <c r="AG73" s="120" t="s">
        <v>15</v>
      </c>
      <c r="AH73" s="120" t="s">
        <v>15</v>
      </c>
      <c r="AJ73" s="123">
        <v>57</v>
      </c>
      <c r="AK73" s="90">
        <v>0.33611111111111108</v>
      </c>
      <c r="AL73" s="90">
        <v>0.96180555555555547</v>
      </c>
      <c r="AM73" s="90">
        <v>0.33333333333333331</v>
      </c>
      <c r="AN73" s="90">
        <v>0.94930555555555562</v>
      </c>
      <c r="AO73" s="90">
        <v>0.33333333333333331</v>
      </c>
      <c r="AP73" s="90">
        <v>0.95416666666666661</v>
      </c>
      <c r="AQ73" s="90">
        <v>0.33611111111111108</v>
      </c>
      <c r="AR73" s="90">
        <v>0.94930555555555562</v>
      </c>
      <c r="AS73" s="90">
        <v>0.3347222222222222</v>
      </c>
      <c r="AT73" s="90">
        <v>0.95347222222222217</v>
      </c>
      <c r="AU73" s="90">
        <v>0.33680555555555558</v>
      </c>
      <c r="AV73" s="90">
        <v>0.97361111111111109</v>
      </c>
      <c r="AW73" s="126">
        <v>0.57916666666666672</v>
      </c>
      <c r="AX73" s="126">
        <v>0.95000000000000007</v>
      </c>
      <c r="AY73" s="90">
        <v>0.33680555555555558</v>
      </c>
      <c r="AZ73" s="90">
        <v>0.95972222222222225</v>
      </c>
      <c r="BA73" s="90">
        <v>0.33749999999999997</v>
      </c>
      <c r="BB73" s="90">
        <v>0.95416666666666661</v>
      </c>
      <c r="BC73" s="90">
        <v>0.33749999999999997</v>
      </c>
      <c r="BD73" s="90">
        <v>0.97291666666666676</v>
      </c>
      <c r="BE73" s="90">
        <v>0.33680555555555558</v>
      </c>
      <c r="BF73" s="90">
        <v>0.96666666666666667</v>
      </c>
      <c r="BG73" s="120" t="s">
        <v>15</v>
      </c>
      <c r="BH73" s="120" t="s">
        <v>15</v>
      </c>
      <c r="BI73" s="90">
        <v>0.34027777777777773</v>
      </c>
      <c r="BJ73" s="90">
        <v>0.99305555555555547</v>
      </c>
      <c r="BK73" s="120" t="s">
        <v>15</v>
      </c>
      <c r="BL73" s="120" t="s">
        <v>15</v>
      </c>
      <c r="BM73" s="90">
        <v>0.33749999999999997</v>
      </c>
      <c r="BN73" s="90">
        <v>0.9590277777777777</v>
      </c>
      <c r="BO73" s="90">
        <v>0.33819444444444446</v>
      </c>
      <c r="BP73" s="90">
        <v>0.94791666666666663</v>
      </c>
      <c r="BQ73" s="147">
        <f t="shared" si="28"/>
        <v>31</v>
      </c>
      <c r="BR73" s="81">
        <v>2</v>
      </c>
      <c r="BS73" s="2">
        <f t="shared" si="29"/>
        <v>27</v>
      </c>
      <c r="BT73" s="3">
        <f t="shared" si="43"/>
        <v>4</v>
      </c>
      <c r="BU73" s="3">
        <f t="shared" si="44"/>
        <v>0</v>
      </c>
      <c r="BV73" s="3">
        <f t="shared" si="45"/>
        <v>0</v>
      </c>
      <c r="BW73" s="3">
        <f t="shared" si="46"/>
        <v>0</v>
      </c>
      <c r="BX73" s="3">
        <f t="shared" si="47"/>
        <v>0</v>
      </c>
      <c r="BY73" s="3">
        <f t="shared" si="48"/>
        <v>0</v>
      </c>
      <c r="BZ73" s="3">
        <f t="shared" si="36"/>
        <v>0</v>
      </c>
      <c r="CA73" s="3">
        <f t="shared" si="38"/>
        <v>0</v>
      </c>
      <c r="CB73" s="3">
        <f t="shared" si="39"/>
        <v>0</v>
      </c>
      <c r="CC73" s="3">
        <f t="shared" si="40"/>
        <v>0</v>
      </c>
      <c r="CD73" s="3">
        <f t="shared" si="41"/>
        <v>0</v>
      </c>
      <c r="CE73" s="4"/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9">
        <v>14</v>
      </c>
      <c r="CN73" s="59">
        <v>1</v>
      </c>
      <c r="CO73" s="58">
        <v>0</v>
      </c>
      <c r="CP73" s="58">
        <v>0</v>
      </c>
      <c r="CQ73" s="58">
        <v>0</v>
      </c>
      <c r="CR73" s="60">
        <f t="shared" si="42"/>
        <v>15</v>
      </c>
    </row>
    <row r="74" spans="1:96" ht="21.75" customHeight="1" x14ac:dyDescent="0.25">
      <c r="A74" s="46">
        <v>58</v>
      </c>
      <c r="B74" s="12" t="s">
        <v>162</v>
      </c>
      <c r="C74" s="98" t="s">
        <v>163</v>
      </c>
      <c r="D74" s="112">
        <v>45812</v>
      </c>
      <c r="E74" s="126">
        <v>0.58194444444444449</v>
      </c>
      <c r="F74" s="126">
        <v>0.93263888888888891</v>
      </c>
      <c r="G74" s="90">
        <v>0.35347222222222219</v>
      </c>
      <c r="H74" s="90">
        <v>0.93819444444444444</v>
      </c>
      <c r="I74" s="90">
        <v>0.3527777777777778</v>
      </c>
      <c r="J74" s="90">
        <v>0.89722222222222225</v>
      </c>
      <c r="K74" s="90">
        <v>0.3527777777777778</v>
      </c>
      <c r="L74" s="91">
        <v>1</v>
      </c>
      <c r="M74" s="91">
        <v>1</v>
      </c>
      <c r="N74" s="90">
        <v>0.90763888888888899</v>
      </c>
      <c r="O74" s="90">
        <v>0.34930555555555554</v>
      </c>
      <c r="P74" s="90">
        <v>0.91527777777777775</v>
      </c>
      <c r="Q74" s="90">
        <v>0.35000000000000003</v>
      </c>
      <c r="R74" s="90">
        <v>0.92083333333333339</v>
      </c>
      <c r="S74" s="120" t="s">
        <v>15</v>
      </c>
      <c r="T74" s="120" t="s">
        <v>15</v>
      </c>
      <c r="U74" s="90">
        <v>0.34861111111111115</v>
      </c>
      <c r="V74" s="90">
        <v>0.92499999999999993</v>
      </c>
      <c r="W74" s="90">
        <v>0.3520833333333333</v>
      </c>
      <c r="X74" s="90">
        <v>0.91319444444444453</v>
      </c>
      <c r="Y74" s="90">
        <v>0.90277777777777779</v>
      </c>
      <c r="Z74" s="91">
        <v>1</v>
      </c>
      <c r="AA74" s="90">
        <v>0.35069444444444442</v>
      </c>
      <c r="AB74" s="90">
        <v>0.92013888888888884</v>
      </c>
      <c r="AC74" s="90">
        <v>0.90069444444444446</v>
      </c>
      <c r="AD74" s="91">
        <v>1</v>
      </c>
      <c r="AE74" s="90">
        <v>0.34930555555555554</v>
      </c>
      <c r="AF74" s="90">
        <v>0.92986111111111114</v>
      </c>
      <c r="AG74" s="126">
        <v>0.57916666666666672</v>
      </c>
      <c r="AH74" s="127">
        <v>1</v>
      </c>
      <c r="AJ74" s="123">
        <v>58</v>
      </c>
      <c r="AK74" s="90">
        <v>0.3527777777777778</v>
      </c>
      <c r="AL74" s="90">
        <v>0.93333333333333324</v>
      </c>
      <c r="AM74" s="90">
        <v>0.35138888888888892</v>
      </c>
      <c r="AN74" s="90">
        <v>0.91388888888888886</v>
      </c>
      <c r="AO74" s="90">
        <v>0.34861111111111115</v>
      </c>
      <c r="AP74" s="90">
        <v>0.9</v>
      </c>
      <c r="AQ74" s="90">
        <v>0.3520833333333333</v>
      </c>
      <c r="AR74" s="90">
        <v>0.91875000000000007</v>
      </c>
      <c r="AS74" s="90">
        <v>0.35000000000000003</v>
      </c>
      <c r="AT74" s="90">
        <v>0.90069444444444446</v>
      </c>
      <c r="AU74" s="90">
        <v>0.35069444444444442</v>
      </c>
      <c r="AV74" s="90">
        <v>0.9375</v>
      </c>
      <c r="AW74" s="126">
        <v>0.57361111111111118</v>
      </c>
      <c r="AX74" s="126">
        <v>0.9</v>
      </c>
      <c r="AY74" s="90">
        <v>0.34791666666666665</v>
      </c>
      <c r="AZ74" s="90">
        <v>0.96250000000000002</v>
      </c>
      <c r="BA74" s="90">
        <v>0.35069444444444442</v>
      </c>
      <c r="BB74" s="90">
        <v>0.99652777777777779</v>
      </c>
      <c r="BC74" s="90">
        <v>0.3520833333333333</v>
      </c>
      <c r="BD74" s="90">
        <v>0.99236111111111114</v>
      </c>
      <c r="BE74" s="90">
        <v>0.34722222222222227</v>
      </c>
      <c r="BF74" s="90">
        <v>0.97083333333333333</v>
      </c>
      <c r="BG74" s="120" t="s">
        <v>15</v>
      </c>
      <c r="BH74" s="120" t="s">
        <v>15</v>
      </c>
      <c r="BI74" s="91">
        <v>1</v>
      </c>
      <c r="BJ74" s="91">
        <v>1</v>
      </c>
      <c r="BK74" s="120" t="s">
        <v>15</v>
      </c>
      <c r="BL74" s="120" t="s">
        <v>15</v>
      </c>
      <c r="BM74" s="90">
        <v>0.3527777777777778</v>
      </c>
      <c r="BN74" s="90">
        <v>0.93819444444444444</v>
      </c>
      <c r="BO74" s="90">
        <v>0.35138888888888892</v>
      </c>
      <c r="BP74" s="90">
        <v>0.93125000000000002</v>
      </c>
      <c r="BQ74" s="147">
        <f t="shared" si="28"/>
        <v>31</v>
      </c>
      <c r="BR74" s="81">
        <v>3</v>
      </c>
      <c r="BS74" s="2">
        <f t="shared" si="29"/>
        <v>28</v>
      </c>
      <c r="BT74" s="3">
        <f t="shared" si="43"/>
        <v>3</v>
      </c>
      <c r="BU74" s="3">
        <f t="shared" si="44"/>
        <v>0</v>
      </c>
      <c r="BV74" s="3">
        <f t="shared" si="45"/>
        <v>0</v>
      </c>
      <c r="BW74" s="3">
        <f t="shared" si="46"/>
        <v>0</v>
      </c>
      <c r="BX74" s="3">
        <f t="shared" si="47"/>
        <v>0</v>
      </c>
      <c r="BY74" s="3">
        <f t="shared" si="48"/>
        <v>0</v>
      </c>
      <c r="BZ74" s="3">
        <f t="shared" si="36"/>
        <v>0</v>
      </c>
      <c r="CA74" s="3">
        <f t="shared" si="38"/>
        <v>0</v>
      </c>
      <c r="CB74" s="3">
        <f t="shared" si="39"/>
        <v>0</v>
      </c>
      <c r="CC74" s="3">
        <f t="shared" si="40"/>
        <v>0</v>
      </c>
      <c r="CD74" s="3">
        <f t="shared" si="41"/>
        <v>0</v>
      </c>
      <c r="CE74" s="4"/>
      <c r="CH74" s="58">
        <v>0</v>
      </c>
      <c r="CI74" s="58">
        <v>0</v>
      </c>
      <c r="CJ74" s="58">
        <v>0</v>
      </c>
      <c r="CK74" s="58">
        <v>0</v>
      </c>
      <c r="CL74" s="58">
        <v>0</v>
      </c>
      <c r="CM74" s="58">
        <v>2</v>
      </c>
      <c r="CN74" s="58">
        <v>0</v>
      </c>
      <c r="CO74" s="59">
        <v>1</v>
      </c>
      <c r="CP74" s="58">
        <v>0</v>
      </c>
      <c r="CQ74" s="58">
        <v>0</v>
      </c>
      <c r="CR74" s="60">
        <f t="shared" si="42"/>
        <v>3</v>
      </c>
    </row>
    <row r="75" spans="1:96" ht="21.75" customHeight="1" x14ac:dyDescent="0.25">
      <c r="A75" s="46">
        <v>59</v>
      </c>
      <c r="B75" s="12" t="s">
        <v>164</v>
      </c>
      <c r="C75" s="98" t="s">
        <v>165</v>
      </c>
      <c r="D75" s="112">
        <v>45826</v>
      </c>
      <c r="E75" s="120" t="s">
        <v>15</v>
      </c>
      <c r="F75" s="120" t="s">
        <v>15</v>
      </c>
      <c r="G75" s="90">
        <v>0.3520833333333333</v>
      </c>
      <c r="H75" s="90">
        <v>0.9590277777777777</v>
      </c>
      <c r="I75" s="90">
        <v>0.35486111111111113</v>
      </c>
      <c r="J75" s="90">
        <v>0.92986111111111114</v>
      </c>
      <c r="K75" s="90">
        <v>0.35902777777777778</v>
      </c>
      <c r="L75" s="90">
        <v>0.96111111111111114</v>
      </c>
      <c r="M75" s="91">
        <v>1</v>
      </c>
      <c r="N75" s="90">
        <v>0.9243055555555556</v>
      </c>
      <c r="O75" s="90">
        <v>0.3527777777777778</v>
      </c>
      <c r="P75" s="90">
        <v>0.95833333333333337</v>
      </c>
      <c r="Q75" s="90">
        <v>0.35347222222222219</v>
      </c>
      <c r="R75" s="90">
        <v>0.93888888888888899</v>
      </c>
      <c r="S75" s="126">
        <v>0.5805555555555556</v>
      </c>
      <c r="T75" s="126">
        <v>0.93263888888888891</v>
      </c>
      <c r="U75" s="90">
        <v>0.33958333333333335</v>
      </c>
      <c r="V75" s="90">
        <v>0.94374999999999998</v>
      </c>
      <c r="W75" s="90">
        <v>0.35347222222222219</v>
      </c>
      <c r="X75" s="90">
        <v>0.9458333333333333</v>
      </c>
      <c r="Y75" s="90">
        <v>0.3527777777777778</v>
      </c>
      <c r="Z75" s="90">
        <v>0.94027777777777777</v>
      </c>
      <c r="AA75" s="90">
        <v>0.3520833333333333</v>
      </c>
      <c r="AB75" s="90">
        <v>0.93680555555555556</v>
      </c>
      <c r="AC75" s="90">
        <v>0.3527777777777778</v>
      </c>
      <c r="AD75" s="90">
        <v>0.9375</v>
      </c>
      <c r="AE75" s="90">
        <v>0.35138888888888892</v>
      </c>
      <c r="AF75" s="90">
        <v>0.94861111111111107</v>
      </c>
      <c r="AG75" s="126">
        <v>0.56736111111111109</v>
      </c>
      <c r="AH75" s="127">
        <v>1</v>
      </c>
      <c r="AJ75" s="123">
        <v>59</v>
      </c>
      <c r="AK75" s="90">
        <v>0.35486111111111113</v>
      </c>
      <c r="AL75" s="90">
        <v>0.94513888888888886</v>
      </c>
      <c r="AM75" s="90">
        <v>0.50208333333333333</v>
      </c>
      <c r="AN75" s="90">
        <v>0.9506944444444444</v>
      </c>
      <c r="AO75" s="90">
        <v>0.35625000000000001</v>
      </c>
      <c r="AP75" s="90">
        <v>0.93819444444444444</v>
      </c>
      <c r="AQ75" s="90">
        <v>0.35694444444444445</v>
      </c>
      <c r="AR75" s="91">
        <v>1</v>
      </c>
      <c r="AS75" s="90">
        <v>0.35416666666666669</v>
      </c>
      <c r="AT75" s="90">
        <v>0.9472222222222223</v>
      </c>
      <c r="AU75" s="90">
        <v>0.35625000000000001</v>
      </c>
      <c r="AV75" s="90">
        <v>0.9472222222222223</v>
      </c>
      <c r="AW75" s="126">
        <v>0.58402777777777781</v>
      </c>
      <c r="AX75" s="127">
        <v>1</v>
      </c>
      <c r="AY75" s="90">
        <v>0.35347222222222219</v>
      </c>
      <c r="AZ75" s="90">
        <v>0.94652777777777775</v>
      </c>
      <c r="BA75" s="90">
        <v>0.3527777777777778</v>
      </c>
      <c r="BB75" s="90">
        <v>0.95972222222222225</v>
      </c>
      <c r="BC75" s="90">
        <v>0.35625000000000001</v>
      </c>
      <c r="BD75" s="91">
        <v>1</v>
      </c>
      <c r="BE75" s="90">
        <v>0.35555555555555557</v>
      </c>
      <c r="BF75" s="91">
        <v>1</v>
      </c>
      <c r="BG75" s="120">
        <v>1</v>
      </c>
      <c r="BH75" s="120">
        <v>1</v>
      </c>
      <c r="BI75" s="90">
        <v>0.35625000000000001</v>
      </c>
      <c r="BJ75" s="90">
        <v>0.9590277777777777</v>
      </c>
      <c r="BK75" s="126">
        <v>0.56666666666666665</v>
      </c>
      <c r="BL75" s="126">
        <v>0.91666666666666663</v>
      </c>
      <c r="BM75" s="90">
        <v>0.35416666666666669</v>
      </c>
      <c r="BN75" s="90">
        <v>0.9472222222222223</v>
      </c>
      <c r="BO75" s="90">
        <v>0.35486111111111113</v>
      </c>
      <c r="BP75" s="90">
        <v>0.96944444444444444</v>
      </c>
      <c r="BQ75" s="147">
        <f t="shared" si="28"/>
        <v>31</v>
      </c>
      <c r="BR75" s="81">
        <v>5</v>
      </c>
      <c r="BS75" s="2">
        <f t="shared" si="29"/>
        <v>30</v>
      </c>
      <c r="BT75" s="3">
        <f t="shared" si="43"/>
        <v>1</v>
      </c>
      <c r="BU75" s="3">
        <f t="shared" si="44"/>
        <v>0</v>
      </c>
      <c r="BV75" s="3">
        <f t="shared" si="45"/>
        <v>0</v>
      </c>
      <c r="BW75" s="3">
        <f t="shared" si="46"/>
        <v>0</v>
      </c>
      <c r="BX75" s="3">
        <f t="shared" si="47"/>
        <v>0</v>
      </c>
      <c r="BY75" s="3">
        <f t="shared" si="48"/>
        <v>0</v>
      </c>
      <c r="BZ75" s="3">
        <f t="shared" si="36"/>
        <v>0</v>
      </c>
      <c r="CA75" s="3">
        <f t="shared" si="38"/>
        <v>0</v>
      </c>
      <c r="CB75" s="3">
        <f t="shared" si="39"/>
        <v>0</v>
      </c>
      <c r="CC75" s="3">
        <f t="shared" si="40"/>
        <v>0</v>
      </c>
      <c r="CD75" s="3">
        <f t="shared" si="41"/>
        <v>0</v>
      </c>
      <c r="CE75" s="86" t="s">
        <v>283</v>
      </c>
      <c r="CH75" s="58">
        <v>0</v>
      </c>
      <c r="CI75" s="58">
        <v>0</v>
      </c>
      <c r="CJ75" s="58">
        <v>0</v>
      </c>
      <c r="CK75" s="58">
        <v>0</v>
      </c>
      <c r="CL75" s="58">
        <v>0</v>
      </c>
      <c r="CM75" s="58">
        <v>0</v>
      </c>
      <c r="CN75" s="58">
        <v>0</v>
      </c>
      <c r="CO75" s="58">
        <v>0</v>
      </c>
      <c r="CP75" s="58">
        <v>0</v>
      </c>
      <c r="CQ75" s="58">
        <v>0</v>
      </c>
      <c r="CR75" s="60">
        <f t="shared" si="42"/>
        <v>0</v>
      </c>
    </row>
    <row r="76" spans="1:96" ht="21.75" customHeight="1" x14ac:dyDescent="0.25">
      <c r="A76" s="46">
        <v>60</v>
      </c>
      <c r="B76" s="12" t="s">
        <v>166</v>
      </c>
      <c r="C76" s="98" t="s">
        <v>245</v>
      </c>
      <c r="D76" s="112">
        <v>45841</v>
      </c>
      <c r="E76" s="120" t="s">
        <v>15</v>
      </c>
      <c r="F76" s="120" t="s">
        <v>15</v>
      </c>
      <c r="G76" s="90">
        <v>0.35138888888888892</v>
      </c>
      <c r="H76" s="90">
        <v>0.93472222222222223</v>
      </c>
      <c r="I76" s="91">
        <v>1</v>
      </c>
      <c r="J76" s="90">
        <v>0.8965277777777777</v>
      </c>
      <c r="K76" s="90">
        <v>0.35902777777777778</v>
      </c>
      <c r="L76" s="90">
        <v>0.91736111111111107</v>
      </c>
      <c r="M76" s="90">
        <v>0.3527777777777778</v>
      </c>
      <c r="N76" s="90">
        <v>0.90833333333333333</v>
      </c>
      <c r="O76" s="90">
        <v>0.3520833333333333</v>
      </c>
      <c r="P76" s="90">
        <v>0.91666666666666663</v>
      </c>
      <c r="Q76" s="90">
        <v>0.34861111111111115</v>
      </c>
      <c r="R76" s="90">
        <v>0.92847222222222225</v>
      </c>
      <c r="S76" s="126">
        <v>0.57152777777777775</v>
      </c>
      <c r="T76" s="126">
        <v>0.88541666666666663</v>
      </c>
      <c r="U76" s="90">
        <v>0.34930555555555554</v>
      </c>
      <c r="V76" s="90">
        <v>0.92569444444444438</v>
      </c>
      <c r="W76" s="90">
        <v>0.35138888888888892</v>
      </c>
      <c r="X76" s="90">
        <v>0.92569444444444438</v>
      </c>
      <c r="Y76" s="90">
        <v>0.35138888888888892</v>
      </c>
      <c r="Z76" s="90">
        <v>0.90347222222222223</v>
      </c>
      <c r="AA76" s="90">
        <v>0.34861111111111115</v>
      </c>
      <c r="AB76" s="90">
        <v>0.92083333333333339</v>
      </c>
      <c r="AC76" s="90">
        <v>0.34861111111111115</v>
      </c>
      <c r="AD76" s="90">
        <v>0.94166666666666676</v>
      </c>
      <c r="AE76" s="90">
        <v>0.34861111111111115</v>
      </c>
      <c r="AF76" s="90">
        <v>0.95763888888888893</v>
      </c>
      <c r="AG76" s="120" t="s">
        <v>15</v>
      </c>
      <c r="AH76" s="120" t="s">
        <v>15</v>
      </c>
      <c r="AJ76" s="123">
        <v>60</v>
      </c>
      <c r="AK76" s="90">
        <v>0.35138888888888892</v>
      </c>
      <c r="AL76" s="90">
        <v>0.95208333333333339</v>
      </c>
      <c r="AM76" s="90">
        <v>0.52986111111111112</v>
      </c>
      <c r="AN76" s="90">
        <v>0.9506944444444444</v>
      </c>
      <c r="AO76" s="90">
        <v>0.34861111111111115</v>
      </c>
      <c r="AP76" s="90">
        <v>0.93888888888888899</v>
      </c>
      <c r="AQ76" s="90">
        <v>0.3520833333333333</v>
      </c>
      <c r="AR76" s="90">
        <v>0.95833333333333337</v>
      </c>
      <c r="AS76" s="90">
        <v>0.35138888888888892</v>
      </c>
      <c r="AT76" s="90">
        <v>0.96527777777777779</v>
      </c>
      <c r="AU76" s="90">
        <v>0.3520833333333333</v>
      </c>
      <c r="AV76" s="90">
        <v>0.98125000000000007</v>
      </c>
      <c r="AW76" s="126">
        <v>0.57638888888888895</v>
      </c>
      <c r="AX76" s="126">
        <v>0.96180555555555547</v>
      </c>
      <c r="AY76" s="90">
        <v>0.3527777777777778</v>
      </c>
      <c r="AZ76" s="90">
        <v>0.97222222222222221</v>
      </c>
      <c r="BA76" s="90">
        <v>0.35138888888888892</v>
      </c>
      <c r="BB76" s="90">
        <v>1.9444444444444445E-2</v>
      </c>
      <c r="BC76" s="90">
        <v>0.35416666666666669</v>
      </c>
      <c r="BD76" s="90">
        <v>0.9902777777777777</v>
      </c>
      <c r="BE76" s="90">
        <v>0.3527777777777778</v>
      </c>
      <c r="BF76" s="91">
        <v>1</v>
      </c>
      <c r="BG76" s="120" t="s">
        <v>15</v>
      </c>
      <c r="BH76" s="120" t="s">
        <v>15</v>
      </c>
      <c r="BI76" s="90">
        <v>0.35138888888888892</v>
      </c>
      <c r="BJ76" s="90">
        <v>0.99375000000000002</v>
      </c>
      <c r="BK76" s="120" t="s">
        <v>15</v>
      </c>
      <c r="BL76" s="120" t="s">
        <v>15</v>
      </c>
      <c r="BM76" s="90">
        <v>0.35416666666666669</v>
      </c>
      <c r="BN76" s="90">
        <v>0.95624999999999993</v>
      </c>
      <c r="BO76" s="90">
        <v>0.3520833333333333</v>
      </c>
      <c r="BP76" s="90">
        <v>0.98888888888888893</v>
      </c>
      <c r="BQ76" s="147">
        <f t="shared" si="28"/>
        <v>31</v>
      </c>
      <c r="BR76" s="81">
        <v>2</v>
      </c>
      <c r="BS76" s="2">
        <f t="shared" si="29"/>
        <v>27</v>
      </c>
      <c r="BT76" s="3">
        <f t="shared" si="43"/>
        <v>4</v>
      </c>
      <c r="BU76" s="3">
        <f t="shared" si="44"/>
        <v>0</v>
      </c>
      <c r="BV76" s="3">
        <f t="shared" si="45"/>
        <v>0</v>
      </c>
      <c r="BW76" s="3">
        <f t="shared" si="46"/>
        <v>0</v>
      </c>
      <c r="BX76" s="3">
        <f t="shared" si="47"/>
        <v>0</v>
      </c>
      <c r="BY76" s="3">
        <f t="shared" si="48"/>
        <v>0</v>
      </c>
      <c r="BZ76" s="3">
        <f t="shared" si="36"/>
        <v>0</v>
      </c>
      <c r="CA76" s="3">
        <f t="shared" si="38"/>
        <v>0</v>
      </c>
      <c r="CB76" s="3">
        <f t="shared" si="39"/>
        <v>0</v>
      </c>
      <c r="CC76" s="3">
        <f t="shared" si="40"/>
        <v>0</v>
      </c>
      <c r="CD76" s="3">
        <f t="shared" si="41"/>
        <v>0</v>
      </c>
      <c r="CE76" s="4"/>
      <c r="CH76" s="58">
        <v>0</v>
      </c>
      <c r="CI76" s="58">
        <v>0</v>
      </c>
      <c r="CJ76" s="58">
        <v>0</v>
      </c>
      <c r="CK76" s="58">
        <v>0</v>
      </c>
      <c r="CL76" s="58">
        <v>0</v>
      </c>
      <c r="CM76" s="58">
        <v>1</v>
      </c>
      <c r="CN76" s="58">
        <v>0</v>
      </c>
      <c r="CO76" s="58">
        <v>0</v>
      </c>
      <c r="CP76" s="58">
        <v>0</v>
      </c>
      <c r="CQ76" s="58">
        <v>0</v>
      </c>
      <c r="CR76" s="60">
        <f t="shared" si="42"/>
        <v>1</v>
      </c>
    </row>
    <row r="77" spans="1:96" ht="21.75" customHeight="1" x14ac:dyDescent="0.25">
      <c r="A77" s="46">
        <v>61</v>
      </c>
      <c r="B77" s="12" t="s">
        <v>167</v>
      </c>
      <c r="C77" s="98" t="s">
        <v>168</v>
      </c>
      <c r="D77" s="112">
        <v>45841</v>
      </c>
      <c r="E77" s="120" t="s">
        <v>15</v>
      </c>
      <c r="F77" s="120" t="s">
        <v>15</v>
      </c>
      <c r="G77" s="90">
        <v>0.32708333333333334</v>
      </c>
      <c r="H77" s="90">
        <v>0.96875</v>
      </c>
      <c r="I77" s="90">
        <v>0.3527777777777778</v>
      </c>
      <c r="J77" s="90">
        <v>0.94861111111111107</v>
      </c>
      <c r="K77" s="90">
        <v>0.3520833333333333</v>
      </c>
      <c r="L77" s="90">
        <v>0.94791666666666663</v>
      </c>
      <c r="M77" s="90">
        <v>0.35347222222222219</v>
      </c>
      <c r="N77" s="90">
        <v>0.94444444444444453</v>
      </c>
      <c r="O77" s="90">
        <v>0.3520833333333333</v>
      </c>
      <c r="P77" s="90">
        <v>0.94791666666666663</v>
      </c>
      <c r="Q77" s="90">
        <v>0.3520833333333333</v>
      </c>
      <c r="R77" s="90">
        <v>0.96875</v>
      </c>
      <c r="S77" s="126">
        <v>0.55972222222222223</v>
      </c>
      <c r="T77" s="126">
        <v>0.9590277777777777</v>
      </c>
      <c r="U77" s="90">
        <v>0.3527777777777778</v>
      </c>
      <c r="V77" s="91">
        <v>1</v>
      </c>
      <c r="W77" s="90">
        <v>0.3527777777777778</v>
      </c>
      <c r="X77" s="90">
        <v>0.94861111111111107</v>
      </c>
      <c r="Y77" s="90">
        <v>0.3520833333333333</v>
      </c>
      <c r="Z77" s="90">
        <v>0.94374999999999998</v>
      </c>
      <c r="AA77" s="90">
        <v>0.3527777777777778</v>
      </c>
      <c r="AB77" s="90">
        <v>0.94861111111111107</v>
      </c>
      <c r="AC77" s="90">
        <v>0.34861111111111115</v>
      </c>
      <c r="AD77" s="90">
        <v>0.9458333333333333</v>
      </c>
      <c r="AE77" s="90">
        <v>0.3520833333333333</v>
      </c>
      <c r="AF77" s="91">
        <v>1</v>
      </c>
      <c r="AG77" s="120" t="s">
        <v>15</v>
      </c>
      <c r="AH77" s="120" t="s">
        <v>15</v>
      </c>
      <c r="AJ77" s="123">
        <v>61</v>
      </c>
      <c r="AK77" s="90">
        <v>0.35138888888888892</v>
      </c>
      <c r="AL77" s="90">
        <v>0.96666666666666667</v>
      </c>
      <c r="AM77" s="90">
        <v>0.9458333333333333</v>
      </c>
      <c r="AN77" s="91">
        <v>1</v>
      </c>
      <c r="AO77" s="90">
        <v>0.35625000000000001</v>
      </c>
      <c r="AP77" s="90">
        <v>0.94513888888888886</v>
      </c>
      <c r="AQ77" s="90">
        <v>0.3527777777777778</v>
      </c>
      <c r="AR77" s="90">
        <v>0.94236111111111109</v>
      </c>
      <c r="AS77" s="90">
        <v>0.35138888888888892</v>
      </c>
      <c r="AT77" s="91">
        <v>1</v>
      </c>
      <c r="AU77" s="90">
        <v>0.35347222222222219</v>
      </c>
      <c r="AV77" s="90">
        <v>0.97222222222222221</v>
      </c>
      <c r="AW77" s="126">
        <v>0.58680555555555558</v>
      </c>
      <c r="AX77" s="126">
        <v>0.94861111111111107</v>
      </c>
      <c r="AY77" s="90">
        <v>0.35347222222222219</v>
      </c>
      <c r="AZ77" s="90">
        <v>0.96527777777777779</v>
      </c>
      <c r="BA77" s="90">
        <v>0.3527777777777778</v>
      </c>
      <c r="BB77" s="90">
        <v>0.9472222222222223</v>
      </c>
      <c r="BC77" s="90">
        <v>0.35416666666666669</v>
      </c>
      <c r="BD77" s="90">
        <v>0.96527777777777779</v>
      </c>
      <c r="BE77" s="90">
        <v>0.35555555555555557</v>
      </c>
      <c r="BF77" s="90">
        <v>0.96111111111111114</v>
      </c>
      <c r="BG77" s="120" t="s">
        <v>15</v>
      </c>
      <c r="BH77" s="120" t="s">
        <v>15</v>
      </c>
      <c r="BI77" s="90">
        <v>0.3527777777777778</v>
      </c>
      <c r="BJ77" s="91">
        <v>1</v>
      </c>
      <c r="BK77" s="120" t="s">
        <v>15</v>
      </c>
      <c r="BL77" s="120" t="s">
        <v>15</v>
      </c>
      <c r="BM77" s="90">
        <v>0.35416666666666669</v>
      </c>
      <c r="BN77" s="90">
        <v>0.96111111111111114</v>
      </c>
      <c r="BO77" s="90">
        <v>0.35416666666666669</v>
      </c>
      <c r="BP77" s="90">
        <v>0.94652777777777775</v>
      </c>
      <c r="BQ77" s="147">
        <f t="shared" si="28"/>
        <v>31</v>
      </c>
      <c r="BR77" s="81">
        <v>2</v>
      </c>
      <c r="BS77" s="2">
        <f t="shared" si="29"/>
        <v>27</v>
      </c>
      <c r="BT77" s="3">
        <f t="shared" si="43"/>
        <v>4</v>
      </c>
      <c r="BU77" s="3">
        <f t="shared" si="44"/>
        <v>0</v>
      </c>
      <c r="BV77" s="3">
        <f t="shared" si="45"/>
        <v>0</v>
      </c>
      <c r="BW77" s="3">
        <f t="shared" si="46"/>
        <v>0</v>
      </c>
      <c r="BX77" s="3">
        <f t="shared" si="47"/>
        <v>0</v>
      </c>
      <c r="BY77" s="3">
        <f t="shared" si="48"/>
        <v>0</v>
      </c>
      <c r="BZ77" s="3">
        <f t="shared" si="36"/>
        <v>0</v>
      </c>
      <c r="CA77" s="3">
        <f t="shared" si="38"/>
        <v>0</v>
      </c>
      <c r="CB77" s="3">
        <f t="shared" si="39"/>
        <v>0</v>
      </c>
      <c r="CC77" s="3">
        <f t="shared" si="40"/>
        <v>0</v>
      </c>
      <c r="CD77" s="3">
        <f t="shared" si="41"/>
        <v>0</v>
      </c>
      <c r="CE77" s="4"/>
      <c r="CH77" s="58">
        <v>0</v>
      </c>
      <c r="CI77" s="58">
        <v>0</v>
      </c>
      <c r="CJ77" s="58">
        <v>0</v>
      </c>
      <c r="CK77" s="58">
        <v>0</v>
      </c>
      <c r="CL77" s="58">
        <v>0</v>
      </c>
      <c r="CM77" s="59">
        <v>1</v>
      </c>
      <c r="CN77" s="58">
        <v>0</v>
      </c>
      <c r="CO77" s="58">
        <v>0</v>
      </c>
      <c r="CP77" s="58">
        <v>0</v>
      </c>
      <c r="CQ77" s="58">
        <v>0</v>
      </c>
      <c r="CR77" s="60">
        <f t="shared" si="42"/>
        <v>1</v>
      </c>
    </row>
    <row r="78" spans="1:96" ht="21.75" customHeight="1" x14ac:dyDescent="0.25">
      <c r="A78" s="46">
        <v>62</v>
      </c>
      <c r="B78" s="12" t="s">
        <v>169</v>
      </c>
      <c r="C78" s="98" t="s">
        <v>170</v>
      </c>
      <c r="D78" s="112">
        <v>45912</v>
      </c>
      <c r="E78" s="120" t="s">
        <v>15</v>
      </c>
      <c r="F78" s="120" t="s">
        <v>15</v>
      </c>
      <c r="G78" s="90">
        <v>0.35416666666666669</v>
      </c>
      <c r="H78" s="90">
        <v>0.97916666666666663</v>
      </c>
      <c r="I78" s="90">
        <v>0.35347222222222219</v>
      </c>
      <c r="J78" s="90">
        <v>0.96180555555555547</v>
      </c>
      <c r="K78" s="90">
        <v>0.35555555555555557</v>
      </c>
      <c r="L78" s="90">
        <v>0.97291666666666676</v>
      </c>
      <c r="M78" s="90">
        <v>0.3527777777777778</v>
      </c>
      <c r="N78" s="90">
        <v>0.96388888888888891</v>
      </c>
      <c r="O78" s="90">
        <v>0.35486111111111113</v>
      </c>
      <c r="P78" s="90">
        <v>0.97222222222222221</v>
      </c>
      <c r="Q78" s="90">
        <v>0.35347222222222219</v>
      </c>
      <c r="R78" s="90">
        <v>0.98611111111111116</v>
      </c>
      <c r="S78" s="126">
        <v>0.58263888888888882</v>
      </c>
      <c r="T78" s="126">
        <v>0.96666666666666667</v>
      </c>
      <c r="U78" s="90">
        <v>0.35069444444444442</v>
      </c>
      <c r="V78" s="90">
        <v>0.9819444444444444</v>
      </c>
      <c r="W78" s="90">
        <v>0.34930555555555554</v>
      </c>
      <c r="X78" s="90">
        <v>0.9590277777777777</v>
      </c>
      <c r="Y78" s="90">
        <v>0.35347222222222219</v>
      </c>
      <c r="Z78" s="90">
        <v>0.94652777777777775</v>
      </c>
      <c r="AA78" s="90">
        <v>0.35833333333333334</v>
      </c>
      <c r="AB78" s="90">
        <v>0.96319444444444446</v>
      </c>
      <c r="AC78" s="90">
        <v>0.48472222222222222</v>
      </c>
      <c r="AD78" s="90">
        <v>0.95833333333333337</v>
      </c>
      <c r="AE78" s="90">
        <v>0.34930555555555554</v>
      </c>
      <c r="AF78" s="90">
        <v>0.98333333333333339</v>
      </c>
      <c r="AG78" s="120" t="s">
        <v>15</v>
      </c>
      <c r="AH78" s="120" t="s">
        <v>15</v>
      </c>
      <c r="AJ78" s="123">
        <v>62</v>
      </c>
      <c r="AK78" s="90">
        <v>0.3520833333333333</v>
      </c>
      <c r="AL78" s="90">
        <v>0.97916666666666663</v>
      </c>
      <c r="AM78" s="90">
        <v>0.35347222222222219</v>
      </c>
      <c r="AN78" s="90">
        <v>0.96458333333333324</v>
      </c>
      <c r="AO78" s="90">
        <v>0.34930555555555554</v>
      </c>
      <c r="AP78" s="90">
        <v>0.96319444444444446</v>
      </c>
      <c r="AQ78" s="90">
        <v>0.34930555555555554</v>
      </c>
      <c r="AR78" s="90">
        <v>0.95833333333333337</v>
      </c>
      <c r="AS78" s="90">
        <v>0.35138888888888892</v>
      </c>
      <c r="AT78" s="90">
        <v>0.96527777777777779</v>
      </c>
      <c r="AU78" s="90">
        <v>0.34583333333333338</v>
      </c>
      <c r="AV78" s="90">
        <v>0.9868055555555556</v>
      </c>
      <c r="AW78" s="126">
        <v>0.58124999999999993</v>
      </c>
      <c r="AX78" s="126">
        <v>0.97222222222222221</v>
      </c>
      <c r="AY78" s="90">
        <v>0.34930555555555554</v>
      </c>
      <c r="AZ78" s="90">
        <v>0.98333333333333339</v>
      </c>
      <c r="BA78" s="90">
        <v>0.35694444444444445</v>
      </c>
      <c r="BB78" s="90">
        <v>2.2222222222222223E-2</v>
      </c>
      <c r="BC78" s="90">
        <v>0.34930555555555554</v>
      </c>
      <c r="BD78" s="91">
        <v>1</v>
      </c>
      <c r="BE78" s="90">
        <v>0.35625000000000001</v>
      </c>
      <c r="BF78" s="90">
        <v>0.98958333333333337</v>
      </c>
      <c r="BG78" s="120" t="s">
        <v>15</v>
      </c>
      <c r="BH78" s="120" t="s">
        <v>15</v>
      </c>
      <c r="BI78" s="90">
        <v>0.35833333333333334</v>
      </c>
      <c r="BJ78" s="90">
        <v>0.99375000000000002</v>
      </c>
      <c r="BK78" s="120" t="s">
        <v>15</v>
      </c>
      <c r="BL78" s="120" t="s">
        <v>15</v>
      </c>
      <c r="BM78" s="90">
        <v>0.35069444444444442</v>
      </c>
      <c r="BN78" s="90">
        <v>0.96319444444444446</v>
      </c>
      <c r="BO78" s="90">
        <v>0.34652777777777777</v>
      </c>
      <c r="BP78" s="90">
        <v>0.98958333333333337</v>
      </c>
      <c r="BQ78" s="147">
        <f t="shared" si="28"/>
        <v>31</v>
      </c>
      <c r="BR78" s="81">
        <v>2</v>
      </c>
      <c r="BS78" s="2">
        <f t="shared" si="29"/>
        <v>27</v>
      </c>
      <c r="BT78" s="3">
        <f t="shared" si="43"/>
        <v>4</v>
      </c>
      <c r="BU78" s="3">
        <f t="shared" si="44"/>
        <v>0</v>
      </c>
      <c r="BV78" s="3">
        <f t="shared" si="45"/>
        <v>0</v>
      </c>
      <c r="BW78" s="3">
        <f t="shared" si="46"/>
        <v>0</v>
      </c>
      <c r="BX78" s="3">
        <f t="shared" si="47"/>
        <v>0</v>
      </c>
      <c r="BY78" s="3">
        <f t="shared" si="48"/>
        <v>0</v>
      </c>
      <c r="BZ78" s="3">
        <f t="shared" si="36"/>
        <v>0</v>
      </c>
      <c r="CA78" s="3">
        <f t="shared" si="38"/>
        <v>0</v>
      </c>
      <c r="CB78" s="3">
        <f t="shared" si="39"/>
        <v>0</v>
      </c>
      <c r="CC78" s="3">
        <f t="shared" si="40"/>
        <v>0</v>
      </c>
      <c r="CD78" s="3">
        <f t="shared" si="41"/>
        <v>0</v>
      </c>
      <c r="CE78" s="4"/>
      <c r="CH78" s="58">
        <v>0</v>
      </c>
      <c r="CI78" s="58">
        <v>0</v>
      </c>
      <c r="CJ78" s="58">
        <v>0</v>
      </c>
      <c r="CK78" s="58">
        <v>0</v>
      </c>
      <c r="CL78" s="58">
        <v>0</v>
      </c>
      <c r="CM78" s="58">
        <v>3</v>
      </c>
      <c r="CN78" s="58">
        <v>0</v>
      </c>
      <c r="CO78" s="58">
        <v>0</v>
      </c>
      <c r="CP78" s="58">
        <v>0</v>
      </c>
      <c r="CQ78" s="58">
        <v>0</v>
      </c>
      <c r="CR78" s="60">
        <f t="shared" si="42"/>
        <v>3</v>
      </c>
    </row>
    <row r="79" spans="1:96" ht="21.75" customHeight="1" x14ac:dyDescent="0.25">
      <c r="A79" s="46">
        <v>63</v>
      </c>
      <c r="B79" s="12" t="s">
        <v>171</v>
      </c>
      <c r="C79" s="98" t="s">
        <v>172</v>
      </c>
      <c r="D79" s="112">
        <v>45882</v>
      </c>
      <c r="E79" s="126">
        <v>0.57291666666666663</v>
      </c>
      <c r="F79" s="126">
        <v>0.9784722222222223</v>
      </c>
      <c r="G79" s="90">
        <v>0.34722222222222227</v>
      </c>
      <c r="H79" s="91">
        <v>1</v>
      </c>
      <c r="I79" s="90" t="s">
        <v>183</v>
      </c>
      <c r="J79" s="90" t="s">
        <v>183</v>
      </c>
      <c r="K79" s="90" t="s">
        <v>183</v>
      </c>
      <c r="L79" s="90" t="s">
        <v>183</v>
      </c>
      <c r="M79" s="90" t="s">
        <v>183</v>
      </c>
      <c r="N79" s="90" t="s">
        <v>183</v>
      </c>
      <c r="O79" s="90">
        <v>0.34652777777777777</v>
      </c>
      <c r="P79" s="90">
        <v>0.87152777777777779</v>
      </c>
      <c r="Q79" s="90">
        <v>0.35138888888888892</v>
      </c>
      <c r="R79" s="90">
        <v>0.8965277777777777</v>
      </c>
      <c r="S79" s="120" t="s">
        <v>15</v>
      </c>
      <c r="T79" s="120" t="s">
        <v>15</v>
      </c>
      <c r="U79" s="90">
        <v>0.3527777777777778</v>
      </c>
      <c r="V79" s="90">
        <v>0.91805555555555562</v>
      </c>
      <c r="W79" s="90">
        <v>0.34583333333333338</v>
      </c>
      <c r="X79" s="90">
        <v>0.88958333333333339</v>
      </c>
      <c r="Y79" s="90">
        <v>0.34930555555555554</v>
      </c>
      <c r="Z79" s="90">
        <v>0.89583333333333337</v>
      </c>
      <c r="AA79" s="90">
        <v>0.34861111111111115</v>
      </c>
      <c r="AB79" s="90">
        <v>0.8965277777777777</v>
      </c>
      <c r="AC79" s="90">
        <v>0.34027777777777773</v>
      </c>
      <c r="AD79" s="90">
        <v>0.91875000000000007</v>
      </c>
      <c r="AE79" s="90">
        <v>0.33263888888888887</v>
      </c>
      <c r="AF79" s="90">
        <v>0.9291666666666667</v>
      </c>
      <c r="AG79" s="126">
        <v>0.56944444444444442</v>
      </c>
      <c r="AH79" s="126">
        <v>0.91736111111111107</v>
      </c>
      <c r="AJ79" s="123">
        <v>63</v>
      </c>
      <c r="AK79" s="90">
        <v>0.33680555555555558</v>
      </c>
      <c r="AL79" s="90">
        <v>0.93402777777777779</v>
      </c>
      <c r="AM79" s="90">
        <v>0.33888888888888885</v>
      </c>
      <c r="AN79" s="90">
        <v>0.94652777777777775</v>
      </c>
      <c r="AO79" s="90">
        <v>0.34166666666666662</v>
      </c>
      <c r="AP79" s="90">
        <v>0.90069444444444446</v>
      </c>
      <c r="AQ79" s="90">
        <v>0.33888888888888885</v>
      </c>
      <c r="AR79" s="90">
        <v>0.8881944444444444</v>
      </c>
      <c r="AS79" s="90">
        <v>0.33819444444444446</v>
      </c>
      <c r="AT79" s="90">
        <v>0.90416666666666667</v>
      </c>
      <c r="AU79" s="90">
        <v>0.34166666666666662</v>
      </c>
      <c r="AV79" s="90">
        <v>0.96319444444444446</v>
      </c>
      <c r="AW79" s="120" t="s">
        <v>15</v>
      </c>
      <c r="AX79" s="120" t="s">
        <v>15</v>
      </c>
      <c r="AY79" s="90">
        <v>0.34375</v>
      </c>
      <c r="AZ79" s="90">
        <v>0.94097222222222221</v>
      </c>
      <c r="BA79" s="90">
        <v>0.34097222222222223</v>
      </c>
      <c r="BB79" s="90">
        <v>0.9159722222222223</v>
      </c>
      <c r="BC79" s="90">
        <v>0.3444444444444445</v>
      </c>
      <c r="BD79" s="90">
        <v>0.99097222222222225</v>
      </c>
      <c r="BE79" s="90">
        <v>0.3444444444444445</v>
      </c>
      <c r="BF79" s="90">
        <v>0.96388888888888891</v>
      </c>
      <c r="BG79" s="120" t="s">
        <v>15</v>
      </c>
      <c r="BH79" s="120" t="s">
        <v>15</v>
      </c>
      <c r="BI79" s="90">
        <v>0.35069444444444442</v>
      </c>
      <c r="BJ79" s="90">
        <v>0.94305555555555554</v>
      </c>
      <c r="BK79" s="126">
        <v>0.56944444444444442</v>
      </c>
      <c r="BL79" s="126">
        <v>0.90625</v>
      </c>
      <c r="BM79" s="90">
        <v>0.33819444444444446</v>
      </c>
      <c r="BN79" s="90">
        <v>0.89583333333333337</v>
      </c>
      <c r="BO79" s="90">
        <v>0.33749999999999997</v>
      </c>
      <c r="BP79" s="90">
        <v>0.9291666666666667</v>
      </c>
      <c r="BQ79" s="147">
        <f t="shared" si="28"/>
        <v>31</v>
      </c>
      <c r="BR79" s="81">
        <v>3</v>
      </c>
      <c r="BS79" s="2">
        <f t="shared" si="29"/>
        <v>25</v>
      </c>
      <c r="BT79" s="3">
        <f t="shared" si="43"/>
        <v>3</v>
      </c>
      <c r="BU79" s="3">
        <f t="shared" si="44"/>
        <v>0</v>
      </c>
      <c r="BV79" s="3">
        <f t="shared" si="45"/>
        <v>0</v>
      </c>
      <c r="BW79" s="3">
        <f t="shared" si="46"/>
        <v>0</v>
      </c>
      <c r="BX79" s="3">
        <f t="shared" si="47"/>
        <v>0</v>
      </c>
      <c r="BY79" s="3">
        <f t="shared" si="48"/>
        <v>0</v>
      </c>
      <c r="BZ79" s="3">
        <f t="shared" si="36"/>
        <v>3</v>
      </c>
      <c r="CA79" s="3">
        <f t="shared" si="38"/>
        <v>0</v>
      </c>
      <c r="CB79" s="3">
        <f t="shared" si="39"/>
        <v>0</v>
      </c>
      <c r="CC79" s="3">
        <f t="shared" si="40"/>
        <v>0</v>
      </c>
      <c r="CD79" s="3">
        <f t="shared" si="41"/>
        <v>0</v>
      </c>
      <c r="CE79" s="4"/>
      <c r="CH79" s="58">
        <v>0</v>
      </c>
      <c r="CI79" s="58">
        <v>0</v>
      </c>
      <c r="CJ79" s="58">
        <v>0</v>
      </c>
      <c r="CK79" s="58">
        <v>0</v>
      </c>
      <c r="CL79" s="58">
        <v>0</v>
      </c>
      <c r="CM79" s="59">
        <v>12</v>
      </c>
      <c r="CN79" s="58">
        <v>0</v>
      </c>
      <c r="CO79" s="58">
        <v>0</v>
      </c>
      <c r="CP79" s="58">
        <v>0</v>
      </c>
      <c r="CQ79" s="58">
        <v>0</v>
      </c>
      <c r="CR79" s="60">
        <f t="shared" si="42"/>
        <v>12</v>
      </c>
    </row>
    <row r="80" spans="1:96" ht="22.5" customHeight="1" x14ac:dyDescent="0.25">
      <c r="A80" s="46">
        <v>64</v>
      </c>
      <c r="B80" s="12" t="s">
        <v>173</v>
      </c>
      <c r="C80" s="99" t="s">
        <v>246</v>
      </c>
      <c r="D80" s="112">
        <v>45935</v>
      </c>
      <c r="E80" s="126">
        <v>0.34583333333333338</v>
      </c>
      <c r="F80" s="126">
        <v>0.96875</v>
      </c>
      <c r="G80" s="90">
        <v>0.34722222222222227</v>
      </c>
      <c r="H80" s="90">
        <v>0.95138888888888884</v>
      </c>
      <c r="I80" s="90">
        <v>0.34791666666666665</v>
      </c>
      <c r="J80" s="90">
        <v>0.9555555555555556</v>
      </c>
      <c r="K80" s="90">
        <v>0.35347222222222219</v>
      </c>
      <c r="L80" s="90">
        <v>0.9472222222222223</v>
      </c>
      <c r="M80" s="91">
        <v>1</v>
      </c>
      <c r="N80" s="91">
        <v>1</v>
      </c>
      <c r="O80" s="90">
        <v>0.34722222222222227</v>
      </c>
      <c r="P80" s="90">
        <v>0.94791666666666663</v>
      </c>
      <c r="Q80" s="90">
        <v>0.34791666666666665</v>
      </c>
      <c r="R80" s="90">
        <v>0.96805555555555556</v>
      </c>
      <c r="S80" s="126">
        <v>0.58333333333333337</v>
      </c>
      <c r="T80" s="126">
        <v>0.95972222222222225</v>
      </c>
      <c r="U80" s="90">
        <v>0.35138888888888892</v>
      </c>
      <c r="V80" s="90">
        <v>0.96458333333333324</v>
      </c>
      <c r="W80" s="90">
        <v>0.34583333333333338</v>
      </c>
      <c r="X80" s="90">
        <v>0.94861111111111107</v>
      </c>
      <c r="Y80" s="90">
        <v>0.34722222222222227</v>
      </c>
      <c r="Z80" s="90">
        <v>0.9458333333333333</v>
      </c>
      <c r="AA80" s="90">
        <v>0.34583333333333338</v>
      </c>
      <c r="AB80" s="90">
        <v>0.94930555555555562</v>
      </c>
      <c r="AC80" s="90">
        <v>0.34791666666666665</v>
      </c>
      <c r="AD80" s="90">
        <v>0.9458333333333333</v>
      </c>
      <c r="AE80" s="90">
        <v>0.35347222222222219</v>
      </c>
      <c r="AF80" s="90">
        <v>0.97083333333333333</v>
      </c>
      <c r="AG80" s="120" t="s">
        <v>15</v>
      </c>
      <c r="AH80" s="120" t="s">
        <v>15</v>
      </c>
      <c r="AJ80" s="123">
        <v>64</v>
      </c>
      <c r="AK80" s="90">
        <v>0.34930555555555554</v>
      </c>
      <c r="AL80" s="90">
        <v>0.96736111111111101</v>
      </c>
      <c r="AM80" s="90">
        <v>0.34791666666666665</v>
      </c>
      <c r="AN80" s="90">
        <v>0.94791666666666663</v>
      </c>
      <c r="AO80" s="90">
        <v>0.35069444444444442</v>
      </c>
      <c r="AP80" s="90">
        <v>0.94861111111111107</v>
      </c>
      <c r="AQ80" s="90">
        <v>0.35347222222222219</v>
      </c>
      <c r="AR80" s="90">
        <v>0.94444444444444453</v>
      </c>
      <c r="AS80" s="90">
        <v>0.35069444444444442</v>
      </c>
      <c r="AT80" s="90">
        <v>0.9472222222222223</v>
      </c>
      <c r="AU80" s="90">
        <v>0.34722222222222227</v>
      </c>
      <c r="AV80" s="90">
        <v>0.97222222222222221</v>
      </c>
      <c r="AW80" s="126">
        <v>0.57916666666666672</v>
      </c>
      <c r="AX80" s="126">
        <v>0.94861111111111107</v>
      </c>
      <c r="AY80" s="90">
        <v>0.34930555555555554</v>
      </c>
      <c r="AZ80" s="90">
        <v>0.96527777777777779</v>
      </c>
      <c r="BA80" s="90">
        <v>0.35138888888888892</v>
      </c>
      <c r="BB80" s="91">
        <v>1</v>
      </c>
      <c r="BC80" s="90">
        <v>0.34791666666666665</v>
      </c>
      <c r="BD80" s="90">
        <v>0.96875</v>
      </c>
      <c r="BE80" s="90">
        <v>0.35069444444444442</v>
      </c>
      <c r="BF80" s="90">
        <v>0.96388888888888891</v>
      </c>
      <c r="BG80" s="120" t="s">
        <v>15</v>
      </c>
      <c r="BH80" s="120" t="s">
        <v>15</v>
      </c>
      <c r="BI80" s="90">
        <v>0.34791666666666665</v>
      </c>
      <c r="BJ80" s="90">
        <v>0.99305555555555547</v>
      </c>
      <c r="BK80" s="120" t="s">
        <v>15</v>
      </c>
      <c r="BL80" s="120" t="s">
        <v>15</v>
      </c>
      <c r="BM80" s="90">
        <v>0.35138888888888892</v>
      </c>
      <c r="BN80" s="90">
        <v>0.96111111111111114</v>
      </c>
      <c r="BO80" s="90">
        <v>0.35069444444444442</v>
      </c>
      <c r="BP80" s="90">
        <v>0.94791666666666663</v>
      </c>
      <c r="BQ80" s="147">
        <f t="shared" si="28"/>
        <v>31</v>
      </c>
      <c r="BR80" s="81">
        <v>3</v>
      </c>
      <c r="BS80" s="2">
        <f t="shared" si="29"/>
        <v>28</v>
      </c>
      <c r="BT80" s="3">
        <f t="shared" si="43"/>
        <v>3</v>
      </c>
      <c r="BU80" s="3">
        <f t="shared" si="44"/>
        <v>0</v>
      </c>
      <c r="BV80" s="3">
        <f t="shared" si="45"/>
        <v>0</v>
      </c>
      <c r="BW80" s="3">
        <f t="shared" si="46"/>
        <v>0</v>
      </c>
      <c r="BX80" s="3">
        <f t="shared" si="47"/>
        <v>0</v>
      </c>
      <c r="BY80" s="3">
        <f t="shared" si="48"/>
        <v>0</v>
      </c>
      <c r="BZ80" s="3">
        <f t="shared" si="36"/>
        <v>0</v>
      </c>
      <c r="CA80" s="3">
        <f t="shared" si="38"/>
        <v>0</v>
      </c>
      <c r="CB80" s="3">
        <f t="shared" si="39"/>
        <v>0</v>
      </c>
      <c r="CC80" s="3">
        <f t="shared" si="40"/>
        <v>0</v>
      </c>
      <c r="CD80" s="3">
        <f t="shared" si="41"/>
        <v>0</v>
      </c>
      <c r="CE80" s="4"/>
      <c r="CH80" s="58">
        <v>0</v>
      </c>
      <c r="CI80" s="58">
        <v>0</v>
      </c>
      <c r="CJ80" s="58">
        <v>0</v>
      </c>
      <c r="CK80" s="58">
        <v>0</v>
      </c>
      <c r="CL80" s="58">
        <v>0</v>
      </c>
      <c r="CM80" s="59">
        <v>1</v>
      </c>
      <c r="CN80" s="58">
        <v>0</v>
      </c>
      <c r="CO80" s="58">
        <v>0</v>
      </c>
      <c r="CP80" s="58">
        <v>0</v>
      </c>
      <c r="CQ80" s="58">
        <v>0</v>
      </c>
      <c r="CR80" s="60">
        <f t="shared" si="42"/>
        <v>1</v>
      </c>
    </row>
    <row r="81" spans="1:96" ht="21.75" customHeight="1" x14ac:dyDescent="0.25">
      <c r="A81" s="46">
        <v>65</v>
      </c>
      <c r="B81" s="12" t="s">
        <v>174</v>
      </c>
      <c r="C81" s="103" t="s">
        <v>175</v>
      </c>
      <c r="D81" s="112">
        <v>45929</v>
      </c>
      <c r="E81" s="120" t="s">
        <v>15</v>
      </c>
      <c r="F81" s="120" t="s">
        <v>15</v>
      </c>
      <c r="G81" s="90">
        <v>0.34930555555555554</v>
      </c>
      <c r="H81" s="90">
        <v>0.9375</v>
      </c>
      <c r="I81" s="90">
        <v>0.33333333333333331</v>
      </c>
      <c r="J81" s="90">
        <v>0.92291666666666661</v>
      </c>
      <c r="K81" s="90">
        <v>0.33611111111111108</v>
      </c>
      <c r="L81" s="90">
        <v>0.94305555555555554</v>
      </c>
      <c r="M81" s="90">
        <v>0.34513888888888888</v>
      </c>
      <c r="N81" s="90">
        <v>0.93819444444444444</v>
      </c>
      <c r="O81" s="90">
        <v>0.33263888888888887</v>
      </c>
      <c r="P81" s="90">
        <v>0.9277777777777777</v>
      </c>
      <c r="Q81" s="90">
        <v>0.33124999999999999</v>
      </c>
      <c r="R81" s="90">
        <v>0.96319444444444446</v>
      </c>
      <c r="S81" s="126">
        <v>0.56805555555555554</v>
      </c>
      <c r="T81" s="126">
        <v>0.91736111111111107</v>
      </c>
      <c r="U81" s="90">
        <v>0.35555555555555557</v>
      </c>
      <c r="V81" s="91">
        <v>1</v>
      </c>
      <c r="W81" s="90">
        <v>0.35625000000000001</v>
      </c>
      <c r="X81" s="90">
        <v>0.94444444444444453</v>
      </c>
      <c r="Y81" s="90">
        <v>0.35069444444444442</v>
      </c>
      <c r="Z81" s="90">
        <v>0.93888888888888899</v>
      </c>
      <c r="AA81" s="90">
        <v>0.3527777777777778</v>
      </c>
      <c r="AB81" s="90">
        <v>0.9375</v>
      </c>
      <c r="AC81" s="90">
        <v>0.34930555555555554</v>
      </c>
      <c r="AD81" s="90">
        <v>0.9375</v>
      </c>
      <c r="AE81" s="90">
        <v>0.35069444444444442</v>
      </c>
      <c r="AF81" s="90">
        <v>0.95833333333333337</v>
      </c>
      <c r="AG81" s="120" t="s">
        <v>15</v>
      </c>
      <c r="AH81" s="120" t="s">
        <v>15</v>
      </c>
      <c r="AJ81" s="123">
        <v>65</v>
      </c>
      <c r="AK81" s="90">
        <v>0.3520833333333333</v>
      </c>
      <c r="AL81" s="90">
        <v>0.95138888888888884</v>
      </c>
      <c r="AM81" s="90">
        <v>0.34791666666666665</v>
      </c>
      <c r="AN81" s="90">
        <v>0.9506944444444444</v>
      </c>
      <c r="AO81" s="90">
        <v>0.3520833333333333</v>
      </c>
      <c r="AP81" s="90">
        <v>0.9375</v>
      </c>
      <c r="AQ81" s="90">
        <v>0.34791666666666665</v>
      </c>
      <c r="AR81" s="90">
        <v>0.9375</v>
      </c>
      <c r="AS81" s="90">
        <v>0.34652777777777777</v>
      </c>
      <c r="AT81" s="90">
        <v>0.94930555555555562</v>
      </c>
      <c r="AU81" s="90">
        <v>0.35069444444444442</v>
      </c>
      <c r="AV81" s="90">
        <v>0.95972222222222225</v>
      </c>
      <c r="AW81" s="126">
        <v>0.56527777777777777</v>
      </c>
      <c r="AX81" s="127">
        <v>1</v>
      </c>
      <c r="AY81" s="90">
        <v>0.3527777777777778</v>
      </c>
      <c r="AZ81" s="90">
        <v>0.96597222222222223</v>
      </c>
      <c r="BA81" s="90">
        <v>0.35138888888888892</v>
      </c>
      <c r="BB81" s="90">
        <v>1.3888888888888888E-2</v>
      </c>
      <c r="BC81" s="90">
        <v>0.35625000000000001</v>
      </c>
      <c r="BD81" s="91">
        <v>1</v>
      </c>
      <c r="BE81" s="90">
        <v>0.3527777777777778</v>
      </c>
      <c r="BF81" s="90">
        <v>0.94166666666666676</v>
      </c>
      <c r="BG81" s="120" t="s">
        <v>15</v>
      </c>
      <c r="BH81" s="120" t="s">
        <v>15</v>
      </c>
      <c r="BI81" s="90">
        <v>0.3527777777777778</v>
      </c>
      <c r="BJ81" s="91">
        <v>1</v>
      </c>
      <c r="BK81" s="120" t="s">
        <v>15</v>
      </c>
      <c r="BL81" s="120" t="s">
        <v>15</v>
      </c>
      <c r="BM81" s="90">
        <v>0.35138888888888892</v>
      </c>
      <c r="BN81" s="90">
        <v>0.94861111111111107</v>
      </c>
      <c r="BO81" s="90">
        <v>0.35347222222222219</v>
      </c>
      <c r="BP81" s="90">
        <v>0.96111111111111114</v>
      </c>
      <c r="BQ81" s="147">
        <f t="shared" si="28"/>
        <v>31</v>
      </c>
      <c r="BR81" s="81">
        <v>2</v>
      </c>
      <c r="BS81" s="2">
        <f t="shared" si="29"/>
        <v>27</v>
      </c>
      <c r="BT81" s="3">
        <f t="shared" si="43"/>
        <v>4</v>
      </c>
      <c r="BU81" s="3">
        <f t="shared" si="44"/>
        <v>0</v>
      </c>
      <c r="BV81" s="3">
        <f t="shared" si="45"/>
        <v>0</v>
      </c>
      <c r="BW81" s="3">
        <f t="shared" si="46"/>
        <v>0</v>
      </c>
      <c r="BX81" s="3">
        <f t="shared" si="47"/>
        <v>0</v>
      </c>
      <c r="BY81" s="3">
        <f t="shared" si="48"/>
        <v>0</v>
      </c>
      <c r="BZ81" s="3">
        <f t="shared" si="36"/>
        <v>0</v>
      </c>
      <c r="CA81" s="3">
        <f t="shared" si="38"/>
        <v>0</v>
      </c>
      <c r="CB81" s="3">
        <f t="shared" si="39"/>
        <v>0</v>
      </c>
      <c r="CC81" s="3">
        <f t="shared" si="40"/>
        <v>0</v>
      </c>
      <c r="CD81" s="3">
        <f t="shared" si="41"/>
        <v>0</v>
      </c>
      <c r="CE81" s="4"/>
      <c r="CH81" s="58">
        <v>0</v>
      </c>
      <c r="CI81" s="58">
        <v>0</v>
      </c>
      <c r="CJ81" s="58">
        <v>0</v>
      </c>
      <c r="CK81" s="58">
        <v>0</v>
      </c>
      <c r="CL81" s="58">
        <v>0</v>
      </c>
      <c r="CM81" s="58">
        <v>0</v>
      </c>
      <c r="CN81" s="58">
        <v>0</v>
      </c>
      <c r="CO81" s="58">
        <v>0</v>
      </c>
      <c r="CP81" s="58">
        <v>0</v>
      </c>
      <c r="CQ81" s="58">
        <v>0</v>
      </c>
      <c r="CR81" s="60">
        <f t="shared" si="42"/>
        <v>0</v>
      </c>
    </row>
    <row r="82" spans="1:96" ht="21.75" customHeight="1" x14ac:dyDescent="0.25">
      <c r="A82" s="46">
        <v>66</v>
      </c>
      <c r="B82" s="12" t="s">
        <v>176</v>
      </c>
      <c r="C82" s="99" t="s">
        <v>177</v>
      </c>
      <c r="D82" s="112">
        <v>45944</v>
      </c>
      <c r="E82" s="126">
        <v>0.5708333333333333</v>
      </c>
      <c r="F82" s="126">
        <v>0.8930555555555556</v>
      </c>
      <c r="G82" s="90">
        <v>0.35000000000000003</v>
      </c>
      <c r="H82" s="90">
        <v>0.93125000000000002</v>
      </c>
      <c r="I82" s="90">
        <v>0.34722222222222227</v>
      </c>
      <c r="J82" s="90">
        <v>0.93194444444444446</v>
      </c>
      <c r="K82" s="90">
        <v>0.34722222222222227</v>
      </c>
      <c r="L82" s="90">
        <v>0.96319444444444446</v>
      </c>
      <c r="M82" s="90">
        <v>0.3520833333333333</v>
      </c>
      <c r="N82" s="90">
        <v>0.92986111111111114</v>
      </c>
      <c r="O82" s="90">
        <v>0.34513888888888888</v>
      </c>
      <c r="P82" s="90">
        <v>0.94027777777777777</v>
      </c>
      <c r="Q82" s="90">
        <v>0.35000000000000003</v>
      </c>
      <c r="R82" s="90">
        <v>0.92083333333333339</v>
      </c>
      <c r="S82" s="120" t="s">
        <v>15</v>
      </c>
      <c r="T82" s="120" t="s">
        <v>15</v>
      </c>
      <c r="U82" s="90">
        <v>0.3444444444444445</v>
      </c>
      <c r="V82" s="90">
        <v>0.91736111111111107</v>
      </c>
      <c r="W82" s="90">
        <v>0.34652777777777777</v>
      </c>
      <c r="X82" s="90">
        <v>0.91805555555555562</v>
      </c>
      <c r="Y82" s="90">
        <v>0.3430555555555555</v>
      </c>
      <c r="Z82" s="90">
        <v>0.89930555555555547</v>
      </c>
      <c r="AA82" s="90">
        <v>0.34513888888888888</v>
      </c>
      <c r="AB82" s="90">
        <v>0.91736111111111107</v>
      </c>
      <c r="AC82" s="90">
        <v>0.34236111111111112</v>
      </c>
      <c r="AD82" s="90">
        <v>0.9291666666666667</v>
      </c>
      <c r="AE82" s="90">
        <v>0.3444444444444445</v>
      </c>
      <c r="AF82" s="90">
        <v>0.93611111111111101</v>
      </c>
      <c r="AG82" s="126">
        <v>0.57777777777777783</v>
      </c>
      <c r="AH82" s="126">
        <v>0.91875000000000007</v>
      </c>
      <c r="AJ82" s="123">
        <v>66</v>
      </c>
      <c r="AK82" s="90">
        <v>0.3444444444444445</v>
      </c>
      <c r="AL82" s="90">
        <v>0.94861111111111107</v>
      </c>
      <c r="AM82" s="90">
        <v>0.34027777777777773</v>
      </c>
      <c r="AN82" s="90">
        <v>0.9590277777777777</v>
      </c>
      <c r="AO82" s="90">
        <v>0.34513888888888888</v>
      </c>
      <c r="AP82" s="90">
        <v>0.92152777777777783</v>
      </c>
      <c r="AQ82" s="90">
        <v>0.34583333333333338</v>
      </c>
      <c r="AR82" s="90">
        <v>0.90416666666666667</v>
      </c>
      <c r="AS82" s="90">
        <v>0.34652777777777777</v>
      </c>
      <c r="AT82" s="90">
        <v>0.93263888888888891</v>
      </c>
      <c r="AU82" s="90">
        <v>0.34375</v>
      </c>
      <c r="AV82" s="90">
        <v>0.93194444444444446</v>
      </c>
      <c r="AW82" s="120" t="s">
        <v>15</v>
      </c>
      <c r="AX82" s="120" t="s">
        <v>15</v>
      </c>
      <c r="AY82" s="90">
        <v>0.34722222222222227</v>
      </c>
      <c r="AZ82" s="90">
        <v>0.93125000000000002</v>
      </c>
      <c r="BA82" s="90">
        <v>0.3444444444444445</v>
      </c>
      <c r="BB82" s="90">
        <v>0.91736111111111107</v>
      </c>
      <c r="BC82" s="90">
        <v>0.3444444444444445</v>
      </c>
      <c r="BD82" s="90">
        <v>0.97986111111111107</v>
      </c>
      <c r="BE82" s="90">
        <v>0.34652777777777777</v>
      </c>
      <c r="BF82" s="90">
        <v>0.95972222222222225</v>
      </c>
      <c r="BG82" s="120" t="s">
        <v>15</v>
      </c>
      <c r="BH82" s="120" t="s">
        <v>15</v>
      </c>
      <c r="BI82" s="90">
        <v>0.34652777777777777</v>
      </c>
      <c r="BJ82" s="90">
        <v>0.91736111111111107</v>
      </c>
      <c r="BK82" s="126">
        <v>0.57986111111111105</v>
      </c>
      <c r="BL82" s="126">
        <v>0.92083333333333339</v>
      </c>
      <c r="BM82" s="90">
        <v>0.34513888888888888</v>
      </c>
      <c r="BN82" s="90">
        <v>0.90277777777777779</v>
      </c>
      <c r="BO82" s="90">
        <v>0.34652777777777777</v>
      </c>
      <c r="BP82" s="90">
        <v>0.92986111111111114</v>
      </c>
      <c r="BQ82" s="147">
        <f t="shared" si="28"/>
        <v>31</v>
      </c>
      <c r="BR82" s="81">
        <v>3</v>
      </c>
      <c r="BS82" s="2">
        <f t="shared" si="29"/>
        <v>28</v>
      </c>
      <c r="BT82" s="3">
        <f t="shared" si="43"/>
        <v>3</v>
      </c>
      <c r="BU82" s="3">
        <f t="shared" si="44"/>
        <v>0</v>
      </c>
      <c r="BV82" s="3">
        <f t="shared" si="45"/>
        <v>0</v>
      </c>
      <c r="BW82" s="3">
        <f t="shared" si="46"/>
        <v>0</v>
      </c>
      <c r="BX82" s="3">
        <f t="shared" si="47"/>
        <v>0</v>
      </c>
      <c r="BY82" s="3">
        <f t="shared" si="48"/>
        <v>0</v>
      </c>
      <c r="BZ82" s="3">
        <f t="shared" si="36"/>
        <v>0</v>
      </c>
      <c r="CA82" s="3">
        <f t="shared" si="38"/>
        <v>0</v>
      </c>
      <c r="CB82" s="3">
        <f t="shared" si="39"/>
        <v>0</v>
      </c>
      <c r="CC82" s="3">
        <f t="shared" si="40"/>
        <v>0</v>
      </c>
      <c r="CD82" s="3">
        <f t="shared" si="41"/>
        <v>0</v>
      </c>
      <c r="CE82" s="4"/>
      <c r="CH82" s="58">
        <v>0</v>
      </c>
      <c r="CI82" s="58">
        <v>0</v>
      </c>
      <c r="CJ82" s="58">
        <v>0</v>
      </c>
      <c r="CK82" s="58">
        <v>0</v>
      </c>
      <c r="CL82" s="58">
        <v>0</v>
      </c>
      <c r="CM82" s="58">
        <v>2</v>
      </c>
      <c r="CN82" s="58">
        <v>0</v>
      </c>
      <c r="CO82" s="58">
        <v>0</v>
      </c>
      <c r="CP82" s="58">
        <v>0</v>
      </c>
      <c r="CQ82" s="58">
        <v>0</v>
      </c>
      <c r="CR82" s="60">
        <f t="shared" si="42"/>
        <v>2</v>
      </c>
    </row>
    <row r="83" spans="1:96" ht="21.75" customHeight="1" x14ac:dyDescent="0.25">
      <c r="A83" s="46">
        <v>67</v>
      </c>
      <c r="B83" s="52" t="s">
        <v>180</v>
      </c>
      <c r="C83" s="104" t="s">
        <v>181</v>
      </c>
      <c r="D83" s="112">
        <v>45956</v>
      </c>
      <c r="E83" s="126">
        <v>0.58333333333333337</v>
      </c>
      <c r="F83" s="126">
        <v>0.95486111111111116</v>
      </c>
      <c r="G83" s="90">
        <v>0.35555555555555557</v>
      </c>
      <c r="H83" s="90">
        <v>0.97083333333333333</v>
      </c>
      <c r="I83" s="90">
        <v>0.35555555555555557</v>
      </c>
      <c r="J83" s="90">
        <v>0.95277777777777783</v>
      </c>
      <c r="K83" s="90">
        <v>0.36041666666666666</v>
      </c>
      <c r="L83" s="90">
        <v>0.96180555555555547</v>
      </c>
      <c r="M83" s="90">
        <v>0.35555555555555557</v>
      </c>
      <c r="N83" s="90">
        <v>0.95833333333333337</v>
      </c>
      <c r="O83" s="90">
        <v>0.35625000000000001</v>
      </c>
      <c r="P83" s="90">
        <v>0.95138888888888884</v>
      </c>
      <c r="Q83" s="90">
        <v>0.35555555555555557</v>
      </c>
      <c r="R83" s="90">
        <v>0.9784722222222223</v>
      </c>
      <c r="S83" s="120" t="s">
        <v>15</v>
      </c>
      <c r="T83" s="120" t="s">
        <v>15</v>
      </c>
      <c r="U83" s="90">
        <v>0.35486111111111113</v>
      </c>
      <c r="V83" s="90">
        <v>0.9784722222222223</v>
      </c>
      <c r="W83" s="90">
        <v>0.35625000000000001</v>
      </c>
      <c r="X83" s="90">
        <v>0.95694444444444438</v>
      </c>
      <c r="Y83" s="90">
        <v>0.35486111111111113</v>
      </c>
      <c r="Z83" s="90">
        <v>0.95833333333333337</v>
      </c>
      <c r="AA83" s="90">
        <v>0.35555555555555557</v>
      </c>
      <c r="AB83" s="90">
        <v>0.95694444444444438</v>
      </c>
      <c r="AC83" s="90">
        <v>0.35486111111111113</v>
      </c>
      <c r="AD83" s="90">
        <v>0.95347222222222217</v>
      </c>
      <c r="AE83" s="90">
        <v>0.35555555555555557</v>
      </c>
      <c r="AF83" s="90">
        <v>0.97222222222222221</v>
      </c>
      <c r="AG83" s="126">
        <v>0.58402777777777781</v>
      </c>
      <c r="AH83" s="126">
        <v>0.95416666666666661</v>
      </c>
      <c r="AJ83" s="123">
        <v>67</v>
      </c>
      <c r="AK83" s="90">
        <v>0.35625000000000001</v>
      </c>
      <c r="AL83" s="90">
        <v>0.97222222222222221</v>
      </c>
      <c r="AM83" s="90">
        <v>0.35555555555555557</v>
      </c>
      <c r="AN83" s="90">
        <v>0.9555555555555556</v>
      </c>
      <c r="AO83" s="90">
        <v>0.35694444444444445</v>
      </c>
      <c r="AP83" s="90">
        <v>0.9555555555555556</v>
      </c>
      <c r="AQ83" s="90">
        <v>0.3527777777777778</v>
      </c>
      <c r="AR83" s="90">
        <v>0.95624999999999993</v>
      </c>
      <c r="AS83" s="90">
        <v>0.35347222222222219</v>
      </c>
      <c r="AT83" s="90">
        <v>0.95000000000000007</v>
      </c>
      <c r="AU83" s="90">
        <v>0.35347222222222219</v>
      </c>
      <c r="AV83" s="90">
        <v>0.9784722222222223</v>
      </c>
      <c r="AW83" s="120" t="s">
        <v>15</v>
      </c>
      <c r="AX83" s="120" t="s">
        <v>15</v>
      </c>
      <c r="AY83" s="90">
        <v>0.35416666666666669</v>
      </c>
      <c r="AZ83" s="90">
        <v>0.97152777777777777</v>
      </c>
      <c r="BA83" s="90">
        <v>0.3520833333333333</v>
      </c>
      <c r="BB83" s="90">
        <v>0.95138888888888884</v>
      </c>
      <c r="BC83" s="90">
        <v>0.3520833333333333</v>
      </c>
      <c r="BD83" s="90">
        <v>0.97083333333333333</v>
      </c>
      <c r="BE83" s="90">
        <v>0.3527777777777778</v>
      </c>
      <c r="BF83" s="90">
        <v>0.9868055555555556</v>
      </c>
      <c r="BG83" s="120" t="s">
        <v>15</v>
      </c>
      <c r="BH83" s="120" t="s">
        <v>15</v>
      </c>
      <c r="BI83" s="90">
        <v>0.3527777777777778</v>
      </c>
      <c r="BJ83" s="90">
        <v>0.99375000000000002</v>
      </c>
      <c r="BK83" s="126">
        <v>0.57986111111111105</v>
      </c>
      <c r="BL83" s="126">
        <v>0.95208333333333339</v>
      </c>
      <c r="BM83" s="90">
        <v>0.3527777777777778</v>
      </c>
      <c r="BN83" s="90">
        <v>0.97499999999999998</v>
      </c>
      <c r="BO83" s="90">
        <v>0.35138888888888892</v>
      </c>
      <c r="BP83" s="90">
        <v>0.9590277777777777</v>
      </c>
      <c r="BQ83" s="147">
        <f t="shared" si="28"/>
        <v>31</v>
      </c>
      <c r="BR83" s="81">
        <v>3</v>
      </c>
      <c r="BS83" s="2">
        <f t="shared" si="29"/>
        <v>28</v>
      </c>
      <c r="BT83" s="3">
        <f t="shared" si="43"/>
        <v>3</v>
      </c>
      <c r="BU83" s="3">
        <f t="shared" si="44"/>
        <v>0</v>
      </c>
      <c r="BV83" s="3">
        <f t="shared" si="45"/>
        <v>0</v>
      </c>
      <c r="BW83" s="3">
        <f t="shared" si="46"/>
        <v>0</v>
      </c>
      <c r="BX83" s="3">
        <f t="shared" si="47"/>
        <v>0</v>
      </c>
      <c r="BY83" s="3">
        <f t="shared" si="48"/>
        <v>0</v>
      </c>
      <c r="BZ83" s="3">
        <f t="shared" si="36"/>
        <v>0</v>
      </c>
      <c r="CA83" s="3">
        <f t="shared" si="38"/>
        <v>0</v>
      </c>
      <c r="CB83" s="3">
        <f t="shared" si="39"/>
        <v>0</v>
      </c>
      <c r="CC83" s="3">
        <f t="shared" si="40"/>
        <v>0</v>
      </c>
      <c r="CD83" s="3">
        <f t="shared" si="41"/>
        <v>0</v>
      </c>
      <c r="CE83" s="4"/>
      <c r="CH83" s="58">
        <v>0</v>
      </c>
      <c r="CI83" s="58">
        <v>0</v>
      </c>
      <c r="CJ83" s="58">
        <v>0</v>
      </c>
      <c r="CK83" s="58">
        <v>0</v>
      </c>
      <c r="CL83" s="58">
        <v>0</v>
      </c>
      <c r="CM83" s="58">
        <v>0</v>
      </c>
      <c r="CN83" s="58">
        <v>0</v>
      </c>
      <c r="CO83" s="58">
        <v>0</v>
      </c>
      <c r="CP83" s="58">
        <v>0</v>
      </c>
      <c r="CQ83" s="58">
        <v>0</v>
      </c>
      <c r="CR83" s="60">
        <f t="shared" si="42"/>
        <v>0</v>
      </c>
    </row>
    <row r="84" spans="1:96" ht="21.75" customHeight="1" x14ac:dyDescent="0.25">
      <c r="A84" s="46">
        <v>68</v>
      </c>
      <c r="B84" s="46" t="s">
        <v>193</v>
      </c>
      <c r="C84" s="100" t="s">
        <v>194</v>
      </c>
      <c r="D84" s="112">
        <v>45971</v>
      </c>
      <c r="E84" s="126">
        <v>0.56180555555555556</v>
      </c>
      <c r="F84" s="126">
        <v>1</v>
      </c>
      <c r="G84" s="90">
        <v>0.35069444444444442</v>
      </c>
      <c r="H84" s="90">
        <v>0.96805555555555556</v>
      </c>
      <c r="I84" s="90">
        <v>0.35138888888888892</v>
      </c>
      <c r="J84" s="90">
        <v>0.93819444444444444</v>
      </c>
      <c r="K84" s="90">
        <v>0.35138888888888892</v>
      </c>
      <c r="L84" s="90">
        <v>0.94444444444444453</v>
      </c>
      <c r="M84" s="90">
        <v>0.3520833333333333</v>
      </c>
      <c r="N84" s="90">
        <v>0.9375</v>
      </c>
      <c r="O84" s="90">
        <v>0.3520833333333333</v>
      </c>
      <c r="P84" s="90">
        <v>0.94236111111111109</v>
      </c>
      <c r="Q84" s="90">
        <v>0.35069444444444442</v>
      </c>
      <c r="R84" s="90">
        <v>0.95972222222222225</v>
      </c>
      <c r="S84" s="126">
        <v>0.57847222222222217</v>
      </c>
      <c r="T84" s="126">
        <v>0.93055555555555547</v>
      </c>
      <c r="U84" s="90">
        <v>0.34930555555555554</v>
      </c>
      <c r="V84" s="90">
        <v>0.95833333333333337</v>
      </c>
      <c r="W84" s="90">
        <v>0.35138888888888892</v>
      </c>
      <c r="X84" s="90">
        <v>0.94513888888888886</v>
      </c>
      <c r="Y84" s="90">
        <v>0.35069444444444442</v>
      </c>
      <c r="Z84" s="90">
        <v>0.94097222222222221</v>
      </c>
      <c r="AA84" s="90">
        <v>0.35069444444444442</v>
      </c>
      <c r="AB84" s="90">
        <v>0.94513888888888886</v>
      </c>
      <c r="AC84" s="90">
        <v>0.48472222222222222</v>
      </c>
      <c r="AD84" s="90">
        <v>0.94166666666666676</v>
      </c>
      <c r="AE84" s="90">
        <v>0.34930555555555554</v>
      </c>
      <c r="AF84" s="90">
        <v>0.96388888888888891</v>
      </c>
      <c r="AG84" s="126">
        <v>0.56736111111111109</v>
      </c>
      <c r="AH84" s="126">
        <v>0.92708333333333337</v>
      </c>
      <c r="AJ84" s="123">
        <v>68</v>
      </c>
      <c r="AK84" s="90">
        <v>0.35069444444444442</v>
      </c>
      <c r="AL84" s="90">
        <v>0.95138888888888884</v>
      </c>
      <c r="AM84" s="90">
        <v>0.35138888888888892</v>
      </c>
      <c r="AN84" s="90">
        <v>0.9375</v>
      </c>
      <c r="AO84" s="90">
        <v>0.35069444444444442</v>
      </c>
      <c r="AP84" s="90">
        <v>0.93819444444444444</v>
      </c>
      <c r="AQ84" s="90">
        <v>0.35069444444444442</v>
      </c>
      <c r="AR84" s="90">
        <v>0.9375</v>
      </c>
      <c r="AS84" s="90">
        <v>0.34930555555555554</v>
      </c>
      <c r="AT84" s="90">
        <v>0.9375</v>
      </c>
      <c r="AU84" s="90">
        <v>0.35138888888888892</v>
      </c>
      <c r="AV84" s="90">
        <v>0.35138888888888892</v>
      </c>
      <c r="AW84" s="126">
        <v>0.57013888888888886</v>
      </c>
      <c r="AX84" s="126">
        <v>0.9375</v>
      </c>
      <c r="AY84" s="90">
        <v>0.34930555555555554</v>
      </c>
      <c r="AZ84" s="90">
        <v>0.95833333333333337</v>
      </c>
      <c r="BA84" s="90">
        <v>0.35069444444444442</v>
      </c>
      <c r="BB84" s="90">
        <v>0.35069444444444442</v>
      </c>
      <c r="BC84" s="90">
        <v>0.35138888888888892</v>
      </c>
      <c r="BD84" s="90">
        <v>0.97777777777777775</v>
      </c>
      <c r="BE84" s="90">
        <v>0.3520833333333333</v>
      </c>
      <c r="BF84" s="90">
        <v>0.95833333333333337</v>
      </c>
      <c r="BG84" s="120" t="s">
        <v>15</v>
      </c>
      <c r="BH84" s="120" t="s">
        <v>15</v>
      </c>
      <c r="BI84" s="90">
        <v>0.35138888888888892</v>
      </c>
      <c r="BJ84" s="90">
        <v>0.95833333333333337</v>
      </c>
      <c r="BK84" s="126">
        <v>0.56666666666666665</v>
      </c>
      <c r="BL84" s="126">
        <v>0.9243055555555556</v>
      </c>
      <c r="BM84" s="90">
        <v>0.35138888888888892</v>
      </c>
      <c r="BN84" s="90">
        <v>0.9590277777777777</v>
      </c>
      <c r="BO84" s="90">
        <v>0.35138888888888892</v>
      </c>
      <c r="BP84" s="90">
        <v>0.94097222222222221</v>
      </c>
      <c r="BQ84" s="147">
        <f t="shared" si="28"/>
        <v>31</v>
      </c>
      <c r="BR84" s="81">
        <v>5</v>
      </c>
      <c r="BS84" s="2">
        <f t="shared" si="29"/>
        <v>30</v>
      </c>
      <c r="BT84" s="3">
        <f t="shared" si="43"/>
        <v>1</v>
      </c>
      <c r="BU84" s="3">
        <f t="shared" si="44"/>
        <v>0</v>
      </c>
      <c r="BV84" s="3">
        <f t="shared" si="45"/>
        <v>0</v>
      </c>
      <c r="BW84" s="3">
        <f t="shared" si="46"/>
        <v>0</v>
      </c>
      <c r="BX84" s="3">
        <f t="shared" si="47"/>
        <v>0</v>
      </c>
      <c r="BY84" s="3">
        <f t="shared" si="48"/>
        <v>0</v>
      </c>
      <c r="BZ84" s="3">
        <f t="shared" si="36"/>
        <v>0</v>
      </c>
      <c r="CA84" s="3">
        <f t="shared" si="38"/>
        <v>0</v>
      </c>
      <c r="CB84" s="3">
        <f t="shared" si="39"/>
        <v>0</v>
      </c>
      <c r="CC84" s="3">
        <f t="shared" si="40"/>
        <v>0</v>
      </c>
      <c r="CD84" s="3">
        <f t="shared" si="41"/>
        <v>0</v>
      </c>
      <c r="CE84" s="4"/>
      <c r="CH84" s="58">
        <v>0</v>
      </c>
      <c r="CI84" s="58">
        <v>0</v>
      </c>
      <c r="CJ84" s="58">
        <v>0</v>
      </c>
      <c r="CK84" s="58">
        <v>0</v>
      </c>
      <c r="CL84" s="58">
        <v>0</v>
      </c>
      <c r="CM84" s="58">
        <v>0</v>
      </c>
      <c r="CN84" s="58">
        <v>0</v>
      </c>
      <c r="CO84" s="58">
        <v>0</v>
      </c>
      <c r="CP84" s="58">
        <v>0</v>
      </c>
      <c r="CQ84" s="58">
        <v>0</v>
      </c>
      <c r="CR84" s="60">
        <f t="shared" si="42"/>
        <v>0</v>
      </c>
    </row>
    <row r="85" spans="1:96" ht="21.75" customHeight="1" x14ac:dyDescent="0.25">
      <c r="A85" s="46">
        <v>69</v>
      </c>
      <c r="B85" s="46" t="s">
        <v>195</v>
      </c>
      <c r="C85" s="100" t="s">
        <v>196</v>
      </c>
      <c r="D85" s="112">
        <v>45987</v>
      </c>
      <c r="E85" s="120" t="s">
        <v>15</v>
      </c>
      <c r="F85" s="120" t="s">
        <v>15</v>
      </c>
      <c r="G85" s="90">
        <v>0.34722222222222227</v>
      </c>
      <c r="H85" s="90">
        <v>0.94444444444444453</v>
      </c>
      <c r="I85" s="90">
        <v>0.35347222222222219</v>
      </c>
      <c r="J85" s="90">
        <v>0.92708333333333337</v>
      </c>
      <c r="K85" s="90">
        <v>0.35833333333333334</v>
      </c>
      <c r="L85" s="90">
        <v>0.94930555555555562</v>
      </c>
      <c r="M85" s="90">
        <v>0.35486111111111113</v>
      </c>
      <c r="N85" s="90">
        <v>0.91527777777777775</v>
      </c>
      <c r="O85" s="90">
        <v>0.35416666666666669</v>
      </c>
      <c r="P85" s="90">
        <v>0.93611111111111101</v>
      </c>
      <c r="Q85" s="90">
        <v>0.3527777777777778</v>
      </c>
      <c r="R85" s="90">
        <v>0.90555555555555556</v>
      </c>
      <c r="S85" s="126">
        <v>0.57430555555555551</v>
      </c>
      <c r="T85" s="126">
        <v>0.88263888888888886</v>
      </c>
      <c r="U85" s="90">
        <v>0.35347222222222219</v>
      </c>
      <c r="V85" s="90">
        <v>0.93958333333333333</v>
      </c>
      <c r="W85" s="90">
        <v>0.3520833333333333</v>
      </c>
      <c r="X85" s="90">
        <v>0.91111111111111109</v>
      </c>
      <c r="Y85" s="90">
        <v>0.3520833333333333</v>
      </c>
      <c r="Z85" s="90">
        <v>0.89027777777777783</v>
      </c>
      <c r="AA85" s="90">
        <v>0.35069444444444442</v>
      </c>
      <c r="AB85" s="90">
        <v>0.91319444444444453</v>
      </c>
      <c r="AC85" s="90">
        <v>0.35069444444444442</v>
      </c>
      <c r="AD85" s="90">
        <v>0.92013888888888884</v>
      </c>
      <c r="AE85" s="90">
        <v>0.34513888888888888</v>
      </c>
      <c r="AF85" s="90">
        <v>0.9194444444444444</v>
      </c>
      <c r="AG85" s="120" t="s">
        <v>15</v>
      </c>
      <c r="AH85" s="120" t="s">
        <v>15</v>
      </c>
      <c r="AJ85" s="123">
        <v>69</v>
      </c>
      <c r="AK85" s="90">
        <v>0.34930555555555554</v>
      </c>
      <c r="AL85" s="90">
        <v>0.93333333333333324</v>
      </c>
      <c r="AM85" s="90">
        <v>0.35138888888888892</v>
      </c>
      <c r="AN85" s="90">
        <v>0.9472222222222223</v>
      </c>
      <c r="AO85" s="90">
        <v>0.3527777777777778</v>
      </c>
      <c r="AP85" s="90">
        <v>0.9</v>
      </c>
      <c r="AQ85" s="90">
        <v>0.34930555555555554</v>
      </c>
      <c r="AR85" s="90">
        <v>0.92083333333333339</v>
      </c>
      <c r="AS85" s="90">
        <v>0.3520833333333333</v>
      </c>
      <c r="AT85" s="90">
        <v>0.91527777777777775</v>
      </c>
      <c r="AU85" s="90">
        <v>0.35000000000000003</v>
      </c>
      <c r="AV85" s="90">
        <v>0.94930555555555562</v>
      </c>
      <c r="AW85" s="126">
        <v>0.5756944444444444</v>
      </c>
      <c r="AX85" s="126">
        <v>0.94444444444444453</v>
      </c>
      <c r="AY85" s="90">
        <v>0.35138888888888892</v>
      </c>
      <c r="AZ85" s="90">
        <v>0.91875000000000007</v>
      </c>
      <c r="BA85" s="90">
        <v>0.35138888888888892</v>
      </c>
      <c r="BB85" s="90">
        <v>0.95624999999999993</v>
      </c>
      <c r="BC85" s="90">
        <v>0.3520833333333333</v>
      </c>
      <c r="BD85" s="90">
        <v>0.9458333333333333</v>
      </c>
      <c r="BE85" s="90">
        <v>0.35416666666666669</v>
      </c>
      <c r="BF85" s="90">
        <v>0.92986111111111114</v>
      </c>
      <c r="BG85" s="120" t="s">
        <v>15</v>
      </c>
      <c r="BH85" s="120" t="s">
        <v>15</v>
      </c>
      <c r="BI85" s="90">
        <v>0.35069444444444442</v>
      </c>
      <c r="BJ85" s="90">
        <v>0.91041666666666676</v>
      </c>
      <c r="BK85" s="120" t="s">
        <v>15</v>
      </c>
      <c r="BL85" s="120" t="s">
        <v>15</v>
      </c>
      <c r="BM85" s="90">
        <v>0.35416666666666669</v>
      </c>
      <c r="BN85" s="90">
        <v>0.90208333333333324</v>
      </c>
      <c r="BO85" s="90">
        <v>0.34930555555555554</v>
      </c>
      <c r="BP85" s="90">
        <v>0.92222222222222217</v>
      </c>
      <c r="BQ85" s="147">
        <f t="shared" si="28"/>
        <v>31</v>
      </c>
      <c r="BR85" s="81">
        <v>2</v>
      </c>
      <c r="BS85" s="2">
        <f t="shared" si="29"/>
        <v>27</v>
      </c>
      <c r="BT85" s="3">
        <f t="shared" si="43"/>
        <v>4</v>
      </c>
      <c r="BU85" s="3">
        <f t="shared" si="44"/>
        <v>0</v>
      </c>
      <c r="BV85" s="3">
        <f t="shared" si="45"/>
        <v>0</v>
      </c>
      <c r="BW85" s="3">
        <f t="shared" si="46"/>
        <v>0</v>
      </c>
      <c r="BX85" s="3">
        <f t="shared" si="47"/>
        <v>0</v>
      </c>
      <c r="BY85" s="3">
        <f t="shared" si="48"/>
        <v>0</v>
      </c>
      <c r="BZ85" s="3">
        <f t="shared" si="36"/>
        <v>0</v>
      </c>
      <c r="CA85" s="3">
        <f t="shared" si="38"/>
        <v>0</v>
      </c>
      <c r="CB85" s="3">
        <f t="shared" si="39"/>
        <v>0</v>
      </c>
      <c r="CC85" s="3">
        <f t="shared" si="40"/>
        <v>0</v>
      </c>
      <c r="CD85" s="3">
        <f t="shared" si="41"/>
        <v>0</v>
      </c>
      <c r="CE85" s="4"/>
      <c r="CH85" s="58">
        <v>0</v>
      </c>
      <c r="CI85" s="58">
        <v>0</v>
      </c>
      <c r="CJ85" s="58">
        <v>0</v>
      </c>
      <c r="CK85" s="58">
        <v>0</v>
      </c>
      <c r="CL85" s="58">
        <v>0</v>
      </c>
      <c r="CM85" s="58">
        <v>0</v>
      </c>
      <c r="CN85" s="58">
        <v>0</v>
      </c>
      <c r="CO85" s="58">
        <v>0</v>
      </c>
      <c r="CP85" s="58">
        <v>0</v>
      </c>
      <c r="CQ85" s="58">
        <v>0</v>
      </c>
      <c r="CR85" s="60">
        <f t="shared" si="42"/>
        <v>0</v>
      </c>
    </row>
    <row r="86" spans="1:96" ht="21.75" customHeight="1" x14ac:dyDescent="0.25">
      <c r="A86" s="46">
        <v>70</v>
      </c>
      <c r="B86" s="46" t="s">
        <v>197</v>
      </c>
      <c r="C86" s="100" t="s">
        <v>198</v>
      </c>
      <c r="D86" s="112"/>
      <c r="E86" s="126">
        <v>0.57777777777777783</v>
      </c>
      <c r="F86" s="127">
        <v>1</v>
      </c>
      <c r="G86" s="90">
        <v>0.3354166666666667</v>
      </c>
      <c r="H86" s="91">
        <v>1</v>
      </c>
      <c r="I86" s="90">
        <v>0.33819444444444446</v>
      </c>
      <c r="J86" s="91">
        <v>1</v>
      </c>
      <c r="K86" s="90">
        <v>0.33888888888888885</v>
      </c>
      <c r="L86" s="91">
        <v>1</v>
      </c>
      <c r="M86" s="90">
        <v>0.34791666666666665</v>
      </c>
      <c r="N86" s="90">
        <v>0.35000000000000003</v>
      </c>
      <c r="O86" s="90">
        <v>0.33263888888888887</v>
      </c>
      <c r="P86" s="91">
        <v>1</v>
      </c>
      <c r="Q86" s="90">
        <v>0.3298611111111111</v>
      </c>
      <c r="R86" s="91">
        <v>1</v>
      </c>
      <c r="S86" s="126">
        <v>0.58263888888888882</v>
      </c>
      <c r="T86" s="126">
        <v>0.58333333333333337</v>
      </c>
      <c r="U86" s="90">
        <v>0.33749999999999997</v>
      </c>
      <c r="V86" s="91">
        <v>1</v>
      </c>
      <c r="W86" s="90">
        <v>0.33402777777777781</v>
      </c>
      <c r="X86" s="91">
        <v>1</v>
      </c>
      <c r="Y86" s="90">
        <v>0.32708333333333334</v>
      </c>
      <c r="Z86" s="91">
        <v>1</v>
      </c>
      <c r="AA86" s="90">
        <v>0.34097222222222223</v>
      </c>
      <c r="AB86" s="91">
        <v>1</v>
      </c>
      <c r="AC86" s="90">
        <v>0.33749999999999997</v>
      </c>
      <c r="AD86" s="91">
        <v>1</v>
      </c>
      <c r="AE86" s="90">
        <v>0.33055555555555555</v>
      </c>
      <c r="AF86" s="91">
        <v>1</v>
      </c>
      <c r="AG86" s="126">
        <v>0.58194444444444449</v>
      </c>
      <c r="AH86" s="127">
        <v>1</v>
      </c>
      <c r="AJ86" s="123">
        <v>70</v>
      </c>
      <c r="AK86" s="90">
        <v>0.33680555555555558</v>
      </c>
      <c r="AL86" s="91">
        <v>1</v>
      </c>
      <c r="AM86" s="90">
        <v>0.33819444444444446</v>
      </c>
      <c r="AN86" s="91">
        <v>1</v>
      </c>
      <c r="AO86" s="90">
        <v>0.34236111111111112</v>
      </c>
      <c r="AP86" s="91">
        <v>1</v>
      </c>
      <c r="AQ86" s="90">
        <v>0.34236111111111112</v>
      </c>
      <c r="AR86" s="91">
        <v>1</v>
      </c>
      <c r="AS86" s="90">
        <v>0.32708333333333334</v>
      </c>
      <c r="AT86" s="91">
        <v>1</v>
      </c>
      <c r="AU86" s="90">
        <v>0.3347222222222222</v>
      </c>
      <c r="AV86" s="91">
        <v>1</v>
      </c>
      <c r="AW86" s="126">
        <v>0.5805555555555556</v>
      </c>
      <c r="AX86" s="127">
        <v>1</v>
      </c>
      <c r="AY86" s="90">
        <v>0.32916666666666666</v>
      </c>
      <c r="AZ86" s="90">
        <v>0.32916666666666666</v>
      </c>
      <c r="BA86" s="90">
        <v>0.32916666666666666</v>
      </c>
      <c r="BB86" s="91">
        <v>1</v>
      </c>
      <c r="BC86" s="90">
        <v>0.32847222222222222</v>
      </c>
      <c r="BD86" s="90">
        <v>0.32916666666666666</v>
      </c>
      <c r="BE86" s="90">
        <v>0.32777777777777778</v>
      </c>
      <c r="BF86" s="90">
        <v>0.32777777777777778</v>
      </c>
      <c r="BG86" s="120" t="s">
        <v>15</v>
      </c>
      <c r="BH86" s="120" t="s">
        <v>15</v>
      </c>
      <c r="BI86" s="90">
        <v>0.33124999999999999</v>
      </c>
      <c r="BJ86" s="91">
        <v>1</v>
      </c>
      <c r="BK86" s="126">
        <v>0.58124999999999993</v>
      </c>
      <c r="BL86" s="127">
        <v>1</v>
      </c>
      <c r="BM86" s="90">
        <v>0.33194444444444443</v>
      </c>
      <c r="BN86" s="91">
        <v>1</v>
      </c>
      <c r="BO86" s="90">
        <v>0.33958333333333335</v>
      </c>
      <c r="BP86" s="91">
        <v>1</v>
      </c>
      <c r="BQ86" s="147">
        <f t="shared" si="28"/>
        <v>31</v>
      </c>
      <c r="BR86" s="81">
        <v>0</v>
      </c>
      <c r="BS86" s="2">
        <f t="shared" si="29"/>
        <v>30</v>
      </c>
      <c r="BT86" s="3">
        <f t="shared" si="43"/>
        <v>1</v>
      </c>
      <c r="BU86" s="3">
        <f t="shared" si="44"/>
        <v>0</v>
      </c>
      <c r="BV86" s="3">
        <f t="shared" si="45"/>
        <v>0</v>
      </c>
      <c r="BW86" s="3">
        <f t="shared" si="46"/>
        <v>0</v>
      </c>
      <c r="BX86" s="3">
        <f t="shared" si="47"/>
        <v>0</v>
      </c>
      <c r="BY86" s="3">
        <f t="shared" si="48"/>
        <v>0</v>
      </c>
      <c r="BZ86" s="3">
        <f t="shared" si="36"/>
        <v>0</v>
      </c>
      <c r="CA86" s="3">
        <f t="shared" si="38"/>
        <v>0</v>
      </c>
      <c r="CB86" s="3">
        <f t="shared" si="39"/>
        <v>0</v>
      </c>
      <c r="CC86" s="3">
        <f t="shared" si="40"/>
        <v>0</v>
      </c>
      <c r="CD86" s="3">
        <f t="shared" si="41"/>
        <v>0</v>
      </c>
      <c r="CE86" s="4"/>
      <c r="CH86" s="58">
        <v>0</v>
      </c>
      <c r="CI86" s="58">
        <v>0</v>
      </c>
      <c r="CJ86" s="58">
        <v>0</v>
      </c>
      <c r="CK86" s="58">
        <v>0</v>
      </c>
      <c r="CL86" s="58">
        <v>0</v>
      </c>
      <c r="CM86" s="58">
        <v>0</v>
      </c>
      <c r="CN86" s="58">
        <v>0</v>
      </c>
      <c r="CO86" s="58">
        <v>0</v>
      </c>
      <c r="CP86" s="58">
        <v>0</v>
      </c>
      <c r="CQ86" s="58">
        <v>0</v>
      </c>
      <c r="CR86" s="60">
        <f t="shared" si="42"/>
        <v>0</v>
      </c>
    </row>
    <row r="87" spans="1:96" ht="21.75" customHeight="1" x14ac:dyDescent="0.25">
      <c r="A87" s="46">
        <v>71</v>
      </c>
      <c r="B87" s="46" t="s">
        <v>199</v>
      </c>
      <c r="C87" s="100" t="s">
        <v>200</v>
      </c>
      <c r="D87" s="112">
        <v>45973</v>
      </c>
      <c r="E87" s="126">
        <v>0.58402777777777781</v>
      </c>
      <c r="F87" s="126">
        <v>0.95486111111111116</v>
      </c>
      <c r="G87" s="90">
        <v>0.3527777777777778</v>
      </c>
      <c r="H87" s="91">
        <v>1</v>
      </c>
      <c r="I87" s="90">
        <v>0.3611111111111111</v>
      </c>
      <c r="J87" s="90">
        <v>0.94791666666666663</v>
      </c>
      <c r="K87" s="90">
        <v>0.36180555555555555</v>
      </c>
      <c r="L87" s="90">
        <v>0.96319444444444446</v>
      </c>
      <c r="M87" s="90">
        <v>0.37083333333333335</v>
      </c>
      <c r="N87" s="90">
        <v>0.9902777777777777</v>
      </c>
      <c r="O87" s="90">
        <v>0.3576388888888889</v>
      </c>
      <c r="P87" s="90">
        <v>0.96527777777777779</v>
      </c>
      <c r="Q87" s="90">
        <v>0.3576388888888889</v>
      </c>
      <c r="R87" s="90">
        <v>0.95277777777777783</v>
      </c>
      <c r="S87" s="120" t="s">
        <v>15</v>
      </c>
      <c r="T87" s="120" t="s">
        <v>15</v>
      </c>
      <c r="U87" s="90">
        <v>0.35486111111111113</v>
      </c>
      <c r="V87" s="90">
        <v>0.9472222222222223</v>
      </c>
      <c r="W87" s="90">
        <v>0.3576388888888889</v>
      </c>
      <c r="X87" s="91">
        <v>1</v>
      </c>
      <c r="Y87" s="90">
        <v>0.35555555555555557</v>
      </c>
      <c r="Z87" s="90">
        <v>0.94513888888888886</v>
      </c>
      <c r="AA87" s="90">
        <v>0.35486111111111113</v>
      </c>
      <c r="AB87" s="90">
        <v>0.9916666666666667</v>
      </c>
      <c r="AC87" s="90">
        <v>0.3611111111111111</v>
      </c>
      <c r="AD87" s="90">
        <v>0.95486111111111116</v>
      </c>
      <c r="AE87" s="90">
        <v>0.3527777777777778</v>
      </c>
      <c r="AF87" s="90">
        <v>0.9604166666666667</v>
      </c>
      <c r="AG87" s="127">
        <v>1</v>
      </c>
      <c r="AH87" s="126">
        <v>0.92222222222222217</v>
      </c>
      <c r="AJ87" s="123">
        <v>71</v>
      </c>
      <c r="AK87" s="90">
        <v>0.35347222222222219</v>
      </c>
      <c r="AL87" s="90">
        <v>0.93472222222222223</v>
      </c>
      <c r="AM87" s="90">
        <v>0.34583333333333338</v>
      </c>
      <c r="AN87" s="90">
        <v>0.95000000000000007</v>
      </c>
      <c r="AO87" s="90">
        <v>0.35416666666666669</v>
      </c>
      <c r="AP87" s="90">
        <v>0.96250000000000002</v>
      </c>
      <c r="AQ87" s="90">
        <v>0.35069444444444442</v>
      </c>
      <c r="AR87" s="90">
        <v>0.96111111111111114</v>
      </c>
      <c r="AS87" s="90">
        <v>0.36805555555555558</v>
      </c>
      <c r="AT87" s="90">
        <v>0.96319444444444446</v>
      </c>
      <c r="AU87" s="90">
        <v>0.35486111111111113</v>
      </c>
      <c r="AV87" s="90">
        <v>0.97083333333333333</v>
      </c>
      <c r="AW87" s="126">
        <v>0.57986111111111105</v>
      </c>
      <c r="AX87" s="126">
        <v>0.93402777777777779</v>
      </c>
      <c r="AY87" s="90">
        <v>0.35138888888888892</v>
      </c>
      <c r="AZ87" s="90">
        <v>0.95347222222222217</v>
      </c>
      <c r="BA87" s="90">
        <v>0.34930555555555554</v>
      </c>
      <c r="BB87" s="90">
        <v>0.94930555555555562</v>
      </c>
      <c r="BC87" s="90">
        <v>0.3527777777777778</v>
      </c>
      <c r="BD87" s="90">
        <v>0.96875</v>
      </c>
      <c r="BE87" s="90">
        <v>0.35138888888888892</v>
      </c>
      <c r="BF87" s="90">
        <v>0.94444444444444453</v>
      </c>
      <c r="BG87" s="120" t="s">
        <v>15</v>
      </c>
      <c r="BH87" s="120" t="s">
        <v>15</v>
      </c>
      <c r="BI87" s="90">
        <v>0.35486111111111113</v>
      </c>
      <c r="BJ87" s="90">
        <v>0.97222222222222221</v>
      </c>
      <c r="BK87" s="120" t="s">
        <v>15</v>
      </c>
      <c r="BL87" s="120" t="s">
        <v>15</v>
      </c>
      <c r="BM87" s="90">
        <v>0.35347222222222219</v>
      </c>
      <c r="BN87" s="91">
        <v>1</v>
      </c>
      <c r="BO87" s="90">
        <v>0.34930555555555554</v>
      </c>
      <c r="BP87" s="90">
        <v>0.9819444444444444</v>
      </c>
      <c r="BQ87" s="147">
        <f t="shared" si="28"/>
        <v>31</v>
      </c>
      <c r="BR87" s="81">
        <v>3</v>
      </c>
      <c r="BS87" s="2">
        <f t="shared" si="29"/>
        <v>28</v>
      </c>
      <c r="BT87" s="3">
        <f t="shared" si="43"/>
        <v>3</v>
      </c>
      <c r="BU87" s="3">
        <f t="shared" si="44"/>
        <v>0</v>
      </c>
      <c r="BV87" s="3">
        <f t="shared" si="45"/>
        <v>0</v>
      </c>
      <c r="BW87" s="3">
        <f t="shared" si="46"/>
        <v>0</v>
      </c>
      <c r="BX87" s="3">
        <f t="shared" si="47"/>
        <v>0</v>
      </c>
      <c r="BY87" s="3">
        <f t="shared" si="48"/>
        <v>0</v>
      </c>
      <c r="BZ87" s="3">
        <f t="shared" si="36"/>
        <v>0</v>
      </c>
      <c r="CA87" s="3">
        <f t="shared" si="38"/>
        <v>0</v>
      </c>
      <c r="CB87" s="3">
        <f t="shared" si="39"/>
        <v>0</v>
      </c>
      <c r="CC87" s="3">
        <f t="shared" si="40"/>
        <v>0</v>
      </c>
      <c r="CD87" s="3">
        <f t="shared" si="41"/>
        <v>0</v>
      </c>
      <c r="CE87" s="4"/>
      <c r="CH87" s="58">
        <v>0</v>
      </c>
      <c r="CI87" s="58">
        <v>0</v>
      </c>
      <c r="CJ87" s="58">
        <v>0</v>
      </c>
      <c r="CK87" s="58">
        <v>0</v>
      </c>
      <c r="CL87" s="58">
        <v>0</v>
      </c>
      <c r="CM87" s="58">
        <v>0</v>
      </c>
      <c r="CN87" s="58">
        <v>0</v>
      </c>
      <c r="CO87" s="58">
        <v>0</v>
      </c>
      <c r="CP87" s="58">
        <v>0</v>
      </c>
      <c r="CQ87" s="58">
        <v>0</v>
      </c>
      <c r="CR87" s="60">
        <f t="shared" si="42"/>
        <v>0</v>
      </c>
    </row>
    <row r="88" spans="1:96" ht="19.5" customHeight="1" x14ac:dyDescent="0.25">
      <c r="A88" s="46">
        <v>72</v>
      </c>
      <c r="B88" s="46" t="s">
        <v>205</v>
      </c>
      <c r="C88" s="100" t="s">
        <v>206</v>
      </c>
      <c r="D88" s="112">
        <v>45995</v>
      </c>
      <c r="E88" s="120" t="s">
        <v>15</v>
      </c>
      <c r="F88" s="120" t="s">
        <v>15</v>
      </c>
      <c r="G88" s="90">
        <v>0.38472222222222219</v>
      </c>
      <c r="H88" s="90">
        <v>0.97361111111111109</v>
      </c>
      <c r="I88" s="90">
        <v>0.36041666666666666</v>
      </c>
      <c r="J88" s="90">
        <v>0.95486111111111116</v>
      </c>
      <c r="K88" s="90">
        <v>0.36944444444444446</v>
      </c>
      <c r="L88" s="90">
        <v>0.97430555555555554</v>
      </c>
      <c r="M88" s="90">
        <v>0.36458333333333331</v>
      </c>
      <c r="N88" s="90">
        <v>0.96111111111111114</v>
      </c>
      <c r="O88" s="90">
        <v>0.36180555555555555</v>
      </c>
      <c r="P88" s="90">
        <v>0.95486111111111116</v>
      </c>
      <c r="Q88" s="90">
        <v>0.36388888888888887</v>
      </c>
      <c r="R88" s="91">
        <v>1</v>
      </c>
      <c r="S88" s="126">
        <v>0.58194444444444449</v>
      </c>
      <c r="T88" s="126">
        <v>0.96805555555555556</v>
      </c>
      <c r="U88" s="90">
        <v>0.9784722222222223</v>
      </c>
      <c r="V88" s="91">
        <v>1</v>
      </c>
      <c r="W88" s="90">
        <v>0.36458333333333331</v>
      </c>
      <c r="X88" s="90">
        <v>0.9590277777777777</v>
      </c>
      <c r="Y88" s="90">
        <v>0.36249999999999999</v>
      </c>
      <c r="Z88" s="90">
        <v>0.9590277777777777</v>
      </c>
      <c r="AA88" s="90">
        <v>0.36458333333333331</v>
      </c>
      <c r="AB88" s="90">
        <v>0.96111111111111114</v>
      </c>
      <c r="AC88" s="90">
        <v>0.35486111111111113</v>
      </c>
      <c r="AD88" s="90">
        <v>0.95833333333333337</v>
      </c>
      <c r="AE88" s="90">
        <v>0.35833333333333334</v>
      </c>
      <c r="AF88" s="90">
        <v>0.97638888888888886</v>
      </c>
      <c r="AG88" s="120" t="s">
        <v>15</v>
      </c>
      <c r="AH88" s="120" t="s">
        <v>15</v>
      </c>
      <c r="AJ88" s="123">
        <v>72</v>
      </c>
      <c r="AK88" s="90">
        <v>0.36736111111111108</v>
      </c>
      <c r="AL88" s="90">
        <v>0.97569444444444453</v>
      </c>
      <c r="AM88" s="90">
        <v>0.36180555555555555</v>
      </c>
      <c r="AN88" s="91">
        <v>1</v>
      </c>
      <c r="AO88" s="90">
        <v>0.36458333333333331</v>
      </c>
      <c r="AP88" s="91">
        <v>1</v>
      </c>
      <c r="AQ88" s="90">
        <v>0.35625000000000001</v>
      </c>
      <c r="AR88" s="90">
        <v>0.9555555555555556</v>
      </c>
      <c r="AS88" s="90">
        <v>0.35694444444444445</v>
      </c>
      <c r="AT88" s="91">
        <v>1</v>
      </c>
      <c r="AU88" s="90">
        <v>0.35972222222222222</v>
      </c>
      <c r="AV88" s="90">
        <v>0.9784722222222223</v>
      </c>
      <c r="AW88" s="126">
        <v>0.57986111111111105</v>
      </c>
      <c r="AX88" s="126">
        <v>0.96458333333333324</v>
      </c>
      <c r="AY88" s="90">
        <v>0.36249999999999999</v>
      </c>
      <c r="AZ88" s="91">
        <v>1</v>
      </c>
      <c r="BA88" s="90">
        <v>0.35694444444444445</v>
      </c>
      <c r="BB88" s="90">
        <v>0.95138888888888884</v>
      </c>
      <c r="BC88" s="90">
        <v>0.35972222222222222</v>
      </c>
      <c r="BD88" s="90">
        <v>0.97430555555555554</v>
      </c>
      <c r="BE88" s="90">
        <v>0.35972222222222222</v>
      </c>
      <c r="BF88" s="90">
        <v>0.99097222222222225</v>
      </c>
      <c r="BG88" s="120" t="s">
        <v>15</v>
      </c>
      <c r="BH88" s="120" t="s">
        <v>15</v>
      </c>
      <c r="BI88" s="90">
        <v>0.3611111111111111</v>
      </c>
      <c r="BJ88" s="90">
        <v>0.99375000000000002</v>
      </c>
      <c r="BK88" s="120" t="s">
        <v>15</v>
      </c>
      <c r="BL88" s="120" t="s">
        <v>15</v>
      </c>
      <c r="BM88" s="90">
        <v>0.3576388888888889</v>
      </c>
      <c r="BN88" s="90">
        <v>0.97569444444444453</v>
      </c>
      <c r="BO88" s="90">
        <v>0.35833333333333334</v>
      </c>
      <c r="BP88" s="91">
        <v>1</v>
      </c>
      <c r="BQ88" s="147">
        <f t="shared" si="28"/>
        <v>31</v>
      </c>
      <c r="BR88" s="81">
        <v>2</v>
      </c>
      <c r="BS88" s="2">
        <f t="shared" si="29"/>
        <v>27</v>
      </c>
      <c r="BT88" s="3">
        <f t="shared" si="43"/>
        <v>4</v>
      </c>
      <c r="BU88" s="3">
        <f t="shared" si="44"/>
        <v>0</v>
      </c>
      <c r="BV88" s="3">
        <f t="shared" si="45"/>
        <v>0</v>
      </c>
      <c r="BW88" s="3">
        <f t="shared" si="46"/>
        <v>0</v>
      </c>
      <c r="BX88" s="3">
        <f t="shared" si="47"/>
        <v>0</v>
      </c>
      <c r="BY88" s="3">
        <f t="shared" si="48"/>
        <v>0</v>
      </c>
      <c r="BZ88" s="3">
        <f t="shared" si="36"/>
        <v>0</v>
      </c>
      <c r="CA88" s="3">
        <f t="shared" si="38"/>
        <v>0</v>
      </c>
      <c r="CB88" s="3">
        <f t="shared" si="39"/>
        <v>0</v>
      </c>
      <c r="CC88" s="3">
        <f t="shared" si="40"/>
        <v>0</v>
      </c>
      <c r="CD88" s="3">
        <f t="shared" si="41"/>
        <v>0</v>
      </c>
      <c r="CE88" s="4"/>
      <c r="CH88" s="58">
        <v>0</v>
      </c>
      <c r="CI88" s="59">
        <v>0</v>
      </c>
      <c r="CJ88" s="59">
        <v>0</v>
      </c>
      <c r="CK88" s="59">
        <v>0</v>
      </c>
      <c r="CL88" s="59">
        <v>0</v>
      </c>
      <c r="CM88" s="59">
        <v>1</v>
      </c>
      <c r="CN88" s="59">
        <v>0</v>
      </c>
      <c r="CO88" s="59">
        <v>0</v>
      </c>
      <c r="CP88" s="59">
        <v>0</v>
      </c>
      <c r="CQ88" s="59">
        <v>0</v>
      </c>
      <c r="CR88" s="60">
        <f t="shared" si="42"/>
        <v>1</v>
      </c>
    </row>
    <row r="89" spans="1:96" ht="21.75" customHeight="1" x14ac:dyDescent="0.25">
      <c r="A89" s="46">
        <v>73</v>
      </c>
      <c r="B89" s="46" t="s">
        <v>207</v>
      </c>
      <c r="C89" s="100" t="s">
        <v>208</v>
      </c>
      <c r="D89" s="112">
        <v>46004</v>
      </c>
      <c r="E89" s="120" t="s">
        <v>15</v>
      </c>
      <c r="F89" s="120" t="s">
        <v>15</v>
      </c>
      <c r="G89" s="90">
        <v>0.35555555555555557</v>
      </c>
      <c r="H89" s="90">
        <v>0.97152777777777777</v>
      </c>
      <c r="I89" s="90">
        <v>0.35625000000000001</v>
      </c>
      <c r="J89" s="90">
        <v>0.95347222222222217</v>
      </c>
      <c r="K89" s="90">
        <v>0.36944444444444446</v>
      </c>
      <c r="L89" s="90">
        <v>0.96319444444444446</v>
      </c>
      <c r="M89" s="90">
        <v>0.35555555555555557</v>
      </c>
      <c r="N89" s="90">
        <v>0.95833333333333337</v>
      </c>
      <c r="O89" s="90">
        <v>0.35625000000000001</v>
      </c>
      <c r="P89" s="90">
        <v>0.95277777777777783</v>
      </c>
      <c r="Q89" s="90">
        <v>0.35625000000000001</v>
      </c>
      <c r="R89" s="90">
        <v>0.97916666666666663</v>
      </c>
      <c r="S89" s="126">
        <v>0.58124999999999993</v>
      </c>
      <c r="T89" s="126">
        <v>0.95486111111111116</v>
      </c>
      <c r="U89" s="90">
        <v>0.35555555555555557</v>
      </c>
      <c r="V89" s="90">
        <v>0.97916666666666663</v>
      </c>
      <c r="W89" s="90">
        <v>0.35486111111111113</v>
      </c>
      <c r="X89" s="90">
        <v>0.95833333333333337</v>
      </c>
      <c r="Y89" s="90">
        <v>0.95763888888888893</v>
      </c>
      <c r="Z89" s="91">
        <v>1</v>
      </c>
      <c r="AA89" s="90">
        <v>0.35625000000000001</v>
      </c>
      <c r="AB89" s="90">
        <v>0.95833333333333337</v>
      </c>
      <c r="AC89" s="90">
        <v>0.35555555555555557</v>
      </c>
      <c r="AD89" s="90">
        <v>0.95347222222222217</v>
      </c>
      <c r="AE89" s="90">
        <v>0.35555555555555557</v>
      </c>
      <c r="AF89" s="90">
        <v>0.97291666666666676</v>
      </c>
      <c r="AG89" s="120" t="s">
        <v>15</v>
      </c>
      <c r="AH89" s="120" t="s">
        <v>15</v>
      </c>
      <c r="AJ89" s="123">
        <v>73</v>
      </c>
      <c r="AK89" s="90">
        <v>0.35625000000000001</v>
      </c>
      <c r="AL89" s="90">
        <v>0.97222222222222221</v>
      </c>
      <c r="AM89" s="90">
        <v>0.35555555555555557</v>
      </c>
      <c r="AN89" s="90">
        <v>0.95833333333333337</v>
      </c>
      <c r="AO89" s="90">
        <v>0.35694444444444445</v>
      </c>
      <c r="AP89" s="90">
        <v>0.9555555555555556</v>
      </c>
      <c r="AQ89" s="90">
        <v>0.3527777777777778</v>
      </c>
      <c r="AR89" s="90">
        <v>0.9555555555555556</v>
      </c>
      <c r="AS89" s="90">
        <v>0.35347222222222219</v>
      </c>
      <c r="AT89" s="90">
        <v>0.9506944444444444</v>
      </c>
      <c r="AU89" s="90">
        <v>0.35347222222222219</v>
      </c>
      <c r="AV89" s="90">
        <v>0.9784722222222223</v>
      </c>
      <c r="AW89" s="126">
        <v>0.57916666666666672</v>
      </c>
      <c r="AX89" s="126">
        <v>0.96527777777777779</v>
      </c>
      <c r="AY89" s="90">
        <v>0.35416666666666669</v>
      </c>
      <c r="AZ89" s="90">
        <v>0.97222222222222221</v>
      </c>
      <c r="BA89" s="90">
        <v>0.95208333333333339</v>
      </c>
      <c r="BB89" s="91">
        <v>1</v>
      </c>
      <c r="BC89" s="90">
        <v>0.35347222222222219</v>
      </c>
      <c r="BD89" s="90">
        <v>0.97083333333333333</v>
      </c>
      <c r="BE89" s="90">
        <v>0.3527777777777778</v>
      </c>
      <c r="BF89" s="90">
        <v>0.98749999999999993</v>
      </c>
      <c r="BG89" s="120" t="s">
        <v>15</v>
      </c>
      <c r="BH89" s="120" t="s">
        <v>15</v>
      </c>
      <c r="BI89" s="90">
        <v>0.3527777777777778</v>
      </c>
      <c r="BJ89" s="90">
        <v>0.99375000000000002</v>
      </c>
      <c r="BK89" s="120" t="s">
        <v>15</v>
      </c>
      <c r="BL89" s="120" t="s">
        <v>15</v>
      </c>
      <c r="BM89" s="90">
        <v>0.3527777777777778</v>
      </c>
      <c r="BN89" s="91">
        <v>1</v>
      </c>
      <c r="BO89" s="90">
        <v>0.35486111111111113</v>
      </c>
      <c r="BP89" s="90">
        <v>0.95833333333333337</v>
      </c>
      <c r="BQ89" s="147">
        <f t="shared" si="28"/>
        <v>31</v>
      </c>
      <c r="BR89" s="81">
        <v>2</v>
      </c>
      <c r="BS89" s="2">
        <f t="shared" si="29"/>
        <v>27</v>
      </c>
      <c r="BT89" s="3">
        <f t="shared" si="43"/>
        <v>4</v>
      </c>
      <c r="BU89" s="3">
        <f t="shared" si="44"/>
        <v>0</v>
      </c>
      <c r="BV89" s="3">
        <f t="shared" si="45"/>
        <v>0</v>
      </c>
      <c r="BW89" s="3">
        <f t="shared" si="46"/>
        <v>0</v>
      </c>
      <c r="BX89" s="3">
        <f t="shared" si="47"/>
        <v>0</v>
      </c>
      <c r="BY89" s="3">
        <f t="shared" si="48"/>
        <v>0</v>
      </c>
      <c r="BZ89" s="3">
        <f t="shared" si="36"/>
        <v>0</v>
      </c>
      <c r="CA89" s="3">
        <f t="shared" si="38"/>
        <v>0</v>
      </c>
      <c r="CB89" s="3">
        <f t="shared" si="39"/>
        <v>0</v>
      </c>
      <c r="CC89" s="3">
        <f t="shared" si="40"/>
        <v>0</v>
      </c>
      <c r="CD89" s="3">
        <f t="shared" si="41"/>
        <v>0</v>
      </c>
      <c r="CE89" s="4"/>
      <c r="CH89" s="79">
        <v>0</v>
      </c>
      <c r="CI89" s="84">
        <v>0</v>
      </c>
      <c r="CJ89" s="84">
        <v>0</v>
      </c>
      <c r="CK89" s="84">
        <v>0</v>
      </c>
      <c r="CL89" s="84">
        <v>0</v>
      </c>
      <c r="CM89" s="84">
        <v>3</v>
      </c>
      <c r="CN89" s="84">
        <v>0</v>
      </c>
      <c r="CO89" s="84">
        <v>0</v>
      </c>
      <c r="CP89" s="84">
        <v>0</v>
      </c>
      <c r="CQ89" s="84">
        <v>0</v>
      </c>
      <c r="CR89" s="80">
        <f t="shared" ref="CR89:CR94" si="49">SUM(CH89:CQ89)</f>
        <v>3</v>
      </c>
    </row>
    <row r="90" spans="1:96" ht="21.75" customHeight="1" x14ac:dyDescent="0.25">
      <c r="A90" s="46">
        <v>74</v>
      </c>
      <c r="B90" s="46" t="s">
        <v>210</v>
      </c>
      <c r="C90" s="100" t="s">
        <v>212</v>
      </c>
      <c r="D90" s="112">
        <v>46007</v>
      </c>
      <c r="E90" s="126">
        <v>0.58124999999999993</v>
      </c>
      <c r="F90" s="126">
        <v>0.99305555555555547</v>
      </c>
      <c r="G90" s="90">
        <v>0.35000000000000003</v>
      </c>
      <c r="H90" s="90">
        <v>0.96944444444444444</v>
      </c>
      <c r="I90" s="90">
        <v>0.35347222222222219</v>
      </c>
      <c r="J90" s="90">
        <v>0.92708333333333337</v>
      </c>
      <c r="K90" s="90">
        <v>0.35138888888888892</v>
      </c>
      <c r="L90" s="90">
        <v>0.9604166666666667</v>
      </c>
      <c r="M90" s="90">
        <v>0.3527777777777778</v>
      </c>
      <c r="N90" s="90">
        <v>0.93194444444444446</v>
      </c>
      <c r="O90" s="90">
        <v>0.3527777777777778</v>
      </c>
      <c r="P90" s="90">
        <v>0.96875</v>
      </c>
      <c r="Q90" s="90">
        <v>0.35347222222222219</v>
      </c>
      <c r="R90" s="90">
        <v>0.98541666666666661</v>
      </c>
      <c r="S90" s="120" t="s">
        <v>15</v>
      </c>
      <c r="T90" s="120" t="s">
        <v>15</v>
      </c>
      <c r="U90" s="90">
        <v>0.34930555555555554</v>
      </c>
      <c r="V90" s="90">
        <v>0.94166666666666676</v>
      </c>
      <c r="W90" s="90">
        <v>0.35347222222222219</v>
      </c>
      <c r="X90" s="90">
        <v>0.95208333333333339</v>
      </c>
      <c r="Y90" s="90">
        <v>0.35138888888888892</v>
      </c>
      <c r="Z90" s="90">
        <v>0.95138888888888884</v>
      </c>
      <c r="AA90" s="90">
        <v>0.3527777777777778</v>
      </c>
      <c r="AB90" s="90">
        <v>0.9375</v>
      </c>
      <c r="AC90" s="90">
        <v>0.35138888888888892</v>
      </c>
      <c r="AD90" s="90">
        <v>0.93541666666666667</v>
      </c>
      <c r="AE90" s="90">
        <v>0.34722222222222227</v>
      </c>
      <c r="AF90" s="90">
        <v>0.95833333333333337</v>
      </c>
      <c r="AG90" s="120" t="s">
        <v>15</v>
      </c>
      <c r="AH90" s="120" t="s">
        <v>15</v>
      </c>
      <c r="AJ90" s="123">
        <v>74</v>
      </c>
      <c r="AK90" s="90">
        <v>0.3520833333333333</v>
      </c>
      <c r="AL90" s="90">
        <v>0.95000000000000007</v>
      </c>
      <c r="AM90" s="90">
        <v>0.3527777777777778</v>
      </c>
      <c r="AN90" s="90">
        <v>0.95138888888888884</v>
      </c>
      <c r="AO90" s="90">
        <v>0.3520833333333333</v>
      </c>
      <c r="AP90" s="90">
        <v>0.94444444444444453</v>
      </c>
      <c r="AQ90" s="90">
        <v>0.35138888888888892</v>
      </c>
      <c r="AR90" s="90">
        <v>0.9375</v>
      </c>
      <c r="AS90" s="90">
        <v>0.34930555555555554</v>
      </c>
      <c r="AT90" s="90">
        <v>0.95208333333333339</v>
      </c>
      <c r="AU90" s="90">
        <v>0.35000000000000003</v>
      </c>
      <c r="AV90" s="90">
        <v>0.98611111111111116</v>
      </c>
      <c r="AW90" s="126">
        <v>0.57986111111111105</v>
      </c>
      <c r="AX90" s="126">
        <v>0.9277777777777777</v>
      </c>
      <c r="AY90" s="90">
        <v>0.3520833333333333</v>
      </c>
      <c r="AZ90" s="90">
        <v>0.9770833333333333</v>
      </c>
      <c r="BA90" s="90">
        <v>0.34861111111111115</v>
      </c>
      <c r="BB90" s="90">
        <v>2.013888888888889E-2</v>
      </c>
      <c r="BC90" s="90">
        <v>0.34583333333333338</v>
      </c>
      <c r="BD90" s="91">
        <v>1</v>
      </c>
      <c r="BE90" s="90">
        <v>0.35138888888888892</v>
      </c>
      <c r="BF90" s="90">
        <v>0.94236111111111109</v>
      </c>
      <c r="BG90" s="120" t="s">
        <v>15</v>
      </c>
      <c r="BH90" s="120" t="s">
        <v>15</v>
      </c>
      <c r="BI90" s="90">
        <v>0.3520833333333333</v>
      </c>
      <c r="BJ90" s="90">
        <v>0.99236111111111114</v>
      </c>
      <c r="BK90" s="120" t="s">
        <v>15</v>
      </c>
      <c r="BL90" s="120" t="s">
        <v>15</v>
      </c>
      <c r="BM90" s="90">
        <v>0.35347222222222219</v>
      </c>
      <c r="BN90" s="90">
        <v>0.94930555555555562</v>
      </c>
      <c r="BO90" s="90">
        <v>0.34861111111111115</v>
      </c>
      <c r="BP90" s="90">
        <v>0.98055555555555562</v>
      </c>
      <c r="BQ90" s="147">
        <f t="shared" si="28"/>
        <v>31</v>
      </c>
      <c r="BR90" s="81">
        <v>2</v>
      </c>
      <c r="BS90" s="2">
        <f t="shared" si="29"/>
        <v>27</v>
      </c>
      <c r="BT90" s="3">
        <f t="shared" si="43"/>
        <v>4</v>
      </c>
      <c r="BU90" s="3">
        <f t="shared" si="44"/>
        <v>0</v>
      </c>
      <c r="BV90" s="3">
        <f t="shared" si="45"/>
        <v>0</v>
      </c>
      <c r="BW90" s="3">
        <f t="shared" si="46"/>
        <v>0</v>
      </c>
      <c r="BX90" s="3">
        <f t="shared" si="47"/>
        <v>0</v>
      </c>
      <c r="BY90" s="3">
        <f t="shared" si="48"/>
        <v>0</v>
      </c>
      <c r="BZ90" s="3">
        <f t="shared" si="36"/>
        <v>0</v>
      </c>
      <c r="CA90" s="3">
        <f t="shared" si="38"/>
        <v>0</v>
      </c>
      <c r="CB90" s="3">
        <f t="shared" si="39"/>
        <v>0</v>
      </c>
      <c r="CC90" s="3">
        <f t="shared" si="40"/>
        <v>0</v>
      </c>
      <c r="CD90" s="3">
        <f t="shared" si="41"/>
        <v>0</v>
      </c>
      <c r="CE90" s="4"/>
      <c r="CH90" s="58">
        <v>0</v>
      </c>
      <c r="CI90" s="59">
        <v>0</v>
      </c>
      <c r="CJ90" s="59">
        <v>0</v>
      </c>
      <c r="CK90" s="59">
        <v>0</v>
      </c>
      <c r="CL90" s="59">
        <v>0</v>
      </c>
      <c r="CM90" s="59">
        <v>1</v>
      </c>
      <c r="CN90" s="59">
        <v>0</v>
      </c>
      <c r="CO90" s="59">
        <v>0</v>
      </c>
      <c r="CP90" s="59">
        <v>0</v>
      </c>
      <c r="CQ90" s="59">
        <v>0</v>
      </c>
      <c r="CR90" s="60">
        <f t="shared" si="49"/>
        <v>1</v>
      </c>
    </row>
    <row r="91" spans="1:96" ht="22.5" customHeight="1" x14ac:dyDescent="0.25">
      <c r="A91" s="46">
        <v>75</v>
      </c>
      <c r="B91" s="46" t="s">
        <v>211</v>
      </c>
      <c r="C91" s="100" t="s">
        <v>213</v>
      </c>
      <c r="D91" s="112">
        <v>46007</v>
      </c>
      <c r="E91" s="120" t="s">
        <v>15</v>
      </c>
      <c r="F91" s="120" t="s">
        <v>15</v>
      </c>
      <c r="G91" s="90">
        <v>0.35625000000000001</v>
      </c>
      <c r="H91" s="90">
        <v>0.97152777777777777</v>
      </c>
      <c r="I91" s="90">
        <v>0.35555555555555557</v>
      </c>
      <c r="J91" s="90">
        <v>0.95347222222222217</v>
      </c>
      <c r="K91" s="90">
        <v>0.3666666666666667</v>
      </c>
      <c r="L91" s="91">
        <v>1</v>
      </c>
      <c r="M91" s="90">
        <v>0.35555555555555557</v>
      </c>
      <c r="N91" s="90">
        <v>0.95833333333333337</v>
      </c>
      <c r="O91" s="90">
        <v>0.35555555555555557</v>
      </c>
      <c r="P91" s="90">
        <v>0.9506944444444444</v>
      </c>
      <c r="Q91" s="90">
        <v>0.35555555555555557</v>
      </c>
      <c r="R91" s="90">
        <v>0.97916666666666663</v>
      </c>
      <c r="S91" s="126">
        <v>0.58472222222222225</v>
      </c>
      <c r="T91" s="126">
        <v>0.95486111111111116</v>
      </c>
      <c r="U91" s="90">
        <v>0.35625000000000001</v>
      </c>
      <c r="V91" s="90">
        <v>0.9784722222222223</v>
      </c>
      <c r="W91" s="90">
        <v>0.35555555555555557</v>
      </c>
      <c r="X91" s="90">
        <v>0.95763888888888893</v>
      </c>
      <c r="Y91" s="90">
        <v>0.35555555555555557</v>
      </c>
      <c r="Z91" s="90">
        <v>0.95833333333333337</v>
      </c>
      <c r="AA91" s="90">
        <v>0.35625000000000001</v>
      </c>
      <c r="AB91" s="90">
        <v>0.95694444444444438</v>
      </c>
      <c r="AC91" s="90">
        <v>0.35486111111111113</v>
      </c>
      <c r="AD91" s="90">
        <v>0.95624999999999993</v>
      </c>
      <c r="AE91" s="90">
        <v>0.35555555555555557</v>
      </c>
      <c r="AF91" s="90">
        <v>0.97291666666666676</v>
      </c>
      <c r="AG91" s="120" t="s">
        <v>15</v>
      </c>
      <c r="AH91" s="120" t="s">
        <v>15</v>
      </c>
      <c r="AJ91" s="123">
        <v>75</v>
      </c>
      <c r="AK91" s="90">
        <v>0.35625000000000001</v>
      </c>
      <c r="AL91" s="91">
        <v>1</v>
      </c>
      <c r="AM91" s="90">
        <v>0.35555555555555557</v>
      </c>
      <c r="AN91" s="90">
        <v>0.95833333333333337</v>
      </c>
      <c r="AO91" s="90">
        <v>0.3576388888888889</v>
      </c>
      <c r="AP91" s="90">
        <v>0.95624999999999993</v>
      </c>
      <c r="AQ91" s="90">
        <v>0.3527777777777778</v>
      </c>
      <c r="AR91" s="90">
        <v>0.9555555555555556</v>
      </c>
      <c r="AS91" s="90">
        <v>0.35486111111111113</v>
      </c>
      <c r="AT91" s="90">
        <v>0.96944444444444444</v>
      </c>
      <c r="AU91" s="90">
        <v>0.3527777777777778</v>
      </c>
      <c r="AV91" s="90">
        <v>0.9784722222222223</v>
      </c>
      <c r="AW91" s="127">
        <v>1</v>
      </c>
      <c r="AX91" s="127">
        <v>1</v>
      </c>
      <c r="AY91" s="90">
        <v>0.35416666666666669</v>
      </c>
      <c r="AZ91" s="90">
        <v>0.97222222222222221</v>
      </c>
      <c r="BA91" s="90">
        <v>0.3520833333333333</v>
      </c>
      <c r="BB91" s="91">
        <v>1</v>
      </c>
      <c r="BC91" s="90">
        <v>0.3520833333333333</v>
      </c>
      <c r="BD91" s="90">
        <v>0.97013888888888899</v>
      </c>
      <c r="BE91" s="90">
        <v>0.35347222222222219</v>
      </c>
      <c r="BF91" s="90">
        <v>0.98749999999999993</v>
      </c>
      <c r="BG91" s="120" t="s">
        <v>15</v>
      </c>
      <c r="BH91" s="120" t="s">
        <v>15</v>
      </c>
      <c r="BI91" s="90">
        <v>0.35347222222222219</v>
      </c>
      <c r="BJ91" s="90">
        <v>0.99305555555555547</v>
      </c>
      <c r="BK91" s="120" t="s">
        <v>15</v>
      </c>
      <c r="BL91" s="120" t="s">
        <v>15</v>
      </c>
      <c r="BM91" s="90">
        <v>0.35347222222222219</v>
      </c>
      <c r="BN91" s="90">
        <v>0.97430555555555554</v>
      </c>
      <c r="BO91" s="90">
        <v>0.3527777777777778</v>
      </c>
      <c r="BP91" s="90">
        <v>0.95833333333333337</v>
      </c>
      <c r="BQ91" s="147">
        <f t="shared" si="28"/>
        <v>31</v>
      </c>
      <c r="BR91" s="81">
        <v>2</v>
      </c>
      <c r="BS91" s="2">
        <f t="shared" si="29"/>
        <v>27</v>
      </c>
      <c r="BT91" s="3">
        <f t="shared" si="43"/>
        <v>4</v>
      </c>
      <c r="BU91" s="3">
        <f t="shared" si="44"/>
        <v>0</v>
      </c>
      <c r="BV91" s="3">
        <f t="shared" si="45"/>
        <v>0</v>
      </c>
      <c r="BW91" s="3">
        <f t="shared" si="46"/>
        <v>0</v>
      </c>
      <c r="BX91" s="3">
        <f t="shared" si="47"/>
        <v>0</v>
      </c>
      <c r="BY91" s="3">
        <f t="shared" si="48"/>
        <v>0</v>
      </c>
      <c r="BZ91" s="3">
        <f t="shared" si="36"/>
        <v>0</v>
      </c>
      <c r="CA91" s="3">
        <f t="shared" si="38"/>
        <v>0</v>
      </c>
      <c r="CB91" s="3">
        <f t="shared" si="39"/>
        <v>0</v>
      </c>
      <c r="CC91" s="3">
        <f t="shared" si="40"/>
        <v>0</v>
      </c>
      <c r="CD91" s="3">
        <f t="shared" si="41"/>
        <v>0</v>
      </c>
      <c r="CE91" s="4"/>
      <c r="CH91" s="79">
        <v>0</v>
      </c>
      <c r="CI91" s="84">
        <v>0</v>
      </c>
      <c r="CJ91" s="84">
        <v>0</v>
      </c>
      <c r="CK91" s="84">
        <v>0</v>
      </c>
      <c r="CL91" s="84">
        <v>0</v>
      </c>
      <c r="CM91" s="84">
        <v>0</v>
      </c>
      <c r="CN91" s="84">
        <v>0</v>
      </c>
      <c r="CO91" s="84">
        <v>0</v>
      </c>
      <c r="CP91" s="84">
        <v>0</v>
      </c>
      <c r="CQ91" s="84">
        <v>0</v>
      </c>
      <c r="CR91" s="80">
        <f t="shared" si="49"/>
        <v>0</v>
      </c>
    </row>
    <row r="92" spans="1:96" ht="22.5" customHeight="1" x14ac:dyDescent="0.25">
      <c r="A92" s="46">
        <v>76</v>
      </c>
      <c r="B92" s="46" t="s">
        <v>214</v>
      </c>
      <c r="C92" s="100" t="s">
        <v>215</v>
      </c>
      <c r="D92" s="112">
        <v>46008</v>
      </c>
      <c r="E92" s="126">
        <v>0.58194444444444449</v>
      </c>
      <c r="F92" s="126">
        <v>0.93888888888888899</v>
      </c>
      <c r="G92" s="90">
        <v>0.3527777777777778</v>
      </c>
      <c r="H92" s="90">
        <v>0.96319444444444446</v>
      </c>
      <c r="I92" s="90">
        <v>0.35416666666666669</v>
      </c>
      <c r="J92" s="90">
        <v>0.92361111111111116</v>
      </c>
      <c r="K92" s="90">
        <v>0.35486111111111113</v>
      </c>
      <c r="L92" s="90">
        <v>0.93888888888888899</v>
      </c>
      <c r="M92" s="90">
        <v>0.35416666666666669</v>
      </c>
      <c r="N92" s="90">
        <v>0.93055555555555547</v>
      </c>
      <c r="O92" s="90">
        <v>0.35347222222222219</v>
      </c>
      <c r="P92" s="90">
        <v>0.94861111111111107</v>
      </c>
      <c r="Q92" s="90">
        <v>0.3527777777777778</v>
      </c>
      <c r="R92" s="90">
        <v>0.98402777777777783</v>
      </c>
      <c r="S92" s="120" t="s">
        <v>15</v>
      </c>
      <c r="T92" s="120" t="s">
        <v>15</v>
      </c>
      <c r="U92" s="90">
        <v>0.35347222222222219</v>
      </c>
      <c r="V92" s="90">
        <v>0.94166666666666676</v>
      </c>
      <c r="W92" s="90">
        <v>0.3527777777777778</v>
      </c>
      <c r="X92" s="90">
        <v>0.94513888888888886</v>
      </c>
      <c r="Y92" s="90">
        <v>0.3520833333333333</v>
      </c>
      <c r="Z92" s="90">
        <v>0.93888888888888899</v>
      </c>
      <c r="AA92" s="90">
        <v>0.3527777777777778</v>
      </c>
      <c r="AB92" s="90">
        <v>0.94166666666666676</v>
      </c>
      <c r="AC92" s="90">
        <v>0.35138888888888892</v>
      </c>
      <c r="AD92" s="90">
        <v>0.9375</v>
      </c>
      <c r="AE92" s="90">
        <v>0.3527777777777778</v>
      </c>
      <c r="AF92" s="90">
        <v>0.96111111111111114</v>
      </c>
      <c r="AG92" s="126">
        <v>0.5805555555555556</v>
      </c>
      <c r="AH92" s="126">
        <v>0.91666666666666663</v>
      </c>
      <c r="AJ92" s="123">
        <v>76</v>
      </c>
      <c r="AK92" s="90">
        <v>0.3527777777777778</v>
      </c>
      <c r="AL92" s="90">
        <v>0.9590277777777777</v>
      </c>
      <c r="AM92" s="90">
        <v>0.3527777777777778</v>
      </c>
      <c r="AN92" s="90">
        <v>0.94166666666666676</v>
      </c>
      <c r="AO92" s="90">
        <v>0.35347222222222219</v>
      </c>
      <c r="AP92" s="90">
        <v>0.94513888888888886</v>
      </c>
      <c r="AQ92" s="90">
        <v>0.3527777777777778</v>
      </c>
      <c r="AR92" s="90">
        <v>0.93819444444444444</v>
      </c>
      <c r="AS92" s="90">
        <v>0.3527777777777778</v>
      </c>
      <c r="AT92" s="90">
        <v>0.9375</v>
      </c>
      <c r="AU92" s="90">
        <v>0.3527777777777778</v>
      </c>
      <c r="AV92" s="90">
        <v>0.93888888888888899</v>
      </c>
      <c r="AW92" s="120" t="s">
        <v>15</v>
      </c>
      <c r="AX92" s="120" t="s">
        <v>15</v>
      </c>
      <c r="AY92" s="90">
        <v>0.3527777777777778</v>
      </c>
      <c r="AZ92" s="90">
        <v>0.98125000000000007</v>
      </c>
      <c r="BA92" s="90">
        <v>0.3527777777777778</v>
      </c>
      <c r="BB92" s="90">
        <v>6.9444444444444441E-3</v>
      </c>
      <c r="BC92" s="90">
        <v>0.3520833333333333</v>
      </c>
      <c r="BD92" s="90">
        <v>0.99583333333333324</v>
      </c>
      <c r="BE92" s="90">
        <v>0.3527777777777778</v>
      </c>
      <c r="BF92" s="90">
        <v>0.97013888888888899</v>
      </c>
      <c r="BG92" s="120" t="s">
        <v>15</v>
      </c>
      <c r="BH92" s="120" t="s">
        <v>15</v>
      </c>
      <c r="BI92" s="90">
        <v>0.3527777777777778</v>
      </c>
      <c r="BJ92" s="90">
        <v>0.97152777777777777</v>
      </c>
      <c r="BK92" s="126">
        <v>0.58124999999999993</v>
      </c>
      <c r="BL92" s="126">
        <v>0.90833333333333333</v>
      </c>
      <c r="BM92" s="90">
        <v>0.3527777777777778</v>
      </c>
      <c r="BN92" s="90">
        <v>0.93958333333333333</v>
      </c>
      <c r="BO92" s="90">
        <v>0.3527777777777778</v>
      </c>
      <c r="BP92" s="90">
        <v>0.9590277777777777</v>
      </c>
      <c r="BQ92" s="147">
        <f t="shared" si="28"/>
        <v>31</v>
      </c>
      <c r="BR92" s="81">
        <v>3</v>
      </c>
      <c r="BS92" s="2">
        <f t="shared" si="29"/>
        <v>28</v>
      </c>
      <c r="BT92" s="3">
        <f t="shared" si="43"/>
        <v>3</v>
      </c>
      <c r="BU92" s="3">
        <f t="shared" si="44"/>
        <v>0</v>
      </c>
      <c r="BV92" s="3">
        <f t="shared" si="45"/>
        <v>0</v>
      </c>
      <c r="BW92" s="3">
        <f t="shared" si="46"/>
        <v>0</v>
      </c>
      <c r="BX92" s="3">
        <f t="shared" si="47"/>
        <v>0</v>
      </c>
      <c r="BY92" s="3">
        <f t="shared" si="48"/>
        <v>0</v>
      </c>
      <c r="BZ92" s="3">
        <f t="shared" si="36"/>
        <v>0</v>
      </c>
      <c r="CA92" s="3">
        <f t="shared" si="38"/>
        <v>0</v>
      </c>
      <c r="CB92" s="3">
        <f t="shared" si="39"/>
        <v>0</v>
      </c>
      <c r="CC92" s="3">
        <f t="shared" si="40"/>
        <v>0</v>
      </c>
      <c r="CD92" s="3">
        <f t="shared" si="41"/>
        <v>0</v>
      </c>
      <c r="CE92" s="4"/>
      <c r="CH92" s="58">
        <v>0</v>
      </c>
      <c r="CI92" s="59">
        <v>0</v>
      </c>
      <c r="CJ92" s="59">
        <v>0</v>
      </c>
      <c r="CK92" s="59">
        <v>0</v>
      </c>
      <c r="CL92" s="59">
        <v>0</v>
      </c>
      <c r="CM92" s="59">
        <v>11</v>
      </c>
      <c r="CN92" s="59">
        <v>0</v>
      </c>
      <c r="CO92" s="59">
        <v>0</v>
      </c>
      <c r="CP92" s="59">
        <v>0</v>
      </c>
      <c r="CQ92" s="59">
        <v>0</v>
      </c>
      <c r="CR92" s="60">
        <f t="shared" si="49"/>
        <v>11</v>
      </c>
    </row>
    <row r="93" spans="1:96" ht="22.5" customHeight="1" x14ac:dyDescent="0.25">
      <c r="A93" s="46">
        <v>77</v>
      </c>
      <c r="B93" s="46" t="s">
        <v>216</v>
      </c>
      <c r="C93" s="100" t="s">
        <v>217</v>
      </c>
      <c r="D93" s="112">
        <v>46018</v>
      </c>
      <c r="E93" s="126">
        <v>0.57847222222222217</v>
      </c>
      <c r="F93" s="126">
        <v>0.94930555555555562</v>
      </c>
      <c r="G93" s="90">
        <v>0.33611111111111108</v>
      </c>
      <c r="H93" s="90">
        <v>0.97152777777777777</v>
      </c>
      <c r="I93" s="90">
        <v>0.33263888888888887</v>
      </c>
      <c r="J93" s="90">
        <v>0.94861111111111107</v>
      </c>
      <c r="K93" s="90">
        <v>0.33611111111111108</v>
      </c>
      <c r="L93" s="90">
        <v>0.95416666666666661</v>
      </c>
      <c r="M93" s="90">
        <v>0.35555555555555557</v>
      </c>
      <c r="N93" s="90">
        <v>0.94791666666666663</v>
      </c>
      <c r="O93" s="90">
        <v>0.33055555555555555</v>
      </c>
      <c r="P93" s="90">
        <v>0.95138888888888884</v>
      </c>
      <c r="Q93" s="90">
        <v>0.33124999999999999</v>
      </c>
      <c r="R93" s="90">
        <v>0.97222222222222221</v>
      </c>
      <c r="S93" s="120" t="s">
        <v>15</v>
      </c>
      <c r="T93" s="120" t="s">
        <v>15</v>
      </c>
      <c r="U93" s="90">
        <v>0.33263888888888887</v>
      </c>
      <c r="V93" s="90">
        <v>0.96944444444444444</v>
      </c>
      <c r="W93" s="90">
        <v>0.33402777777777781</v>
      </c>
      <c r="X93" s="90">
        <v>0.9506944444444444</v>
      </c>
      <c r="Y93" s="90">
        <v>0.33263888888888887</v>
      </c>
      <c r="Z93" s="90">
        <v>0.95000000000000007</v>
      </c>
      <c r="AA93" s="90">
        <v>0.32777777777777778</v>
      </c>
      <c r="AB93" s="90">
        <v>0.95416666666666661</v>
      </c>
      <c r="AC93" s="90">
        <v>0.33333333333333331</v>
      </c>
      <c r="AD93" s="90">
        <v>0.95000000000000007</v>
      </c>
      <c r="AE93" s="90">
        <v>0.35069444444444442</v>
      </c>
      <c r="AF93" s="90">
        <v>0.97499999999999998</v>
      </c>
      <c r="AG93" s="126">
        <v>0.57847222222222217</v>
      </c>
      <c r="AH93" s="126">
        <v>0.95347222222222217</v>
      </c>
      <c r="AJ93" s="123">
        <v>77</v>
      </c>
      <c r="AK93" s="90">
        <v>0.34930555555555554</v>
      </c>
      <c r="AL93" s="90">
        <v>0.97291666666666676</v>
      </c>
      <c r="AM93" s="90">
        <v>0.35000000000000003</v>
      </c>
      <c r="AN93" s="90">
        <v>0.95277777777777783</v>
      </c>
      <c r="AO93" s="90">
        <v>0.34930555555555554</v>
      </c>
      <c r="AP93" s="90">
        <v>0.95416666666666661</v>
      </c>
      <c r="AQ93" s="90">
        <v>0.34861111111111115</v>
      </c>
      <c r="AR93" s="90">
        <v>0.94930555555555562</v>
      </c>
      <c r="AS93" s="90">
        <v>0.35000000000000003</v>
      </c>
      <c r="AT93" s="90">
        <v>0.95347222222222217</v>
      </c>
      <c r="AU93" s="90">
        <v>0.35000000000000003</v>
      </c>
      <c r="AV93" s="90">
        <v>0.97152777777777777</v>
      </c>
      <c r="AW93" s="120" t="s">
        <v>15</v>
      </c>
      <c r="AX93" s="120" t="s">
        <v>15</v>
      </c>
      <c r="AY93" s="90">
        <v>0.35000000000000003</v>
      </c>
      <c r="AZ93" s="90">
        <v>0.96805555555555556</v>
      </c>
      <c r="BA93" s="90">
        <v>0.35138888888888892</v>
      </c>
      <c r="BB93" s="90">
        <v>0.95416666666666661</v>
      </c>
      <c r="BC93" s="90">
        <v>0.34652777777777777</v>
      </c>
      <c r="BD93" s="90">
        <v>0.97291666666666676</v>
      </c>
      <c r="BE93" s="90">
        <v>0.35069444444444442</v>
      </c>
      <c r="BF93" s="90">
        <v>0.97083333333333333</v>
      </c>
      <c r="BG93" s="120" t="s">
        <v>15</v>
      </c>
      <c r="BH93" s="120" t="s">
        <v>15</v>
      </c>
      <c r="BI93" s="90">
        <v>0.34791666666666665</v>
      </c>
      <c r="BJ93" s="90">
        <v>0.99305555555555547</v>
      </c>
      <c r="BK93" s="126">
        <v>0.57916666666666672</v>
      </c>
      <c r="BL93" s="126">
        <v>0.95347222222222217</v>
      </c>
      <c r="BM93" s="90">
        <v>0.35138888888888892</v>
      </c>
      <c r="BN93" s="90">
        <v>0.96944444444444444</v>
      </c>
      <c r="BO93" s="90">
        <v>0.35069444444444442</v>
      </c>
      <c r="BP93" s="90">
        <v>0.95486111111111116</v>
      </c>
      <c r="BQ93" s="147">
        <f t="shared" si="28"/>
        <v>31</v>
      </c>
      <c r="BR93" s="81">
        <v>3</v>
      </c>
      <c r="BS93" s="2">
        <f t="shared" si="29"/>
        <v>28</v>
      </c>
      <c r="BT93" s="3">
        <f t="shared" si="43"/>
        <v>3</v>
      </c>
      <c r="BU93" s="3">
        <f t="shared" si="44"/>
        <v>0</v>
      </c>
      <c r="BV93" s="3">
        <f t="shared" si="45"/>
        <v>0</v>
      </c>
      <c r="BW93" s="3">
        <f t="shared" si="46"/>
        <v>0</v>
      </c>
      <c r="BX93" s="3">
        <f t="shared" si="47"/>
        <v>0</v>
      </c>
      <c r="BY93" s="3">
        <f t="shared" si="48"/>
        <v>0</v>
      </c>
      <c r="BZ93" s="3">
        <f t="shared" si="36"/>
        <v>0</v>
      </c>
      <c r="CA93" s="3">
        <f t="shared" si="38"/>
        <v>0</v>
      </c>
      <c r="CB93" s="3">
        <f t="shared" si="39"/>
        <v>0</v>
      </c>
      <c r="CC93" s="3">
        <f t="shared" si="40"/>
        <v>0</v>
      </c>
      <c r="CD93" s="3">
        <f t="shared" si="41"/>
        <v>0</v>
      </c>
      <c r="CE93" s="4"/>
      <c r="CH93" s="79">
        <v>0</v>
      </c>
      <c r="CI93" s="84">
        <v>0</v>
      </c>
      <c r="CJ93" s="84">
        <v>0</v>
      </c>
      <c r="CK93" s="84">
        <v>0</v>
      </c>
      <c r="CL93" s="84">
        <v>0</v>
      </c>
      <c r="CM93" s="84">
        <v>0</v>
      </c>
      <c r="CN93" s="84">
        <v>0</v>
      </c>
      <c r="CO93" s="84">
        <v>0</v>
      </c>
      <c r="CP93" s="84">
        <v>0</v>
      </c>
      <c r="CQ93" s="84">
        <v>0</v>
      </c>
      <c r="CR93" s="80">
        <f t="shared" si="49"/>
        <v>0</v>
      </c>
    </row>
    <row r="94" spans="1:96" ht="22.5" customHeight="1" x14ac:dyDescent="0.25">
      <c r="A94" s="46">
        <v>78</v>
      </c>
      <c r="B94" s="46" t="s">
        <v>218</v>
      </c>
      <c r="C94" s="100" t="s">
        <v>220</v>
      </c>
      <c r="D94" s="112">
        <v>46022</v>
      </c>
      <c r="E94" s="120" t="s">
        <v>15</v>
      </c>
      <c r="F94" s="120" t="s">
        <v>15</v>
      </c>
      <c r="G94" s="90">
        <v>0.34097222222222223</v>
      </c>
      <c r="H94" s="90">
        <v>0.97083333333333333</v>
      </c>
      <c r="I94" s="90">
        <v>0.34166666666666662</v>
      </c>
      <c r="J94" s="90">
        <v>0.92986111111111114</v>
      </c>
      <c r="K94" s="90">
        <v>0.34722222222222227</v>
      </c>
      <c r="L94" s="90">
        <v>0.95972222222222225</v>
      </c>
      <c r="M94" s="90">
        <v>0.35555555555555557</v>
      </c>
      <c r="N94" s="90">
        <v>0.9375</v>
      </c>
      <c r="O94" s="90">
        <v>0.34236111111111112</v>
      </c>
      <c r="P94" s="90">
        <v>0.96875</v>
      </c>
      <c r="Q94" s="90">
        <v>0.3444444444444445</v>
      </c>
      <c r="R94" s="90">
        <v>0.98125000000000007</v>
      </c>
      <c r="S94" s="126">
        <v>0.58333333333333337</v>
      </c>
      <c r="T94" s="126">
        <v>0.92083333333333339</v>
      </c>
      <c r="U94" s="90">
        <v>0.34236111111111112</v>
      </c>
      <c r="V94" s="90">
        <v>0.94236111111111109</v>
      </c>
      <c r="W94" s="90">
        <v>0.34097222222222223</v>
      </c>
      <c r="X94" s="90">
        <v>0.94513888888888886</v>
      </c>
      <c r="Y94" s="90">
        <v>0.3430555555555555</v>
      </c>
      <c r="Z94" s="90">
        <v>0.95208333333333339</v>
      </c>
      <c r="AA94" s="90">
        <v>0.34027777777777773</v>
      </c>
      <c r="AB94" s="90">
        <v>0.93958333333333333</v>
      </c>
      <c r="AC94" s="90">
        <v>0.34097222222222223</v>
      </c>
      <c r="AD94" s="90">
        <v>0.9375</v>
      </c>
      <c r="AE94" s="90">
        <v>0.34097222222222223</v>
      </c>
      <c r="AF94" s="90">
        <v>0.9590277777777777</v>
      </c>
      <c r="AG94" s="120" t="s">
        <v>15</v>
      </c>
      <c r="AH94" s="120" t="s">
        <v>15</v>
      </c>
      <c r="AJ94" s="123">
        <v>78</v>
      </c>
      <c r="AK94" s="90">
        <v>0.34166666666666662</v>
      </c>
      <c r="AL94" s="90">
        <v>0.95138888888888884</v>
      </c>
      <c r="AM94" s="90">
        <v>0.34166666666666662</v>
      </c>
      <c r="AN94" s="90">
        <v>0.95138888888888884</v>
      </c>
      <c r="AO94" s="90">
        <v>0.34166666666666662</v>
      </c>
      <c r="AP94" s="90">
        <v>0.94444444444444453</v>
      </c>
      <c r="AQ94" s="90">
        <v>0.3430555555555555</v>
      </c>
      <c r="AR94" s="90">
        <v>0.93819444444444444</v>
      </c>
      <c r="AS94" s="90">
        <v>0.34166666666666662</v>
      </c>
      <c r="AT94" s="90">
        <v>0.9506944444444444</v>
      </c>
      <c r="AU94" s="90">
        <v>0.34097222222222223</v>
      </c>
      <c r="AV94" s="90">
        <v>0.98541666666666661</v>
      </c>
      <c r="AW94" s="126">
        <v>0.58263888888888882</v>
      </c>
      <c r="AX94" s="126">
        <v>0.92708333333333337</v>
      </c>
      <c r="AY94" s="90">
        <v>0.34166666666666662</v>
      </c>
      <c r="AZ94" s="90">
        <v>0.97916666666666663</v>
      </c>
      <c r="BA94" s="90">
        <v>0.33958333333333335</v>
      </c>
      <c r="BB94" s="90">
        <v>2.013888888888889E-2</v>
      </c>
      <c r="BC94" s="90">
        <v>0.34236111111111112</v>
      </c>
      <c r="BD94" s="91">
        <v>1</v>
      </c>
      <c r="BE94" s="90">
        <v>0.3430555555555555</v>
      </c>
      <c r="BF94" s="90">
        <v>0.93888888888888899</v>
      </c>
      <c r="BG94" s="120" t="s">
        <v>15</v>
      </c>
      <c r="BH94" s="120" t="s">
        <v>15</v>
      </c>
      <c r="BI94" s="90">
        <v>0.34236111111111112</v>
      </c>
      <c r="BJ94" s="90">
        <v>0.98958333333333337</v>
      </c>
      <c r="BK94" s="120" t="s">
        <v>15</v>
      </c>
      <c r="BL94" s="120" t="s">
        <v>15</v>
      </c>
      <c r="BM94" s="90">
        <v>0.33819444444444446</v>
      </c>
      <c r="BN94" s="90">
        <v>0.94791666666666663</v>
      </c>
      <c r="BO94" s="90">
        <v>0.34375</v>
      </c>
      <c r="BP94" s="90">
        <v>0.98055555555555562</v>
      </c>
      <c r="BQ94" s="147">
        <f t="shared" si="28"/>
        <v>31</v>
      </c>
      <c r="BR94" s="81">
        <v>2</v>
      </c>
      <c r="BS94" s="2">
        <f t="shared" si="29"/>
        <v>27</v>
      </c>
      <c r="BT94" s="3">
        <f t="shared" si="43"/>
        <v>4</v>
      </c>
      <c r="BU94" s="3">
        <f t="shared" si="44"/>
        <v>0</v>
      </c>
      <c r="BV94" s="3">
        <f t="shared" si="45"/>
        <v>0</v>
      </c>
      <c r="BW94" s="3">
        <f t="shared" si="46"/>
        <v>0</v>
      </c>
      <c r="BX94" s="3">
        <f t="shared" si="47"/>
        <v>0</v>
      </c>
      <c r="BY94" s="3">
        <f t="shared" si="48"/>
        <v>0</v>
      </c>
      <c r="BZ94" s="3">
        <f t="shared" si="36"/>
        <v>0</v>
      </c>
      <c r="CA94" s="3">
        <f t="shared" si="38"/>
        <v>0</v>
      </c>
      <c r="CB94" s="3">
        <f t="shared" si="39"/>
        <v>0</v>
      </c>
      <c r="CC94" s="3">
        <f t="shared" si="40"/>
        <v>0</v>
      </c>
      <c r="CD94" s="3">
        <f t="shared" si="41"/>
        <v>0</v>
      </c>
      <c r="CE94" s="4"/>
      <c r="CH94" s="58">
        <v>0</v>
      </c>
      <c r="CI94" s="59">
        <v>0</v>
      </c>
      <c r="CJ94" s="59">
        <v>0</v>
      </c>
      <c r="CK94" s="59">
        <v>0</v>
      </c>
      <c r="CL94" s="59">
        <v>0</v>
      </c>
      <c r="CM94" s="59">
        <v>0</v>
      </c>
      <c r="CN94" s="59">
        <v>0</v>
      </c>
      <c r="CO94" s="59">
        <v>0</v>
      </c>
      <c r="CP94" s="59">
        <v>0</v>
      </c>
      <c r="CQ94" s="59">
        <v>0</v>
      </c>
      <c r="CR94" s="60">
        <f t="shared" si="49"/>
        <v>0</v>
      </c>
    </row>
    <row r="95" spans="1:96" ht="22.5" customHeight="1" x14ac:dyDescent="0.25">
      <c r="A95" s="46">
        <v>79</v>
      </c>
      <c r="B95" s="46" t="s">
        <v>219</v>
      </c>
      <c r="C95" s="100" t="s">
        <v>221</v>
      </c>
      <c r="D95" s="112">
        <v>46022</v>
      </c>
      <c r="E95" s="120" t="s">
        <v>15</v>
      </c>
      <c r="F95" s="120" t="s">
        <v>15</v>
      </c>
      <c r="G95" s="90">
        <v>0.34583333333333338</v>
      </c>
      <c r="H95" s="90">
        <v>0.97013888888888899</v>
      </c>
      <c r="I95" s="90">
        <v>0.34583333333333338</v>
      </c>
      <c r="J95" s="90">
        <v>0.93055555555555547</v>
      </c>
      <c r="K95" s="90">
        <v>0.3444444444444445</v>
      </c>
      <c r="L95" s="90">
        <v>0.9590277777777777</v>
      </c>
      <c r="M95" s="90">
        <v>0.35902777777777778</v>
      </c>
      <c r="N95" s="90">
        <v>0.9375</v>
      </c>
      <c r="O95" s="90">
        <v>0.33124999999999999</v>
      </c>
      <c r="P95" s="90">
        <v>0.96875</v>
      </c>
      <c r="Q95" s="90">
        <v>0.34236111111111112</v>
      </c>
      <c r="R95" s="90">
        <v>0.9819444444444444</v>
      </c>
      <c r="S95" s="120" t="s">
        <v>15</v>
      </c>
      <c r="T95" s="120" t="s">
        <v>15</v>
      </c>
      <c r="U95" s="90">
        <v>0.34236111111111112</v>
      </c>
      <c r="V95" s="90">
        <v>0.94444444444444453</v>
      </c>
      <c r="W95" s="90">
        <v>0.34652777777777777</v>
      </c>
      <c r="X95" s="90">
        <v>0.9458333333333333</v>
      </c>
      <c r="Y95" s="90">
        <v>0.34166666666666662</v>
      </c>
      <c r="Z95" s="90">
        <v>0.95208333333333339</v>
      </c>
      <c r="AA95" s="90">
        <v>0.33958333333333335</v>
      </c>
      <c r="AB95" s="90">
        <v>0.93958333333333333</v>
      </c>
      <c r="AC95" s="90">
        <v>0.33749999999999997</v>
      </c>
      <c r="AD95" s="90">
        <v>0.93888888888888899</v>
      </c>
      <c r="AE95" s="90">
        <v>0.34583333333333338</v>
      </c>
      <c r="AF95" s="90">
        <v>0.95833333333333337</v>
      </c>
      <c r="AG95" s="126">
        <v>0.5805555555555556</v>
      </c>
      <c r="AH95" s="126">
        <v>0.93125000000000002</v>
      </c>
      <c r="AJ95" s="123">
        <v>79</v>
      </c>
      <c r="AK95" s="90">
        <v>0.34236111111111112</v>
      </c>
      <c r="AL95" s="90">
        <v>0.95138888888888884</v>
      </c>
      <c r="AM95" s="90">
        <v>0.34236111111111112</v>
      </c>
      <c r="AN95" s="90">
        <v>0.95208333333333339</v>
      </c>
      <c r="AO95" s="90">
        <v>0.3444444444444445</v>
      </c>
      <c r="AP95" s="90">
        <v>0.94374999999999998</v>
      </c>
      <c r="AQ95" s="90">
        <v>0.3430555555555555</v>
      </c>
      <c r="AR95" s="90">
        <v>0.9375</v>
      </c>
      <c r="AS95" s="90">
        <v>0.3444444444444445</v>
      </c>
      <c r="AT95" s="90">
        <v>0.95000000000000007</v>
      </c>
      <c r="AU95" s="90">
        <v>0.33611111111111108</v>
      </c>
      <c r="AV95" s="90">
        <v>0.98541666666666661</v>
      </c>
      <c r="AW95" s="120" t="s">
        <v>15</v>
      </c>
      <c r="AX95" s="120" t="s">
        <v>15</v>
      </c>
      <c r="AY95" s="90">
        <v>0.34097222222222223</v>
      </c>
      <c r="AZ95" s="90">
        <v>0.97916666666666663</v>
      </c>
      <c r="BA95" s="90">
        <v>0.34236111111111112</v>
      </c>
      <c r="BB95" s="90">
        <v>1.9444444444444445E-2</v>
      </c>
      <c r="BC95" s="90">
        <v>0.33958333333333335</v>
      </c>
      <c r="BD95" s="91">
        <v>1</v>
      </c>
      <c r="BE95" s="90">
        <v>0.34652777777777777</v>
      </c>
      <c r="BF95" s="90">
        <v>0.94027777777777777</v>
      </c>
      <c r="BG95" s="120" t="s">
        <v>15</v>
      </c>
      <c r="BH95" s="120" t="s">
        <v>15</v>
      </c>
      <c r="BI95" s="90">
        <v>0.34027777777777773</v>
      </c>
      <c r="BJ95" s="90">
        <v>0.97986111111111107</v>
      </c>
      <c r="BK95" s="126">
        <v>0.58263888888888882</v>
      </c>
      <c r="BL95" s="126">
        <v>0.92083333333333339</v>
      </c>
      <c r="BM95" s="90">
        <v>0.33958333333333335</v>
      </c>
      <c r="BN95" s="90">
        <v>0.94791666666666663</v>
      </c>
      <c r="BO95" s="90">
        <v>0.34097222222222223</v>
      </c>
      <c r="BP95" s="90">
        <v>0.97986111111111107</v>
      </c>
      <c r="BQ95" s="147">
        <f t="shared" si="28"/>
        <v>31</v>
      </c>
      <c r="BR95" s="81">
        <v>2</v>
      </c>
      <c r="BS95" s="2">
        <f t="shared" si="29"/>
        <v>27</v>
      </c>
      <c r="BT95" s="3">
        <f t="shared" si="43"/>
        <v>4</v>
      </c>
      <c r="BU95" s="3">
        <f t="shared" si="44"/>
        <v>0</v>
      </c>
      <c r="BV95" s="3">
        <f t="shared" si="45"/>
        <v>0</v>
      </c>
      <c r="BW95" s="3">
        <f t="shared" si="46"/>
        <v>0</v>
      </c>
      <c r="BX95" s="3">
        <f t="shared" si="47"/>
        <v>0</v>
      </c>
      <c r="BY95" s="3">
        <f t="shared" si="48"/>
        <v>0</v>
      </c>
      <c r="BZ95" s="3">
        <f t="shared" si="36"/>
        <v>0</v>
      </c>
      <c r="CA95" s="3">
        <f t="shared" si="38"/>
        <v>0</v>
      </c>
      <c r="CB95" s="3">
        <f t="shared" si="39"/>
        <v>0</v>
      </c>
      <c r="CC95" s="3">
        <f t="shared" si="40"/>
        <v>0</v>
      </c>
      <c r="CD95" s="3">
        <f t="shared" si="41"/>
        <v>0</v>
      </c>
      <c r="CE95" s="4"/>
      <c r="CH95" s="58">
        <v>0</v>
      </c>
      <c r="CI95" s="58">
        <v>0</v>
      </c>
      <c r="CJ95" s="58">
        <v>0</v>
      </c>
      <c r="CK95" s="58">
        <v>0</v>
      </c>
      <c r="CL95" s="58">
        <v>0</v>
      </c>
      <c r="CM95" s="58">
        <v>0</v>
      </c>
      <c r="CN95" s="58">
        <v>0</v>
      </c>
      <c r="CO95" s="58">
        <v>0</v>
      </c>
      <c r="CP95" s="58">
        <v>0</v>
      </c>
      <c r="CQ95" s="58">
        <v>0</v>
      </c>
      <c r="CR95" s="60">
        <f t="shared" ref="CR95:CR102" si="50">SUM(CH95:CQ95)</f>
        <v>0</v>
      </c>
    </row>
    <row r="96" spans="1:96" ht="22.5" customHeight="1" x14ac:dyDescent="0.25">
      <c r="A96" s="46">
        <v>80</v>
      </c>
      <c r="B96" s="46" t="s">
        <v>222</v>
      </c>
      <c r="C96" s="100" t="s">
        <v>223</v>
      </c>
      <c r="D96" s="112">
        <v>46038</v>
      </c>
      <c r="E96" s="126">
        <v>0.58611111111111114</v>
      </c>
      <c r="F96" s="126">
        <v>0.95972222222222225</v>
      </c>
      <c r="G96" s="90">
        <v>0.35555555555555557</v>
      </c>
      <c r="H96" s="90">
        <v>0.97361111111111109</v>
      </c>
      <c r="I96" s="90">
        <v>0.3576388888888889</v>
      </c>
      <c r="J96" s="90">
        <v>0.95347222222222217</v>
      </c>
      <c r="K96" s="90">
        <v>0.36319444444444443</v>
      </c>
      <c r="L96" s="90">
        <v>0.97083333333333333</v>
      </c>
      <c r="M96" s="90">
        <v>0.36041666666666666</v>
      </c>
      <c r="N96" s="91">
        <v>1</v>
      </c>
      <c r="O96" s="90">
        <v>0.35625000000000001</v>
      </c>
      <c r="P96" s="90">
        <v>0.95486111111111116</v>
      </c>
      <c r="Q96" s="90">
        <v>0.3576388888888889</v>
      </c>
      <c r="R96" s="90">
        <v>0.9819444444444444</v>
      </c>
      <c r="S96" s="120" t="s">
        <v>15</v>
      </c>
      <c r="T96" s="120" t="s">
        <v>15</v>
      </c>
      <c r="U96" s="90">
        <v>0.35902777777777778</v>
      </c>
      <c r="V96" s="90">
        <v>0.97916666666666663</v>
      </c>
      <c r="W96" s="90">
        <v>0.35972222222222222</v>
      </c>
      <c r="X96" s="90">
        <v>0.9590277777777777</v>
      </c>
      <c r="Y96" s="90">
        <v>0.35902777777777778</v>
      </c>
      <c r="Z96" s="90">
        <v>0.9590277777777777</v>
      </c>
      <c r="AA96" s="90">
        <v>0.35902777777777778</v>
      </c>
      <c r="AB96" s="90">
        <v>0.95972222222222225</v>
      </c>
      <c r="AC96" s="90">
        <v>0.35902777777777778</v>
      </c>
      <c r="AD96" s="90">
        <v>0.95833333333333337</v>
      </c>
      <c r="AE96" s="90">
        <v>0.3576388888888889</v>
      </c>
      <c r="AF96" s="90">
        <v>0.97638888888888886</v>
      </c>
      <c r="AG96" s="126">
        <v>0.58611111111111114</v>
      </c>
      <c r="AH96" s="126">
        <v>0.95486111111111116</v>
      </c>
      <c r="AJ96" s="123">
        <v>80</v>
      </c>
      <c r="AK96" s="90">
        <v>0.35972222222222222</v>
      </c>
      <c r="AL96" s="90">
        <v>0.97569444444444453</v>
      </c>
      <c r="AM96" s="90">
        <v>0.35902777777777778</v>
      </c>
      <c r="AN96" s="90">
        <v>0.95833333333333337</v>
      </c>
      <c r="AO96" s="90">
        <v>0.3611111111111111</v>
      </c>
      <c r="AP96" s="90">
        <v>0.95833333333333337</v>
      </c>
      <c r="AQ96" s="90">
        <v>0.36041666666666666</v>
      </c>
      <c r="AR96" s="90">
        <v>0.95486111111111116</v>
      </c>
      <c r="AS96" s="90">
        <v>0.36180555555555555</v>
      </c>
      <c r="AT96" s="90">
        <v>0.96944444444444444</v>
      </c>
      <c r="AU96" s="90">
        <v>0.35972222222222222</v>
      </c>
      <c r="AV96" s="90">
        <v>0.97916666666666663</v>
      </c>
      <c r="AW96" s="120" t="s">
        <v>15</v>
      </c>
      <c r="AX96" s="120" t="s">
        <v>15</v>
      </c>
      <c r="AY96" s="90">
        <v>0.35555555555555557</v>
      </c>
      <c r="AZ96" s="90">
        <v>0.97499999999999998</v>
      </c>
      <c r="BA96" s="90">
        <v>0.35625000000000001</v>
      </c>
      <c r="BB96" s="90">
        <v>0.95138888888888884</v>
      </c>
      <c r="BC96" s="90">
        <v>0.35625000000000001</v>
      </c>
      <c r="BD96" s="90">
        <v>0.97361111111111109</v>
      </c>
      <c r="BE96" s="90">
        <v>0.35555555555555557</v>
      </c>
      <c r="BF96" s="90">
        <v>0.98888888888888893</v>
      </c>
      <c r="BG96" s="120" t="s">
        <v>15</v>
      </c>
      <c r="BH96" s="120" t="s">
        <v>15</v>
      </c>
      <c r="BI96" s="90">
        <v>0.35694444444444445</v>
      </c>
      <c r="BJ96" s="90">
        <v>0.98888888888888893</v>
      </c>
      <c r="BK96" s="126">
        <v>0.5854166666666667</v>
      </c>
      <c r="BL96" s="126">
        <v>0.95347222222222217</v>
      </c>
      <c r="BM96" s="90">
        <v>0.35833333333333334</v>
      </c>
      <c r="BN96" s="90">
        <v>0.97499999999999998</v>
      </c>
      <c r="BO96" s="90">
        <v>0.35833333333333334</v>
      </c>
      <c r="BP96" s="90">
        <v>0.96458333333333324</v>
      </c>
      <c r="BQ96" s="147">
        <f t="shared" ref="BQ96:BQ100" si="51">BS96+BT96+BV96+BW96+CA96+BY96+BZ96+CD96</f>
        <v>31</v>
      </c>
      <c r="BR96" s="81">
        <v>3</v>
      </c>
      <c r="BS96" s="2">
        <f t="shared" si="29"/>
        <v>28</v>
      </c>
      <c r="BT96" s="3">
        <f t="shared" si="43"/>
        <v>3</v>
      </c>
      <c r="BU96" s="3">
        <f t="shared" si="44"/>
        <v>0</v>
      </c>
      <c r="BV96" s="3">
        <f t="shared" si="45"/>
        <v>0</v>
      </c>
      <c r="BW96" s="3">
        <f t="shared" si="46"/>
        <v>0</v>
      </c>
      <c r="BX96" s="3">
        <f t="shared" si="47"/>
        <v>0</v>
      </c>
      <c r="BY96" s="3">
        <f t="shared" si="48"/>
        <v>0</v>
      </c>
      <c r="BZ96" s="3">
        <f t="shared" si="36"/>
        <v>0</v>
      </c>
      <c r="CA96" s="3">
        <f t="shared" si="38"/>
        <v>0</v>
      </c>
      <c r="CB96" s="3">
        <f t="shared" si="39"/>
        <v>0</v>
      </c>
      <c r="CC96" s="3">
        <f t="shared" si="40"/>
        <v>0</v>
      </c>
      <c r="CD96" s="3">
        <f t="shared" si="41"/>
        <v>0</v>
      </c>
      <c r="CE96" s="4"/>
      <c r="CH96" s="79">
        <v>0</v>
      </c>
      <c r="CI96" s="79">
        <v>0</v>
      </c>
      <c r="CJ96" s="79">
        <v>0</v>
      </c>
      <c r="CK96" s="79">
        <v>0</v>
      </c>
      <c r="CL96" s="79">
        <v>0</v>
      </c>
      <c r="CM96" s="79">
        <v>0</v>
      </c>
      <c r="CN96" s="79">
        <v>0</v>
      </c>
      <c r="CO96" s="79">
        <v>0</v>
      </c>
      <c r="CP96" s="79">
        <v>0</v>
      </c>
      <c r="CQ96" s="79">
        <v>0</v>
      </c>
      <c r="CR96" s="60">
        <f t="shared" si="50"/>
        <v>0</v>
      </c>
    </row>
    <row r="97" spans="1:96" ht="22.5" customHeight="1" x14ac:dyDescent="0.25">
      <c r="A97" s="46">
        <v>81</v>
      </c>
      <c r="B97" s="46" t="s">
        <v>225</v>
      </c>
      <c r="C97" s="100" t="s">
        <v>227</v>
      </c>
      <c r="D97" s="112">
        <v>46051</v>
      </c>
      <c r="E97" s="126">
        <v>0.55833333333333335</v>
      </c>
      <c r="F97" s="126">
        <v>0.98611111111111116</v>
      </c>
      <c r="G97" s="90">
        <v>0.35625000000000001</v>
      </c>
      <c r="H97" s="90">
        <v>0.96875</v>
      </c>
      <c r="I97" s="90">
        <v>0.35069444444444442</v>
      </c>
      <c r="J97" s="90">
        <v>0.93055555555555547</v>
      </c>
      <c r="K97" s="90">
        <v>0.35555555555555557</v>
      </c>
      <c r="L97" s="90">
        <v>0.92708333333333337</v>
      </c>
      <c r="M97" s="90">
        <v>0.35069444444444442</v>
      </c>
      <c r="N97" s="90">
        <v>0.93333333333333324</v>
      </c>
      <c r="O97" s="90">
        <v>0.35416666666666669</v>
      </c>
      <c r="P97" s="90">
        <v>0.95972222222222225</v>
      </c>
      <c r="Q97" s="90">
        <v>0.35486111111111113</v>
      </c>
      <c r="R97" s="90">
        <v>0.96875</v>
      </c>
      <c r="S97" s="120" t="s">
        <v>15</v>
      </c>
      <c r="T97" s="120" t="s">
        <v>15</v>
      </c>
      <c r="U97" s="90">
        <v>0.34791666666666665</v>
      </c>
      <c r="V97" s="90">
        <v>0.94166666666666676</v>
      </c>
      <c r="W97" s="90">
        <v>0.35069444444444442</v>
      </c>
      <c r="X97" s="90">
        <v>0.94930555555555562</v>
      </c>
      <c r="Y97" s="90">
        <v>0.35555555555555557</v>
      </c>
      <c r="Z97" s="90">
        <v>0.94305555555555554</v>
      </c>
      <c r="AA97" s="90">
        <v>0.35347222222222219</v>
      </c>
      <c r="AB97" s="90">
        <v>0.94027777777777777</v>
      </c>
      <c r="AC97" s="90">
        <v>0.35486111111111113</v>
      </c>
      <c r="AD97" s="90">
        <v>0.93472222222222223</v>
      </c>
      <c r="AE97" s="90">
        <v>0.35555555555555557</v>
      </c>
      <c r="AF97" s="90">
        <v>0.95833333333333337</v>
      </c>
      <c r="AG97" s="126">
        <v>0.56597222222222221</v>
      </c>
      <c r="AH97" s="126">
        <v>0.94027777777777777</v>
      </c>
      <c r="AJ97" s="123">
        <v>81</v>
      </c>
      <c r="AK97" s="90">
        <v>0.35347222222222219</v>
      </c>
      <c r="AL97" s="90">
        <v>0.94861111111111107</v>
      </c>
      <c r="AM97" s="90">
        <v>0.3527777777777778</v>
      </c>
      <c r="AN97" s="91">
        <v>1</v>
      </c>
      <c r="AO97" s="90">
        <v>0.3520833333333333</v>
      </c>
      <c r="AP97" s="90">
        <v>0.9375</v>
      </c>
      <c r="AQ97" s="90">
        <v>0.35486111111111113</v>
      </c>
      <c r="AR97" s="90">
        <v>0.9375</v>
      </c>
      <c r="AS97" s="90">
        <v>0.35138888888888892</v>
      </c>
      <c r="AT97" s="90">
        <v>0.94861111111111107</v>
      </c>
      <c r="AU97" s="90">
        <v>0.35486111111111113</v>
      </c>
      <c r="AV97" s="90">
        <v>0.98472222222222217</v>
      </c>
      <c r="AW97" s="120" t="s">
        <v>15</v>
      </c>
      <c r="AX97" s="120" t="s">
        <v>15</v>
      </c>
      <c r="AY97" s="90">
        <v>0.33124999999999999</v>
      </c>
      <c r="AZ97" s="90">
        <v>0.95833333333333337</v>
      </c>
      <c r="BA97" s="90">
        <v>0.3298611111111111</v>
      </c>
      <c r="BB97" s="90">
        <v>0.95416666666666661</v>
      </c>
      <c r="BC97" s="90">
        <v>0.33124999999999999</v>
      </c>
      <c r="BD97" s="90">
        <v>0.94374999999999998</v>
      </c>
      <c r="BE97" s="90">
        <v>0.32847222222222222</v>
      </c>
      <c r="BF97" s="90">
        <v>0.94027777777777777</v>
      </c>
      <c r="BG97" s="120" t="s">
        <v>15</v>
      </c>
      <c r="BH97" s="120" t="s">
        <v>15</v>
      </c>
      <c r="BI97" s="90">
        <v>0.33055555555555555</v>
      </c>
      <c r="BJ97" s="90">
        <v>0.97916666666666663</v>
      </c>
      <c r="BK97" s="126">
        <v>0.56111111111111112</v>
      </c>
      <c r="BL97" s="127">
        <v>1</v>
      </c>
      <c r="BM97" s="90">
        <v>0.3520833333333333</v>
      </c>
      <c r="BN97" s="90">
        <v>0.94791666666666663</v>
      </c>
      <c r="BO97" s="90">
        <v>0.35000000000000003</v>
      </c>
      <c r="BP97" s="90">
        <v>0.95833333333333337</v>
      </c>
      <c r="BQ97" s="147">
        <f t="shared" si="51"/>
        <v>31</v>
      </c>
      <c r="BR97" s="81">
        <v>3</v>
      </c>
      <c r="BS97" s="2">
        <f t="shared" si="29"/>
        <v>28</v>
      </c>
      <c r="BT97" s="3">
        <f t="shared" si="43"/>
        <v>3</v>
      </c>
      <c r="BU97" s="3">
        <f t="shared" si="44"/>
        <v>0</v>
      </c>
      <c r="BV97" s="3">
        <f t="shared" si="45"/>
        <v>0</v>
      </c>
      <c r="BW97" s="3">
        <f t="shared" si="46"/>
        <v>0</v>
      </c>
      <c r="BX97" s="3">
        <f t="shared" si="47"/>
        <v>0</v>
      </c>
      <c r="BY97" s="3">
        <f t="shared" si="48"/>
        <v>0</v>
      </c>
      <c r="BZ97" s="3">
        <f t="shared" si="36"/>
        <v>0</v>
      </c>
      <c r="CA97" s="3">
        <f t="shared" si="38"/>
        <v>0</v>
      </c>
      <c r="CB97" s="3">
        <f t="shared" si="39"/>
        <v>0</v>
      </c>
      <c r="CC97" s="3">
        <f t="shared" si="40"/>
        <v>0</v>
      </c>
      <c r="CD97" s="3">
        <f t="shared" si="41"/>
        <v>0</v>
      </c>
      <c r="CE97" s="4"/>
      <c r="CH97" s="58">
        <v>0</v>
      </c>
      <c r="CI97" s="58">
        <v>0</v>
      </c>
      <c r="CJ97" s="58">
        <v>0</v>
      </c>
      <c r="CK97" s="58">
        <v>0</v>
      </c>
      <c r="CL97" s="58">
        <v>0</v>
      </c>
      <c r="CM97" s="58">
        <v>2</v>
      </c>
      <c r="CN97" s="58">
        <v>0</v>
      </c>
      <c r="CO97" s="58">
        <v>1</v>
      </c>
      <c r="CP97" s="58">
        <v>0</v>
      </c>
      <c r="CQ97" s="58">
        <v>0</v>
      </c>
      <c r="CR97" s="60">
        <f t="shared" si="50"/>
        <v>3</v>
      </c>
    </row>
    <row r="98" spans="1:96" ht="22.5" customHeight="1" x14ac:dyDescent="0.25">
      <c r="A98" s="46">
        <v>82</v>
      </c>
      <c r="B98" s="46" t="s">
        <v>229</v>
      </c>
      <c r="C98" s="100" t="s">
        <v>230</v>
      </c>
      <c r="D98" s="112">
        <v>46065</v>
      </c>
      <c r="E98" s="120" t="s">
        <v>15</v>
      </c>
      <c r="F98" s="120" t="s">
        <v>15</v>
      </c>
      <c r="G98" s="90">
        <v>0.34652777777777777</v>
      </c>
      <c r="H98" s="90">
        <v>0.95972222222222225</v>
      </c>
      <c r="I98" s="90">
        <v>0.34722222222222227</v>
      </c>
      <c r="J98" s="90">
        <v>0.93819444444444444</v>
      </c>
      <c r="K98" s="90">
        <v>0.35069444444444442</v>
      </c>
      <c r="L98" s="90">
        <v>0.9590277777777777</v>
      </c>
      <c r="M98" s="90">
        <v>0.3527777777777778</v>
      </c>
      <c r="N98" s="90">
        <v>0.93125000000000002</v>
      </c>
      <c r="O98" s="90">
        <v>0.34791666666666665</v>
      </c>
      <c r="P98" s="90">
        <v>0.96736111111111101</v>
      </c>
      <c r="Q98" s="90">
        <v>0.34930555555555554</v>
      </c>
      <c r="R98" s="90">
        <v>0.9819444444444444</v>
      </c>
      <c r="S98" s="126">
        <v>0.5805555555555556</v>
      </c>
      <c r="T98" s="126">
        <v>0.94166666666666676</v>
      </c>
      <c r="U98" s="90">
        <v>0.34513888888888888</v>
      </c>
      <c r="V98" s="90">
        <v>0.94444444444444453</v>
      </c>
      <c r="W98" s="90">
        <v>0.34861111111111115</v>
      </c>
      <c r="X98" s="90">
        <v>0.94374999999999998</v>
      </c>
      <c r="Y98" s="90">
        <v>0.34652777777777777</v>
      </c>
      <c r="Z98" s="90">
        <v>0.94236111111111109</v>
      </c>
      <c r="AA98" s="90">
        <v>0.34930555555555554</v>
      </c>
      <c r="AB98" s="90">
        <v>0.9458333333333333</v>
      </c>
      <c r="AC98" s="90">
        <v>0.48472222222222222</v>
      </c>
      <c r="AD98" s="90">
        <v>0.94305555555555554</v>
      </c>
      <c r="AE98" s="90">
        <v>0.34722222222222227</v>
      </c>
      <c r="AF98" s="90">
        <v>0.95833333333333337</v>
      </c>
      <c r="AG98" s="120" t="s">
        <v>15</v>
      </c>
      <c r="AH98" s="120" t="s">
        <v>15</v>
      </c>
      <c r="AJ98" s="123">
        <v>82</v>
      </c>
      <c r="AK98" s="90">
        <v>0.34861111111111115</v>
      </c>
      <c r="AL98" s="90">
        <v>0.9506944444444444</v>
      </c>
      <c r="AM98" s="90">
        <v>0.34583333333333338</v>
      </c>
      <c r="AN98" s="90">
        <v>0.94444444444444453</v>
      </c>
      <c r="AO98" s="90">
        <v>0.34930555555555554</v>
      </c>
      <c r="AP98" s="90">
        <v>0.94374999999999998</v>
      </c>
      <c r="AQ98" s="90">
        <v>0.34722222222222227</v>
      </c>
      <c r="AR98" s="90">
        <v>0.94027777777777777</v>
      </c>
      <c r="AS98" s="90">
        <v>0.34861111111111115</v>
      </c>
      <c r="AT98" s="90">
        <v>0.94166666666666676</v>
      </c>
      <c r="AU98" s="90">
        <v>0.35000000000000003</v>
      </c>
      <c r="AV98" s="90">
        <v>0.98333333333333339</v>
      </c>
      <c r="AW98" s="126">
        <v>0.58124999999999993</v>
      </c>
      <c r="AX98" s="126">
        <v>0.93888888888888899</v>
      </c>
      <c r="AY98" s="90">
        <v>0.34930555555555554</v>
      </c>
      <c r="AZ98" s="90">
        <v>0.96736111111111101</v>
      </c>
      <c r="BA98" s="90">
        <v>0.34652777777777777</v>
      </c>
      <c r="BB98" s="90">
        <v>0.96944444444444444</v>
      </c>
      <c r="BC98" s="90">
        <v>0.34791666666666665</v>
      </c>
      <c r="BD98" s="90">
        <v>0.9819444444444444</v>
      </c>
      <c r="BE98" s="90">
        <v>0.34930555555555554</v>
      </c>
      <c r="BF98" s="90">
        <v>0.93888888888888899</v>
      </c>
      <c r="BG98" s="120" t="s">
        <v>15</v>
      </c>
      <c r="BH98" s="120" t="s">
        <v>15</v>
      </c>
      <c r="BI98" s="90">
        <v>0.34652777777777777</v>
      </c>
      <c r="BJ98" s="90">
        <v>0.95833333333333337</v>
      </c>
      <c r="BK98" s="120" t="s">
        <v>15</v>
      </c>
      <c r="BL98" s="120" t="s">
        <v>15</v>
      </c>
      <c r="BM98" s="90">
        <v>0.34791666666666665</v>
      </c>
      <c r="BN98" s="91">
        <v>1</v>
      </c>
      <c r="BO98" s="90" t="s">
        <v>183</v>
      </c>
      <c r="BP98" s="90" t="s">
        <v>183</v>
      </c>
      <c r="BQ98" s="147">
        <f t="shared" si="51"/>
        <v>31</v>
      </c>
      <c r="BR98" s="81">
        <v>2</v>
      </c>
      <c r="BS98" s="2">
        <f t="shared" si="29"/>
        <v>26</v>
      </c>
      <c r="BT98" s="3">
        <f t="shared" si="43"/>
        <v>4</v>
      </c>
      <c r="BU98" s="3">
        <f t="shared" si="44"/>
        <v>0</v>
      </c>
      <c r="BV98" s="3">
        <f t="shared" si="45"/>
        <v>0</v>
      </c>
      <c r="BW98" s="3">
        <f t="shared" si="46"/>
        <v>0</v>
      </c>
      <c r="BX98" s="3">
        <f t="shared" si="47"/>
        <v>0</v>
      </c>
      <c r="BY98" s="3">
        <f t="shared" si="48"/>
        <v>0</v>
      </c>
      <c r="BZ98" s="3">
        <f>COUNTIF(E98:BP98,"SICK")/2</f>
        <v>1</v>
      </c>
      <c r="CA98" s="3">
        <f t="shared" si="38"/>
        <v>0</v>
      </c>
      <c r="CB98" s="3">
        <f t="shared" si="39"/>
        <v>0</v>
      </c>
      <c r="CC98" s="3">
        <f t="shared" si="40"/>
        <v>0</v>
      </c>
      <c r="CD98" s="3">
        <f t="shared" si="41"/>
        <v>0</v>
      </c>
      <c r="CE98" s="4"/>
      <c r="CH98" s="79">
        <v>0</v>
      </c>
      <c r="CI98" s="79">
        <v>0</v>
      </c>
      <c r="CJ98" s="79">
        <v>0</v>
      </c>
      <c r="CK98" s="79">
        <v>0</v>
      </c>
      <c r="CL98" s="79">
        <v>0</v>
      </c>
      <c r="CM98" s="79">
        <v>1</v>
      </c>
      <c r="CN98" s="79">
        <v>0</v>
      </c>
      <c r="CO98" s="79">
        <v>0</v>
      </c>
      <c r="CP98" s="79">
        <v>0</v>
      </c>
      <c r="CQ98" s="79">
        <v>0</v>
      </c>
      <c r="CR98" s="60">
        <f t="shared" si="50"/>
        <v>1</v>
      </c>
    </row>
    <row r="99" spans="1:96" ht="22.5" customHeight="1" x14ac:dyDescent="0.25">
      <c r="A99" s="46">
        <v>83</v>
      </c>
      <c r="B99" s="46" t="s">
        <v>233</v>
      </c>
      <c r="C99" s="100" t="s">
        <v>235</v>
      </c>
      <c r="D99" s="112">
        <v>46069</v>
      </c>
      <c r="E99" s="127">
        <v>1</v>
      </c>
      <c r="F99" s="126">
        <v>0.93263888888888891</v>
      </c>
      <c r="G99" s="90">
        <v>0.3527777777777778</v>
      </c>
      <c r="H99" s="90">
        <v>0.93541666666666667</v>
      </c>
      <c r="I99" s="90">
        <v>0.35486111111111113</v>
      </c>
      <c r="J99" s="90">
        <v>0.90277777777777779</v>
      </c>
      <c r="K99" s="90">
        <v>0.35833333333333334</v>
      </c>
      <c r="L99" s="90">
        <v>0.91805555555555562</v>
      </c>
      <c r="M99" s="90">
        <v>0.35694444444444445</v>
      </c>
      <c r="N99" s="90">
        <v>0.90833333333333333</v>
      </c>
      <c r="O99" s="90">
        <v>0.3527777777777778</v>
      </c>
      <c r="P99" s="90">
        <v>0.9159722222222223</v>
      </c>
      <c r="Q99" s="90">
        <v>0.35486111111111113</v>
      </c>
      <c r="R99" s="90">
        <v>0.92847222222222225</v>
      </c>
      <c r="S99" s="120" t="s">
        <v>15</v>
      </c>
      <c r="T99" s="120" t="s">
        <v>15</v>
      </c>
      <c r="U99" s="90">
        <v>0.35416666666666669</v>
      </c>
      <c r="V99" s="90">
        <v>0.92569444444444438</v>
      </c>
      <c r="W99" s="90">
        <v>0.35486111111111113</v>
      </c>
      <c r="X99" s="90">
        <v>0.91319444444444453</v>
      </c>
      <c r="Y99" s="90">
        <v>0.35416666666666669</v>
      </c>
      <c r="Z99" s="90">
        <v>0.90277777777777779</v>
      </c>
      <c r="AA99" s="90">
        <v>0.3520833333333333</v>
      </c>
      <c r="AB99" s="90">
        <v>0.92013888888888884</v>
      </c>
      <c r="AC99" s="90">
        <v>0.3520833333333333</v>
      </c>
      <c r="AD99" s="90">
        <v>0.90069444444444446</v>
      </c>
      <c r="AE99" s="90">
        <v>0.3527777777777778</v>
      </c>
      <c r="AF99" s="90">
        <v>0.92986111111111114</v>
      </c>
      <c r="AG99" s="127">
        <v>1</v>
      </c>
      <c r="AH99" s="126">
        <v>0.91388888888888886</v>
      </c>
      <c r="AJ99" s="123">
        <v>83</v>
      </c>
      <c r="AK99" s="90">
        <v>0.35625000000000001</v>
      </c>
      <c r="AL99" s="90">
        <v>0.93333333333333324</v>
      </c>
      <c r="AM99" s="90">
        <v>0.35486111111111113</v>
      </c>
      <c r="AN99" s="90">
        <v>0.91527777777777775</v>
      </c>
      <c r="AO99" s="90">
        <v>0.35138888888888892</v>
      </c>
      <c r="AP99" s="90">
        <v>0.9</v>
      </c>
      <c r="AQ99" s="90">
        <v>0.34791666666666665</v>
      </c>
      <c r="AR99" s="90">
        <v>0.91875000000000007</v>
      </c>
      <c r="AS99" s="90">
        <v>0.3520833333333333</v>
      </c>
      <c r="AT99" s="90">
        <v>0.9</v>
      </c>
      <c r="AU99" s="90">
        <v>0.35069444444444442</v>
      </c>
      <c r="AV99" s="90">
        <v>0.93819444444444444</v>
      </c>
      <c r="AW99" s="120" t="s">
        <v>15</v>
      </c>
      <c r="AX99" s="120" t="s">
        <v>15</v>
      </c>
      <c r="AY99" s="90">
        <v>0.35000000000000003</v>
      </c>
      <c r="AZ99" s="90">
        <v>0.96250000000000002</v>
      </c>
      <c r="BA99" s="90">
        <v>0.35486111111111113</v>
      </c>
      <c r="BB99" s="91">
        <v>1</v>
      </c>
      <c r="BC99" s="90">
        <v>0.35000000000000003</v>
      </c>
      <c r="BD99" s="90">
        <v>0.99375000000000002</v>
      </c>
      <c r="BE99" s="90">
        <v>0.35486111111111113</v>
      </c>
      <c r="BF99" s="90">
        <v>0.97152777777777777</v>
      </c>
      <c r="BG99" s="120" t="s">
        <v>15</v>
      </c>
      <c r="BH99" s="120" t="s">
        <v>15</v>
      </c>
      <c r="BI99" s="90">
        <v>0.35347222222222219</v>
      </c>
      <c r="BJ99" s="90">
        <v>0.93333333333333324</v>
      </c>
      <c r="BK99" s="126">
        <v>0.57430555555555551</v>
      </c>
      <c r="BL99" s="126">
        <v>0.8979166666666667</v>
      </c>
      <c r="BM99" s="90">
        <v>0.35416666666666669</v>
      </c>
      <c r="BN99" s="90">
        <v>0.93819444444444444</v>
      </c>
      <c r="BO99" s="90">
        <v>0.35555555555555557</v>
      </c>
      <c r="BP99" s="90">
        <v>0.93125000000000002</v>
      </c>
      <c r="BQ99" s="147">
        <f t="shared" si="51"/>
        <v>31</v>
      </c>
      <c r="BR99" s="81">
        <v>3</v>
      </c>
      <c r="BS99" s="2">
        <f t="shared" si="29"/>
        <v>28</v>
      </c>
      <c r="BT99" s="3">
        <f t="shared" ref="BT99:BT101" si="52">COUNTIF(E99:BN99,"OFF")/2</f>
        <v>3</v>
      </c>
      <c r="BU99" s="3">
        <f t="shared" ref="BU99:BU101" si="53">COUNTIF(E99:BN99,"MC")/2</f>
        <v>0</v>
      </c>
      <c r="BV99" s="3">
        <f t="shared" ref="BV99:BV101" si="54">COUNTIF(E99:BN99,"EL")/2</f>
        <v>0</v>
      </c>
      <c r="BW99" s="3">
        <f t="shared" ref="BW99:BW101" si="55">COUNTIF(E99:BN99,"AL")/2</f>
        <v>0</v>
      </c>
      <c r="BX99" s="3">
        <f t="shared" ref="BX99:BX101" si="56">COUNTIF(E99:BN99,"SUS")/2</f>
        <v>0</v>
      </c>
      <c r="BY99" s="3">
        <f t="shared" ref="BY99:BY101" si="57">COUNTIF(E99:BN99,"FL")/2</f>
        <v>0</v>
      </c>
      <c r="BZ99" s="3">
        <f t="shared" si="36"/>
        <v>0</v>
      </c>
      <c r="CA99" s="3">
        <f t="shared" si="38"/>
        <v>0</v>
      </c>
      <c r="CB99" s="3">
        <f t="shared" si="39"/>
        <v>0</v>
      </c>
      <c r="CC99" s="3">
        <f t="shared" si="40"/>
        <v>0</v>
      </c>
      <c r="CD99" s="3">
        <f t="shared" si="41"/>
        <v>0</v>
      </c>
      <c r="CE99" s="4"/>
      <c r="CH99" s="58">
        <v>0</v>
      </c>
      <c r="CI99" s="58">
        <v>0</v>
      </c>
      <c r="CJ99" s="58">
        <v>0</v>
      </c>
      <c r="CK99" s="58">
        <v>0</v>
      </c>
      <c r="CL99" s="58">
        <v>0</v>
      </c>
      <c r="CM99" s="58">
        <v>0</v>
      </c>
      <c r="CN99" s="58">
        <v>0</v>
      </c>
      <c r="CO99" s="58">
        <v>0</v>
      </c>
      <c r="CP99" s="58">
        <v>0</v>
      </c>
      <c r="CQ99" s="58">
        <v>0</v>
      </c>
      <c r="CR99" s="60">
        <f t="shared" si="50"/>
        <v>0</v>
      </c>
    </row>
    <row r="100" spans="1:96" ht="22.5" customHeight="1" x14ac:dyDescent="0.25">
      <c r="A100" s="46">
        <v>84</v>
      </c>
      <c r="B100" s="46" t="s">
        <v>231</v>
      </c>
      <c r="C100" s="100" t="s">
        <v>236</v>
      </c>
      <c r="D100" s="112">
        <v>46068</v>
      </c>
      <c r="E100" s="120" t="s">
        <v>15</v>
      </c>
      <c r="F100" s="120" t="s">
        <v>15</v>
      </c>
      <c r="G100" s="90">
        <v>0.34166666666666662</v>
      </c>
      <c r="H100" s="90">
        <v>0.97222222222222221</v>
      </c>
      <c r="I100" s="90">
        <v>0.3444444444444445</v>
      </c>
      <c r="J100" s="90">
        <v>0.93055555555555547</v>
      </c>
      <c r="K100" s="90">
        <v>0.3527777777777778</v>
      </c>
      <c r="L100" s="90">
        <v>0.96250000000000002</v>
      </c>
      <c r="M100" s="90">
        <v>0.3527777777777778</v>
      </c>
      <c r="N100" s="90">
        <v>0.93125000000000002</v>
      </c>
      <c r="O100" s="90">
        <v>0.34791666666666665</v>
      </c>
      <c r="P100" s="90">
        <v>0.96805555555555556</v>
      </c>
      <c r="Q100" s="90">
        <v>0.34930555555555554</v>
      </c>
      <c r="R100" s="90">
        <v>0.98472222222222217</v>
      </c>
      <c r="S100" s="126">
        <v>0.58124999999999993</v>
      </c>
      <c r="T100" s="127">
        <v>1</v>
      </c>
      <c r="U100" s="90">
        <v>0.34513888888888888</v>
      </c>
      <c r="V100" s="90">
        <v>0.95138888888888884</v>
      </c>
      <c r="W100" s="90">
        <v>0.34930555555555554</v>
      </c>
      <c r="X100" s="90">
        <v>0.94513888888888886</v>
      </c>
      <c r="Y100" s="90">
        <v>0.34652777777777777</v>
      </c>
      <c r="Z100" s="90">
        <v>0.95138888888888884</v>
      </c>
      <c r="AA100" s="90">
        <v>0.34930555555555554</v>
      </c>
      <c r="AB100" s="90">
        <v>0.93819444444444444</v>
      </c>
      <c r="AC100" s="90">
        <v>0.34583333333333338</v>
      </c>
      <c r="AD100" s="90">
        <v>0.95416666666666661</v>
      </c>
      <c r="AE100" s="90">
        <v>0.34722222222222227</v>
      </c>
      <c r="AF100" s="90">
        <v>0.9590277777777777</v>
      </c>
      <c r="AG100" s="120" t="s">
        <v>15</v>
      </c>
      <c r="AH100" s="120" t="s">
        <v>15</v>
      </c>
      <c r="AJ100" s="123">
        <v>84</v>
      </c>
      <c r="AK100" s="90">
        <v>0.34861111111111115</v>
      </c>
      <c r="AL100" s="90">
        <v>0.95972222222222225</v>
      </c>
      <c r="AM100" s="90">
        <v>0.34583333333333338</v>
      </c>
      <c r="AN100" s="91">
        <v>1</v>
      </c>
      <c r="AO100" s="90">
        <v>0.34930555555555554</v>
      </c>
      <c r="AP100" s="90">
        <v>0.94444444444444453</v>
      </c>
      <c r="AQ100" s="90">
        <v>0.34722222222222227</v>
      </c>
      <c r="AR100" s="90">
        <v>0.93819444444444444</v>
      </c>
      <c r="AS100" s="90">
        <v>0.34930555555555554</v>
      </c>
      <c r="AT100" s="90">
        <v>0.95138888888888884</v>
      </c>
      <c r="AU100" s="90">
        <v>0.35000000000000003</v>
      </c>
      <c r="AV100" s="90">
        <v>0.98611111111111116</v>
      </c>
      <c r="AW100" s="126">
        <v>0.58402777777777781</v>
      </c>
      <c r="AX100" s="127">
        <v>1</v>
      </c>
      <c r="AY100" s="90">
        <v>0.34861111111111115</v>
      </c>
      <c r="AZ100" s="90">
        <v>0.97916666666666663</v>
      </c>
      <c r="BA100" s="90">
        <v>0.34652777777777777</v>
      </c>
      <c r="BB100" s="90">
        <v>2.013888888888889E-2</v>
      </c>
      <c r="BC100" s="90">
        <v>0.34791666666666665</v>
      </c>
      <c r="BD100" s="91">
        <v>1</v>
      </c>
      <c r="BE100" s="90">
        <v>0.3520833333333333</v>
      </c>
      <c r="BF100" s="90">
        <v>0.95972222222222225</v>
      </c>
      <c r="BG100" s="120" t="s">
        <v>15</v>
      </c>
      <c r="BH100" s="120" t="s">
        <v>15</v>
      </c>
      <c r="BI100" s="90">
        <v>0.35000000000000003</v>
      </c>
      <c r="BJ100" s="90">
        <v>0.9902777777777777</v>
      </c>
      <c r="BK100" s="120" t="s">
        <v>15</v>
      </c>
      <c r="BL100" s="120" t="s">
        <v>15</v>
      </c>
      <c r="BM100" s="90">
        <v>0.35833333333333334</v>
      </c>
      <c r="BN100" s="90">
        <v>0.95000000000000007</v>
      </c>
      <c r="BO100" s="90">
        <v>0.34722222222222227</v>
      </c>
      <c r="BP100" s="90">
        <v>0.98055555555555562</v>
      </c>
      <c r="BQ100" s="147">
        <f t="shared" si="51"/>
        <v>31</v>
      </c>
      <c r="BR100" s="81">
        <v>2</v>
      </c>
      <c r="BS100" s="2">
        <f t="shared" si="29"/>
        <v>27</v>
      </c>
      <c r="BT100" s="3">
        <f t="shared" si="52"/>
        <v>4</v>
      </c>
      <c r="BU100" s="3">
        <f t="shared" si="53"/>
        <v>0</v>
      </c>
      <c r="BV100" s="3">
        <f t="shared" si="54"/>
        <v>0</v>
      </c>
      <c r="BW100" s="3">
        <f t="shared" si="55"/>
        <v>0</v>
      </c>
      <c r="BX100" s="3">
        <f t="shared" si="56"/>
        <v>0</v>
      </c>
      <c r="BY100" s="3">
        <f t="shared" si="57"/>
        <v>0</v>
      </c>
      <c r="BZ100" s="3">
        <f t="shared" si="36"/>
        <v>0</v>
      </c>
      <c r="CA100" s="3">
        <f t="shared" ref="CA100:CA101" si="58">COUNTIF(E100:BN100,"HD")/2</f>
        <v>0</v>
      </c>
      <c r="CB100" s="3">
        <f t="shared" ref="CB100:CB101" si="59">COUNTIF(E100:BN100,"AB")/2</f>
        <v>0</v>
      </c>
      <c r="CC100" s="3">
        <f t="shared" ref="CC100:CC101" si="60">COUNTIF(E100:BN100,"NL")/2</f>
        <v>0</v>
      </c>
      <c r="CD100" s="3">
        <f t="shared" ref="CD100:CD101" si="61">COUNTIF(E100:BN100,"SP")/2</f>
        <v>0</v>
      </c>
      <c r="CE100" s="4"/>
      <c r="CH100" s="79">
        <v>0</v>
      </c>
      <c r="CI100" s="79">
        <v>0</v>
      </c>
      <c r="CJ100" s="79">
        <v>0</v>
      </c>
      <c r="CK100" s="79">
        <v>0</v>
      </c>
      <c r="CL100" s="79">
        <v>0</v>
      </c>
      <c r="CM100" s="79">
        <v>0</v>
      </c>
      <c r="CN100" s="79">
        <v>0</v>
      </c>
      <c r="CO100" s="79">
        <v>0</v>
      </c>
      <c r="CP100" s="79">
        <v>0</v>
      </c>
      <c r="CQ100" s="79">
        <v>0</v>
      </c>
      <c r="CR100" s="60">
        <f t="shared" si="50"/>
        <v>0</v>
      </c>
    </row>
    <row r="101" spans="1:96" ht="22.5" customHeight="1" x14ac:dyDescent="0.25">
      <c r="A101" s="46">
        <v>85</v>
      </c>
      <c r="B101" s="46" t="s">
        <v>232</v>
      </c>
      <c r="C101" s="100" t="s">
        <v>237</v>
      </c>
      <c r="D101" s="112">
        <v>46069</v>
      </c>
      <c r="E101" s="120" t="s">
        <v>15</v>
      </c>
      <c r="F101" s="120" t="s">
        <v>15</v>
      </c>
      <c r="G101" s="90">
        <v>0.35555555555555557</v>
      </c>
      <c r="H101" s="90">
        <v>0.96875</v>
      </c>
      <c r="I101" s="90">
        <v>0.35555555555555557</v>
      </c>
      <c r="J101" s="90">
        <v>0.93125000000000002</v>
      </c>
      <c r="K101" s="90">
        <v>0.35555555555555557</v>
      </c>
      <c r="L101" s="90">
        <v>0.95833333333333337</v>
      </c>
      <c r="M101" s="90">
        <v>0.35069444444444442</v>
      </c>
      <c r="N101" s="90">
        <v>0.93194444444444446</v>
      </c>
      <c r="O101" s="90">
        <v>0.35416666666666669</v>
      </c>
      <c r="P101" s="90">
        <v>0.96805555555555556</v>
      </c>
      <c r="Q101" s="90">
        <v>0.35347222222222219</v>
      </c>
      <c r="R101" s="90">
        <v>0.36388888888888887</v>
      </c>
      <c r="S101" s="126">
        <v>0.59652777777777777</v>
      </c>
      <c r="T101" s="126">
        <v>0.93194444444444446</v>
      </c>
      <c r="U101" s="90">
        <v>0.35416666666666669</v>
      </c>
      <c r="V101" s="90">
        <v>0.94166666666666676</v>
      </c>
      <c r="W101" s="90">
        <v>0.35347222222222219</v>
      </c>
      <c r="X101" s="90">
        <v>0.94444444444444453</v>
      </c>
      <c r="Y101" s="90">
        <v>0.35347222222222219</v>
      </c>
      <c r="Z101" s="90">
        <v>0.94930555555555562</v>
      </c>
      <c r="AA101" s="90">
        <v>0.35416666666666669</v>
      </c>
      <c r="AB101" s="91">
        <v>1</v>
      </c>
      <c r="AC101" s="90">
        <v>0.3527777777777778</v>
      </c>
      <c r="AD101" s="90">
        <v>0.93611111111111101</v>
      </c>
      <c r="AE101" s="90">
        <v>0.35138888888888892</v>
      </c>
      <c r="AF101" s="90">
        <v>0.95694444444444438</v>
      </c>
      <c r="AG101" s="120" t="s">
        <v>15</v>
      </c>
      <c r="AH101" s="120" t="s">
        <v>15</v>
      </c>
      <c r="AJ101" s="123">
        <v>85</v>
      </c>
      <c r="AK101" s="90">
        <v>0.35347222222222219</v>
      </c>
      <c r="AL101" s="90">
        <v>0.9506944444444444</v>
      </c>
      <c r="AM101" s="90">
        <v>0.3520833333333333</v>
      </c>
      <c r="AN101" s="90">
        <v>0.95138888888888884</v>
      </c>
      <c r="AO101" s="90">
        <v>0.35416666666666669</v>
      </c>
      <c r="AP101" s="90">
        <v>0.94444444444444453</v>
      </c>
      <c r="AQ101" s="90">
        <v>0.35486111111111113</v>
      </c>
      <c r="AR101" s="90">
        <v>0.9375</v>
      </c>
      <c r="AS101" s="90">
        <v>0.35347222222222219</v>
      </c>
      <c r="AT101" s="90">
        <v>0.94930555555555562</v>
      </c>
      <c r="AU101" s="90">
        <v>0.35138888888888892</v>
      </c>
      <c r="AV101" s="90">
        <v>0.98541666666666661</v>
      </c>
      <c r="AW101" s="126">
        <v>0.58263888888888882</v>
      </c>
      <c r="AX101" s="126">
        <v>0.9291666666666667</v>
      </c>
      <c r="AY101" s="90">
        <v>0.3527777777777778</v>
      </c>
      <c r="AZ101" s="90">
        <v>0.97638888888888886</v>
      </c>
      <c r="BA101" s="90">
        <v>0.35555555555555557</v>
      </c>
      <c r="BB101" s="90">
        <v>1.9444444444444445E-2</v>
      </c>
      <c r="BC101" s="90">
        <v>0.35416666666666669</v>
      </c>
      <c r="BD101" s="91">
        <v>1</v>
      </c>
      <c r="BE101" s="90">
        <v>0.35347222222222219</v>
      </c>
      <c r="BF101" s="90">
        <v>0.95208333333333339</v>
      </c>
      <c r="BG101" s="120" t="s">
        <v>15</v>
      </c>
      <c r="BH101" s="120" t="s">
        <v>15</v>
      </c>
      <c r="BI101" s="90">
        <v>0.35416666666666669</v>
      </c>
      <c r="BJ101" s="90">
        <v>0.98958333333333337</v>
      </c>
      <c r="BK101" s="120" t="s">
        <v>15</v>
      </c>
      <c r="BL101" s="120" t="s">
        <v>15</v>
      </c>
      <c r="BM101" s="90">
        <v>0.35555555555555557</v>
      </c>
      <c r="BN101" s="90">
        <v>0.94861111111111107</v>
      </c>
      <c r="BO101" s="90">
        <v>0.35347222222222219</v>
      </c>
      <c r="BP101" s="90">
        <v>0.35347222222222219</v>
      </c>
      <c r="BQ101" s="147">
        <f>BS101+BT101+BV101+BW101+CA101+BY101+BZ101+CD101</f>
        <v>31</v>
      </c>
      <c r="BR101" s="81">
        <v>2</v>
      </c>
      <c r="BS101" s="2">
        <f t="shared" ref="BS101:BS102" si="62">COUNT(E101:AH101)/2+COUNT(AK101:BP101)/2</f>
        <v>27</v>
      </c>
      <c r="BT101" s="3">
        <f t="shared" si="52"/>
        <v>4</v>
      </c>
      <c r="BU101" s="3">
        <f t="shared" si="53"/>
        <v>0</v>
      </c>
      <c r="BV101" s="3">
        <f t="shared" si="54"/>
        <v>0</v>
      </c>
      <c r="BW101" s="3">
        <f t="shared" si="55"/>
        <v>0</v>
      </c>
      <c r="BX101" s="3">
        <f t="shared" si="56"/>
        <v>0</v>
      </c>
      <c r="BY101" s="3">
        <f t="shared" si="57"/>
        <v>0</v>
      </c>
      <c r="BZ101" s="3">
        <f t="shared" si="36"/>
        <v>0</v>
      </c>
      <c r="CA101" s="3">
        <f t="shared" si="58"/>
        <v>0</v>
      </c>
      <c r="CB101" s="3">
        <f t="shared" si="59"/>
        <v>0</v>
      </c>
      <c r="CC101" s="3">
        <f t="shared" si="60"/>
        <v>0</v>
      </c>
      <c r="CD101" s="3">
        <f t="shared" si="61"/>
        <v>0</v>
      </c>
      <c r="CE101" s="4"/>
      <c r="CH101" s="58">
        <v>0</v>
      </c>
      <c r="CI101" s="58">
        <v>0</v>
      </c>
      <c r="CJ101" s="58">
        <v>0</v>
      </c>
      <c r="CK101" s="58">
        <v>0</v>
      </c>
      <c r="CL101" s="58">
        <v>0</v>
      </c>
      <c r="CM101" s="58">
        <v>0</v>
      </c>
      <c r="CN101" s="58">
        <v>0</v>
      </c>
      <c r="CO101" s="58">
        <v>0</v>
      </c>
      <c r="CP101" s="58">
        <v>0</v>
      </c>
      <c r="CQ101" s="58">
        <v>0</v>
      </c>
      <c r="CR101" s="60">
        <f>SUM(CH101:CQ101)</f>
        <v>0</v>
      </c>
    </row>
    <row r="102" spans="1:96" ht="22.5" customHeight="1" x14ac:dyDescent="0.25">
      <c r="A102" s="46">
        <v>86</v>
      </c>
      <c r="B102" s="46" t="s">
        <v>278</v>
      </c>
      <c r="C102" s="100" t="s">
        <v>279</v>
      </c>
      <c r="D102" s="112"/>
      <c r="E102" s="174" t="s">
        <v>280</v>
      </c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6"/>
      <c r="AJ102" s="123">
        <v>86</v>
      </c>
      <c r="AK102" s="174" t="s">
        <v>280</v>
      </c>
      <c r="AL102" s="175"/>
      <c r="AM102" s="175"/>
      <c r="AN102" s="175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26">
        <v>0.58124999999999993</v>
      </c>
      <c r="BL102" s="126">
        <v>0.93333333333333324</v>
      </c>
      <c r="BM102" s="90">
        <v>0.35555555555555557</v>
      </c>
      <c r="BN102" s="90">
        <v>0.94861111111111107</v>
      </c>
      <c r="BO102" s="90">
        <v>0.35416666666666669</v>
      </c>
      <c r="BP102" s="90">
        <v>0.97152777777777777</v>
      </c>
      <c r="BQ102" s="147">
        <f>BS102+BT102+BV102+BW102+CA102+BY102+BZ102+CD102</f>
        <v>3</v>
      </c>
      <c r="BR102" s="81">
        <v>1</v>
      </c>
      <c r="BS102" s="2">
        <f t="shared" si="62"/>
        <v>3</v>
      </c>
      <c r="BT102" s="3">
        <f>COUNTIF(E102:BL102,"OFF")/2</f>
        <v>0</v>
      </c>
      <c r="BU102" s="3">
        <f>COUNTIF(E102:BL102,"MC")/2</f>
        <v>0</v>
      </c>
      <c r="BV102" s="3">
        <f>COUNTIF(E102:BL102,"EL")/2</f>
        <v>0</v>
      </c>
      <c r="BW102" s="3">
        <f>COUNTIF(E102:BL102,"AL")/2</f>
        <v>0</v>
      </c>
      <c r="BX102" s="3">
        <f>COUNTIF(E102:BL102,"SUS")/2</f>
        <v>0</v>
      </c>
      <c r="BY102" s="3">
        <f>COUNTIF(E102:BL102,"FL")/2</f>
        <v>0</v>
      </c>
      <c r="BZ102" s="3">
        <f t="shared" si="36"/>
        <v>0</v>
      </c>
      <c r="CA102" s="3">
        <f>COUNTIF(E102:BL102,"HD")/2</f>
        <v>0</v>
      </c>
      <c r="CB102" s="3">
        <f>COUNTIF(E102:BL102,"AB")/2</f>
        <v>0</v>
      </c>
      <c r="CC102" s="3">
        <f>COUNTIF(E102:BL102,"NL")/2</f>
        <v>0</v>
      </c>
      <c r="CD102" s="3">
        <f>COUNTIF(E102:BL102,"SP")/2</f>
        <v>0</v>
      </c>
      <c r="CE102" s="4"/>
      <c r="CH102" s="79">
        <v>0</v>
      </c>
      <c r="CI102" s="79">
        <v>0</v>
      </c>
      <c r="CJ102" s="79">
        <v>0</v>
      </c>
      <c r="CK102" s="79">
        <v>0</v>
      </c>
      <c r="CL102" s="79">
        <v>0</v>
      </c>
      <c r="CM102" s="79">
        <v>0</v>
      </c>
      <c r="CN102" s="79">
        <v>0</v>
      </c>
      <c r="CO102" s="79">
        <v>0</v>
      </c>
      <c r="CP102" s="79">
        <v>0</v>
      </c>
      <c r="CQ102" s="79">
        <v>0</v>
      </c>
      <c r="CR102" s="60">
        <f t="shared" si="50"/>
        <v>0</v>
      </c>
    </row>
    <row r="104" spans="1:96" x14ac:dyDescent="0.25">
      <c r="BR104" s="36" t="s">
        <v>73</v>
      </c>
      <c r="BS104" s="37"/>
      <c r="BT104" s="37"/>
      <c r="BU104" s="38" t="s">
        <v>16</v>
      </c>
      <c r="BV104" s="39"/>
      <c r="BW104" s="44" t="s">
        <v>74</v>
      </c>
      <c r="BX104" s="45"/>
      <c r="BY104" s="45"/>
      <c r="BZ104" s="42"/>
      <c r="CA104" s="43" t="s">
        <v>22</v>
      </c>
    </row>
    <row r="105" spans="1:96" ht="15.75" x14ac:dyDescent="0.25">
      <c r="I105" s="17"/>
      <c r="J105" s="18" t="s">
        <v>63</v>
      </c>
      <c r="K105" s="19"/>
      <c r="L105" s="18"/>
      <c r="M105" s="20"/>
      <c r="P105" s="20"/>
      <c r="Q105" s="21"/>
      <c r="R105" s="22"/>
      <c r="S105" s="22"/>
      <c r="T105" s="23" t="s">
        <v>64</v>
      </c>
      <c r="U105" s="23"/>
      <c r="V105" s="21"/>
      <c r="W105" s="21"/>
      <c r="X105" s="21"/>
      <c r="Y105" s="21"/>
      <c r="Z105" s="21" t="s">
        <v>65</v>
      </c>
      <c r="AA105" s="21"/>
      <c r="AB105" s="21"/>
      <c r="AC105" s="21"/>
      <c r="AD105" s="23" t="s">
        <v>66</v>
      </c>
      <c r="AE105" s="21"/>
      <c r="BR105" s="36" t="s">
        <v>75</v>
      </c>
      <c r="BS105" s="37"/>
      <c r="BT105" s="37"/>
      <c r="BU105" s="38" t="s">
        <v>17</v>
      </c>
      <c r="BV105" s="39"/>
      <c r="BW105" s="44" t="s">
        <v>76</v>
      </c>
      <c r="BX105" s="45"/>
      <c r="BY105" s="45"/>
      <c r="BZ105" s="42"/>
      <c r="CA105" s="43" t="s">
        <v>23</v>
      </c>
    </row>
    <row r="106" spans="1:96" ht="17.25" x14ac:dyDescent="0.25">
      <c r="I106" s="24"/>
      <c r="J106" s="20"/>
      <c r="K106" s="20"/>
      <c r="L106" s="20"/>
      <c r="M106" s="20"/>
      <c r="P106" s="20"/>
      <c r="Q106" s="20"/>
      <c r="R106" s="25"/>
      <c r="S106" s="25"/>
      <c r="T106" s="25"/>
      <c r="U106" s="20"/>
      <c r="V106" s="20"/>
      <c r="W106" s="20"/>
      <c r="X106" s="26"/>
      <c r="Y106" s="26"/>
      <c r="Z106" s="26"/>
      <c r="AA106" s="26"/>
      <c r="AB106" s="26"/>
      <c r="AC106" s="26"/>
      <c r="AD106" s="27"/>
      <c r="AE106" s="27"/>
      <c r="BR106" s="36" t="s">
        <v>77</v>
      </c>
      <c r="BS106" s="37"/>
      <c r="BT106" s="37"/>
      <c r="BU106" s="38" t="s">
        <v>18</v>
      </c>
      <c r="BV106" s="39"/>
      <c r="BW106" s="40" t="s">
        <v>78</v>
      </c>
      <c r="BX106" s="41"/>
      <c r="BY106" s="41"/>
      <c r="BZ106" s="42"/>
      <c r="CA106" s="43" t="s">
        <v>24</v>
      </c>
    </row>
    <row r="107" spans="1:96" ht="17.25" x14ac:dyDescent="0.25">
      <c r="I107" s="24"/>
      <c r="J107" s="28"/>
      <c r="K107" s="20"/>
      <c r="L107" s="28"/>
      <c r="M107" s="20"/>
      <c r="P107" s="20"/>
      <c r="Q107" s="28" t="s">
        <v>65</v>
      </c>
      <c r="R107" s="29"/>
      <c r="S107" s="29"/>
      <c r="T107" s="25"/>
      <c r="U107" s="20"/>
      <c r="V107" s="28"/>
      <c r="W107" s="28"/>
      <c r="X107" s="21"/>
      <c r="Y107" s="20"/>
      <c r="Z107" s="20"/>
      <c r="AA107" s="20"/>
      <c r="AB107" s="20"/>
      <c r="AC107" s="20"/>
      <c r="AD107" s="30"/>
      <c r="AE107" s="30"/>
      <c r="BR107" s="36" t="s">
        <v>79</v>
      </c>
      <c r="BS107" s="37"/>
      <c r="BT107" s="37"/>
      <c r="BU107" s="38" t="s">
        <v>19</v>
      </c>
      <c r="BV107" s="39"/>
      <c r="BW107" s="40" t="s">
        <v>80</v>
      </c>
      <c r="BX107" s="41"/>
      <c r="BY107" s="41"/>
      <c r="BZ107" s="42"/>
      <c r="CA107" s="43" t="s">
        <v>25</v>
      </c>
    </row>
    <row r="108" spans="1:96" ht="17.25" x14ac:dyDescent="0.25">
      <c r="I108" s="31"/>
      <c r="J108" s="28"/>
      <c r="K108" s="20"/>
      <c r="L108" s="28"/>
      <c r="M108" s="20"/>
      <c r="P108" s="20"/>
      <c r="Q108" s="28"/>
      <c r="R108" s="29"/>
      <c r="S108" s="29"/>
      <c r="T108" s="25"/>
      <c r="U108" s="21"/>
      <c r="V108" s="28"/>
      <c r="W108" s="28"/>
      <c r="X108" s="21"/>
      <c r="Y108" s="20"/>
      <c r="Z108" s="20"/>
      <c r="AA108" s="20"/>
      <c r="AB108" s="20"/>
      <c r="AC108" s="20"/>
      <c r="AD108" s="30"/>
      <c r="AE108" s="30"/>
      <c r="BR108" s="36" t="s">
        <v>81</v>
      </c>
      <c r="BS108" s="37"/>
      <c r="BT108" s="37"/>
      <c r="BU108" s="38" t="s">
        <v>20</v>
      </c>
      <c r="BV108" s="39"/>
      <c r="BW108" s="39"/>
      <c r="BX108" s="39"/>
      <c r="BY108" s="39"/>
      <c r="BZ108" s="39"/>
      <c r="CA108" s="39"/>
    </row>
    <row r="109" spans="1:96" ht="17.25" x14ac:dyDescent="0.25">
      <c r="I109" s="32" t="s">
        <v>67</v>
      </c>
      <c r="J109" s="33"/>
      <c r="K109" s="17"/>
      <c r="L109" s="32"/>
      <c r="M109" s="20"/>
      <c r="P109" s="20"/>
      <c r="Q109" s="28"/>
      <c r="R109" s="25"/>
      <c r="S109" s="29"/>
      <c r="T109" s="19" t="s">
        <v>68</v>
      </c>
      <c r="U109" s="20"/>
      <c r="V109" s="28"/>
      <c r="W109" s="21"/>
      <c r="X109" s="20"/>
      <c r="Y109" s="20"/>
      <c r="Z109" s="20"/>
      <c r="AA109" s="20"/>
      <c r="AB109" s="20"/>
      <c r="AC109" s="20"/>
      <c r="AD109" s="19" t="s">
        <v>69</v>
      </c>
      <c r="AE109" s="30"/>
    </row>
    <row r="110" spans="1:96" ht="17.25" x14ac:dyDescent="0.25">
      <c r="I110" s="32"/>
      <c r="J110" s="32" t="s">
        <v>70</v>
      </c>
      <c r="K110" s="31"/>
      <c r="L110" s="31"/>
      <c r="M110" s="20"/>
      <c r="P110" s="20"/>
      <c r="Q110" s="19"/>
      <c r="R110" s="34"/>
      <c r="S110" s="34"/>
      <c r="T110" s="19" t="s">
        <v>71</v>
      </c>
      <c r="U110" s="19"/>
      <c r="V110" s="19"/>
      <c r="W110" s="21"/>
      <c r="X110" s="19"/>
      <c r="Y110" s="20"/>
      <c r="Z110" s="20"/>
      <c r="AA110" s="20"/>
      <c r="AB110" s="20"/>
      <c r="AC110" s="20"/>
      <c r="AD110" s="19" t="s">
        <v>72</v>
      </c>
      <c r="AE110" s="30"/>
      <c r="AJ110" s="78"/>
    </row>
    <row r="111" spans="1:96" x14ac:dyDescent="0.25">
      <c r="AJ111" s="78"/>
    </row>
    <row r="112" spans="1:96" x14ac:dyDescent="0.25">
      <c r="AJ112" s="78"/>
    </row>
    <row r="113" spans="1:96" x14ac:dyDescent="0.25">
      <c r="AJ113" s="78"/>
    </row>
    <row r="117" spans="1:96" x14ac:dyDescent="0.25"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</row>
    <row r="118" spans="1:96" ht="15.75" x14ac:dyDescent="0.25">
      <c r="CH118" s="58">
        <v>0</v>
      </c>
      <c r="CI118" s="58">
        <v>0</v>
      </c>
      <c r="CJ118" s="58">
        <v>0</v>
      </c>
      <c r="CK118" s="58">
        <v>0</v>
      </c>
      <c r="CL118" s="58">
        <v>0</v>
      </c>
      <c r="CM118" s="58">
        <v>0</v>
      </c>
      <c r="CN118" s="58">
        <v>0</v>
      </c>
      <c r="CO118" s="58">
        <v>0</v>
      </c>
      <c r="CP118" s="58">
        <v>0</v>
      </c>
      <c r="CQ118" s="58">
        <v>0</v>
      </c>
      <c r="CR118" s="60">
        <f>SUM(CH118:CQ118)</f>
        <v>0</v>
      </c>
    </row>
    <row r="119" spans="1:96" ht="15.75" x14ac:dyDescent="0.25">
      <c r="CH119" s="58">
        <v>0</v>
      </c>
      <c r="CI119" s="58">
        <v>0</v>
      </c>
      <c r="CJ119" s="58">
        <v>60</v>
      </c>
      <c r="CK119" s="58">
        <v>0</v>
      </c>
      <c r="CL119" s="58">
        <v>0</v>
      </c>
      <c r="CM119" s="58">
        <v>0</v>
      </c>
      <c r="CN119" s="58">
        <v>0</v>
      </c>
      <c r="CO119" s="58">
        <v>0</v>
      </c>
      <c r="CP119" s="58">
        <v>11</v>
      </c>
      <c r="CQ119" s="58">
        <v>0</v>
      </c>
      <c r="CR119" s="60">
        <f>SUM(CH119:CQ119)</f>
        <v>71</v>
      </c>
    </row>
    <row r="120" spans="1:96" ht="15.75" x14ac:dyDescent="0.25">
      <c r="CH120" s="58">
        <v>0</v>
      </c>
      <c r="CI120" s="58">
        <v>0</v>
      </c>
      <c r="CJ120" s="58">
        <v>0</v>
      </c>
      <c r="CK120" s="58">
        <v>0</v>
      </c>
      <c r="CL120" s="58">
        <v>0</v>
      </c>
      <c r="CM120" s="59">
        <v>7</v>
      </c>
      <c r="CN120" s="59">
        <v>0</v>
      </c>
      <c r="CO120" s="59">
        <v>0</v>
      </c>
      <c r="CP120" s="58">
        <v>0</v>
      </c>
      <c r="CQ120" s="58">
        <v>0</v>
      </c>
      <c r="CR120" s="60">
        <f>SUM(CH120:CQ120)</f>
        <v>7</v>
      </c>
    </row>
    <row r="123" spans="1:96" ht="15.75" x14ac:dyDescent="0.25">
      <c r="CH123" s="58">
        <v>0</v>
      </c>
      <c r="CI123" s="58">
        <v>0</v>
      </c>
      <c r="CJ123" s="58">
        <v>0</v>
      </c>
      <c r="CK123" s="58">
        <v>0</v>
      </c>
      <c r="CL123" s="58">
        <v>0</v>
      </c>
      <c r="CM123" s="58">
        <v>0</v>
      </c>
      <c r="CN123" s="59">
        <v>0</v>
      </c>
      <c r="CO123" s="59">
        <v>0</v>
      </c>
      <c r="CP123" s="58">
        <v>0</v>
      </c>
      <c r="CQ123" s="58">
        <v>0</v>
      </c>
      <c r="CR123" s="60">
        <f t="shared" ref="CR123:CR129" si="63">SUM(CH123:CQ123)</f>
        <v>0</v>
      </c>
    </row>
    <row r="124" spans="1:96" ht="15.75" x14ac:dyDescent="0.25">
      <c r="CH124" s="58">
        <v>0</v>
      </c>
      <c r="CI124" s="58">
        <v>0</v>
      </c>
      <c r="CJ124" s="58">
        <v>0</v>
      </c>
      <c r="CK124" s="58">
        <v>0</v>
      </c>
      <c r="CL124" s="58">
        <v>0</v>
      </c>
      <c r="CM124" s="58">
        <v>1</v>
      </c>
      <c r="CN124" s="58">
        <v>0</v>
      </c>
      <c r="CO124" s="58">
        <v>0</v>
      </c>
      <c r="CP124" s="58">
        <v>0</v>
      </c>
      <c r="CQ124" s="58">
        <v>0</v>
      </c>
      <c r="CR124" s="60">
        <f t="shared" si="63"/>
        <v>1</v>
      </c>
    </row>
    <row r="125" spans="1:96" ht="24.75" customHeight="1" x14ac:dyDescent="0.25">
      <c r="CH125" s="58">
        <v>0</v>
      </c>
      <c r="CI125" s="58">
        <v>0</v>
      </c>
      <c r="CJ125" s="58">
        <v>0</v>
      </c>
      <c r="CK125" s="59">
        <v>2</v>
      </c>
      <c r="CL125" s="58">
        <v>0</v>
      </c>
      <c r="CM125" s="58">
        <v>0</v>
      </c>
      <c r="CN125" s="58">
        <v>0</v>
      </c>
      <c r="CO125" s="58">
        <v>0</v>
      </c>
      <c r="CP125" s="60">
        <f>SUM(CG126:CO126)</f>
        <v>1</v>
      </c>
    </row>
    <row r="126" spans="1:96" ht="21" customHeight="1" thickBot="1" x14ac:dyDescent="0.3">
      <c r="A126" s="11">
        <v>19</v>
      </c>
      <c r="B126" s="12" t="s">
        <v>224</v>
      </c>
      <c r="C126" s="98" t="s">
        <v>59</v>
      </c>
      <c r="D126" s="112">
        <v>45657</v>
      </c>
      <c r="E126" s="90">
        <v>0.3527777777777778</v>
      </c>
      <c r="F126" s="90">
        <v>0.95833333333333337</v>
      </c>
      <c r="G126" s="90">
        <v>0.35416666666666669</v>
      </c>
      <c r="H126" s="91">
        <v>1</v>
      </c>
      <c r="I126" s="94">
        <v>0.57430555555555551</v>
      </c>
      <c r="J126" s="95">
        <v>1</v>
      </c>
      <c r="K126" s="90">
        <v>0.34722222222222227</v>
      </c>
      <c r="L126" s="91">
        <v>1</v>
      </c>
      <c r="M126" s="90">
        <v>0.34930555555555554</v>
      </c>
      <c r="N126" s="91">
        <v>1</v>
      </c>
      <c r="O126" s="90">
        <v>0.35138888888888892</v>
      </c>
      <c r="P126" s="91">
        <v>1</v>
      </c>
      <c r="Q126" s="90">
        <v>0.35416666666666669</v>
      </c>
      <c r="R126" s="90">
        <v>0.35416666666666669</v>
      </c>
      <c r="S126" s="90"/>
      <c r="T126" s="90"/>
      <c r="U126" s="90"/>
      <c r="V126" s="90"/>
      <c r="W126" s="90"/>
      <c r="X126" s="90"/>
      <c r="Y126" s="96"/>
      <c r="Z126" s="96"/>
      <c r="AA126" s="90"/>
      <c r="AB126" s="91"/>
      <c r="AC126" s="94"/>
      <c r="AD126" s="94"/>
      <c r="AE126" s="90"/>
      <c r="AF126" s="90"/>
      <c r="AG126" s="90"/>
      <c r="AH126" s="82"/>
      <c r="AI126" s="89"/>
      <c r="AJ126" s="11">
        <v>19</v>
      </c>
      <c r="AK126" s="90"/>
      <c r="AL126" s="82"/>
      <c r="AM126" s="90"/>
      <c r="AN126" s="90"/>
      <c r="AO126" s="90"/>
      <c r="AP126" s="82"/>
      <c r="AQ126" s="90"/>
      <c r="AR126" s="82"/>
      <c r="AS126" s="95"/>
      <c r="AT126" s="106"/>
      <c r="AU126" s="90"/>
      <c r="AV126" s="82"/>
      <c r="AW126" s="90"/>
      <c r="AX126" s="82"/>
      <c r="AY126" s="90"/>
      <c r="AZ126" s="82"/>
      <c r="BA126" s="90"/>
      <c r="BB126" s="82"/>
      <c r="BC126" s="90"/>
      <c r="BD126" s="82"/>
      <c r="BE126" s="90"/>
      <c r="BF126" s="90"/>
      <c r="BG126" s="95"/>
      <c r="BH126" s="106"/>
      <c r="BI126" s="75"/>
      <c r="BJ126" s="75"/>
      <c r="BK126" s="75"/>
      <c r="BL126" s="75"/>
      <c r="BM126" s="75"/>
      <c r="BN126" s="75"/>
      <c r="BO126" s="10">
        <f t="shared" ref="BO126" si="64">BQ126+BR126+BT126+BU126+BY126+BW126+BX126+CB126</f>
        <v>7</v>
      </c>
      <c r="BP126" s="81"/>
      <c r="BQ126" s="2">
        <f>COUNT(E126:AH126)/2+COUNT(AK126:BN126)/2</f>
        <v>7</v>
      </c>
      <c r="BR126" s="3">
        <f t="shared" ref="BR126" si="65">COUNTIF(E126:BN126,"OFF")/2</f>
        <v>0</v>
      </c>
      <c r="BS126" s="3">
        <f t="shared" ref="BS126" si="66">COUNTIF(E126:BN126,"MC")/2</f>
        <v>0</v>
      </c>
      <c r="BT126" s="3">
        <f t="shared" ref="BT126" si="67">COUNTIF(E126:BN126,"EL")/2</f>
        <v>0</v>
      </c>
      <c r="BU126" s="3">
        <f t="shared" ref="BU126" si="68">COUNTIF(E126:BN126,"AL")/2</f>
        <v>0</v>
      </c>
      <c r="BV126" s="3">
        <f t="shared" ref="BV126" si="69">COUNTIF(E126:BN126,"SUS")/2</f>
        <v>0</v>
      </c>
      <c r="BW126" s="3">
        <f t="shared" ref="BW126" si="70">COUNTIF(E126:BN126,"FL")/2</f>
        <v>0</v>
      </c>
      <c r="BX126" s="3">
        <f t="shared" ref="BX126" si="71">COUNTIF(E126:BN126,"SICK")/2</f>
        <v>0</v>
      </c>
      <c r="BY126" s="3">
        <f t="shared" ref="BY126" si="72">COUNTIF(E126:BN126,"HD")/2</f>
        <v>0</v>
      </c>
      <c r="BZ126" s="3">
        <f t="shared" ref="BZ126" si="73">COUNTIF(E126:BN126,"AB")/2</f>
        <v>0</v>
      </c>
      <c r="CA126" s="3">
        <f t="shared" ref="CA126" si="74">COUNTIF(E126:BN126,"NL")/2</f>
        <v>0</v>
      </c>
      <c r="CB126" s="3">
        <f t="shared" ref="CB126" si="75">COUNTIF(E126:BN126,"SP")/2</f>
        <v>0</v>
      </c>
      <c r="CC126" s="85"/>
      <c r="CG126" s="58">
        <v>0</v>
      </c>
      <c r="CH126" s="58">
        <v>0</v>
      </c>
      <c r="CI126" s="58">
        <v>0</v>
      </c>
      <c r="CJ126" s="58">
        <v>0</v>
      </c>
      <c r="CK126" s="58">
        <v>0</v>
      </c>
      <c r="CL126" s="58">
        <v>0</v>
      </c>
      <c r="CM126" s="59">
        <v>1</v>
      </c>
      <c r="CN126" s="58">
        <v>0</v>
      </c>
      <c r="CO126" s="58">
        <v>0</v>
      </c>
      <c r="CP126" s="58">
        <v>0</v>
      </c>
      <c r="CQ126" s="58">
        <v>0</v>
      </c>
      <c r="CR126" s="60">
        <f t="shared" si="63"/>
        <v>1</v>
      </c>
    </row>
    <row r="127" spans="1:96" ht="21.75" customHeight="1" thickBot="1" x14ac:dyDescent="0.3">
      <c r="A127" s="46">
        <v>29</v>
      </c>
      <c r="B127" s="12" t="s">
        <v>88</v>
      </c>
      <c r="C127" s="98" t="s">
        <v>89</v>
      </c>
      <c r="D127" s="98"/>
      <c r="E127" s="75">
        <v>0.37361111111111112</v>
      </c>
      <c r="F127" s="75">
        <v>4.4444444444444446E-2</v>
      </c>
      <c r="G127" s="75">
        <v>0.375</v>
      </c>
      <c r="H127" s="75">
        <v>4.2361111111111106E-2</v>
      </c>
      <c r="I127" s="75">
        <v>0.3743055555555555</v>
      </c>
      <c r="J127" s="75">
        <v>4.9999999999999996E-2</v>
      </c>
      <c r="K127" s="75">
        <v>0.37361111111111112</v>
      </c>
      <c r="L127" s="75">
        <v>5.0694444444444452E-2</v>
      </c>
      <c r="M127" s="75">
        <v>0.37708333333333338</v>
      </c>
      <c r="N127" s="75">
        <v>4.9999999999999996E-2</v>
      </c>
      <c r="O127" s="77">
        <v>0.58194444444444449</v>
      </c>
      <c r="P127" s="77">
        <v>4.3055555555555562E-2</v>
      </c>
      <c r="Q127" s="75">
        <v>0.3756944444444445</v>
      </c>
      <c r="R127" s="75">
        <v>3.888888888888889E-2</v>
      </c>
      <c r="S127" s="75">
        <v>0.3743055555555555</v>
      </c>
      <c r="T127" s="75">
        <v>5.347222222222222E-2</v>
      </c>
      <c r="U127" s="75">
        <v>0.375</v>
      </c>
      <c r="V127" s="75">
        <v>0.375</v>
      </c>
      <c r="W127" s="75">
        <v>0.41250000000000003</v>
      </c>
      <c r="X127" s="75">
        <v>4.5138888888888888E-2</v>
      </c>
      <c r="Y127" s="75">
        <v>0.3743055555555555</v>
      </c>
      <c r="Z127" s="82">
        <v>1</v>
      </c>
      <c r="AA127" s="75">
        <v>0.375</v>
      </c>
      <c r="AB127" s="75">
        <v>2.6388888888888889E-2</v>
      </c>
      <c r="AC127" s="77">
        <v>0.58263888888888882</v>
      </c>
      <c r="AD127" s="77">
        <v>3.7499999999999999E-2</v>
      </c>
      <c r="AE127" s="75">
        <v>0.37847222222222227</v>
      </c>
      <c r="AF127" s="75">
        <v>3.4722222222222224E-2</v>
      </c>
      <c r="AG127" s="75">
        <v>0.375</v>
      </c>
      <c r="AH127" s="75">
        <v>3.7499999999999999E-2</v>
      </c>
      <c r="AI127" s="93"/>
      <c r="AJ127" s="11"/>
      <c r="AK127" s="75">
        <v>0.3756944444444445</v>
      </c>
      <c r="AL127" s="75">
        <v>3.2638888888888891E-2</v>
      </c>
      <c r="AM127" s="75">
        <v>0.37777777777777777</v>
      </c>
      <c r="AN127" s="75">
        <v>3.3333333333333333E-2</v>
      </c>
      <c r="AO127" s="75">
        <v>0.38055555555555554</v>
      </c>
      <c r="AP127" s="75">
        <v>5.486111111111111E-2</v>
      </c>
      <c r="AQ127" s="75">
        <v>0.37638888888888888</v>
      </c>
      <c r="AR127" s="75">
        <v>3.472222222222222E-3</v>
      </c>
      <c r="AS127" s="95" t="s">
        <v>15</v>
      </c>
      <c r="AT127" s="106" t="s">
        <v>15</v>
      </c>
      <c r="AU127" s="90">
        <v>0.3444444444444445</v>
      </c>
      <c r="AV127" s="90">
        <v>0.96250000000000002</v>
      </c>
      <c r="AW127" s="90">
        <v>0.35069444444444442</v>
      </c>
      <c r="AX127" s="90">
        <v>0.96736111111111101</v>
      </c>
      <c r="AY127" s="90">
        <v>0.34791666666666665</v>
      </c>
      <c r="AZ127" s="90">
        <v>0.94930555555555562</v>
      </c>
      <c r="BA127" s="90">
        <v>0.34930555555555554</v>
      </c>
      <c r="BB127" s="90">
        <v>0.97152777777777777</v>
      </c>
      <c r="BC127" s="90">
        <v>0.35416666666666669</v>
      </c>
      <c r="BD127" s="90">
        <v>0.96805555555555556</v>
      </c>
      <c r="BE127" s="90">
        <v>0.35069444444444442</v>
      </c>
      <c r="BF127" s="90">
        <v>0.97083333333333333</v>
      </c>
      <c r="BG127" s="90"/>
      <c r="BH127" s="90"/>
      <c r="BI127" s="105"/>
      <c r="BJ127" s="97"/>
      <c r="BQ127" s="10"/>
      <c r="BR127" s="81"/>
      <c r="BS127" s="2">
        <f>COUNT(E127:AD127)/2+COUNT(AG127:BP127)/2</f>
        <v>24</v>
      </c>
      <c r="BT127" s="3">
        <f t="shared" ref="BT127:BT142" si="76">COUNTIF(E127:BP127,"OFF")/2</f>
        <v>1</v>
      </c>
      <c r="BU127" s="3">
        <f t="shared" ref="BU127:BU142" si="77">COUNTIF(E127:BP127,"MC")/2</f>
        <v>0</v>
      </c>
      <c r="BV127" s="3">
        <f t="shared" ref="BV127:BV142" si="78">COUNTIF(E127:BP127,"EL")/2</f>
        <v>0</v>
      </c>
      <c r="BW127" s="3">
        <f t="shared" ref="BW127:BW142" si="79">COUNTIF(E127:BP127,"AL")/2</f>
        <v>0</v>
      </c>
      <c r="BX127" s="3">
        <f t="shared" ref="BX127:BX142" si="80">COUNTIF(E127:BP127,"SUS")/2</f>
        <v>0</v>
      </c>
      <c r="BY127" s="3">
        <f t="shared" ref="BY127:BY142" si="81">COUNTIF(E127:BP127,"FL")/2</f>
        <v>0</v>
      </c>
      <c r="BZ127" s="3">
        <f t="shared" ref="BZ127:BZ142" si="82">COUNTIF(E127:BP127,"SICK")/2</f>
        <v>0</v>
      </c>
      <c r="CA127" s="3">
        <f t="shared" ref="CA127:CA142" si="83">COUNTIF(E127:BP127,"HD")/2</f>
        <v>0</v>
      </c>
      <c r="CB127" s="3">
        <f t="shared" ref="CB127:CB142" si="84">COUNTIF(E127:BP127,"AB")/2</f>
        <v>0</v>
      </c>
      <c r="CC127" s="3">
        <f t="shared" ref="CC127:CC142" si="85">COUNTIF(E127:BP127,"NL")/2</f>
        <v>0</v>
      </c>
      <c r="CD127" s="3">
        <f t="shared" ref="CD127:CD142" si="86">COUNTIF(E127:BP127,"SP")/2</f>
        <v>0</v>
      </c>
      <c r="CE127" s="4"/>
      <c r="CH127" s="58">
        <v>0</v>
      </c>
      <c r="CI127" s="58">
        <v>0</v>
      </c>
      <c r="CJ127" s="58">
        <v>0</v>
      </c>
      <c r="CK127" s="58">
        <v>0</v>
      </c>
      <c r="CL127" s="58">
        <v>0</v>
      </c>
      <c r="CM127" s="58">
        <v>0</v>
      </c>
      <c r="CN127" s="58">
        <v>0</v>
      </c>
      <c r="CO127" s="58">
        <v>0</v>
      </c>
      <c r="CP127" s="58">
        <v>0</v>
      </c>
      <c r="CQ127" s="58">
        <v>0</v>
      </c>
      <c r="CR127" s="60">
        <f t="shared" si="63"/>
        <v>0</v>
      </c>
    </row>
    <row r="128" spans="1:96" ht="21.75" customHeight="1" x14ac:dyDescent="0.25">
      <c r="A128" s="46">
        <v>37</v>
      </c>
      <c r="B128" s="12" t="s">
        <v>102</v>
      </c>
      <c r="C128" s="98" t="s">
        <v>103</v>
      </c>
      <c r="D128" s="98"/>
      <c r="E128" s="75">
        <v>0.37222222222222223</v>
      </c>
      <c r="F128" s="75">
        <v>5.9722222222222225E-2</v>
      </c>
      <c r="G128" s="75">
        <v>0.37222222222222223</v>
      </c>
      <c r="H128" s="75">
        <v>4.3750000000000004E-2</v>
      </c>
      <c r="I128" s="75">
        <v>0.37152777777777773</v>
      </c>
      <c r="J128" s="75">
        <v>4.4444444444444446E-2</v>
      </c>
      <c r="K128" s="75">
        <v>0.37222222222222223</v>
      </c>
      <c r="L128" s="75">
        <v>0.85138888888888886</v>
      </c>
      <c r="M128" s="75">
        <v>0.37291666666666662</v>
      </c>
      <c r="N128" s="75">
        <v>3.3333333333333333E-2</v>
      </c>
      <c r="O128" s="77">
        <v>0.5756944444444444</v>
      </c>
      <c r="P128" s="77">
        <v>3.4722222222222224E-2</v>
      </c>
      <c r="Q128" s="75">
        <v>0.37291666666666662</v>
      </c>
      <c r="R128" s="75">
        <v>4.0972222222222222E-2</v>
      </c>
      <c r="S128" s="75">
        <v>0.37361111111111112</v>
      </c>
      <c r="T128" s="75">
        <v>4.6527777777777779E-2</v>
      </c>
      <c r="U128" s="75">
        <v>0.37222222222222223</v>
      </c>
      <c r="V128" s="75">
        <v>0.84930555555555554</v>
      </c>
      <c r="W128" s="75">
        <v>0.37152777777777773</v>
      </c>
      <c r="X128" s="75">
        <v>3.3333333333333333E-2</v>
      </c>
      <c r="Y128" s="75">
        <v>0.37222222222222223</v>
      </c>
      <c r="Z128" s="75">
        <v>3.125E-2</v>
      </c>
      <c r="AA128" s="75">
        <v>0.37291666666666662</v>
      </c>
      <c r="AB128" s="75">
        <v>0.99097222222222225</v>
      </c>
      <c r="AC128" s="77">
        <v>0.5756944444444444</v>
      </c>
      <c r="AD128" s="77">
        <v>4.6527777777777779E-2</v>
      </c>
      <c r="AE128" s="75">
        <v>0.37222222222222223</v>
      </c>
      <c r="AF128" s="82">
        <v>1</v>
      </c>
      <c r="AG128" s="75">
        <v>0.37291666666666662</v>
      </c>
      <c r="AH128" s="75">
        <v>3.6805555555555557E-2</v>
      </c>
      <c r="AI128" s="93"/>
      <c r="AJ128" s="11"/>
      <c r="AK128" s="75">
        <v>0.37152777777777773</v>
      </c>
      <c r="AL128" s="75">
        <v>5.2083333333333336E-2</v>
      </c>
      <c r="AM128" s="75">
        <v>0.37152777777777773</v>
      </c>
      <c r="AN128" s="75">
        <v>5.5555555555555552E-2</v>
      </c>
      <c r="AO128" s="75">
        <v>0.37222222222222223</v>
      </c>
      <c r="AP128" s="75">
        <v>4.7222222222222221E-2</v>
      </c>
      <c r="AQ128" s="75">
        <v>0.3756944444444445</v>
      </c>
      <c r="AR128" s="75">
        <v>0.98611111111111116</v>
      </c>
      <c r="AS128" s="95" t="s">
        <v>15</v>
      </c>
      <c r="AT128" s="106" t="s">
        <v>15</v>
      </c>
      <c r="AU128" s="90">
        <v>0.34861111111111115</v>
      </c>
      <c r="AV128" s="91">
        <v>1</v>
      </c>
      <c r="AW128" s="90">
        <v>0.35069444444444442</v>
      </c>
      <c r="AX128" s="90">
        <v>0.93958333333333333</v>
      </c>
      <c r="AY128" s="90">
        <v>0.35069444444444442</v>
      </c>
      <c r="AZ128" s="90">
        <v>0.9868055555555556</v>
      </c>
      <c r="BA128" s="90">
        <v>0.35069444444444442</v>
      </c>
      <c r="BB128" s="90">
        <v>0.96180555555555547</v>
      </c>
      <c r="BC128" s="90">
        <v>0.3520833333333333</v>
      </c>
      <c r="BD128" s="90">
        <v>0.97222222222222221</v>
      </c>
      <c r="BE128" s="90">
        <v>0.34930555555555554</v>
      </c>
      <c r="BF128" s="90">
        <v>0.9472222222222223</v>
      </c>
      <c r="BG128" s="94">
        <v>0.57777777777777783</v>
      </c>
      <c r="BH128" s="107">
        <v>0.88124999999999998</v>
      </c>
      <c r="BI128" s="75">
        <v>0.35000000000000003</v>
      </c>
      <c r="BJ128" s="75">
        <v>0.93402777777777779</v>
      </c>
      <c r="BK128" s="75">
        <v>0.34930555555555554</v>
      </c>
      <c r="BL128" s="75">
        <v>0.92291666666666661</v>
      </c>
      <c r="BM128" s="96"/>
      <c r="BN128" s="96"/>
      <c r="BO128" s="96"/>
      <c r="BP128" s="96"/>
      <c r="BQ128" s="10"/>
      <c r="BR128" s="81">
        <v>3</v>
      </c>
      <c r="BS128" s="2">
        <f>COUNT(E128:AD128)/2+COUNT(AG128:BP128)/2</f>
        <v>27</v>
      </c>
      <c r="BT128" s="3">
        <f t="shared" si="76"/>
        <v>1</v>
      </c>
      <c r="BU128" s="3">
        <f t="shared" si="77"/>
        <v>0</v>
      </c>
      <c r="BV128" s="3">
        <f t="shared" si="78"/>
        <v>0</v>
      </c>
      <c r="BW128" s="3">
        <f t="shared" si="79"/>
        <v>0</v>
      </c>
      <c r="BX128" s="3">
        <f t="shared" si="80"/>
        <v>0</v>
      </c>
      <c r="BY128" s="3">
        <f t="shared" si="81"/>
        <v>0</v>
      </c>
      <c r="BZ128" s="3">
        <f t="shared" si="82"/>
        <v>0</v>
      </c>
      <c r="CA128" s="3">
        <f t="shared" si="83"/>
        <v>0</v>
      </c>
      <c r="CB128" s="3">
        <f t="shared" si="84"/>
        <v>0</v>
      </c>
      <c r="CC128" s="3">
        <f t="shared" si="85"/>
        <v>0</v>
      </c>
      <c r="CD128" s="3">
        <f t="shared" si="86"/>
        <v>0</v>
      </c>
      <c r="CE128" s="4"/>
      <c r="CH128" s="58">
        <v>0</v>
      </c>
      <c r="CI128" s="58">
        <v>0</v>
      </c>
      <c r="CJ128" s="58">
        <v>0</v>
      </c>
      <c r="CK128" s="58">
        <v>0</v>
      </c>
      <c r="CL128" s="58">
        <v>0</v>
      </c>
      <c r="CM128" s="58">
        <v>0</v>
      </c>
      <c r="CN128" s="58">
        <v>0</v>
      </c>
      <c r="CO128" s="58">
        <v>0</v>
      </c>
      <c r="CP128" s="58">
        <v>0</v>
      </c>
      <c r="CQ128" s="58">
        <v>0</v>
      </c>
      <c r="CR128" s="60">
        <f t="shared" si="63"/>
        <v>0</v>
      </c>
    </row>
    <row r="129" spans="1:96" ht="21.75" customHeight="1" x14ac:dyDescent="0.25">
      <c r="A129" s="46">
        <v>44</v>
      </c>
      <c r="B129" s="12" t="s">
        <v>115</v>
      </c>
      <c r="C129" s="98" t="s">
        <v>190</v>
      </c>
      <c r="D129" s="98"/>
      <c r="E129" s="75">
        <v>0.34722222222222227</v>
      </c>
      <c r="F129" s="75">
        <v>0.96597222222222223</v>
      </c>
      <c r="G129" s="75">
        <v>0.35416666666666669</v>
      </c>
      <c r="H129" s="76">
        <v>1</v>
      </c>
      <c r="I129" s="76">
        <v>1</v>
      </c>
      <c r="J129" s="76">
        <v>1</v>
      </c>
      <c r="K129" s="76">
        <v>1</v>
      </c>
      <c r="L129" s="76">
        <v>1</v>
      </c>
      <c r="M129" s="76" t="s">
        <v>18</v>
      </c>
      <c r="N129" s="76" t="s">
        <v>18</v>
      </c>
      <c r="O129" s="77"/>
      <c r="P129" s="77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7"/>
      <c r="AD129" s="77"/>
      <c r="AE129" s="75"/>
      <c r="AF129" s="75"/>
      <c r="AG129" s="75"/>
      <c r="AH129" s="75"/>
      <c r="AI129" s="89"/>
      <c r="AJ129" s="46">
        <v>44</v>
      </c>
      <c r="AK129" s="75"/>
      <c r="AL129" s="75"/>
      <c r="AM129" s="75"/>
      <c r="AN129" s="75"/>
      <c r="AO129" s="75"/>
      <c r="AP129" s="75"/>
      <c r="AQ129" s="75"/>
      <c r="AR129" s="75"/>
      <c r="AS129" s="95"/>
      <c r="AT129" s="106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4"/>
      <c r="BH129" s="107"/>
      <c r="BI129" s="75"/>
      <c r="BJ129" s="75"/>
      <c r="BK129" s="75"/>
      <c r="BL129" s="91"/>
      <c r="BM129" s="90"/>
      <c r="BN129" s="90"/>
      <c r="BO129" s="90"/>
      <c r="BP129" s="90"/>
      <c r="BQ129" s="10">
        <f t="shared" ref="BQ129:BQ132" si="87">BS129+BT129+BV129+BW129+CA129+BY129+BZ129+CD129</f>
        <v>5</v>
      </c>
      <c r="BR129" s="81">
        <v>3</v>
      </c>
      <c r="BS129" s="2">
        <f>COUNT(E129:AH129)/2+COUNT(AK129:BP129)/2</f>
        <v>4</v>
      </c>
      <c r="BT129" s="3">
        <f t="shared" si="76"/>
        <v>0</v>
      </c>
      <c r="BU129" s="3">
        <f t="shared" si="77"/>
        <v>0</v>
      </c>
      <c r="BV129" s="3">
        <f t="shared" si="78"/>
        <v>0</v>
      </c>
      <c r="BW129" s="3">
        <f t="shared" si="79"/>
        <v>1</v>
      </c>
      <c r="BX129" s="3">
        <f t="shared" si="80"/>
        <v>0</v>
      </c>
      <c r="BY129" s="3">
        <f t="shared" si="81"/>
        <v>0</v>
      </c>
      <c r="BZ129" s="3">
        <f t="shared" si="82"/>
        <v>0</v>
      </c>
      <c r="CA129" s="3">
        <f t="shared" si="83"/>
        <v>0</v>
      </c>
      <c r="CB129" s="3">
        <f t="shared" si="84"/>
        <v>0</v>
      </c>
      <c r="CC129" s="3">
        <f t="shared" si="85"/>
        <v>0</v>
      </c>
      <c r="CD129" s="3">
        <f t="shared" si="86"/>
        <v>0</v>
      </c>
      <c r="CE129" s="4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60">
        <f t="shared" si="63"/>
        <v>0</v>
      </c>
    </row>
    <row r="130" spans="1:96" ht="21" customHeight="1" x14ac:dyDescent="0.25">
      <c r="A130" s="11">
        <v>18</v>
      </c>
      <c r="B130" s="12" t="s">
        <v>57</v>
      </c>
      <c r="C130" s="98" t="s">
        <v>58</v>
      </c>
      <c r="D130" s="110">
        <v>42640</v>
      </c>
      <c r="E130" s="90">
        <v>0.35555555555555557</v>
      </c>
      <c r="F130" s="91">
        <v>1</v>
      </c>
      <c r="G130" s="90">
        <v>0.35555555555555557</v>
      </c>
      <c r="H130" s="91">
        <v>1</v>
      </c>
      <c r="I130" s="95" t="s">
        <v>15</v>
      </c>
      <c r="J130" s="95" t="s">
        <v>15</v>
      </c>
      <c r="K130" s="90">
        <v>0.3576388888888889</v>
      </c>
      <c r="L130" s="91">
        <v>1</v>
      </c>
      <c r="M130" s="90">
        <v>0.35625000000000001</v>
      </c>
      <c r="N130" s="91">
        <v>1</v>
      </c>
      <c r="O130" s="90">
        <v>0.35694444444444445</v>
      </c>
      <c r="P130" s="90">
        <v>1</v>
      </c>
      <c r="Q130" s="90">
        <v>0.35347222222222219</v>
      </c>
      <c r="R130" s="90">
        <v>1</v>
      </c>
      <c r="S130" s="90">
        <v>0.35833333333333334</v>
      </c>
      <c r="T130" s="90">
        <v>1</v>
      </c>
      <c r="U130" s="90">
        <v>0.3444444444444445</v>
      </c>
      <c r="V130" s="90"/>
      <c r="W130" s="90">
        <v>0.58124999999999993</v>
      </c>
      <c r="X130" s="90">
        <v>0.95972222222222225</v>
      </c>
      <c r="Y130" s="90"/>
      <c r="Z130" s="91"/>
      <c r="AA130" s="90"/>
      <c r="AB130" s="91"/>
      <c r="AC130" s="94"/>
      <c r="AD130" s="95"/>
      <c r="AE130" s="90"/>
      <c r="AF130" s="90"/>
      <c r="AG130" s="90"/>
      <c r="AH130" s="82"/>
      <c r="AI130" s="96"/>
      <c r="AJ130" s="11">
        <v>18</v>
      </c>
      <c r="AK130" s="90"/>
      <c r="AL130" s="82"/>
      <c r="AM130" s="90"/>
      <c r="AN130" s="82"/>
      <c r="AO130" s="90"/>
      <c r="AP130" s="82"/>
      <c r="AQ130" s="90"/>
      <c r="AR130" s="82"/>
      <c r="AS130" s="95"/>
      <c r="AT130" s="106"/>
      <c r="AU130" s="90"/>
      <c r="AV130" s="82"/>
      <c r="AW130" s="90"/>
      <c r="AX130" s="82"/>
      <c r="AY130" s="90"/>
      <c r="AZ130" s="82"/>
      <c r="BA130" s="90"/>
      <c r="BB130" s="82"/>
      <c r="BC130" s="90"/>
      <c r="BD130" s="82"/>
      <c r="BE130" s="90"/>
      <c r="BF130" s="91"/>
      <c r="BG130" s="94"/>
      <c r="BH130" s="106"/>
      <c r="BI130" s="75"/>
      <c r="BJ130" s="91"/>
      <c r="BK130" s="75"/>
      <c r="BL130" s="91"/>
      <c r="BM130" s="75"/>
      <c r="BN130" s="75"/>
      <c r="BO130" s="75"/>
      <c r="BP130" s="75"/>
      <c r="BQ130" s="10">
        <f t="shared" si="87"/>
        <v>9.5</v>
      </c>
      <c r="BR130" s="81"/>
      <c r="BS130" s="2">
        <f>COUNT(E130:AH130)/2+COUNT(AK130:BP130)/2</f>
        <v>8.5</v>
      </c>
      <c r="BT130" s="3">
        <f t="shared" si="76"/>
        <v>1</v>
      </c>
      <c r="BU130" s="3">
        <f t="shared" si="77"/>
        <v>0</v>
      </c>
      <c r="BV130" s="3">
        <f t="shared" si="78"/>
        <v>0</v>
      </c>
      <c r="BW130" s="3">
        <f t="shared" si="79"/>
        <v>0</v>
      </c>
      <c r="BX130" s="3">
        <f t="shared" si="80"/>
        <v>0</v>
      </c>
      <c r="BY130" s="3">
        <f t="shared" si="81"/>
        <v>0</v>
      </c>
      <c r="BZ130" s="3">
        <f t="shared" si="82"/>
        <v>0</v>
      </c>
      <c r="CA130" s="3">
        <f t="shared" si="83"/>
        <v>0</v>
      </c>
      <c r="CB130" s="3">
        <f t="shared" si="84"/>
        <v>0</v>
      </c>
      <c r="CC130" s="3">
        <f t="shared" si="85"/>
        <v>0</v>
      </c>
      <c r="CD130" s="3">
        <f t="shared" si="86"/>
        <v>0</v>
      </c>
      <c r="CE130" s="85"/>
    </row>
    <row r="131" spans="1:96" ht="21.75" customHeight="1" x14ac:dyDescent="0.25">
      <c r="A131" s="46">
        <v>64</v>
      </c>
      <c r="B131" s="12" t="s">
        <v>143</v>
      </c>
      <c r="C131" s="98" t="s">
        <v>144</v>
      </c>
      <c r="D131" s="112">
        <v>45644</v>
      </c>
      <c r="E131" s="90">
        <v>0.35416666666666669</v>
      </c>
      <c r="F131" s="90">
        <v>0.9145833333333333</v>
      </c>
      <c r="G131" s="90">
        <v>0.35416666666666669</v>
      </c>
      <c r="H131" s="90">
        <v>0.91666666666666663</v>
      </c>
      <c r="I131" s="95" t="s">
        <v>15</v>
      </c>
      <c r="J131" s="95" t="s">
        <v>15</v>
      </c>
      <c r="K131" s="90">
        <v>0.35416666666666669</v>
      </c>
      <c r="L131" s="90">
        <v>0.90625</v>
      </c>
      <c r="M131" s="90">
        <v>0.35416666666666669</v>
      </c>
      <c r="N131" s="90">
        <v>0.92847222222222225</v>
      </c>
      <c r="O131" s="90">
        <v>0.35347222222222219</v>
      </c>
      <c r="P131" s="90">
        <v>0.90694444444444444</v>
      </c>
      <c r="Q131" s="90">
        <v>0.3527777777777778</v>
      </c>
      <c r="R131" s="90">
        <v>0.8979166666666667</v>
      </c>
      <c r="S131" s="90">
        <v>0.35416666666666669</v>
      </c>
      <c r="T131" s="90">
        <v>0.8965277777777777</v>
      </c>
      <c r="U131" s="90">
        <v>0.35347222222222219</v>
      </c>
      <c r="V131" s="90">
        <v>0.93819444444444444</v>
      </c>
      <c r="W131" s="94">
        <v>0.55972222222222223</v>
      </c>
      <c r="X131" s="95">
        <v>1</v>
      </c>
      <c r="Y131" s="90">
        <v>0.35347222222222219</v>
      </c>
      <c r="Z131" s="90">
        <v>0.91875000000000007</v>
      </c>
      <c r="AA131" s="90">
        <v>0.35416666666666669</v>
      </c>
      <c r="AB131" s="90">
        <v>0.91875000000000007</v>
      </c>
      <c r="AC131" s="90">
        <v>0.35347222222222219</v>
      </c>
      <c r="AD131" s="90">
        <v>0.92222222222222217</v>
      </c>
      <c r="AE131" s="90">
        <v>0.35347222222222219</v>
      </c>
      <c r="AF131" s="91">
        <v>1</v>
      </c>
      <c r="AG131" s="113" t="s">
        <v>18</v>
      </c>
      <c r="AH131" s="113"/>
      <c r="AJ131" s="96"/>
      <c r="AK131" s="96"/>
      <c r="AL131" s="96"/>
      <c r="AM131" s="75"/>
      <c r="AN131" s="75"/>
      <c r="AO131" s="75"/>
      <c r="AP131" s="75"/>
      <c r="AQ131" s="75"/>
      <c r="AR131" s="75"/>
      <c r="AS131" s="95"/>
      <c r="AT131" s="106"/>
      <c r="AU131" s="90"/>
      <c r="AV131" s="90"/>
      <c r="AW131" s="90"/>
      <c r="AX131" s="90"/>
      <c r="AY131" s="90"/>
      <c r="AZ131" s="90"/>
      <c r="BA131" s="90"/>
      <c r="BB131" s="90"/>
      <c r="BC131" s="90"/>
      <c r="BD131" s="91"/>
      <c r="BE131" s="90"/>
      <c r="BF131" s="90"/>
      <c r="BG131" s="94"/>
      <c r="BH131" s="94"/>
      <c r="BI131" s="90"/>
      <c r="BJ131" s="90"/>
      <c r="BK131" s="90"/>
      <c r="BL131" s="90"/>
      <c r="BM131" s="90"/>
      <c r="BN131" s="90"/>
      <c r="BO131" s="90"/>
      <c r="BP131" s="90"/>
      <c r="BQ131" s="10">
        <f t="shared" si="87"/>
        <v>13.5</v>
      </c>
      <c r="BR131" s="81">
        <v>3</v>
      </c>
      <c r="BS131" s="2">
        <f>COUNT(E131:AD131)/2+COUNT(AG131:BP131)/2</f>
        <v>12</v>
      </c>
      <c r="BT131" s="3">
        <f t="shared" si="76"/>
        <v>1</v>
      </c>
      <c r="BU131" s="3">
        <f t="shared" si="77"/>
        <v>0</v>
      </c>
      <c r="BV131" s="3">
        <f t="shared" si="78"/>
        <v>0</v>
      </c>
      <c r="BW131" s="3">
        <f t="shared" si="79"/>
        <v>0.5</v>
      </c>
      <c r="BX131" s="3">
        <f t="shared" si="80"/>
        <v>0</v>
      </c>
      <c r="BY131" s="3">
        <f t="shared" si="81"/>
        <v>0</v>
      </c>
      <c r="BZ131" s="3">
        <f t="shared" si="82"/>
        <v>0</v>
      </c>
      <c r="CA131" s="3">
        <f t="shared" si="83"/>
        <v>0</v>
      </c>
      <c r="CB131" s="3">
        <f t="shared" si="84"/>
        <v>0</v>
      </c>
      <c r="CC131" s="3">
        <f t="shared" si="85"/>
        <v>0</v>
      </c>
      <c r="CD131" s="3">
        <f t="shared" si="86"/>
        <v>0</v>
      </c>
      <c r="CE131" s="4"/>
    </row>
    <row r="132" spans="1:96" ht="21.75" customHeight="1" x14ac:dyDescent="0.25">
      <c r="A132" s="46">
        <v>59</v>
      </c>
      <c r="B132" s="12" t="s">
        <v>136</v>
      </c>
      <c r="C132" s="98" t="s">
        <v>137</v>
      </c>
      <c r="D132" s="112">
        <v>45552</v>
      </c>
      <c r="E132" s="90">
        <v>0.34513888888888888</v>
      </c>
      <c r="F132" s="90">
        <v>0.95138888888888884</v>
      </c>
      <c r="G132" s="90">
        <v>0.34861111111111115</v>
      </c>
      <c r="H132" s="90">
        <v>0.9916666666666667</v>
      </c>
      <c r="I132" s="95" t="s">
        <v>15</v>
      </c>
      <c r="J132" s="95" t="s">
        <v>15</v>
      </c>
      <c r="K132" s="90">
        <v>0.34375</v>
      </c>
      <c r="L132" s="90">
        <v>0.95000000000000007</v>
      </c>
      <c r="M132" s="90">
        <v>0.35138888888888892</v>
      </c>
      <c r="N132" s="90">
        <v>0.97430555555555554</v>
      </c>
      <c r="O132" s="90">
        <v>0.35069444444444442</v>
      </c>
      <c r="P132" s="90">
        <v>0.9555555555555556</v>
      </c>
      <c r="Q132" s="90">
        <v>0.34513888888888888</v>
      </c>
      <c r="R132" s="90">
        <v>0.93611111111111101</v>
      </c>
      <c r="S132" s="90">
        <v>0.34861111111111115</v>
      </c>
      <c r="T132" s="90">
        <v>0.96180555555555547</v>
      </c>
      <c r="U132" s="90">
        <v>0.35138888888888892</v>
      </c>
      <c r="V132" s="90">
        <v>0.98749999999999993</v>
      </c>
      <c r="W132" s="94">
        <v>0.5756944444444444</v>
      </c>
      <c r="X132" s="94">
        <v>0.9194444444444444</v>
      </c>
      <c r="Y132" s="90">
        <v>0.34097222222222223</v>
      </c>
      <c r="Z132" s="90">
        <v>0.94861111111111107</v>
      </c>
      <c r="AA132" s="90">
        <v>0.34583333333333338</v>
      </c>
      <c r="AB132" s="90">
        <v>0.99722222222222223</v>
      </c>
      <c r="AC132" s="90">
        <v>0.34652777777777777</v>
      </c>
      <c r="AD132" s="90">
        <v>0.94236111111111109</v>
      </c>
      <c r="AE132" s="90">
        <v>0.34652777777777777</v>
      </c>
      <c r="AF132" s="90">
        <v>0.94236111111111109</v>
      </c>
      <c r="AG132" s="90">
        <v>0.34791666666666665</v>
      </c>
      <c r="AH132" s="90"/>
      <c r="AI132" s="89"/>
      <c r="AM132" s="75"/>
      <c r="AN132" s="75"/>
      <c r="AO132" s="75"/>
      <c r="AP132" s="75"/>
      <c r="AQ132" s="75"/>
      <c r="AR132" s="75"/>
      <c r="AS132" s="95"/>
      <c r="AT132" s="106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4"/>
      <c r="BH132" s="107"/>
      <c r="BI132" s="75"/>
      <c r="BJ132" s="75"/>
      <c r="BK132" s="75"/>
      <c r="BL132" s="75"/>
      <c r="BM132" s="90"/>
      <c r="BN132" s="90"/>
      <c r="BO132" s="90"/>
      <c r="BP132" s="90"/>
      <c r="BQ132" s="10">
        <f t="shared" si="87"/>
        <v>13.5</v>
      </c>
      <c r="BR132" s="81">
        <v>3</v>
      </c>
      <c r="BS132" s="2">
        <f>COUNT(E132:AD132)/2+COUNT(AG132:BP132)/2</f>
        <v>12.5</v>
      </c>
      <c r="BT132" s="3">
        <f t="shared" si="76"/>
        <v>1</v>
      </c>
      <c r="BU132" s="3">
        <f t="shared" si="77"/>
        <v>0</v>
      </c>
      <c r="BV132" s="3">
        <f t="shared" si="78"/>
        <v>0</v>
      </c>
      <c r="BW132" s="3">
        <f t="shared" si="79"/>
        <v>0</v>
      </c>
      <c r="BX132" s="3">
        <f t="shared" si="80"/>
        <v>0</v>
      </c>
      <c r="BY132" s="3">
        <f t="shared" si="81"/>
        <v>0</v>
      </c>
      <c r="BZ132" s="3">
        <f t="shared" si="82"/>
        <v>0</v>
      </c>
      <c r="CA132" s="3">
        <f t="shared" si="83"/>
        <v>0</v>
      </c>
      <c r="CB132" s="3">
        <f t="shared" si="84"/>
        <v>0</v>
      </c>
      <c r="CC132" s="3">
        <f t="shared" si="85"/>
        <v>0</v>
      </c>
      <c r="CD132" s="3">
        <f t="shared" si="86"/>
        <v>0</v>
      </c>
      <c r="CE132" s="4"/>
    </row>
    <row r="133" spans="1:96" ht="21.75" customHeight="1" thickBot="1" x14ac:dyDescent="0.3">
      <c r="A133" s="46">
        <v>63</v>
      </c>
      <c r="B133" s="12" t="s">
        <v>141</v>
      </c>
      <c r="C133" s="98" t="s">
        <v>142</v>
      </c>
      <c r="D133" s="112">
        <v>45612</v>
      </c>
      <c r="E133" s="90">
        <v>0.34583333333333338</v>
      </c>
      <c r="F133" s="91">
        <v>1</v>
      </c>
      <c r="G133" s="90">
        <v>0.34375</v>
      </c>
      <c r="H133" s="91">
        <v>1</v>
      </c>
      <c r="I133" s="94">
        <v>0.5708333333333333</v>
      </c>
      <c r="J133" s="95">
        <v>1</v>
      </c>
      <c r="K133" s="90">
        <v>0.34583333333333338</v>
      </c>
      <c r="L133" s="91">
        <v>1</v>
      </c>
      <c r="M133" s="90">
        <v>0.34583333333333338</v>
      </c>
      <c r="N133" s="90">
        <v>0.95208333333333339</v>
      </c>
      <c r="O133" s="91">
        <v>1</v>
      </c>
      <c r="P133" s="91">
        <v>1</v>
      </c>
      <c r="Q133" s="90">
        <v>0.34583333333333338</v>
      </c>
      <c r="R133" s="90">
        <v>0.9555555555555556</v>
      </c>
      <c r="S133" s="90">
        <v>0.34583333333333338</v>
      </c>
      <c r="T133" s="91">
        <v>1</v>
      </c>
      <c r="U133" s="90">
        <v>0.34583333333333338</v>
      </c>
      <c r="V133" s="91">
        <v>1</v>
      </c>
      <c r="W133" s="95" t="s">
        <v>15</v>
      </c>
      <c r="X133" s="95" t="s">
        <v>15</v>
      </c>
      <c r="Y133" s="90">
        <v>0.34652777777777777</v>
      </c>
      <c r="Z133" s="91">
        <v>1</v>
      </c>
      <c r="AA133" s="90">
        <v>0.34583333333333338</v>
      </c>
      <c r="AB133" s="91">
        <v>1</v>
      </c>
      <c r="AC133" s="90">
        <v>0.34513888888888888</v>
      </c>
      <c r="AD133" s="91">
        <v>1</v>
      </c>
      <c r="AE133" s="90">
        <v>0.34583333333333338</v>
      </c>
      <c r="AF133" s="91">
        <v>1</v>
      </c>
      <c r="AG133" s="90">
        <v>0.34513888888888888</v>
      </c>
      <c r="AH133" s="91">
        <v>1</v>
      </c>
      <c r="AJ133" s="114"/>
      <c r="AK133" s="90">
        <v>0.34652777777777777</v>
      </c>
      <c r="AL133" s="91">
        <v>1</v>
      </c>
      <c r="AM133" s="95">
        <v>1</v>
      </c>
      <c r="AN133" s="95">
        <v>1</v>
      </c>
      <c r="AO133" s="90" t="s">
        <v>183</v>
      </c>
      <c r="AP133" s="90" t="s">
        <v>183</v>
      </c>
      <c r="AQ133" s="90">
        <v>0.34513888888888888</v>
      </c>
      <c r="AR133" s="91">
        <v>1</v>
      </c>
      <c r="AS133" s="90">
        <v>0.34513888888888888</v>
      </c>
      <c r="AT133" s="91">
        <v>1</v>
      </c>
      <c r="AU133" s="90">
        <v>0.34861111111111115</v>
      </c>
      <c r="AV133" s="91">
        <v>1</v>
      </c>
      <c r="AW133" s="90">
        <v>0.34583333333333338</v>
      </c>
      <c r="AX133" s="90">
        <v>0.92152777777777783</v>
      </c>
      <c r="AY133" s="90">
        <v>0.35000000000000003</v>
      </c>
      <c r="AZ133" s="91">
        <v>1</v>
      </c>
      <c r="BA133" s="75" t="s">
        <v>18</v>
      </c>
      <c r="BB133" s="75" t="s">
        <v>18</v>
      </c>
      <c r="BC133" s="75" t="s">
        <v>18</v>
      </c>
      <c r="BD133" s="75" t="s">
        <v>18</v>
      </c>
      <c r="BE133" s="75" t="s">
        <v>18</v>
      </c>
      <c r="BF133" s="75" t="s">
        <v>18</v>
      </c>
      <c r="BG133" s="75" t="s">
        <v>18</v>
      </c>
      <c r="BH133" s="75" t="s">
        <v>18</v>
      </c>
      <c r="BI133" s="75" t="s">
        <v>18</v>
      </c>
      <c r="BJ133" s="75" t="s">
        <v>18</v>
      </c>
      <c r="BK133" s="75" t="s">
        <v>18</v>
      </c>
      <c r="BL133" s="75" t="s">
        <v>18</v>
      </c>
      <c r="BM133" s="75" t="s">
        <v>18</v>
      </c>
      <c r="BN133" s="75"/>
      <c r="BO133" s="75"/>
      <c r="BP133" s="75"/>
      <c r="BQ133" s="10">
        <f t="shared" ref="BQ133:BQ140" si="88">BS133+BT133+BV133+BW133+CA133+BY133+BZ133+CD133</f>
        <v>28.5</v>
      </c>
      <c r="BR133" s="81">
        <v>3</v>
      </c>
      <c r="BS133" s="2">
        <f>COUNT(E133:AD133)/2+COUNT(AG133:BP133)/2</f>
        <v>20</v>
      </c>
      <c r="BT133" s="3">
        <f t="shared" si="76"/>
        <v>1</v>
      </c>
      <c r="BU133" s="3">
        <f t="shared" si="77"/>
        <v>0</v>
      </c>
      <c r="BV133" s="3">
        <f t="shared" si="78"/>
        <v>0</v>
      </c>
      <c r="BW133" s="3">
        <f t="shared" si="79"/>
        <v>6.5</v>
      </c>
      <c r="BX133" s="3">
        <f t="shared" si="80"/>
        <v>0</v>
      </c>
      <c r="BY133" s="3">
        <f t="shared" si="81"/>
        <v>0</v>
      </c>
      <c r="BZ133" s="3">
        <f t="shared" si="82"/>
        <v>1</v>
      </c>
      <c r="CA133" s="3">
        <f t="shared" si="83"/>
        <v>0</v>
      </c>
      <c r="CB133" s="3">
        <f t="shared" si="84"/>
        <v>0</v>
      </c>
      <c r="CC133" s="3">
        <f t="shared" si="85"/>
        <v>0</v>
      </c>
      <c r="CD133" s="3">
        <f t="shared" si="86"/>
        <v>0</v>
      </c>
      <c r="CE133" s="4"/>
      <c r="CH133" s="58">
        <v>0</v>
      </c>
      <c r="CI133" s="58">
        <v>0</v>
      </c>
      <c r="CJ133" s="59">
        <v>40</v>
      </c>
      <c r="CK133" s="58">
        <v>0</v>
      </c>
      <c r="CL133" s="58">
        <v>0</v>
      </c>
      <c r="CM133" s="58">
        <v>0</v>
      </c>
      <c r="CN133" s="59">
        <v>2</v>
      </c>
      <c r="CO133" s="58">
        <v>0</v>
      </c>
      <c r="CP133" s="58">
        <v>0</v>
      </c>
      <c r="CQ133" s="58">
        <v>0</v>
      </c>
      <c r="CR133" s="60">
        <f t="shared" ref="CR133:CR139" si="89">SUM(CH133:CQ133)</f>
        <v>42</v>
      </c>
    </row>
    <row r="134" spans="1:96" ht="21" customHeight="1" thickBot="1" x14ac:dyDescent="0.3">
      <c r="A134" s="11">
        <v>9</v>
      </c>
      <c r="B134" s="12" t="s">
        <v>42</v>
      </c>
      <c r="C134" s="98" t="s">
        <v>43</v>
      </c>
      <c r="D134" s="112">
        <v>45381</v>
      </c>
      <c r="E134" s="126">
        <v>0.56111111111111112</v>
      </c>
      <c r="F134" s="126">
        <v>0.97638888888888886</v>
      </c>
      <c r="G134" s="90">
        <v>0.33402777777777781</v>
      </c>
      <c r="H134" s="91">
        <v>1</v>
      </c>
      <c r="I134" s="90">
        <v>0.3298611111111111</v>
      </c>
      <c r="J134" s="91">
        <v>1</v>
      </c>
      <c r="K134" s="90">
        <v>0.3347222222222222</v>
      </c>
      <c r="L134" s="90">
        <v>0.96527777777777779</v>
      </c>
      <c r="M134" s="90">
        <v>0.34583333333333338</v>
      </c>
      <c r="N134" s="90">
        <v>0.94236111111111109</v>
      </c>
      <c r="O134" s="90">
        <v>0.33958333333333335</v>
      </c>
      <c r="P134" s="90">
        <v>0.97291666666666676</v>
      </c>
      <c r="Q134" s="90">
        <v>0.32569444444444445</v>
      </c>
      <c r="R134" s="90">
        <v>0.95277777777777783</v>
      </c>
      <c r="S134" s="90"/>
      <c r="T134" s="90"/>
      <c r="U134" s="90"/>
      <c r="V134" s="90"/>
      <c r="W134" s="90"/>
      <c r="X134" s="90"/>
      <c r="Y134" s="117"/>
      <c r="Z134" s="118"/>
      <c r="AA134" s="117"/>
      <c r="AB134" s="118"/>
      <c r="AC134" s="117"/>
      <c r="AD134" s="118"/>
      <c r="AE134" s="117"/>
      <c r="AF134" s="117"/>
      <c r="AG134" s="117"/>
      <c r="AH134" s="118"/>
      <c r="AI134" s="121"/>
      <c r="AJ134" s="116">
        <v>9</v>
      </c>
      <c r="AK134" s="117"/>
      <c r="AL134" s="118"/>
      <c r="AM134" s="119"/>
      <c r="AN134" s="119"/>
      <c r="AO134" s="117"/>
      <c r="AP134" s="117"/>
      <c r="AQ134" s="117"/>
      <c r="AR134" s="118"/>
      <c r="AS134" s="117"/>
      <c r="AT134" s="117"/>
      <c r="AU134" s="117"/>
      <c r="AV134" s="117"/>
      <c r="AW134" s="117"/>
      <c r="AX134" s="117"/>
      <c r="AY134" s="117"/>
      <c r="AZ134" s="118"/>
      <c r="BA134" s="120"/>
      <c r="BB134" s="120"/>
      <c r="BC134" s="117"/>
      <c r="BD134" s="117"/>
      <c r="BE134" s="117"/>
      <c r="BF134" s="117"/>
      <c r="BG134" s="117"/>
      <c r="BH134" s="117"/>
      <c r="BI134" s="117"/>
      <c r="BJ134" s="117"/>
      <c r="BK134" s="117"/>
      <c r="BL134" s="117"/>
      <c r="BM134" s="117"/>
      <c r="BN134" s="117"/>
      <c r="BO134" s="117"/>
      <c r="BP134" s="117"/>
      <c r="BQ134" s="10">
        <f t="shared" si="88"/>
        <v>7</v>
      </c>
      <c r="BR134" s="81"/>
      <c r="BS134" s="2">
        <f>COUNT(E134:AH134)/2+COUNT(AK134:BP134)/2</f>
        <v>7</v>
      </c>
      <c r="BT134" s="3">
        <f t="shared" si="76"/>
        <v>0</v>
      </c>
      <c r="BU134" s="3">
        <f t="shared" si="77"/>
        <v>0</v>
      </c>
      <c r="BV134" s="3">
        <f t="shared" si="78"/>
        <v>0</v>
      </c>
      <c r="BW134" s="3">
        <f t="shared" si="79"/>
        <v>0</v>
      </c>
      <c r="BX134" s="3">
        <f t="shared" si="80"/>
        <v>0</v>
      </c>
      <c r="BY134" s="3">
        <f t="shared" si="81"/>
        <v>0</v>
      </c>
      <c r="BZ134" s="3">
        <f t="shared" si="82"/>
        <v>0</v>
      </c>
      <c r="CA134" s="3">
        <f t="shared" si="83"/>
        <v>0</v>
      </c>
      <c r="CB134" s="3">
        <f t="shared" si="84"/>
        <v>0</v>
      </c>
      <c r="CC134" s="3">
        <f t="shared" si="85"/>
        <v>0</v>
      </c>
      <c r="CD134" s="3">
        <f t="shared" si="86"/>
        <v>0</v>
      </c>
      <c r="CE134" s="85"/>
      <c r="CH134" s="58">
        <v>0</v>
      </c>
      <c r="CI134" s="58">
        <v>0</v>
      </c>
      <c r="CJ134" s="58">
        <v>0</v>
      </c>
      <c r="CK134" s="58">
        <v>0</v>
      </c>
      <c r="CL134" s="58">
        <v>0</v>
      </c>
      <c r="CM134" s="59">
        <v>1</v>
      </c>
      <c r="CN134" s="58">
        <v>0</v>
      </c>
      <c r="CO134" s="58">
        <v>0</v>
      </c>
      <c r="CP134" s="58">
        <v>0</v>
      </c>
      <c r="CQ134" s="58">
        <v>0</v>
      </c>
      <c r="CR134" s="60">
        <f t="shared" si="89"/>
        <v>1</v>
      </c>
    </row>
    <row r="135" spans="1:96" ht="21" customHeight="1" x14ac:dyDescent="0.25">
      <c r="A135" s="11">
        <v>14</v>
      </c>
      <c r="B135" s="12" t="s">
        <v>51</v>
      </c>
      <c r="C135" s="98" t="s">
        <v>52</v>
      </c>
      <c r="D135" s="110">
        <v>37469</v>
      </c>
      <c r="E135" s="120" t="s">
        <v>15</v>
      </c>
      <c r="F135" s="120" t="s">
        <v>15</v>
      </c>
      <c r="G135" s="90">
        <v>0.35347222222222219</v>
      </c>
      <c r="H135" s="90">
        <v>0.96875</v>
      </c>
      <c r="I135" s="90">
        <v>0.3527777777777778</v>
      </c>
      <c r="J135" s="90">
        <v>0.93125000000000002</v>
      </c>
      <c r="K135" s="90">
        <v>0.35486111111111113</v>
      </c>
      <c r="L135" s="90">
        <v>0.95972222222222225</v>
      </c>
      <c r="M135" s="90">
        <v>0.3527777777777778</v>
      </c>
      <c r="N135" s="90">
        <v>0.93402777777777779</v>
      </c>
      <c r="O135" s="90">
        <v>0.3527777777777778</v>
      </c>
      <c r="P135" s="90">
        <v>0.96805555555555556</v>
      </c>
      <c r="Q135" s="90">
        <v>0.3520833333333333</v>
      </c>
      <c r="R135" s="90">
        <v>0.98263888888888884</v>
      </c>
      <c r="S135" s="90">
        <v>0.58194444444444449</v>
      </c>
      <c r="T135" s="90">
        <v>0.92152777777777783</v>
      </c>
      <c r="U135" s="90">
        <v>0.3520833333333333</v>
      </c>
      <c r="V135" s="90">
        <v>0.94374999999999998</v>
      </c>
      <c r="W135" s="90">
        <v>0.3527777777777778</v>
      </c>
      <c r="X135" s="91">
        <v>1</v>
      </c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89"/>
      <c r="AJ135" s="116">
        <v>14</v>
      </c>
      <c r="AK135" s="117"/>
      <c r="AL135" s="117"/>
      <c r="AM135" s="120"/>
      <c r="AN135" s="120"/>
      <c r="AO135" s="117"/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119"/>
      <c r="BB135" s="119"/>
      <c r="BC135" s="117"/>
      <c r="BD135" s="117"/>
      <c r="BE135" s="117"/>
      <c r="BF135" s="117"/>
      <c r="BG135" s="117"/>
      <c r="BH135" s="117"/>
      <c r="BI135" s="117"/>
      <c r="BJ135" s="117"/>
      <c r="BK135" s="117"/>
      <c r="BL135" s="117"/>
      <c r="BM135" s="117"/>
      <c r="BN135" s="117"/>
      <c r="BO135" s="117"/>
      <c r="BP135" s="117"/>
      <c r="BQ135" s="10">
        <f t="shared" si="88"/>
        <v>10</v>
      </c>
      <c r="BR135" s="81"/>
      <c r="BS135" s="2">
        <f>COUNT(E135:AH135)/2+COUNT(AK135:BP135)/2</f>
        <v>9</v>
      </c>
      <c r="BT135" s="3">
        <f t="shared" si="76"/>
        <v>1</v>
      </c>
      <c r="BU135" s="3">
        <f t="shared" si="77"/>
        <v>0</v>
      </c>
      <c r="BV135" s="3">
        <f t="shared" si="78"/>
        <v>0</v>
      </c>
      <c r="BW135" s="3">
        <f t="shared" si="79"/>
        <v>0</v>
      </c>
      <c r="BX135" s="3">
        <f t="shared" si="80"/>
        <v>0</v>
      </c>
      <c r="BY135" s="3">
        <f t="shared" si="81"/>
        <v>0</v>
      </c>
      <c r="BZ135" s="3">
        <f t="shared" si="82"/>
        <v>0</v>
      </c>
      <c r="CA135" s="3">
        <f t="shared" si="83"/>
        <v>0</v>
      </c>
      <c r="CB135" s="3">
        <f t="shared" si="84"/>
        <v>0</v>
      </c>
      <c r="CC135" s="3">
        <f t="shared" si="85"/>
        <v>0</v>
      </c>
      <c r="CD135" s="3">
        <f t="shared" si="86"/>
        <v>0</v>
      </c>
      <c r="CE135" s="85"/>
      <c r="CH135" s="137">
        <v>0</v>
      </c>
      <c r="CI135" s="137">
        <v>0</v>
      </c>
      <c r="CJ135" s="137">
        <v>0</v>
      </c>
      <c r="CK135" s="137">
        <v>0</v>
      </c>
      <c r="CL135" s="137">
        <v>0</v>
      </c>
      <c r="CM135" s="138">
        <v>2</v>
      </c>
      <c r="CN135" s="137">
        <v>0</v>
      </c>
      <c r="CO135" s="137">
        <v>0</v>
      </c>
      <c r="CP135" s="137">
        <v>0</v>
      </c>
      <c r="CQ135" s="137">
        <v>0</v>
      </c>
      <c r="CR135" s="139">
        <f t="shared" si="89"/>
        <v>2</v>
      </c>
    </row>
    <row r="136" spans="1:96" s="89" customFormat="1" ht="21.75" customHeight="1" x14ac:dyDescent="0.25">
      <c r="A136" s="123">
        <v>58</v>
      </c>
      <c r="B136" s="135" t="s">
        <v>145</v>
      </c>
      <c r="C136" s="98" t="s">
        <v>146</v>
      </c>
      <c r="D136" s="136">
        <v>45648</v>
      </c>
      <c r="E136" s="126">
        <v>0.56597222222222221</v>
      </c>
      <c r="F136" s="126">
        <v>0.94097222222222221</v>
      </c>
      <c r="G136" s="90">
        <v>0.37847222222222227</v>
      </c>
      <c r="H136" s="90">
        <v>0.96736111111111101</v>
      </c>
      <c r="I136" s="90">
        <v>0.51388888888888895</v>
      </c>
      <c r="J136" s="90">
        <v>0.93819444444444444</v>
      </c>
      <c r="K136" s="90">
        <v>0.36736111111111108</v>
      </c>
      <c r="L136" s="90">
        <v>0.94305555555555554</v>
      </c>
      <c r="M136" s="90">
        <v>0.35555555555555557</v>
      </c>
      <c r="N136" s="90">
        <v>0.92361111111111116</v>
      </c>
      <c r="S136" s="90"/>
      <c r="T136" s="90"/>
      <c r="U136" s="90"/>
      <c r="V136" s="90"/>
      <c r="W136" s="91"/>
      <c r="X136" s="91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J136" s="123">
        <v>58</v>
      </c>
      <c r="AK136" s="90"/>
      <c r="AL136" s="91"/>
      <c r="AM136" s="91"/>
      <c r="AN136" s="91"/>
      <c r="AO136" s="90"/>
      <c r="AP136" s="90"/>
      <c r="AQ136" s="90"/>
      <c r="AR136" s="90"/>
      <c r="AS136" s="90"/>
      <c r="AT136" s="91"/>
      <c r="AU136" s="90"/>
      <c r="AV136" s="90"/>
      <c r="AW136" s="90"/>
      <c r="AX136" s="90"/>
      <c r="AY136" s="90"/>
      <c r="AZ136" s="90"/>
      <c r="BA136" s="91"/>
      <c r="BB136" s="91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131">
        <f t="shared" si="88"/>
        <v>5</v>
      </c>
      <c r="BR136" s="81"/>
      <c r="BS136" s="132">
        <f>COUNT(E136:AH136)/2+COUNT(AK136:BP136)/2</f>
        <v>5</v>
      </c>
      <c r="BT136" s="133">
        <f t="shared" si="76"/>
        <v>0</v>
      </c>
      <c r="BU136" s="133">
        <f t="shared" si="77"/>
        <v>0</v>
      </c>
      <c r="BV136" s="133">
        <f t="shared" si="78"/>
        <v>0</v>
      </c>
      <c r="BW136" s="133">
        <f t="shared" si="79"/>
        <v>0</v>
      </c>
      <c r="BX136" s="133">
        <f t="shared" si="80"/>
        <v>0</v>
      </c>
      <c r="BY136" s="133">
        <f t="shared" si="81"/>
        <v>0</v>
      </c>
      <c r="BZ136" s="133">
        <f t="shared" si="82"/>
        <v>0</v>
      </c>
      <c r="CA136" s="133">
        <f t="shared" si="83"/>
        <v>0</v>
      </c>
      <c r="CB136" s="133">
        <f t="shared" si="84"/>
        <v>0</v>
      </c>
      <c r="CC136" s="133">
        <f t="shared" si="85"/>
        <v>0</v>
      </c>
      <c r="CD136" s="133">
        <f t="shared" si="86"/>
        <v>0</v>
      </c>
      <c r="CE136" s="134"/>
      <c r="CH136" s="58">
        <v>0</v>
      </c>
      <c r="CI136" s="58">
        <v>0</v>
      </c>
      <c r="CJ136" s="58">
        <v>0</v>
      </c>
      <c r="CK136" s="58">
        <v>0</v>
      </c>
      <c r="CL136" s="58">
        <v>0</v>
      </c>
      <c r="CM136" s="58">
        <v>0</v>
      </c>
      <c r="CN136" s="59">
        <v>0</v>
      </c>
      <c r="CO136" s="59">
        <v>0</v>
      </c>
      <c r="CP136" s="58">
        <v>0</v>
      </c>
      <c r="CQ136" s="58">
        <v>0</v>
      </c>
      <c r="CR136" s="60">
        <f t="shared" si="89"/>
        <v>0</v>
      </c>
    </row>
    <row r="137" spans="1:96" ht="21.75" customHeight="1" x14ac:dyDescent="0.25">
      <c r="A137" s="46">
        <v>42</v>
      </c>
      <c r="B137" s="12" t="s">
        <v>118</v>
      </c>
      <c r="C137" s="98" t="s">
        <v>239</v>
      </c>
      <c r="D137" s="112">
        <v>45330</v>
      </c>
      <c r="E137" s="120" t="s">
        <v>15</v>
      </c>
      <c r="F137" s="120" t="s">
        <v>15</v>
      </c>
      <c r="G137" s="90">
        <v>0.35416666666666669</v>
      </c>
      <c r="H137" s="90">
        <v>0.96736111111111101</v>
      </c>
      <c r="I137" s="90">
        <v>0.3527777777777778</v>
      </c>
      <c r="J137" s="90">
        <v>0.9291666666666667</v>
      </c>
      <c r="K137" s="90">
        <v>0.35972222222222222</v>
      </c>
      <c r="L137" s="90">
        <v>0.9604166666666667</v>
      </c>
      <c r="M137" s="90">
        <v>0.35625000000000001</v>
      </c>
      <c r="N137" s="90">
        <v>0.94513888888888886</v>
      </c>
      <c r="O137" s="90">
        <v>0.3527777777777778</v>
      </c>
      <c r="P137" s="90">
        <v>0.96527777777777779</v>
      </c>
      <c r="Q137" s="90">
        <v>0.35000000000000003</v>
      </c>
      <c r="R137" s="90">
        <v>0.96944444444444444</v>
      </c>
      <c r="S137" s="90">
        <v>0.5805555555555556</v>
      </c>
      <c r="T137" s="90">
        <v>0.93194444444444446</v>
      </c>
      <c r="U137" s="90">
        <v>0.34930555555555554</v>
      </c>
      <c r="V137" s="90">
        <v>0.94027777777777777</v>
      </c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J137" s="123">
        <v>42</v>
      </c>
      <c r="AK137" s="90"/>
      <c r="AL137" s="90"/>
      <c r="AM137" s="91"/>
      <c r="AN137" s="91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10">
        <f t="shared" si="88"/>
        <v>9</v>
      </c>
      <c r="BR137" s="81"/>
      <c r="BS137" s="2">
        <f>COUNT(E137:AH137)/2+COUNT(AK137:BP137)/2</f>
        <v>8</v>
      </c>
      <c r="BT137" s="3">
        <f t="shared" si="76"/>
        <v>1</v>
      </c>
      <c r="BU137" s="3">
        <f t="shared" si="77"/>
        <v>0</v>
      </c>
      <c r="BV137" s="3">
        <f t="shared" si="78"/>
        <v>0</v>
      </c>
      <c r="BW137" s="3">
        <f t="shared" si="79"/>
        <v>0</v>
      </c>
      <c r="BX137" s="3">
        <f t="shared" si="80"/>
        <v>0</v>
      </c>
      <c r="BY137" s="3">
        <f t="shared" si="81"/>
        <v>0</v>
      </c>
      <c r="BZ137" s="3">
        <f t="shared" si="82"/>
        <v>0</v>
      </c>
      <c r="CA137" s="3">
        <f t="shared" si="83"/>
        <v>0</v>
      </c>
      <c r="CB137" s="3">
        <f t="shared" si="84"/>
        <v>0</v>
      </c>
      <c r="CC137" s="3">
        <f t="shared" si="85"/>
        <v>0</v>
      </c>
      <c r="CD137" s="3">
        <f t="shared" si="86"/>
        <v>0</v>
      </c>
      <c r="CE137" s="4"/>
      <c r="CH137" s="58">
        <v>0</v>
      </c>
      <c r="CI137" s="58">
        <v>0</v>
      </c>
      <c r="CJ137" s="58">
        <v>7</v>
      </c>
      <c r="CK137" s="58">
        <v>0</v>
      </c>
      <c r="CL137" s="58">
        <v>0</v>
      </c>
      <c r="CM137" s="58">
        <v>0</v>
      </c>
      <c r="CN137" s="59">
        <v>0</v>
      </c>
      <c r="CO137" s="59">
        <v>0</v>
      </c>
      <c r="CP137" s="58">
        <v>0</v>
      </c>
      <c r="CQ137" s="58">
        <v>0</v>
      </c>
      <c r="CR137" s="60">
        <f t="shared" si="89"/>
        <v>7</v>
      </c>
    </row>
    <row r="138" spans="1:96" ht="21.75" customHeight="1" x14ac:dyDescent="0.25">
      <c r="A138" s="46">
        <v>33</v>
      </c>
      <c r="B138" s="12" t="s">
        <v>100</v>
      </c>
      <c r="C138" s="98" t="s">
        <v>101</v>
      </c>
      <c r="D138" s="112">
        <v>44485</v>
      </c>
      <c r="E138" s="120" t="s">
        <v>15</v>
      </c>
      <c r="F138" s="120" t="s">
        <v>15</v>
      </c>
      <c r="G138" s="90">
        <v>0.3520833333333333</v>
      </c>
      <c r="H138" s="90">
        <v>0.95833333333333337</v>
      </c>
      <c r="I138" s="90">
        <v>0.3520833333333333</v>
      </c>
      <c r="J138" s="90">
        <v>0.93958333333333333</v>
      </c>
      <c r="K138" s="90">
        <v>0.35486111111111113</v>
      </c>
      <c r="L138" s="90">
        <v>0.95624999999999993</v>
      </c>
      <c r="M138" s="90">
        <v>0.35694444444444445</v>
      </c>
      <c r="N138" s="90">
        <v>0.94166666666666676</v>
      </c>
      <c r="O138" s="90">
        <v>0.36319444444444443</v>
      </c>
      <c r="P138" s="90">
        <v>0.95972222222222225</v>
      </c>
      <c r="Q138" s="90">
        <v>0.35347222222222219</v>
      </c>
      <c r="R138" s="90">
        <v>0.98541666666666661</v>
      </c>
      <c r="S138" s="126">
        <v>0.58402777777777781</v>
      </c>
      <c r="T138" s="126">
        <v>0.94444444444444453</v>
      </c>
      <c r="U138" s="90">
        <v>0.3520833333333333</v>
      </c>
      <c r="V138" s="90">
        <v>0.9555555555555556</v>
      </c>
      <c r="W138" s="90">
        <v>0.35416666666666669</v>
      </c>
      <c r="X138" s="90">
        <v>0.94374999999999998</v>
      </c>
      <c r="Y138" s="90">
        <v>0.3527777777777778</v>
      </c>
      <c r="Z138" s="90">
        <v>0.94166666666666676</v>
      </c>
      <c r="AA138" s="90">
        <v>0.35625000000000001</v>
      </c>
      <c r="AB138" s="90">
        <v>0.93958333333333333</v>
      </c>
      <c r="AC138" s="90">
        <v>0.3527777777777778</v>
      </c>
      <c r="AD138" s="90">
        <v>0.93888888888888899</v>
      </c>
      <c r="AE138" s="90">
        <v>0.35069444444444442</v>
      </c>
      <c r="AF138" s="90">
        <v>0.96180555555555547</v>
      </c>
      <c r="AG138" s="90">
        <v>0.58263888888888882</v>
      </c>
      <c r="AH138" s="90">
        <v>0.94027777777777777</v>
      </c>
      <c r="AJ138" s="123">
        <v>33</v>
      </c>
      <c r="AK138" s="91">
        <v>1</v>
      </c>
      <c r="AL138" s="91">
        <v>1</v>
      </c>
      <c r="AM138" s="91">
        <v>1</v>
      </c>
      <c r="AN138" s="91">
        <v>1</v>
      </c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10">
        <f t="shared" si="88"/>
        <v>17</v>
      </c>
      <c r="BR138" s="81"/>
      <c r="BS138" s="2">
        <f>COUNT(E138:AH138)/2+COUNT(AK138:BP138)/2</f>
        <v>16</v>
      </c>
      <c r="BT138" s="3">
        <f t="shared" si="76"/>
        <v>1</v>
      </c>
      <c r="BU138" s="3">
        <f t="shared" si="77"/>
        <v>0</v>
      </c>
      <c r="BV138" s="3">
        <f t="shared" si="78"/>
        <v>0</v>
      </c>
      <c r="BW138" s="3">
        <f t="shared" si="79"/>
        <v>0</v>
      </c>
      <c r="BX138" s="3">
        <f t="shared" si="80"/>
        <v>0</v>
      </c>
      <c r="BY138" s="3">
        <f t="shared" si="81"/>
        <v>0</v>
      </c>
      <c r="BZ138" s="3">
        <f t="shared" si="82"/>
        <v>0</v>
      </c>
      <c r="CA138" s="3">
        <f t="shared" si="83"/>
        <v>0</v>
      </c>
      <c r="CB138" s="3">
        <f t="shared" si="84"/>
        <v>0</v>
      </c>
      <c r="CC138" s="3">
        <f t="shared" si="85"/>
        <v>0</v>
      </c>
      <c r="CD138" s="3">
        <f t="shared" si="86"/>
        <v>0</v>
      </c>
      <c r="CE138" s="4"/>
      <c r="CH138" s="58">
        <v>0</v>
      </c>
      <c r="CI138" s="58">
        <v>0</v>
      </c>
      <c r="CJ138" s="58">
        <v>0</v>
      </c>
      <c r="CK138" s="58">
        <v>0</v>
      </c>
      <c r="CL138" s="58">
        <v>0</v>
      </c>
      <c r="CM138" s="58">
        <v>0</v>
      </c>
      <c r="CN138" s="59">
        <v>0</v>
      </c>
      <c r="CO138" s="59">
        <v>0</v>
      </c>
      <c r="CP138" s="58">
        <v>0</v>
      </c>
      <c r="CQ138" s="58">
        <v>0</v>
      </c>
      <c r="CR138" s="60">
        <f t="shared" si="89"/>
        <v>0</v>
      </c>
    </row>
    <row r="139" spans="1:96" ht="21.75" customHeight="1" x14ac:dyDescent="0.25">
      <c r="A139" s="46">
        <v>39</v>
      </c>
      <c r="B139" s="12" t="s">
        <v>113</v>
      </c>
      <c r="C139" s="98" t="s">
        <v>188</v>
      </c>
      <c r="D139" s="112">
        <v>45148</v>
      </c>
      <c r="E139" s="120" t="s">
        <v>15</v>
      </c>
      <c r="F139" s="120" t="s">
        <v>15</v>
      </c>
      <c r="G139" s="90">
        <v>0.35486111111111113</v>
      </c>
      <c r="H139" s="90">
        <v>0.92291666666666661</v>
      </c>
      <c r="I139" s="90">
        <v>0.3576388888888889</v>
      </c>
      <c r="J139" s="90">
        <v>0.91249999999999998</v>
      </c>
      <c r="K139" s="90">
        <v>0.35555555555555557</v>
      </c>
      <c r="L139" s="90">
        <v>0.92986111111111114</v>
      </c>
      <c r="M139" s="90">
        <v>0.35694444444444445</v>
      </c>
      <c r="N139" s="91">
        <v>1</v>
      </c>
      <c r="O139" s="90">
        <v>0.35138888888888892</v>
      </c>
      <c r="P139" s="90">
        <v>0.94652777777777775</v>
      </c>
      <c r="Q139" s="90">
        <v>0.3527777777777778</v>
      </c>
      <c r="R139" s="90">
        <v>0.93888888888888899</v>
      </c>
      <c r="S139" s="126">
        <v>0.58124999999999993</v>
      </c>
      <c r="T139" s="126">
        <v>0.90069444444444446</v>
      </c>
      <c r="U139" s="90">
        <v>0.3520833333333333</v>
      </c>
      <c r="V139" s="90">
        <v>0.9277777777777777</v>
      </c>
      <c r="W139" s="90">
        <v>0.35069444444444442</v>
      </c>
      <c r="X139" s="90">
        <v>0.94444444444444453</v>
      </c>
      <c r="Y139" s="90">
        <v>0.35347222222222219</v>
      </c>
      <c r="Z139" s="90">
        <v>0.93402777777777779</v>
      </c>
      <c r="AA139" s="90">
        <v>0.35347222222222219</v>
      </c>
      <c r="AB139" s="91">
        <v>1</v>
      </c>
      <c r="AC139" s="90">
        <v>0.34861111111111115</v>
      </c>
      <c r="AD139" s="91">
        <v>1</v>
      </c>
      <c r="AE139" s="90">
        <v>0.35972222222222222</v>
      </c>
      <c r="AF139" s="91">
        <v>1</v>
      </c>
      <c r="AG139" s="120" t="s">
        <v>15</v>
      </c>
      <c r="AH139" s="120" t="s">
        <v>15</v>
      </c>
      <c r="AJ139" s="123">
        <v>39</v>
      </c>
      <c r="AK139" s="90"/>
      <c r="AL139" s="90"/>
      <c r="AM139" s="91"/>
      <c r="AN139" s="91"/>
      <c r="AO139" s="90"/>
      <c r="AP139" s="90"/>
      <c r="AQ139" s="90"/>
      <c r="AR139" s="90"/>
      <c r="AS139" s="90"/>
      <c r="AT139" s="91"/>
      <c r="AU139" s="90"/>
      <c r="AV139" s="91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1"/>
      <c r="BQ139" s="10">
        <f t="shared" si="88"/>
        <v>15</v>
      </c>
      <c r="BR139" s="81"/>
      <c r="BS139" s="2">
        <f>COUNT(E139:AF139)/2+COUNT(AK139:BP139)/2</f>
        <v>13</v>
      </c>
      <c r="BT139" s="3">
        <f t="shared" si="76"/>
        <v>2</v>
      </c>
      <c r="BU139" s="3">
        <f t="shared" si="77"/>
        <v>0</v>
      </c>
      <c r="BV139" s="3">
        <f t="shared" si="78"/>
        <v>0</v>
      </c>
      <c r="BW139" s="3">
        <f t="shared" si="79"/>
        <v>0</v>
      </c>
      <c r="BX139" s="3">
        <f t="shared" si="80"/>
        <v>0</v>
      </c>
      <c r="BY139" s="3">
        <f t="shared" si="81"/>
        <v>0</v>
      </c>
      <c r="BZ139" s="3">
        <f t="shared" si="82"/>
        <v>0</v>
      </c>
      <c r="CA139" s="3">
        <f t="shared" si="83"/>
        <v>0</v>
      </c>
      <c r="CB139" s="3">
        <f t="shared" si="84"/>
        <v>0</v>
      </c>
      <c r="CC139" s="3">
        <f t="shared" si="85"/>
        <v>0</v>
      </c>
      <c r="CD139" s="3">
        <f t="shared" si="86"/>
        <v>0</v>
      </c>
      <c r="CE139" s="4"/>
      <c r="CH139" s="58">
        <v>0</v>
      </c>
      <c r="CI139" s="58">
        <v>0</v>
      </c>
      <c r="CJ139" s="58">
        <v>0</v>
      </c>
      <c r="CK139" s="58">
        <v>0</v>
      </c>
      <c r="CL139" s="58">
        <v>0</v>
      </c>
      <c r="CM139" s="58">
        <v>0</v>
      </c>
      <c r="CN139" s="59">
        <v>0</v>
      </c>
      <c r="CO139" s="59">
        <v>0</v>
      </c>
      <c r="CP139" s="58">
        <v>0</v>
      </c>
      <c r="CQ139" s="58">
        <v>0</v>
      </c>
      <c r="CR139" s="60">
        <f t="shared" si="89"/>
        <v>0</v>
      </c>
    </row>
    <row r="140" spans="1:96" ht="21.75" customHeight="1" x14ac:dyDescent="0.25">
      <c r="A140" s="46">
        <v>41</v>
      </c>
      <c r="B140" s="12" t="s">
        <v>116</v>
      </c>
      <c r="C140" s="98" t="s">
        <v>117</v>
      </c>
      <c r="D140" s="112">
        <v>45330</v>
      </c>
      <c r="E140" s="126">
        <v>0.32708333333333334</v>
      </c>
      <c r="F140" s="126">
        <v>0.97152777777777777</v>
      </c>
      <c r="G140" s="90">
        <v>0.35902777777777778</v>
      </c>
      <c r="H140" s="90">
        <v>0.94861111111111107</v>
      </c>
      <c r="I140" s="90">
        <v>0.33611111111111108</v>
      </c>
      <c r="J140" s="90">
        <v>0.95416666666666661</v>
      </c>
      <c r="K140" s="90">
        <v>0.35555555555555557</v>
      </c>
      <c r="L140" s="90">
        <v>0.94791666666666663</v>
      </c>
      <c r="M140" s="91">
        <v>1</v>
      </c>
      <c r="N140" s="91">
        <v>1</v>
      </c>
      <c r="O140" s="90">
        <v>0.33055555555555555</v>
      </c>
      <c r="P140" s="90">
        <v>0.95208333333333339</v>
      </c>
      <c r="Q140" s="90">
        <v>0.33194444444444443</v>
      </c>
      <c r="R140" s="90">
        <v>0.97152777777777777</v>
      </c>
      <c r="S140" s="126">
        <v>0.57708333333333328</v>
      </c>
      <c r="T140" s="126">
        <v>0.95972222222222225</v>
      </c>
      <c r="U140" s="90">
        <v>0.3298611111111111</v>
      </c>
      <c r="V140" s="90">
        <v>0.97013888888888899</v>
      </c>
      <c r="W140" s="90">
        <v>0.32916666666666666</v>
      </c>
      <c r="X140" s="90">
        <v>0.9506944444444444</v>
      </c>
      <c r="Y140" s="90">
        <v>0.3263888888888889</v>
      </c>
      <c r="Z140" s="90">
        <v>0.94930555555555562</v>
      </c>
      <c r="AA140" s="90">
        <v>0.33124999999999999</v>
      </c>
      <c r="AB140" s="90">
        <v>0.95347222222222217</v>
      </c>
      <c r="AC140" s="90">
        <v>0.32847222222222222</v>
      </c>
      <c r="AD140" s="90">
        <v>0.95000000000000007</v>
      </c>
      <c r="AE140" s="90">
        <v>0.3354166666666667</v>
      </c>
      <c r="AF140" s="90">
        <v>0.97222222222222221</v>
      </c>
      <c r="AG140" s="120" t="s">
        <v>15</v>
      </c>
      <c r="AH140" s="120" t="s">
        <v>15</v>
      </c>
      <c r="AJ140" s="123">
        <v>41</v>
      </c>
      <c r="AK140" s="91">
        <v>1</v>
      </c>
      <c r="AL140" s="91">
        <v>1</v>
      </c>
      <c r="AM140" s="91">
        <v>1</v>
      </c>
      <c r="AN140" s="91">
        <v>1</v>
      </c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10">
        <f t="shared" si="88"/>
        <v>17</v>
      </c>
      <c r="BR140" s="81"/>
      <c r="BS140" s="2">
        <f>COUNT(E140:AH140)/2+COUNT(AK140:BP140)/2</f>
        <v>16</v>
      </c>
      <c r="BT140" s="3">
        <f t="shared" si="76"/>
        <v>1</v>
      </c>
      <c r="BU140" s="3">
        <f t="shared" si="77"/>
        <v>0</v>
      </c>
      <c r="BV140" s="3">
        <f t="shared" si="78"/>
        <v>0</v>
      </c>
      <c r="BW140" s="3">
        <f t="shared" si="79"/>
        <v>0</v>
      </c>
      <c r="BX140" s="3">
        <f t="shared" si="80"/>
        <v>0</v>
      </c>
      <c r="BY140" s="3">
        <f t="shared" si="81"/>
        <v>0</v>
      </c>
      <c r="BZ140" s="3">
        <f t="shared" si="82"/>
        <v>0</v>
      </c>
      <c r="CA140" s="3">
        <f t="shared" si="83"/>
        <v>0</v>
      </c>
      <c r="CB140" s="3">
        <f t="shared" si="84"/>
        <v>0</v>
      </c>
      <c r="CC140" s="3">
        <f t="shared" si="85"/>
        <v>0</v>
      </c>
      <c r="CD140" s="3">
        <f t="shared" si="86"/>
        <v>0</v>
      </c>
      <c r="CE140" s="4"/>
      <c r="CH140" s="58">
        <v>0</v>
      </c>
      <c r="CI140" s="58">
        <v>0</v>
      </c>
      <c r="CJ140" s="58">
        <v>0</v>
      </c>
      <c r="CK140" s="58">
        <v>0</v>
      </c>
      <c r="CL140" s="58">
        <v>0</v>
      </c>
      <c r="CM140" s="58">
        <v>0</v>
      </c>
      <c r="CN140" s="59">
        <v>0</v>
      </c>
      <c r="CO140" s="59">
        <v>0</v>
      </c>
      <c r="CP140" s="58">
        <v>0</v>
      </c>
      <c r="CQ140" s="58">
        <v>0</v>
      </c>
      <c r="CR140" s="60">
        <f>SUM(CH140:CQ140)</f>
        <v>0</v>
      </c>
    </row>
    <row r="141" spans="1:96" ht="21.75" customHeight="1" x14ac:dyDescent="0.25">
      <c r="A141" s="46">
        <v>37</v>
      </c>
      <c r="B141" s="12" t="s">
        <v>119</v>
      </c>
      <c r="C141" s="98" t="s">
        <v>240</v>
      </c>
      <c r="D141" s="112">
        <v>45330</v>
      </c>
      <c r="E141" s="120" t="s">
        <v>15</v>
      </c>
      <c r="F141" s="120" t="s">
        <v>15</v>
      </c>
      <c r="G141" s="90">
        <v>0.34652777777777777</v>
      </c>
      <c r="H141" s="91">
        <v>1</v>
      </c>
      <c r="I141" s="90">
        <v>0.35069444444444442</v>
      </c>
      <c r="J141" s="90">
        <v>0.94097222222222221</v>
      </c>
      <c r="K141" s="90">
        <v>0.3520833333333333</v>
      </c>
      <c r="L141" s="90">
        <v>0.9590277777777777</v>
      </c>
      <c r="M141" s="90">
        <v>0.3520833333333333</v>
      </c>
      <c r="N141" s="90">
        <v>0.95624999999999993</v>
      </c>
      <c r="O141" s="90">
        <v>0.35000000000000003</v>
      </c>
      <c r="P141" s="90">
        <v>0.96250000000000002</v>
      </c>
      <c r="Q141" s="90">
        <v>0.35069444444444442</v>
      </c>
      <c r="R141" s="90">
        <v>0.94027777777777777</v>
      </c>
      <c r="S141" s="126">
        <v>0.55902777777777779</v>
      </c>
      <c r="T141" s="126">
        <v>0.93541666666666667</v>
      </c>
      <c r="U141" s="90">
        <v>0.34791666666666665</v>
      </c>
      <c r="V141" s="90">
        <v>0.94166666666666676</v>
      </c>
      <c r="W141" s="90">
        <v>0.34930555555555554</v>
      </c>
      <c r="X141" s="90">
        <v>0.94444444444444453</v>
      </c>
      <c r="Y141" s="90">
        <v>0.35069444444444442</v>
      </c>
      <c r="Z141" s="90">
        <v>0.94097222222222221</v>
      </c>
      <c r="AA141" s="90">
        <v>0.35069444444444442</v>
      </c>
      <c r="AB141" s="90">
        <v>0.94027777777777777</v>
      </c>
      <c r="AC141" s="90">
        <v>0.34861111111111115</v>
      </c>
      <c r="AD141" s="90">
        <v>0.8881944444444444</v>
      </c>
      <c r="AE141" s="90">
        <v>0.34930555555555554</v>
      </c>
      <c r="AF141" s="90">
        <v>0.95694444444444438</v>
      </c>
      <c r="AG141" s="120" t="s">
        <v>15</v>
      </c>
      <c r="AH141" s="120" t="s">
        <v>15</v>
      </c>
      <c r="AJ141" s="123">
        <v>43</v>
      </c>
      <c r="AK141" s="90">
        <v>0.35069444444444442</v>
      </c>
      <c r="AL141" s="90">
        <v>0.95138888888888884</v>
      </c>
      <c r="AM141" s="90">
        <v>0.34930555555555554</v>
      </c>
      <c r="AN141" s="90">
        <v>0.93888888888888899</v>
      </c>
      <c r="AO141" s="90">
        <v>0.35138888888888892</v>
      </c>
      <c r="AP141" s="90">
        <v>0.93888888888888899</v>
      </c>
      <c r="AQ141" s="90">
        <v>0.35069444444444442</v>
      </c>
      <c r="AR141" s="90">
        <v>0.93888888888888899</v>
      </c>
      <c r="AS141" s="90">
        <v>0.3527777777777778</v>
      </c>
      <c r="AT141" s="90">
        <v>0.95138888888888884</v>
      </c>
      <c r="AU141" s="90">
        <v>0.35000000000000003</v>
      </c>
      <c r="AV141" s="130">
        <v>1</v>
      </c>
      <c r="AW141" s="128">
        <v>1</v>
      </c>
      <c r="AX141" s="128">
        <v>1</v>
      </c>
      <c r="AY141" s="130">
        <v>1</v>
      </c>
      <c r="AZ141" s="130">
        <v>1</v>
      </c>
      <c r="BA141" s="130">
        <v>1</v>
      </c>
      <c r="BB141" s="130">
        <v>1</v>
      </c>
      <c r="BC141" s="90"/>
      <c r="BD141" s="90"/>
      <c r="BE141" s="90"/>
      <c r="BF141" s="91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10">
        <f>BS141+BT141+BV141+BW141+CA141+BY141+BZ141+CD141</f>
        <v>20</v>
      </c>
      <c r="BR141" s="81"/>
      <c r="BS141" s="2">
        <f>COUNT(E141:X141)/2+COUNT(AK141:BP141)/2</f>
        <v>18</v>
      </c>
      <c r="BT141" s="3">
        <f t="shared" si="76"/>
        <v>2</v>
      </c>
      <c r="BU141" s="3">
        <f t="shared" si="77"/>
        <v>0</v>
      </c>
      <c r="BV141" s="3">
        <f t="shared" si="78"/>
        <v>0</v>
      </c>
      <c r="BW141" s="3">
        <f t="shared" si="79"/>
        <v>0</v>
      </c>
      <c r="BX141" s="3">
        <f t="shared" si="80"/>
        <v>0</v>
      </c>
      <c r="BY141" s="3">
        <f t="shared" si="81"/>
        <v>0</v>
      </c>
      <c r="BZ141" s="3">
        <f t="shared" si="82"/>
        <v>0</v>
      </c>
      <c r="CA141" s="3">
        <f t="shared" si="83"/>
        <v>0</v>
      </c>
      <c r="CB141" s="3">
        <f t="shared" si="84"/>
        <v>0</v>
      </c>
      <c r="CC141" s="3">
        <f t="shared" si="85"/>
        <v>0</v>
      </c>
      <c r="CD141" s="3">
        <f t="shared" si="86"/>
        <v>0</v>
      </c>
      <c r="CE141" s="4"/>
      <c r="CH141" s="58">
        <v>0</v>
      </c>
      <c r="CI141" s="58">
        <v>0</v>
      </c>
      <c r="CJ141" s="58">
        <v>0</v>
      </c>
      <c r="CK141" s="58">
        <v>0</v>
      </c>
      <c r="CL141" s="58">
        <v>0</v>
      </c>
      <c r="CM141" s="59">
        <v>4</v>
      </c>
      <c r="CN141" s="59">
        <v>1</v>
      </c>
      <c r="CO141" s="58">
        <v>0</v>
      </c>
      <c r="CP141" s="58">
        <v>0</v>
      </c>
      <c r="CQ141" s="58">
        <v>0</v>
      </c>
      <c r="CR141" s="60">
        <f>SUM(CH141:CQ141)</f>
        <v>5</v>
      </c>
    </row>
    <row r="142" spans="1:96" ht="21.75" customHeight="1" x14ac:dyDescent="0.25">
      <c r="A142" s="46">
        <v>43</v>
      </c>
      <c r="B142" s="12" t="s">
        <v>128</v>
      </c>
      <c r="C142" s="98" t="s">
        <v>186</v>
      </c>
      <c r="D142" s="112">
        <v>45447</v>
      </c>
      <c r="E142" s="120" t="s">
        <v>15</v>
      </c>
      <c r="F142" s="120" t="s">
        <v>15</v>
      </c>
      <c r="G142" s="90">
        <v>0.34791666666666665</v>
      </c>
      <c r="H142" s="90">
        <v>0.96805555555555556</v>
      </c>
      <c r="I142" s="90">
        <v>0.34652777777777777</v>
      </c>
      <c r="J142" s="90">
        <v>0.94791666666666663</v>
      </c>
      <c r="K142" s="90">
        <v>0.41736111111111113</v>
      </c>
      <c r="L142" s="90">
        <v>0.95624999999999993</v>
      </c>
      <c r="M142" s="91">
        <v>1</v>
      </c>
      <c r="N142" s="90">
        <v>0.95277777777777783</v>
      </c>
      <c r="O142" s="90">
        <v>0.3430555555555555</v>
      </c>
      <c r="P142" s="91">
        <v>1</v>
      </c>
      <c r="Q142" s="90">
        <v>0.34513888888888888</v>
      </c>
      <c r="R142" s="90">
        <v>0.96805555555555556</v>
      </c>
      <c r="S142" s="126">
        <v>0.57291666666666663</v>
      </c>
      <c r="T142" s="126">
        <v>0.95486111111111116</v>
      </c>
      <c r="U142" s="90">
        <v>0.34583333333333338</v>
      </c>
      <c r="V142" s="90">
        <v>0.95833333333333337</v>
      </c>
      <c r="W142" s="90">
        <v>0.34652777777777777</v>
      </c>
      <c r="X142" s="90">
        <v>0.9506944444444444</v>
      </c>
      <c r="Y142" s="90">
        <v>0.34652777777777777</v>
      </c>
      <c r="Z142" s="91">
        <v>1</v>
      </c>
      <c r="AA142" s="90">
        <v>0.34652777777777777</v>
      </c>
      <c r="AB142" s="90">
        <v>0.9555555555555556</v>
      </c>
      <c r="AC142" s="90">
        <v>0.34652777777777777</v>
      </c>
      <c r="AD142" s="91">
        <v>1</v>
      </c>
      <c r="AE142" s="90">
        <v>0.34583333333333338</v>
      </c>
      <c r="AF142" s="90">
        <v>0.96250000000000002</v>
      </c>
      <c r="AG142" s="120" t="s">
        <v>15</v>
      </c>
      <c r="AH142" s="120" t="s">
        <v>15</v>
      </c>
      <c r="AJ142" s="123">
        <v>49</v>
      </c>
      <c r="AK142" s="90">
        <v>0.34722222222222227</v>
      </c>
      <c r="AL142" s="90">
        <v>0.97013888888888899</v>
      </c>
      <c r="AM142" s="90">
        <v>0.34861111111111115</v>
      </c>
      <c r="AN142" s="90">
        <v>0.94791666666666663</v>
      </c>
      <c r="AO142" s="90">
        <v>0.34722222222222227</v>
      </c>
      <c r="AP142" s="90">
        <v>0.9506944444444444</v>
      </c>
      <c r="AQ142" s="90">
        <v>1</v>
      </c>
      <c r="AR142" s="90">
        <v>1</v>
      </c>
      <c r="AS142" s="90"/>
      <c r="AT142" s="90"/>
      <c r="AU142" s="90"/>
      <c r="AV142" s="91"/>
      <c r="AW142" s="90"/>
      <c r="AX142" s="91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10">
        <f>BS142+BT142+BV142+BW142+CA142+BY142+BZ142+CD142</f>
        <v>19</v>
      </c>
      <c r="BR142" s="81"/>
      <c r="BS142" s="2">
        <f>COUNT(E142:AF142)/2+COUNT(AK142:BP142)/2</f>
        <v>17</v>
      </c>
      <c r="BT142" s="3">
        <f t="shared" si="76"/>
        <v>2</v>
      </c>
      <c r="BU142" s="3">
        <f t="shared" si="77"/>
        <v>0</v>
      </c>
      <c r="BV142" s="3">
        <f t="shared" si="78"/>
        <v>0</v>
      </c>
      <c r="BW142" s="3">
        <f t="shared" si="79"/>
        <v>0</v>
      </c>
      <c r="BX142" s="3">
        <f t="shared" si="80"/>
        <v>0</v>
      </c>
      <c r="BY142" s="3">
        <f t="shared" si="81"/>
        <v>0</v>
      </c>
      <c r="BZ142" s="3">
        <f t="shared" si="82"/>
        <v>0</v>
      </c>
      <c r="CA142" s="3">
        <f t="shared" si="83"/>
        <v>0</v>
      </c>
      <c r="CB142" s="3">
        <f t="shared" si="84"/>
        <v>0</v>
      </c>
      <c r="CC142" s="3">
        <f t="shared" si="85"/>
        <v>0</v>
      </c>
      <c r="CD142" s="3">
        <f t="shared" si="86"/>
        <v>0</v>
      </c>
      <c r="CE142" s="4"/>
    </row>
    <row r="143" spans="1:96" x14ac:dyDescent="0.25">
      <c r="AH143" s="64"/>
      <c r="AJ143"/>
      <c r="BI143" s="16"/>
      <c r="BJ143" s="16"/>
      <c r="BK143" s="16"/>
      <c r="BL143" s="16"/>
      <c r="BM143" s="16"/>
      <c r="BN143" s="16"/>
      <c r="BO143" s="16"/>
      <c r="BP143" s="16"/>
      <c r="BQ143"/>
    </row>
    <row r="144" spans="1:96" x14ac:dyDescent="0.25">
      <c r="AH144" s="64"/>
      <c r="AJ144"/>
      <c r="BI144" s="16"/>
      <c r="BJ144" s="16"/>
      <c r="BK144" s="16"/>
      <c r="BL144" s="16"/>
      <c r="BM144" s="16"/>
      <c r="BN144" s="16"/>
      <c r="BO144" s="16"/>
      <c r="BP144" s="16"/>
      <c r="BQ144"/>
    </row>
    <row r="145" spans="34:69" x14ac:dyDescent="0.25">
      <c r="AH145" s="64"/>
      <c r="AJ145"/>
      <c r="BI145" s="16"/>
      <c r="BJ145" s="16"/>
      <c r="BK145" s="16"/>
      <c r="BL145" s="16"/>
      <c r="BM145" s="16"/>
      <c r="BN145" s="16"/>
      <c r="BO145" s="16"/>
      <c r="BP145" s="16"/>
      <c r="BQ145"/>
    </row>
    <row r="146" spans="34:69" x14ac:dyDescent="0.25">
      <c r="AH146" s="64"/>
      <c r="AJ146"/>
      <c r="BI146" s="16"/>
      <c r="BJ146" s="16"/>
      <c r="BK146" s="16"/>
      <c r="BL146" s="16"/>
      <c r="BM146" s="16"/>
      <c r="BN146" s="16"/>
      <c r="BO146" s="16"/>
      <c r="BP146" s="16"/>
      <c r="BQ146"/>
    </row>
    <row r="147" spans="34:69" x14ac:dyDescent="0.25">
      <c r="AH147" s="64"/>
      <c r="AJ147"/>
      <c r="BI147" s="16"/>
      <c r="BJ147" s="16"/>
      <c r="BK147" s="16"/>
      <c r="BL147" s="16"/>
      <c r="BM147" s="16"/>
      <c r="BN147" s="16"/>
      <c r="BO147" s="16"/>
      <c r="BP147" s="16"/>
      <c r="BQ147"/>
    </row>
    <row r="148" spans="34:69" x14ac:dyDescent="0.25">
      <c r="AH148" s="64"/>
      <c r="AJ148"/>
      <c r="BI148" s="16"/>
      <c r="BJ148" s="16"/>
      <c r="BK148" s="16"/>
      <c r="BL148" s="16"/>
      <c r="BM148" s="16"/>
      <c r="BN148" s="16"/>
      <c r="BO148" s="16"/>
      <c r="BP148" s="16"/>
      <c r="BQ148"/>
    </row>
    <row r="149" spans="34:69" x14ac:dyDescent="0.25">
      <c r="AH149" s="64"/>
      <c r="AJ149"/>
      <c r="BI149" s="16"/>
      <c r="BJ149" s="16"/>
      <c r="BK149" s="16"/>
      <c r="BL149" s="16"/>
      <c r="BM149" s="16"/>
      <c r="BN149" s="16"/>
      <c r="BO149" s="16"/>
      <c r="BP149" s="16"/>
      <c r="BQ149"/>
    </row>
    <row r="150" spans="34:69" x14ac:dyDescent="0.25">
      <c r="AH150" s="64"/>
      <c r="AJ150"/>
      <c r="BI150" s="16"/>
      <c r="BJ150" s="16"/>
      <c r="BK150" s="16"/>
      <c r="BL150" s="16"/>
      <c r="BM150" s="16"/>
      <c r="BN150" s="16"/>
      <c r="BO150" s="16"/>
      <c r="BP150" s="16"/>
      <c r="BQ150"/>
    </row>
    <row r="151" spans="34:69" x14ac:dyDescent="0.25">
      <c r="AH151" s="64"/>
      <c r="AJ151"/>
      <c r="BI151" s="16"/>
      <c r="BJ151" s="16"/>
      <c r="BK151" s="16"/>
      <c r="BL151" s="16"/>
      <c r="BM151" s="16"/>
      <c r="BN151" s="16"/>
      <c r="BO151" s="16"/>
      <c r="BP151" s="16"/>
      <c r="BQ151"/>
    </row>
    <row r="152" spans="34:69" x14ac:dyDescent="0.25">
      <c r="AJ152"/>
      <c r="BI152" s="16"/>
      <c r="BJ152" s="16"/>
      <c r="BK152" s="16"/>
      <c r="BL152" s="16"/>
      <c r="BM152" s="16"/>
      <c r="BN152" s="16"/>
      <c r="BO152" s="16"/>
      <c r="BP152" s="16"/>
      <c r="BQ152"/>
    </row>
  </sheetData>
  <mergeCells count="140">
    <mergeCell ref="E102:AH102"/>
    <mergeCell ref="AK102:BJ102"/>
    <mergeCell ref="BM3:BN3"/>
    <mergeCell ref="BM2:BN2"/>
    <mergeCell ref="BE3:BF3"/>
    <mergeCell ref="AK3:AL3"/>
    <mergeCell ref="BI2:BJ2"/>
    <mergeCell ref="BK3:BL3"/>
    <mergeCell ref="AW2:AX2"/>
    <mergeCell ref="BK2:BL2"/>
    <mergeCell ref="BI3:BJ3"/>
    <mergeCell ref="BA3:BB3"/>
    <mergeCell ref="BC2:BD2"/>
    <mergeCell ref="AQ2:AR2"/>
    <mergeCell ref="AS3:AT3"/>
    <mergeCell ref="BG2:BH2"/>
    <mergeCell ref="AM3:AN3"/>
    <mergeCell ref="BA2:BB2"/>
    <mergeCell ref="AO2:AP2"/>
    <mergeCell ref="BG3:BH3"/>
    <mergeCell ref="AY2:AZ2"/>
    <mergeCell ref="AA3:AB3"/>
    <mergeCell ref="AC3:AD3"/>
    <mergeCell ref="AC2:AD2"/>
    <mergeCell ref="BR35:BR37"/>
    <mergeCell ref="BQ2:BQ4"/>
    <mergeCell ref="BO36:BP36"/>
    <mergeCell ref="BO35:BP35"/>
    <mergeCell ref="BM36:BN36"/>
    <mergeCell ref="BM35:BN35"/>
    <mergeCell ref="AJ34:BQ34"/>
    <mergeCell ref="BK36:BL36"/>
    <mergeCell ref="BK35:BL35"/>
    <mergeCell ref="BI36:BJ36"/>
    <mergeCell ref="BI35:BJ35"/>
    <mergeCell ref="AU35:AV35"/>
    <mergeCell ref="BG35:BH35"/>
    <mergeCell ref="BE36:BF36"/>
    <mergeCell ref="BG36:BH36"/>
    <mergeCell ref="AY35:AZ35"/>
    <mergeCell ref="BA35:BB35"/>
    <mergeCell ref="BC35:BD35"/>
    <mergeCell ref="AK35:AL35"/>
    <mergeCell ref="AM35:AN35"/>
    <mergeCell ref="AO35:AP35"/>
    <mergeCell ref="AQ35:AR35"/>
    <mergeCell ref="BE35:BF35"/>
    <mergeCell ref="BO3:BP3"/>
    <mergeCell ref="A1:AH1"/>
    <mergeCell ref="AJ1:BQ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E2:AF2"/>
    <mergeCell ref="BC3:BD3"/>
    <mergeCell ref="AS2:AT2"/>
    <mergeCell ref="AU2:AV2"/>
    <mergeCell ref="E3:F3"/>
    <mergeCell ref="G3:H3"/>
    <mergeCell ref="Y3:Z3"/>
    <mergeCell ref="AG2:AH2"/>
    <mergeCell ref="AO3:AP3"/>
    <mergeCell ref="CH2:CQ2"/>
    <mergeCell ref="CH35:CQ35"/>
    <mergeCell ref="I35:J35"/>
    <mergeCell ref="AS35:AT35"/>
    <mergeCell ref="AW35:AX35"/>
    <mergeCell ref="W36:X36"/>
    <mergeCell ref="BS35:CE35"/>
    <mergeCell ref="BQ35:BQ37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S2:CE2"/>
    <mergeCell ref="K35:L35"/>
    <mergeCell ref="M35:N35"/>
    <mergeCell ref="BR2:BR4"/>
    <mergeCell ref="BE2:BF2"/>
    <mergeCell ref="U3:V3"/>
    <mergeCell ref="E36:F36"/>
    <mergeCell ref="AA35:AB35"/>
    <mergeCell ref="E35:F35"/>
    <mergeCell ref="G35:H35"/>
    <mergeCell ref="K3:L3"/>
    <mergeCell ref="M3:N3"/>
    <mergeCell ref="Q35:R35"/>
    <mergeCell ref="S3:T3"/>
    <mergeCell ref="Y35:Z35"/>
    <mergeCell ref="O35:P35"/>
    <mergeCell ref="A34:AH34"/>
    <mergeCell ref="AC36:AD36"/>
    <mergeCell ref="AE36:AF36"/>
    <mergeCell ref="U36:V36"/>
    <mergeCell ref="A35:C36"/>
    <mergeCell ref="O36:P36"/>
    <mergeCell ref="Q36:R36"/>
    <mergeCell ref="S36:T36"/>
    <mergeCell ref="O3:P3"/>
    <mergeCell ref="G36:H36"/>
    <mergeCell ref="I36:J36"/>
    <mergeCell ref="K36:L36"/>
    <mergeCell ref="M36:N36"/>
    <mergeCell ref="AG36:AH36"/>
    <mergeCell ref="I3:J3"/>
    <mergeCell ref="Q3:R3"/>
    <mergeCell ref="W3:X3"/>
    <mergeCell ref="AE3:AF3"/>
    <mergeCell ref="AG3:AH3"/>
    <mergeCell ref="AC35:AD35"/>
    <mergeCell ref="AE35:AF35"/>
    <mergeCell ref="AG35:AH35"/>
    <mergeCell ref="W35:X35"/>
    <mergeCell ref="Y36:Z36"/>
    <mergeCell ref="AA36:AB36"/>
    <mergeCell ref="S35:T35"/>
    <mergeCell ref="BO2:BP2"/>
    <mergeCell ref="AU3:AV3"/>
    <mergeCell ref="AW3:AX3"/>
    <mergeCell ref="AY3:AZ3"/>
    <mergeCell ref="AQ3:AR3"/>
    <mergeCell ref="AK2:AL2"/>
    <mergeCell ref="AM2:AN2"/>
    <mergeCell ref="U35:V35"/>
  </mergeCells>
  <phoneticPr fontId="11" type="noConversion"/>
  <conditionalFormatting sqref="A1 AJ1:BQ1">
    <cfRule type="containsText" dxfId="1878" priority="4171" operator="containsText" text="SICK">
      <formula>NOT(ISERROR(SEARCH("SICK",A1)))</formula>
    </cfRule>
    <cfRule type="containsText" dxfId="1877" priority="4170" operator="containsText" text="FL">
      <formula>NOT(ISERROR(SEARCH("FL",A1)))</formula>
    </cfRule>
    <cfRule type="containsText" dxfId="1876" priority="4169" operator="containsText" text="AB">
      <formula>NOT(ISERROR(SEARCH("AB",A1)))</formula>
    </cfRule>
    <cfRule type="containsText" dxfId="1875" priority="4168" operator="containsText" text="EL">
      <formula>NOT(ISERROR(SEARCH("EL",A1)))</formula>
    </cfRule>
    <cfRule type="containsText" dxfId="1874" priority="4167" operator="containsText" text="AL">
      <formula>NOT(ISERROR(SEARCH("AL",A1)))</formula>
    </cfRule>
    <cfRule type="containsText" dxfId="1873" priority="4166" operator="containsText" text="SP">
      <formula>NOT(ISERROR(SEARCH("SP",A1)))</formula>
    </cfRule>
  </conditionalFormatting>
  <conditionalFormatting sqref="A5:A25 A38:A102 BQ5:BQ25 A28:D32 AC28:BQ32 A33:BQ34 A35:D36 AI35:AJ36 BQ35:BQ36 A37:BQ37 BQ38:BQ102 AI127:AI128 BQ127:BQ142">
    <cfRule type="containsText" dxfId="1872" priority="4172" stopIfTrue="1" operator="containsText" text="SP">
      <formula>NOT(ISERROR(SEARCH("SP",A5)))</formula>
    </cfRule>
  </conditionalFormatting>
  <conditionalFormatting sqref="A5:A25 BQ5:BQ25 A28:D32 AC28:BQ32 A33:BQ34 A35:D36 AI35:AJ36 BQ35:BQ36 A37:BQ37 A38:A102 BQ38:BQ102 AI127:AI128 BQ127:BQ142">
    <cfRule type="containsText" dxfId="1871" priority="4174" stopIfTrue="1" operator="containsText" text="EL">
      <formula>NOT(ISERROR(SEARCH("EL",A5)))</formula>
    </cfRule>
    <cfRule type="containsText" dxfId="1870" priority="4173" stopIfTrue="1" operator="containsText" text="AL">
      <formula>NOT(ISERROR(SEARCH("AL",A5)))</formula>
    </cfRule>
    <cfRule type="containsText" dxfId="1869" priority="4175" stopIfTrue="1" operator="containsText" text="AB">
      <formula>NOT(ISERROR(SEARCH("AB",A5)))</formula>
    </cfRule>
    <cfRule type="containsText" dxfId="1868" priority="4176" stopIfTrue="1" operator="containsText" text="FL">
      <formula>NOT(ISERROR(SEARCH("FL",A5)))</formula>
    </cfRule>
    <cfRule type="containsText" dxfId="1867" priority="4177" stopIfTrue="1" operator="containsText" text="SICK">
      <formula>NOT(ISERROR(SEARCH("SICK",A5)))</formula>
    </cfRule>
  </conditionalFormatting>
  <conditionalFormatting sqref="A23:A25 A98:A102">
    <cfRule type="containsText" dxfId="1866" priority="3792" stopIfTrue="1" operator="containsText" text="SP">
      <formula>NOT(ISERROR(SEARCH("SP",A23)))</formula>
    </cfRule>
    <cfRule type="containsText" dxfId="1865" priority="3793" stopIfTrue="1" operator="containsText" text="AL">
      <formula>NOT(ISERROR(SEARCH("AL",A23)))</formula>
    </cfRule>
    <cfRule type="containsText" dxfId="1864" priority="3797" stopIfTrue="1" operator="containsText" text="SICK">
      <formula>NOT(ISERROR(SEARCH("SICK",A23)))</formula>
    </cfRule>
    <cfRule type="containsText" dxfId="1863" priority="3796" stopIfTrue="1" operator="containsText" text="FL">
      <formula>NOT(ISERROR(SEARCH("FL",A23)))</formula>
    </cfRule>
    <cfRule type="containsText" dxfId="1862" priority="3795" stopIfTrue="1" operator="containsText" text="AB">
      <formula>NOT(ISERROR(SEARCH("AB",A23)))</formula>
    </cfRule>
    <cfRule type="containsText" dxfId="1861" priority="3794" stopIfTrue="1" operator="containsText" text="EL">
      <formula>NOT(ISERROR(SEARCH("EL",A23)))</formula>
    </cfRule>
  </conditionalFormatting>
  <conditionalFormatting sqref="C1:C125 C127:C1048576">
    <cfRule type="duplicateValues" dxfId="1860" priority="12230"/>
  </conditionalFormatting>
  <conditionalFormatting sqref="C38:C68 C136:C142 C104:C106 C70:C101">
    <cfRule type="duplicateValues" dxfId="1859" priority="12177"/>
  </conditionalFormatting>
  <conditionalFormatting sqref="C102">
    <cfRule type="duplicateValues" dxfId="1858" priority="404"/>
    <cfRule type="duplicateValues" dxfId="1857" priority="403"/>
  </conditionalFormatting>
  <conditionalFormatting sqref="C104:C125 C1:C101 C127:C1048576">
    <cfRule type="duplicateValues" dxfId="1856" priority="12174"/>
  </conditionalFormatting>
  <conditionalFormatting sqref="C126">
    <cfRule type="duplicateValues" dxfId="1855" priority="70"/>
  </conditionalFormatting>
  <conditionalFormatting sqref="D5:D25 D38:D102 D130:D142">
    <cfRule type="timePeriod" priority="2886" timePeriod="nextWeek">
      <formula>AND(ROUNDDOWN(D5,0)-TODAY()&gt;(7-WEEKDAY(TODAY())),ROUNDDOWN(D5,0)-TODAY()&lt;(15-WEEKDAY(TODAY())))</formula>
    </cfRule>
  </conditionalFormatting>
  <conditionalFormatting sqref="D5:D25 D134:D135">
    <cfRule type="timePeriod" dxfId="1854" priority="2925" timePeriod="nextWeek">
      <formula>AND(ROUNDDOWN(D5,0)-TODAY()&gt;(7-WEEKDAY(TODAY())),ROUNDDOWN(D5,0)-TODAY()&lt;(15-WEEKDAY(TODAY())))</formula>
    </cfRule>
  </conditionalFormatting>
  <conditionalFormatting sqref="D11:D15 D69 D131:D134">
    <cfRule type="timePeriod" dxfId="1853" priority="2923" timePeriod="thisWeek">
      <formula>AND(TODAY()-ROUNDDOWN(D11,0)&lt;=WEEKDAY(TODAY())-1,ROUNDDOWN(D11,0)-TODAY()&lt;=7-WEEKDAY(TODAY()))</formula>
    </cfRule>
  </conditionalFormatting>
  <conditionalFormatting sqref="D19:D21">
    <cfRule type="timePeriod" dxfId="1852" priority="2897" timePeriod="thisWeek">
      <formula>AND(TODAY()-ROUNDDOWN(D19,0)&lt;=WEEKDAY(TODAY())-1,ROUNDDOWN(D19,0)-TODAY()&lt;=7-WEEKDAY(TODAY()))</formula>
    </cfRule>
  </conditionalFormatting>
  <conditionalFormatting sqref="D19:D25">
    <cfRule type="timePeriod" dxfId="1851" priority="2885" timePeriod="last7Days">
      <formula>AND(TODAY()-FLOOR(D19,1)&lt;=6,FLOOR(D19,1)&lt;=TODAY())</formula>
    </cfRule>
  </conditionalFormatting>
  <conditionalFormatting sqref="D22:D25">
    <cfRule type="timePeriod" dxfId="1850" priority="2884" timePeriod="thisWeek">
      <formula>AND(TODAY()-ROUNDDOWN(D22,0)&lt;=WEEKDAY(TODAY())-1,ROUNDDOWN(D22,0)-TODAY()&lt;=7-WEEKDAY(TODAY()))</formula>
    </cfRule>
  </conditionalFormatting>
  <conditionalFormatting sqref="D38:D102 D136:D142">
    <cfRule type="timePeriod" dxfId="1849" priority="2948" timePeriod="thisWeek">
      <formula>AND(TODAY()-ROUNDDOWN(D38,0)&lt;=WEEKDAY(TODAY())-1,ROUNDDOWN(D38,0)-TODAY()&lt;=7-WEEKDAY(TODAY()))</formula>
    </cfRule>
    <cfRule type="timePeriod" dxfId="1848" priority="2946" timePeriod="last7Days">
      <formula>AND(TODAY()-FLOOR(D38,1)&lt;=6,FLOOR(D38,1)&lt;=TODAY())</formula>
    </cfRule>
    <cfRule type="timePeriod" dxfId="1847" priority="2961" timePeriod="nextWeek">
      <formula>AND(ROUNDDOWN(D38,0)-TODAY()&gt;(7-WEEKDAY(TODAY())),ROUNDDOWN(D38,0)-TODAY()&lt;(15-WEEKDAY(TODAY())))</formula>
    </cfRule>
  </conditionalFormatting>
  <conditionalFormatting sqref="D69 D130:D133">
    <cfRule type="timePeriod" dxfId="1846" priority="2911" timePeriod="nextWeek">
      <formula>AND(ROUNDDOWN(D69,0)-TODAY()&gt;(7-WEEKDAY(TODAY())),ROUNDDOWN(D69,0)-TODAY()&lt;(15-WEEKDAY(TODAY())))</formula>
    </cfRule>
  </conditionalFormatting>
  <conditionalFormatting sqref="D69 D131:D134 D11:D15">
    <cfRule type="timePeriod" dxfId="1845" priority="2922" timePeriod="last7Days">
      <formula>AND(TODAY()-FLOOR(D11,1)&lt;=6,FLOOR(D11,1)&lt;=TODAY())</formula>
    </cfRule>
  </conditionalFormatting>
  <conditionalFormatting sqref="D126">
    <cfRule type="timePeriod" dxfId="1844" priority="8" timePeriod="thisWeek">
      <formula>AND(TODAY()-ROUNDDOWN(D126,0)&lt;=WEEKDAY(TODAY())-1,ROUNDDOWN(D126,0)-TODAY()&lt;=7-WEEKDAY(TODAY()))</formula>
    </cfRule>
    <cfRule type="timePeriod" dxfId="1843" priority="7" timePeriod="last7Days">
      <formula>AND(TODAY()-FLOOR(D126,1)&lt;=6,FLOOR(D126,1)&lt;=TODAY())</formula>
    </cfRule>
    <cfRule type="timePeriod" priority="9" timePeriod="nextWeek">
      <formula>AND(ROUNDDOWN(D126,0)-TODAY()&gt;(7-WEEKDAY(TODAY())),ROUNDDOWN(D126,0)-TODAY()&lt;(15-WEEKDAY(TODAY())))</formula>
    </cfRule>
    <cfRule type="timePeriod" dxfId="1842" priority="10" timePeriod="nextWeek">
      <formula>AND(ROUNDDOWN(D126,0)-TODAY()&gt;(7-WEEKDAY(TODAY())),ROUNDDOWN(D126,0)-TODAY()&lt;(15-WEEKDAY(TODAY())))</formula>
    </cfRule>
  </conditionalFormatting>
  <conditionalFormatting sqref="E40 AG57:AG58 AG100:AG101 AG142">
    <cfRule type="containsText" dxfId="1841" priority="1701" operator="containsText" text="AL">
      <formula>NOT(ISERROR(SEARCH("AL",E40)))</formula>
    </cfRule>
    <cfRule type="containsText" dxfId="1840" priority="1700" operator="containsText" text="OFF">
      <formula>NOT(ISERROR(SEARCH("OFF",E40)))</formula>
    </cfRule>
    <cfRule type="containsText" dxfId="1839" priority="1699" operator="containsText" text="Sick">
      <formula>NOT(ISERROR(SEARCH("Sick",E40)))</formula>
    </cfRule>
    <cfRule type="containsText" dxfId="1838" priority="1698" operator="containsText" text="AB">
      <formula>NOT(ISERROR(SEARCH("AB",E40)))</formula>
    </cfRule>
    <cfRule type="containsText" dxfId="1837" priority="1697" operator="containsText" text="MC">
      <formula>NOT(ISERROR(SEARCH("MC",E40)))</formula>
    </cfRule>
    <cfRule type="containsText" dxfId="1836" priority="1696" operator="containsText" text="FL">
      <formula>NOT(ISERROR(SEARCH("FL",E40)))</formula>
    </cfRule>
    <cfRule type="containsText" dxfId="1835" priority="1695" operator="containsText" text="SUS">
      <formula>NOT(ISERROR(SEARCH("SUS",E40)))</formula>
    </cfRule>
  </conditionalFormatting>
  <conditionalFormatting sqref="E9:F12">
    <cfRule type="containsText" dxfId="1834" priority="1746" operator="containsText" text="AL">
      <formula>NOT(ISERROR(SEARCH("AL",E9)))</formula>
    </cfRule>
    <cfRule type="containsText" dxfId="1833" priority="1744" operator="containsText" text="Sick">
      <formula>NOT(ISERROR(SEARCH("Sick",E9)))</formula>
    </cfRule>
    <cfRule type="containsText" dxfId="1832" priority="1743" operator="containsText" text="AB">
      <formula>NOT(ISERROR(SEARCH("AB",E9)))</formula>
    </cfRule>
    <cfRule type="containsText" dxfId="1831" priority="1742" operator="containsText" text="MC">
      <formula>NOT(ISERROR(SEARCH("MC",E9)))</formula>
    </cfRule>
    <cfRule type="containsText" dxfId="1830" priority="1741" operator="containsText" text="FL">
      <formula>NOT(ISERROR(SEARCH("FL",E9)))</formula>
    </cfRule>
    <cfRule type="containsText" dxfId="1829" priority="1745" operator="containsText" text="OFF">
      <formula>NOT(ISERROR(SEARCH("OFF",E9)))</formula>
    </cfRule>
    <cfRule type="containsText" dxfId="1828" priority="1740" operator="containsText" text="SUS">
      <formula>NOT(ISERROR(SEARCH("SUS",E9)))</formula>
    </cfRule>
  </conditionalFormatting>
  <conditionalFormatting sqref="E9:F14 AG57:AH58 AG100:AH101 AG139:AH142 AJ38:AJ102 E52:F52 AG52:AH52 AJ134:BP137 AO138:BP138 AJ139:BP139 AO140:BP140 BC141:BP141 AJ142 AQ142:BP142">
    <cfRule type="containsText" dxfId="1827" priority="1734" operator="containsText" text="AB">
      <formula>NOT(ISERROR(SEARCH("AB",E9)))</formula>
    </cfRule>
  </conditionalFormatting>
  <conditionalFormatting sqref="E13:F14 AH57:AH58 AH100:AH101 AH142">
    <cfRule type="containsText" dxfId="1826" priority="1735" operator="containsText" text="Sick">
      <formula>NOT(ISERROR(SEARCH("Sick",E13)))</formula>
    </cfRule>
    <cfRule type="containsText" dxfId="1825" priority="1733" operator="containsText" text="MC">
      <formula>NOT(ISERROR(SEARCH("MC",E13)))</formula>
    </cfRule>
    <cfRule type="containsText" dxfId="1824" priority="1732" operator="containsText" text="FL">
      <formula>NOT(ISERROR(SEARCH("FL",E13)))</formula>
    </cfRule>
    <cfRule type="containsText" dxfId="1823" priority="1731" operator="containsText" text="SUS">
      <formula>NOT(ISERROR(SEARCH("SUS",E13)))</formula>
    </cfRule>
    <cfRule type="containsText" dxfId="1822" priority="1730" operator="containsText" text="AB">
      <formula>NOT(ISERROR(SEARCH("AB",E13)))</formula>
    </cfRule>
    <cfRule type="containsText" dxfId="1821" priority="1736" operator="containsText" text="OFF">
      <formula>NOT(ISERROR(SEARCH("OFF",E13)))</formula>
    </cfRule>
    <cfRule type="containsText" dxfId="1820" priority="1737" operator="containsText" text="AL">
      <formula>NOT(ISERROR(SEARCH("AL",E13)))</formula>
    </cfRule>
  </conditionalFormatting>
  <conditionalFormatting sqref="E24:F25 E57:F58 E100:F101 E102 E141:F142">
    <cfRule type="containsText" dxfId="1819" priority="1711" operator="containsText" text="EL">
      <formula>NOT(ISERROR(SEARCH("EL",E24)))</formula>
    </cfRule>
    <cfRule type="containsText" dxfId="1818" priority="1716" operator="containsText" text="AB">
      <formula>NOT(ISERROR(SEARCH("AB",E24)))</formula>
    </cfRule>
  </conditionalFormatting>
  <conditionalFormatting sqref="E24:F25 E57:F58 E100:F101 E102 E142:F142">
    <cfRule type="containsText" dxfId="1817" priority="1712" operator="containsText" text="AB">
      <formula>NOT(ISERROR(SEARCH("AB",E24)))</formula>
    </cfRule>
    <cfRule type="containsText" dxfId="1816" priority="1715" operator="containsText" text="MC">
      <formula>NOT(ISERROR(SEARCH("MC",E24)))</formula>
    </cfRule>
    <cfRule type="containsText" dxfId="1815" priority="1719" operator="containsText" text="AL">
      <formula>NOT(ISERROR(SEARCH("AL",E24)))</formula>
    </cfRule>
    <cfRule type="containsText" dxfId="1814" priority="1718" operator="containsText" text="OFF">
      <formula>NOT(ISERROR(SEARCH("OFF",E24)))</formula>
    </cfRule>
    <cfRule type="containsText" dxfId="1813" priority="1717" operator="containsText" text="Sick">
      <formula>NOT(ISERROR(SEARCH("Sick",E24)))</formula>
    </cfRule>
    <cfRule type="containsText" dxfId="1812" priority="1714" operator="containsText" text="FL">
      <formula>NOT(ISERROR(SEARCH("FL",E24)))</formula>
    </cfRule>
    <cfRule type="containsText" dxfId="1811" priority="1713" operator="containsText" text="SUS">
      <formula>NOT(ISERROR(SEARCH("SUS",E24)))</formula>
    </cfRule>
  </conditionalFormatting>
  <conditionalFormatting sqref="E40:F40">
    <cfRule type="containsText" dxfId="1810" priority="1689" operator="containsText" text="AB">
      <formula>NOT(ISERROR(SEARCH("AB",E40)))</formula>
    </cfRule>
    <cfRule type="containsText" dxfId="1809" priority="1684" operator="containsText" text="EL">
      <formula>NOT(ISERROR(SEARCH("EL",E40)))</formula>
    </cfRule>
  </conditionalFormatting>
  <conditionalFormatting sqref="E43:F43">
    <cfRule type="containsText" dxfId="1808" priority="1683" operator="containsText" text="AL">
      <formula>NOT(ISERROR(SEARCH("AL",E43)))</formula>
    </cfRule>
    <cfRule type="containsText" dxfId="1807" priority="1678" operator="containsText" text="FL">
      <formula>NOT(ISERROR(SEARCH("FL",E43)))</formula>
    </cfRule>
    <cfRule type="containsText" dxfId="1806" priority="1677" operator="containsText" text="SUS">
      <formula>NOT(ISERROR(SEARCH("SUS",E43)))</formula>
    </cfRule>
    <cfRule type="containsText" dxfId="1805" priority="1675" operator="containsText" text="EL">
      <formula>NOT(ISERROR(SEARCH("EL",E43)))</formula>
    </cfRule>
    <cfRule type="containsText" dxfId="1804" priority="1676" operator="containsText" text="AB">
      <formula>NOT(ISERROR(SEARCH("AB",E43)))</formula>
    </cfRule>
    <cfRule type="containsText" dxfId="1803" priority="1682" operator="containsText" text="OFF">
      <formula>NOT(ISERROR(SEARCH("OFF",E43)))</formula>
    </cfRule>
    <cfRule type="containsText" dxfId="1802" priority="1681" operator="containsText" text="Sick">
      <formula>NOT(ISERROR(SEARCH("Sick",E43)))</formula>
    </cfRule>
    <cfRule type="containsText" dxfId="1801" priority="1680" operator="containsText" text="AB">
      <formula>NOT(ISERROR(SEARCH("AB",E43)))</formula>
    </cfRule>
    <cfRule type="containsText" dxfId="1800" priority="1679" operator="containsText" text="MC">
      <formula>NOT(ISERROR(SEARCH("MC",E43)))</formula>
    </cfRule>
  </conditionalFormatting>
  <conditionalFormatting sqref="E45:F46 E137:F139 BW4 AJ38:AJ102 AJ134:BP137 AO138:BP138 AJ139:BP139 AO140:BP140 AJ140:AJ142 BC141:BP141 AQ142:BP142 E52:F52 AG52:AH52 AG139:AH141 E141:F141">
    <cfRule type="containsText" dxfId="1799" priority="1948" operator="containsText" text="SUS">
      <formula>NOT(ISERROR(SEARCH("SUS",E4)))</formula>
    </cfRule>
    <cfRule type="containsText" dxfId="1798" priority="1949" operator="containsText" text="FL">
      <formula>NOT(ISERROR(SEARCH("FL",E4)))</formula>
    </cfRule>
  </conditionalFormatting>
  <conditionalFormatting sqref="E45:F46 E137:F139">
    <cfRule type="containsText" dxfId="1797" priority="1946" operator="containsText" text="EL">
      <formula>NOT(ISERROR(SEARCH("EL",E45)))</formula>
    </cfRule>
    <cfRule type="containsText" dxfId="1796" priority="1947" operator="containsText" text="AB">
      <formula>NOT(ISERROR(SEARCH("AB",E45)))</formula>
    </cfRule>
  </conditionalFormatting>
  <conditionalFormatting sqref="E50:F50">
    <cfRule type="containsText" dxfId="1795" priority="1660" operator="containsText" text="FL">
      <formula>NOT(ISERROR(SEARCH("FL",E50)))</formula>
    </cfRule>
    <cfRule type="containsText" dxfId="1794" priority="1661" operator="containsText" text="MC">
      <formula>NOT(ISERROR(SEARCH("MC",E50)))</formula>
    </cfRule>
    <cfRule type="containsText" dxfId="1793" priority="1665" operator="containsText" text="AL">
      <formula>NOT(ISERROR(SEARCH("AL",E50)))</formula>
    </cfRule>
    <cfRule type="containsText" dxfId="1792" priority="1662" operator="containsText" text="AB">
      <formula>NOT(ISERROR(SEARCH("AB",E50)))</formula>
    </cfRule>
    <cfRule type="containsText" dxfId="1791" priority="1663" operator="containsText" text="Sick">
      <formula>NOT(ISERROR(SEARCH("Sick",E50)))</formula>
    </cfRule>
    <cfRule type="containsText" dxfId="1790" priority="1664" operator="containsText" text="OFF">
      <formula>NOT(ISERROR(SEARCH("OFF",E50)))</formula>
    </cfRule>
    <cfRule type="containsText" dxfId="1789" priority="1657" operator="containsText" text="EL">
      <formula>NOT(ISERROR(SEARCH("EL",E50)))</formula>
    </cfRule>
    <cfRule type="containsText" dxfId="1788" priority="1659" operator="containsText" text="SUS">
      <formula>NOT(ISERROR(SEARCH("SUS",E50)))</formula>
    </cfRule>
    <cfRule type="containsText" dxfId="1787" priority="1658" operator="containsText" text="AB">
      <formula>NOT(ISERROR(SEARCH("AB",E50)))</formula>
    </cfRule>
  </conditionalFormatting>
  <conditionalFormatting sqref="E54:F55">
    <cfRule type="containsText" dxfId="1786" priority="1630" operator="containsText" text="EL">
      <formula>NOT(ISERROR(SEARCH("EL",E54)))</formula>
    </cfRule>
    <cfRule type="containsText" dxfId="1785" priority="1632" operator="containsText" text="SUS">
      <formula>NOT(ISERROR(SEARCH("SUS",E54)))</formula>
    </cfRule>
    <cfRule type="containsText" dxfId="1784" priority="1635" operator="containsText" text="AB">
      <formula>NOT(ISERROR(SEARCH("AB",E54)))</formula>
    </cfRule>
    <cfRule type="containsText" dxfId="1783" priority="1634" operator="containsText" text="MC">
      <formula>NOT(ISERROR(SEARCH("MC",E54)))</formula>
    </cfRule>
    <cfRule type="containsText" dxfId="1782" priority="1638" operator="containsText" text="AL">
      <formula>NOT(ISERROR(SEARCH("AL",E54)))</formula>
    </cfRule>
    <cfRule type="containsText" dxfId="1781" priority="1637" operator="containsText" text="OFF">
      <formula>NOT(ISERROR(SEARCH("OFF",E54)))</formula>
    </cfRule>
    <cfRule type="containsText" dxfId="1780" priority="1636" operator="containsText" text="Sick">
      <formula>NOT(ISERROR(SEARCH("Sick",E54)))</formula>
    </cfRule>
    <cfRule type="containsText" dxfId="1779" priority="1631" operator="containsText" text="AB">
      <formula>NOT(ISERROR(SEARCH("AB",E54)))</formula>
    </cfRule>
    <cfRule type="containsText" dxfId="1778" priority="1633" operator="containsText" text="FL">
      <formula>NOT(ISERROR(SEARCH("FL",E54)))</formula>
    </cfRule>
  </conditionalFormatting>
  <conditionalFormatting sqref="E61:F61">
    <cfRule type="containsText" dxfId="1777" priority="1618" operator="containsText" text="Sick">
      <formula>NOT(ISERROR(SEARCH("Sick",E61)))</formula>
    </cfRule>
    <cfRule type="containsText" dxfId="1776" priority="1616" operator="containsText" text="MC">
      <formula>NOT(ISERROR(SEARCH("MC",E61)))</formula>
    </cfRule>
    <cfRule type="containsText" dxfId="1775" priority="1619" operator="containsText" text="OFF">
      <formula>NOT(ISERROR(SEARCH("OFF",E61)))</formula>
    </cfRule>
    <cfRule type="containsText" dxfId="1774" priority="1620" operator="containsText" text="AL">
      <formula>NOT(ISERROR(SEARCH("AL",E61)))</formula>
    </cfRule>
    <cfRule type="containsText" dxfId="1773" priority="1615" operator="containsText" text="FL">
      <formula>NOT(ISERROR(SEARCH("FL",E61)))</formula>
    </cfRule>
    <cfRule type="containsText" dxfId="1772" priority="1614" operator="containsText" text="SUS">
      <formula>NOT(ISERROR(SEARCH("SUS",E61)))</formula>
    </cfRule>
    <cfRule type="containsText" dxfId="1771" priority="1613" operator="containsText" text="AB">
      <formula>NOT(ISERROR(SEARCH("AB",E61)))</formula>
    </cfRule>
    <cfRule type="containsText" dxfId="1770" priority="1617" operator="containsText" text="AB">
      <formula>NOT(ISERROR(SEARCH("AB",E61)))</formula>
    </cfRule>
    <cfRule type="containsText" dxfId="1769" priority="1612" operator="containsText" text="EL">
      <formula>NOT(ISERROR(SEARCH("EL",E61)))</formula>
    </cfRule>
  </conditionalFormatting>
  <conditionalFormatting sqref="E66:F66">
    <cfRule type="containsText" dxfId="1768" priority="1609" operator="containsText" text="Sick">
      <formula>NOT(ISERROR(SEARCH("Sick",E66)))</formula>
    </cfRule>
    <cfRule type="containsText" dxfId="1767" priority="1606" operator="containsText" text="FL">
      <formula>NOT(ISERROR(SEARCH("FL",E66)))</formula>
    </cfRule>
    <cfRule type="containsText" dxfId="1766" priority="1605" operator="containsText" text="SUS">
      <formula>NOT(ISERROR(SEARCH("SUS",E66)))</formula>
    </cfRule>
    <cfRule type="containsText" dxfId="1765" priority="1604" operator="containsText" text="AB">
      <formula>NOT(ISERROR(SEARCH("AB",E66)))</formula>
    </cfRule>
    <cfRule type="containsText" dxfId="1764" priority="1603" operator="containsText" text="EL">
      <formula>NOT(ISERROR(SEARCH("EL",E66)))</formula>
    </cfRule>
    <cfRule type="containsText" dxfId="1763" priority="1610" operator="containsText" text="OFF">
      <formula>NOT(ISERROR(SEARCH("OFF",E66)))</formula>
    </cfRule>
    <cfRule type="containsText" dxfId="1762" priority="1611" operator="containsText" text="AL">
      <formula>NOT(ISERROR(SEARCH("AL",E66)))</formula>
    </cfRule>
    <cfRule type="containsText" dxfId="1761" priority="1607" operator="containsText" text="MC">
      <formula>NOT(ISERROR(SEARCH("MC",E66)))</formula>
    </cfRule>
    <cfRule type="containsText" dxfId="1760" priority="1608" operator="containsText" text="AB">
      <formula>NOT(ISERROR(SEARCH("AB",E66)))</formula>
    </cfRule>
  </conditionalFormatting>
  <conditionalFormatting sqref="E72:F73">
    <cfRule type="containsText" dxfId="1759" priority="1598" operator="containsText" text="MC">
      <formula>NOT(ISERROR(SEARCH("MC",E72)))</formula>
    </cfRule>
    <cfRule type="containsText" dxfId="1758" priority="1599" operator="containsText" text="AB">
      <formula>NOT(ISERROR(SEARCH("AB",E72)))</formula>
    </cfRule>
    <cfRule type="containsText" dxfId="1757" priority="1601" operator="containsText" text="OFF">
      <formula>NOT(ISERROR(SEARCH("OFF",E72)))</formula>
    </cfRule>
    <cfRule type="containsText" dxfId="1756" priority="1594" operator="containsText" text="EL">
      <formula>NOT(ISERROR(SEARCH("EL",E72)))</formula>
    </cfRule>
    <cfRule type="containsText" dxfId="1755" priority="1602" operator="containsText" text="AL">
      <formula>NOT(ISERROR(SEARCH("AL",E72)))</formula>
    </cfRule>
    <cfRule type="containsText" dxfId="1754" priority="1595" operator="containsText" text="AB">
      <formula>NOT(ISERROR(SEARCH("AB",E72)))</formula>
    </cfRule>
    <cfRule type="containsText" dxfId="1753" priority="1596" operator="containsText" text="SUS">
      <formula>NOT(ISERROR(SEARCH("SUS",E72)))</formula>
    </cfRule>
    <cfRule type="containsText" dxfId="1752" priority="1600" operator="containsText" text="Sick">
      <formula>NOT(ISERROR(SEARCH("Sick",E72)))</formula>
    </cfRule>
    <cfRule type="containsText" dxfId="1751" priority="1597" operator="containsText" text="FL">
      <formula>NOT(ISERROR(SEARCH("FL",E72)))</formula>
    </cfRule>
  </conditionalFormatting>
  <conditionalFormatting sqref="E75:F78">
    <cfRule type="containsText" dxfId="1750" priority="1587" operator="containsText" text="SUS">
      <formula>NOT(ISERROR(SEARCH("SUS",E75)))</formula>
    </cfRule>
    <cfRule type="containsText" dxfId="1749" priority="1585" operator="containsText" text="EL">
      <formula>NOT(ISERROR(SEARCH("EL",E75)))</formula>
    </cfRule>
    <cfRule type="containsText" dxfId="1748" priority="1588" operator="containsText" text="FL">
      <formula>NOT(ISERROR(SEARCH("FL",E75)))</formula>
    </cfRule>
    <cfRule type="containsText" dxfId="1747" priority="1593" operator="containsText" text="AL">
      <formula>NOT(ISERROR(SEARCH("AL",E75)))</formula>
    </cfRule>
    <cfRule type="containsText" dxfId="1746" priority="1592" operator="containsText" text="OFF">
      <formula>NOT(ISERROR(SEARCH("OFF",E75)))</formula>
    </cfRule>
    <cfRule type="containsText" dxfId="1745" priority="1591" operator="containsText" text="Sick">
      <formula>NOT(ISERROR(SEARCH("Sick",E75)))</formula>
    </cfRule>
    <cfRule type="containsText" dxfId="1744" priority="1590" operator="containsText" text="AB">
      <formula>NOT(ISERROR(SEARCH("AB",E75)))</formula>
    </cfRule>
    <cfRule type="containsText" dxfId="1743" priority="1589" operator="containsText" text="MC">
      <formula>NOT(ISERROR(SEARCH("MC",E75)))</formula>
    </cfRule>
    <cfRule type="containsText" dxfId="1742" priority="1586" operator="containsText" text="AB">
      <formula>NOT(ISERROR(SEARCH("AB",E75)))</formula>
    </cfRule>
  </conditionalFormatting>
  <conditionalFormatting sqref="E81:F81">
    <cfRule type="containsText" dxfId="1741" priority="1577" operator="containsText" text="AB">
      <formula>NOT(ISERROR(SEARCH("AB",E81)))</formula>
    </cfRule>
    <cfRule type="containsText" dxfId="1740" priority="1576" operator="containsText" text="EL">
      <formula>NOT(ISERROR(SEARCH("EL",E81)))</formula>
    </cfRule>
    <cfRule type="containsText" dxfId="1739" priority="1584" operator="containsText" text="AL">
      <formula>NOT(ISERROR(SEARCH("AL",E81)))</formula>
    </cfRule>
    <cfRule type="containsText" dxfId="1738" priority="1583" operator="containsText" text="OFF">
      <formula>NOT(ISERROR(SEARCH("OFF",E81)))</formula>
    </cfRule>
    <cfRule type="containsText" dxfId="1737" priority="1582" operator="containsText" text="Sick">
      <formula>NOT(ISERROR(SEARCH("Sick",E81)))</formula>
    </cfRule>
    <cfRule type="containsText" dxfId="1736" priority="1581" operator="containsText" text="AB">
      <formula>NOT(ISERROR(SEARCH("AB",E81)))</formula>
    </cfRule>
    <cfRule type="containsText" dxfId="1735" priority="1580" operator="containsText" text="MC">
      <formula>NOT(ISERROR(SEARCH("MC",E81)))</formula>
    </cfRule>
    <cfRule type="containsText" dxfId="1734" priority="1579" operator="containsText" text="FL">
      <formula>NOT(ISERROR(SEARCH("FL",E81)))</formula>
    </cfRule>
    <cfRule type="containsText" dxfId="1733" priority="1578" operator="containsText" text="SUS">
      <formula>NOT(ISERROR(SEARCH("SUS",E81)))</formula>
    </cfRule>
  </conditionalFormatting>
  <conditionalFormatting sqref="E85:F85">
    <cfRule type="containsText" dxfId="1732" priority="1574" operator="containsText" text="OFF">
      <formula>NOT(ISERROR(SEARCH("OFF",E85)))</formula>
    </cfRule>
    <cfRule type="containsText" dxfId="1731" priority="1575" operator="containsText" text="AL">
      <formula>NOT(ISERROR(SEARCH("AL",E85)))</formula>
    </cfRule>
    <cfRule type="containsText" dxfId="1730" priority="1567" operator="containsText" text="EL">
      <formula>NOT(ISERROR(SEARCH("EL",E85)))</formula>
    </cfRule>
    <cfRule type="containsText" dxfId="1729" priority="1568" operator="containsText" text="AB">
      <formula>NOT(ISERROR(SEARCH("AB",E85)))</formula>
    </cfRule>
    <cfRule type="containsText" dxfId="1728" priority="1569" operator="containsText" text="SUS">
      <formula>NOT(ISERROR(SEARCH("SUS",E85)))</formula>
    </cfRule>
    <cfRule type="containsText" dxfId="1727" priority="1570" operator="containsText" text="FL">
      <formula>NOT(ISERROR(SEARCH("FL",E85)))</formula>
    </cfRule>
    <cfRule type="containsText" dxfId="1726" priority="1571" operator="containsText" text="MC">
      <formula>NOT(ISERROR(SEARCH("MC",E85)))</formula>
    </cfRule>
    <cfRule type="containsText" dxfId="1725" priority="1572" operator="containsText" text="AB">
      <formula>NOT(ISERROR(SEARCH("AB",E85)))</formula>
    </cfRule>
    <cfRule type="containsText" dxfId="1724" priority="1573" operator="containsText" text="Sick">
      <formula>NOT(ISERROR(SEARCH("Sick",E85)))</formula>
    </cfRule>
  </conditionalFormatting>
  <conditionalFormatting sqref="E88:F89">
    <cfRule type="containsText" dxfId="1723" priority="1566" operator="containsText" text="AL">
      <formula>NOT(ISERROR(SEARCH("AL",E88)))</formula>
    </cfRule>
    <cfRule type="containsText" dxfId="1722" priority="1565" operator="containsText" text="OFF">
      <formula>NOT(ISERROR(SEARCH("OFF",E88)))</formula>
    </cfRule>
    <cfRule type="containsText" dxfId="1721" priority="1561" operator="containsText" text="FL">
      <formula>NOT(ISERROR(SEARCH("FL",E88)))</formula>
    </cfRule>
    <cfRule type="containsText" dxfId="1720" priority="1558" operator="containsText" text="EL">
      <formula>NOT(ISERROR(SEARCH("EL",E88)))</formula>
    </cfRule>
    <cfRule type="containsText" dxfId="1719" priority="1559" operator="containsText" text="AB">
      <formula>NOT(ISERROR(SEARCH("AB",E88)))</formula>
    </cfRule>
    <cfRule type="containsText" dxfId="1718" priority="1560" operator="containsText" text="SUS">
      <formula>NOT(ISERROR(SEARCH("SUS",E88)))</formula>
    </cfRule>
    <cfRule type="containsText" dxfId="1717" priority="1562" operator="containsText" text="MC">
      <formula>NOT(ISERROR(SEARCH("MC",E88)))</formula>
    </cfRule>
    <cfRule type="containsText" dxfId="1716" priority="1563" operator="containsText" text="AB">
      <formula>NOT(ISERROR(SEARCH("AB",E88)))</formula>
    </cfRule>
    <cfRule type="containsText" dxfId="1715" priority="1564" operator="containsText" text="Sick">
      <formula>NOT(ISERROR(SEARCH("Sick",E88)))</formula>
    </cfRule>
  </conditionalFormatting>
  <conditionalFormatting sqref="E91:F91">
    <cfRule type="containsText" dxfId="1714" priority="1552" operator="containsText" text="FL">
      <formula>NOT(ISERROR(SEARCH("FL",E91)))</formula>
    </cfRule>
    <cfRule type="containsText" dxfId="1713" priority="1553" operator="containsText" text="MC">
      <formula>NOT(ISERROR(SEARCH("MC",E91)))</formula>
    </cfRule>
    <cfRule type="containsText" dxfId="1712" priority="1554" operator="containsText" text="AB">
      <formula>NOT(ISERROR(SEARCH("AB",E91)))</formula>
    </cfRule>
    <cfRule type="containsText" dxfId="1711" priority="1555" operator="containsText" text="Sick">
      <formula>NOT(ISERROR(SEARCH("Sick",E91)))</formula>
    </cfRule>
    <cfRule type="containsText" dxfId="1710" priority="1550" operator="containsText" text="AB">
      <formula>NOT(ISERROR(SEARCH("AB",E91)))</formula>
    </cfRule>
    <cfRule type="containsText" dxfId="1709" priority="1549" operator="containsText" text="EL">
      <formula>NOT(ISERROR(SEARCH("EL",E91)))</formula>
    </cfRule>
    <cfRule type="containsText" dxfId="1708" priority="1556" operator="containsText" text="OFF">
      <formula>NOT(ISERROR(SEARCH("OFF",E91)))</formula>
    </cfRule>
    <cfRule type="containsText" dxfId="1707" priority="1557" operator="containsText" text="AL">
      <formula>NOT(ISERROR(SEARCH("AL",E91)))</formula>
    </cfRule>
    <cfRule type="containsText" dxfId="1706" priority="1551" operator="containsText" text="SUS">
      <formula>NOT(ISERROR(SEARCH("SUS",E91)))</formula>
    </cfRule>
  </conditionalFormatting>
  <conditionalFormatting sqref="E94:F95">
    <cfRule type="containsText" dxfId="1705" priority="1547" operator="containsText" text="OFF">
      <formula>NOT(ISERROR(SEARCH("OFF",E94)))</formula>
    </cfRule>
    <cfRule type="containsText" dxfId="1704" priority="1546" operator="containsText" text="Sick">
      <formula>NOT(ISERROR(SEARCH("Sick",E94)))</formula>
    </cfRule>
    <cfRule type="containsText" dxfId="1703" priority="1545" operator="containsText" text="AB">
      <formula>NOT(ISERROR(SEARCH("AB",E94)))</formula>
    </cfRule>
    <cfRule type="containsText" dxfId="1702" priority="1544" operator="containsText" text="MC">
      <formula>NOT(ISERROR(SEARCH("MC",E94)))</formula>
    </cfRule>
    <cfRule type="containsText" dxfId="1701" priority="1540" operator="containsText" text="EL">
      <formula>NOT(ISERROR(SEARCH("EL",E94)))</formula>
    </cfRule>
    <cfRule type="containsText" dxfId="1700" priority="1543" operator="containsText" text="FL">
      <formula>NOT(ISERROR(SEARCH("FL",E94)))</formula>
    </cfRule>
    <cfRule type="containsText" dxfId="1699" priority="1542" operator="containsText" text="SUS">
      <formula>NOT(ISERROR(SEARCH("SUS",E94)))</formula>
    </cfRule>
    <cfRule type="containsText" dxfId="1698" priority="1541" operator="containsText" text="AB">
      <formula>NOT(ISERROR(SEARCH("AB",E94)))</formula>
    </cfRule>
    <cfRule type="containsText" dxfId="1697" priority="1548" operator="containsText" text="AL">
      <formula>NOT(ISERROR(SEARCH("AL",E94)))</formula>
    </cfRule>
  </conditionalFormatting>
  <conditionalFormatting sqref="E98:F98">
    <cfRule type="containsText" dxfId="1696" priority="1535" operator="containsText" text="MC">
      <formula>NOT(ISERROR(SEARCH("MC",E98)))</formula>
    </cfRule>
    <cfRule type="containsText" dxfId="1695" priority="1534" operator="containsText" text="FL">
      <formula>NOT(ISERROR(SEARCH("FL",E98)))</formula>
    </cfRule>
    <cfRule type="containsText" dxfId="1694" priority="1533" operator="containsText" text="SUS">
      <formula>NOT(ISERROR(SEARCH("SUS",E98)))</formula>
    </cfRule>
    <cfRule type="containsText" dxfId="1693" priority="1532" operator="containsText" text="AB">
      <formula>NOT(ISERROR(SEARCH("AB",E98)))</formula>
    </cfRule>
    <cfRule type="containsText" dxfId="1692" priority="1531" operator="containsText" text="EL">
      <formula>NOT(ISERROR(SEARCH("EL",E98)))</formula>
    </cfRule>
    <cfRule type="containsText" dxfId="1691" priority="1538" operator="containsText" text="OFF">
      <formula>NOT(ISERROR(SEARCH("OFF",E98)))</formula>
    </cfRule>
    <cfRule type="containsText" dxfId="1690" priority="1539" operator="containsText" text="AL">
      <formula>NOT(ISERROR(SEARCH("AL",E98)))</formula>
    </cfRule>
    <cfRule type="containsText" dxfId="1689" priority="1537" operator="containsText" text="Sick">
      <formula>NOT(ISERROR(SEARCH("Sick",E98)))</formula>
    </cfRule>
    <cfRule type="containsText" dxfId="1688" priority="1536" operator="containsText" text="AB">
      <formula>NOT(ISERROR(SEARCH("AB",E98)))</formula>
    </cfRule>
  </conditionalFormatting>
  <conditionalFormatting sqref="E135:F135">
    <cfRule type="containsText" dxfId="1687" priority="1728" operator="containsText" text="AL">
      <formula>NOT(ISERROR(SEARCH("AL",E135)))</formula>
    </cfRule>
    <cfRule type="containsText" dxfId="1686" priority="1726" operator="containsText" text="Sick">
      <formula>NOT(ISERROR(SEARCH("Sick",E135)))</formula>
    </cfRule>
    <cfRule type="containsText" dxfId="1685" priority="1725" operator="containsText" text="AB">
      <formula>NOT(ISERROR(SEARCH("AB",E135)))</formula>
    </cfRule>
    <cfRule type="containsText" dxfId="1684" priority="1724" operator="containsText" text="MC">
      <formula>NOT(ISERROR(SEARCH("MC",E135)))</formula>
    </cfRule>
    <cfRule type="containsText" dxfId="1683" priority="1723" operator="containsText" text="FL">
      <formula>NOT(ISERROR(SEARCH("FL",E135)))</formula>
    </cfRule>
    <cfRule type="containsText" dxfId="1682" priority="1722" operator="containsText" text="SUS">
      <formula>NOT(ISERROR(SEARCH("SUS",E135)))</formula>
    </cfRule>
    <cfRule type="containsText" dxfId="1681" priority="1721" operator="containsText" text="AB">
      <formula>NOT(ISERROR(SEARCH("AB",E135)))</formula>
    </cfRule>
    <cfRule type="containsText" dxfId="1680" priority="1720" operator="containsText" text="EL">
      <formula>NOT(ISERROR(SEARCH("EL",E135)))</formula>
    </cfRule>
    <cfRule type="containsText" dxfId="1679" priority="1727" operator="containsText" text="OFF">
      <formula>NOT(ISERROR(SEARCH("OFF",E135)))</formula>
    </cfRule>
  </conditionalFormatting>
  <conditionalFormatting sqref="E5:H5">
    <cfRule type="containsText" dxfId="1678" priority="1759" operator="containsText" text="FL">
      <formula>NOT(ISERROR(SEARCH("FL",E5)))</formula>
    </cfRule>
    <cfRule type="containsText" dxfId="1677" priority="1757" operator="containsText" text="AB">
      <formula>NOT(ISERROR(SEARCH("AB",E5)))</formula>
    </cfRule>
    <cfRule type="containsText" dxfId="1676" priority="1756" operator="containsText" text="EL">
      <formula>NOT(ISERROR(SEARCH("EL",E5)))</formula>
    </cfRule>
    <cfRule type="containsText" dxfId="1675" priority="1764" operator="containsText" text="AL">
      <formula>NOT(ISERROR(SEARCH("AL",E5)))</formula>
    </cfRule>
    <cfRule type="containsText" dxfId="1674" priority="1763" operator="containsText" text="OFF">
      <formula>NOT(ISERROR(SEARCH("OFF",E5)))</formula>
    </cfRule>
    <cfRule type="containsText" dxfId="1673" priority="1762" operator="containsText" text="Sick">
      <formula>NOT(ISERROR(SEARCH("Sick",E5)))</formula>
    </cfRule>
    <cfRule type="containsText" dxfId="1672" priority="1761" operator="containsText" text="AB">
      <formula>NOT(ISERROR(SEARCH("AB",E5)))</formula>
    </cfRule>
    <cfRule type="containsText" dxfId="1671" priority="1760" operator="containsText" text="MC">
      <formula>NOT(ISERROR(SEARCH("MC",E5)))</formula>
    </cfRule>
    <cfRule type="containsText" dxfId="1670" priority="1758" operator="containsText" text="SUS">
      <formula>NOT(ISERROR(SEARCH("SUS",E5)))</formula>
    </cfRule>
  </conditionalFormatting>
  <conditionalFormatting sqref="E69:X69">
    <cfRule type="containsText" dxfId="1669" priority="1408" operator="containsText" text="EL">
      <formula>NOT(ISERROR(SEARCH("EL",E69)))</formula>
    </cfRule>
    <cfRule type="containsText" dxfId="1668" priority="1416" operator="containsText" text="AL">
      <formula>NOT(ISERROR(SEARCH("AL",E69)))</formula>
    </cfRule>
    <cfRule type="containsText" dxfId="1667" priority="1415" operator="containsText" text="OFF">
      <formula>NOT(ISERROR(SEARCH("OFF",E69)))</formula>
    </cfRule>
    <cfRule type="containsText" dxfId="1666" priority="1414" operator="containsText" text="Sick">
      <formula>NOT(ISERROR(SEARCH("Sick",E69)))</formula>
    </cfRule>
    <cfRule type="containsText" dxfId="1665" priority="1413" operator="containsText" text="AB">
      <formula>NOT(ISERROR(SEARCH("AB",E69)))</formula>
    </cfRule>
    <cfRule type="containsText" dxfId="1664" priority="1412" operator="containsText" text="MC">
      <formula>NOT(ISERROR(SEARCH("MC",E69)))</formula>
    </cfRule>
    <cfRule type="containsText" dxfId="1663" priority="1411" operator="containsText" text="FL">
      <formula>NOT(ISERROR(SEARCH("FL",E69)))</formula>
    </cfRule>
    <cfRule type="containsText" dxfId="1662" priority="1410" operator="containsText" text="SUS">
      <formula>NOT(ISERROR(SEARCH("SUS",E69)))</formula>
    </cfRule>
    <cfRule type="containsText" dxfId="1661" priority="1409" operator="containsText" text="AB">
      <formula>NOT(ISERROR(SEARCH("AB",E69)))</formula>
    </cfRule>
  </conditionalFormatting>
  <conditionalFormatting sqref="E129:AH129">
    <cfRule type="cellIs" dxfId="1660" priority="2987" operator="between">
      <formula>0.0625</formula>
      <formula>0.1875</formula>
    </cfRule>
    <cfRule type="cellIs" dxfId="1659" priority="2990" operator="greaterThan">
      <formula>"1:31am"</formula>
    </cfRule>
  </conditionalFormatting>
  <conditionalFormatting sqref="F40">
    <cfRule type="containsText" dxfId="1658" priority="1686" operator="containsText" text="SUS">
      <formula>NOT(ISERROR(SEARCH("SUS",F40)))</formula>
    </cfRule>
    <cfRule type="containsText" dxfId="1657" priority="1687" operator="containsText" text="FL">
      <formula>NOT(ISERROR(SEARCH("FL",F40)))</formula>
    </cfRule>
    <cfRule type="containsText" dxfId="1656" priority="1692" operator="containsText" text="AL">
      <formula>NOT(ISERROR(SEARCH("AL",F40)))</formula>
    </cfRule>
    <cfRule type="containsText" dxfId="1655" priority="1688" operator="containsText" text="MC">
      <formula>NOT(ISERROR(SEARCH("MC",F40)))</formula>
    </cfRule>
    <cfRule type="containsText" dxfId="1654" priority="1690" operator="containsText" text="Sick">
      <formula>NOT(ISERROR(SEARCH("Sick",F40)))</formula>
    </cfRule>
    <cfRule type="containsText" dxfId="1653" priority="1691" operator="containsText" text="OFF">
      <formula>NOT(ISERROR(SEARCH("OFF",F40)))</formula>
    </cfRule>
    <cfRule type="containsText" dxfId="1652" priority="1685" operator="containsText" text="AB">
      <formula>NOT(ISERROR(SEARCH("AB",F40)))</formula>
    </cfRule>
  </conditionalFormatting>
  <conditionalFormatting sqref="I10:J10">
    <cfRule type="containsText" dxfId="1651" priority="1710" operator="containsText" text="AL">
      <formula>NOT(ISERROR(SEARCH("AL",I10)))</formula>
    </cfRule>
    <cfRule type="containsText" dxfId="1650" priority="1708" operator="containsText" text="Sick">
      <formula>NOT(ISERROR(SEARCH("Sick",I10)))</formula>
    </cfRule>
    <cfRule type="containsText" dxfId="1649" priority="1702" operator="containsText" text="EL">
      <formula>NOT(ISERROR(SEARCH("EL",I10)))</formula>
    </cfRule>
    <cfRule type="containsText" dxfId="1648" priority="1703" operator="containsText" text="AB">
      <formula>NOT(ISERROR(SEARCH("AB",I10)))</formula>
    </cfRule>
    <cfRule type="containsText" dxfId="1647" priority="1704" operator="containsText" text="SUS">
      <formula>NOT(ISERROR(SEARCH("SUS",I10)))</formula>
    </cfRule>
    <cfRule type="containsText" dxfId="1646" priority="1705" operator="containsText" text="FL">
      <formula>NOT(ISERROR(SEARCH("FL",I10)))</formula>
    </cfRule>
    <cfRule type="containsText" dxfId="1645" priority="1706" operator="containsText" text="MC">
      <formula>NOT(ISERROR(SEARCH("MC",I10)))</formula>
    </cfRule>
    <cfRule type="containsText" dxfId="1644" priority="1707" operator="containsText" text="AB">
      <formula>NOT(ISERROR(SEARCH("AB",I10)))</formula>
    </cfRule>
    <cfRule type="containsText" dxfId="1643" priority="1709" operator="containsText" text="OFF">
      <formula>NOT(ISERROR(SEARCH("OFF",I10)))</formula>
    </cfRule>
  </conditionalFormatting>
  <conditionalFormatting sqref="I45:J45">
    <cfRule type="containsText" dxfId="1642" priority="1485" operator="containsText" text="FL">
      <formula>NOT(ISERROR(SEARCH("FL",I45)))</formula>
    </cfRule>
    <cfRule type="containsText" dxfId="1641" priority="1484" operator="containsText" text="SUS">
      <formula>NOT(ISERROR(SEARCH("SUS",I45)))</formula>
    </cfRule>
    <cfRule type="containsText" dxfId="1640" priority="1487" operator="containsText" text="MC">
      <formula>NOT(ISERROR(SEARCH("MC",I45)))</formula>
    </cfRule>
    <cfRule type="containsText" dxfId="1639" priority="1488" operator="containsText" text="OFF">
      <formula>NOT(ISERROR(SEARCH("OFF",I45)))</formula>
    </cfRule>
    <cfRule type="containsText" dxfId="1638" priority="1489" operator="containsText" text="AB">
      <formula>NOT(ISERROR(SEARCH("AB",I45)))</formula>
    </cfRule>
    <cfRule type="containsText" dxfId="1637" priority="1490" operator="containsText" text="SICK">
      <formula>NOT(ISERROR(SEARCH("SICK",I45)))</formula>
    </cfRule>
    <cfRule type="containsText" dxfId="1636" priority="1483" operator="containsText" text="NL">
      <formula>NOT(ISERROR(SEARCH("NL",I45)))</formula>
    </cfRule>
    <cfRule type="containsText" dxfId="1635" priority="1482" operator="containsText" text="SP">
      <formula>NOT(ISERROR(SEARCH("SP",I45)))</formula>
    </cfRule>
    <cfRule type="containsText" dxfId="1634" priority="1491" operator="containsText" text="AL">
      <formula>NOT(ISERROR(SEARCH("AL",I45)))</formula>
    </cfRule>
    <cfRule type="containsText" dxfId="1633" priority="1486" operator="containsText" text="EL">
      <formula>NOT(ISERROR(SEARCH("EL",I45)))</formula>
    </cfRule>
  </conditionalFormatting>
  <conditionalFormatting sqref="I43:L43">
    <cfRule type="containsText" dxfId="1632" priority="1492" operator="containsText" text="SP">
      <formula>NOT(ISERROR(SEARCH("SP",I43)))</formula>
    </cfRule>
    <cfRule type="containsText" dxfId="1631" priority="1493" operator="containsText" text="NL">
      <formula>NOT(ISERROR(SEARCH("NL",I43)))</formula>
    </cfRule>
    <cfRule type="containsText" dxfId="1630" priority="1494" operator="containsText" text="SUS">
      <formula>NOT(ISERROR(SEARCH("SUS",I43)))</formula>
    </cfRule>
    <cfRule type="containsText" dxfId="1629" priority="1495" operator="containsText" text="FL">
      <formula>NOT(ISERROR(SEARCH("FL",I43)))</formula>
    </cfRule>
    <cfRule type="containsText" dxfId="1628" priority="1496" operator="containsText" text="EL">
      <formula>NOT(ISERROR(SEARCH("EL",I43)))</formula>
    </cfRule>
    <cfRule type="containsText" dxfId="1627" priority="1499" operator="containsText" text="AB">
      <formula>NOT(ISERROR(SEARCH("AB",I43)))</formula>
    </cfRule>
    <cfRule type="containsText" dxfId="1626" priority="1500" operator="containsText" text="SICK">
      <formula>NOT(ISERROR(SEARCH("SICK",I43)))</formula>
    </cfRule>
    <cfRule type="containsText" dxfId="1625" priority="1501" operator="containsText" text="AL">
      <formula>NOT(ISERROR(SEARCH("AL",I43)))</formula>
    </cfRule>
    <cfRule type="containsText" dxfId="1624" priority="1497" operator="containsText" text="MC">
      <formula>NOT(ISERROR(SEARCH("MC",I43)))</formula>
    </cfRule>
    <cfRule type="containsText" dxfId="1623" priority="1498" operator="containsText" text="OFF">
      <formula>NOT(ISERROR(SEARCH("OFF",I43)))</formula>
    </cfRule>
  </conditionalFormatting>
  <conditionalFormatting sqref="I79:N79">
    <cfRule type="containsText" dxfId="1622" priority="1517" operator="containsText" text="MC">
      <formula>NOT(ISERROR(SEARCH("MC",I79)))</formula>
    </cfRule>
    <cfRule type="containsText" dxfId="1621" priority="1516" operator="containsText" text="EL">
      <formula>NOT(ISERROR(SEARCH("EL",I79)))</formula>
    </cfRule>
    <cfRule type="containsText" dxfId="1620" priority="1514" operator="containsText" text="SUS">
      <formula>NOT(ISERROR(SEARCH("SUS",I79)))</formula>
    </cfRule>
    <cfRule type="containsText" dxfId="1619" priority="1513" operator="containsText" text="NL">
      <formula>NOT(ISERROR(SEARCH("NL",I79)))</formula>
    </cfRule>
    <cfRule type="containsText" dxfId="1618" priority="1512" operator="containsText" text="SP">
      <formula>NOT(ISERROR(SEARCH("SP",I79)))</formula>
    </cfRule>
    <cfRule type="containsText" dxfId="1617" priority="1515" operator="containsText" text="FL">
      <formula>NOT(ISERROR(SEARCH("FL",I79)))</formula>
    </cfRule>
    <cfRule type="containsText" dxfId="1616" priority="1521" operator="containsText" text="AL">
      <formula>NOT(ISERROR(SEARCH("AL",I79)))</formula>
    </cfRule>
    <cfRule type="containsText" dxfId="1615" priority="1520" operator="containsText" text="SICK">
      <formula>NOT(ISERROR(SEARCH("SICK",I79)))</formula>
    </cfRule>
    <cfRule type="containsText" dxfId="1614" priority="1519" operator="containsText" text="AB">
      <formula>NOT(ISERROR(SEARCH("AB",I79)))</formula>
    </cfRule>
    <cfRule type="containsText" dxfId="1613" priority="1518" operator="containsText" text="OFF">
      <formula>NOT(ISERROR(SEARCH("OFF",I79)))</formula>
    </cfRule>
  </conditionalFormatting>
  <conditionalFormatting sqref="I7:R7">
    <cfRule type="containsText" dxfId="1612" priority="1747" operator="containsText" text="EL">
      <formula>NOT(ISERROR(SEARCH("EL",I7)))</formula>
    </cfRule>
    <cfRule type="containsText" dxfId="1611" priority="1749" operator="containsText" text="SUS">
      <formula>NOT(ISERROR(SEARCH("SUS",I7)))</formula>
    </cfRule>
    <cfRule type="containsText" dxfId="1610" priority="1750" operator="containsText" text="FL">
      <formula>NOT(ISERROR(SEARCH("FL",I7)))</formula>
    </cfRule>
    <cfRule type="containsText" dxfId="1609" priority="1751" operator="containsText" text="MC">
      <formula>NOT(ISERROR(SEARCH("MC",I7)))</formula>
    </cfRule>
    <cfRule type="containsText" dxfId="1608" priority="1752" operator="containsText" text="AB">
      <formula>NOT(ISERROR(SEARCH("AB",I7)))</formula>
    </cfRule>
    <cfRule type="containsText" dxfId="1607" priority="1755" operator="containsText" text="AL">
      <formula>NOT(ISERROR(SEARCH("AL",I7)))</formula>
    </cfRule>
    <cfRule type="containsText" dxfId="1606" priority="1754" operator="containsText" text="OFF">
      <formula>NOT(ISERROR(SEARCH("OFF",I7)))</formula>
    </cfRule>
    <cfRule type="containsText" dxfId="1605" priority="1753" operator="containsText" text="Sick">
      <formula>NOT(ISERROR(SEARCH("Sick",I7)))</formula>
    </cfRule>
    <cfRule type="containsText" dxfId="1604" priority="1748" operator="containsText" text="AB">
      <formula>NOT(ISERROR(SEARCH("AB",I7)))</formula>
    </cfRule>
  </conditionalFormatting>
  <conditionalFormatting sqref="K54:N54">
    <cfRule type="containsText" dxfId="1603" priority="1474" operator="containsText" text="SUS">
      <formula>NOT(ISERROR(SEARCH("SUS",K54)))</formula>
    </cfRule>
    <cfRule type="containsText" dxfId="1602" priority="1481" operator="containsText" text="AL">
      <formula>NOT(ISERROR(SEARCH("AL",K54)))</formula>
    </cfRule>
    <cfRule type="containsText" dxfId="1601" priority="1480" operator="containsText" text="SICK">
      <formula>NOT(ISERROR(SEARCH("SICK",K54)))</formula>
    </cfRule>
    <cfRule type="containsText" dxfId="1600" priority="1479" operator="containsText" text="AB">
      <formula>NOT(ISERROR(SEARCH("AB",K54)))</formula>
    </cfRule>
    <cfRule type="containsText" dxfId="1599" priority="1478" operator="containsText" text="OFF">
      <formula>NOT(ISERROR(SEARCH("OFF",K54)))</formula>
    </cfRule>
    <cfRule type="containsText" dxfId="1598" priority="1477" operator="containsText" text="MC">
      <formula>NOT(ISERROR(SEARCH("MC",K54)))</formula>
    </cfRule>
    <cfRule type="containsText" dxfId="1597" priority="1476" operator="containsText" text="EL">
      <formula>NOT(ISERROR(SEARCH("EL",K54)))</formula>
    </cfRule>
    <cfRule type="containsText" dxfId="1596" priority="1475" operator="containsText" text="FL">
      <formula>NOT(ISERROR(SEARCH("FL",K54)))</formula>
    </cfRule>
    <cfRule type="containsText" dxfId="1595" priority="1473" operator="containsText" text="NL">
      <formula>NOT(ISERROR(SEARCH("NL",K54)))</formula>
    </cfRule>
    <cfRule type="containsText" dxfId="1594" priority="1472" operator="containsText" text="SP">
      <formula>NOT(ISERROR(SEARCH("SP",K54)))</formula>
    </cfRule>
  </conditionalFormatting>
  <conditionalFormatting sqref="L27:AA30">
    <cfRule type="containsText" priority="84" stopIfTrue="1" operator="containsText" text="SP">
      <formula>NOT(ISERROR(SEARCH("SP",L27)))</formula>
    </cfRule>
    <cfRule type="containsText" dxfId="1593" priority="83" stopIfTrue="1" operator="containsText" text="SP">
      <formula>NOT(ISERROR(SEARCH("SP",L27)))</formula>
    </cfRule>
    <cfRule type="containsText" dxfId="1592" priority="82" stopIfTrue="1" operator="containsText" text="SICK">
      <formula>NOT(ISERROR(SEARCH("SICK",L27)))</formula>
    </cfRule>
    <cfRule type="containsText" dxfId="1591" priority="81" stopIfTrue="1" operator="containsText" text="AB">
      <formula>NOT(ISERROR(SEARCH("AB",L27)))</formula>
    </cfRule>
    <cfRule type="containsText" dxfId="1590" priority="85" stopIfTrue="1" operator="containsText" text="SICK">
      <formula>NOT(ISERROR(SEARCH("SICK",L27)))</formula>
    </cfRule>
  </conditionalFormatting>
  <conditionalFormatting sqref="M60:N60">
    <cfRule type="containsText" dxfId="1589" priority="1507" operator="containsText" text="MC">
      <formula>NOT(ISERROR(SEARCH("MC",M60)))</formula>
    </cfRule>
    <cfRule type="containsText" dxfId="1588" priority="1506" operator="containsText" text="EL">
      <formula>NOT(ISERROR(SEARCH("EL",M60)))</formula>
    </cfRule>
    <cfRule type="containsText" dxfId="1587" priority="1505" operator="containsText" text="FL">
      <formula>NOT(ISERROR(SEARCH("FL",M60)))</formula>
    </cfRule>
    <cfRule type="containsText" dxfId="1586" priority="1504" operator="containsText" text="SUS">
      <formula>NOT(ISERROR(SEARCH("SUS",M60)))</formula>
    </cfRule>
    <cfRule type="containsText" dxfId="1585" priority="1502" operator="containsText" text="SP">
      <formula>NOT(ISERROR(SEARCH("SP",M60)))</formula>
    </cfRule>
    <cfRule type="containsText" dxfId="1584" priority="1503" operator="containsText" text="NL">
      <formula>NOT(ISERROR(SEARCH("NL",M60)))</formula>
    </cfRule>
    <cfRule type="containsText" dxfId="1583" priority="1511" operator="containsText" text="AL">
      <formula>NOT(ISERROR(SEARCH("AL",M60)))</formula>
    </cfRule>
    <cfRule type="containsText" dxfId="1582" priority="1510" operator="containsText" text="SICK">
      <formula>NOT(ISERROR(SEARCH("SICK",M60)))</formula>
    </cfRule>
    <cfRule type="containsText" dxfId="1581" priority="1509" operator="containsText" text="AB">
      <formula>NOT(ISERROR(SEARCH("AB",M60)))</formula>
    </cfRule>
    <cfRule type="containsText" dxfId="1580" priority="1508" operator="containsText" text="OFF">
      <formula>NOT(ISERROR(SEARCH("OFF",M60)))</formula>
    </cfRule>
  </conditionalFormatting>
  <conditionalFormatting sqref="P126">
    <cfRule type="containsText" dxfId="1579" priority="6" operator="containsText" text="SICK">
      <formula>NOT(ISERROR(SEARCH("SICK",P126)))</formula>
    </cfRule>
    <cfRule type="containsText" dxfId="1578" priority="3" operator="containsText" text="SP">
      <formula>NOT(ISERROR(SEARCH("SP",P126)))</formula>
    </cfRule>
    <cfRule type="containsText" dxfId="1577" priority="4" operator="containsText" text="AL">
      <formula>NOT(ISERROR(SEARCH("AL",P126)))</formula>
    </cfRule>
    <cfRule type="cellIs" dxfId="1576" priority="1" operator="between">
      <formula>0.0625</formula>
      <formula>0.1875</formula>
    </cfRule>
    <cfRule type="containsText" dxfId="1575" priority="5" operator="containsText" text="AB">
      <formula>NOT(ISERROR(SEARCH("AB",P126)))</formula>
    </cfRule>
    <cfRule type="containsText" dxfId="1574" priority="2" operator="containsText" text="FL">
      <formula>NOT(ISERROR(SEARCH("FL",P126)))</formula>
    </cfRule>
  </conditionalFormatting>
  <conditionalFormatting sqref="P105:AE108 AA115:AA116">
    <cfRule type="containsText" dxfId="1573" priority="6009" stopIfTrue="1" operator="containsText" text="SICK">
      <formula>NOT(ISERROR(SEARCH("SICK",P105)))</formula>
    </cfRule>
    <cfRule type="containsText" dxfId="1572" priority="6012" stopIfTrue="1" operator="containsText" text="SICK">
      <formula>NOT(ISERROR(SEARCH("SICK",P105)))</formula>
    </cfRule>
    <cfRule type="containsText" priority="6011" stopIfTrue="1" operator="containsText" text="SP">
      <formula>NOT(ISERROR(SEARCH("SP",P105)))</formula>
    </cfRule>
    <cfRule type="containsText" dxfId="1571" priority="6010" stopIfTrue="1" operator="containsText" text="SP">
      <formula>NOT(ISERROR(SEARCH("SP",P105)))</formula>
    </cfRule>
    <cfRule type="containsText" dxfId="1570" priority="6008" stopIfTrue="1" operator="containsText" text="AB">
      <formula>NOT(ISERROR(SEARCH("AB",P105)))</formula>
    </cfRule>
  </conditionalFormatting>
  <conditionalFormatting sqref="S5:T5">
    <cfRule type="containsText" dxfId="1569" priority="1471" operator="containsText" text="AL">
      <formula>NOT(ISERROR(SEARCH("AL",S5)))</formula>
    </cfRule>
    <cfRule type="containsText" dxfId="1568" priority="1470" operator="containsText" text="OFF">
      <formula>NOT(ISERROR(SEARCH("OFF",S5)))</formula>
    </cfRule>
    <cfRule type="containsText" dxfId="1567" priority="1469" operator="containsText" text="Sick">
      <formula>NOT(ISERROR(SEARCH("Sick",S5)))</formula>
    </cfRule>
    <cfRule type="containsText" dxfId="1566" priority="1468" operator="containsText" text="AB">
      <formula>NOT(ISERROR(SEARCH("AB",S5)))</formula>
    </cfRule>
    <cfRule type="containsText" dxfId="1565" priority="1467" operator="containsText" text="MC">
      <formula>NOT(ISERROR(SEARCH("MC",S5)))</formula>
    </cfRule>
    <cfRule type="containsText" dxfId="1564" priority="1465" operator="containsText" text="SUS">
      <formula>NOT(ISERROR(SEARCH("SUS",S5)))</formula>
    </cfRule>
    <cfRule type="containsText" dxfId="1563" priority="1464" operator="containsText" text="AB">
      <formula>NOT(ISERROR(SEARCH("AB",S5)))</formula>
    </cfRule>
    <cfRule type="containsText" dxfId="1562" priority="1463" operator="containsText" text="EL">
      <formula>NOT(ISERROR(SEARCH("EL",S5)))</formula>
    </cfRule>
    <cfRule type="containsText" dxfId="1561" priority="1466" operator="containsText" text="FL">
      <formula>NOT(ISERROR(SEARCH("FL",S5)))</formula>
    </cfRule>
  </conditionalFormatting>
  <conditionalFormatting sqref="S10:T11">
    <cfRule type="containsText" dxfId="1560" priority="1462" operator="containsText" text="AL">
      <formula>NOT(ISERROR(SEARCH("AL",S10)))</formula>
    </cfRule>
    <cfRule type="containsText" dxfId="1559" priority="1461" operator="containsText" text="OFF">
      <formula>NOT(ISERROR(SEARCH("OFF",S10)))</formula>
    </cfRule>
    <cfRule type="containsText" dxfId="1558" priority="1459" operator="containsText" text="AB">
      <formula>NOT(ISERROR(SEARCH("AB",S10)))</formula>
    </cfRule>
    <cfRule type="containsText" dxfId="1557" priority="1458" operator="containsText" text="MC">
      <formula>NOT(ISERROR(SEARCH("MC",S10)))</formula>
    </cfRule>
    <cfRule type="containsText" dxfId="1556" priority="1457" operator="containsText" text="FL">
      <formula>NOT(ISERROR(SEARCH("FL",S10)))</formula>
    </cfRule>
    <cfRule type="containsText" dxfId="1555" priority="1456" operator="containsText" text="SUS">
      <formula>NOT(ISERROR(SEARCH("SUS",S10)))</formula>
    </cfRule>
    <cfRule type="containsText" dxfId="1554" priority="1455" operator="containsText" text="AB">
      <formula>NOT(ISERROR(SEARCH("AB",S10)))</formula>
    </cfRule>
    <cfRule type="containsText" dxfId="1553" priority="1460" operator="containsText" text="Sick">
      <formula>NOT(ISERROR(SEARCH("Sick",S10)))</formula>
    </cfRule>
    <cfRule type="containsText" dxfId="1552" priority="1454" operator="containsText" text="EL">
      <formula>NOT(ISERROR(SEARCH("EL",S10)))</formula>
    </cfRule>
  </conditionalFormatting>
  <conditionalFormatting sqref="S16:T18">
    <cfRule type="containsText" dxfId="1551" priority="1453" operator="containsText" text="AL">
      <formula>NOT(ISERROR(SEARCH("AL",S16)))</formula>
    </cfRule>
    <cfRule type="containsText" dxfId="1550" priority="1452" operator="containsText" text="OFF">
      <formula>NOT(ISERROR(SEARCH("OFF",S16)))</formula>
    </cfRule>
    <cfRule type="containsText" dxfId="1549" priority="1451" operator="containsText" text="Sick">
      <formula>NOT(ISERROR(SEARCH("Sick",S16)))</formula>
    </cfRule>
    <cfRule type="containsText" dxfId="1548" priority="1449" operator="containsText" text="MC">
      <formula>NOT(ISERROR(SEARCH("MC",S16)))</formula>
    </cfRule>
    <cfRule type="containsText" dxfId="1547" priority="1448" operator="containsText" text="FL">
      <formula>NOT(ISERROR(SEARCH("FL",S16)))</formula>
    </cfRule>
    <cfRule type="containsText" dxfId="1546" priority="1447" operator="containsText" text="SUS">
      <formula>NOT(ISERROR(SEARCH("SUS",S16)))</formula>
    </cfRule>
    <cfRule type="containsText" dxfId="1545" priority="1450" operator="containsText" text="AB">
      <formula>NOT(ISERROR(SEARCH("AB",S16)))</formula>
    </cfRule>
    <cfRule type="containsText" dxfId="1544" priority="1446" operator="containsText" text="AB">
      <formula>NOT(ISERROR(SEARCH("AB",S16)))</formula>
    </cfRule>
    <cfRule type="containsText" dxfId="1543" priority="1445" operator="containsText" text="EL">
      <formula>NOT(ISERROR(SEARCH("EL",S16)))</formula>
    </cfRule>
  </conditionalFormatting>
  <conditionalFormatting sqref="S20:T20">
    <cfRule type="containsText" dxfId="1542" priority="1437" operator="containsText" text="SUS">
      <formula>NOT(ISERROR(SEARCH("SUS",S20)))</formula>
    </cfRule>
    <cfRule type="containsText" dxfId="1541" priority="1436" operator="containsText" text="AB">
      <formula>NOT(ISERROR(SEARCH("AB",S20)))</formula>
    </cfRule>
    <cfRule type="containsText" dxfId="1540" priority="1439" operator="containsText" text="MC">
      <formula>NOT(ISERROR(SEARCH("MC",S20)))</formula>
    </cfRule>
    <cfRule type="containsText" dxfId="1539" priority="1435" operator="containsText" text="EL">
      <formula>NOT(ISERROR(SEARCH("EL",S20)))</formula>
    </cfRule>
    <cfRule type="containsText" dxfId="1538" priority="1440" operator="containsText" text="AB">
      <formula>NOT(ISERROR(SEARCH("AB",S20)))</formula>
    </cfRule>
    <cfRule type="containsText" dxfId="1537" priority="1442" operator="containsText" text="OFF">
      <formula>NOT(ISERROR(SEARCH("OFF",S20)))</formula>
    </cfRule>
    <cfRule type="containsText" dxfId="1536" priority="1443" operator="containsText" text="AL">
      <formula>NOT(ISERROR(SEARCH("AL",S20)))</formula>
    </cfRule>
    <cfRule type="containsText" dxfId="1535" priority="1441" operator="containsText" text="Sick">
      <formula>NOT(ISERROR(SEARCH("Sick",S20)))</formula>
    </cfRule>
    <cfRule type="containsText" dxfId="1534" priority="1438" operator="containsText" text="FL">
      <formula>NOT(ISERROR(SEARCH("FL",S20)))</formula>
    </cfRule>
  </conditionalFormatting>
  <conditionalFormatting sqref="S23:T23">
    <cfRule type="containsText" dxfId="1533" priority="1431" operator="containsText" text="AB">
      <formula>NOT(ISERROR(SEARCH("AB",S23)))</formula>
    </cfRule>
    <cfRule type="containsText" dxfId="1532" priority="1429" operator="containsText" text="FL">
      <formula>NOT(ISERROR(SEARCH("FL",S23)))</formula>
    </cfRule>
    <cfRule type="containsText" dxfId="1531" priority="1426" operator="containsText" text="EL">
      <formula>NOT(ISERROR(SEARCH("EL",S23)))</formula>
    </cfRule>
    <cfRule type="containsText" dxfId="1530" priority="1432" operator="containsText" text="Sick">
      <formula>NOT(ISERROR(SEARCH("Sick",S23)))</formula>
    </cfRule>
    <cfRule type="containsText" dxfId="1529" priority="1433" operator="containsText" text="OFF">
      <formula>NOT(ISERROR(SEARCH("OFF",S23)))</formula>
    </cfRule>
    <cfRule type="containsText" dxfId="1528" priority="1434" operator="containsText" text="AL">
      <formula>NOT(ISERROR(SEARCH("AL",S23)))</formula>
    </cfRule>
    <cfRule type="containsText" dxfId="1527" priority="1427" operator="containsText" text="AB">
      <formula>NOT(ISERROR(SEARCH("AB",S23)))</formula>
    </cfRule>
    <cfRule type="containsText" dxfId="1526" priority="1428" operator="containsText" text="SUS">
      <formula>NOT(ISERROR(SEARCH("SUS",S23)))</formula>
    </cfRule>
    <cfRule type="containsText" dxfId="1525" priority="1430" operator="containsText" text="MC">
      <formula>NOT(ISERROR(SEARCH("MC",S23)))</formula>
    </cfRule>
  </conditionalFormatting>
  <conditionalFormatting sqref="S25:T25">
    <cfRule type="containsText" dxfId="1524" priority="1423" operator="containsText" text="Sick">
      <formula>NOT(ISERROR(SEARCH("Sick",S25)))</formula>
    </cfRule>
    <cfRule type="containsText" dxfId="1523" priority="1422" operator="containsText" text="AB">
      <formula>NOT(ISERROR(SEARCH("AB",S25)))</formula>
    </cfRule>
    <cfRule type="containsText" dxfId="1522" priority="1421" operator="containsText" text="MC">
      <formula>NOT(ISERROR(SEARCH("MC",S25)))</formula>
    </cfRule>
    <cfRule type="containsText" dxfId="1521" priority="1419" operator="containsText" text="SUS">
      <formula>NOT(ISERROR(SEARCH("SUS",S25)))</formula>
    </cfRule>
    <cfRule type="containsText" dxfId="1520" priority="1417" operator="containsText" text="EL">
      <formula>NOT(ISERROR(SEARCH("EL",S25)))</formula>
    </cfRule>
    <cfRule type="containsText" dxfId="1519" priority="1424" operator="containsText" text="OFF">
      <formula>NOT(ISERROR(SEARCH("OFF",S25)))</formula>
    </cfRule>
    <cfRule type="containsText" dxfId="1518" priority="1418" operator="containsText" text="AB">
      <formula>NOT(ISERROR(SEARCH("AB",S25)))</formula>
    </cfRule>
    <cfRule type="containsText" dxfId="1517" priority="1425" operator="containsText" text="AL">
      <formula>NOT(ISERROR(SEARCH("AL",S25)))</formula>
    </cfRule>
    <cfRule type="containsText" dxfId="1516" priority="1420" operator="containsText" text="FL">
      <formula>NOT(ISERROR(SEARCH("FL",S25)))</formula>
    </cfRule>
  </conditionalFormatting>
  <conditionalFormatting sqref="S38:T39">
    <cfRule type="containsText" dxfId="1515" priority="1407" operator="containsText" text="AL">
      <formula>NOT(ISERROR(SEARCH("AL",S38)))</formula>
    </cfRule>
    <cfRule type="containsText" dxfId="1514" priority="1406" operator="containsText" text="OFF">
      <formula>NOT(ISERROR(SEARCH("OFF",S38)))</formula>
    </cfRule>
    <cfRule type="containsText" dxfId="1513" priority="1405" operator="containsText" text="Sick">
      <formula>NOT(ISERROR(SEARCH("Sick",S38)))</formula>
    </cfRule>
    <cfRule type="containsText" dxfId="1512" priority="1404" operator="containsText" text="AB">
      <formula>NOT(ISERROR(SEARCH("AB",S38)))</formula>
    </cfRule>
    <cfRule type="containsText" dxfId="1511" priority="1403" operator="containsText" text="MC">
      <formula>NOT(ISERROR(SEARCH("MC",S38)))</formula>
    </cfRule>
    <cfRule type="containsText" dxfId="1510" priority="1402" operator="containsText" text="FL">
      <formula>NOT(ISERROR(SEARCH("FL",S38)))</formula>
    </cfRule>
    <cfRule type="containsText" dxfId="1509" priority="1401" operator="containsText" text="SUS">
      <formula>NOT(ISERROR(SEARCH("SUS",S38)))</formula>
    </cfRule>
    <cfRule type="containsText" dxfId="1508" priority="1400" operator="containsText" text="AB">
      <formula>NOT(ISERROR(SEARCH("AB",S38)))</formula>
    </cfRule>
    <cfRule type="containsText" dxfId="1507" priority="1399" operator="containsText" text="EL">
      <formula>NOT(ISERROR(SEARCH("EL",S38)))</formula>
    </cfRule>
  </conditionalFormatting>
  <conditionalFormatting sqref="S41:T42">
    <cfRule type="containsText" dxfId="1506" priority="1395" operator="containsText" text="AB">
      <formula>NOT(ISERROR(SEARCH("AB",S41)))</formula>
    </cfRule>
    <cfRule type="containsText" dxfId="1505" priority="1398" operator="containsText" text="AL">
      <formula>NOT(ISERROR(SEARCH("AL",S41)))</formula>
    </cfRule>
    <cfRule type="containsText" dxfId="1504" priority="1394" operator="containsText" text="MC">
      <formula>NOT(ISERROR(SEARCH("MC",S41)))</formula>
    </cfRule>
    <cfRule type="containsText" dxfId="1503" priority="1393" operator="containsText" text="FL">
      <formula>NOT(ISERROR(SEARCH("FL",S41)))</formula>
    </cfRule>
    <cfRule type="containsText" dxfId="1502" priority="1391" operator="containsText" text="AB">
      <formula>NOT(ISERROR(SEARCH("AB",S41)))</formula>
    </cfRule>
    <cfRule type="containsText" dxfId="1501" priority="1397" operator="containsText" text="OFF">
      <formula>NOT(ISERROR(SEARCH("OFF",S41)))</formula>
    </cfRule>
    <cfRule type="containsText" dxfId="1500" priority="1390" operator="containsText" text="EL">
      <formula>NOT(ISERROR(SEARCH("EL",S41)))</formula>
    </cfRule>
    <cfRule type="containsText" dxfId="1499" priority="1392" operator="containsText" text="SUS">
      <formula>NOT(ISERROR(SEARCH("SUS",S41)))</formula>
    </cfRule>
    <cfRule type="containsText" dxfId="1498" priority="1396" operator="containsText" text="Sick">
      <formula>NOT(ISERROR(SEARCH("Sick",S41)))</formula>
    </cfRule>
  </conditionalFormatting>
  <conditionalFormatting sqref="S44:T44">
    <cfRule type="containsText" dxfId="1497" priority="1382" operator="containsText" text="AB">
      <formula>NOT(ISERROR(SEARCH("AB",S44)))</formula>
    </cfRule>
    <cfRule type="containsText" dxfId="1496" priority="1387" operator="containsText" text="Sick">
      <formula>NOT(ISERROR(SEARCH("Sick",S44)))</formula>
    </cfRule>
    <cfRule type="containsText" dxfId="1495" priority="1386" operator="containsText" text="AB">
      <formula>NOT(ISERROR(SEARCH("AB",S44)))</formula>
    </cfRule>
    <cfRule type="containsText" dxfId="1494" priority="1385" operator="containsText" text="MC">
      <formula>NOT(ISERROR(SEARCH("MC",S44)))</formula>
    </cfRule>
    <cfRule type="containsText" dxfId="1493" priority="1384" operator="containsText" text="FL">
      <formula>NOT(ISERROR(SEARCH("FL",S44)))</formula>
    </cfRule>
    <cfRule type="containsText" dxfId="1492" priority="1381" operator="containsText" text="EL">
      <formula>NOT(ISERROR(SEARCH("EL",S44)))</formula>
    </cfRule>
    <cfRule type="containsText" dxfId="1491" priority="1389" operator="containsText" text="AL">
      <formula>NOT(ISERROR(SEARCH("AL",S44)))</formula>
    </cfRule>
    <cfRule type="containsText" dxfId="1490" priority="1388" operator="containsText" text="OFF">
      <formula>NOT(ISERROR(SEARCH("OFF",S44)))</formula>
    </cfRule>
    <cfRule type="containsText" dxfId="1489" priority="1383" operator="containsText" text="SUS">
      <formula>NOT(ISERROR(SEARCH("SUS",S44)))</formula>
    </cfRule>
  </conditionalFormatting>
  <conditionalFormatting sqref="S47:T49">
    <cfRule type="containsText" dxfId="1488" priority="1377" operator="containsText" text="AB">
      <formula>NOT(ISERROR(SEARCH("AB",S47)))</formula>
    </cfRule>
    <cfRule type="containsText" dxfId="1487" priority="1380" operator="containsText" text="AL">
      <formula>NOT(ISERROR(SEARCH("AL",S47)))</formula>
    </cfRule>
    <cfRule type="containsText" dxfId="1486" priority="1379" operator="containsText" text="OFF">
      <formula>NOT(ISERROR(SEARCH("OFF",S47)))</formula>
    </cfRule>
    <cfRule type="containsText" dxfId="1485" priority="1378" operator="containsText" text="Sick">
      <formula>NOT(ISERROR(SEARCH("Sick",S47)))</formula>
    </cfRule>
    <cfRule type="containsText" dxfId="1484" priority="1376" operator="containsText" text="MC">
      <formula>NOT(ISERROR(SEARCH("MC",S47)))</formula>
    </cfRule>
    <cfRule type="containsText" dxfId="1483" priority="1375" operator="containsText" text="FL">
      <formula>NOT(ISERROR(SEARCH("FL",S47)))</formula>
    </cfRule>
    <cfRule type="containsText" dxfId="1482" priority="1374" operator="containsText" text="SUS">
      <formula>NOT(ISERROR(SEARCH("SUS",S47)))</formula>
    </cfRule>
    <cfRule type="containsText" dxfId="1481" priority="1373" operator="containsText" text="AB">
      <formula>NOT(ISERROR(SEARCH("AB",S47)))</formula>
    </cfRule>
    <cfRule type="containsText" dxfId="1480" priority="1372" operator="containsText" text="EL">
      <formula>NOT(ISERROR(SEARCH("EL",S47)))</formula>
    </cfRule>
  </conditionalFormatting>
  <conditionalFormatting sqref="S51:T51">
    <cfRule type="containsText" dxfId="1479" priority="1368" operator="containsText" text="AB">
      <formula>NOT(ISERROR(SEARCH("AB",S51)))</formula>
    </cfRule>
    <cfRule type="containsText" dxfId="1478" priority="1363" operator="containsText" text="EL">
      <formula>NOT(ISERROR(SEARCH("EL",S51)))</formula>
    </cfRule>
    <cfRule type="containsText" dxfId="1477" priority="1364" operator="containsText" text="AB">
      <formula>NOT(ISERROR(SEARCH("AB",S51)))</formula>
    </cfRule>
    <cfRule type="containsText" dxfId="1476" priority="1366" operator="containsText" text="FL">
      <formula>NOT(ISERROR(SEARCH("FL",S51)))</formula>
    </cfRule>
    <cfRule type="containsText" dxfId="1475" priority="1369" operator="containsText" text="Sick">
      <formula>NOT(ISERROR(SEARCH("Sick",S51)))</formula>
    </cfRule>
    <cfRule type="containsText" dxfId="1474" priority="1370" operator="containsText" text="OFF">
      <formula>NOT(ISERROR(SEARCH("OFF",S51)))</formula>
    </cfRule>
    <cfRule type="containsText" dxfId="1473" priority="1371" operator="containsText" text="AL">
      <formula>NOT(ISERROR(SEARCH("AL",S51)))</formula>
    </cfRule>
    <cfRule type="containsText" dxfId="1472" priority="1367" operator="containsText" text="MC">
      <formula>NOT(ISERROR(SEARCH("MC",S51)))</formula>
    </cfRule>
    <cfRule type="containsText" dxfId="1471" priority="1365" operator="containsText" text="SUS">
      <formula>NOT(ISERROR(SEARCH("SUS",S51)))</formula>
    </cfRule>
  </conditionalFormatting>
  <conditionalFormatting sqref="S53:T53">
    <cfRule type="containsText" dxfId="1470" priority="1355" operator="containsText" text="AB">
      <formula>NOT(ISERROR(SEARCH("AB",S53)))</formula>
    </cfRule>
    <cfRule type="containsText" dxfId="1469" priority="1361" operator="containsText" text="OFF">
      <formula>NOT(ISERROR(SEARCH("OFF",S53)))</formula>
    </cfRule>
    <cfRule type="containsText" dxfId="1468" priority="1362" operator="containsText" text="AL">
      <formula>NOT(ISERROR(SEARCH("AL",S53)))</formula>
    </cfRule>
    <cfRule type="containsText" dxfId="1467" priority="1354" operator="containsText" text="EL">
      <formula>NOT(ISERROR(SEARCH("EL",S53)))</formula>
    </cfRule>
    <cfRule type="containsText" dxfId="1466" priority="1356" operator="containsText" text="SUS">
      <formula>NOT(ISERROR(SEARCH("SUS",S53)))</formula>
    </cfRule>
    <cfRule type="containsText" dxfId="1465" priority="1357" operator="containsText" text="FL">
      <formula>NOT(ISERROR(SEARCH("FL",S53)))</formula>
    </cfRule>
    <cfRule type="containsText" dxfId="1464" priority="1358" operator="containsText" text="MC">
      <formula>NOT(ISERROR(SEARCH("MC",S53)))</formula>
    </cfRule>
    <cfRule type="containsText" dxfId="1463" priority="1359" operator="containsText" text="AB">
      <formula>NOT(ISERROR(SEARCH("AB",S53)))</formula>
    </cfRule>
    <cfRule type="containsText" dxfId="1462" priority="1360" operator="containsText" text="Sick">
      <formula>NOT(ISERROR(SEARCH("Sick",S53)))</formula>
    </cfRule>
  </conditionalFormatting>
  <conditionalFormatting sqref="S56:T56">
    <cfRule type="containsText" dxfId="1461" priority="1350" operator="containsText" text="AB">
      <formula>NOT(ISERROR(SEARCH("AB",S56)))</formula>
    </cfRule>
    <cfRule type="containsText" dxfId="1460" priority="1351" operator="containsText" text="Sick">
      <formula>NOT(ISERROR(SEARCH("Sick",S56)))</formula>
    </cfRule>
    <cfRule type="containsText" dxfId="1459" priority="1353" operator="containsText" text="AL">
      <formula>NOT(ISERROR(SEARCH("AL",S56)))</formula>
    </cfRule>
    <cfRule type="containsText" dxfId="1458" priority="1349" operator="containsText" text="MC">
      <formula>NOT(ISERROR(SEARCH("MC",S56)))</formula>
    </cfRule>
    <cfRule type="containsText" dxfId="1457" priority="1348" operator="containsText" text="FL">
      <formula>NOT(ISERROR(SEARCH("FL",S56)))</formula>
    </cfRule>
    <cfRule type="containsText" dxfId="1456" priority="1347" operator="containsText" text="SUS">
      <formula>NOT(ISERROR(SEARCH("SUS",S56)))</formula>
    </cfRule>
    <cfRule type="containsText" dxfId="1455" priority="1346" operator="containsText" text="AB">
      <formula>NOT(ISERROR(SEARCH("AB",S56)))</formula>
    </cfRule>
    <cfRule type="containsText" dxfId="1454" priority="1345" operator="containsText" text="EL">
      <formula>NOT(ISERROR(SEARCH("EL",S56)))</formula>
    </cfRule>
    <cfRule type="containsText" dxfId="1453" priority="1352" operator="containsText" text="OFF">
      <formula>NOT(ISERROR(SEARCH("OFF",S56)))</formula>
    </cfRule>
  </conditionalFormatting>
  <conditionalFormatting sqref="S59:T60">
    <cfRule type="containsText" dxfId="1452" priority="1344" operator="containsText" text="AL">
      <formula>NOT(ISERROR(SEARCH("AL",S59)))</formula>
    </cfRule>
    <cfRule type="containsText" dxfId="1451" priority="1336" operator="containsText" text="EL">
      <formula>NOT(ISERROR(SEARCH("EL",S59)))</formula>
    </cfRule>
    <cfRule type="containsText" dxfId="1450" priority="1337" operator="containsText" text="AB">
      <formula>NOT(ISERROR(SEARCH("AB",S59)))</formula>
    </cfRule>
    <cfRule type="containsText" dxfId="1449" priority="1338" operator="containsText" text="SUS">
      <formula>NOT(ISERROR(SEARCH("SUS",S59)))</formula>
    </cfRule>
    <cfRule type="containsText" dxfId="1448" priority="1339" operator="containsText" text="FL">
      <formula>NOT(ISERROR(SEARCH("FL",S59)))</formula>
    </cfRule>
    <cfRule type="containsText" dxfId="1447" priority="1340" operator="containsText" text="MC">
      <formula>NOT(ISERROR(SEARCH("MC",S59)))</formula>
    </cfRule>
    <cfRule type="containsText" dxfId="1446" priority="1341" operator="containsText" text="AB">
      <formula>NOT(ISERROR(SEARCH("AB",S59)))</formula>
    </cfRule>
    <cfRule type="containsText" dxfId="1445" priority="1342" operator="containsText" text="Sick">
      <formula>NOT(ISERROR(SEARCH("Sick",S59)))</formula>
    </cfRule>
    <cfRule type="containsText" dxfId="1444" priority="1343" operator="containsText" text="OFF">
      <formula>NOT(ISERROR(SEARCH("OFF",S59)))</formula>
    </cfRule>
  </conditionalFormatting>
  <conditionalFormatting sqref="S64:T65">
    <cfRule type="containsText" dxfId="1443" priority="1333" operator="containsText" text="Sick">
      <formula>NOT(ISERROR(SEARCH("Sick",S64)))</formula>
    </cfRule>
    <cfRule type="containsText" dxfId="1442" priority="1331" operator="containsText" text="MC">
      <formula>NOT(ISERROR(SEARCH("MC",S64)))</formula>
    </cfRule>
    <cfRule type="containsText" dxfId="1441" priority="1330" operator="containsText" text="FL">
      <formula>NOT(ISERROR(SEARCH("FL",S64)))</formula>
    </cfRule>
    <cfRule type="containsText" dxfId="1440" priority="1329" operator="containsText" text="SUS">
      <formula>NOT(ISERROR(SEARCH("SUS",S64)))</formula>
    </cfRule>
    <cfRule type="containsText" dxfId="1439" priority="1328" operator="containsText" text="AB">
      <formula>NOT(ISERROR(SEARCH("AB",S64)))</formula>
    </cfRule>
    <cfRule type="containsText" dxfId="1438" priority="1327" operator="containsText" text="EL">
      <formula>NOT(ISERROR(SEARCH("EL",S64)))</formula>
    </cfRule>
    <cfRule type="containsText" dxfId="1437" priority="1334" operator="containsText" text="OFF">
      <formula>NOT(ISERROR(SEARCH("OFF",S64)))</formula>
    </cfRule>
    <cfRule type="containsText" dxfId="1436" priority="1335" operator="containsText" text="AL">
      <formula>NOT(ISERROR(SEARCH("AL",S64)))</formula>
    </cfRule>
    <cfRule type="containsText" dxfId="1435" priority="1332" operator="containsText" text="AB">
      <formula>NOT(ISERROR(SEARCH("AB",S64)))</formula>
    </cfRule>
  </conditionalFormatting>
  <conditionalFormatting sqref="S67:T67">
    <cfRule type="containsText" dxfId="1434" priority="1326" operator="containsText" text="AL">
      <formula>NOT(ISERROR(SEARCH("AL",S67)))</formula>
    </cfRule>
    <cfRule type="containsText" dxfId="1433" priority="1325" operator="containsText" text="OFF">
      <formula>NOT(ISERROR(SEARCH("OFF",S67)))</formula>
    </cfRule>
    <cfRule type="containsText" dxfId="1432" priority="1324" operator="containsText" text="Sick">
      <formula>NOT(ISERROR(SEARCH("Sick",S67)))</formula>
    </cfRule>
    <cfRule type="containsText" dxfId="1431" priority="1323" operator="containsText" text="AB">
      <formula>NOT(ISERROR(SEARCH("AB",S67)))</formula>
    </cfRule>
    <cfRule type="containsText" dxfId="1430" priority="1322" operator="containsText" text="MC">
      <formula>NOT(ISERROR(SEARCH("MC",S67)))</formula>
    </cfRule>
    <cfRule type="containsText" dxfId="1429" priority="1321" operator="containsText" text="FL">
      <formula>NOT(ISERROR(SEARCH("FL",S67)))</formula>
    </cfRule>
    <cfRule type="containsText" dxfId="1428" priority="1320" operator="containsText" text="SUS">
      <formula>NOT(ISERROR(SEARCH("SUS",S67)))</formula>
    </cfRule>
    <cfRule type="containsText" dxfId="1427" priority="1319" operator="containsText" text="AB">
      <formula>NOT(ISERROR(SEARCH("AB",S67)))</formula>
    </cfRule>
    <cfRule type="containsText" dxfId="1426" priority="1318" operator="containsText" text="EL">
      <formula>NOT(ISERROR(SEARCH("EL",S67)))</formula>
    </cfRule>
  </conditionalFormatting>
  <conditionalFormatting sqref="S70:T71">
    <cfRule type="containsText" dxfId="1425" priority="1317" operator="containsText" text="AL">
      <formula>NOT(ISERROR(SEARCH("AL",S70)))</formula>
    </cfRule>
    <cfRule type="containsText" dxfId="1424" priority="1316" operator="containsText" text="OFF">
      <formula>NOT(ISERROR(SEARCH("OFF",S70)))</formula>
    </cfRule>
    <cfRule type="containsText" dxfId="1423" priority="1315" operator="containsText" text="Sick">
      <formula>NOT(ISERROR(SEARCH("Sick",S70)))</formula>
    </cfRule>
    <cfRule type="containsText" dxfId="1422" priority="1314" operator="containsText" text="AB">
      <formula>NOT(ISERROR(SEARCH("AB",S70)))</formula>
    </cfRule>
    <cfRule type="containsText" dxfId="1421" priority="1313" operator="containsText" text="MC">
      <formula>NOT(ISERROR(SEARCH("MC",S70)))</formula>
    </cfRule>
    <cfRule type="containsText" dxfId="1420" priority="1312" operator="containsText" text="FL">
      <formula>NOT(ISERROR(SEARCH("FL",S70)))</formula>
    </cfRule>
    <cfRule type="containsText" dxfId="1419" priority="1311" operator="containsText" text="SUS">
      <formula>NOT(ISERROR(SEARCH("SUS",S70)))</formula>
    </cfRule>
    <cfRule type="containsText" dxfId="1418" priority="1310" operator="containsText" text="AB">
      <formula>NOT(ISERROR(SEARCH("AB",S70)))</formula>
    </cfRule>
    <cfRule type="containsText" dxfId="1417" priority="1309" operator="containsText" text="EL">
      <formula>NOT(ISERROR(SEARCH("EL",S70)))</formula>
    </cfRule>
  </conditionalFormatting>
  <conditionalFormatting sqref="S74:T74">
    <cfRule type="containsText" dxfId="1416" priority="1301" operator="containsText" text="AB">
      <formula>NOT(ISERROR(SEARCH("AB",S74)))</formula>
    </cfRule>
    <cfRule type="containsText" dxfId="1415" priority="1308" operator="containsText" text="AL">
      <formula>NOT(ISERROR(SEARCH("AL",S74)))</formula>
    </cfRule>
    <cfRule type="containsText" dxfId="1414" priority="1307" operator="containsText" text="OFF">
      <formula>NOT(ISERROR(SEARCH("OFF",S74)))</formula>
    </cfRule>
    <cfRule type="containsText" dxfId="1413" priority="1306" operator="containsText" text="Sick">
      <formula>NOT(ISERROR(SEARCH("Sick",S74)))</formula>
    </cfRule>
    <cfRule type="containsText" dxfId="1412" priority="1305" operator="containsText" text="AB">
      <formula>NOT(ISERROR(SEARCH("AB",S74)))</formula>
    </cfRule>
    <cfRule type="containsText" dxfId="1411" priority="1304" operator="containsText" text="MC">
      <formula>NOT(ISERROR(SEARCH("MC",S74)))</formula>
    </cfRule>
    <cfRule type="containsText" dxfId="1410" priority="1302" operator="containsText" text="SUS">
      <formula>NOT(ISERROR(SEARCH("SUS",S74)))</formula>
    </cfRule>
    <cfRule type="containsText" dxfId="1409" priority="1300" operator="containsText" text="EL">
      <formula>NOT(ISERROR(SEARCH("EL",S74)))</formula>
    </cfRule>
    <cfRule type="containsText" dxfId="1408" priority="1303" operator="containsText" text="FL">
      <formula>NOT(ISERROR(SEARCH("FL",S74)))</formula>
    </cfRule>
  </conditionalFormatting>
  <conditionalFormatting sqref="S79:T79">
    <cfRule type="containsText" dxfId="1407" priority="1295" operator="containsText" text="MC">
      <formula>NOT(ISERROR(SEARCH("MC",S79)))</formula>
    </cfRule>
    <cfRule type="containsText" dxfId="1406" priority="1296" operator="containsText" text="AB">
      <formula>NOT(ISERROR(SEARCH("AB",S79)))</formula>
    </cfRule>
    <cfRule type="containsText" dxfId="1405" priority="1297" operator="containsText" text="Sick">
      <formula>NOT(ISERROR(SEARCH("Sick",S79)))</formula>
    </cfRule>
    <cfRule type="containsText" dxfId="1404" priority="1298" operator="containsText" text="OFF">
      <formula>NOT(ISERROR(SEARCH("OFF",S79)))</formula>
    </cfRule>
    <cfRule type="containsText" dxfId="1403" priority="1299" operator="containsText" text="AL">
      <formula>NOT(ISERROR(SEARCH("AL",S79)))</formula>
    </cfRule>
    <cfRule type="containsText" dxfId="1402" priority="1291" operator="containsText" text="EL">
      <formula>NOT(ISERROR(SEARCH("EL",S79)))</formula>
    </cfRule>
    <cfRule type="containsText" dxfId="1401" priority="1293" operator="containsText" text="SUS">
      <formula>NOT(ISERROR(SEARCH("SUS",S79)))</formula>
    </cfRule>
    <cfRule type="containsText" dxfId="1400" priority="1294" operator="containsText" text="FL">
      <formula>NOT(ISERROR(SEARCH("FL",S79)))</formula>
    </cfRule>
    <cfRule type="containsText" dxfId="1399" priority="1292" operator="containsText" text="AB">
      <formula>NOT(ISERROR(SEARCH("AB",S79)))</formula>
    </cfRule>
  </conditionalFormatting>
  <conditionalFormatting sqref="S82:T83">
    <cfRule type="containsText" dxfId="1398" priority="1285" operator="containsText" text="FL">
      <formula>NOT(ISERROR(SEARCH("FL",S82)))</formula>
    </cfRule>
    <cfRule type="containsText" dxfId="1397" priority="1284" operator="containsText" text="SUS">
      <formula>NOT(ISERROR(SEARCH("SUS",S82)))</formula>
    </cfRule>
    <cfRule type="containsText" dxfId="1396" priority="1282" operator="containsText" text="EL">
      <formula>NOT(ISERROR(SEARCH("EL",S82)))</formula>
    </cfRule>
    <cfRule type="containsText" dxfId="1395" priority="1283" operator="containsText" text="AB">
      <formula>NOT(ISERROR(SEARCH("AB",S82)))</formula>
    </cfRule>
    <cfRule type="containsText" dxfId="1394" priority="1290" operator="containsText" text="AL">
      <formula>NOT(ISERROR(SEARCH("AL",S82)))</formula>
    </cfRule>
    <cfRule type="containsText" dxfId="1393" priority="1289" operator="containsText" text="OFF">
      <formula>NOT(ISERROR(SEARCH("OFF",S82)))</formula>
    </cfRule>
    <cfRule type="containsText" dxfId="1392" priority="1288" operator="containsText" text="Sick">
      <formula>NOT(ISERROR(SEARCH("Sick",S82)))</formula>
    </cfRule>
    <cfRule type="containsText" dxfId="1391" priority="1287" operator="containsText" text="AB">
      <formula>NOT(ISERROR(SEARCH("AB",S82)))</formula>
    </cfRule>
    <cfRule type="containsText" dxfId="1390" priority="1286" operator="containsText" text="MC">
      <formula>NOT(ISERROR(SEARCH("MC",S82)))</formula>
    </cfRule>
  </conditionalFormatting>
  <conditionalFormatting sqref="S87:T87">
    <cfRule type="containsText" dxfId="1389" priority="1275" operator="containsText" text="SUS">
      <formula>NOT(ISERROR(SEARCH("SUS",S87)))</formula>
    </cfRule>
    <cfRule type="containsText" dxfId="1388" priority="1273" operator="containsText" text="EL">
      <formula>NOT(ISERROR(SEARCH("EL",S87)))</formula>
    </cfRule>
    <cfRule type="containsText" dxfId="1387" priority="1274" operator="containsText" text="AB">
      <formula>NOT(ISERROR(SEARCH("AB",S87)))</formula>
    </cfRule>
    <cfRule type="containsText" dxfId="1386" priority="1276" operator="containsText" text="FL">
      <formula>NOT(ISERROR(SEARCH("FL",S87)))</formula>
    </cfRule>
    <cfRule type="containsText" dxfId="1385" priority="1277" operator="containsText" text="MC">
      <formula>NOT(ISERROR(SEARCH("MC",S87)))</formula>
    </cfRule>
    <cfRule type="containsText" dxfId="1384" priority="1278" operator="containsText" text="AB">
      <formula>NOT(ISERROR(SEARCH("AB",S87)))</formula>
    </cfRule>
    <cfRule type="containsText" dxfId="1383" priority="1279" operator="containsText" text="Sick">
      <formula>NOT(ISERROR(SEARCH("Sick",S87)))</formula>
    </cfRule>
    <cfRule type="containsText" dxfId="1382" priority="1280" operator="containsText" text="OFF">
      <formula>NOT(ISERROR(SEARCH("OFF",S87)))</formula>
    </cfRule>
    <cfRule type="containsText" dxfId="1381" priority="1281" operator="containsText" text="AL">
      <formula>NOT(ISERROR(SEARCH("AL",S87)))</formula>
    </cfRule>
  </conditionalFormatting>
  <conditionalFormatting sqref="S90:T90">
    <cfRule type="containsText" dxfId="1380" priority="1264" operator="containsText" text="EL">
      <formula>NOT(ISERROR(SEARCH("EL",S90)))</formula>
    </cfRule>
    <cfRule type="containsText" dxfId="1379" priority="1268" operator="containsText" text="MC">
      <formula>NOT(ISERROR(SEARCH("MC",S90)))</formula>
    </cfRule>
    <cfRule type="containsText" dxfId="1378" priority="1270" operator="containsText" text="Sick">
      <formula>NOT(ISERROR(SEARCH("Sick",S90)))</formula>
    </cfRule>
    <cfRule type="containsText" dxfId="1377" priority="1269" operator="containsText" text="AB">
      <formula>NOT(ISERROR(SEARCH("AB",S90)))</formula>
    </cfRule>
    <cfRule type="containsText" dxfId="1376" priority="1267" operator="containsText" text="FL">
      <formula>NOT(ISERROR(SEARCH("FL",S90)))</formula>
    </cfRule>
    <cfRule type="containsText" dxfId="1375" priority="1271" operator="containsText" text="OFF">
      <formula>NOT(ISERROR(SEARCH("OFF",S90)))</formula>
    </cfRule>
    <cfRule type="containsText" dxfId="1374" priority="1266" operator="containsText" text="SUS">
      <formula>NOT(ISERROR(SEARCH("SUS",S90)))</formula>
    </cfRule>
    <cfRule type="containsText" dxfId="1373" priority="1265" operator="containsText" text="AB">
      <formula>NOT(ISERROR(SEARCH("AB",S90)))</formula>
    </cfRule>
    <cfRule type="containsText" dxfId="1372" priority="1272" operator="containsText" text="AL">
      <formula>NOT(ISERROR(SEARCH("AL",S90)))</formula>
    </cfRule>
  </conditionalFormatting>
  <conditionalFormatting sqref="S92:T93">
    <cfRule type="containsText" dxfId="1371" priority="1261" operator="containsText" text="Sick">
      <formula>NOT(ISERROR(SEARCH("Sick",S92)))</formula>
    </cfRule>
    <cfRule type="containsText" dxfId="1370" priority="1262" operator="containsText" text="OFF">
      <formula>NOT(ISERROR(SEARCH("OFF",S92)))</formula>
    </cfRule>
    <cfRule type="containsText" dxfId="1369" priority="1263" operator="containsText" text="AL">
      <formula>NOT(ISERROR(SEARCH("AL",S92)))</formula>
    </cfRule>
    <cfRule type="containsText" dxfId="1368" priority="1255" operator="containsText" text="EL">
      <formula>NOT(ISERROR(SEARCH("EL",S92)))</formula>
    </cfRule>
    <cfRule type="containsText" dxfId="1367" priority="1256" operator="containsText" text="AB">
      <formula>NOT(ISERROR(SEARCH("AB",S92)))</formula>
    </cfRule>
    <cfRule type="containsText" dxfId="1366" priority="1257" operator="containsText" text="SUS">
      <formula>NOT(ISERROR(SEARCH("SUS",S92)))</formula>
    </cfRule>
    <cfRule type="containsText" dxfId="1365" priority="1258" operator="containsText" text="FL">
      <formula>NOT(ISERROR(SEARCH("FL",S92)))</formula>
    </cfRule>
    <cfRule type="containsText" dxfId="1364" priority="1259" operator="containsText" text="MC">
      <formula>NOT(ISERROR(SEARCH("MC",S92)))</formula>
    </cfRule>
    <cfRule type="containsText" dxfId="1363" priority="1260" operator="containsText" text="AB">
      <formula>NOT(ISERROR(SEARCH("AB",S92)))</formula>
    </cfRule>
  </conditionalFormatting>
  <conditionalFormatting sqref="S95:T97">
    <cfRule type="containsText" dxfId="1362" priority="1253" operator="containsText" text="OFF">
      <formula>NOT(ISERROR(SEARCH("OFF",S95)))</formula>
    </cfRule>
    <cfRule type="containsText" dxfId="1361" priority="1249" operator="containsText" text="FL">
      <formula>NOT(ISERROR(SEARCH("FL",S95)))</formula>
    </cfRule>
    <cfRule type="containsText" dxfId="1360" priority="1248" operator="containsText" text="SUS">
      <formula>NOT(ISERROR(SEARCH("SUS",S95)))</formula>
    </cfRule>
    <cfRule type="containsText" dxfId="1359" priority="1250" operator="containsText" text="MC">
      <formula>NOT(ISERROR(SEARCH("MC",S95)))</formula>
    </cfRule>
    <cfRule type="containsText" dxfId="1358" priority="1251" operator="containsText" text="AB">
      <formula>NOT(ISERROR(SEARCH("AB",S95)))</formula>
    </cfRule>
    <cfRule type="containsText" dxfId="1357" priority="1252" operator="containsText" text="Sick">
      <formula>NOT(ISERROR(SEARCH("Sick",S95)))</formula>
    </cfRule>
    <cfRule type="containsText" dxfId="1356" priority="1254" operator="containsText" text="AL">
      <formula>NOT(ISERROR(SEARCH("AL",S95)))</formula>
    </cfRule>
    <cfRule type="containsText" dxfId="1355" priority="1246" operator="containsText" text="EL">
      <formula>NOT(ISERROR(SEARCH("EL",S95)))</formula>
    </cfRule>
    <cfRule type="containsText" dxfId="1354" priority="1247" operator="containsText" text="AB">
      <formula>NOT(ISERROR(SEARCH("AB",S95)))</formula>
    </cfRule>
  </conditionalFormatting>
  <conditionalFormatting sqref="S99:T99">
    <cfRule type="containsText" dxfId="1353" priority="1245" operator="containsText" text="AL">
      <formula>NOT(ISERROR(SEARCH("AL",S99)))</formula>
    </cfRule>
    <cfRule type="containsText" dxfId="1352" priority="1244" operator="containsText" text="OFF">
      <formula>NOT(ISERROR(SEARCH("OFF",S99)))</formula>
    </cfRule>
    <cfRule type="containsText" dxfId="1351" priority="1243" operator="containsText" text="Sick">
      <formula>NOT(ISERROR(SEARCH("Sick",S99)))</formula>
    </cfRule>
    <cfRule type="containsText" dxfId="1350" priority="1242" operator="containsText" text="AB">
      <formula>NOT(ISERROR(SEARCH("AB",S99)))</formula>
    </cfRule>
    <cfRule type="containsText" dxfId="1349" priority="1241" operator="containsText" text="MC">
      <formula>NOT(ISERROR(SEARCH("MC",S99)))</formula>
    </cfRule>
    <cfRule type="containsText" dxfId="1348" priority="1240" operator="containsText" text="FL">
      <formula>NOT(ISERROR(SEARCH("FL",S99)))</formula>
    </cfRule>
    <cfRule type="containsText" dxfId="1347" priority="1239" operator="containsText" text="SUS">
      <formula>NOT(ISERROR(SEARCH("SUS",S99)))</formula>
    </cfRule>
    <cfRule type="containsText" dxfId="1346" priority="1238" operator="containsText" text="AB">
      <formula>NOT(ISERROR(SEARCH("AB",S99)))</formula>
    </cfRule>
    <cfRule type="containsText" dxfId="1345" priority="1237" operator="containsText" text="EL">
      <formula>NOT(ISERROR(SEARCH("EL",S99)))</formula>
    </cfRule>
  </conditionalFormatting>
  <conditionalFormatting sqref="S136:AH136 W137:AH137 AJ138 AI135:AI136">
    <cfRule type="containsText" dxfId="1344" priority="1958" operator="containsText" text="FL">
      <formula>NOT(ISERROR(SEARCH("FL",S135)))</formula>
    </cfRule>
    <cfRule type="containsText" dxfId="1343" priority="1957" operator="containsText" text="SUS">
      <formula>NOT(ISERROR(SEARCH("SUS",S135)))</formula>
    </cfRule>
  </conditionalFormatting>
  <conditionalFormatting sqref="S136:AH136 W137:AH137 AJ138">
    <cfRule type="containsText" dxfId="1342" priority="1956" operator="containsText" text="NL">
      <formula>NOT(ISERROR(SEARCH("NL",S136)))</formula>
    </cfRule>
    <cfRule type="containsText" dxfId="1341" priority="1955" operator="containsText" text="SP">
      <formula>NOT(ISERROR(SEARCH("SP",S136)))</formula>
    </cfRule>
  </conditionalFormatting>
  <conditionalFormatting sqref="Y9:Z9">
    <cfRule type="containsText" dxfId="1340" priority="1234" operator="containsText" text="AB">
      <formula>NOT(ISERROR(SEARCH("AB",Y9)))</formula>
    </cfRule>
    <cfRule type="containsText" dxfId="1339" priority="1233" operator="containsText" text="OFF">
      <formula>NOT(ISERROR(SEARCH("OFF",Y9)))</formula>
    </cfRule>
    <cfRule type="containsText" dxfId="1338" priority="1232" operator="containsText" text="MC">
      <formula>NOT(ISERROR(SEARCH("MC",Y9)))</formula>
    </cfRule>
    <cfRule type="containsText" dxfId="1337" priority="1231" operator="containsText" text="EL">
      <formula>NOT(ISERROR(SEARCH("EL",Y9)))</formula>
    </cfRule>
    <cfRule type="containsText" dxfId="1336" priority="1230" operator="containsText" text="FL">
      <formula>NOT(ISERROR(SEARCH("FL",Y9)))</formula>
    </cfRule>
    <cfRule type="containsText" dxfId="1335" priority="1227" operator="containsText" text="SP">
      <formula>NOT(ISERROR(SEARCH("SP",Y9)))</formula>
    </cfRule>
    <cfRule type="containsText" dxfId="1334" priority="1228" operator="containsText" text="NL">
      <formula>NOT(ISERROR(SEARCH("NL",Y9)))</formula>
    </cfRule>
    <cfRule type="containsText" dxfId="1333" priority="1229" operator="containsText" text="SUS">
      <formula>NOT(ISERROR(SEARCH("SUS",Y9)))</formula>
    </cfRule>
    <cfRule type="containsText" dxfId="1332" priority="1236" operator="containsText" text="AL">
      <formula>NOT(ISERROR(SEARCH("AL",Y9)))</formula>
    </cfRule>
    <cfRule type="containsText" dxfId="1331" priority="1235" operator="containsText" text="SICK">
      <formula>NOT(ISERROR(SEARCH("SICK",Y9)))</formula>
    </cfRule>
  </conditionalFormatting>
  <conditionalFormatting sqref="AA126:AH126 AK126:AR126">
    <cfRule type="cellIs" dxfId="1330" priority="11" operator="between">
      <formula>0.0625</formula>
      <formula>0.1875</formula>
    </cfRule>
  </conditionalFormatting>
  <conditionalFormatting sqref="AG9:AG14">
    <cfRule type="containsText" dxfId="1329" priority="1215" operator="containsText" text="Sick">
      <formula>NOT(ISERROR(SEARCH("Sick",AG9)))</formula>
    </cfRule>
    <cfRule type="containsText" dxfId="1328" priority="1214" operator="containsText" text="AB">
      <formula>NOT(ISERROR(SEARCH("AB",AG9)))</formula>
    </cfRule>
    <cfRule type="containsText" dxfId="1327" priority="1213" operator="containsText" text="MC">
      <formula>NOT(ISERROR(SEARCH("MC",AG9)))</formula>
    </cfRule>
    <cfRule type="containsText" dxfId="1326" priority="1212" operator="containsText" text="FL">
      <formula>NOT(ISERROR(SEARCH("FL",AG9)))</formula>
    </cfRule>
    <cfRule type="containsText" dxfId="1325" priority="1211" operator="containsText" text="SUS">
      <formula>NOT(ISERROR(SEARCH("SUS",AG9)))</formula>
    </cfRule>
    <cfRule type="containsText" dxfId="1324" priority="1217" operator="containsText" text="AL">
      <formula>NOT(ISERROR(SEARCH("AL",AG9)))</formula>
    </cfRule>
    <cfRule type="containsText" dxfId="1323" priority="1216" operator="containsText" text="OFF">
      <formula>NOT(ISERROR(SEARCH("OFF",AG9)))</formula>
    </cfRule>
  </conditionalFormatting>
  <conditionalFormatting sqref="AG22">
    <cfRule type="containsText" dxfId="1322" priority="1205" operator="containsText" text="AB">
      <formula>NOT(ISERROR(SEARCH("AB",AG22)))</formula>
    </cfRule>
    <cfRule type="containsText" dxfId="1321" priority="1204" operator="containsText" text="MC">
      <formula>NOT(ISERROR(SEARCH("MC",AG22)))</formula>
    </cfRule>
    <cfRule type="containsText" dxfId="1320" priority="1203" operator="containsText" text="FL">
      <formula>NOT(ISERROR(SEARCH("FL",AG22)))</formula>
    </cfRule>
    <cfRule type="containsText" dxfId="1319" priority="1202" operator="containsText" text="SUS">
      <formula>NOT(ISERROR(SEARCH("SUS",AG22)))</formula>
    </cfRule>
    <cfRule type="containsText" dxfId="1318" priority="1206" operator="containsText" text="Sick">
      <formula>NOT(ISERROR(SEARCH("Sick",AG22)))</formula>
    </cfRule>
    <cfRule type="containsText" dxfId="1317" priority="1208" operator="containsText" text="AL">
      <formula>NOT(ISERROR(SEARCH("AL",AG22)))</formula>
    </cfRule>
    <cfRule type="containsText" dxfId="1316" priority="1207" operator="containsText" text="OFF">
      <formula>NOT(ISERROR(SEARCH("OFF",AG22)))</formula>
    </cfRule>
  </conditionalFormatting>
  <conditionalFormatting sqref="AG24:AG25">
    <cfRule type="containsText" dxfId="1315" priority="1193" operator="containsText" text="SUS">
      <formula>NOT(ISERROR(SEARCH("SUS",AG24)))</formula>
    </cfRule>
    <cfRule type="containsText" dxfId="1314" priority="1194" operator="containsText" text="FL">
      <formula>NOT(ISERROR(SEARCH("FL",AG24)))</formula>
    </cfRule>
    <cfRule type="containsText" dxfId="1313" priority="1197" operator="containsText" text="Sick">
      <formula>NOT(ISERROR(SEARCH("Sick",AG24)))</formula>
    </cfRule>
    <cfRule type="containsText" dxfId="1312" priority="1199" operator="containsText" text="AL">
      <formula>NOT(ISERROR(SEARCH("AL",AG24)))</formula>
    </cfRule>
    <cfRule type="containsText" dxfId="1311" priority="1195" operator="containsText" text="MC">
      <formula>NOT(ISERROR(SEARCH("MC",AG24)))</formula>
    </cfRule>
    <cfRule type="containsText" dxfId="1310" priority="1196" operator="containsText" text="AB">
      <formula>NOT(ISERROR(SEARCH("AB",AG24)))</formula>
    </cfRule>
    <cfRule type="containsText" dxfId="1309" priority="1198" operator="containsText" text="OFF">
      <formula>NOT(ISERROR(SEARCH("OFF",AG24)))</formula>
    </cfRule>
  </conditionalFormatting>
  <conditionalFormatting sqref="AG45">
    <cfRule type="containsText" dxfId="1308" priority="1140" operator="containsText" text="FL">
      <formula>NOT(ISERROR(SEARCH("FL",AG45)))</formula>
    </cfRule>
    <cfRule type="containsText" dxfId="1307" priority="1139" operator="containsText" text="SUS">
      <formula>NOT(ISERROR(SEARCH("SUS",AG45)))</formula>
    </cfRule>
    <cfRule type="containsText" dxfId="1306" priority="1142" operator="containsText" text="AB">
      <formula>NOT(ISERROR(SEARCH("AB",AG45)))</formula>
    </cfRule>
    <cfRule type="containsText" dxfId="1305" priority="1143" operator="containsText" text="Sick">
      <formula>NOT(ISERROR(SEARCH("Sick",AG45)))</formula>
    </cfRule>
    <cfRule type="containsText" dxfId="1304" priority="1144" operator="containsText" text="OFF">
      <formula>NOT(ISERROR(SEARCH("OFF",AG45)))</formula>
    </cfRule>
    <cfRule type="containsText" dxfId="1303" priority="1145" operator="containsText" text="AL">
      <formula>NOT(ISERROR(SEARCH("AL",AG45)))</formula>
    </cfRule>
    <cfRule type="containsText" dxfId="1302" priority="1141" operator="containsText" text="MC">
      <formula>NOT(ISERROR(SEARCH("MC",AG45)))</formula>
    </cfRule>
  </conditionalFormatting>
  <conditionalFormatting sqref="AG50">
    <cfRule type="containsText" dxfId="1301" priority="1124" operator="containsText" text="AB">
      <formula>NOT(ISERROR(SEARCH("AB",AG50)))</formula>
    </cfRule>
    <cfRule type="containsText" dxfId="1300" priority="1127" operator="containsText" text="AL">
      <formula>NOT(ISERROR(SEARCH("AL",AG50)))</formula>
    </cfRule>
    <cfRule type="containsText" dxfId="1299" priority="1123" operator="containsText" text="MC">
      <formula>NOT(ISERROR(SEARCH("MC",AG50)))</formula>
    </cfRule>
    <cfRule type="containsText" dxfId="1298" priority="1125" operator="containsText" text="Sick">
      <formula>NOT(ISERROR(SEARCH("Sick",AG50)))</formula>
    </cfRule>
    <cfRule type="containsText" dxfId="1297" priority="1126" operator="containsText" text="OFF">
      <formula>NOT(ISERROR(SEARCH("OFF",AG50)))</formula>
    </cfRule>
    <cfRule type="containsText" dxfId="1296" priority="1122" operator="containsText" text="FL">
      <formula>NOT(ISERROR(SEARCH("FL",AG50)))</formula>
    </cfRule>
    <cfRule type="containsText" dxfId="1295" priority="1121" operator="containsText" text="SUS">
      <formula>NOT(ISERROR(SEARCH("SUS",AG50)))</formula>
    </cfRule>
  </conditionalFormatting>
  <conditionalFormatting sqref="AG54:AG55">
    <cfRule type="containsText" dxfId="1294" priority="1087" operator="containsText" text="MC">
      <formula>NOT(ISERROR(SEARCH("MC",AG54)))</formula>
    </cfRule>
    <cfRule type="containsText" dxfId="1293" priority="1091" operator="containsText" text="AL">
      <formula>NOT(ISERROR(SEARCH("AL",AG54)))</formula>
    </cfRule>
    <cfRule type="containsText" dxfId="1292" priority="1089" operator="containsText" text="Sick">
      <formula>NOT(ISERROR(SEARCH("Sick",AG54)))</formula>
    </cfRule>
    <cfRule type="containsText" dxfId="1291" priority="1088" operator="containsText" text="AB">
      <formula>NOT(ISERROR(SEARCH("AB",AG54)))</formula>
    </cfRule>
    <cfRule type="containsText" dxfId="1290" priority="1086" operator="containsText" text="FL">
      <formula>NOT(ISERROR(SEARCH("FL",AG54)))</formula>
    </cfRule>
    <cfRule type="containsText" dxfId="1289" priority="1085" operator="containsText" text="SUS">
      <formula>NOT(ISERROR(SEARCH("SUS",AG54)))</formula>
    </cfRule>
    <cfRule type="containsText" dxfId="1288" priority="1090" operator="containsText" text="OFF">
      <formula>NOT(ISERROR(SEARCH("OFF",AG54)))</formula>
    </cfRule>
  </conditionalFormatting>
  <conditionalFormatting sqref="AG61:AG62">
    <cfRule type="containsText" dxfId="1287" priority="1050" operator="containsText" text="FL">
      <formula>NOT(ISERROR(SEARCH("FL",AG61)))</formula>
    </cfRule>
    <cfRule type="containsText" dxfId="1286" priority="1051" operator="containsText" text="MC">
      <formula>NOT(ISERROR(SEARCH("MC",AG61)))</formula>
    </cfRule>
    <cfRule type="containsText" dxfId="1285" priority="1049" operator="containsText" text="SUS">
      <formula>NOT(ISERROR(SEARCH("SUS",AG61)))</formula>
    </cfRule>
    <cfRule type="containsText" dxfId="1284" priority="1052" operator="containsText" text="AB">
      <formula>NOT(ISERROR(SEARCH("AB",AG61)))</formula>
    </cfRule>
    <cfRule type="containsText" dxfId="1283" priority="1054" operator="containsText" text="OFF">
      <formula>NOT(ISERROR(SEARCH("OFF",AG61)))</formula>
    </cfRule>
    <cfRule type="containsText" dxfId="1282" priority="1053" operator="containsText" text="Sick">
      <formula>NOT(ISERROR(SEARCH("Sick",AG61)))</formula>
    </cfRule>
    <cfRule type="containsText" dxfId="1281" priority="1055" operator="containsText" text="AL">
      <formula>NOT(ISERROR(SEARCH("AL",AG61)))</formula>
    </cfRule>
  </conditionalFormatting>
  <conditionalFormatting sqref="AG66">
    <cfRule type="containsText" dxfId="1280" priority="1032" operator="containsText" text="FL">
      <formula>NOT(ISERROR(SEARCH("FL",AG66)))</formula>
    </cfRule>
    <cfRule type="containsText" dxfId="1279" priority="1031" operator="containsText" text="SUS">
      <formula>NOT(ISERROR(SEARCH("SUS",AG66)))</formula>
    </cfRule>
    <cfRule type="containsText" dxfId="1278" priority="1036" operator="containsText" text="OFF">
      <formula>NOT(ISERROR(SEARCH("OFF",AG66)))</formula>
    </cfRule>
    <cfRule type="containsText" dxfId="1277" priority="1035" operator="containsText" text="Sick">
      <formula>NOT(ISERROR(SEARCH("Sick",AG66)))</formula>
    </cfRule>
    <cfRule type="containsText" dxfId="1276" priority="1034" operator="containsText" text="AB">
      <formula>NOT(ISERROR(SEARCH("AB",AG66)))</formula>
    </cfRule>
    <cfRule type="containsText" dxfId="1275" priority="1033" operator="containsText" text="MC">
      <formula>NOT(ISERROR(SEARCH("MC",AG66)))</formula>
    </cfRule>
    <cfRule type="containsText" dxfId="1274" priority="1037" operator="containsText" text="AL">
      <formula>NOT(ISERROR(SEARCH("AL",AG66)))</formula>
    </cfRule>
  </conditionalFormatting>
  <conditionalFormatting sqref="AG72:AG73">
    <cfRule type="containsText" dxfId="1273" priority="1019" operator="containsText" text="AL">
      <formula>NOT(ISERROR(SEARCH("AL",AG72)))</formula>
    </cfRule>
    <cfRule type="containsText" dxfId="1272" priority="1013" operator="containsText" text="SUS">
      <formula>NOT(ISERROR(SEARCH("SUS",AG72)))</formula>
    </cfRule>
    <cfRule type="containsText" dxfId="1271" priority="1014" operator="containsText" text="FL">
      <formula>NOT(ISERROR(SEARCH("FL",AG72)))</formula>
    </cfRule>
    <cfRule type="containsText" dxfId="1270" priority="1015" operator="containsText" text="MC">
      <formula>NOT(ISERROR(SEARCH("MC",AG72)))</formula>
    </cfRule>
    <cfRule type="containsText" dxfId="1269" priority="1016" operator="containsText" text="AB">
      <formula>NOT(ISERROR(SEARCH("AB",AG72)))</formula>
    </cfRule>
    <cfRule type="containsText" dxfId="1268" priority="1017" operator="containsText" text="Sick">
      <formula>NOT(ISERROR(SEARCH("Sick",AG72)))</formula>
    </cfRule>
    <cfRule type="containsText" dxfId="1267" priority="1018" operator="containsText" text="OFF">
      <formula>NOT(ISERROR(SEARCH("OFF",AG72)))</formula>
    </cfRule>
  </conditionalFormatting>
  <conditionalFormatting sqref="AG76:AG78">
    <cfRule type="containsText" dxfId="1266" priority="1000" operator="containsText" text="OFF">
      <formula>NOT(ISERROR(SEARCH("OFF",AG76)))</formula>
    </cfRule>
    <cfRule type="containsText" dxfId="1265" priority="995" operator="containsText" text="SUS">
      <formula>NOT(ISERROR(SEARCH("SUS",AG76)))</formula>
    </cfRule>
    <cfRule type="containsText" dxfId="1264" priority="1001" operator="containsText" text="AL">
      <formula>NOT(ISERROR(SEARCH("AL",AG76)))</formula>
    </cfRule>
    <cfRule type="containsText" dxfId="1263" priority="997" operator="containsText" text="MC">
      <formula>NOT(ISERROR(SEARCH("MC",AG76)))</formula>
    </cfRule>
    <cfRule type="containsText" dxfId="1262" priority="999" operator="containsText" text="Sick">
      <formula>NOT(ISERROR(SEARCH("Sick",AG76)))</formula>
    </cfRule>
    <cfRule type="containsText" dxfId="1261" priority="996" operator="containsText" text="FL">
      <formula>NOT(ISERROR(SEARCH("FL",AG76)))</formula>
    </cfRule>
    <cfRule type="containsText" dxfId="1260" priority="998" operator="containsText" text="AB">
      <formula>NOT(ISERROR(SEARCH("AB",AG76)))</formula>
    </cfRule>
  </conditionalFormatting>
  <conditionalFormatting sqref="AG80:AG81">
    <cfRule type="containsText" dxfId="1259" priority="977" operator="containsText" text="SUS">
      <formula>NOT(ISERROR(SEARCH("SUS",AG80)))</formula>
    </cfRule>
    <cfRule type="containsText" dxfId="1258" priority="983" operator="containsText" text="AL">
      <formula>NOT(ISERROR(SEARCH("AL",AG80)))</formula>
    </cfRule>
    <cfRule type="containsText" dxfId="1257" priority="981" operator="containsText" text="Sick">
      <formula>NOT(ISERROR(SEARCH("Sick",AG80)))</formula>
    </cfRule>
    <cfRule type="containsText" dxfId="1256" priority="980" operator="containsText" text="AB">
      <formula>NOT(ISERROR(SEARCH("AB",AG80)))</formula>
    </cfRule>
    <cfRule type="containsText" dxfId="1255" priority="982" operator="containsText" text="OFF">
      <formula>NOT(ISERROR(SEARCH("OFF",AG80)))</formula>
    </cfRule>
    <cfRule type="containsText" dxfId="1254" priority="978" operator="containsText" text="FL">
      <formula>NOT(ISERROR(SEARCH("FL",AG80)))</formula>
    </cfRule>
    <cfRule type="containsText" dxfId="1253" priority="979" operator="containsText" text="MC">
      <formula>NOT(ISERROR(SEARCH("MC",AG80)))</formula>
    </cfRule>
  </conditionalFormatting>
  <conditionalFormatting sqref="AG85">
    <cfRule type="containsText" dxfId="1252" priority="965" operator="containsText" text="AL">
      <formula>NOT(ISERROR(SEARCH("AL",AG85)))</formula>
    </cfRule>
    <cfRule type="containsText" dxfId="1251" priority="964" operator="containsText" text="OFF">
      <formula>NOT(ISERROR(SEARCH("OFF",AG85)))</formula>
    </cfRule>
    <cfRule type="containsText" dxfId="1250" priority="963" operator="containsText" text="Sick">
      <formula>NOT(ISERROR(SEARCH("Sick",AG85)))</formula>
    </cfRule>
    <cfRule type="containsText" dxfId="1249" priority="962" operator="containsText" text="AB">
      <formula>NOT(ISERROR(SEARCH("AB",AG85)))</formula>
    </cfRule>
    <cfRule type="containsText" dxfId="1248" priority="961" operator="containsText" text="MC">
      <formula>NOT(ISERROR(SEARCH("MC",AG85)))</formula>
    </cfRule>
    <cfRule type="containsText" dxfId="1247" priority="960" operator="containsText" text="FL">
      <formula>NOT(ISERROR(SEARCH("FL",AG85)))</formula>
    </cfRule>
    <cfRule type="containsText" dxfId="1246" priority="959" operator="containsText" text="SUS">
      <formula>NOT(ISERROR(SEARCH("SUS",AG85)))</formula>
    </cfRule>
  </conditionalFormatting>
  <conditionalFormatting sqref="AG88:AG91">
    <cfRule type="containsText" dxfId="1245" priority="946" operator="containsText" text="OFF">
      <formula>NOT(ISERROR(SEARCH("OFF",AG88)))</formula>
    </cfRule>
    <cfRule type="containsText" dxfId="1244" priority="942" operator="containsText" text="FL">
      <formula>NOT(ISERROR(SEARCH("FL",AG88)))</formula>
    </cfRule>
    <cfRule type="containsText" dxfId="1243" priority="941" operator="containsText" text="SUS">
      <formula>NOT(ISERROR(SEARCH("SUS",AG88)))</formula>
    </cfRule>
    <cfRule type="containsText" dxfId="1242" priority="944" operator="containsText" text="AB">
      <formula>NOT(ISERROR(SEARCH("AB",AG88)))</formula>
    </cfRule>
    <cfRule type="containsText" dxfId="1241" priority="945" operator="containsText" text="Sick">
      <formula>NOT(ISERROR(SEARCH("Sick",AG88)))</formula>
    </cfRule>
    <cfRule type="containsText" dxfId="1240" priority="947" operator="containsText" text="AL">
      <formula>NOT(ISERROR(SEARCH("AL",AG88)))</formula>
    </cfRule>
    <cfRule type="containsText" dxfId="1239" priority="943" operator="containsText" text="MC">
      <formula>NOT(ISERROR(SEARCH("MC",AG88)))</formula>
    </cfRule>
  </conditionalFormatting>
  <conditionalFormatting sqref="AG94">
    <cfRule type="containsText" dxfId="1238" priority="923" operator="containsText" text="SUS">
      <formula>NOT(ISERROR(SEARCH("SUS",AG94)))</formula>
    </cfRule>
    <cfRule type="containsText" dxfId="1237" priority="929" operator="containsText" text="AL">
      <formula>NOT(ISERROR(SEARCH("AL",AG94)))</formula>
    </cfRule>
    <cfRule type="containsText" dxfId="1236" priority="928" operator="containsText" text="OFF">
      <formula>NOT(ISERROR(SEARCH("OFF",AG94)))</formula>
    </cfRule>
    <cfRule type="containsText" dxfId="1235" priority="927" operator="containsText" text="Sick">
      <formula>NOT(ISERROR(SEARCH("Sick",AG94)))</formula>
    </cfRule>
    <cfRule type="containsText" dxfId="1234" priority="926" operator="containsText" text="AB">
      <formula>NOT(ISERROR(SEARCH("AB",AG94)))</formula>
    </cfRule>
    <cfRule type="containsText" dxfId="1233" priority="925" operator="containsText" text="MC">
      <formula>NOT(ISERROR(SEARCH("MC",AG94)))</formula>
    </cfRule>
    <cfRule type="containsText" dxfId="1232" priority="924" operator="containsText" text="FL">
      <formula>NOT(ISERROR(SEARCH("FL",AG94)))</formula>
    </cfRule>
  </conditionalFormatting>
  <conditionalFormatting sqref="AG98">
    <cfRule type="containsText" dxfId="1231" priority="909" operator="containsText" text="Sick">
      <formula>NOT(ISERROR(SEARCH("Sick",AG98)))</formula>
    </cfRule>
    <cfRule type="containsText" dxfId="1230" priority="910" operator="containsText" text="OFF">
      <formula>NOT(ISERROR(SEARCH("OFF",AG98)))</formula>
    </cfRule>
    <cfRule type="containsText" dxfId="1229" priority="911" operator="containsText" text="AL">
      <formula>NOT(ISERROR(SEARCH("AL",AG98)))</formula>
    </cfRule>
    <cfRule type="containsText" dxfId="1228" priority="908" operator="containsText" text="AB">
      <formula>NOT(ISERROR(SEARCH("AB",AG98)))</formula>
    </cfRule>
    <cfRule type="containsText" dxfId="1227" priority="905" operator="containsText" text="SUS">
      <formula>NOT(ISERROR(SEARCH("SUS",AG98)))</formula>
    </cfRule>
    <cfRule type="containsText" dxfId="1226" priority="906" operator="containsText" text="FL">
      <formula>NOT(ISERROR(SEARCH("FL",AG98)))</formula>
    </cfRule>
    <cfRule type="containsText" dxfId="1225" priority="907" operator="containsText" text="MC">
      <formula>NOT(ISERROR(SEARCH("MC",AG98)))</formula>
    </cfRule>
  </conditionalFormatting>
  <conditionalFormatting sqref="AG5:AH5">
    <cfRule type="containsText" dxfId="1224" priority="1223" operator="containsText" text="AB">
      <formula>NOT(ISERROR(SEARCH("AB",AG5)))</formula>
    </cfRule>
    <cfRule type="containsText" dxfId="1223" priority="1221" operator="containsText" text="FL">
      <formula>NOT(ISERROR(SEARCH("FL",AG5)))</formula>
    </cfRule>
    <cfRule type="containsText" dxfId="1222" priority="1218" operator="containsText" text="EL">
      <formula>NOT(ISERROR(SEARCH("EL",AG5)))</formula>
    </cfRule>
    <cfRule type="containsText" dxfId="1221" priority="1219" operator="containsText" text="AB">
      <formula>NOT(ISERROR(SEARCH("AB",AG5)))</formula>
    </cfRule>
    <cfRule type="containsText" dxfId="1220" priority="1220" operator="containsText" text="SUS">
      <formula>NOT(ISERROR(SEARCH("SUS",AG5)))</formula>
    </cfRule>
    <cfRule type="containsText" dxfId="1219" priority="1222" operator="containsText" text="MC">
      <formula>NOT(ISERROR(SEARCH("MC",AG5)))</formula>
    </cfRule>
    <cfRule type="containsText" dxfId="1218" priority="1226" operator="containsText" text="AL">
      <formula>NOT(ISERROR(SEARCH("AL",AG5)))</formula>
    </cfRule>
    <cfRule type="containsText" dxfId="1217" priority="1224" operator="containsText" text="Sick">
      <formula>NOT(ISERROR(SEARCH("Sick",AG5)))</formula>
    </cfRule>
    <cfRule type="containsText" dxfId="1216" priority="1225" operator="containsText" text="OFF">
      <formula>NOT(ISERROR(SEARCH("OFF",AG5)))</formula>
    </cfRule>
  </conditionalFormatting>
  <conditionalFormatting sqref="AG9:AH14">
    <cfRule type="containsText" dxfId="1215" priority="1187" operator="containsText" text="AB">
      <formula>NOT(ISERROR(SEARCH("AB",AG9)))</formula>
    </cfRule>
    <cfRule type="containsText" dxfId="1214" priority="1182" operator="containsText" text="EL">
      <formula>NOT(ISERROR(SEARCH("EL",AG9)))</formula>
    </cfRule>
  </conditionalFormatting>
  <conditionalFormatting sqref="AG22:AH22">
    <cfRule type="containsText" dxfId="1213" priority="1173" operator="containsText" text="EL">
      <formula>NOT(ISERROR(SEARCH("EL",AG22)))</formula>
    </cfRule>
    <cfRule type="containsText" dxfId="1212" priority="1178" operator="containsText" text="AB">
      <formula>NOT(ISERROR(SEARCH("AB",AG22)))</formula>
    </cfRule>
  </conditionalFormatting>
  <conditionalFormatting sqref="AG24:AH25">
    <cfRule type="containsText" dxfId="1211" priority="1164" operator="containsText" text="EL">
      <formula>NOT(ISERROR(SEARCH("EL",AG24)))</formula>
    </cfRule>
    <cfRule type="containsText" dxfId="1210" priority="1169" operator="containsText" text="AB">
      <formula>NOT(ISERROR(SEARCH("AB",AG24)))</formula>
    </cfRule>
  </conditionalFormatting>
  <conditionalFormatting sqref="AG40:AH40">
    <cfRule type="containsText" dxfId="1209" priority="1157" operator="containsText" text="SUS">
      <formula>NOT(ISERROR(SEARCH("SUS",AG40)))</formula>
    </cfRule>
    <cfRule type="containsText" dxfId="1208" priority="1158" operator="containsText" text="FL">
      <formula>NOT(ISERROR(SEARCH("FL",AG40)))</formula>
    </cfRule>
    <cfRule type="containsText" dxfId="1207" priority="1159" operator="containsText" text="MC">
      <formula>NOT(ISERROR(SEARCH("MC",AG40)))</formula>
    </cfRule>
    <cfRule type="containsText" dxfId="1206" priority="1160" operator="containsText" text="AB">
      <formula>NOT(ISERROR(SEARCH("AB",AG40)))</formula>
    </cfRule>
    <cfRule type="containsText" dxfId="1205" priority="1161" operator="containsText" text="Sick">
      <formula>NOT(ISERROR(SEARCH("Sick",AG40)))</formula>
    </cfRule>
    <cfRule type="containsText" dxfId="1204" priority="1162" operator="containsText" text="OFF">
      <formula>NOT(ISERROR(SEARCH("OFF",AG40)))</formula>
    </cfRule>
    <cfRule type="containsText" dxfId="1203" priority="1163" operator="containsText" text="AL">
      <formula>NOT(ISERROR(SEARCH("AL",AG40)))</formula>
    </cfRule>
    <cfRule type="containsText" dxfId="1202" priority="1156" operator="containsText" text="AB">
      <formula>NOT(ISERROR(SEARCH("AB",AG40)))</formula>
    </cfRule>
    <cfRule type="containsText" dxfId="1201" priority="1155" operator="containsText" text="EL">
      <formula>NOT(ISERROR(SEARCH("EL",AG40)))</formula>
    </cfRule>
  </conditionalFormatting>
  <conditionalFormatting sqref="AG43:AH43">
    <cfRule type="containsText" dxfId="1200" priority="1146" operator="containsText" text="EL">
      <formula>NOT(ISERROR(SEARCH("EL",AG43)))</formula>
    </cfRule>
    <cfRule type="containsText" dxfId="1199" priority="1147" operator="containsText" text="AB">
      <formula>NOT(ISERROR(SEARCH("AB",AG43)))</formula>
    </cfRule>
    <cfRule type="containsText" dxfId="1198" priority="1148" operator="containsText" text="SUS">
      <formula>NOT(ISERROR(SEARCH("SUS",AG43)))</formula>
    </cfRule>
    <cfRule type="containsText" dxfId="1197" priority="1149" operator="containsText" text="FL">
      <formula>NOT(ISERROR(SEARCH("FL",AG43)))</formula>
    </cfRule>
    <cfRule type="containsText" dxfId="1196" priority="1153" operator="containsText" text="OFF">
      <formula>NOT(ISERROR(SEARCH("OFF",AG43)))</formula>
    </cfRule>
    <cfRule type="containsText" dxfId="1195" priority="1154" operator="containsText" text="AL">
      <formula>NOT(ISERROR(SEARCH("AL",AG43)))</formula>
    </cfRule>
    <cfRule type="containsText" dxfId="1194" priority="1152" operator="containsText" text="Sick">
      <formula>NOT(ISERROR(SEARCH("Sick",AG43)))</formula>
    </cfRule>
    <cfRule type="containsText" dxfId="1193" priority="1151" operator="containsText" text="AB">
      <formula>NOT(ISERROR(SEARCH("AB",AG43)))</formula>
    </cfRule>
    <cfRule type="containsText" dxfId="1192" priority="1150" operator="containsText" text="MC">
      <formula>NOT(ISERROR(SEARCH("MC",AG43)))</formula>
    </cfRule>
  </conditionalFormatting>
  <conditionalFormatting sqref="AG45:AH45">
    <cfRule type="containsText" dxfId="1191" priority="1133" operator="containsText" text="AB">
      <formula>NOT(ISERROR(SEARCH("AB",AG45)))</formula>
    </cfRule>
    <cfRule type="containsText" dxfId="1190" priority="1128" operator="containsText" text="EL">
      <formula>NOT(ISERROR(SEARCH("EL",AG45)))</formula>
    </cfRule>
  </conditionalFormatting>
  <conditionalFormatting sqref="AG50:AH50">
    <cfRule type="containsText" dxfId="1189" priority="1115" operator="containsText" text="AB">
      <formula>NOT(ISERROR(SEARCH("AB",AG50)))</formula>
    </cfRule>
    <cfRule type="containsText" dxfId="1188" priority="1110" operator="containsText" text="EL">
      <formula>NOT(ISERROR(SEARCH("EL",AG50)))</formula>
    </cfRule>
  </conditionalFormatting>
  <conditionalFormatting sqref="AG54:AH55">
    <cfRule type="containsText" dxfId="1187" priority="1079" operator="containsText" text="AB">
      <formula>NOT(ISERROR(SEARCH("AB",AG54)))</formula>
    </cfRule>
    <cfRule type="containsText" dxfId="1186" priority="1074" operator="containsText" text="EL">
      <formula>NOT(ISERROR(SEARCH("EL",AG54)))</formula>
    </cfRule>
  </conditionalFormatting>
  <conditionalFormatting sqref="AG57:AH58 AG100:AH101 AG139:AH142 E9:F14 AJ38:AJ102 E52:F52 AG52:AH52 AJ134:BP137 AO138:BP138 AJ139:BP139 AO140:BP140 BC141:BP141 AJ142 AQ142:BP142">
    <cfRule type="containsText" dxfId="1185" priority="1729" operator="containsText" text="EL">
      <formula>NOT(ISERROR(SEARCH("EL",E9)))</formula>
    </cfRule>
  </conditionalFormatting>
  <conditionalFormatting sqref="AG61:AH62">
    <cfRule type="containsText" dxfId="1184" priority="1043" operator="containsText" text="AB">
      <formula>NOT(ISERROR(SEARCH("AB",AG61)))</formula>
    </cfRule>
    <cfRule type="containsText" dxfId="1183" priority="1038" operator="containsText" text="EL">
      <formula>NOT(ISERROR(SEARCH("EL",AG61)))</formula>
    </cfRule>
  </conditionalFormatting>
  <conditionalFormatting sqref="AG66:AH66">
    <cfRule type="containsText" dxfId="1182" priority="1025" operator="containsText" text="AB">
      <formula>NOT(ISERROR(SEARCH("AB",AG66)))</formula>
    </cfRule>
    <cfRule type="containsText" dxfId="1181" priority="1020" operator="containsText" text="EL">
      <formula>NOT(ISERROR(SEARCH("EL",AG66)))</formula>
    </cfRule>
  </conditionalFormatting>
  <conditionalFormatting sqref="AG72:AH73">
    <cfRule type="containsText" dxfId="1180" priority="1007" operator="containsText" text="AB">
      <formula>NOT(ISERROR(SEARCH("AB",AG72)))</formula>
    </cfRule>
    <cfRule type="containsText" dxfId="1179" priority="1002" operator="containsText" text="EL">
      <formula>NOT(ISERROR(SEARCH("EL",AG72)))</formula>
    </cfRule>
  </conditionalFormatting>
  <conditionalFormatting sqref="AG76:AH78">
    <cfRule type="containsText" dxfId="1178" priority="989" operator="containsText" text="AB">
      <formula>NOT(ISERROR(SEARCH("AB",AG76)))</formula>
    </cfRule>
    <cfRule type="containsText" dxfId="1177" priority="984" operator="containsText" text="EL">
      <formula>NOT(ISERROR(SEARCH("EL",AG76)))</formula>
    </cfRule>
  </conditionalFormatting>
  <conditionalFormatting sqref="AG80:AH81">
    <cfRule type="containsText" dxfId="1176" priority="971" operator="containsText" text="AB">
      <formula>NOT(ISERROR(SEARCH("AB",AG80)))</formula>
    </cfRule>
    <cfRule type="containsText" dxfId="1175" priority="966" operator="containsText" text="EL">
      <formula>NOT(ISERROR(SEARCH("EL",AG80)))</formula>
    </cfRule>
  </conditionalFormatting>
  <conditionalFormatting sqref="AG85:AH85">
    <cfRule type="containsText" dxfId="1174" priority="953" operator="containsText" text="AB">
      <formula>NOT(ISERROR(SEARCH("AB",AG85)))</formula>
    </cfRule>
    <cfRule type="containsText" dxfId="1173" priority="948" operator="containsText" text="EL">
      <formula>NOT(ISERROR(SEARCH("EL",AG85)))</formula>
    </cfRule>
  </conditionalFormatting>
  <conditionalFormatting sqref="AG88:AH91">
    <cfRule type="containsText" dxfId="1172" priority="930" operator="containsText" text="EL">
      <formula>NOT(ISERROR(SEARCH("EL",AG88)))</formula>
    </cfRule>
    <cfRule type="containsText" dxfId="1171" priority="935" operator="containsText" text="AB">
      <formula>NOT(ISERROR(SEARCH("AB",AG88)))</formula>
    </cfRule>
  </conditionalFormatting>
  <conditionalFormatting sqref="AG94:AH94">
    <cfRule type="containsText" dxfId="1170" priority="917" operator="containsText" text="AB">
      <formula>NOT(ISERROR(SEARCH("AB",AG94)))</formula>
    </cfRule>
    <cfRule type="containsText" dxfId="1169" priority="912" operator="containsText" text="EL">
      <formula>NOT(ISERROR(SEARCH("EL",AG94)))</formula>
    </cfRule>
  </conditionalFormatting>
  <conditionalFormatting sqref="AG98:AH98">
    <cfRule type="containsText" dxfId="1168" priority="894" operator="containsText" text="EL">
      <formula>NOT(ISERROR(SEARCH("EL",AG98)))</formula>
    </cfRule>
    <cfRule type="containsText" dxfId="1167" priority="899" operator="containsText" text="AB">
      <formula>NOT(ISERROR(SEARCH("AB",AG98)))</formula>
    </cfRule>
  </conditionalFormatting>
  <conditionalFormatting sqref="AH9:AH14">
    <cfRule type="containsText" dxfId="1166" priority="1184" operator="containsText" text="SUS">
      <formula>NOT(ISERROR(SEARCH("SUS",AH9)))</formula>
    </cfRule>
    <cfRule type="containsText" dxfId="1165" priority="1185" operator="containsText" text="FL">
      <formula>NOT(ISERROR(SEARCH("FL",AH9)))</formula>
    </cfRule>
    <cfRule type="containsText" dxfId="1164" priority="1186" operator="containsText" text="MC">
      <formula>NOT(ISERROR(SEARCH("MC",AH9)))</formula>
    </cfRule>
    <cfRule type="containsText" dxfId="1163" priority="1188" operator="containsText" text="Sick">
      <formula>NOT(ISERROR(SEARCH("Sick",AH9)))</formula>
    </cfRule>
    <cfRule type="containsText" dxfId="1162" priority="1189" operator="containsText" text="OFF">
      <formula>NOT(ISERROR(SEARCH("OFF",AH9)))</formula>
    </cfRule>
    <cfRule type="containsText" dxfId="1161" priority="1190" operator="containsText" text="AL">
      <formula>NOT(ISERROR(SEARCH("AL",AH9)))</formula>
    </cfRule>
    <cfRule type="containsText" dxfId="1160" priority="1183" operator="containsText" text="AB">
      <formula>NOT(ISERROR(SEARCH("AB",AH9)))</formula>
    </cfRule>
  </conditionalFormatting>
  <conditionalFormatting sqref="AH22">
    <cfRule type="containsText" dxfId="1159" priority="1180" operator="containsText" text="OFF">
      <formula>NOT(ISERROR(SEARCH("OFF",AH22)))</formula>
    </cfRule>
    <cfRule type="containsText" dxfId="1158" priority="1175" operator="containsText" text="SUS">
      <formula>NOT(ISERROR(SEARCH("SUS",AH22)))</formula>
    </cfRule>
    <cfRule type="containsText" dxfId="1157" priority="1179" operator="containsText" text="Sick">
      <formula>NOT(ISERROR(SEARCH("Sick",AH22)))</formula>
    </cfRule>
    <cfRule type="containsText" dxfId="1156" priority="1177" operator="containsText" text="MC">
      <formula>NOT(ISERROR(SEARCH("MC",AH22)))</formula>
    </cfRule>
    <cfRule type="containsText" dxfId="1155" priority="1174" operator="containsText" text="AB">
      <formula>NOT(ISERROR(SEARCH("AB",AH22)))</formula>
    </cfRule>
    <cfRule type="containsText" dxfId="1154" priority="1176" operator="containsText" text="FL">
      <formula>NOT(ISERROR(SEARCH("FL",AH22)))</formula>
    </cfRule>
    <cfRule type="containsText" dxfId="1153" priority="1181" operator="containsText" text="AL">
      <formula>NOT(ISERROR(SEARCH("AL",AH22)))</formula>
    </cfRule>
  </conditionalFormatting>
  <conditionalFormatting sqref="AH24:AH25">
    <cfRule type="containsText" dxfId="1152" priority="1172" operator="containsText" text="AL">
      <formula>NOT(ISERROR(SEARCH("AL",AH24)))</formula>
    </cfRule>
    <cfRule type="containsText" dxfId="1151" priority="1168" operator="containsText" text="MC">
      <formula>NOT(ISERROR(SEARCH("MC",AH24)))</formula>
    </cfRule>
    <cfRule type="containsText" dxfId="1150" priority="1165" operator="containsText" text="AB">
      <formula>NOT(ISERROR(SEARCH("AB",AH24)))</formula>
    </cfRule>
    <cfRule type="containsText" dxfId="1149" priority="1166" operator="containsText" text="SUS">
      <formula>NOT(ISERROR(SEARCH("SUS",AH24)))</formula>
    </cfRule>
    <cfRule type="containsText" dxfId="1148" priority="1167" operator="containsText" text="FL">
      <formula>NOT(ISERROR(SEARCH("FL",AH24)))</formula>
    </cfRule>
    <cfRule type="containsText" dxfId="1147" priority="1170" operator="containsText" text="Sick">
      <formula>NOT(ISERROR(SEARCH("Sick",AH24)))</formula>
    </cfRule>
    <cfRule type="containsText" dxfId="1146" priority="1171" operator="containsText" text="OFF">
      <formula>NOT(ISERROR(SEARCH("OFF",AH24)))</formula>
    </cfRule>
  </conditionalFormatting>
  <conditionalFormatting sqref="AH45">
    <cfRule type="containsText" dxfId="1145" priority="1132" operator="containsText" text="MC">
      <formula>NOT(ISERROR(SEARCH("MC",AH45)))</formula>
    </cfRule>
    <cfRule type="containsText" dxfId="1144" priority="1129" operator="containsText" text="AB">
      <formula>NOT(ISERROR(SEARCH("AB",AH45)))</formula>
    </cfRule>
    <cfRule type="containsText" dxfId="1143" priority="1130" operator="containsText" text="SUS">
      <formula>NOT(ISERROR(SEARCH("SUS",AH45)))</formula>
    </cfRule>
    <cfRule type="containsText" dxfId="1142" priority="1131" operator="containsText" text="FL">
      <formula>NOT(ISERROR(SEARCH("FL",AH45)))</formula>
    </cfRule>
    <cfRule type="containsText" dxfId="1141" priority="1134" operator="containsText" text="Sick">
      <formula>NOT(ISERROR(SEARCH("Sick",AH45)))</formula>
    </cfRule>
    <cfRule type="containsText" dxfId="1140" priority="1135" operator="containsText" text="OFF">
      <formula>NOT(ISERROR(SEARCH("OFF",AH45)))</formula>
    </cfRule>
    <cfRule type="containsText" dxfId="1139" priority="1136" operator="containsText" text="AL">
      <formula>NOT(ISERROR(SEARCH("AL",AH45)))</formula>
    </cfRule>
  </conditionalFormatting>
  <conditionalFormatting sqref="AH50">
    <cfRule type="containsText" dxfId="1138" priority="1118" operator="containsText" text="AL">
      <formula>NOT(ISERROR(SEARCH("AL",AH50)))</formula>
    </cfRule>
    <cfRule type="containsText" dxfId="1137" priority="1117" operator="containsText" text="OFF">
      <formula>NOT(ISERROR(SEARCH("OFF",AH50)))</formula>
    </cfRule>
    <cfRule type="containsText" dxfId="1136" priority="1116" operator="containsText" text="Sick">
      <formula>NOT(ISERROR(SEARCH("Sick",AH50)))</formula>
    </cfRule>
    <cfRule type="containsText" dxfId="1135" priority="1114" operator="containsText" text="MC">
      <formula>NOT(ISERROR(SEARCH("MC",AH50)))</formula>
    </cfRule>
    <cfRule type="containsText" dxfId="1134" priority="1112" operator="containsText" text="SUS">
      <formula>NOT(ISERROR(SEARCH("SUS",AH50)))</formula>
    </cfRule>
    <cfRule type="containsText" dxfId="1133" priority="1111" operator="containsText" text="AB">
      <formula>NOT(ISERROR(SEARCH("AB",AH50)))</formula>
    </cfRule>
    <cfRule type="containsText" dxfId="1132" priority="1113" operator="containsText" text="FL">
      <formula>NOT(ISERROR(SEARCH("FL",AH50)))</formula>
    </cfRule>
  </conditionalFormatting>
  <conditionalFormatting sqref="AH54:AH55">
    <cfRule type="containsText" dxfId="1131" priority="1081" operator="containsText" text="OFF">
      <formula>NOT(ISERROR(SEARCH("OFF",AH54)))</formula>
    </cfRule>
    <cfRule type="containsText" dxfId="1130" priority="1075" operator="containsText" text="AB">
      <formula>NOT(ISERROR(SEARCH("AB",AH54)))</formula>
    </cfRule>
    <cfRule type="containsText" dxfId="1129" priority="1076" operator="containsText" text="SUS">
      <formula>NOT(ISERROR(SEARCH("SUS",AH54)))</formula>
    </cfRule>
    <cfRule type="containsText" dxfId="1128" priority="1077" operator="containsText" text="FL">
      <formula>NOT(ISERROR(SEARCH("FL",AH54)))</formula>
    </cfRule>
    <cfRule type="containsText" dxfId="1127" priority="1078" operator="containsText" text="MC">
      <formula>NOT(ISERROR(SEARCH("MC",AH54)))</formula>
    </cfRule>
    <cfRule type="containsText" dxfId="1126" priority="1080" operator="containsText" text="Sick">
      <formula>NOT(ISERROR(SEARCH("Sick",AH54)))</formula>
    </cfRule>
    <cfRule type="containsText" dxfId="1125" priority="1082" operator="containsText" text="AL">
      <formula>NOT(ISERROR(SEARCH("AL",AH54)))</formula>
    </cfRule>
  </conditionalFormatting>
  <conditionalFormatting sqref="AH61:AH62">
    <cfRule type="containsText" dxfId="1124" priority="1039" operator="containsText" text="AB">
      <formula>NOT(ISERROR(SEARCH("AB",AH61)))</formula>
    </cfRule>
    <cfRule type="containsText" dxfId="1123" priority="1044" operator="containsText" text="Sick">
      <formula>NOT(ISERROR(SEARCH("Sick",AH61)))</formula>
    </cfRule>
    <cfRule type="containsText" dxfId="1122" priority="1042" operator="containsText" text="MC">
      <formula>NOT(ISERROR(SEARCH("MC",AH61)))</formula>
    </cfRule>
    <cfRule type="containsText" dxfId="1121" priority="1041" operator="containsText" text="FL">
      <formula>NOT(ISERROR(SEARCH("FL",AH61)))</formula>
    </cfRule>
    <cfRule type="containsText" dxfId="1120" priority="1046" operator="containsText" text="AL">
      <formula>NOT(ISERROR(SEARCH("AL",AH61)))</formula>
    </cfRule>
    <cfRule type="containsText" dxfId="1119" priority="1045" operator="containsText" text="OFF">
      <formula>NOT(ISERROR(SEARCH("OFF",AH61)))</formula>
    </cfRule>
    <cfRule type="containsText" dxfId="1118" priority="1040" operator="containsText" text="SUS">
      <formula>NOT(ISERROR(SEARCH("SUS",AH61)))</formula>
    </cfRule>
  </conditionalFormatting>
  <conditionalFormatting sqref="AH66">
    <cfRule type="containsText" dxfId="1117" priority="1024" operator="containsText" text="MC">
      <formula>NOT(ISERROR(SEARCH("MC",AH66)))</formula>
    </cfRule>
    <cfRule type="containsText" dxfId="1116" priority="1022" operator="containsText" text="SUS">
      <formula>NOT(ISERROR(SEARCH("SUS",AH66)))</formula>
    </cfRule>
    <cfRule type="containsText" dxfId="1115" priority="1021" operator="containsText" text="AB">
      <formula>NOT(ISERROR(SEARCH("AB",AH66)))</formula>
    </cfRule>
    <cfRule type="containsText" dxfId="1114" priority="1023" operator="containsText" text="FL">
      <formula>NOT(ISERROR(SEARCH("FL",AH66)))</formula>
    </cfRule>
    <cfRule type="containsText" dxfId="1113" priority="1028" operator="containsText" text="AL">
      <formula>NOT(ISERROR(SEARCH("AL",AH66)))</formula>
    </cfRule>
    <cfRule type="containsText" dxfId="1112" priority="1027" operator="containsText" text="OFF">
      <formula>NOT(ISERROR(SEARCH("OFF",AH66)))</formula>
    </cfRule>
    <cfRule type="containsText" dxfId="1111" priority="1026" operator="containsText" text="Sick">
      <formula>NOT(ISERROR(SEARCH("Sick",AH66)))</formula>
    </cfRule>
  </conditionalFormatting>
  <conditionalFormatting sqref="AH72:AH73">
    <cfRule type="containsText" dxfId="1110" priority="1010" operator="containsText" text="AL">
      <formula>NOT(ISERROR(SEARCH("AL",AH72)))</formula>
    </cfRule>
    <cfRule type="containsText" dxfId="1109" priority="1009" operator="containsText" text="OFF">
      <formula>NOT(ISERROR(SEARCH("OFF",AH72)))</formula>
    </cfRule>
    <cfRule type="containsText" dxfId="1108" priority="1003" operator="containsText" text="AB">
      <formula>NOT(ISERROR(SEARCH("AB",AH72)))</formula>
    </cfRule>
    <cfRule type="containsText" dxfId="1107" priority="1006" operator="containsText" text="MC">
      <formula>NOT(ISERROR(SEARCH("MC",AH72)))</formula>
    </cfRule>
    <cfRule type="containsText" dxfId="1106" priority="1005" operator="containsText" text="FL">
      <formula>NOT(ISERROR(SEARCH("FL",AH72)))</formula>
    </cfRule>
    <cfRule type="containsText" dxfId="1105" priority="1004" operator="containsText" text="SUS">
      <formula>NOT(ISERROR(SEARCH("SUS",AH72)))</formula>
    </cfRule>
    <cfRule type="containsText" dxfId="1104" priority="1008" operator="containsText" text="Sick">
      <formula>NOT(ISERROR(SEARCH("Sick",AH72)))</formula>
    </cfRule>
  </conditionalFormatting>
  <conditionalFormatting sqref="AH76:AH78">
    <cfRule type="containsText" dxfId="1103" priority="992" operator="containsText" text="AL">
      <formula>NOT(ISERROR(SEARCH("AL",AH76)))</formula>
    </cfRule>
    <cfRule type="containsText" dxfId="1102" priority="985" operator="containsText" text="AB">
      <formula>NOT(ISERROR(SEARCH("AB",AH76)))</formula>
    </cfRule>
    <cfRule type="containsText" dxfId="1101" priority="991" operator="containsText" text="OFF">
      <formula>NOT(ISERROR(SEARCH("OFF",AH76)))</formula>
    </cfRule>
    <cfRule type="containsText" dxfId="1100" priority="990" operator="containsText" text="Sick">
      <formula>NOT(ISERROR(SEARCH("Sick",AH76)))</formula>
    </cfRule>
    <cfRule type="containsText" dxfId="1099" priority="986" operator="containsText" text="SUS">
      <formula>NOT(ISERROR(SEARCH("SUS",AH76)))</formula>
    </cfRule>
    <cfRule type="containsText" dxfId="1098" priority="988" operator="containsText" text="MC">
      <formula>NOT(ISERROR(SEARCH("MC",AH76)))</formula>
    </cfRule>
    <cfRule type="containsText" dxfId="1097" priority="987" operator="containsText" text="FL">
      <formula>NOT(ISERROR(SEARCH("FL",AH76)))</formula>
    </cfRule>
  </conditionalFormatting>
  <conditionalFormatting sqref="AH80:AH81">
    <cfRule type="containsText" dxfId="1096" priority="972" operator="containsText" text="Sick">
      <formula>NOT(ISERROR(SEARCH("Sick",AH80)))</formula>
    </cfRule>
    <cfRule type="containsText" dxfId="1095" priority="970" operator="containsText" text="MC">
      <formula>NOT(ISERROR(SEARCH("MC",AH80)))</formula>
    </cfRule>
    <cfRule type="containsText" dxfId="1094" priority="969" operator="containsText" text="FL">
      <formula>NOT(ISERROR(SEARCH("FL",AH80)))</formula>
    </cfRule>
    <cfRule type="containsText" dxfId="1093" priority="968" operator="containsText" text="SUS">
      <formula>NOT(ISERROR(SEARCH("SUS",AH80)))</formula>
    </cfRule>
    <cfRule type="containsText" dxfId="1092" priority="967" operator="containsText" text="AB">
      <formula>NOT(ISERROR(SEARCH("AB",AH80)))</formula>
    </cfRule>
    <cfRule type="containsText" dxfId="1091" priority="974" operator="containsText" text="AL">
      <formula>NOT(ISERROR(SEARCH("AL",AH80)))</formula>
    </cfRule>
    <cfRule type="containsText" dxfId="1090" priority="973" operator="containsText" text="OFF">
      <formula>NOT(ISERROR(SEARCH("OFF",AH80)))</formula>
    </cfRule>
  </conditionalFormatting>
  <conditionalFormatting sqref="AH85">
    <cfRule type="containsText" dxfId="1089" priority="951" operator="containsText" text="FL">
      <formula>NOT(ISERROR(SEARCH("FL",AH85)))</formula>
    </cfRule>
    <cfRule type="containsText" dxfId="1088" priority="956" operator="containsText" text="AL">
      <formula>NOT(ISERROR(SEARCH("AL",AH85)))</formula>
    </cfRule>
    <cfRule type="containsText" dxfId="1087" priority="952" operator="containsText" text="MC">
      <formula>NOT(ISERROR(SEARCH("MC",AH85)))</formula>
    </cfRule>
    <cfRule type="containsText" dxfId="1086" priority="955" operator="containsText" text="OFF">
      <formula>NOT(ISERROR(SEARCH("OFF",AH85)))</formula>
    </cfRule>
    <cfRule type="containsText" dxfId="1085" priority="949" operator="containsText" text="AB">
      <formula>NOT(ISERROR(SEARCH("AB",AH85)))</formula>
    </cfRule>
    <cfRule type="containsText" dxfId="1084" priority="950" operator="containsText" text="SUS">
      <formula>NOT(ISERROR(SEARCH("SUS",AH85)))</formula>
    </cfRule>
    <cfRule type="containsText" dxfId="1083" priority="954" operator="containsText" text="Sick">
      <formula>NOT(ISERROR(SEARCH("Sick",AH85)))</formula>
    </cfRule>
  </conditionalFormatting>
  <conditionalFormatting sqref="AH88:AH91">
    <cfRule type="containsText" dxfId="1082" priority="934" operator="containsText" text="MC">
      <formula>NOT(ISERROR(SEARCH("MC",AH88)))</formula>
    </cfRule>
    <cfRule type="containsText" dxfId="1081" priority="933" operator="containsText" text="FL">
      <formula>NOT(ISERROR(SEARCH("FL",AH88)))</formula>
    </cfRule>
    <cfRule type="containsText" dxfId="1080" priority="931" operator="containsText" text="AB">
      <formula>NOT(ISERROR(SEARCH("AB",AH88)))</formula>
    </cfRule>
    <cfRule type="containsText" dxfId="1079" priority="938" operator="containsText" text="AL">
      <formula>NOT(ISERROR(SEARCH("AL",AH88)))</formula>
    </cfRule>
    <cfRule type="containsText" dxfId="1078" priority="937" operator="containsText" text="OFF">
      <formula>NOT(ISERROR(SEARCH("OFF",AH88)))</formula>
    </cfRule>
    <cfRule type="containsText" dxfId="1077" priority="936" operator="containsText" text="Sick">
      <formula>NOT(ISERROR(SEARCH("Sick",AH88)))</formula>
    </cfRule>
    <cfRule type="containsText" dxfId="1076" priority="932" operator="containsText" text="SUS">
      <formula>NOT(ISERROR(SEARCH("SUS",AH88)))</formula>
    </cfRule>
  </conditionalFormatting>
  <conditionalFormatting sqref="AH94">
    <cfRule type="containsText" dxfId="1075" priority="919" operator="containsText" text="OFF">
      <formula>NOT(ISERROR(SEARCH("OFF",AH94)))</formula>
    </cfRule>
    <cfRule type="containsText" dxfId="1074" priority="920" operator="containsText" text="AL">
      <formula>NOT(ISERROR(SEARCH("AL",AH94)))</formula>
    </cfRule>
    <cfRule type="containsText" dxfId="1073" priority="918" operator="containsText" text="Sick">
      <formula>NOT(ISERROR(SEARCH("Sick",AH94)))</formula>
    </cfRule>
    <cfRule type="containsText" dxfId="1072" priority="916" operator="containsText" text="MC">
      <formula>NOT(ISERROR(SEARCH("MC",AH94)))</formula>
    </cfRule>
    <cfRule type="containsText" dxfId="1071" priority="915" operator="containsText" text="FL">
      <formula>NOT(ISERROR(SEARCH("FL",AH94)))</formula>
    </cfRule>
    <cfRule type="containsText" dxfId="1070" priority="914" operator="containsText" text="SUS">
      <formula>NOT(ISERROR(SEARCH("SUS",AH94)))</formula>
    </cfRule>
    <cfRule type="containsText" dxfId="1069" priority="913" operator="containsText" text="AB">
      <formula>NOT(ISERROR(SEARCH("AB",AH94)))</formula>
    </cfRule>
  </conditionalFormatting>
  <conditionalFormatting sqref="AH98">
    <cfRule type="containsText" dxfId="1068" priority="896" operator="containsText" text="SUS">
      <formula>NOT(ISERROR(SEARCH("SUS",AH98)))</formula>
    </cfRule>
    <cfRule type="containsText" dxfId="1067" priority="895" operator="containsText" text="AB">
      <formula>NOT(ISERROR(SEARCH("AB",AH98)))</formula>
    </cfRule>
    <cfRule type="containsText" dxfId="1066" priority="897" operator="containsText" text="FL">
      <formula>NOT(ISERROR(SEARCH("FL",AH98)))</formula>
    </cfRule>
    <cfRule type="containsText" dxfId="1065" priority="898" operator="containsText" text="MC">
      <formula>NOT(ISERROR(SEARCH("MC",AH98)))</formula>
    </cfRule>
    <cfRule type="containsText" dxfId="1064" priority="902" operator="containsText" text="AL">
      <formula>NOT(ISERROR(SEARCH("AL",AH98)))</formula>
    </cfRule>
    <cfRule type="containsText" dxfId="1063" priority="901" operator="containsText" text="OFF">
      <formula>NOT(ISERROR(SEARCH("OFF",AH98)))</formula>
    </cfRule>
    <cfRule type="containsText" dxfId="1062" priority="900" operator="containsText" text="Sick">
      <formula>NOT(ISERROR(SEARCH("Sick",AH98)))</formula>
    </cfRule>
  </conditionalFormatting>
  <conditionalFormatting sqref="AH130 AV130">
    <cfRule type="containsText" dxfId="1061" priority="3421" operator="containsText" text="SP">
      <formula>NOT(ISERROR(SEARCH("SP",AH130)))</formula>
    </cfRule>
    <cfRule type="containsText" dxfId="1060" priority="3422" operator="containsText" text="AL">
      <formula>NOT(ISERROR(SEARCH("AL",AH130)))</formula>
    </cfRule>
    <cfRule type="containsText" dxfId="1059" priority="3423" operator="containsText" text="AB">
      <formula>NOT(ISERROR(SEARCH("AB",AH130)))</formula>
    </cfRule>
    <cfRule type="containsText" dxfId="1058" priority="3424" operator="containsText" text="SICK">
      <formula>NOT(ISERROR(SEARCH("SICK",AH130)))</formula>
    </cfRule>
    <cfRule type="containsText" dxfId="1057" priority="3420" operator="containsText" text="FL">
      <formula>NOT(ISERROR(SEARCH("FL",AH130)))</formula>
    </cfRule>
  </conditionalFormatting>
  <conditionalFormatting sqref="AH126:AI126">
    <cfRule type="containsText" dxfId="1056" priority="49" operator="containsText" text="AL">
      <formula>NOT(ISERROR(SEARCH("AL",AH126)))</formula>
    </cfRule>
    <cfRule type="containsText" dxfId="1055" priority="48" operator="containsText" text="SP">
      <formula>NOT(ISERROR(SEARCH("SP",AH126)))</formula>
    </cfRule>
    <cfRule type="containsText" dxfId="1054" priority="47" operator="containsText" text="FL">
      <formula>NOT(ISERROR(SEARCH("FL",AH126)))</formula>
    </cfRule>
    <cfRule type="containsText" dxfId="1053" priority="51" operator="containsText" text="SICK">
      <formula>NOT(ISERROR(SEARCH("SICK",AH126)))</formula>
    </cfRule>
    <cfRule type="containsText" dxfId="1052" priority="50" operator="containsText" text="AB">
      <formula>NOT(ISERROR(SEARCH("AB",AH126)))</formula>
    </cfRule>
  </conditionalFormatting>
  <conditionalFormatting sqref="AI129">
    <cfRule type="containsText" dxfId="1051" priority="3281" operator="containsText" text="AB">
      <formula>NOT(ISERROR(SEARCH("AB",AI129)))</formula>
    </cfRule>
    <cfRule type="containsText" dxfId="1050" priority="3282" operator="containsText" text="SICK">
      <formula>NOT(ISERROR(SEARCH("SICK",AI129)))</formula>
    </cfRule>
    <cfRule type="containsText" dxfId="1049" priority="3279" operator="containsText" text="SP">
      <formula>NOT(ISERROR(SEARCH("SP",AI129)))</formula>
    </cfRule>
    <cfRule type="containsText" dxfId="1048" priority="3280" operator="containsText" text="AL">
      <formula>NOT(ISERROR(SEARCH("AL",AI129)))</formula>
    </cfRule>
    <cfRule type="containsText" dxfId="1047" priority="3263" operator="containsText" text="FL">
      <formula>NOT(ISERROR(SEARCH("FL",AI129)))</formula>
    </cfRule>
  </conditionalFormatting>
  <conditionalFormatting sqref="AI133:AI136 S136:AH136 W137:AH137 AJ138 AJ140:AJ141">
    <cfRule type="containsText" dxfId="1046" priority="1962" operator="containsText" text="AB">
      <formula>NOT(ISERROR(SEARCH("AB",S133)))</formula>
    </cfRule>
    <cfRule type="containsText" dxfId="1045" priority="1959" operator="containsText" text="EL">
      <formula>NOT(ISERROR(SEARCH("EL",S133)))</formula>
    </cfRule>
  </conditionalFormatting>
  <conditionalFormatting sqref="AI135:AI136 S136:AH136 W137:AH137 AJ138 AJ140:AJ142 AJ38:AJ102 AJ134:BP137 AO138:BP138 AJ139:BP139 AO140:BP140 BC141:BP141 AQ142:BP142">
    <cfRule type="containsText" dxfId="1044" priority="1960" operator="containsText" text="MC">
      <formula>NOT(ISERROR(SEARCH("MC",S38)))</formula>
    </cfRule>
  </conditionalFormatting>
  <conditionalFormatting sqref="AI135:AI136 S136:AH136 W137:AH137 AJ138 AJ140:AJ142 AJ38:AJ102 AJ136:BP137 AO138:BP138 AJ139:BP139 AO140:BP140 BC141:BP141 AQ142:BP142">
    <cfRule type="containsText" dxfId="1043" priority="1963" operator="containsText" text="SICK">
      <formula>NOT(ISERROR(SEARCH("SICK",S38)))</formula>
    </cfRule>
  </conditionalFormatting>
  <conditionalFormatting sqref="AJ5:AJ25 AI13 E15:F17 E52:F52 AG52:AH52 AI133:AI134 Y134:AH135 E141:F141 AJ134:BP135">
    <cfRule type="containsText" dxfId="1042" priority="1983" operator="containsText" text="AB">
      <formula>NOT(ISERROR(SEARCH("AB",E5)))</formula>
    </cfRule>
  </conditionalFormatting>
  <conditionalFormatting sqref="AJ5:AJ25 AI13 E15:F17 E52:F52 AG52:AH52 AI133:AI134 Y134:AH135 AJ134:BP135 E141:F141">
    <cfRule type="containsText" dxfId="1041" priority="1984" operator="containsText" text="Sick">
      <formula>NOT(ISERROR(SEARCH("Sick",E5)))</formula>
    </cfRule>
    <cfRule type="containsText" dxfId="1040" priority="1986" operator="containsText" text="AL">
      <formula>NOT(ISERROR(SEARCH("AL",E5)))</formula>
    </cfRule>
    <cfRule type="containsText" dxfId="1039" priority="1985" operator="containsText" text="OFF">
      <formula>NOT(ISERROR(SEARCH("OFF",E5)))</formula>
    </cfRule>
  </conditionalFormatting>
  <conditionalFormatting sqref="AJ5:AJ25 AI13 E15:F17 Y134:AH135 AI133:AI134">
    <cfRule type="containsText" dxfId="1038" priority="1981" operator="containsText" text="FL">
      <formula>NOT(ISERROR(SEARCH("FL",E5)))</formula>
    </cfRule>
    <cfRule type="containsText" dxfId="1037" priority="1978" operator="containsText" text="SUS">
      <formula>NOT(ISERROR(SEARCH("SUS",E5)))</formula>
    </cfRule>
  </conditionalFormatting>
  <conditionalFormatting sqref="AJ5:AJ25 AI13 E15:F17 Y134:AH135">
    <cfRule type="containsText" dxfId="1036" priority="1976" operator="containsText" text="EL">
      <formula>NOT(ISERROR(SEARCH("EL",E5)))</formula>
    </cfRule>
    <cfRule type="containsText" dxfId="1035" priority="1977" operator="containsText" text="AB">
      <formula>NOT(ISERROR(SEARCH("AB",E5)))</formula>
    </cfRule>
  </conditionalFormatting>
  <conditionalFormatting sqref="AJ5:AJ25 AI13 E15:F17 AI133:AI134 Y134:AH135 E52:F52 AG52:AH52 E141:F141">
    <cfRule type="containsText" dxfId="1034" priority="1982" operator="containsText" text="MC">
      <formula>NOT(ISERROR(SEARCH("MC",E5)))</formula>
    </cfRule>
  </conditionalFormatting>
  <conditionalFormatting sqref="AJ5:AJ25 AI13 E15:F17 AJ38:AJ102 AI133:AI136 Y134:AH135 AJ134:BP137 AO138:BP138 AJ139:BP139 AO140:BP140 AJ140:AJ142 BC141:BP141 AQ142:BP142">
    <cfRule type="containsText" dxfId="1033" priority="1766" operator="containsText" text="NL">
      <formula>NOT(ISERROR(SEARCH("NL",E5)))</formula>
    </cfRule>
  </conditionalFormatting>
  <conditionalFormatting sqref="AJ38:AJ102 AI135:AI136 S136:AH136 AJ136:BP137 W137:AH137 AJ138 AO138:BP138 AJ139:BP139 AO140:BP140 AJ140:AJ142 BC141:BP141 AQ142:BP142">
    <cfRule type="containsText" dxfId="1032" priority="1964" operator="containsText" text="AL">
      <formula>NOT(ISERROR(SEARCH("AL",S38)))</formula>
    </cfRule>
    <cfRule type="containsText" dxfId="1031" priority="1961" operator="containsText" text="OFF">
      <formula>NOT(ISERROR(SEARCH("OFF",S38)))</formula>
    </cfRule>
  </conditionalFormatting>
  <conditionalFormatting sqref="AJ38:AJ102 AJ134:BP137 AO138:BP138 AJ139:BP139 AO140:BP140 AJ140:AJ142 BC141:BP141 AQ142:BP142 AJ5:AJ25 AI13 E15:F17 AI133:AI136 Y134:AH135">
    <cfRule type="containsText" dxfId="1030" priority="1765" operator="containsText" text="SP">
      <formula>NOT(ISERROR(SEARCH("SP",E5)))</formula>
    </cfRule>
  </conditionalFormatting>
  <conditionalFormatting sqref="AJ69 AJ127:AJ130">
    <cfRule type="containsText" dxfId="1029" priority="3811" stopIfTrue="1" operator="containsText" text="AL">
      <formula>NOT(ISERROR(SEARCH("AL",AJ69)))</formula>
    </cfRule>
    <cfRule type="containsText" dxfId="1028" priority="3815" stopIfTrue="1" operator="containsText" text="SICK">
      <formula>NOT(ISERROR(SEARCH("SICK",AJ69)))</formula>
    </cfRule>
    <cfRule type="containsText" dxfId="1027" priority="3813" stopIfTrue="1" operator="containsText" text="AB">
      <formula>NOT(ISERROR(SEARCH("AB",AJ69)))</formula>
    </cfRule>
    <cfRule type="containsText" dxfId="1026" priority="3812" stopIfTrue="1" operator="containsText" text="EL">
      <formula>NOT(ISERROR(SEARCH("EL",AJ69)))</formula>
    </cfRule>
    <cfRule type="containsText" dxfId="1025" priority="3814" stopIfTrue="1" operator="containsText" text="FL">
      <formula>NOT(ISERROR(SEARCH("FL",AJ69)))</formula>
    </cfRule>
  </conditionalFormatting>
  <conditionalFormatting sqref="AJ110:AJ113">
    <cfRule type="containsText" dxfId="1024" priority="6026" stopIfTrue="1" operator="containsText" text="SICK">
      <formula>NOT(ISERROR(SEARCH("SICK",AJ110)))</formula>
    </cfRule>
    <cfRule type="containsText" dxfId="1023" priority="11590" stopIfTrue="1" operator="containsText" text="SP">
      <formula>NOT(ISERROR(SEARCH("SP",AJ110)))</formula>
    </cfRule>
    <cfRule type="containsText" dxfId="1022" priority="11628" stopIfTrue="1" operator="containsText" text="AB">
      <formula>NOT(ISERROR(SEARCH("AB",AJ110)))</formula>
    </cfRule>
    <cfRule type="containsText" dxfId="1021" priority="11984" stopIfTrue="1" operator="containsText" text="HD">
      <formula>NOT(ISERROR(SEARCH("HD",AJ110)))</formula>
    </cfRule>
    <cfRule type="containsText" dxfId="1020" priority="12065" stopIfTrue="1" operator="containsText" text="AB">
      <formula>NOT(ISERROR(SEARCH("AB",AJ110)))</formula>
    </cfRule>
    <cfRule type="containsText" priority="11591" stopIfTrue="1" operator="containsText" text="SP">
      <formula>NOT(ISERROR(SEARCH("SP",AJ110)))</formula>
    </cfRule>
  </conditionalFormatting>
  <conditionalFormatting sqref="AJ126">
    <cfRule type="containsText" dxfId="1019" priority="62" stopIfTrue="1" operator="containsText" text="SICK">
      <formula>NOT(ISERROR(SEARCH("SICK",AJ126)))</formula>
    </cfRule>
    <cfRule type="containsText" dxfId="1018" priority="58" stopIfTrue="1" operator="containsText" text="AL">
      <formula>NOT(ISERROR(SEARCH("AL",AJ126)))</formula>
    </cfRule>
    <cfRule type="containsText" dxfId="1017" priority="60" stopIfTrue="1" operator="containsText" text="AB">
      <formula>NOT(ISERROR(SEARCH("AB",AJ126)))</formula>
    </cfRule>
    <cfRule type="containsText" dxfId="1016" priority="57" stopIfTrue="1" operator="containsText" text="SP">
      <formula>NOT(ISERROR(SEARCH("SP",AJ126)))</formula>
    </cfRule>
    <cfRule type="containsText" dxfId="1015" priority="61" stopIfTrue="1" operator="containsText" text="FL">
      <formula>NOT(ISERROR(SEARCH("FL",AJ126)))</formula>
    </cfRule>
    <cfRule type="containsText" dxfId="1014" priority="59" stopIfTrue="1" operator="containsText" text="EL">
      <formula>NOT(ISERROR(SEARCH("EL",AJ126)))</formula>
    </cfRule>
  </conditionalFormatting>
  <conditionalFormatting sqref="AJ127:AJ128">
    <cfRule type="containsText" dxfId="1013" priority="3404" operator="containsText" text="SICK">
      <formula>NOT(ISERROR(SEARCH("SICK",AJ127)))</formula>
    </cfRule>
    <cfRule type="containsText" dxfId="1012" priority="3403" operator="containsText" text="AB">
      <formula>NOT(ISERROR(SEARCH("AB",AJ127)))</formula>
    </cfRule>
    <cfRule type="containsText" dxfId="1011" priority="3401" operator="containsText" text="SP">
      <formula>NOT(ISERROR(SEARCH("SP",AJ127)))</formula>
    </cfRule>
    <cfRule type="containsText" dxfId="1010" priority="3402" operator="containsText" text="AL">
      <formula>NOT(ISERROR(SEARCH("AL",AJ127)))</formula>
    </cfRule>
    <cfRule type="containsText" dxfId="1009" priority="3400" operator="containsText" text="FL">
      <formula>NOT(ISERROR(SEARCH("FL",AJ127)))</formula>
    </cfRule>
  </conditionalFormatting>
  <conditionalFormatting sqref="AJ127:AJ130 AJ69">
    <cfRule type="containsText" dxfId="1008" priority="3810" stopIfTrue="1" operator="containsText" text="SP">
      <formula>NOT(ISERROR(SEARCH("SP",AJ69)))</formula>
    </cfRule>
  </conditionalFormatting>
  <conditionalFormatting sqref="AK102">
    <cfRule type="containsText" dxfId="1007" priority="401" operator="containsText" text="OFF">
      <formula>NOT(ISERROR(SEARCH("OFF",AK102)))</formula>
    </cfRule>
    <cfRule type="containsText" dxfId="1006" priority="402" operator="containsText" text="AL">
      <formula>NOT(ISERROR(SEARCH("AL",AK102)))</formula>
    </cfRule>
    <cfRule type="containsText" dxfId="1005" priority="400" operator="containsText" text="Sick">
      <formula>NOT(ISERROR(SEARCH("Sick",AK102)))</formula>
    </cfRule>
    <cfRule type="containsText" dxfId="1004" priority="394" operator="containsText" text="EL">
      <formula>NOT(ISERROR(SEARCH("EL",AK102)))</formula>
    </cfRule>
    <cfRule type="containsText" dxfId="1003" priority="395" operator="containsText" text="AB">
      <formula>NOT(ISERROR(SEARCH("AB",AK102)))</formula>
    </cfRule>
    <cfRule type="containsText" dxfId="1002" priority="396" operator="containsText" text="SUS">
      <formula>NOT(ISERROR(SEARCH("SUS",AK102)))</formula>
    </cfRule>
    <cfRule type="containsText" dxfId="1001" priority="397" operator="containsText" text="FL">
      <formula>NOT(ISERROR(SEARCH("FL",AK102)))</formula>
    </cfRule>
    <cfRule type="containsText" dxfId="1000" priority="398" operator="containsText" text="MC">
      <formula>NOT(ISERROR(SEARCH("MC",AK102)))</formula>
    </cfRule>
    <cfRule type="containsText" dxfId="999" priority="399" operator="containsText" text="AB">
      <formula>NOT(ISERROR(SEARCH("AB",AK102)))</formula>
    </cfRule>
  </conditionalFormatting>
  <conditionalFormatting sqref="AK129:AR130 Y130:AH130 AM131:AR132">
    <cfRule type="cellIs" dxfId="998" priority="2989" operator="between">
      <formula>0.0625</formula>
      <formula>0.1875</formula>
    </cfRule>
  </conditionalFormatting>
  <conditionalFormatting sqref="AL126">
    <cfRule type="containsText" dxfId="997" priority="40" operator="containsText" text="AB">
      <formula>NOT(ISERROR(SEARCH("AB",AL126)))</formula>
    </cfRule>
    <cfRule type="containsText" dxfId="996" priority="37" operator="containsText" text="FL">
      <formula>NOT(ISERROR(SEARCH("FL",AL126)))</formula>
    </cfRule>
    <cfRule type="containsText" dxfId="995" priority="38" operator="containsText" text="SP">
      <formula>NOT(ISERROR(SEARCH("SP",AL126)))</formula>
    </cfRule>
    <cfRule type="containsText" dxfId="994" priority="41" operator="containsText" text="SICK">
      <formula>NOT(ISERROR(SEARCH("SICK",AL126)))</formula>
    </cfRule>
    <cfRule type="containsText" dxfId="993" priority="39" operator="containsText" text="AL">
      <formula>NOT(ISERROR(SEARCH("AL",AL126)))</formula>
    </cfRule>
  </conditionalFormatting>
  <conditionalFormatting sqref="AL130">
    <cfRule type="containsText" dxfId="992" priority="3134" operator="containsText" text="AL">
      <formula>NOT(ISERROR(SEARCH("AL",AL130)))</formula>
    </cfRule>
    <cfRule type="containsText" dxfId="991" priority="3136" operator="containsText" text="SICK">
      <formula>NOT(ISERROR(SEARCH("SICK",AL130)))</formula>
    </cfRule>
    <cfRule type="containsText" dxfId="990" priority="3135" operator="containsText" text="AB">
      <formula>NOT(ISERROR(SEARCH("AB",AL130)))</formula>
    </cfRule>
    <cfRule type="containsText" dxfId="989" priority="3132" operator="containsText" text="FL">
      <formula>NOT(ISERROR(SEARCH("FL",AL130)))</formula>
    </cfRule>
    <cfRule type="containsText" dxfId="988" priority="3133" operator="containsText" text="SP">
      <formula>NOT(ISERROR(SEARCH("SP",AL130)))</formula>
    </cfRule>
  </conditionalFormatting>
  <conditionalFormatting sqref="AN130">
    <cfRule type="containsText" dxfId="987" priority="3141" operator="containsText" text="SICK">
      <formula>NOT(ISERROR(SEARCH("SICK",AN130)))</formula>
    </cfRule>
    <cfRule type="containsText" dxfId="986" priority="3137" operator="containsText" text="FL">
      <formula>NOT(ISERROR(SEARCH("FL",AN130)))</formula>
    </cfRule>
    <cfRule type="containsText" dxfId="985" priority="3139" operator="containsText" text="AL">
      <formula>NOT(ISERROR(SEARCH("AL",AN130)))</formula>
    </cfRule>
    <cfRule type="containsText" dxfId="984" priority="3140" operator="containsText" text="AB">
      <formula>NOT(ISERROR(SEARCH("AB",AN130)))</formula>
    </cfRule>
    <cfRule type="containsText" dxfId="983" priority="3138" operator="containsText" text="SP">
      <formula>NOT(ISERROR(SEARCH("SP",AN130)))</formula>
    </cfRule>
  </conditionalFormatting>
  <conditionalFormatting sqref="AO5:AP5">
    <cfRule type="containsText" dxfId="982" priority="868" operator="containsText" text="SUS">
      <formula>NOT(ISERROR(SEARCH("SUS",AO5)))</formula>
    </cfRule>
    <cfRule type="containsText" dxfId="981" priority="869" operator="containsText" text="FL">
      <formula>NOT(ISERROR(SEARCH("FL",AO5)))</formula>
    </cfRule>
    <cfRule type="containsText" dxfId="980" priority="866" operator="containsText" text="SP">
      <formula>NOT(ISERROR(SEARCH("SP",AO5)))</formula>
    </cfRule>
    <cfRule type="containsText" dxfId="979" priority="870" operator="containsText" text="EL">
      <formula>NOT(ISERROR(SEARCH("EL",AO5)))</formula>
    </cfRule>
    <cfRule type="containsText" dxfId="978" priority="871" operator="containsText" text="MC">
      <formula>NOT(ISERROR(SEARCH("MC",AO5)))</formula>
    </cfRule>
    <cfRule type="containsText" dxfId="977" priority="872" operator="containsText" text="OFF">
      <formula>NOT(ISERROR(SEARCH("OFF",AO5)))</formula>
    </cfRule>
    <cfRule type="containsText" dxfId="976" priority="873" operator="containsText" text="AB">
      <formula>NOT(ISERROR(SEARCH("AB",AO5)))</formula>
    </cfRule>
    <cfRule type="containsText" dxfId="975" priority="875" operator="containsText" text="AL">
      <formula>NOT(ISERROR(SEARCH("AL",AO5)))</formula>
    </cfRule>
    <cfRule type="containsText" dxfId="974" priority="874" operator="containsText" text="SICK">
      <formula>NOT(ISERROR(SEARCH("SICK",AO5)))</formula>
    </cfRule>
    <cfRule type="containsText" dxfId="973" priority="867" operator="containsText" text="NL">
      <formula>NOT(ISERROR(SEARCH("NL",AO5)))</formula>
    </cfRule>
  </conditionalFormatting>
  <conditionalFormatting sqref="AO133:AP133">
    <cfRule type="containsText" dxfId="972" priority="2424" operator="containsText" text="SICK">
      <formula>NOT(ISERROR(SEARCH("SICK",AO133)))</formula>
    </cfRule>
  </conditionalFormatting>
  <conditionalFormatting sqref="AP126">
    <cfRule type="containsText" dxfId="971" priority="42" operator="containsText" text="FL">
      <formula>NOT(ISERROR(SEARCH("FL",AP126)))</formula>
    </cfRule>
    <cfRule type="containsText" dxfId="970" priority="43" operator="containsText" text="SP">
      <formula>NOT(ISERROR(SEARCH("SP",AP126)))</formula>
    </cfRule>
    <cfRule type="containsText" dxfId="969" priority="45" operator="containsText" text="AB">
      <formula>NOT(ISERROR(SEARCH("AB",AP126)))</formula>
    </cfRule>
    <cfRule type="containsText" dxfId="968" priority="46" operator="containsText" text="SICK">
      <formula>NOT(ISERROR(SEARCH("SICK",AP126)))</formula>
    </cfRule>
    <cfRule type="containsText" dxfId="967" priority="44" operator="containsText" text="AL">
      <formula>NOT(ISERROR(SEARCH("AL",AP126)))</formula>
    </cfRule>
  </conditionalFormatting>
  <conditionalFormatting sqref="AP130">
    <cfRule type="containsText" dxfId="966" priority="3145" operator="containsText" text="AB">
      <formula>NOT(ISERROR(SEARCH("AB",AP130)))</formula>
    </cfRule>
    <cfRule type="containsText" dxfId="965" priority="3144" operator="containsText" text="AL">
      <formula>NOT(ISERROR(SEARCH("AL",AP130)))</formula>
    </cfRule>
    <cfRule type="containsText" dxfId="964" priority="3143" operator="containsText" text="SP">
      <formula>NOT(ISERROR(SEARCH("SP",AP130)))</formula>
    </cfRule>
    <cfRule type="containsText" dxfId="963" priority="3142" operator="containsText" text="FL">
      <formula>NOT(ISERROR(SEARCH("FL",AP130)))</formula>
    </cfRule>
    <cfRule type="containsText" dxfId="962" priority="3146" operator="containsText" text="SICK">
      <formula>NOT(ISERROR(SEARCH("SICK",AP130)))</formula>
    </cfRule>
  </conditionalFormatting>
  <conditionalFormatting sqref="AR126">
    <cfRule type="containsText" dxfId="961" priority="36" operator="containsText" text="SICK">
      <formula>NOT(ISERROR(SEARCH("SICK",AR126)))</formula>
    </cfRule>
    <cfRule type="containsText" dxfId="960" priority="33" operator="containsText" text="SP">
      <formula>NOT(ISERROR(SEARCH("SP",AR126)))</formula>
    </cfRule>
    <cfRule type="containsText" dxfId="959" priority="32" operator="containsText" text="FL">
      <formula>NOT(ISERROR(SEARCH("FL",AR126)))</formula>
    </cfRule>
    <cfRule type="containsText" dxfId="958" priority="34" operator="containsText" text="AL">
      <formula>NOT(ISERROR(SEARCH("AL",AR126)))</formula>
    </cfRule>
    <cfRule type="containsText" dxfId="957" priority="35" operator="containsText" text="AB">
      <formula>NOT(ISERROR(SEARCH("AB",AR126)))</formula>
    </cfRule>
  </conditionalFormatting>
  <conditionalFormatting sqref="AR130">
    <cfRule type="containsText" dxfId="956" priority="3127" operator="containsText" text="FL">
      <formula>NOT(ISERROR(SEARCH("FL",AR130)))</formula>
    </cfRule>
    <cfRule type="containsText" dxfId="955" priority="3129" operator="containsText" text="AL">
      <formula>NOT(ISERROR(SEARCH("AL",AR130)))</formula>
    </cfRule>
    <cfRule type="containsText" dxfId="954" priority="3130" operator="containsText" text="AB">
      <formula>NOT(ISERROR(SEARCH("AB",AR130)))</formula>
    </cfRule>
    <cfRule type="containsText" dxfId="953" priority="3128" operator="containsText" text="SP">
      <formula>NOT(ISERROR(SEARCH("SP",AR130)))</formula>
    </cfRule>
    <cfRule type="containsText" dxfId="952" priority="3131" operator="containsText" text="SICK">
      <formula>NOT(ISERROR(SEARCH("SICK",AR130)))</formula>
    </cfRule>
  </conditionalFormatting>
  <conditionalFormatting sqref="AV126">
    <cfRule type="containsText" dxfId="951" priority="52" operator="containsText" text="FL">
      <formula>NOT(ISERROR(SEARCH("FL",AV126)))</formula>
    </cfRule>
    <cfRule type="containsText" dxfId="950" priority="55" operator="containsText" text="AB">
      <formula>NOT(ISERROR(SEARCH("AB",AV126)))</formula>
    </cfRule>
    <cfRule type="containsText" dxfId="949" priority="56" operator="containsText" text="SICK">
      <formula>NOT(ISERROR(SEARCH("SICK",AV126)))</formula>
    </cfRule>
    <cfRule type="containsText" dxfId="948" priority="53" operator="containsText" text="SP">
      <formula>NOT(ISERROR(SEARCH("SP",AV126)))</formula>
    </cfRule>
    <cfRule type="containsText" dxfId="947" priority="54" operator="containsText" text="AL">
      <formula>NOT(ISERROR(SEARCH("AL",AV126)))</formula>
    </cfRule>
  </conditionalFormatting>
  <conditionalFormatting sqref="AW5">
    <cfRule type="containsText" dxfId="946" priority="863" operator="containsText" text="Sick">
      <formula>NOT(ISERROR(SEARCH("Sick",AW5)))</formula>
    </cfRule>
    <cfRule type="containsText" dxfId="945" priority="862" operator="containsText" text="AB">
      <formula>NOT(ISERROR(SEARCH("AB",AW5)))</formula>
    </cfRule>
    <cfRule type="containsText" dxfId="944" priority="861" operator="containsText" text="MC">
      <formula>NOT(ISERROR(SEARCH("MC",AW5)))</formula>
    </cfRule>
    <cfRule type="containsText" dxfId="943" priority="860" operator="containsText" text="FL">
      <formula>NOT(ISERROR(SEARCH("FL",AW5)))</formula>
    </cfRule>
    <cfRule type="containsText" dxfId="942" priority="859" operator="containsText" text="SUS">
      <formula>NOT(ISERROR(SEARCH("SUS",AW5)))</formula>
    </cfRule>
    <cfRule type="containsText" dxfId="941" priority="865" operator="containsText" text="AL">
      <formula>NOT(ISERROR(SEARCH("AL",AW5)))</formula>
    </cfRule>
    <cfRule type="containsText" dxfId="940" priority="864" operator="containsText" text="OFF">
      <formula>NOT(ISERROR(SEARCH("OFF",AW5)))</formula>
    </cfRule>
  </conditionalFormatting>
  <conditionalFormatting sqref="AW8">
    <cfRule type="containsText" dxfId="939" priority="833" operator="containsText" text="SUS">
      <formula>NOT(ISERROR(SEARCH("SUS",AW8)))</formula>
    </cfRule>
    <cfRule type="containsText" dxfId="938" priority="834" operator="containsText" text="FL">
      <formula>NOT(ISERROR(SEARCH("FL",AW8)))</formula>
    </cfRule>
    <cfRule type="containsText" dxfId="937" priority="835" operator="containsText" text="MC">
      <formula>NOT(ISERROR(SEARCH("MC",AW8)))</formula>
    </cfRule>
    <cfRule type="containsText" dxfId="936" priority="836" operator="containsText" text="AB">
      <formula>NOT(ISERROR(SEARCH("AB",AW8)))</formula>
    </cfRule>
    <cfRule type="containsText" dxfId="935" priority="837" operator="containsText" text="Sick">
      <formula>NOT(ISERROR(SEARCH("Sick",AW8)))</formula>
    </cfRule>
    <cfRule type="containsText" dxfId="934" priority="838" operator="containsText" text="OFF">
      <formula>NOT(ISERROR(SEARCH("OFF",AW8)))</formula>
    </cfRule>
    <cfRule type="containsText" dxfId="933" priority="839" operator="containsText" text="AL">
      <formula>NOT(ISERROR(SEARCH("AL",AW8)))</formula>
    </cfRule>
  </conditionalFormatting>
  <conditionalFormatting sqref="AW10:AW11">
    <cfRule type="containsText" dxfId="932" priority="818" operator="containsText" text="FL">
      <formula>NOT(ISERROR(SEARCH("FL",AW10)))</formula>
    </cfRule>
    <cfRule type="containsText" dxfId="931" priority="819" operator="containsText" text="MC">
      <formula>NOT(ISERROR(SEARCH("MC",AW10)))</formula>
    </cfRule>
    <cfRule type="containsText" dxfId="930" priority="821" operator="containsText" text="Sick">
      <formula>NOT(ISERROR(SEARCH("Sick",AW10)))</formula>
    </cfRule>
    <cfRule type="containsText" dxfId="929" priority="822" operator="containsText" text="OFF">
      <formula>NOT(ISERROR(SEARCH("OFF",AW10)))</formula>
    </cfRule>
    <cfRule type="containsText" dxfId="928" priority="823" operator="containsText" text="AL">
      <formula>NOT(ISERROR(SEARCH("AL",AW10)))</formula>
    </cfRule>
    <cfRule type="containsText" dxfId="927" priority="820" operator="containsText" text="AB">
      <formula>NOT(ISERROR(SEARCH("AB",AW10)))</formula>
    </cfRule>
    <cfRule type="containsText" dxfId="926" priority="817" operator="containsText" text="SUS">
      <formula>NOT(ISERROR(SEARCH("SUS",AW10)))</formula>
    </cfRule>
  </conditionalFormatting>
  <conditionalFormatting sqref="AW16:AW18">
    <cfRule type="containsText" dxfId="925" priority="801" operator="containsText" text="SUS">
      <formula>NOT(ISERROR(SEARCH("SUS",AW16)))</formula>
    </cfRule>
    <cfRule type="containsText" dxfId="924" priority="805" operator="containsText" text="Sick">
      <formula>NOT(ISERROR(SEARCH("Sick",AW16)))</formula>
    </cfRule>
    <cfRule type="containsText" dxfId="923" priority="807" operator="containsText" text="AL">
      <formula>NOT(ISERROR(SEARCH("AL",AW16)))</formula>
    </cfRule>
    <cfRule type="containsText" dxfId="922" priority="806" operator="containsText" text="OFF">
      <formula>NOT(ISERROR(SEARCH("OFF",AW16)))</formula>
    </cfRule>
    <cfRule type="containsText" dxfId="921" priority="804" operator="containsText" text="AB">
      <formula>NOT(ISERROR(SEARCH("AB",AW16)))</formula>
    </cfRule>
    <cfRule type="containsText" dxfId="920" priority="803" operator="containsText" text="MC">
      <formula>NOT(ISERROR(SEARCH("MC",AW16)))</formula>
    </cfRule>
    <cfRule type="containsText" dxfId="919" priority="802" operator="containsText" text="FL">
      <formula>NOT(ISERROR(SEARCH("FL",AW16)))</formula>
    </cfRule>
  </conditionalFormatting>
  <conditionalFormatting sqref="AW20">
    <cfRule type="containsText" dxfId="918" priority="790" operator="containsText" text="OFF">
      <formula>NOT(ISERROR(SEARCH("OFF",AW20)))</formula>
    </cfRule>
    <cfRule type="containsText" dxfId="917" priority="789" operator="containsText" text="Sick">
      <formula>NOT(ISERROR(SEARCH("Sick",AW20)))</formula>
    </cfRule>
    <cfRule type="containsText" dxfId="916" priority="785" operator="containsText" text="SUS">
      <formula>NOT(ISERROR(SEARCH("SUS",AW20)))</formula>
    </cfRule>
    <cfRule type="containsText" dxfId="915" priority="788" operator="containsText" text="AB">
      <formula>NOT(ISERROR(SEARCH("AB",AW20)))</formula>
    </cfRule>
    <cfRule type="containsText" dxfId="914" priority="786" operator="containsText" text="FL">
      <formula>NOT(ISERROR(SEARCH("FL",AW20)))</formula>
    </cfRule>
    <cfRule type="containsText" dxfId="913" priority="791" operator="containsText" text="AL">
      <formula>NOT(ISERROR(SEARCH("AL",AW20)))</formula>
    </cfRule>
    <cfRule type="containsText" dxfId="912" priority="787" operator="containsText" text="MC">
      <formula>NOT(ISERROR(SEARCH("MC",AW20)))</formula>
    </cfRule>
  </conditionalFormatting>
  <conditionalFormatting sqref="AW23">
    <cfRule type="containsText" dxfId="911" priority="770" operator="containsText" text="FL">
      <formula>NOT(ISERROR(SEARCH("FL",AW23)))</formula>
    </cfRule>
    <cfRule type="containsText" dxfId="910" priority="772" operator="containsText" text="AB">
      <formula>NOT(ISERROR(SEARCH("AB",AW23)))</formula>
    </cfRule>
    <cfRule type="containsText" dxfId="909" priority="773" operator="containsText" text="Sick">
      <formula>NOT(ISERROR(SEARCH("Sick",AW23)))</formula>
    </cfRule>
    <cfRule type="containsText" dxfId="908" priority="771" operator="containsText" text="MC">
      <formula>NOT(ISERROR(SEARCH("MC",AW23)))</formula>
    </cfRule>
    <cfRule type="containsText" dxfId="907" priority="774" operator="containsText" text="OFF">
      <formula>NOT(ISERROR(SEARCH("OFF",AW23)))</formula>
    </cfRule>
    <cfRule type="containsText" dxfId="906" priority="775" operator="containsText" text="AL">
      <formula>NOT(ISERROR(SEARCH("AL",AW23)))</formula>
    </cfRule>
    <cfRule type="containsText" dxfId="905" priority="769" operator="containsText" text="SUS">
      <formula>NOT(ISERROR(SEARCH("SUS",AW23)))</formula>
    </cfRule>
  </conditionalFormatting>
  <conditionalFormatting sqref="AW38:AW39">
    <cfRule type="containsText" dxfId="904" priority="759" operator="containsText" text="AL">
      <formula>NOT(ISERROR(SEARCH("AL",AW38)))</formula>
    </cfRule>
    <cfRule type="containsText" dxfId="903" priority="755" operator="containsText" text="MC">
      <formula>NOT(ISERROR(SEARCH("MC",AW38)))</formula>
    </cfRule>
    <cfRule type="containsText" dxfId="902" priority="754" operator="containsText" text="FL">
      <formula>NOT(ISERROR(SEARCH("FL",AW38)))</formula>
    </cfRule>
    <cfRule type="containsText" dxfId="901" priority="758" operator="containsText" text="OFF">
      <formula>NOT(ISERROR(SEARCH("OFF",AW38)))</formula>
    </cfRule>
    <cfRule type="containsText" dxfId="900" priority="753" operator="containsText" text="SUS">
      <formula>NOT(ISERROR(SEARCH("SUS",AW38)))</formula>
    </cfRule>
    <cfRule type="containsText" dxfId="899" priority="756" operator="containsText" text="AB">
      <formula>NOT(ISERROR(SEARCH("AB",AW38)))</formula>
    </cfRule>
    <cfRule type="containsText" dxfId="898" priority="757" operator="containsText" text="Sick">
      <formula>NOT(ISERROR(SEARCH("Sick",AW38)))</formula>
    </cfRule>
  </conditionalFormatting>
  <conditionalFormatting sqref="AW41:AW42">
    <cfRule type="containsText" dxfId="897" priority="737" operator="containsText" text="SUS">
      <formula>NOT(ISERROR(SEARCH("SUS",AW41)))</formula>
    </cfRule>
    <cfRule type="containsText" dxfId="896" priority="738" operator="containsText" text="FL">
      <formula>NOT(ISERROR(SEARCH("FL",AW41)))</formula>
    </cfRule>
    <cfRule type="containsText" dxfId="895" priority="743" operator="containsText" text="AL">
      <formula>NOT(ISERROR(SEARCH("AL",AW41)))</formula>
    </cfRule>
    <cfRule type="containsText" dxfId="894" priority="742" operator="containsText" text="OFF">
      <formula>NOT(ISERROR(SEARCH("OFF",AW41)))</formula>
    </cfRule>
    <cfRule type="containsText" dxfId="893" priority="741" operator="containsText" text="Sick">
      <formula>NOT(ISERROR(SEARCH("Sick",AW41)))</formula>
    </cfRule>
    <cfRule type="containsText" dxfId="892" priority="740" operator="containsText" text="AB">
      <formula>NOT(ISERROR(SEARCH("AB",AW41)))</formula>
    </cfRule>
    <cfRule type="containsText" dxfId="891" priority="739" operator="containsText" text="MC">
      <formula>NOT(ISERROR(SEARCH("MC",AW41)))</formula>
    </cfRule>
  </conditionalFormatting>
  <conditionalFormatting sqref="AW44">
    <cfRule type="containsText" dxfId="890" priority="722" operator="containsText" text="FL">
      <formula>NOT(ISERROR(SEARCH("FL",AW44)))</formula>
    </cfRule>
    <cfRule type="containsText" dxfId="889" priority="724" operator="containsText" text="AB">
      <formula>NOT(ISERROR(SEARCH("AB",AW44)))</formula>
    </cfRule>
    <cfRule type="containsText" dxfId="888" priority="725" operator="containsText" text="Sick">
      <formula>NOT(ISERROR(SEARCH("Sick",AW44)))</formula>
    </cfRule>
    <cfRule type="containsText" dxfId="887" priority="726" operator="containsText" text="OFF">
      <formula>NOT(ISERROR(SEARCH("OFF",AW44)))</formula>
    </cfRule>
    <cfRule type="containsText" dxfId="886" priority="727" operator="containsText" text="AL">
      <formula>NOT(ISERROR(SEARCH("AL",AW44)))</formula>
    </cfRule>
    <cfRule type="containsText" dxfId="885" priority="723" operator="containsText" text="MC">
      <formula>NOT(ISERROR(SEARCH("MC",AW44)))</formula>
    </cfRule>
    <cfRule type="containsText" dxfId="884" priority="721" operator="containsText" text="SUS">
      <formula>NOT(ISERROR(SEARCH("SUS",AW44)))</formula>
    </cfRule>
  </conditionalFormatting>
  <conditionalFormatting sqref="AW47:AW49">
    <cfRule type="containsText" dxfId="883" priority="708" operator="containsText" text="AB">
      <formula>NOT(ISERROR(SEARCH("AB",AW47)))</formula>
    </cfRule>
    <cfRule type="containsText" dxfId="882" priority="707" operator="containsText" text="MC">
      <formula>NOT(ISERROR(SEARCH("MC",AW47)))</formula>
    </cfRule>
    <cfRule type="containsText" dxfId="881" priority="706" operator="containsText" text="FL">
      <formula>NOT(ISERROR(SEARCH("FL",AW47)))</formula>
    </cfRule>
    <cfRule type="containsText" dxfId="880" priority="709" operator="containsText" text="Sick">
      <formula>NOT(ISERROR(SEARCH("Sick",AW47)))</formula>
    </cfRule>
    <cfRule type="containsText" dxfId="879" priority="705" operator="containsText" text="SUS">
      <formula>NOT(ISERROR(SEARCH("SUS",AW47)))</formula>
    </cfRule>
    <cfRule type="containsText" dxfId="878" priority="711" operator="containsText" text="AL">
      <formula>NOT(ISERROR(SEARCH("AL",AW47)))</formula>
    </cfRule>
    <cfRule type="containsText" dxfId="877" priority="710" operator="containsText" text="OFF">
      <formula>NOT(ISERROR(SEARCH("OFF",AW47)))</formula>
    </cfRule>
  </conditionalFormatting>
  <conditionalFormatting sqref="AW51">
    <cfRule type="containsText" dxfId="876" priority="694" operator="containsText" text="OFF">
      <formula>NOT(ISERROR(SEARCH("OFF",AW51)))</formula>
    </cfRule>
    <cfRule type="containsText" dxfId="875" priority="695" operator="containsText" text="AL">
      <formula>NOT(ISERROR(SEARCH("AL",AW51)))</formula>
    </cfRule>
    <cfRule type="containsText" dxfId="874" priority="693" operator="containsText" text="Sick">
      <formula>NOT(ISERROR(SEARCH("Sick",AW51)))</formula>
    </cfRule>
    <cfRule type="containsText" dxfId="873" priority="691" operator="containsText" text="MC">
      <formula>NOT(ISERROR(SEARCH("MC",AW51)))</formula>
    </cfRule>
    <cfRule type="containsText" dxfId="872" priority="689" operator="containsText" text="SUS">
      <formula>NOT(ISERROR(SEARCH("SUS",AW51)))</formula>
    </cfRule>
    <cfRule type="containsText" dxfId="871" priority="692" operator="containsText" text="AB">
      <formula>NOT(ISERROR(SEARCH("AB",AW51)))</formula>
    </cfRule>
    <cfRule type="containsText" dxfId="870" priority="690" operator="containsText" text="FL">
      <formula>NOT(ISERROR(SEARCH("FL",AW51)))</formula>
    </cfRule>
  </conditionalFormatting>
  <conditionalFormatting sqref="AW53">
    <cfRule type="containsText" dxfId="869" priority="675" operator="containsText" text="MC">
      <formula>NOT(ISERROR(SEARCH("MC",AW53)))</formula>
    </cfRule>
    <cfRule type="containsText" dxfId="868" priority="674" operator="containsText" text="FL">
      <formula>NOT(ISERROR(SEARCH("FL",AW53)))</formula>
    </cfRule>
    <cfRule type="containsText" dxfId="867" priority="673" operator="containsText" text="SUS">
      <formula>NOT(ISERROR(SEARCH("SUS",AW53)))</formula>
    </cfRule>
    <cfRule type="containsText" dxfId="866" priority="677" operator="containsText" text="Sick">
      <formula>NOT(ISERROR(SEARCH("Sick",AW53)))</formula>
    </cfRule>
    <cfRule type="containsText" dxfId="865" priority="679" operator="containsText" text="AL">
      <formula>NOT(ISERROR(SEARCH("AL",AW53)))</formula>
    </cfRule>
    <cfRule type="containsText" dxfId="864" priority="678" operator="containsText" text="OFF">
      <formula>NOT(ISERROR(SEARCH("OFF",AW53)))</formula>
    </cfRule>
    <cfRule type="containsText" dxfId="863" priority="676" operator="containsText" text="AB">
      <formula>NOT(ISERROR(SEARCH("AB",AW53)))</formula>
    </cfRule>
  </conditionalFormatting>
  <conditionalFormatting sqref="AW56:AW57">
    <cfRule type="containsText" dxfId="862" priority="663" operator="containsText" text="AL">
      <formula>NOT(ISERROR(SEARCH("AL",AW56)))</formula>
    </cfRule>
    <cfRule type="containsText" dxfId="861" priority="662" operator="containsText" text="OFF">
      <formula>NOT(ISERROR(SEARCH("OFF",AW56)))</formula>
    </cfRule>
    <cfRule type="containsText" dxfId="860" priority="661" operator="containsText" text="Sick">
      <formula>NOT(ISERROR(SEARCH("Sick",AW56)))</formula>
    </cfRule>
    <cfRule type="containsText" dxfId="859" priority="660" operator="containsText" text="AB">
      <formula>NOT(ISERROR(SEARCH("AB",AW56)))</formula>
    </cfRule>
    <cfRule type="containsText" dxfId="858" priority="659" operator="containsText" text="MC">
      <formula>NOT(ISERROR(SEARCH("MC",AW56)))</formula>
    </cfRule>
    <cfRule type="containsText" dxfId="857" priority="658" operator="containsText" text="FL">
      <formula>NOT(ISERROR(SEARCH("FL",AW56)))</formula>
    </cfRule>
    <cfRule type="containsText" dxfId="856" priority="657" operator="containsText" text="SUS">
      <formula>NOT(ISERROR(SEARCH("SUS",AW56)))</formula>
    </cfRule>
  </conditionalFormatting>
  <conditionalFormatting sqref="AW59:AW60">
    <cfRule type="containsText" dxfId="855" priority="643" operator="containsText" text="MC">
      <formula>NOT(ISERROR(SEARCH("MC",AW59)))</formula>
    </cfRule>
    <cfRule type="containsText" dxfId="854" priority="642" operator="containsText" text="FL">
      <formula>NOT(ISERROR(SEARCH("FL",AW59)))</formula>
    </cfRule>
    <cfRule type="containsText" dxfId="853" priority="641" operator="containsText" text="SUS">
      <formula>NOT(ISERROR(SEARCH("SUS",AW59)))</formula>
    </cfRule>
    <cfRule type="containsText" dxfId="852" priority="644" operator="containsText" text="AB">
      <formula>NOT(ISERROR(SEARCH("AB",AW59)))</formula>
    </cfRule>
    <cfRule type="containsText" dxfId="851" priority="647" operator="containsText" text="AL">
      <formula>NOT(ISERROR(SEARCH("AL",AW59)))</formula>
    </cfRule>
    <cfRule type="containsText" dxfId="850" priority="646" operator="containsText" text="OFF">
      <formula>NOT(ISERROR(SEARCH("OFF",AW59)))</formula>
    </cfRule>
    <cfRule type="containsText" dxfId="849" priority="645" operator="containsText" text="Sick">
      <formula>NOT(ISERROR(SEARCH("Sick",AW59)))</formula>
    </cfRule>
  </conditionalFormatting>
  <conditionalFormatting sqref="AW64:AW65">
    <cfRule type="containsText" dxfId="848" priority="631" operator="containsText" text="AL">
      <formula>NOT(ISERROR(SEARCH("AL",AW64)))</formula>
    </cfRule>
    <cfRule type="containsText" dxfId="847" priority="630" operator="containsText" text="OFF">
      <formula>NOT(ISERROR(SEARCH("OFF",AW64)))</formula>
    </cfRule>
    <cfRule type="containsText" dxfId="846" priority="629" operator="containsText" text="Sick">
      <formula>NOT(ISERROR(SEARCH("Sick",AW64)))</formula>
    </cfRule>
    <cfRule type="containsText" dxfId="845" priority="628" operator="containsText" text="AB">
      <formula>NOT(ISERROR(SEARCH("AB",AW64)))</formula>
    </cfRule>
    <cfRule type="containsText" dxfId="844" priority="627" operator="containsText" text="MC">
      <formula>NOT(ISERROR(SEARCH("MC",AW64)))</formula>
    </cfRule>
    <cfRule type="containsText" dxfId="843" priority="626" operator="containsText" text="FL">
      <formula>NOT(ISERROR(SEARCH("FL",AW64)))</formula>
    </cfRule>
    <cfRule type="containsText" dxfId="842" priority="625" operator="containsText" text="SUS">
      <formula>NOT(ISERROR(SEARCH("SUS",AW64)))</formula>
    </cfRule>
  </conditionalFormatting>
  <conditionalFormatting sqref="AW67">
    <cfRule type="containsText" dxfId="841" priority="611" operator="containsText" text="MC">
      <formula>NOT(ISERROR(SEARCH("MC",AW67)))</formula>
    </cfRule>
    <cfRule type="containsText" dxfId="840" priority="612" operator="containsText" text="AB">
      <formula>NOT(ISERROR(SEARCH("AB",AW67)))</formula>
    </cfRule>
    <cfRule type="containsText" dxfId="839" priority="613" operator="containsText" text="Sick">
      <formula>NOT(ISERROR(SEARCH("Sick",AW67)))</formula>
    </cfRule>
    <cfRule type="containsText" dxfId="838" priority="614" operator="containsText" text="OFF">
      <formula>NOT(ISERROR(SEARCH("OFF",AW67)))</formula>
    </cfRule>
    <cfRule type="containsText" dxfId="837" priority="609" operator="containsText" text="SUS">
      <formula>NOT(ISERROR(SEARCH("SUS",AW67)))</formula>
    </cfRule>
    <cfRule type="containsText" dxfId="836" priority="610" operator="containsText" text="FL">
      <formula>NOT(ISERROR(SEARCH("FL",AW67)))</formula>
    </cfRule>
    <cfRule type="containsText" dxfId="835" priority="615" operator="containsText" text="AL">
      <formula>NOT(ISERROR(SEARCH("AL",AW67)))</formula>
    </cfRule>
  </conditionalFormatting>
  <conditionalFormatting sqref="AW69:AW71">
    <cfRule type="containsText" dxfId="834" priority="594" operator="containsText" text="FL">
      <formula>NOT(ISERROR(SEARCH("FL",AW69)))</formula>
    </cfRule>
    <cfRule type="containsText" dxfId="833" priority="593" operator="containsText" text="SUS">
      <formula>NOT(ISERROR(SEARCH("SUS",AW69)))</formula>
    </cfRule>
    <cfRule type="containsText" dxfId="832" priority="595" operator="containsText" text="MC">
      <formula>NOT(ISERROR(SEARCH("MC",AW69)))</formula>
    </cfRule>
    <cfRule type="containsText" dxfId="831" priority="596" operator="containsText" text="AB">
      <formula>NOT(ISERROR(SEARCH("AB",AW69)))</formula>
    </cfRule>
    <cfRule type="containsText" dxfId="830" priority="597" operator="containsText" text="Sick">
      <formula>NOT(ISERROR(SEARCH("Sick",AW69)))</formula>
    </cfRule>
    <cfRule type="containsText" dxfId="829" priority="598" operator="containsText" text="OFF">
      <formula>NOT(ISERROR(SEARCH("OFF",AW69)))</formula>
    </cfRule>
    <cfRule type="containsText" dxfId="828" priority="599" operator="containsText" text="AL">
      <formula>NOT(ISERROR(SEARCH("AL",AW69)))</formula>
    </cfRule>
  </conditionalFormatting>
  <conditionalFormatting sqref="AW79">
    <cfRule type="containsText" dxfId="827" priority="581" operator="containsText" text="Sick">
      <formula>NOT(ISERROR(SEARCH("Sick",AW79)))</formula>
    </cfRule>
    <cfRule type="containsText" dxfId="826" priority="578" operator="containsText" text="FL">
      <formula>NOT(ISERROR(SEARCH("FL",AW79)))</formula>
    </cfRule>
    <cfRule type="containsText" dxfId="825" priority="577" operator="containsText" text="SUS">
      <formula>NOT(ISERROR(SEARCH("SUS",AW79)))</formula>
    </cfRule>
    <cfRule type="containsText" dxfId="824" priority="583" operator="containsText" text="AL">
      <formula>NOT(ISERROR(SEARCH("AL",AW79)))</formula>
    </cfRule>
    <cfRule type="containsText" dxfId="823" priority="582" operator="containsText" text="OFF">
      <formula>NOT(ISERROR(SEARCH("OFF",AW79)))</formula>
    </cfRule>
    <cfRule type="containsText" dxfId="822" priority="580" operator="containsText" text="AB">
      <formula>NOT(ISERROR(SEARCH("AB",AW79)))</formula>
    </cfRule>
    <cfRule type="containsText" dxfId="821" priority="579" operator="containsText" text="MC">
      <formula>NOT(ISERROR(SEARCH("MC",AW79)))</formula>
    </cfRule>
  </conditionalFormatting>
  <conditionalFormatting sqref="AW82:AW83">
    <cfRule type="containsText" dxfId="820" priority="565" operator="containsText" text="Sick">
      <formula>NOT(ISERROR(SEARCH("Sick",AW82)))</formula>
    </cfRule>
    <cfRule type="containsText" dxfId="819" priority="564" operator="containsText" text="AB">
      <formula>NOT(ISERROR(SEARCH("AB",AW82)))</formula>
    </cfRule>
    <cfRule type="containsText" dxfId="818" priority="562" operator="containsText" text="FL">
      <formula>NOT(ISERROR(SEARCH("FL",AW82)))</formula>
    </cfRule>
    <cfRule type="containsText" dxfId="817" priority="563" operator="containsText" text="MC">
      <formula>NOT(ISERROR(SEARCH("MC",AW82)))</formula>
    </cfRule>
    <cfRule type="containsText" dxfId="816" priority="567" operator="containsText" text="AL">
      <formula>NOT(ISERROR(SEARCH("AL",AW82)))</formula>
    </cfRule>
    <cfRule type="containsText" dxfId="815" priority="561" operator="containsText" text="SUS">
      <formula>NOT(ISERROR(SEARCH("SUS",AW82)))</formula>
    </cfRule>
    <cfRule type="containsText" dxfId="814" priority="566" operator="containsText" text="OFF">
      <formula>NOT(ISERROR(SEARCH("OFF",AW82)))</formula>
    </cfRule>
  </conditionalFormatting>
  <conditionalFormatting sqref="AW92:AW93">
    <cfRule type="containsText" dxfId="813" priority="532" operator="containsText" text="AB">
      <formula>NOT(ISERROR(SEARCH("AB",AW92)))</formula>
    </cfRule>
    <cfRule type="containsText" dxfId="812" priority="535" operator="containsText" text="AL">
      <formula>NOT(ISERROR(SEARCH("AL",AW92)))</formula>
    </cfRule>
    <cfRule type="containsText" dxfId="811" priority="531" operator="containsText" text="MC">
      <formula>NOT(ISERROR(SEARCH("MC",AW92)))</formula>
    </cfRule>
    <cfRule type="containsText" dxfId="810" priority="534" operator="containsText" text="OFF">
      <formula>NOT(ISERROR(SEARCH("OFF",AW92)))</formula>
    </cfRule>
    <cfRule type="containsText" dxfId="809" priority="533" operator="containsText" text="Sick">
      <formula>NOT(ISERROR(SEARCH("Sick",AW92)))</formula>
    </cfRule>
    <cfRule type="containsText" dxfId="808" priority="529" operator="containsText" text="SUS">
      <formula>NOT(ISERROR(SEARCH("SUS",AW92)))</formula>
    </cfRule>
    <cfRule type="containsText" dxfId="807" priority="530" operator="containsText" text="FL">
      <formula>NOT(ISERROR(SEARCH("FL",AW92)))</formula>
    </cfRule>
  </conditionalFormatting>
  <conditionalFormatting sqref="AW95:AW97">
    <cfRule type="containsText" dxfId="806" priority="515" operator="containsText" text="MC">
      <formula>NOT(ISERROR(SEARCH("MC",AW95)))</formula>
    </cfRule>
    <cfRule type="containsText" dxfId="805" priority="513" operator="containsText" text="SUS">
      <formula>NOT(ISERROR(SEARCH("SUS",AW95)))</formula>
    </cfRule>
    <cfRule type="containsText" dxfId="804" priority="518" operator="containsText" text="OFF">
      <formula>NOT(ISERROR(SEARCH("OFF",AW95)))</formula>
    </cfRule>
    <cfRule type="containsText" dxfId="803" priority="519" operator="containsText" text="AL">
      <formula>NOT(ISERROR(SEARCH("AL",AW95)))</formula>
    </cfRule>
    <cfRule type="containsText" dxfId="802" priority="514" operator="containsText" text="FL">
      <formula>NOT(ISERROR(SEARCH("FL",AW95)))</formula>
    </cfRule>
    <cfRule type="containsText" dxfId="801" priority="516" operator="containsText" text="AB">
      <formula>NOT(ISERROR(SEARCH("AB",AW95)))</formula>
    </cfRule>
    <cfRule type="containsText" dxfId="800" priority="517" operator="containsText" text="Sick">
      <formula>NOT(ISERROR(SEARCH("Sick",AW95)))</formula>
    </cfRule>
  </conditionalFormatting>
  <conditionalFormatting sqref="AW99">
    <cfRule type="containsText" dxfId="799" priority="502" operator="containsText" text="OFF">
      <formula>NOT(ISERROR(SEARCH("OFF",AW99)))</formula>
    </cfRule>
    <cfRule type="containsText" dxfId="798" priority="503" operator="containsText" text="AL">
      <formula>NOT(ISERROR(SEARCH("AL",AW99)))</formula>
    </cfRule>
    <cfRule type="containsText" dxfId="797" priority="501" operator="containsText" text="Sick">
      <formula>NOT(ISERROR(SEARCH("Sick",AW99)))</formula>
    </cfRule>
    <cfRule type="containsText" dxfId="796" priority="497" operator="containsText" text="SUS">
      <formula>NOT(ISERROR(SEARCH("SUS",AW99)))</formula>
    </cfRule>
    <cfRule type="containsText" dxfId="795" priority="498" operator="containsText" text="FL">
      <formula>NOT(ISERROR(SEARCH("FL",AW99)))</formula>
    </cfRule>
    <cfRule type="containsText" dxfId="794" priority="499" operator="containsText" text="MC">
      <formula>NOT(ISERROR(SEARCH("MC",AW99)))</formula>
    </cfRule>
    <cfRule type="containsText" dxfId="793" priority="500" operator="containsText" text="AB">
      <formula>NOT(ISERROR(SEARCH("AB",AW99)))</formula>
    </cfRule>
  </conditionalFormatting>
  <conditionalFormatting sqref="AW5:AX5">
    <cfRule type="containsText" dxfId="792" priority="855" operator="containsText" text="AB">
      <formula>NOT(ISERROR(SEARCH("AB",AW5)))</formula>
    </cfRule>
  </conditionalFormatting>
  <conditionalFormatting sqref="AW8:AX8">
    <cfRule type="containsText" dxfId="791" priority="829" operator="containsText" text="AB">
      <formula>NOT(ISERROR(SEARCH("AB",AW8)))</formula>
    </cfRule>
    <cfRule type="containsText" dxfId="790" priority="824" operator="containsText" text="EL">
      <formula>NOT(ISERROR(SEARCH("EL",AW8)))</formula>
    </cfRule>
  </conditionalFormatting>
  <conditionalFormatting sqref="AW10:AX11">
    <cfRule type="containsText" dxfId="789" priority="813" operator="containsText" text="AB">
      <formula>NOT(ISERROR(SEARCH("AB",AW10)))</formula>
    </cfRule>
    <cfRule type="containsText" dxfId="788" priority="808" operator="containsText" text="EL">
      <formula>NOT(ISERROR(SEARCH("EL",AW10)))</formula>
    </cfRule>
  </conditionalFormatting>
  <conditionalFormatting sqref="AW16:AX18">
    <cfRule type="containsText" dxfId="787" priority="797" operator="containsText" text="AB">
      <formula>NOT(ISERROR(SEARCH("AB",AW16)))</formula>
    </cfRule>
    <cfRule type="containsText" dxfId="786" priority="792" operator="containsText" text="EL">
      <formula>NOT(ISERROR(SEARCH("EL",AW16)))</formula>
    </cfRule>
  </conditionalFormatting>
  <conditionalFormatting sqref="AW20:AX20">
    <cfRule type="containsText" dxfId="785" priority="776" operator="containsText" text="EL">
      <formula>NOT(ISERROR(SEARCH("EL",AW20)))</formula>
    </cfRule>
    <cfRule type="containsText" dxfId="784" priority="781" operator="containsText" text="AB">
      <formula>NOT(ISERROR(SEARCH("AB",AW20)))</formula>
    </cfRule>
  </conditionalFormatting>
  <conditionalFormatting sqref="AW23:AX23">
    <cfRule type="containsText" dxfId="783" priority="765" operator="containsText" text="AB">
      <formula>NOT(ISERROR(SEARCH("AB",AW23)))</formula>
    </cfRule>
    <cfRule type="containsText" dxfId="782" priority="760" operator="containsText" text="EL">
      <formula>NOT(ISERROR(SEARCH("EL",AW23)))</formula>
    </cfRule>
  </conditionalFormatting>
  <conditionalFormatting sqref="AW38:AX39">
    <cfRule type="containsText" dxfId="781" priority="749" operator="containsText" text="AB">
      <formula>NOT(ISERROR(SEARCH("AB",AW38)))</formula>
    </cfRule>
    <cfRule type="containsText" dxfId="780" priority="744" operator="containsText" text="EL">
      <formula>NOT(ISERROR(SEARCH("EL",AW38)))</formula>
    </cfRule>
  </conditionalFormatting>
  <conditionalFormatting sqref="AW41:AX42">
    <cfRule type="containsText" dxfId="779" priority="728" operator="containsText" text="EL">
      <formula>NOT(ISERROR(SEARCH("EL",AW41)))</formula>
    </cfRule>
    <cfRule type="containsText" dxfId="778" priority="733" operator="containsText" text="AB">
      <formula>NOT(ISERROR(SEARCH("AB",AW41)))</formula>
    </cfRule>
  </conditionalFormatting>
  <conditionalFormatting sqref="AW44:AX44">
    <cfRule type="containsText" dxfId="777" priority="717" operator="containsText" text="AB">
      <formula>NOT(ISERROR(SEARCH("AB",AW44)))</formula>
    </cfRule>
    <cfRule type="containsText" dxfId="776" priority="712" operator="containsText" text="EL">
      <formula>NOT(ISERROR(SEARCH("EL",AW44)))</formula>
    </cfRule>
  </conditionalFormatting>
  <conditionalFormatting sqref="AW47:AX49">
    <cfRule type="containsText" dxfId="775" priority="696" operator="containsText" text="EL">
      <formula>NOT(ISERROR(SEARCH("EL",AW47)))</formula>
    </cfRule>
    <cfRule type="containsText" dxfId="774" priority="701" operator="containsText" text="AB">
      <formula>NOT(ISERROR(SEARCH("AB",AW47)))</formula>
    </cfRule>
  </conditionalFormatting>
  <conditionalFormatting sqref="AW51:AX51">
    <cfRule type="containsText" dxfId="773" priority="680" operator="containsText" text="EL">
      <formula>NOT(ISERROR(SEARCH("EL",AW51)))</formula>
    </cfRule>
    <cfRule type="containsText" dxfId="772" priority="685" operator="containsText" text="AB">
      <formula>NOT(ISERROR(SEARCH("AB",AW51)))</formula>
    </cfRule>
  </conditionalFormatting>
  <conditionalFormatting sqref="AW53:AX53">
    <cfRule type="containsText" dxfId="771" priority="669" operator="containsText" text="AB">
      <formula>NOT(ISERROR(SEARCH("AB",AW53)))</formula>
    </cfRule>
    <cfRule type="containsText" dxfId="770" priority="664" operator="containsText" text="EL">
      <formula>NOT(ISERROR(SEARCH("EL",AW53)))</formula>
    </cfRule>
  </conditionalFormatting>
  <conditionalFormatting sqref="AW56:AX57">
    <cfRule type="containsText" dxfId="769" priority="653" operator="containsText" text="AB">
      <formula>NOT(ISERROR(SEARCH("AB",AW56)))</formula>
    </cfRule>
    <cfRule type="containsText" dxfId="768" priority="648" operator="containsText" text="EL">
      <formula>NOT(ISERROR(SEARCH("EL",AW56)))</formula>
    </cfRule>
  </conditionalFormatting>
  <conditionalFormatting sqref="AW59:AX60">
    <cfRule type="containsText" dxfId="767" priority="632" operator="containsText" text="EL">
      <formula>NOT(ISERROR(SEARCH("EL",AW59)))</formula>
    </cfRule>
    <cfRule type="containsText" dxfId="766" priority="637" operator="containsText" text="AB">
      <formula>NOT(ISERROR(SEARCH("AB",AW59)))</formula>
    </cfRule>
  </conditionalFormatting>
  <conditionalFormatting sqref="AW64:AX65">
    <cfRule type="containsText" dxfId="765" priority="616" operator="containsText" text="EL">
      <formula>NOT(ISERROR(SEARCH("EL",AW64)))</formula>
    </cfRule>
    <cfRule type="containsText" dxfId="764" priority="621" operator="containsText" text="AB">
      <formula>NOT(ISERROR(SEARCH("AB",AW64)))</formula>
    </cfRule>
  </conditionalFormatting>
  <conditionalFormatting sqref="AW67:AX67">
    <cfRule type="containsText" dxfId="763" priority="605" operator="containsText" text="AB">
      <formula>NOT(ISERROR(SEARCH("AB",AW67)))</formula>
    </cfRule>
    <cfRule type="containsText" dxfId="762" priority="600" operator="containsText" text="EL">
      <formula>NOT(ISERROR(SEARCH("EL",AW67)))</formula>
    </cfRule>
  </conditionalFormatting>
  <conditionalFormatting sqref="AW69:AX71">
    <cfRule type="containsText" dxfId="761" priority="584" operator="containsText" text="EL">
      <formula>NOT(ISERROR(SEARCH("EL",AW69)))</formula>
    </cfRule>
    <cfRule type="containsText" dxfId="760" priority="589" operator="containsText" text="AB">
      <formula>NOT(ISERROR(SEARCH("AB",AW69)))</formula>
    </cfRule>
  </conditionalFormatting>
  <conditionalFormatting sqref="AW79:AX79">
    <cfRule type="containsText" dxfId="759" priority="568" operator="containsText" text="EL">
      <formula>NOT(ISERROR(SEARCH("EL",AW79)))</formula>
    </cfRule>
    <cfRule type="containsText" dxfId="758" priority="573" operator="containsText" text="AB">
      <formula>NOT(ISERROR(SEARCH("AB",AW79)))</formula>
    </cfRule>
  </conditionalFormatting>
  <conditionalFormatting sqref="AW82:AX83">
    <cfRule type="containsText" dxfId="757" priority="557" operator="containsText" text="AB">
      <formula>NOT(ISERROR(SEARCH("AB",AW82)))</formula>
    </cfRule>
    <cfRule type="containsText" dxfId="756" priority="552" operator="containsText" text="EL">
      <formula>NOT(ISERROR(SEARCH("EL",AW82)))</formula>
    </cfRule>
  </conditionalFormatting>
  <conditionalFormatting sqref="AW92:AX93">
    <cfRule type="containsText" dxfId="755" priority="525" operator="containsText" text="AB">
      <formula>NOT(ISERROR(SEARCH("AB",AW92)))</formula>
    </cfRule>
    <cfRule type="containsText" dxfId="754" priority="520" operator="containsText" text="EL">
      <formula>NOT(ISERROR(SEARCH("EL",AW92)))</formula>
    </cfRule>
  </conditionalFormatting>
  <conditionalFormatting sqref="AW95:AX97">
    <cfRule type="containsText" dxfId="753" priority="509" operator="containsText" text="AB">
      <formula>NOT(ISERROR(SEARCH("AB",AW95)))</formula>
    </cfRule>
    <cfRule type="containsText" dxfId="752" priority="504" operator="containsText" text="EL">
      <formula>NOT(ISERROR(SEARCH("EL",AW95)))</formula>
    </cfRule>
  </conditionalFormatting>
  <conditionalFormatting sqref="AW99:AX99">
    <cfRule type="containsText" dxfId="751" priority="488" operator="containsText" text="EL">
      <formula>NOT(ISERROR(SEARCH("EL",AW99)))</formula>
    </cfRule>
    <cfRule type="containsText" dxfId="750" priority="493" operator="containsText" text="AB">
      <formula>NOT(ISERROR(SEARCH("AB",AW99)))</formula>
    </cfRule>
  </conditionalFormatting>
  <conditionalFormatting sqref="AW5:AZ5">
    <cfRule type="containsText" dxfId="749" priority="844" operator="containsText" text="EL">
      <formula>NOT(ISERROR(SEARCH("EL",AW5)))</formula>
    </cfRule>
  </conditionalFormatting>
  <conditionalFormatting sqref="AX5">
    <cfRule type="containsText" dxfId="748" priority="856" operator="containsText" text="Sick">
      <formula>NOT(ISERROR(SEARCH("Sick",AX5)))</formula>
    </cfRule>
    <cfRule type="containsText" dxfId="747" priority="854" operator="containsText" text="MC">
      <formula>NOT(ISERROR(SEARCH("MC",AX5)))</formula>
    </cfRule>
    <cfRule type="containsText" dxfId="746" priority="858" operator="containsText" text="AL">
      <formula>NOT(ISERROR(SEARCH("AL",AX5)))</formula>
    </cfRule>
    <cfRule type="containsText" dxfId="745" priority="852" operator="containsText" text="SUS">
      <formula>NOT(ISERROR(SEARCH("SUS",AX5)))</formula>
    </cfRule>
    <cfRule type="containsText" dxfId="744" priority="853" operator="containsText" text="FL">
      <formula>NOT(ISERROR(SEARCH("FL",AX5)))</formula>
    </cfRule>
    <cfRule type="containsText" dxfId="743" priority="857" operator="containsText" text="OFF">
      <formula>NOT(ISERROR(SEARCH("OFF",AX5)))</formula>
    </cfRule>
  </conditionalFormatting>
  <conditionalFormatting sqref="AX8">
    <cfRule type="containsText" dxfId="742" priority="832" operator="containsText" text="AL">
      <formula>NOT(ISERROR(SEARCH("AL",AX8)))</formula>
    </cfRule>
    <cfRule type="containsText" dxfId="741" priority="830" operator="containsText" text="Sick">
      <formula>NOT(ISERROR(SEARCH("Sick",AX8)))</formula>
    </cfRule>
    <cfRule type="containsText" dxfId="740" priority="828" operator="containsText" text="MC">
      <formula>NOT(ISERROR(SEARCH("MC",AX8)))</formula>
    </cfRule>
    <cfRule type="containsText" dxfId="739" priority="827" operator="containsText" text="FL">
      <formula>NOT(ISERROR(SEARCH("FL",AX8)))</formula>
    </cfRule>
    <cfRule type="containsText" dxfId="738" priority="826" operator="containsText" text="SUS">
      <formula>NOT(ISERROR(SEARCH("SUS",AX8)))</formula>
    </cfRule>
    <cfRule type="containsText" dxfId="737" priority="825" operator="containsText" text="AB">
      <formula>NOT(ISERROR(SEARCH("AB",AX8)))</formula>
    </cfRule>
    <cfRule type="containsText" dxfId="736" priority="831" operator="containsText" text="OFF">
      <formula>NOT(ISERROR(SEARCH("OFF",AX8)))</formula>
    </cfRule>
  </conditionalFormatting>
  <conditionalFormatting sqref="AX10:AX11">
    <cfRule type="containsText" dxfId="735" priority="811" operator="containsText" text="FL">
      <formula>NOT(ISERROR(SEARCH("FL",AX10)))</formula>
    </cfRule>
    <cfRule type="containsText" dxfId="734" priority="809" operator="containsText" text="AB">
      <formula>NOT(ISERROR(SEARCH("AB",AX10)))</formula>
    </cfRule>
    <cfRule type="containsText" dxfId="733" priority="810" operator="containsText" text="SUS">
      <formula>NOT(ISERROR(SEARCH("SUS",AX10)))</formula>
    </cfRule>
    <cfRule type="containsText" dxfId="732" priority="816" operator="containsText" text="AL">
      <formula>NOT(ISERROR(SEARCH("AL",AX10)))</formula>
    </cfRule>
    <cfRule type="containsText" dxfId="731" priority="814" operator="containsText" text="Sick">
      <formula>NOT(ISERROR(SEARCH("Sick",AX10)))</formula>
    </cfRule>
    <cfRule type="containsText" dxfId="730" priority="812" operator="containsText" text="MC">
      <formula>NOT(ISERROR(SEARCH("MC",AX10)))</formula>
    </cfRule>
    <cfRule type="containsText" dxfId="729" priority="815" operator="containsText" text="OFF">
      <formula>NOT(ISERROR(SEARCH("OFF",AX10)))</formula>
    </cfRule>
  </conditionalFormatting>
  <conditionalFormatting sqref="AX16:AX18">
    <cfRule type="containsText" dxfId="728" priority="800" operator="containsText" text="AL">
      <formula>NOT(ISERROR(SEARCH("AL",AX16)))</formula>
    </cfRule>
    <cfRule type="containsText" dxfId="727" priority="794" operator="containsText" text="SUS">
      <formula>NOT(ISERROR(SEARCH("SUS",AX16)))</formula>
    </cfRule>
    <cfRule type="containsText" dxfId="726" priority="796" operator="containsText" text="MC">
      <formula>NOT(ISERROR(SEARCH("MC",AX16)))</formula>
    </cfRule>
    <cfRule type="containsText" dxfId="725" priority="795" operator="containsText" text="FL">
      <formula>NOT(ISERROR(SEARCH("FL",AX16)))</formula>
    </cfRule>
    <cfRule type="containsText" dxfId="724" priority="799" operator="containsText" text="OFF">
      <formula>NOT(ISERROR(SEARCH("OFF",AX16)))</formula>
    </cfRule>
    <cfRule type="containsText" dxfId="723" priority="798" operator="containsText" text="Sick">
      <formula>NOT(ISERROR(SEARCH("Sick",AX16)))</formula>
    </cfRule>
    <cfRule type="containsText" dxfId="722" priority="793" operator="containsText" text="AB">
      <formula>NOT(ISERROR(SEARCH("AB",AX16)))</formula>
    </cfRule>
  </conditionalFormatting>
  <conditionalFormatting sqref="AX20">
    <cfRule type="containsText" dxfId="721" priority="784" operator="containsText" text="AL">
      <formula>NOT(ISERROR(SEARCH("AL",AX20)))</formula>
    </cfRule>
    <cfRule type="containsText" dxfId="720" priority="778" operator="containsText" text="SUS">
      <formula>NOT(ISERROR(SEARCH("SUS",AX20)))</formula>
    </cfRule>
    <cfRule type="containsText" dxfId="719" priority="780" operator="containsText" text="MC">
      <formula>NOT(ISERROR(SEARCH("MC",AX20)))</formula>
    </cfRule>
    <cfRule type="containsText" dxfId="718" priority="779" operator="containsText" text="FL">
      <formula>NOT(ISERROR(SEARCH("FL",AX20)))</formula>
    </cfRule>
    <cfRule type="containsText" dxfId="717" priority="782" operator="containsText" text="Sick">
      <formula>NOT(ISERROR(SEARCH("Sick",AX20)))</formula>
    </cfRule>
    <cfRule type="containsText" dxfId="716" priority="783" operator="containsText" text="OFF">
      <formula>NOT(ISERROR(SEARCH("OFF",AX20)))</formula>
    </cfRule>
    <cfRule type="containsText" dxfId="715" priority="777" operator="containsText" text="AB">
      <formula>NOT(ISERROR(SEARCH("AB",AX20)))</formula>
    </cfRule>
  </conditionalFormatting>
  <conditionalFormatting sqref="AX23">
    <cfRule type="containsText" dxfId="714" priority="764" operator="containsText" text="MC">
      <formula>NOT(ISERROR(SEARCH("MC",AX23)))</formula>
    </cfRule>
    <cfRule type="containsText" dxfId="713" priority="767" operator="containsText" text="OFF">
      <formula>NOT(ISERROR(SEARCH("OFF",AX23)))</formula>
    </cfRule>
    <cfRule type="containsText" dxfId="712" priority="761" operator="containsText" text="AB">
      <formula>NOT(ISERROR(SEARCH("AB",AX23)))</formula>
    </cfRule>
    <cfRule type="containsText" dxfId="711" priority="762" operator="containsText" text="SUS">
      <formula>NOT(ISERROR(SEARCH("SUS",AX23)))</formula>
    </cfRule>
    <cfRule type="containsText" dxfId="710" priority="763" operator="containsText" text="FL">
      <formula>NOT(ISERROR(SEARCH("FL",AX23)))</formula>
    </cfRule>
    <cfRule type="containsText" dxfId="709" priority="766" operator="containsText" text="Sick">
      <formula>NOT(ISERROR(SEARCH("Sick",AX23)))</formula>
    </cfRule>
    <cfRule type="containsText" dxfId="708" priority="768" operator="containsText" text="AL">
      <formula>NOT(ISERROR(SEARCH("AL",AX23)))</formula>
    </cfRule>
  </conditionalFormatting>
  <conditionalFormatting sqref="AX38:AX39">
    <cfRule type="containsText" dxfId="707" priority="746" operator="containsText" text="SUS">
      <formula>NOT(ISERROR(SEARCH("SUS",AX38)))</formula>
    </cfRule>
    <cfRule type="containsText" dxfId="706" priority="750" operator="containsText" text="Sick">
      <formula>NOT(ISERROR(SEARCH("Sick",AX38)))</formula>
    </cfRule>
    <cfRule type="containsText" dxfId="705" priority="745" operator="containsText" text="AB">
      <formula>NOT(ISERROR(SEARCH("AB",AX38)))</formula>
    </cfRule>
    <cfRule type="containsText" dxfId="704" priority="752" operator="containsText" text="AL">
      <formula>NOT(ISERROR(SEARCH("AL",AX38)))</formula>
    </cfRule>
    <cfRule type="containsText" dxfId="703" priority="748" operator="containsText" text="MC">
      <formula>NOT(ISERROR(SEARCH("MC",AX38)))</formula>
    </cfRule>
    <cfRule type="containsText" dxfId="702" priority="747" operator="containsText" text="FL">
      <formula>NOT(ISERROR(SEARCH("FL",AX38)))</formula>
    </cfRule>
    <cfRule type="containsText" dxfId="701" priority="751" operator="containsText" text="OFF">
      <formula>NOT(ISERROR(SEARCH("OFF",AX38)))</formula>
    </cfRule>
  </conditionalFormatting>
  <conditionalFormatting sqref="AX41:AX42">
    <cfRule type="containsText" dxfId="700" priority="736" operator="containsText" text="AL">
      <formula>NOT(ISERROR(SEARCH("AL",AX41)))</formula>
    </cfRule>
    <cfRule type="containsText" dxfId="699" priority="732" operator="containsText" text="MC">
      <formula>NOT(ISERROR(SEARCH("MC",AX41)))</formula>
    </cfRule>
    <cfRule type="containsText" dxfId="698" priority="731" operator="containsText" text="FL">
      <formula>NOT(ISERROR(SEARCH("FL",AX41)))</formula>
    </cfRule>
    <cfRule type="containsText" dxfId="697" priority="730" operator="containsText" text="SUS">
      <formula>NOT(ISERROR(SEARCH("SUS",AX41)))</formula>
    </cfRule>
    <cfRule type="containsText" dxfId="696" priority="729" operator="containsText" text="AB">
      <formula>NOT(ISERROR(SEARCH("AB",AX41)))</formula>
    </cfRule>
    <cfRule type="containsText" dxfId="695" priority="735" operator="containsText" text="OFF">
      <formula>NOT(ISERROR(SEARCH("OFF",AX41)))</formula>
    </cfRule>
    <cfRule type="containsText" dxfId="694" priority="734" operator="containsText" text="Sick">
      <formula>NOT(ISERROR(SEARCH("Sick",AX41)))</formula>
    </cfRule>
  </conditionalFormatting>
  <conditionalFormatting sqref="AX44">
    <cfRule type="containsText" dxfId="693" priority="719" operator="containsText" text="OFF">
      <formula>NOT(ISERROR(SEARCH("OFF",AX44)))</formula>
    </cfRule>
    <cfRule type="containsText" dxfId="692" priority="718" operator="containsText" text="Sick">
      <formula>NOT(ISERROR(SEARCH("Sick",AX44)))</formula>
    </cfRule>
    <cfRule type="containsText" dxfId="691" priority="716" operator="containsText" text="MC">
      <formula>NOT(ISERROR(SEARCH("MC",AX44)))</formula>
    </cfRule>
    <cfRule type="containsText" dxfId="690" priority="715" operator="containsText" text="FL">
      <formula>NOT(ISERROR(SEARCH("FL",AX44)))</formula>
    </cfRule>
    <cfRule type="containsText" dxfId="689" priority="714" operator="containsText" text="SUS">
      <formula>NOT(ISERROR(SEARCH("SUS",AX44)))</formula>
    </cfRule>
    <cfRule type="containsText" dxfId="688" priority="713" operator="containsText" text="AB">
      <formula>NOT(ISERROR(SEARCH("AB",AX44)))</formula>
    </cfRule>
    <cfRule type="containsText" dxfId="687" priority="720" operator="containsText" text="AL">
      <formula>NOT(ISERROR(SEARCH("AL",AX44)))</formula>
    </cfRule>
  </conditionalFormatting>
  <conditionalFormatting sqref="AX47:AX49">
    <cfRule type="containsText" dxfId="686" priority="699" operator="containsText" text="FL">
      <formula>NOT(ISERROR(SEARCH("FL",AX47)))</formula>
    </cfRule>
    <cfRule type="containsText" dxfId="685" priority="698" operator="containsText" text="SUS">
      <formula>NOT(ISERROR(SEARCH("SUS",AX47)))</formula>
    </cfRule>
    <cfRule type="containsText" dxfId="684" priority="697" operator="containsText" text="AB">
      <formula>NOT(ISERROR(SEARCH("AB",AX47)))</formula>
    </cfRule>
    <cfRule type="containsText" dxfId="683" priority="704" operator="containsText" text="AL">
      <formula>NOT(ISERROR(SEARCH("AL",AX47)))</formula>
    </cfRule>
    <cfRule type="containsText" dxfId="682" priority="703" operator="containsText" text="OFF">
      <formula>NOT(ISERROR(SEARCH("OFF",AX47)))</formula>
    </cfRule>
    <cfRule type="containsText" dxfId="681" priority="702" operator="containsText" text="Sick">
      <formula>NOT(ISERROR(SEARCH("Sick",AX47)))</formula>
    </cfRule>
    <cfRule type="containsText" dxfId="680" priority="700" operator="containsText" text="MC">
      <formula>NOT(ISERROR(SEARCH("MC",AX47)))</formula>
    </cfRule>
  </conditionalFormatting>
  <conditionalFormatting sqref="AX51">
    <cfRule type="containsText" dxfId="679" priority="681" operator="containsText" text="AB">
      <formula>NOT(ISERROR(SEARCH("AB",AX51)))</formula>
    </cfRule>
    <cfRule type="containsText" dxfId="678" priority="682" operator="containsText" text="SUS">
      <formula>NOT(ISERROR(SEARCH("SUS",AX51)))</formula>
    </cfRule>
    <cfRule type="containsText" dxfId="677" priority="683" operator="containsText" text="FL">
      <formula>NOT(ISERROR(SEARCH("FL",AX51)))</formula>
    </cfRule>
    <cfRule type="containsText" dxfId="676" priority="688" operator="containsText" text="AL">
      <formula>NOT(ISERROR(SEARCH("AL",AX51)))</formula>
    </cfRule>
    <cfRule type="containsText" dxfId="675" priority="687" operator="containsText" text="OFF">
      <formula>NOT(ISERROR(SEARCH("OFF",AX51)))</formula>
    </cfRule>
    <cfRule type="containsText" dxfId="674" priority="686" operator="containsText" text="Sick">
      <formula>NOT(ISERROR(SEARCH("Sick",AX51)))</formula>
    </cfRule>
    <cfRule type="containsText" dxfId="673" priority="684" operator="containsText" text="MC">
      <formula>NOT(ISERROR(SEARCH("MC",AX51)))</formula>
    </cfRule>
  </conditionalFormatting>
  <conditionalFormatting sqref="AX53">
    <cfRule type="containsText" dxfId="672" priority="670" operator="containsText" text="Sick">
      <formula>NOT(ISERROR(SEARCH("Sick",AX53)))</formula>
    </cfRule>
    <cfRule type="containsText" dxfId="671" priority="671" operator="containsText" text="OFF">
      <formula>NOT(ISERROR(SEARCH("OFF",AX53)))</formula>
    </cfRule>
    <cfRule type="containsText" dxfId="670" priority="672" operator="containsText" text="AL">
      <formula>NOT(ISERROR(SEARCH("AL",AX53)))</formula>
    </cfRule>
    <cfRule type="containsText" dxfId="669" priority="665" operator="containsText" text="AB">
      <formula>NOT(ISERROR(SEARCH("AB",AX53)))</formula>
    </cfRule>
    <cfRule type="containsText" dxfId="668" priority="666" operator="containsText" text="SUS">
      <formula>NOT(ISERROR(SEARCH("SUS",AX53)))</formula>
    </cfRule>
    <cfRule type="containsText" dxfId="667" priority="667" operator="containsText" text="FL">
      <formula>NOT(ISERROR(SEARCH("FL",AX53)))</formula>
    </cfRule>
    <cfRule type="containsText" dxfId="666" priority="668" operator="containsText" text="MC">
      <formula>NOT(ISERROR(SEARCH("MC",AX53)))</formula>
    </cfRule>
  </conditionalFormatting>
  <conditionalFormatting sqref="AX56:AX57">
    <cfRule type="containsText" dxfId="665" priority="649" operator="containsText" text="AB">
      <formula>NOT(ISERROR(SEARCH("AB",AX56)))</formula>
    </cfRule>
    <cfRule type="containsText" dxfId="664" priority="655" operator="containsText" text="OFF">
      <formula>NOT(ISERROR(SEARCH("OFF",AX56)))</formula>
    </cfRule>
    <cfRule type="containsText" dxfId="663" priority="654" operator="containsText" text="Sick">
      <formula>NOT(ISERROR(SEARCH("Sick",AX56)))</formula>
    </cfRule>
    <cfRule type="containsText" dxfId="662" priority="651" operator="containsText" text="FL">
      <formula>NOT(ISERROR(SEARCH("FL",AX56)))</formula>
    </cfRule>
    <cfRule type="containsText" dxfId="661" priority="652" operator="containsText" text="MC">
      <formula>NOT(ISERROR(SEARCH("MC",AX56)))</formula>
    </cfRule>
    <cfRule type="containsText" dxfId="660" priority="656" operator="containsText" text="AL">
      <formula>NOT(ISERROR(SEARCH("AL",AX56)))</formula>
    </cfRule>
    <cfRule type="containsText" dxfId="659" priority="650" operator="containsText" text="SUS">
      <formula>NOT(ISERROR(SEARCH("SUS",AX56)))</formula>
    </cfRule>
  </conditionalFormatting>
  <conditionalFormatting sqref="AX59:AX60">
    <cfRule type="containsText" dxfId="658" priority="633" operator="containsText" text="AB">
      <formula>NOT(ISERROR(SEARCH("AB",AX59)))</formula>
    </cfRule>
    <cfRule type="containsText" dxfId="657" priority="634" operator="containsText" text="SUS">
      <formula>NOT(ISERROR(SEARCH("SUS",AX59)))</formula>
    </cfRule>
    <cfRule type="containsText" dxfId="656" priority="635" operator="containsText" text="FL">
      <formula>NOT(ISERROR(SEARCH("FL",AX59)))</formula>
    </cfRule>
    <cfRule type="containsText" dxfId="655" priority="636" operator="containsText" text="MC">
      <formula>NOT(ISERROR(SEARCH("MC",AX59)))</formula>
    </cfRule>
    <cfRule type="containsText" dxfId="654" priority="638" operator="containsText" text="Sick">
      <formula>NOT(ISERROR(SEARCH("Sick",AX59)))</formula>
    </cfRule>
    <cfRule type="containsText" dxfId="653" priority="639" operator="containsText" text="OFF">
      <formula>NOT(ISERROR(SEARCH("OFF",AX59)))</formula>
    </cfRule>
    <cfRule type="containsText" dxfId="652" priority="640" operator="containsText" text="AL">
      <formula>NOT(ISERROR(SEARCH("AL",AX59)))</formula>
    </cfRule>
  </conditionalFormatting>
  <conditionalFormatting sqref="AX64:AX65">
    <cfRule type="containsText" dxfId="651" priority="620" operator="containsText" text="MC">
      <formula>NOT(ISERROR(SEARCH("MC",AX64)))</formula>
    </cfRule>
    <cfRule type="containsText" dxfId="650" priority="624" operator="containsText" text="AL">
      <formula>NOT(ISERROR(SEARCH("AL",AX64)))</formula>
    </cfRule>
    <cfRule type="containsText" dxfId="649" priority="617" operator="containsText" text="AB">
      <formula>NOT(ISERROR(SEARCH("AB",AX64)))</formula>
    </cfRule>
    <cfRule type="containsText" dxfId="648" priority="618" operator="containsText" text="SUS">
      <formula>NOT(ISERROR(SEARCH("SUS",AX64)))</formula>
    </cfRule>
    <cfRule type="containsText" dxfId="647" priority="619" operator="containsText" text="FL">
      <formula>NOT(ISERROR(SEARCH("FL",AX64)))</formula>
    </cfRule>
    <cfRule type="containsText" dxfId="646" priority="622" operator="containsText" text="Sick">
      <formula>NOT(ISERROR(SEARCH("Sick",AX64)))</formula>
    </cfRule>
    <cfRule type="containsText" dxfId="645" priority="623" operator="containsText" text="OFF">
      <formula>NOT(ISERROR(SEARCH("OFF",AX64)))</formula>
    </cfRule>
  </conditionalFormatting>
  <conditionalFormatting sqref="AX67">
    <cfRule type="containsText" dxfId="644" priority="606" operator="containsText" text="Sick">
      <formula>NOT(ISERROR(SEARCH("Sick",AX67)))</formula>
    </cfRule>
    <cfRule type="containsText" dxfId="643" priority="607" operator="containsText" text="OFF">
      <formula>NOT(ISERROR(SEARCH("OFF",AX67)))</formula>
    </cfRule>
    <cfRule type="containsText" dxfId="642" priority="608" operator="containsText" text="AL">
      <formula>NOT(ISERROR(SEARCH("AL",AX67)))</formula>
    </cfRule>
    <cfRule type="containsText" dxfId="641" priority="601" operator="containsText" text="AB">
      <formula>NOT(ISERROR(SEARCH("AB",AX67)))</formula>
    </cfRule>
    <cfRule type="containsText" dxfId="640" priority="602" operator="containsText" text="SUS">
      <formula>NOT(ISERROR(SEARCH("SUS",AX67)))</formula>
    </cfRule>
    <cfRule type="containsText" dxfId="639" priority="604" operator="containsText" text="MC">
      <formula>NOT(ISERROR(SEARCH("MC",AX67)))</formula>
    </cfRule>
    <cfRule type="containsText" dxfId="638" priority="603" operator="containsText" text="FL">
      <formula>NOT(ISERROR(SEARCH("FL",AX67)))</formula>
    </cfRule>
  </conditionalFormatting>
  <conditionalFormatting sqref="AX69:AX71">
    <cfRule type="containsText" dxfId="637" priority="591" operator="containsText" text="OFF">
      <formula>NOT(ISERROR(SEARCH("OFF",AX69)))</formula>
    </cfRule>
    <cfRule type="containsText" dxfId="636" priority="590" operator="containsText" text="Sick">
      <formula>NOT(ISERROR(SEARCH("Sick",AX69)))</formula>
    </cfRule>
    <cfRule type="containsText" dxfId="635" priority="588" operator="containsText" text="MC">
      <formula>NOT(ISERROR(SEARCH("MC",AX69)))</formula>
    </cfRule>
    <cfRule type="containsText" dxfId="634" priority="592" operator="containsText" text="AL">
      <formula>NOT(ISERROR(SEARCH("AL",AX69)))</formula>
    </cfRule>
    <cfRule type="containsText" dxfId="633" priority="587" operator="containsText" text="FL">
      <formula>NOT(ISERROR(SEARCH("FL",AX69)))</formula>
    </cfRule>
    <cfRule type="containsText" dxfId="632" priority="586" operator="containsText" text="SUS">
      <formula>NOT(ISERROR(SEARCH("SUS",AX69)))</formula>
    </cfRule>
    <cfRule type="containsText" dxfId="631" priority="585" operator="containsText" text="AB">
      <formula>NOT(ISERROR(SEARCH("AB",AX69)))</formula>
    </cfRule>
  </conditionalFormatting>
  <conditionalFormatting sqref="AX79">
    <cfRule type="containsText" dxfId="630" priority="575" operator="containsText" text="OFF">
      <formula>NOT(ISERROR(SEARCH("OFF",AX79)))</formula>
    </cfRule>
    <cfRule type="containsText" dxfId="629" priority="574" operator="containsText" text="Sick">
      <formula>NOT(ISERROR(SEARCH("Sick",AX79)))</formula>
    </cfRule>
    <cfRule type="containsText" dxfId="628" priority="572" operator="containsText" text="MC">
      <formula>NOT(ISERROR(SEARCH("MC",AX79)))</formula>
    </cfRule>
    <cfRule type="containsText" dxfId="627" priority="571" operator="containsText" text="FL">
      <formula>NOT(ISERROR(SEARCH("FL",AX79)))</formula>
    </cfRule>
    <cfRule type="containsText" dxfId="626" priority="570" operator="containsText" text="SUS">
      <formula>NOT(ISERROR(SEARCH("SUS",AX79)))</formula>
    </cfRule>
    <cfRule type="containsText" dxfId="625" priority="576" operator="containsText" text="AL">
      <formula>NOT(ISERROR(SEARCH("AL",AX79)))</formula>
    </cfRule>
    <cfRule type="containsText" dxfId="624" priority="569" operator="containsText" text="AB">
      <formula>NOT(ISERROR(SEARCH("AB",AX79)))</formula>
    </cfRule>
  </conditionalFormatting>
  <conditionalFormatting sqref="AX82:AX83">
    <cfRule type="containsText" dxfId="623" priority="559" operator="containsText" text="OFF">
      <formula>NOT(ISERROR(SEARCH("OFF",AX82)))</formula>
    </cfRule>
    <cfRule type="containsText" dxfId="622" priority="560" operator="containsText" text="AL">
      <formula>NOT(ISERROR(SEARCH("AL",AX82)))</formula>
    </cfRule>
    <cfRule type="containsText" dxfId="621" priority="554" operator="containsText" text="SUS">
      <formula>NOT(ISERROR(SEARCH("SUS",AX82)))</formula>
    </cfRule>
    <cfRule type="containsText" dxfId="620" priority="553" operator="containsText" text="AB">
      <formula>NOT(ISERROR(SEARCH("AB",AX82)))</formula>
    </cfRule>
    <cfRule type="containsText" dxfId="619" priority="558" operator="containsText" text="Sick">
      <formula>NOT(ISERROR(SEARCH("Sick",AX82)))</formula>
    </cfRule>
    <cfRule type="containsText" dxfId="618" priority="556" operator="containsText" text="MC">
      <formula>NOT(ISERROR(SEARCH("MC",AX82)))</formula>
    </cfRule>
    <cfRule type="containsText" dxfId="617" priority="555" operator="containsText" text="FL">
      <formula>NOT(ISERROR(SEARCH("FL",AX82)))</formula>
    </cfRule>
  </conditionalFormatting>
  <conditionalFormatting sqref="AX92:AX93">
    <cfRule type="containsText" dxfId="616" priority="523" operator="containsText" text="FL">
      <formula>NOT(ISERROR(SEARCH("FL",AX92)))</formula>
    </cfRule>
    <cfRule type="containsText" dxfId="615" priority="526" operator="containsText" text="Sick">
      <formula>NOT(ISERROR(SEARCH("Sick",AX92)))</formula>
    </cfRule>
    <cfRule type="containsText" dxfId="614" priority="524" operator="containsText" text="MC">
      <formula>NOT(ISERROR(SEARCH("MC",AX92)))</formula>
    </cfRule>
    <cfRule type="containsText" dxfId="613" priority="527" operator="containsText" text="OFF">
      <formula>NOT(ISERROR(SEARCH("OFF",AX92)))</formula>
    </cfRule>
    <cfRule type="containsText" dxfId="612" priority="522" operator="containsText" text="SUS">
      <formula>NOT(ISERROR(SEARCH("SUS",AX92)))</formula>
    </cfRule>
    <cfRule type="containsText" dxfId="611" priority="521" operator="containsText" text="AB">
      <formula>NOT(ISERROR(SEARCH("AB",AX92)))</formula>
    </cfRule>
    <cfRule type="containsText" dxfId="610" priority="528" operator="containsText" text="AL">
      <formula>NOT(ISERROR(SEARCH("AL",AX92)))</formula>
    </cfRule>
  </conditionalFormatting>
  <conditionalFormatting sqref="AX95:AX97">
    <cfRule type="containsText" dxfId="609" priority="508" operator="containsText" text="MC">
      <formula>NOT(ISERROR(SEARCH("MC",AX95)))</formula>
    </cfRule>
    <cfRule type="containsText" dxfId="608" priority="505" operator="containsText" text="AB">
      <formula>NOT(ISERROR(SEARCH("AB",AX95)))</formula>
    </cfRule>
    <cfRule type="containsText" dxfId="607" priority="506" operator="containsText" text="SUS">
      <formula>NOT(ISERROR(SEARCH("SUS",AX95)))</formula>
    </cfRule>
    <cfRule type="containsText" dxfId="606" priority="507" operator="containsText" text="FL">
      <formula>NOT(ISERROR(SEARCH("FL",AX95)))</formula>
    </cfRule>
    <cfRule type="containsText" dxfId="605" priority="512" operator="containsText" text="AL">
      <formula>NOT(ISERROR(SEARCH("AL",AX95)))</formula>
    </cfRule>
    <cfRule type="containsText" dxfId="604" priority="511" operator="containsText" text="OFF">
      <formula>NOT(ISERROR(SEARCH("OFF",AX95)))</formula>
    </cfRule>
    <cfRule type="containsText" dxfId="603" priority="510" operator="containsText" text="Sick">
      <formula>NOT(ISERROR(SEARCH("Sick",AX95)))</formula>
    </cfRule>
  </conditionalFormatting>
  <conditionalFormatting sqref="AX99">
    <cfRule type="containsText" dxfId="602" priority="490" operator="containsText" text="SUS">
      <formula>NOT(ISERROR(SEARCH("SUS",AX99)))</formula>
    </cfRule>
    <cfRule type="containsText" dxfId="601" priority="491" operator="containsText" text="FL">
      <formula>NOT(ISERROR(SEARCH("FL",AX99)))</formula>
    </cfRule>
    <cfRule type="containsText" dxfId="600" priority="492" operator="containsText" text="MC">
      <formula>NOT(ISERROR(SEARCH("MC",AX99)))</formula>
    </cfRule>
    <cfRule type="containsText" dxfId="599" priority="495" operator="containsText" text="OFF">
      <formula>NOT(ISERROR(SEARCH("OFF",AX99)))</formula>
    </cfRule>
    <cfRule type="containsText" dxfId="598" priority="496" operator="containsText" text="AL">
      <formula>NOT(ISERROR(SEARCH("AL",AX99)))</formula>
    </cfRule>
    <cfRule type="containsText" dxfId="597" priority="489" operator="containsText" text="AB">
      <formula>NOT(ISERROR(SEARCH("AB",AX99)))</formula>
    </cfRule>
    <cfRule type="containsText" dxfId="596" priority="494" operator="containsText" text="Sick">
      <formula>NOT(ISERROR(SEARCH("Sick",AX99)))</formula>
    </cfRule>
  </conditionalFormatting>
  <conditionalFormatting sqref="AX126">
    <cfRule type="containsText" dxfId="595" priority="29" operator="containsText" text="AL">
      <formula>NOT(ISERROR(SEARCH("AL",AX126)))</formula>
    </cfRule>
    <cfRule type="containsText" dxfId="594" priority="28" operator="containsText" text="SP">
      <formula>NOT(ISERROR(SEARCH("SP",AX126)))</formula>
    </cfRule>
    <cfRule type="containsText" dxfId="593" priority="27" operator="containsText" text="FL">
      <formula>NOT(ISERROR(SEARCH("FL",AX126)))</formula>
    </cfRule>
    <cfRule type="containsText" dxfId="592" priority="31" operator="containsText" text="SICK">
      <formula>NOT(ISERROR(SEARCH("SICK",AX126)))</formula>
    </cfRule>
    <cfRule type="containsText" dxfId="591" priority="30" operator="containsText" text="AB">
      <formula>NOT(ISERROR(SEARCH("AB",AX126)))</formula>
    </cfRule>
  </conditionalFormatting>
  <conditionalFormatting sqref="AX130">
    <cfRule type="containsText" dxfId="590" priority="3032" operator="containsText" text="SP">
      <formula>NOT(ISERROR(SEARCH("SP",AX130)))</formula>
    </cfRule>
    <cfRule type="containsText" dxfId="589" priority="3034" operator="containsText" text="AB">
      <formula>NOT(ISERROR(SEARCH("AB",AX130)))</formula>
    </cfRule>
    <cfRule type="containsText" dxfId="588" priority="3033" operator="containsText" text="AL">
      <formula>NOT(ISERROR(SEARCH("AL",AX130)))</formula>
    </cfRule>
    <cfRule type="containsText" dxfId="587" priority="3035" operator="containsText" text="SICK">
      <formula>NOT(ISERROR(SEARCH("SICK",AX130)))</formula>
    </cfRule>
    <cfRule type="containsText" dxfId="586" priority="3031" operator="containsText" text="FL">
      <formula>NOT(ISERROR(SEARCH("FL",AX130)))</formula>
    </cfRule>
  </conditionalFormatting>
  <conditionalFormatting sqref="AX5:AZ5">
    <cfRule type="containsText" dxfId="585" priority="847" operator="containsText" text="AB">
      <formula>NOT(ISERROR(SEARCH("AB",AX5)))</formula>
    </cfRule>
  </conditionalFormatting>
  <conditionalFormatting sqref="AY5:AZ5">
    <cfRule type="containsText" dxfId="584" priority="846" operator="containsText" text="OFF">
      <formula>NOT(ISERROR(SEARCH("OFF",AY5)))</formula>
    </cfRule>
    <cfRule type="containsText" dxfId="583" priority="849" operator="containsText" text="AL">
      <formula>NOT(ISERROR(SEARCH("AL",AY5)))</formula>
    </cfRule>
    <cfRule type="containsText" dxfId="582" priority="848" operator="containsText" text="SICK">
      <formula>NOT(ISERROR(SEARCH("SICK",AY5)))</formula>
    </cfRule>
    <cfRule type="containsText" dxfId="581" priority="845" operator="containsText" text="MC">
      <formula>NOT(ISERROR(SEARCH("MC",AY5)))</formula>
    </cfRule>
    <cfRule type="containsText" dxfId="580" priority="843" operator="containsText" text="FL">
      <formula>NOT(ISERROR(SEARCH("FL",AY5)))</formula>
    </cfRule>
    <cfRule type="containsText" dxfId="579" priority="842" operator="containsText" text="SUS">
      <formula>NOT(ISERROR(SEARCH("SUS",AY5)))</formula>
    </cfRule>
    <cfRule type="containsText" dxfId="578" priority="841" operator="containsText" text="NL">
      <formula>NOT(ISERROR(SEARCH("NL",AY5)))</formula>
    </cfRule>
    <cfRule type="containsText" dxfId="577" priority="840" operator="containsText" text="SP">
      <formula>NOT(ISERROR(SEARCH("SP",AY5)))</formula>
    </cfRule>
  </conditionalFormatting>
  <conditionalFormatting sqref="AY50:AZ50">
    <cfRule type="containsText" dxfId="576" priority="477" operator="containsText" text="AL">
      <formula>NOT(ISERROR(SEARCH("AL",AY50)))</formula>
    </cfRule>
    <cfRule type="containsText" dxfId="575" priority="476" operator="containsText" text="SICK">
      <formula>NOT(ISERROR(SEARCH("SICK",AY50)))</formula>
    </cfRule>
    <cfRule type="containsText" dxfId="574" priority="475" operator="containsText" text="AB">
      <formula>NOT(ISERROR(SEARCH("AB",AY50)))</formula>
    </cfRule>
    <cfRule type="containsText" dxfId="573" priority="474" operator="containsText" text="OFF">
      <formula>NOT(ISERROR(SEARCH("OFF",AY50)))</formula>
    </cfRule>
    <cfRule type="containsText" dxfId="572" priority="473" operator="containsText" text="MC">
      <formula>NOT(ISERROR(SEARCH("MC",AY50)))</formula>
    </cfRule>
    <cfRule type="containsText" dxfId="571" priority="472" operator="containsText" text="EL">
      <formula>NOT(ISERROR(SEARCH("EL",AY50)))</formula>
    </cfRule>
    <cfRule type="containsText" dxfId="570" priority="470" operator="containsText" text="SUS">
      <formula>NOT(ISERROR(SEARCH("SUS",AY50)))</formula>
    </cfRule>
    <cfRule type="containsText" dxfId="569" priority="469" operator="containsText" text="NL">
      <formula>NOT(ISERROR(SEARCH("NL",AY50)))</formula>
    </cfRule>
    <cfRule type="containsText" dxfId="568" priority="468" operator="containsText" text="SP">
      <formula>NOT(ISERROR(SEARCH("SP",AY50)))</formula>
    </cfRule>
    <cfRule type="containsText" dxfId="567" priority="471" operator="containsText" text="FL">
      <formula>NOT(ISERROR(SEARCH("FL",AY50)))</formula>
    </cfRule>
  </conditionalFormatting>
  <conditionalFormatting sqref="AZ126">
    <cfRule type="containsText" dxfId="566" priority="23" operator="containsText" text="SP">
      <formula>NOT(ISERROR(SEARCH("SP",AZ126)))</formula>
    </cfRule>
    <cfRule type="containsText" dxfId="565" priority="26" operator="containsText" text="SICK">
      <formula>NOT(ISERROR(SEARCH("SICK",AZ126)))</formula>
    </cfRule>
    <cfRule type="containsText" dxfId="564" priority="25" operator="containsText" text="AB">
      <formula>NOT(ISERROR(SEARCH("AB",AZ126)))</formula>
    </cfRule>
    <cfRule type="containsText" dxfId="563" priority="24" operator="containsText" text="AL">
      <formula>NOT(ISERROR(SEARCH("AL",AZ126)))</formula>
    </cfRule>
    <cfRule type="containsText" dxfId="562" priority="22" operator="containsText" text="FL">
      <formula>NOT(ISERROR(SEARCH("FL",AZ126)))</formula>
    </cfRule>
  </conditionalFormatting>
  <conditionalFormatting sqref="AZ130">
    <cfRule type="containsText" dxfId="561" priority="3028" operator="containsText" text="AL">
      <formula>NOT(ISERROR(SEARCH("AL",AZ130)))</formula>
    </cfRule>
    <cfRule type="containsText" dxfId="560" priority="3026" operator="containsText" text="FL">
      <formula>NOT(ISERROR(SEARCH("FL",AZ130)))</formula>
    </cfRule>
    <cfRule type="containsText" dxfId="559" priority="3027" operator="containsText" text="SP">
      <formula>NOT(ISERROR(SEARCH("SP",AZ130)))</formula>
    </cfRule>
    <cfRule type="containsText" dxfId="558" priority="3029" operator="containsText" text="AB">
      <formula>NOT(ISERROR(SEARCH("AB",AZ130)))</formula>
    </cfRule>
    <cfRule type="containsText" dxfId="557" priority="3030" operator="containsText" text="SICK">
      <formula>NOT(ISERROR(SEARCH("SICK",AZ130)))</formula>
    </cfRule>
  </conditionalFormatting>
  <conditionalFormatting sqref="BA70:BB70">
    <cfRule type="containsText" dxfId="556" priority="482" operator="containsText" text="EL">
      <formula>NOT(ISERROR(SEARCH("EL",BA70)))</formula>
    </cfRule>
    <cfRule type="containsText" dxfId="555" priority="486" operator="containsText" text="SICK">
      <formula>NOT(ISERROR(SEARCH("SICK",BA70)))</formula>
    </cfRule>
    <cfRule type="containsText" dxfId="554" priority="480" operator="containsText" text="SUS">
      <formula>NOT(ISERROR(SEARCH("SUS",BA70)))</formula>
    </cfRule>
    <cfRule type="containsText" dxfId="553" priority="485" operator="containsText" text="AB">
      <formula>NOT(ISERROR(SEARCH("AB",BA70)))</formula>
    </cfRule>
    <cfRule type="containsText" dxfId="552" priority="484" operator="containsText" text="OFF">
      <formula>NOT(ISERROR(SEARCH("OFF",BA70)))</formula>
    </cfRule>
    <cfRule type="containsText" dxfId="551" priority="483" operator="containsText" text="MC">
      <formula>NOT(ISERROR(SEARCH("MC",BA70)))</formula>
    </cfRule>
    <cfRule type="containsText" dxfId="550" priority="481" operator="containsText" text="FL">
      <formula>NOT(ISERROR(SEARCH("FL",BA70)))</formula>
    </cfRule>
    <cfRule type="containsText" dxfId="549" priority="479" operator="containsText" text="NL">
      <formula>NOT(ISERROR(SEARCH("NL",BA70)))</formula>
    </cfRule>
    <cfRule type="containsText" dxfId="548" priority="478" operator="containsText" text="SP">
      <formula>NOT(ISERROR(SEARCH("SP",BA70)))</formula>
    </cfRule>
    <cfRule type="containsText" dxfId="547" priority="487" operator="containsText" text="AL">
      <formula>NOT(ISERROR(SEARCH("AL",BA70)))</formula>
    </cfRule>
  </conditionalFormatting>
  <conditionalFormatting sqref="BA133:BP133">
    <cfRule type="containsText" dxfId="546" priority="2129" operator="containsText" text="SICK">
      <formula>NOT(ISERROR(SEARCH("SICK",BA133)))</formula>
    </cfRule>
    <cfRule type="containsText" dxfId="545" priority="2109" operator="containsText" text="FL">
      <formula>NOT(ISERROR(SEARCH("FL",BA133)))</formula>
    </cfRule>
    <cfRule type="containsText" dxfId="544" priority="2110" operator="containsText" text="SP">
      <formula>NOT(ISERROR(SEARCH("SP",BA133)))</formula>
    </cfRule>
    <cfRule type="containsText" dxfId="543" priority="2111" operator="containsText" text="AL">
      <formula>NOT(ISERROR(SEARCH("AL",BA133)))</formula>
    </cfRule>
    <cfRule type="containsText" dxfId="542" priority="2112" operator="containsText" text="AB">
      <formula>NOT(ISERROR(SEARCH("AB",BA133)))</formula>
    </cfRule>
    <cfRule type="containsText" dxfId="541" priority="2113" operator="containsText" text="SICK">
      <formula>NOT(ISERROR(SEARCH("SICK",BA133)))</formula>
    </cfRule>
    <cfRule type="containsText" dxfId="540" priority="2114" operator="containsText" text="FL">
      <formula>NOT(ISERROR(SEARCH("FL",BA133)))</formula>
    </cfRule>
    <cfRule type="containsText" dxfId="539" priority="2115" operator="containsText" text="SP">
      <formula>NOT(ISERROR(SEARCH("SP",BA133)))</formula>
    </cfRule>
    <cfRule type="containsText" dxfId="538" priority="2116" operator="containsText" text="AL">
      <formula>NOT(ISERROR(SEARCH("AL",BA133)))</formula>
    </cfRule>
    <cfRule type="containsText" dxfId="537" priority="2121" operator="containsText" text="AL">
      <formula>NOT(ISERROR(SEARCH("AL",BA133)))</formula>
    </cfRule>
    <cfRule type="containsText" dxfId="536" priority="2118" operator="containsText" text="SICK">
      <formula>NOT(ISERROR(SEARCH("SICK",BA133)))</formula>
    </cfRule>
    <cfRule type="containsText" dxfId="535" priority="2117" operator="containsText" text="AB">
      <formula>NOT(ISERROR(SEARCH("AB",BA133)))</formula>
    </cfRule>
    <cfRule type="containsText" dxfId="534" priority="2119" operator="containsText" text="FL">
      <formula>NOT(ISERROR(SEARCH("FL",BA133)))</formula>
    </cfRule>
    <cfRule type="containsText" dxfId="533" priority="2123" operator="containsText" text="SICK">
      <formula>NOT(ISERROR(SEARCH("SICK",BA133)))</formula>
    </cfRule>
    <cfRule type="cellIs" dxfId="532" priority="2124" operator="between">
      <formula>0.0625</formula>
      <formula>0.1875</formula>
    </cfRule>
    <cfRule type="containsText" dxfId="531" priority="2125" operator="containsText" text="FL">
      <formula>NOT(ISERROR(SEARCH("FL",BA133)))</formula>
    </cfRule>
    <cfRule type="containsText" dxfId="530" priority="2122" operator="containsText" text="AB">
      <formula>NOT(ISERROR(SEARCH("AB",BA133)))</formula>
    </cfRule>
    <cfRule type="containsText" dxfId="529" priority="2126" operator="containsText" text="SP">
      <formula>NOT(ISERROR(SEARCH("SP",BA133)))</formula>
    </cfRule>
    <cfRule type="containsText" dxfId="528" priority="2127" operator="containsText" text="AL">
      <formula>NOT(ISERROR(SEARCH("AL",BA133)))</formula>
    </cfRule>
    <cfRule type="containsText" dxfId="527" priority="2128" operator="containsText" text="AB">
      <formula>NOT(ISERROR(SEARCH("AB",BA133)))</formula>
    </cfRule>
    <cfRule type="containsText" dxfId="526" priority="2120" operator="containsText" text="SP">
      <formula>NOT(ISERROR(SEARCH("SP",BA133)))</formula>
    </cfRule>
  </conditionalFormatting>
  <conditionalFormatting sqref="BB126">
    <cfRule type="containsText" dxfId="525" priority="21" operator="containsText" text="SICK">
      <formula>NOT(ISERROR(SEARCH("SICK",BB126)))</formula>
    </cfRule>
    <cfRule type="containsText" dxfId="524" priority="17" operator="containsText" text="FL">
      <formula>NOT(ISERROR(SEARCH("FL",BB126)))</formula>
    </cfRule>
    <cfRule type="containsText" dxfId="523" priority="18" operator="containsText" text="SP">
      <formula>NOT(ISERROR(SEARCH("SP",BB126)))</formula>
    </cfRule>
    <cfRule type="containsText" dxfId="522" priority="19" operator="containsText" text="AL">
      <formula>NOT(ISERROR(SEARCH("AL",BB126)))</formula>
    </cfRule>
    <cfRule type="containsText" dxfId="521" priority="20" operator="containsText" text="AB">
      <formula>NOT(ISERROR(SEARCH("AB",BB126)))</formula>
    </cfRule>
  </conditionalFormatting>
  <conditionalFormatting sqref="BB130">
    <cfRule type="containsText" dxfId="520" priority="3021" operator="containsText" text="FL">
      <formula>NOT(ISERROR(SEARCH("FL",BB130)))</formula>
    </cfRule>
    <cfRule type="containsText" dxfId="519" priority="3025" operator="containsText" text="SICK">
      <formula>NOT(ISERROR(SEARCH("SICK",BB130)))</formula>
    </cfRule>
    <cfRule type="containsText" dxfId="518" priority="3023" operator="containsText" text="AL">
      <formula>NOT(ISERROR(SEARCH("AL",BB130)))</formula>
    </cfRule>
    <cfRule type="containsText" dxfId="517" priority="3024" operator="containsText" text="AB">
      <formula>NOT(ISERROR(SEARCH("AB",BB130)))</formula>
    </cfRule>
    <cfRule type="containsText" dxfId="516" priority="3022" operator="containsText" text="SP">
      <formula>NOT(ISERROR(SEARCH("SP",BB130)))</formula>
    </cfRule>
  </conditionalFormatting>
  <conditionalFormatting sqref="BD126">
    <cfRule type="containsText" dxfId="515" priority="15" operator="containsText" text="AB">
      <formula>NOT(ISERROR(SEARCH("AB",BD126)))</formula>
    </cfRule>
    <cfRule type="containsText" dxfId="514" priority="16" operator="containsText" text="SICK">
      <formula>NOT(ISERROR(SEARCH("SICK",BD126)))</formula>
    </cfRule>
    <cfRule type="containsText" dxfId="513" priority="12" operator="containsText" text="FL">
      <formula>NOT(ISERROR(SEARCH("FL",BD126)))</formula>
    </cfRule>
    <cfRule type="containsText" dxfId="512" priority="13" operator="containsText" text="SP">
      <formula>NOT(ISERROR(SEARCH("SP",BD126)))</formula>
    </cfRule>
    <cfRule type="containsText" dxfId="511" priority="14" operator="containsText" text="AL">
      <formula>NOT(ISERROR(SEARCH("AL",BD126)))</formula>
    </cfRule>
  </conditionalFormatting>
  <conditionalFormatting sqref="BD130">
    <cfRule type="containsText" dxfId="510" priority="3017" operator="containsText" text="SP">
      <formula>NOT(ISERROR(SEARCH("SP",BD130)))</formula>
    </cfRule>
    <cfRule type="containsText" dxfId="509" priority="3016" operator="containsText" text="FL">
      <formula>NOT(ISERROR(SEARCH("FL",BD130)))</formula>
    </cfRule>
    <cfRule type="containsText" dxfId="508" priority="3020" operator="containsText" text="SICK">
      <formula>NOT(ISERROR(SEARCH("SICK",BD130)))</formula>
    </cfRule>
    <cfRule type="containsText" dxfId="507" priority="3019" operator="containsText" text="AB">
      <formula>NOT(ISERROR(SEARCH("AB",BD130)))</formula>
    </cfRule>
    <cfRule type="containsText" dxfId="506" priority="3018" operator="containsText" text="AL">
      <formula>NOT(ISERROR(SEARCH("AL",BD130)))</formula>
    </cfRule>
  </conditionalFormatting>
  <conditionalFormatting sqref="BG38:BG101">
    <cfRule type="containsText" dxfId="505" priority="387" operator="containsText" text="SUS">
      <formula>NOT(ISERROR(SEARCH("SUS",BG38)))</formula>
    </cfRule>
    <cfRule type="containsText" dxfId="504" priority="393" operator="containsText" text="AL">
      <formula>NOT(ISERROR(SEARCH("AL",BG38)))</formula>
    </cfRule>
    <cfRule type="containsText" dxfId="503" priority="392" operator="containsText" text="OFF">
      <formula>NOT(ISERROR(SEARCH("OFF",BG38)))</formula>
    </cfRule>
    <cfRule type="containsText" dxfId="502" priority="391" operator="containsText" text="Sick">
      <formula>NOT(ISERROR(SEARCH("Sick",BG38)))</formula>
    </cfRule>
    <cfRule type="containsText" dxfId="501" priority="390" operator="containsText" text="AB">
      <formula>NOT(ISERROR(SEARCH("AB",BG38)))</formula>
    </cfRule>
    <cfRule type="containsText" dxfId="500" priority="389" operator="containsText" text="MC">
      <formula>NOT(ISERROR(SEARCH("MC",BG38)))</formula>
    </cfRule>
    <cfRule type="containsText" dxfId="499" priority="388" operator="containsText" text="FL">
      <formula>NOT(ISERROR(SEARCH("FL",BG38)))</formula>
    </cfRule>
  </conditionalFormatting>
  <conditionalFormatting sqref="BG5:BH25">
    <cfRule type="containsText" dxfId="498" priority="467" operator="containsText" text="AL">
      <formula>NOT(ISERROR(SEARCH("AL",BG5)))</formula>
    </cfRule>
    <cfRule type="containsText" dxfId="497" priority="460" operator="containsText" text="AB">
      <formula>NOT(ISERROR(SEARCH("AB",BG5)))</formula>
    </cfRule>
    <cfRule type="containsText" dxfId="496" priority="462" operator="containsText" text="FL">
      <formula>NOT(ISERROR(SEARCH("FL",BG5)))</formula>
    </cfRule>
    <cfRule type="containsText" dxfId="495" priority="463" operator="containsText" text="MC">
      <formula>NOT(ISERROR(SEARCH("MC",BG5)))</formula>
    </cfRule>
    <cfRule type="containsText" dxfId="494" priority="464" operator="containsText" text="AB">
      <formula>NOT(ISERROR(SEARCH("AB",BG5)))</formula>
    </cfRule>
    <cfRule type="containsText" dxfId="493" priority="465" operator="containsText" text="Sick">
      <formula>NOT(ISERROR(SEARCH("Sick",BG5)))</formula>
    </cfRule>
    <cfRule type="containsText" dxfId="492" priority="459" operator="containsText" text="EL">
      <formula>NOT(ISERROR(SEARCH("EL",BG5)))</formula>
    </cfRule>
    <cfRule type="containsText" dxfId="491" priority="466" operator="containsText" text="OFF">
      <formula>NOT(ISERROR(SEARCH("OFF",BG5)))</formula>
    </cfRule>
    <cfRule type="containsText" dxfId="490" priority="461" operator="containsText" text="SUS">
      <formula>NOT(ISERROR(SEARCH("SUS",BG5)))</formula>
    </cfRule>
  </conditionalFormatting>
  <conditionalFormatting sqref="BG38:BH101">
    <cfRule type="containsText" dxfId="489" priority="383" operator="containsText" text="AB">
      <formula>NOT(ISERROR(SEARCH("AB",BG38)))</formula>
    </cfRule>
    <cfRule type="containsText" dxfId="488" priority="378" operator="containsText" text="EL">
      <formula>NOT(ISERROR(SEARCH("EL",BG38)))</formula>
    </cfRule>
  </conditionalFormatting>
  <conditionalFormatting sqref="BH38:BH101">
    <cfRule type="containsText" dxfId="487" priority="381" operator="containsText" text="FL">
      <formula>NOT(ISERROR(SEARCH("FL",BH38)))</formula>
    </cfRule>
    <cfRule type="containsText" dxfId="486" priority="380" operator="containsText" text="SUS">
      <formula>NOT(ISERROR(SEARCH("SUS",BH38)))</formula>
    </cfRule>
    <cfRule type="containsText" dxfId="485" priority="379" operator="containsText" text="AB">
      <formula>NOT(ISERROR(SEARCH("AB",BH38)))</formula>
    </cfRule>
    <cfRule type="containsText" dxfId="484" priority="382" operator="containsText" text="MC">
      <formula>NOT(ISERROR(SEARCH("MC",BH38)))</formula>
    </cfRule>
    <cfRule type="containsText" dxfId="483" priority="384" operator="containsText" text="Sick">
      <formula>NOT(ISERROR(SEARCH("Sick",BH38)))</formula>
    </cfRule>
    <cfRule type="containsText" dxfId="482" priority="385" operator="containsText" text="OFF">
      <formula>NOT(ISERROR(SEARCH("OFF",BH38)))</formula>
    </cfRule>
    <cfRule type="containsText" dxfId="481" priority="386" operator="containsText" text="AL">
      <formula>NOT(ISERROR(SEARCH("AL",BH38)))</formula>
    </cfRule>
  </conditionalFormatting>
  <conditionalFormatting sqref="BK40">
    <cfRule type="containsText" dxfId="480" priority="373" operator="containsText" text="MC">
      <formula>NOT(ISERROR(SEARCH("MC",BK40)))</formula>
    </cfRule>
    <cfRule type="containsText" dxfId="479" priority="375" operator="containsText" text="Sick">
      <formula>NOT(ISERROR(SEARCH("Sick",BK40)))</formula>
    </cfRule>
    <cfRule type="containsText" dxfId="478" priority="374" operator="containsText" text="AB">
      <formula>NOT(ISERROR(SEARCH("AB",BK40)))</formula>
    </cfRule>
    <cfRule type="containsText" dxfId="477" priority="377" operator="containsText" text="AL">
      <formula>NOT(ISERROR(SEARCH("AL",BK40)))</formula>
    </cfRule>
    <cfRule type="containsText" dxfId="476" priority="372" operator="containsText" text="FL">
      <formula>NOT(ISERROR(SEARCH("FL",BK40)))</formula>
    </cfRule>
    <cfRule type="containsText" dxfId="475" priority="371" operator="containsText" text="SUS">
      <formula>NOT(ISERROR(SEARCH("SUS",BK40)))</formula>
    </cfRule>
    <cfRule type="containsText" dxfId="474" priority="376" operator="containsText" text="OFF">
      <formula>NOT(ISERROR(SEARCH("OFF",BK40)))</formula>
    </cfRule>
  </conditionalFormatting>
  <conditionalFormatting sqref="BK43">
    <cfRule type="containsText" dxfId="473" priority="361" operator="containsText" text="AL">
      <formula>NOT(ISERROR(SEARCH("AL",BK43)))</formula>
    </cfRule>
    <cfRule type="containsText" dxfId="472" priority="359" operator="containsText" text="Sick">
      <formula>NOT(ISERROR(SEARCH("Sick",BK43)))</formula>
    </cfRule>
    <cfRule type="containsText" dxfId="471" priority="358" operator="containsText" text="AB">
      <formula>NOT(ISERROR(SEARCH("AB",BK43)))</formula>
    </cfRule>
    <cfRule type="containsText" dxfId="470" priority="357" operator="containsText" text="MC">
      <formula>NOT(ISERROR(SEARCH("MC",BK43)))</formula>
    </cfRule>
    <cfRule type="containsText" dxfId="469" priority="356" operator="containsText" text="FL">
      <formula>NOT(ISERROR(SEARCH("FL",BK43)))</formula>
    </cfRule>
    <cfRule type="containsText" dxfId="468" priority="360" operator="containsText" text="OFF">
      <formula>NOT(ISERROR(SEARCH("OFF",BK43)))</formula>
    </cfRule>
    <cfRule type="containsText" dxfId="467" priority="355" operator="containsText" text="SUS">
      <formula>NOT(ISERROR(SEARCH("SUS",BK43)))</formula>
    </cfRule>
  </conditionalFormatting>
  <conditionalFormatting sqref="BK45:BK46">
    <cfRule type="containsText" dxfId="466" priority="345" operator="containsText" text="AL">
      <formula>NOT(ISERROR(SEARCH("AL",BK45)))</formula>
    </cfRule>
    <cfRule type="containsText" dxfId="465" priority="342" operator="containsText" text="AB">
      <formula>NOT(ISERROR(SEARCH("AB",BK45)))</formula>
    </cfRule>
    <cfRule type="containsText" dxfId="464" priority="341" operator="containsText" text="MC">
      <formula>NOT(ISERROR(SEARCH("MC",BK45)))</formula>
    </cfRule>
    <cfRule type="containsText" dxfId="463" priority="340" operator="containsText" text="FL">
      <formula>NOT(ISERROR(SEARCH("FL",BK45)))</formula>
    </cfRule>
    <cfRule type="containsText" dxfId="462" priority="339" operator="containsText" text="SUS">
      <formula>NOT(ISERROR(SEARCH("SUS",BK45)))</formula>
    </cfRule>
    <cfRule type="containsText" dxfId="461" priority="343" operator="containsText" text="Sick">
      <formula>NOT(ISERROR(SEARCH("Sick",BK45)))</formula>
    </cfRule>
    <cfRule type="containsText" dxfId="460" priority="344" operator="containsText" text="OFF">
      <formula>NOT(ISERROR(SEARCH("OFF",BK45)))</formula>
    </cfRule>
  </conditionalFormatting>
  <conditionalFormatting sqref="BK50">
    <cfRule type="containsText" dxfId="459" priority="326" operator="containsText" text="AB">
      <formula>NOT(ISERROR(SEARCH("AB",BK50)))</formula>
    </cfRule>
    <cfRule type="containsText" dxfId="458" priority="325" operator="containsText" text="MC">
      <formula>NOT(ISERROR(SEARCH("MC",BK50)))</formula>
    </cfRule>
    <cfRule type="containsText" dxfId="457" priority="329" operator="containsText" text="AL">
      <formula>NOT(ISERROR(SEARCH("AL",BK50)))</formula>
    </cfRule>
    <cfRule type="containsText" dxfId="456" priority="327" operator="containsText" text="Sick">
      <formula>NOT(ISERROR(SEARCH("Sick",BK50)))</formula>
    </cfRule>
    <cfRule type="containsText" dxfId="455" priority="324" operator="containsText" text="FL">
      <formula>NOT(ISERROR(SEARCH("FL",BK50)))</formula>
    </cfRule>
    <cfRule type="containsText" dxfId="454" priority="328" operator="containsText" text="OFF">
      <formula>NOT(ISERROR(SEARCH("OFF",BK50)))</formula>
    </cfRule>
    <cfRule type="containsText" dxfId="453" priority="323" operator="containsText" text="SUS">
      <formula>NOT(ISERROR(SEARCH("SUS",BK50)))</formula>
    </cfRule>
  </conditionalFormatting>
  <conditionalFormatting sqref="BK52">
    <cfRule type="containsText" dxfId="452" priority="309" operator="containsText" text="MC">
      <formula>NOT(ISERROR(SEARCH("MC",BK52)))</formula>
    </cfRule>
    <cfRule type="containsText" dxfId="451" priority="308" operator="containsText" text="FL">
      <formula>NOT(ISERROR(SEARCH("FL",BK52)))</formula>
    </cfRule>
    <cfRule type="containsText" dxfId="450" priority="310" operator="containsText" text="AB">
      <formula>NOT(ISERROR(SEARCH("AB",BK52)))</formula>
    </cfRule>
    <cfRule type="containsText" dxfId="449" priority="307" operator="containsText" text="SUS">
      <formula>NOT(ISERROR(SEARCH("SUS",BK52)))</formula>
    </cfRule>
    <cfRule type="containsText" dxfId="448" priority="313" operator="containsText" text="AL">
      <formula>NOT(ISERROR(SEARCH("AL",BK52)))</formula>
    </cfRule>
    <cfRule type="containsText" dxfId="447" priority="312" operator="containsText" text="OFF">
      <formula>NOT(ISERROR(SEARCH("OFF",BK52)))</formula>
    </cfRule>
    <cfRule type="containsText" dxfId="446" priority="311" operator="containsText" text="Sick">
      <formula>NOT(ISERROR(SEARCH("Sick",BK52)))</formula>
    </cfRule>
  </conditionalFormatting>
  <conditionalFormatting sqref="BK54:BK55">
    <cfRule type="containsText" dxfId="445" priority="294" operator="containsText" text="AB">
      <formula>NOT(ISERROR(SEARCH("AB",BK54)))</formula>
    </cfRule>
    <cfRule type="containsText" dxfId="444" priority="293" operator="containsText" text="MC">
      <formula>NOT(ISERROR(SEARCH("MC",BK54)))</formula>
    </cfRule>
    <cfRule type="containsText" dxfId="443" priority="291" operator="containsText" text="SUS">
      <formula>NOT(ISERROR(SEARCH("SUS",BK54)))</formula>
    </cfRule>
    <cfRule type="containsText" dxfId="442" priority="297" operator="containsText" text="AL">
      <formula>NOT(ISERROR(SEARCH("AL",BK54)))</formula>
    </cfRule>
    <cfRule type="containsText" dxfId="441" priority="296" operator="containsText" text="OFF">
      <formula>NOT(ISERROR(SEARCH("OFF",BK54)))</formula>
    </cfRule>
    <cfRule type="containsText" dxfId="440" priority="295" operator="containsText" text="Sick">
      <formula>NOT(ISERROR(SEARCH("Sick",BK54)))</formula>
    </cfRule>
    <cfRule type="containsText" dxfId="439" priority="292" operator="containsText" text="FL">
      <formula>NOT(ISERROR(SEARCH("FL",BK54)))</formula>
    </cfRule>
  </conditionalFormatting>
  <conditionalFormatting sqref="BK58">
    <cfRule type="containsText" dxfId="438" priority="280" operator="containsText" text="OFF">
      <formula>NOT(ISERROR(SEARCH("OFF",BK58)))</formula>
    </cfRule>
    <cfRule type="containsText" dxfId="437" priority="275" operator="containsText" text="SUS">
      <formula>NOT(ISERROR(SEARCH("SUS",BK58)))</formula>
    </cfRule>
    <cfRule type="containsText" dxfId="436" priority="276" operator="containsText" text="FL">
      <formula>NOT(ISERROR(SEARCH("FL",BK58)))</formula>
    </cfRule>
    <cfRule type="containsText" dxfId="435" priority="281" operator="containsText" text="AL">
      <formula>NOT(ISERROR(SEARCH("AL",BK58)))</formula>
    </cfRule>
    <cfRule type="containsText" dxfId="434" priority="279" operator="containsText" text="Sick">
      <formula>NOT(ISERROR(SEARCH("Sick",BK58)))</formula>
    </cfRule>
    <cfRule type="containsText" dxfId="433" priority="278" operator="containsText" text="AB">
      <formula>NOT(ISERROR(SEARCH("AB",BK58)))</formula>
    </cfRule>
    <cfRule type="containsText" dxfId="432" priority="277" operator="containsText" text="MC">
      <formula>NOT(ISERROR(SEARCH("MC",BK58)))</formula>
    </cfRule>
  </conditionalFormatting>
  <conditionalFormatting sqref="BK61:BK62">
    <cfRule type="containsText" dxfId="431" priority="262" operator="containsText" text="AB">
      <formula>NOT(ISERROR(SEARCH("AB",BK61)))</formula>
    </cfRule>
    <cfRule type="containsText" dxfId="430" priority="264" operator="containsText" text="OFF">
      <formula>NOT(ISERROR(SEARCH("OFF",BK61)))</formula>
    </cfRule>
    <cfRule type="containsText" dxfId="429" priority="265" operator="containsText" text="AL">
      <formula>NOT(ISERROR(SEARCH("AL",BK61)))</formula>
    </cfRule>
    <cfRule type="containsText" dxfId="428" priority="260" operator="containsText" text="FL">
      <formula>NOT(ISERROR(SEARCH("FL",BK61)))</formula>
    </cfRule>
    <cfRule type="containsText" dxfId="427" priority="261" operator="containsText" text="MC">
      <formula>NOT(ISERROR(SEARCH("MC",BK61)))</formula>
    </cfRule>
    <cfRule type="containsText" dxfId="426" priority="259" operator="containsText" text="SUS">
      <formula>NOT(ISERROR(SEARCH("SUS",BK61)))</formula>
    </cfRule>
    <cfRule type="containsText" dxfId="425" priority="263" operator="containsText" text="Sick">
      <formula>NOT(ISERROR(SEARCH("Sick",BK61)))</formula>
    </cfRule>
  </conditionalFormatting>
  <conditionalFormatting sqref="BK66">
    <cfRule type="containsText" dxfId="424" priority="248" operator="containsText" text="OFF">
      <formula>NOT(ISERROR(SEARCH("OFF",BK66)))</formula>
    </cfRule>
    <cfRule type="containsText" dxfId="423" priority="246" operator="containsText" text="AB">
      <formula>NOT(ISERROR(SEARCH("AB",BK66)))</formula>
    </cfRule>
    <cfRule type="containsText" dxfId="422" priority="245" operator="containsText" text="MC">
      <formula>NOT(ISERROR(SEARCH("MC",BK66)))</formula>
    </cfRule>
    <cfRule type="containsText" dxfId="421" priority="244" operator="containsText" text="FL">
      <formula>NOT(ISERROR(SEARCH("FL",BK66)))</formula>
    </cfRule>
    <cfRule type="containsText" dxfId="420" priority="243" operator="containsText" text="SUS">
      <formula>NOT(ISERROR(SEARCH("SUS",BK66)))</formula>
    </cfRule>
    <cfRule type="containsText" dxfId="419" priority="249" operator="containsText" text="AL">
      <formula>NOT(ISERROR(SEARCH("AL",BK66)))</formula>
    </cfRule>
    <cfRule type="containsText" dxfId="418" priority="247" operator="containsText" text="Sick">
      <formula>NOT(ISERROR(SEARCH("Sick",BK66)))</formula>
    </cfRule>
  </conditionalFormatting>
  <conditionalFormatting sqref="BK72:BK74">
    <cfRule type="containsText" dxfId="417" priority="227" operator="containsText" text="SUS">
      <formula>NOT(ISERROR(SEARCH("SUS",BK72)))</formula>
    </cfRule>
    <cfRule type="containsText" dxfId="416" priority="229" operator="containsText" text="MC">
      <formula>NOT(ISERROR(SEARCH("MC",BK72)))</formula>
    </cfRule>
    <cfRule type="containsText" dxfId="415" priority="233" operator="containsText" text="AL">
      <formula>NOT(ISERROR(SEARCH("AL",BK72)))</formula>
    </cfRule>
    <cfRule type="containsText" dxfId="414" priority="232" operator="containsText" text="OFF">
      <formula>NOT(ISERROR(SEARCH("OFF",BK72)))</formula>
    </cfRule>
    <cfRule type="containsText" dxfId="413" priority="228" operator="containsText" text="FL">
      <formula>NOT(ISERROR(SEARCH("FL",BK72)))</formula>
    </cfRule>
    <cfRule type="containsText" dxfId="412" priority="231" operator="containsText" text="Sick">
      <formula>NOT(ISERROR(SEARCH("Sick",BK72)))</formula>
    </cfRule>
    <cfRule type="containsText" dxfId="411" priority="230" operator="containsText" text="AB">
      <formula>NOT(ISERROR(SEARCH("AB",BK72)))</formula>
    </cfRule>
  </conditionalFormatting>
  <conditionalFormatting sqref="BK76:BK78">
    <cfRule type="containsText" dxfId="410" priority="211" operator="containsText" text="SUS">
      <formula>NOT(ISERROR(SEARCH("SUS",BK76)))</formula>
    </cfRule>
    <cfRule type="containsText" dxfId="409" priority="212" operator="containsText" text="FL">
      <formula>NOT(ISERROR(SEARCH("FL",BK76)))</formula>
    </cfRule>
    <cfRule type="containsText" dxfId="408" priority="214" operator="containsText" text="AB">
      <formula>NOT(ISERROR(SEARCH("AB",BK76)))</formula>
    </cfRule>
    <cfRule type="containsText" dxfId="407" priority="215" operator="containsText" text="Sick">
      <formula>NOT(ISERROR(SEARCH("Sick",BK76)))</formula>
    </cfRule>
    <cfRule type="containsText" dxfId="406" priority="216" operator="containsText" text="OFF">
      <formula>NOT(ISERROR(SEARCH("OFF",BK76)))</formula>
    </cfRule>
    <cfRule type="containsText" dxfId="405" priority="217" operator="containsText" text="AL">
      <formula>NOT(ISERROR(SEARCH("AL",BK76)))</formula>
    </cfRule>
    <cfRule type="containsText" dxfId="404" priority="213" operator="containsText" text="MC">
      <formula>NOT(ISERROR(SEARCH("MC",BK76)))</formula>
    </cfRule>
  </conditionalFormatting>
  <conditionalFormatting sqref="BK80:BK81">
    <cfRule type="containsText" dxfId="403" priority="200" operator="containsText" text="OFF">
      <formula>NOT(ISERROR(SEARCH("OFF",BK80)))</formula>
    </cfRule>
    <cfRule type="containsText" dxfId="402" priority="198" operator="containsText" text="AB">
      <formula>NOT(ISERROR(SEARCH("AB",BK80)))</formula>
    </cfRule>
    <cfRule type="containsText" dxfId="401" priority="197" operator="containsText" text="MC">
      <formula>NOT(ISERROR(SEARCH("MC",BK80)))</formula>
    </cfRule>
    <cfRule type="containsText" dxfId="400" priority="201" operator="containsText" text="AL">
      <formula>NOT(ISERROR(SEARCH("AL",BK80)))</formula>
    </cfRule>
    <cfRule type="containsText" dxfId="399" priority="196" operator="containsText" text="FL">
      <formula>NOT(ISERROR(SEARCH("FL",BK80)))</formula>
    </cfRule>
    <cfRule type="containsText" dxfId="398" priority="195" operator="containsText" text="SUS">
      <formula>NOT(ISERROR(SEARCH("SUS",BK80)))</formula>
    </cfRule>
    <cfRule type="containsText" dxfId="397" priority="199" operator="containsText" text="Sick">
      <formula>NOT(ISERROR(SEARCH("Sick",BK80)))</formula>
    </cfRule>
  </conditionalFormatting>
  <conditionalFormatting sqref="BK85">
    <cfRule type="containsText" dxfId="396" priority="179" operator="containsText" text="SUS">
      <formula>NOT(ISERROR(SEARCH("SUS",BK85)))</formula>
    </cfRule>
    <cfRule type="containsText" dxfId="395" priority="181" operator="containsText" text="MC">
      <formula>NOT(ISERROR(SEARCH("MC",BK85)))</formula>
    </cfRule>
    <cfRule type="containsText" dxfId="394" priority="180" operator="containsText" text="FL">
      <formula>NOT(ISERROR(SEARCH("FL",BK85)))</formula>
    </cfRule>
    <cfRule type="containsText" dxfId="393" priority="182" operator="containsText" text="AB">
      <formula>NOT(ISERROR(SEARCH("AB",BK85)))</formula>
    </cfRule>
    <cfRule type="containsText" dxfId="392" priority="183" operator="containsText" text="Sick">
      <formula>NOT(ISERROR(SEARCH("Sick",BK85)))</formula>
    </cfRule>
    <cfRule type="containsText" dxfId="391" priority="184" operator="containsText" text="OFF">
      <formula>NOT(ISERROR(SEARCH("OFF",BK85)))</formula>
    </cfRule>
    <cfRule type="containsText" dxfId="390" priority="185" operator="containsText" text="AL">
      <formula>NOT(ISERROR(SEARCH("AL",BK85)))</formula>
    </cfRule>
  </conditionalFormatting>
  <conditionalFormatting sqref="BK87:BK91">
    <cfRule type="containsText" dxfId="389" priority="169" operator="containsText" text="AL">
      <formula>NOT(ISERROR(SEARCH("AL",BK87)))</formula>
    </cfRule>
    <cfRule type="containsText" dxfId="388" priority="164" operator="containsText" text="FL">
      <formula>NOT(ISERROR(SEARCH("FL",BK87)))</formula>
    </cfRule>
    <cfRule type="containsText" dxfId="387" priority="165" operator="containsText" text="MC">
      <formula>NOT(ISERROR(SEARCH("MC",BK87)))</formula>
    </cfRule>
    <cfRule type="containsText" dxfId="386" priority="166" operator="containsText" text="AB">
      <formula>NOT(ISERROR(SEARCH("AB",BK87)))</formula>
    </cfRule>
    <cfRule type="containsText" dxfId="385" priority="167" operator="containsText" text="Sick">
      <formula>NOT(ISERROR(SEARCH("Sick",BK87)))</formula>
    </cfRule>
    <cfRule type="containsText" dxfId="384" priority="168" operator="containsText" text="OFF">
      <formula>NOT(ISERROR(SEARCH("OFF",BK87)))</formula>
    </cfRule>
    <cfRule type="containsText" dxfId="383" priority="163" operator="containsText" text="SUS">
      <formula>NOT(ISERROR(SEARCH("SUS",BK87)))</formula>
    </cfRule>
  </conditionalFormatting>
  <conditionalFormatting sqref="BK94">
    <cfRule type="containsText" dxfId="382" priority="147" operator="containsText" text="SUS">
      <formula>NOT(ISERROR(SEARCH("SUS",BK94)))</formula>
    </cfRule>
    <cfRule type="containsText" dxfId="381" priority="149" operator="containsText" text="MC">
      <formula>NOT(ISERROR(SEARCH("MC",BK94)))</formula>
    </cfRule>
    <cfRule type="containsText" dxfId="380" priority="150" operator="containsText" text="AB">
      <formula>NOT(ISERROR(SEARCH("AB",BK94)))</formula>
    </cfRule>
    <cfRule type="containsText" dxfId="379" priority="151" operator="containsText" text="Sick">
      <formula>NOT(ISERROR(SEARCH("Sick",BK94)))</formula>
    </cfRule>
    <cfRule type="containsText" dxfId="378" priority="152" operator="containsText" text="OFF">
      <formula>NOT(ISERROR(SEARCH("OFF",BK94)))</formula>
    </cfRule>
    <cfRule type="containsText" dxfId="377" priority="153" operator="containsText" text="AL">
      <formula>NOT(ISERROR(SEARCH("AL",BK94)))</formula>
    </cfRule>
    <cfRule type="containsText" dxfId="376" priority="148" operator="containsText" text="FL">
      <formula>NOT(ISERROR(SEARCH("FL",BK94)))</formula>
    </cfRule>
  </conditionalFormatting>
  <conditionalFormatting sqref="BK98">
    <cfRule type="containsText" dxfId="375" priority="137" operator="containsText" text="AL">
      <formula>NOT(ISERROR(SEARCH("AL",BK98)))</formula>
    </cfRule>
    <cfRule type="containsText" dxfId="374" priority="134" operator="containsText" text="AB">
      <formula>NOT(ISERROR(SEARCH("AB",BK98)))</formula>
    </cfRule>
    <cfRule type="containsText" dxfId="373" priority="135" operator="containsText" text="Sick">
      <formula>NOT(ISERROR(SEARCH("Sick",BK98)))</formula>
    </cfRule>
    <cfRule type="containsText" dxfId="372" priority="133" operator="containsText" text="MC">
      <formula>NOT(ISERROR(SEARCH("MC",BK98)))</formula>
    </cfRule>
    <cfRule type="containsText" dxfId="371" priority="132" operator="containsText" text="FL">
      <formula>NOT(ISERROR(SEARCH("FL",BK98)))</formula>
    </cfRule>
    <cfRule type="containsText" dxfId="370" priority="131" operator="containsText" text="SUS">
      <formula>NOT(ISERROR(SEARCH("SUS",BK98)))</formula>
    </cfRule>
    <cfRule type="containsText" dxfId="369" priority="136" operator="containsText" text="OFF">
      <formula>NOT(ISERROR(SEARCH("OFF",BK98)))</formula>
    </cfRule>
  </conditionalFormatting>
  <conditionalFormatting sqref="BK100:BK101">
    <cfRule type="containsText" dxfId="368" priority="115" operator="containsText" text="SUS">
      <formula>NOT(ISERROR(SEARCH("SUS",BK100)))</formula>
    </cfRule>
    <cfRule type="containsText" dxfId="367" priority="121" operator="containsText" text="AL">
      <formula>NOT(ISERROR(SEARCH("AL",BK100)))</formula>
    </cfRule>
    <cfRule type="containsText" dxfId="366" priority="119" operator="containsText" text="Sick">
      <formula>NOT(ISERROR(SEARCH("Sick",BK100)))</formula>
    </cfRule>
    <cfRule type="containsText" dxfId="365" priority="118" operator="containsText" text="AB">
      <formula>NOT(ISERROR(SEARCH("AB",BK100)))</formula>
    </cfRule>
    <cfRule type="containsText" dxfId="364" priority="120" operator="containsText" text="OFF">
      <formula>NOT(ISERROR(SEARCH("OFF",BK100)))</formula>
    </cfRule>
    <cfRule type="containsText" dxfId="363" priority="116" operator="containsText" text="FL">
      <formula>NOT(ISERROR(SEARCH("FL",BK100)))</formula>
    </cfRule>
    <cfRule type="containsText" dxfId="362" priority="117" operator="containsText" text="MC">
      <formula>NOT(ISERROR(SEARCH("MC",BK100)))</formula>
    </cfRule>
  </conditionalFormatting>
  <conditionalFormatting sqref="BK5:BL5">
    <cfRule type="containsText" dxfId="361" priority="455" operator="containsText" text="AB">
      <formula>NOT(ISERROR(SEARCH("AB",BK5)))</formula>
    </cfRule>
    <cfRule type="containsText" dxfId="360" priority="454" operator="containsText" text="MC">
      <formula>NOT(ISERROR(SEARCH("MC",BK5)))</formula>
    </cfRule>
    <cfRule type="containsText" dxfId="359" priority="453" operator="containsText" text="FL">
      <formula>NOT(ISERROR(SEARCH("FL",BK5)))</formula>
    </cfRule>
    <cfRule type="containsText" dxfId="358" priority="452" operator="containsText" text="SUS">
      <formula>NOT(ISERROR(SEARCH("SUS",BK5)))</formula>
    </cfRule>
    <cfRule type="containsText" dxfId="357" priority="451" operator="containsText" text="AB">
      <formula>NOT(ISERROR(SEARCH("AB",BK5)))</formula>
    </cfRule>
    <cfRule type="containsText" dxfId="356" priority="450" operator="containsText" text="EL">
      <formula>NOT(ISERROR(SEARCH("EL",BK5)))</formula>
    </cfRule>
    <cfRule type="containsText" dxfId="355" priority="458" operator="containsText" text="AL">
      <formula>NOT(ISERROR(SEARCH("AL",BK5)))</formula>
    </cfRule>
    <cfRule type="containsText" dxfId="354" priority="457" operator="containsText" text="OFF">
      <formula>NOT(ISERROR(SEARCH("OFF",BK5)))</formula>
    </cfRule>
    <cfRule type="containsText" dxfId="353" priority="456" operator="containsText" text="Sick">
      <formula>NOT(ISERROR(SEARCH("Sick",BK5)))</formula>
    </cfRule>
  </conditionalFormatting>
  <conditionalFormatting sqref="BK9:BL9">
    <cfRule type="containsText" dxfId="352" priority="446" operator="containsText" text="AB">
      <formula>NOT(ISERROR(SEARCH("AB",BK9)))</formula>
    </cfRule>
    <cfRule type="containsText" dxfId="351" priority="448" operator="containsText" text="OFF">
      <formula>NOT(ISERROR(SEARCH("OFF",BK9)))</formula>
    </cfRule>
    <cfRule type="containsText" dxfId="350" priority="441" operator="containsText" text="EL">
      <formula>NOT(ISERROR(SEARCH("EL",BK9)))</formula>
    </cfRule>
    <cfRule type="containsText" dxfId="349" priority="447" operator="containsText" text="Sick">
      <formula>NOT(ISERROR(SEARCH("Sick",BK9)))</formula>
    </cfRule>
    <cfRule type="containsText" dxfId="348" priority="449" operator="containsText" text="AL">
      <formula>NOT(ISERROR(SEARCH("AL",BK9)))</formula>
    </cfRule>
    <cfRule type="containsText" dxfId="347" priority="442" operator="containsText" text="AB">
      <formula>NOT(ISERROR(SEARCH("AB",BK9)))</formula>
    </cfRule>
    <cfRule type="containsText" dxfId="346" priority="443" operator="containsText" text="SUS">
      <formula>NOT(ISERROR(SEARCH("SUS",BK9)))</formula>
    </cfRule>
    <cfRule type="containsText" dxfId="345" priority="444" operator="containsText" text="FL">
      <formula>NOT(ISERROR(SEARCH("FL",BK9)))</formula>
    </cfRule>
    <cfRule type="containsText" dxfId="344" priority="445" operator="containsText" text="MC">
      <formula>NOT(ISERROR(SEARCH("MC",BK9)))</formula>
    </cfRule>
  </conditionalFormatting>
  <conditionalFormatting sqref="BK11:BL11">
    <cfRule type="containsText" dxfId="343" priority="434" operator="containsText" text="SUS">
      <formula>NOT(ISERROR(SEARCH("SUS",BK11)))</formula>
    </cfRule>
    <cfRule type="containsText" dxfId="342" priority="435" operator="containsText" text="FL">
      <formula>NOT(ISERROR(SEARCH("FL",BK11)))</formula>
    </cfRule>
    <cfRule type="containsText" dxfId="341" priority="436" operator="containsText" text="MC">
      <formula>NOT(ISERROR(SEARCH("MC",BK11)))</formula>
    </cfRule>
    <cfRule type="containsText" dxfId="340" priority="437" operator="containsText" text="AB">
      <formula>NOT(ISERROR(SEARCH("AB",BK11)))</formula>
    </cfRule>
    <cfRule type="containsText" dxfId="339" priority="438" operator="containsText" text="Sick">
      <formula>NOT(ISERROR(SEARCH("Sick",BK11)))</formula>
    </cfRule>
    <cfRule type="containsText" dxfId="338" priority="439" operator="containsText" text="OFF">
      <formula>NOT(ISERROR(SEARCH("OFF",BK11)))</formula>
    </cfRule>
    <cfRule type="containsText" dxfId="337" priority="440" operator="containsText" text="AL">
      <formula>NOT(ISERROR(SEARCH("AL",BK11)))</formula>
    </cfRule>
  </conditionalFormatting>
  <conditionalFormatting sqref="BK16:BL16">
    <cfRule type="containsText" dxfId="336" priority="427" operator="containsText" text="MC">
      <formula>NOT(ISERROR(SEARCH("MC",BK16)))</formula>
    </cfRule>
    <cfRule type="containsText" dxfId="335" priority="430" operator="containsText" text="OFF">
      <formula>NOT(ISERROR(SEARCH("OFF",BK16)))</formula>
    </cfRule>
    <cfRule type="containsText" dxfId="334" priority="423" operator="containsText" text="EL">
      <formula>NOT(ISERROR(SEARCH("EL",BK16)))</formula>
    </cfRule>
    <cfRule type="containsText" dxfId="333" priority="429" operator="containsText" text="Sick">
      <formula>NOT(ISERROR(SEARCH("Sick",BK16)))</formula>
    </cfRule>
    <cfRule type="containsText" dxfId="332" priority="428" operator="containsText" text="AB">
      <formula>NOT(ISERROR(SEARCH("AB",BK16)))</formula>
    </cfRule>
    <cfRule type="containsText" dxfId="331" priority="426" operator="containsText" text="FL">
      <formula>NOT(ISERROR(SEARCH("FL",BK16)))</formula>
    </cfRule>
    <cfRule type="containsText" dxfId="330" priority="425" operator="containsText" text="SUS">
      <formula>NOT(ISERROR(SEARCH("SUS",BK16)))</formula>
    </cfRule>
    <cfRule type="containsText" dxfId="329" priority="431" operator="containsText" text="AL">
      <formula>NOT(ISERROR(SEARCH("AL",BK16)))</formula>
    </cfRule>
    <cfRule type="containsText" dxfId="328" priority="424" operator="containsText" text="AB">
      <formula>NOT(ISERROR(SEARCH("AB",BK16)))</formula>
    </cfRule>
  </conditionalFormatting>
  <conditionalFormatting sqref="BK22:BL22">
    <cfRule type="containsText" dxfId="327" priority="416" operator="containsText" text="SUS">
      <formula>NOT(ISERROR(SEARCH("SUS",BK22)))</formula>
    </cfRule>
    <cfRule type="containsText" dxfId="326" priority="419" operator="containsText" text="AB">
      <formula>NOT(ISERROR(SEARCH("AB",BK22)))</formula>
    </cfRule>
    <cfRule type="containsText" dxfId="325" priority="420" operator="containsText" text="Sick">
      <formula>NOT(ISERROR(SEARCH("Sick",BK22)))</formula>
    </cfRule>
    <cfRule type="containsText" dxfId="324" priority="422" operator="containsText" text="AL">
      <formula>NOT(ISERROR(SEARCH("AL",BK22)))</formula>
    </cfRule>
    <cfRule type="containsText" dxfId="323" priority="421" operator="containsText" text="OFF">
      <formula>NOT(ISERROR(SEARCH("OFF",BK22)))</formula>
    </cfRule>
    <cfRule type="containsText" dxfId="322" priority="417" operator="containsText" text="FL">
      <formula>NOT(ISERROR(SEARCH("FL",BK22)))</formula>
    </cfRule>
    <cfRule type="containsText" dxfId="321" priority="418" operator="containsText" text="MC">
      <formula>NOT(ISERROR(SEARCH("MC",BK22)))</formula>
    </cfRule>
    <cfRule type="containsText" dxfId="320" priority="414" operator="containsText" text="EL">
      <formula>NOT(ISERROR(SEARCH("EL",BK22)))</formula>
    </cfRule>
    <cfRule type="containsText" dxfId="319" priority="415" operator="containsText" text="AB">
      <formula>NOT(ISERROR(SEARCH("AB",BK22)))</formula>
    </cfRule>
  </conditionalFormatting>
  <conditionalFormatting sqref="BK25:BL25">
    <cfRule type="containsText" dxfId="318" priority="413" operator="containsText" text="AL">
      <formula>NOT(ISERROR(SEARCH("AL",BK25)))</formula>
    </cfRule>
    <cfRule type="containsText" dxfId="317" priority="406" operator="containsText" text="AB">
      <formula>NOT(ISERROR(SEARCH("AB",BK25)))</formula>
    </cfRule>
    <cfRule type="containsText" dxfId="316" priority="412" operator="containsText" text="OFF">
      <formula>NOT(ISERROR(SEARCH("OFF",BK25)))</formula>
    </cfRule>
    <cfRule type="containsText" dxfId="315" priority="409" operator="containsText" text="MC">
      <formula>NOT(ISERROR(SEARCH("MC",BK25)))</formula>
    </cfRule>
    <cfRule type="containsText" dxfId="314" priority="408" operator="containsText" text="FL">
      <formula>NOT(ISERROR(SEARCH("FL",BK25)))</formula>
    </cfRule>
    <cfRule type="containsText" dxfId="313" priority="407" operator="containsText" text="SUS">
      <formula>NOT(ISERROR(SEARCH("SUS",BK25)))</formula>
    </cfRule>
    <cfRule type="containsText" dxfId="312" priority="405" operator="containsText" text="EL">
      <formula>NOT(ISERROR(SEARCH("EL",BK25)))</formula>
    </cfRule>
    <cfRule type="containsText" dxfId="311" priority="410" operator="containsText" text="AB">
      <formula>NOT(ISERROR(SEARCH("AB",BK25)))</formula>
    </cfRule>
    <cfRule type="containsText" dxfId="310" priority="411" operator="containsText" text="Sick">
      <formula>NOT(ISERROR(SEARCH("Sick",BK25)))</formula>
    </cfRule>
  </conditionalFormatting>
  <conditionalFormatting sqref="BK40:BL40">
    <cfRule type="containsText" dxfId="309" priority="362" operator="containsText" text="EL">
      <formula>NOT(ISERROR(SEARCH("EL",BK40)))</formula>
    </cfRule>
    <cfRule type="containsText" dxfId="308" priority="367" operator="containsText" text="AB">
      <formula>NOT(ISERROR(SEARCH("AB",BK40)))</formula>
    </cfRule>
  </conditionalFormatting>
  <conditionalFormatting sqref="BK43:BL43">
    <cfRule type="containsText" dxfId="307" priority="346" operator="containsText" text="EL">
      <formula>NOT(ISERROR(SEARCH("EL",BK43)))</formula>
    </cfRule>
    <cfRule type="containsText" dxfId="306" priority="351" operator="containsText" text="AB">
      <formula>NOT(ISERROR(SEARCH("AB",BK43)))</formula>
    </cfRule>
  </conditionalFormatting>
  <conditionalFormatting sqref="BK45:BL46">
    <cfRule type="containsText" dxfId="305" priority="335" operator="containsText" text="AB">
      <formula>NOT(ISERROR(SEARCH("AB",BK45)))</formula>
    </cfRule>
    <cfRule type="containsText" dxfId="304" priority="330" operator="containsText" text="EL">
      <formula>NOT(ISERROR(SEARCH("EL",BK45)))</formula>
    </cfRule>
  </conditionalFormatting>
  <conditionalFormatting sqref="BK50:BL50">
    <cfRule type="containsText" dxfId="303" priority="314" operator="containsText" text="EL">
      <formula>NOT(ISERROR(SEARCH("EL",BK50)))</formula>
    </cfRule>
    <cfRule type="containsText" dxfId="302" priority="319" operator="containsText" text="AB">
      <formula>NOT(ISERROR(SEARCH("AB",BK50)))</formula>
    </cfRule>
  </conditionalFormatting>
  <conditionalFormatting sqref="BK52:BL52">
    <cfRule type="containsText" dxfId="301" priority="303" operator="containsText" text="AB">
      <formula>NOT(ISERROR(SEARCH("AB",BK52)))</formula>
    </cfRule>
    <cfRule type="containsText" dxfId="300" priority="298" operator="containsText" text="EL">
      <formula>NOT(ISERROR(SEARCH("EL",BK52)))</formula>
    </cfRule>
  </conditionalFormatting>
  <conditionalFormatting sqref="BK54:BL55">
    <cfRule type="containsText" dxfId="299" priority="287" operator="containsText" text="AB">
      <formula>NOT(ISERROR(SEARCH("AB",BK54)))</formula>
    </cfRule>
    <cfRule type="containsText" dxfId="298" priority="282" operator="containsText" text="EL">
      <formula>NOT(ISERROR(SEARCH("EL",BK54)))</formula>
    </cfRule>
  </conditionalFormatting>
  <conditionalFormatting sqref="BK58:BL58">
    <cfRule type="containsText" dxfId="297" priority="271" operator="containsText" text="AB">
      <formula>NOT(ISERROR(SEARCH("AB",BK58)))</formula>
    </cfRule>
    <cfRule type="containsText" dxfId="296" priority="266" operator="containsText" text="EL">
      <formula>NOT(ISERROR(SEARCH("EL",BK58)))</formula>
    </cfRule>
  </conditionalFormatting>
  <conditionalFormatting sqref="BK61:BL62">
    <cfRule type="containsText" dxfId="295" priority="250" operator="containsText" text="EL">
      <formula>NOT(ISERROR(SEARCH("EL",BK61)))</formula>
    </cfRule>
    <cfRule type="containsText" dxfId="294" priority="255" operator="containsText" text="AB">
      <formula>NOT(ISERROR(SEARCH("AB",BK61)))</formula>
    </cfRule>
  </conditionalFormatting>
  <conditionalFormatting sqref="BK66:BL66">
    <cfRule type="containsText" dxfId="293" priority="234" operator="containsText" text="EL">
      <formula>NOT(ISERROR(SEARCH("EL",BK66)))</formula>
    </cfRule>
    <cfRule type="containsText" dxfId="292" priority="239" operator="containsText" text="AB">
      <formula>NOT(ISERROR(SEARCH("AB",BK66)))</formula>
    </cfRule>
  </conditionalFormatting>
  <conditionalFormatting sqref="BK72:BL74">
    <cfRule type="containsText" dxfId="291" priority="218" operator="containsText" text="EL">
      <formula>NOT(ISERROR(SEARCH("EL",BK72)))</formula>
    </cfRule>
    <cfRule type="containsText" dxfId="290" priority="223" operator="containsText" text="AB">
      <formula>NOT(ISERROR(SEARCH("AB",BK72)))</formula>
    </cfRule>
  </conditionalFormatting>
  <conditionalFormatting sqref="BK76:BL78">
    <cfRule type="containsText" dxfId="289" priority="202" operator="containsText" text="EL">
      <formula>NOT(ISERROR(SEARCH("EL",BK76)))</formula>
    </cfRule>
    <cfRule type="containsText" dxfId="288" priority="207" operator="containsText" text="AB">
      <formula>NOT(ISERROR(SEARCH("AB",BK76)))</formula>
    </cfRule>
  </conditionalFormatting>
  <conditionalFormatting sqref="BK80:BL81">
    <cfRule type="containsText" dxfId="287" priority="186" operator="containsText" text="EL">
      <formula>NOT(ISERROR(SEARCH("EL",BK80)))</formula>
    </cfRule>
    <cfRule type="containsText" dxfId="286" priority="191" operator="containsText" text="AB">
      <formula>NOT(ISERROR(SEARCH("AB",BK80)))</formula>
    </cfRule>
  </conditionalFormatting>
  <conditionalFormatting sqref="BK85:BL85">
    <cfRule type="containsText" dxfId="285" priority="170" operator="containsText" text="EL">
      <formula>NOT(ISERROR(SEARCH("EL",BK85)))</formula>
    </cfRule>
    <cfRule type="containsText" dxfId="284" priority="175" operator="containsText" text="AB">
      <formula>NOT(ISERROR(SEARCH("AB",BK85)))</formula>
    </cfRule>
  </conditionalFormatting>
  <conditionalFormatting sqref="BK87:BL91">
    <cfRule type="containsText" dxfId="283" priority="154" operator="containsText" text="EL">
      <formula>NOT(ISERROR(SEARCH("EL",BK87)))</formula>
    </cfRule>
    <cfRule type="containsText" dxfId="282" priority="159" operator="containsText" text="AB">
      <formula>NOT(ISERROR(SEARCH("AB",BK87)))</formula>
    </cfRule>
  </conditionalFormatting>
  <conditionalFormatting sqref="BK94:BL94">
    <cfRule type="containsText" dxfId="281" priority="143" operator="containsText" text="AB">
      <formula>NOT(ISERROR(SEARCH("AB",BK94)))</formula>
    </cfRule>
    <cfRule type="containsText" dxfId="280" priority="138" operator="containsText" text="EL">
      <formula>NOT(ISERROR(SEARCH("EL",BK94)))</formula>
    </cfRule>
  </conditionalFormatting>
  <conditionalFormatting sqref="BK98:BL98">
    <cfRule type="containsText" dxfId="279" priority="127" operator="containsText" text="AB">
      <formula>NOT(ISERROR(SEARCH("AB",BK98)))</formula>
    </cfRule>
    <cfRule type="containsText" dxfId="278" priority="122" operator="containsText" text="EL">
      <formula>NOT(ISERROR(SEARCH("EL",BK98)))</formula>
    </cfRule>
  </conditionalFormatting>
  <conditionalFormatting sqref="BK100:BL101">
    <cfRule type="containsText" dxfId="277" priority="111" operator="containsText" text="AB">
      <formula>NOT(ISERROR(SEARCH("AB",BK100)))</formula>
    </cfRule>
    <cfRule type="containsText" dxfId="276" priority="106" operator="containsText" text="EL">
      <formula>NOT(ISERROR(SEARCH("EL",BK100)))</formula>
    </cfRule>
  </conditionalFormatting>
  <conditionalFormatting sqref="BK11:BN11">
    <cfRule type="containsText" dxfId="275" priority="93" operator="containsText" text="AB">
      <formula>NOT(ISERROR(SEARCH("AB",BK11)))</formula>
    </cfRule>
    <cfRule type="containsText" dxfId="274" priority="90" operator="containsText" text="EL">
      <formula>NOT(ISERROR(SEARCH("EL",BK11)))</formula>
    </cfRule>
  </conditionalFormatting>
  <conditionalFormatting sqref="BL40">
    <cfRule type="containsText" dxfId="273" priority="368" operator="containsText" text="Sick">
      <formula>NOT(ISERROR(SEARCH("Sick",BL40)))</formula>
    </cfRule>
    <cfRule type="containsText" dxfId="272" priority="369" operator="containsText" text="OFF">
      <formula>NOT(ISERROR(SEARCH("OFF",BL40)))</formula>
    </cfRule>
    <cfRule type="containsText" dxfId="271" priority="370" operator="containsText" text="AL">
      <formula>NOT(ISERROR(SEARCH("AL",BL40)))</formula>
    </cfRule>
    <cfRule type="containsText" dxfId="270" priority="363" operator="containsText" text="AB">
      <formula>NOT(ISERROR(SEARCH("AB",BL40)))</formula>
    </cfRule>
    <cfRule type="containsText" dxfId="269" priority="364" operator="containsText" text="SUS">
      <formula>NOT(ISERROR(SEARCH("SUS",BL40)))</formula>
    </cfRule>
    <cfRule type="containsText" dxfId="268" priority="365" operator="containsText" text="FL">
      <formula>NOT(ISERROR(SEARCH("FL",BL40)))</formula>
    </cfRule>
    <cfRule type="containsText" dxfId="267" priority="366" operator="containsText" text="MC">
      <formula>NOT(ISERROR(SEARCH("MC",BL40)))</formula>
    </cfRule>
  </conditionalFormatting>
  <conditionalFormatting sqref="BL43">
    <cfRule type="containsText" dxfId="266" priority="348" operator="containsText" text="SUS">
      <formula>NOT(ISERROR(SEARCH("SUS",BL43)))</formula>
    </cfRule>
    <cfRule type="containsText" dxfId="265" priority="350" operator="containsText" text="MC">
      <formula>NOT(ISERROR(SEARCH("MC",BL43)))</formula>
    </cfRule>
    <cfRule type="containsText" dxfId="264" priority="353" operator="containsText" text="OFF">
      <formula>NOT(ISERROR(SEARCH("OFF",BL43)))</formula>
    </cfRule>
    <cfRule type="containsText" dxfId="263" priority="352" operator="containsText" text="Sick">
      <formula>NOT(ISERROR(SEARCH("Sick",BL43)))</formula>
    </cfRule>
    <cfRule type="containsText" dxfId="262" priority="354" operator="containsText" text="AL">
      <formula>NOT(ISERROR(SEARCH("AL",BL43)))</formula>
    </cfRule>
    <cfRule type="containsText" dxfId="261" priority="347" operator="containsText" text="AB">
      <formula>NOT(ISERROR(SEARCH("AB",BL43)))</formula>
    </cfRule>
    <cfRule type="containsText" dxfId="260" priority="349" operator="containsText" text="FL">
      <formula>NOT(ISERROR(SEARCH("FL",BL43)))</formula>
    </cfRule>
  </conditionalFormatting>
  <conditionalFormatting sqref="BL45:BL46">
    <cfRule type="containsText" dxfId="259" priority="338" operator="containsText" text="AL">
      <formula>NOT(ISERROR(SEARCH("AL",BL45)))</formula>
    </cfRule>
    <cfRule type="containsText" dxfId="258" priority="332" operator="containsText" text="SUS">
      <formula>NOT(ISERROR(SEARCH("SUS",BL45)))</formula>
    </cfRule>
    <cfRule type="containsText" dxfId="257" priority="336" operator="containsText" text="Sick">
      <formula>NOT(ISERROR(SEARCH("Sick",BL45)))</formula>
    </cfRule>
    <cfRule type="containsText" dxfId="256" priority="334" operator="containsText" text="MC">
      <formula>NOT(ISERROR(SEARCH("MC",BL45)))</formula>
    </cfRule>
    <cfRule type="containsText" dxfId="255" priority="333" operator="containsText" text="FL">
      <formula>NOT(ISERROR(SEARCH("FL",BL45)))</formula>
    </cfRule>
    <cfRule type="containsText" dxfId="254" priority="331" operator="containsText" text="AB">
      <formula>NOT(ISERROR(SEARCH("AB",BL45)))</formula>
    </cfRule>
    <cfRule type="containsText" dxfId="253" priority="337" operator="containsText" text="OFF">
      <formula>NOT(ISERROR(SEARCH("OFF",BL45)))</formula>
    </cfRule>
  </conditionalFormatting>
  <conditionalFormatting sqref="BL50">
    <cfRule type="containsText" dxfId="252" priority="322" operator="containsText" text="AL">
      <formula>NOT(ISERROR(SEARCH("AL",BL50)))</formula>
    </cfRule>
    <cfRule type="containsText" dxfId="251" priority="320" operator="containsText" text="Sick">
      <formula>NOT(ISERROR(SEARCH("Sick",BL50)))</formula>
    </cfRule>
    <cfRule type="containsText" dxfId="250" priority="316" operator="containsText" text="SUS">
      <formula>NOT(ISERROR(SEARCH("SUS",BL50)))</formula>
    </cfRule>
    <cfRule type="containsText" dxfId="249" priority="321" operator="containsText" text="OFF">
      <formula>NOT(ISERROR(SEARCH("OFF",BL50)))</formula>
    </cfRule>
    <cfRule type="containsText" dxfId="248" priority="318" operator="containsText" text="MC">
      <formula>NOT(ISERROR(SEARCH("MC",BL50)))</formula>
    </cfRule>
    <cfRule type="containsText" dxfId="247" priority="315" operator="containsText" text="AB">
      <formula>NOT(ISERROR(SEARCH("AB",BL50)))</formula>
    </cfRule>
    <cfRule type="containsText" dxfId="246" priority="317" operator="containsText" text="FL">
      <formula>NOT(ISERROR(SEARCH("FL",BL50)))</formula>
    </cfRule>
  </conditionalFormatting>
  <conditionalFormatting sqref="BL52">
    <cfRule type="containsText" dxfId="245" priority="304" operator="containsText" text="Sick">
      <formula>NOT(ISERROR(SEARCH("Sick",BL52)))</formula>
    </cfRule>
    <cfRule type="containsText" dxfId="244" priority="306" operator="containsText" text="AL">
      <formula>NOT(ISERROR(SEARCH("AL",BL52)))</formula>
    </cfRule>
    <cfRule type="containsText" dxfId="243" priority="302" operator="containsText" text="MC">
      <formula>NOT(ISERROR(SEARCH("MC",BL52)))</formula>
    </cfRule>
    <cfRule type="containsText" dxfId="242" priority="301" operator="containsText" text="FL">
      <formula>NOT(ISERROR(SEARCH("FL",BL52)))</formula>
    </cfRule>
    <cfRule type="containsText" dxfId="241" priority="300" operator="containsText" text="SUS">
      <formula>NOT(ISERROR(SEARCH("SUS",BL52)))</formula>
    </cfRule>
    <cfRule type="containsText" dxfId="240" priority="299" operator="containsText" text="AB">
      <formula>NOT(ISERROR(SEARCH("AB",BL52)))</formula>
    </cfRule>
    <cfRule type="containsText" dxfId="239" priority="305" operator="containsText" text="OFF">
      <formula>NOT(ISERROR(SEARCH("OFF",BL52)))</formula>
    </cfRule>
  </conditionalFormatting>
  <conditionalFormatting sqref="BL54:BL55">
    <cfRule type="containsText" dxfId="238" priority="283" operator="containsText" text="AB">
      <formula>NOT(ISERROR(SEARCH("AB",BL54)))</formula>
    </cfRule>
    <cfRule type="containsText" dxfId="237" priority="284" operator="containsText" text="SUS">
      <formula>NOT(ISERROR(SEARCH("SUS",BL54)))</formula>
    </cfRule>
    <cfRule type="containsText" dxfId="236" priority="289" operator="containsText" text="OFF">
      <formula>NOT(ISERROR(SEARCH("OFF",BL54)))</formula>
    </cfRule>
    <cfRule type="containsText" dxfId="235" priority="290" operator="containsText" text="AL">
      <formula>NOT(ISERROR(SEARCH("AL",BL54)))</formula>
    </cfRule>
    <cfRule type="containsText" dxfId="234" priority="286" operator="containsText" text="MC">
      <formula>NOT(ISERROR(SEARCH("MC",BL54)))</formula>
    </cfRule>
    <cfRule type="containsText" dxfId="233" priority="288" operator="containsText" text="Sick">
      <formula>NOT(ISERROR(SEARCH("Sick",BL54)))</formula>
    </cfRule>
    <cfRule type="containsText" dxfId="232" priority="285" operator="containsText" text="FL">
      <formula>NOT(ISERROR(SEARCH("FL",BL54)))</formula>
    </cfRule>
  </conditionalFormatting>
  <conditionalFormatting sqref="BL58">
    <cfRule type="containsText" dxfId="231" priority="272" operator="containsText" text="Sick">
      <formula>NOT(ISERROR(SEARCH("Sick",BL58)))</formula>
    </cfRule>
    <cfRule type="containsText" dxfId="230" priority="269" operator="containsText" text="FL">
      <formula>NOT(ISERROR(SEARCH("FL",BL58)))</formula>
    </cfRule>
    <cfRule type="containsText" dxfId="229" priority="267" operator="containsText" text="AB">
      <formula>NOT(ISERROR(SEARCH("AB",BL58)))</formula>
    </cfRule>
    <cfRule type="containsText" dxfId="228" priority="270" operator="containsText" text="MC">
      <formula>NOT(ISERROR(SEARCH("MC",BL58)))</formula>
    </cfRule>
    <cfRule type="containsText" dxfId="227" priority="268" operator="containsText" text="SUS">
      <formula>NOT(ISERROR(SEARCH("SUS",BL58)))</formula>
    </cfRule>
    <cfRule type="containsText" dxfId="226" priority="274" operator="containsText" text="AL">
      <formula>NOT(ISERROR(SEARCH("AL",BL58)))</formula>
    </cfRule>
    <cfRule type="containsText" dxfId="225" priority="273" operator="containsText" text="OFF">
      <formula>NOT(ISERROR(SEARCH("OFF",BL58)))</formula>
    </cfRule>
  </conditionalFormatting>
  <conditionalFormatting sqref="BL61:BL62">
    <cfRule type="containsText" dxfId="224" priority="254" operator="containsText" text="MC">
      <formula>NOT(ISERROR(SEARCH("MC",BL61)))</formula>
    </cfRule>
    <cfRule type="containsText" dxfId="223" priority="252" operator="containsText" text="SUS">
      <formula>NOT(ISERROR(SEARCH("SUS",BL61)))</formula>
    </cfRule>
    <cfRule type="containsText" dxfId="222" priority="258" operator="containsText" text="AL">
      <formula>NOT(ISERROR(SEARCH("AL",BL61)))</formula>
    </cfRule>
    <cfRule type="containsText" dxfId="221" priority="257" operator="containsText" text="OFF">
      <formula>NOT(ISERROR(SEARCH("OFF",BL61)))</formula>
    </cfRule>
    <cfRule type="containsText" dxfId="220" priority="251" operator="containsText" text="AB">
      <formula>NOT(ISERROR(SEARCH("AB",BL61)))</formula>
    </cfRule>
    <cfRule type="containsText" dxfId="219" priority="256" operator="containsText" text="Sick">
      <formula>NOT(ISERROR(SEARCH("Sick",BL61)))</formula>
    </cfRule>
    <cfRule type="containsText" dxfId="218" priority="253" operator="containsText" text="FL">
      <formula>NOT(ISERROR(SEARCH("FL",BL61)))</formula>
    </cfRule>
  </conditionalFormatting>
  <conditionalFormatting sqref="BL66">
    <cfRule type="containsText" dxfId="217" priority="242" operator="containsText" text="AL">
      <formula>NOT(ISERROR(SEARCH("AL",BL66)))</formula>
    </cfRule>
    <cfRule type="containsText" dxfId="216" priority="241" operator="containsText" text="OFF">
      <formula>NOT(ISERROR(SEARCH("OFF",BL66)))</formula>
    </cfRule>
    <cfRule type="containsText" dxfId="215" priority="240" operator="containsText" text="Sick">
      <formula>NOT(ISERROR(SEARCH("Sick",BL66)))</formula>
    </cfRule>
    <cfRule type="containsText" dxfId="214" priority="238" operator="containsText" text="MC">
      <formula>NOT(ISERROR(SEARCH("MC",BL66)))</formula>
    </cfRule>
    <cfRule type="containsText" dxfId="213" priority="237" operator="containsText" text="FL">
      <formula>NOT(ISERROR(SEARCH("FL",BL66)))</formula>
    </cfRule>
    <cfRule type="containsText" dxfId="212" priority="236" operator="containsText" text="SUS">
      <formula>NOT(ISERROR(SEARCH("SUS",BL66)))</formula>
    </cfRule>
    <cfRule type="containsText" dxfId="211" priority="235" operator="containsText" text="AB">
      <formula>NOT(ISERROR(SEARCH("AB",BL66)))</formula>
    </cfRule>
  </conditionalFormatting>
  <conditionalFormatting sqref="BL72:BL74">
    <cfRule type="containsText" dxfId="210" priority="221" operator="containsText" text="FL">
      <formula>NOT(ISERROR(SEARCH("FL",BL72)))</formula>
    </cfRule>
    <cfRule type="containsText" dxfId="209" priority="220" operator="containsText" text="SUS">
      <formula>NOT(ISERROR(SEARCH("SUS",BL72)))</formula>
    </cfRule>
    <cfRule type="containsText" dxfId="208" priority="219" operator="containsText" text="AB">
      <formula>NOT(ISERROR(SEARCH("AB",BL72)))</formula>
    </cfRule>
    <cfRule type="containsText" dxfId="207" priority="226" operator="containsText" text="AL">
      <formula>NOT(ISERROR(SEARCH("AL",BL72)))</formula>
    </cfRule>
    <cfRule type="containsText" dxfId="206" priority="225" operator="containsText" text="OFF">
      <formula>NOT(ISERROR(SEARCH("OFF",BL72)))</formula>
    </cfRule>
    <cfRule type="containsText" dxfId="205" priority="222" operator="containsText" text="MC">
      <formula>NOT(ISERROR(SEARCH("MC",BL72)))</formula>
    </cfRule>
    <cfRule type="containsText" dxfId="204" priority="224" operator="containsText" text="Sick">
      <formula>NOT(ISERROR(SEARCH("Sick",BL72)))</formula>
    </cfRule>
  </conditionalFormatting>
  <conditionalFormatting sqref="BL76:BL78">
    <cfRule type="containsText" dxfId="203" priority="210" operator="containsText" text="AL">
      <formula>NOT(ISERROR(SEARCH("AL",BL76)))</formula>
    </cfRule>
    <cfRule type="containsText" dxfId="202" priority="209" operator="containsText" text="OFF">
      <formula>NOT(ISERROR(SEARCH("OFF",BL76)))</formula>
    </cfRule>
    <cfRule type="containsText" dxfId="201" priority="208" operator="containsText" text="Sick">
      <formula>NOT(ISERROR(SEARCH("Sick",BL76)))</formula>
    </cfRule>
    <cfRule type="containsText" dxfId="200" priority="206" operator="containsText" text="MC">
      <formula>NOT(ISERROR(SEARCH("MC",BL76)))</formula>
    </cfRule>
    <cfRule type="containsText" dxfId="199" priority="205" operator="containsText" text="FL">
      <formula>NOT(ISERROR(SEARCH("FL",BL76)))</formula>
    </cfRule>
    <cfRule type="containsText" dxfId="198" priority="204" operator="containsText" text="SUS">
      <formula>NOT(ISERROR(SEARCH("SUS",BL76)))</formula>
    </cfRule>
    <cfRule type="containsText" dxfId="197" priority="203" operator="containsText" text="AB">
      <formula>NOT(ISERROR(SEARCH("AB",BL76)))</formula>
    </cfRule>
  </conditionalFormatting>
  <conditionalFormatting sqref="BL80:BL81">
    <cfRule type="containsText" dxfId="196" priority="192" operator="containsText" text="Sick">
      <formula>NOT(ISERROR(SEARCH("Sick",BL80)))</formula>
    </cfRule>
    <cfRule type="containsText" dxfId="195" priority="190" operator="containsText" text="MC">
      <formula>NOT(ISERROR(SEARCH("MC",BL80)))</formula>
    </cfRule>
    <cfRule type="containsText" dxfId="194" priority="189" operator="containsText" text="FL">
      <formula>NOT(ISERROR(SEARCH("FL",BL80)))</formula>
    </cfRule>
    <cfRule type="containsText" dxfId="193" priority="188" operator="containsText" text="SUS">
      <formula>NOT(ISERROR(SEARCH("SUS",BL80)))</formula>
    </cfRule>
    <cfRule type="containsText" dxfId="192" priority="187" operator="containsText" text="AB">
      <formula>NOT(ISERROR(SEARCH("AB",BL80)))</formula>
    </cfRule>
    <cfRule type="containsText" dxfId="191" priority="194" operator="containsText" text="AL">
      <formula>NOT(ISERROR(SEARCH("AL",BL80)))</formula>
    </cfRule>
    <cfRule type="containsText" dxfId="190" priority="193" operator="containsText" text="OFF">
      <formula>NOT(ISERROR(SEARCH("OFF",BL80)))</formula>
    </cfRule>
  </conditionalFormatting>
  <conditionalFormatting sqref="BL85">
    <cfRule type="containsText" dxfId="189" priority="171" operator="containsText" text="AB">
      <formula>NOT(ISERROR(SEARCH("AB",BL85)))</formula>
    </cfRule>
    <cfRule type="containsText" dxfId="188" priority="174" operator="containsText" text="MC">
      <formula>NOT(ISERROR(SEARCH("MC",BL85)))</formula>
    </cfRule>
    <cfRule type="containsText" dxfId="187" priority="172" operator="containsText" text="SUS">
      <formula>NOT(ISERROR(SEARCH("SUS",BL85)))</formula>
    </cfRule>
    <cfRule type="containsText" dxfId="186" priority="173" operator="containsText" text="FL">
      <formula>NOT(ISERROR(SEARCH("FL",BL85)))</formula>
    </cfRule>
    <cfRule type="containsText" dxfId="185" priority="176" operator="containsText" text="Sick">
      <formula>NOT(ISERROR(SEARCH("Sick",BL85)))</formula>
    </cfRule>
    <cfRule type="containsText" dxfId="184" priority="177" operator="containsText" text="OFF">
      <formula>NOT(ISERROR(SEARCH("OFF",BL85)))</formula>
    </cfRule>
    <cfRule type="containsText" dxfId="183" priority="178" operator="containsText" text="AL">
      <formula>NOT(ISERROR(SEARCH("AL",BL85)))</formula>
    </cfRule>
  </conditionalFormatting>
  <conditionalFormatting sqref="BL87:BL91">
    <cfRule type="containsText" dxfId="182" priority="160" operator="containsText" text="Sick">
      <formula>NOT(ISERROR(SEARCH("Sick",BL87)))</formula>
    </cfRule>
    <cfRule type="containsText" dxfId="181" priority="161" operator="containsText" text="OFF">
      <formula>NOT(ISERROR(SEARCH("OFF",BL87)))</formula>
    </cfRule>
    <cfRule type="containsText" dxfId="180" priority="157" operator="containsText" text="FL">
      <formula>NOT(ISERROR(SEARCH("FL",BL87)))</formula>
    </cfRule>
    <cfRule type="containsText" dxfId="179" priority="162" operator="containsText" text="AL">
      <formula>NOT(ISERROR(SEARCH("AL",BL87)))</formula>
    </cfRule>
    <cfRule type="containsText" dxfId="178" priority="156" operator="containsText" text="SUS">
      <formula>NOT(ISERROR(SEARCH("SUS",BL87)))</formula>
    </cfRule>
    <cfRule type="containsText" dxfId="177" priority="155" operator="containsText" text="AB">
      <formula>NOT(ISERROR(SEARCH("AB",BL87)))</formula>
    </cfRule>
    <cfRule type="containsText" dxfId="176" priority="158" operator="containsText" text="MC">
      <formula>NOT(ISERROR(SEARCH("MC",BL87)))</formula>
    </cfRule>
  </conditionalFormatting>
  <conditionalFormatting sqref="BL94">
    <cfRule type="containsText" dxfId="175" priority="145" operator="containsText" text="OFF">
      <formula>NOT(ISERROR(SEARCH("OFF",BL94)))</formula>
    </cfRule>
    <cfRule type="containsText" dxfId="174" priority="139" operator="containsText" text="AB">
      <formula>NOT(ISERROR(SEARCH("AB",BL94)))</formula>
    </cfRule>
    <cfRule type="containsText" dxfId="173" priority="140" operator="containsText" text="SUS">
      <formula>NOT(ISERROR(SEARCH("SUS",BL94)))</formula>
    </cfRule>
    <cfRule type="containsText" dxfId="172" priority="141" operator="containsText" text="FL">
      <formula>NOT(ISERROR(SEARCH("FL",BL94)))</formula>
    </cfRule>
    <cfRule type="containsText" dxfId="171" priority="142" operator="containsText" text="MC">
      <formula>NOT(ISERROR(SEARCH("MC",BL94)))</formula>
    </cfRule>
    <cfRule type="containsText" dxfId="170" priority="144" operator="containsText" text="Sick">
      <formula>NOT(ISERROR(SEARCH("Sick",BL94)))</formula>
    </cfRule>
    <cfRule type="containsText" dxfId="169" priority="146" operator="containsText" text="AL">
      <formula>NOT(ISERROR(SEARCH("AL",BL94)))</formula>
    </cfRule>
  </conditionalFormatting>
  <conditionalFormatting sqref="BL98">
    <cfRule type="containsText" dxfId="168" priority="123" operator="containsText" text="AB">
      <formula>NOT(ISERROR(SEARCH("AB",BL98)))</formula>
    </cfRule>
    <cfRule type="containsText" dxfId="167" priority="124" operator="containsText" text="SUS">
      <formula>NOT(ISERROR(SEARCH("SUS",BL98)))</formula>
    </cfRule>
    <cfRule type="containsText" dxfId="166" priority="125" operator="containsText" text="FL">
      <formula>NOT(ISERROR(SEARCH("FL",BL98)))</formula>
    </cfRule>
    <cfRule type="containsText" dxfId="165" priority="130" operator="containsText" text="AL">
      <formula>NOT(ISERROR(SEARCH("AL",BL98)))</formula>
    </cfRule>
    <cfRule type="containsText" dxfId="164" priority="129" operator="containsText" text="OFF">
      <formula>NOT(ISERROR(SEARCH("OFF",BL98)))</formula>
    </cfRule>
    <cfRule type="containsText" dxfId="163" priority="128" operator="containsText" text="Sick">
      <formula>NOT(ISERROR(SEARCH("Sick",BL98)))</formula>
    </cfRule>
    <cfRule type="containsText" dxfId="162" priority="126" operator="containsText" text="MC">
      <formula>NOT(ISERROR(SEARCH("MC",BL98)))</formula>
    </cfRule>
  </conditionalFormatting>
  <conditionalFormatting sqref="BL100:BL101">
    <cfRule type="containsText" dxfId="161" priority="107" operator="containsText" text="AB">
      <formula>NOT(ISERROR(SEARCH("AB",BL100)))</formula>
    </cfRule>
    <cfRule type="containsText" dxfId="160" priority="114" operator="containsText" text="AL">
      <formula>NOT(ISERROR(SEARCH("AL",BL100)))</formula>
    </cfRule>
    <cfRule type="containsText" dxfId="159" priority="112" operator="containsText" text="Sick">
      <formula>NOT(ISERROR(SEARCH("Sick",BL100)))</formula>
    </cfRule>
    <cfRule type="containsText" dxfId="158" priority="113" operator="containsText" text="OFF">
      <formula>NOT(ISERROR(SEARCH("OFF",BL100)))</formula>
    </cfRule>
    <cfRule type="containsText" dxfId="157" priority="110" operator="containsText" text="MC">
      <formula>NOT(ISERROR(SEARCH("MC",BL100)))</formula>
    </cfRule>
    <cfRule type="containsText" dxfId="156" priority="109" operator="containsText" text="FL">
      <formula>NOT(ISERROR(SEARCH("FL",BL100)))</formula>
    </cfRule>
    <cfRule type="containsText" dxfId="155" priority="108" operator="containsText" text="SUS">
      <formula>NOT(ISERROR(SEARCH("SUS",BL100)))</formula>
    </cfRule>
  </conditionalFormatting>
  <conditionalFormatting sqref="BM11:BN11">
    <cfRule type="containsText" dxfId="154" priority="91" operator="containsText" text="MC">
      <formula>NOT(ISERROR(SEARCH("MC",BM11)))</formula>
    </cfRule>
    <cfRule type="containsText" dxfId="153" priority="92" operator="containsText" text="OFF">
      <formula>NOT(ISERROR(SEARCH("OFF",BM11)))</formula>
    </cfRule>
    <cfRule type="containsText" dxfId="152" priority="87" operator="containsText" text="NL">
      <formula>NOT(ISERROR(SEARCH("NL",BM11)))</formula>
    </cfRule>
    <cfRule type="containsText" dxfId="151" priority="86" operator="containsText" text="SP">
      <formula>NOT(ISERROR(SEARCH("SP",BM11)))</formula>
    </cfRule>
    <cfRule type="containsText" dxfId="150" priority="94" operator="containsText" text="SICK">
      <formula>NOT(ISERROR(SEARCH("SICK",BM11)))</formula>
    </cfRule>
    <cfRule type="containsText" dxfId="149" priority="95" operator="containsText" text="AL">
      <formula>NOT(ISERROR(SEARCH("AL",BM11)))</formula>
    </cfRule>
    <cfRule type="containsText" dxfId="148" priority="89" operator="containsText" text="FL">
      <formula>NOT(ISERROR(SEARCH("FL",BM11)))</formula>
    </cfRule>
    <cfRule type="containsText" dxfId="147" priority="88" operator="containsText" text="SUS">
      <formula>NOT(ISERROR(SEARCH("SUS",BM11)))</formula>
    </cfRule>
  </conditionalFormatting>
  <conditionalFormatting sqref="BO126 A126:A142">
    <cfRule type="containsText" dxfId="146" priority="68" stopIfTrue="1" operator="containsText" text="SICK">
      <formula>NOT(ISERROR(SEARCH("SICK",A126)))</formula>
    </cfRule>
    <cfRule type="containsText" dxfId="145" priority="67" stopIfTrue="1" operator="containsText" text="FL">
      <formula>NOT(ISERROR(SEARCH("FL",A126)))</formula>
    </cfRule>
    <cfRule type="containsText" dxfId="144" priority="66" stopIfTrue="1" operator="containsText" text="AB">
      <formula>NOT(ISERROR(SEARCH("AB",A126)))</formula>
    </cfRule>
    <cfRule type="containsText" dxfId="143" priority="65" stopIfTrue="1" operator="containsText" text="EL">
      <formula>NOT(ISERROR(SEARCH("EL",A126)))</formula>
    </cfRule>
    <cfRule type="containsText" dxfId="142" priority="64" stopIfTrue="1" operator="containsText" text="AL">
      <formula>NOT(ISERROR(SEARCH("AL",A126)))</formula>
    </cfRule>
    <cfRule type="containsText" dxfId="141" priority="63" stopIfTrue="1" operator="containsText" text="SP">
      <formula>NOT(ISERROR(SEARCH("SP",A126)))</formula>
    </cfRule>
  </conditionalFormatting>
  <conditionalFormatting sqref="BO98:BP98">
    <cfRule type="containsText" dxfId="140" priority="98" operator="containsText" text="SUS">
      <formula>NOT(ISERROR(SEARCH("SUS",BO98)))</formula>
    </cfRule>
    <cfRule type="containsText" dxfId="139" priority="97" operator="containsText" text="NL">
      <formula>NOT(ISERROR(SEARCH("NL",BO98)))</formula>
    </cfRule>
    <cfRule type="containsText" dxfId="138" priority="96" operator="containsText" text="SP">
      <formula>NOT(ISERROR(SEARCH("SP",BO98)))</formula>
    </cfRule>
    <cfRule type="containsText" dxfId="137" priority="101" operator="containsText" text="MC">
      <formula>NOT(ISERROR(SEARCH("MC",BO98)))</formula>
    </cfRule>
    <cfRule type="containsText" dxfId="136" priority="104" operator="containsText" text="SICK">
      <formula>NOT(ISERROR(SEARCH("SICK",BO98)))</formula>
    </cfRule>
    <cfRule type="containsText" dxfId="135" priority="99" operator="containsText" text="FL">
      <formula>NOT(ISERROR(SEARCH("FL",BO98)))</formula>
    </cfRule>
    <cfRule type="containsText" dxfId="134" priority="102" operator="containsText" text="OFF">
      <formula>NOT(ISERROR(SEARCH("OFF",BO98)))</formula>
    </cfRule>
    <cfRule type="containsText" dxfId="133" priority="103" operator="containsText" text="AB">
      <formula>NOT(ISERROR(SEARCH("AB",BO98)))</formula>
    </cfRule>
    <cfRule type="containsText" dxfId="132" priority="100" operator="containsText" text="EL">
      <formula>NOT(ISERROR(SEARCH("EL",BO98)))</formula>
    </cfRule>
    <cfRule type="containsText" dxfId="131" priority="105" operator="containsText" text="AL">
      <formula>NOT(ISERROR(SEARCH("AL",BO98)))</formula>
    </cfRule>
  </conditionalFormatting>
  <conditionalFormatting sqref="BP126">
    <cfRule type="cellIs" dxfId="130" priority="69" stopIfTrue="1" operator="equal">
      <formula>";"</formula>
    </cfRule>
  </conditionalFormatting>
  <conditionalFormatting sqref="BR2 BR5:BR25 BR38:BR102 BR127:BR142">
    <cfRule type="cellIs" dxfId="129" priority="12113" stopIfTrue="1" operator="equal">
      <formula>";"</formula>
    </cfRule>
  </conditionalFormatting>
  <conditionalFormatting sqref="BR35">
    <cfRule type="cellIs" dxfId="128" priority="12076" operator="equal">
      <formula>";"</formula>
    </cfRule>
  </conditionalFormatting>
  <conditionalFormatting sqref="BT4">
    <cfRule type="containsText" dxfId="127" priority="1936" operator="containsText" text="AL">
      <formula>NOT(ISERROR(SEARCH("AL",BT4)))</formula>
    </cfRule>
    <cfRule type="containsText" dxfId="126" priority="1935" operator="containsText" text="OFF">
      <formula>NOT(ISERROR(SEARCH("OFF",BT4)))</formula>
    </cfRule>
    <cfRule type="containsText" dxfId="125" priority="1934" operator="containsText" text="Sick">
      <formula>NOT(ISERROR(SEARCH("Sick",BT4)))</formula>
    </cfRule>
    <cfRule type="containsText" dxfId="124" priority="1933" operator="containsText" text="AB">
      <formula>NOT(ISERROR(SEARCH("AB",BT4)))</formula>
    </cfRule>
    <cfRule type="containsText" dxfId="123" priority="1932" operator="containsText" text="MC">
      <formula>NOT(ISERROR(SEARCH("MC",BT4)))</formula>
    </cfRule>
    <cfRule type="containsText" dxfId="122" priority="1931" operator="containsText" text="FL">
      <formula>NOT(ISERROR(SEARCH("FL",BT4)))</formula>
    </cfRule>
    <cfRule type="containsText" dxfId="121" priority="1930" operator="containsText" text="SUS">
      <formula>NOT(ISERROR(SEARCH("SUS",BT4)))</formula>
    </cfRule>
  </conditionalFormatting>
  <conditionalFormatting sqref="BT37">
    <cfRule type="containsText" dxfId="120" priority="1925" operator="containsText" text="Sick">
      <formula>NOT(ISERROR(SEARCH("Sick",BT37)))</formula>
    </cfRule>
    <cfRule type="containsText" dxfId="119" priority="1924" operator="containsText" text="AB">
      <formula>NOT(ISERROR(SEARCH("AB",BT37)))</formula>
    </cfRule>
    <cfRule type="containsText" dxfId="118" priority="1923" operator="containsText" text="MC">
      <formula>NOT(ISERROR(SEARCH("MC",BT37)))</formula>
    </cfRule>
    <cfRule type="containsText" dxfId="117" priority="1922" operator="containsText" text="FL">
      <formula>NOT(ISERROR(SEARCH("FL",BT37)))</formula>
    </cfRule>
    <cfRule type="containsText" dxfId="116" priority="1921" operator="containsText" text="SUS">
      <formula>NOT(ISERROR(SEARCH("SUS",BT37)))</formula>
    </cfRule>
    <cfRule type="containsText" dxfId="115" priority="1927" operator="containsText" text="AL">
      <formula>NOT(ISERROR(SEARCH("AL",BT37)))</formula>
    </cfRule>
    <cfRule type="containsText" dxfId="114" priority="1926" operator="containsText" text="OFF">
      <formula>NOT(ISERROR(SEARCH("OFF",BT37)))</formula>
    </cfRule>
  </conditionalFormatting>
  <conditionalFormatting sqref="BT4:BU4">
    <cfRule type="containsText" dxfId="113" priority="1875" operator="containsText" text="AB">
      <formula>NOT(ISERROR(SEARCH("AB",BT4)))</formula>
    </cfRule>
  </conditionalFormatting>
  <conditionalFormatting sqref="BT37:BU37">
    <cfRule type="containsText" dxfId="112" priority="1781" operator="containsText" text="AB">
      <formula>NOT(ISERROR(SEARCH("AB",BT37)))</formula>
    </cfRule>
  </conditionalFormatting>
  <conditionalFormatting sqref="BT4:BY4">
    <cfRule type="containsText" dxfId="111" priority="1843" operator="containsText" text="EL">
      <formula>NOT(ISERROR(SEARCH("EL",BT4)))</formula>
    </cfRule>
  </conditionalFormatting>
  <conditionalFormatting sqref="BT37:BY37">
    <cfRule type="containsText" dxfId="110" priority="1767" operator="containsText" text="EL">
      <formula>NOT(ISERROR(SEARCH("EL",BT37)))</formula>
    </cfRule>
  </conditionalFormatting>
  <conditionalFormatting sqref="BU4">
    <cfRule type="containsText" dxfId="109" priority="1873" operator="containsText" text="FL">
      <formula>NOT(ISERROR(SEARCH("FL",BU4)))</formula>
    </cfRule>
    <cfRule type="containsText" dxfId="108" priority="1874" operator="containsText" text="MC">
      <formula>NOT(ISERROR(SEARCH("MC",BU4)))</formula>
    </cfRule>
    <cfRule type="containsText" dxfId="107" priority="1876" operator="containsText" text="Sick">
      <formula>NOT(ISERROR(SEARCH("Sick",BU4)))</formula>
    </cfRule>
    <cfRule type="containsText" dxfId="106" priority="1877" operator="containsText" text="OFF">
      <formula>NOT(ISERROR(SEARCH("OFF",BU4)))</formula>
    </cfRule>
    <cfRule type="containsText" dxfId="105" priority="1878" operator="containsText" text="AL">
      <formula>NOT(ISERROR(SEARCH("AL",BU4)))</formula>
    </cfRule>
    <cfRule type="containsText" dxfId="104" priority="1872" operator="containsText" text="SUS">
      <formula>NOT(ISERROR(SEARCH("SUS",BU4)))</formula>
    </cfRule>
  </conditionalFormatting>
  <conditionalFormatting sqref="BU37">
    <cfRule type="containsText" dxfId="103" priority="1778" operator="containsText" text="SUS">
      <formula>NOT(ISERROR(SEARCH("SUS",BU37)))</formula>
    </cfRule>
    <cfRule type="containsText" dxfId="102" priority="1784" operator="containsText" text="AL">
      <formula>NOT(ISERROR(SEARCH("AL",BU37)))</formula>
    </cfRule>
    <cfRule type="containsText" dxfId="101" priority="1783" operator="containsText" text="OFF">
      <formula>NOT(ISERROR(SEARCH("OFF",BU37)))</formula>
    </cfRule>
    <cfRule type="containsText" dxfId="100" priority="1782" operator="containsText" text="Sick">
      <formula>NOT(ISERROR(SEARCH("Sick",BU37)))</formula>
    </cfRule>
    <cfRule type="containsText" dxfId="99" priority="1780" operator="containsText" text="MC">
      <formula>NOT(ISERROR(SEARCH("MC",BU37)))</formula>
    </cfRule>
    <cfRule type="containsText" dxfId="98" priority="1779" operator="containsText" text="FL">
      <formula>NOT(ISERROR(SEARCH("FL",BU37)))</formula>
    </cfRule>
  </conditionalFormatting>
  <conditionalFormatting sqref="BU4:BV4">
    <cfRule type="containsText" dxfId="97" priority="1848" operator="containsText" text="AB">
      <formula>NOT(ISERROR(SEARCH("AB",BU4)))</formula>
    </cfRule>
  </conditionalFormatting>
  <conditionalFormatting sqref="BU37:BV37">
    <cfRule type="containsText" dxfId="96" priority="1772" operator="containsText" text="AB">
      <formula>NOT(ISERROR(SEARCH("AB",BU37)))</formula>
    </cfRule>
  </conditionalFormatting>
  <conditionalFormatting sqref="BV4">
    <cfRule type="containsText" dxfId="95" priority="1845" operator="containsText" text="SUS">
      <formula>NOT(ISERROR(SEARCH("SUS",BV4)))</formula>
    </cfRule>
    <cfRule type="containsText" dxfId="94" priority="1844" operator="containsText" text="AB">
      <formula>NOT(ISERROR(SEARCH("AB",BV4)))</formula>
    </cfRule>
    <cfRule type="containsText" dxfId="93" priority="1846" operator="containsText" text="FL">
      <formula>NOT(ISERROR(SEARCH("FL",BV4)))</formula>
    </cfRule>
    <cfRule type="containsText" dxfId="92" priority="1847" operator="containsText" text="MC">
      <formula>NOT(ISERROR(SEARCH("MC",BV4)))</formula>
    </cfRule>
    <cfRule type="containsText" dxfId="91" priority="1849" operator="containsText" text="Sick">
      <formula>NOT(ISERROR(SEARCH("Sick",BV4)))</formula>
    </cfRule>
    <cfRule type="containsText" dxfId="90" priority="1850" operator="containsText" text="OFF">
      <formula>NOT(ISERROR(SEARCH("OFF",BV4)))</formula>
    </cfRule>
    <cfRule type="containsText" dxfId="89" priority="1851" operator="containsText" text="AL">
      <formula>NOT(ISERROR(SEARCH("AL",BV4)))</formula>
    </cfRule>
  </conditionalFormatting>
  <conditionalFormatting sqref="BV37">
    <cfRule type="containsText" dxfId="88" priority="1768" operator="containsText" text="AB">
      <formula>NOT(ISERROR(SEARCH("AB",BV37)))</formula>
    </cfRule>
    <cfRule type="containsText" dxfId="87" priority="1769" operator="containsText" text="SUS">
      <formula>NOT(ISERROR(SEARCH("SUS",BV37)))</formula>
    </cfRule>
    <cfRule type="containsText" dxfId="86" priority="1770" operator="containsText" text="FL">
      <formula>NOT(ISERROR(SEARCH("FL",BV37)))</formula>
    </cfRule>
    <cfRule type="containsText" dxfId="85" priority="1771" operator="containsText" text="MC">
      <formula>NOT(ISERROR(SEARCH("MC",BV37)))</formula>
    </cfRule>
    <cfRule type="containsText" dxfId="84" priority="1773" operator="containsText" text="Sick">
      <formula>NOT(ISERROR(SEARCH("Sick",BV37)))</formula>
    </cfRule>
    <cfRule type="containsText" dxfId="83" priority="1774" operator="containsText" text="OFF">
      <formula>NOT(ISERROR(SEARCH("OFF",BV37)))</formula>
    </cfRule>
    <cfRule type="containsText" dxfId="82" priority="1775" operator="containsText" text="AL">
      <formula>NOT(ISERROR(SEARCH("AL",BV37)))</formula>
    </cfRule>
  </conditionalFormatting>
  <conditionalFormatting sqref="BW4 E45:F46 E137:F139 AG139:AH141">
    <cfRule type="containsText" dxfId="81" priority="1950" operator="containsText" text="MC">
      <formula>NOT(ISERROR(SEARCH("MC",E4)))</formula>
    </cfRule>
    <cfRule type="containsText" dxfId="80" priority="1951" operator="containsText" text="AB">
      <formula>NOT(ISERROR(SEARCH("AB",E4)))</formula>
    </cfRule>
    <cfRule type="containsText" dxfId="79" priority="1952" operator="containsText" text="Sick">
      <formula>NOT(ISERROR(SEARCH("Sick",E4)))</formula>
    </cfRule>
    <cfRule type="containsText" dxfId="78" priority="1953" operator="containsText" text="OFF">
      <formula>NOT(ISERROR(SEARCH("OFF",E4)))</formula>
    </cfRule>
    <cfRule type="containsText" dxfId="77" priority="1954" operator="containsText" text="AL">
      <formula>NOT(ISERROR(SEARCH("AL",E4)))</formula>
    </cfRule>
  </conditionalFormatting>
  <conditionalFormatting sqref="BW37">
    <cfRule type="containsText" dxfId="76" priority="1939" operator="containsText" text="SUS">
      <formula>NOT(ISERROR(SEARCH("SUS",BW37)))</formula>
    </cfRule>
    <cfRule type="containsText" dxfId="75" priority="1940" operator="containsText" text="FL">
      <formula>NOT(ISERROR(SEARCH("FL",BW37)))</formula>
    </cfRule>
    <cfRule type="containsText" dxfId="74" priority="1943" operator="containsText" text="Sick">
      <formula>NOT(ISERROR(SEARCH("Sick",BW37)))</formula>
    </cfRule>
    <cfRule type="containsText" dxfId="73" priority="1941" operator="containsText" text="MC">
      <formula>NOT(ISERROR(SEARCH("MC",BW37)))</formula>
    </cfRule>
    <cfRule type="containsText" dxfId="72" priority="1945" operator="containsText" text="AL">
      <formula>NOT(ISERROR(SEARCH("AL",BW37)))</formula>
    </cfRule>
    <cfRule type="containsText" dxfId="71" priority="1944" operator="containsText" text="OFF">
      <formula>NOT(ISERROR(SEARCH("OFF",BW37)))</formula>
    </cfRule>
    <cfRule type="containsText" dxfId="70" priority="1942" operator="containsText" text="AB">
      <formula>NOT(ISERROR(SEARCH("AB",BW37)))</formula>
    </cfRule>
  </conditionalFormatting>
  <conditionalFormatting sqref="BW4:BY4">
    <cfRule type="containsText" dxfId="69" priority="1857" operator="containsText" text="AB">
      <formula>NOT(ISERROR(SEARCH("AB",BW4)))</formula>
    </cfRule>
  </conditionalFormatting>
  <conditionalFormatting sqref="BW37:BY37">
    <cfRule type="containsText" dxfId="68" priority="1790" operator="containsText" text="AB">
      <formula>NOT(ISERROR(SEARCH("AB",BW37)))</formula>
    </cfRule>
  </conditionalFormatting>
  <conditionalFormatting sqref="BX4">
    <cfRule type="containsText" dxfId="67" priority="1854" operator="containsText" text="SUS">
      <formula>NOT(ISERROR(SEARCH("SUS",BX4)))</formula>
    </cfRule>
    <cfRule type="containsText" dxfId="66" priority="1858" operator="containsText" text="Sick">
      <formula>NOT(ISERROR(SEARCH("Sick",BX4)))</formula>
    </cfRule>
    <cfRule type="containsText" dxfId="65" priority="1859" operator="containsText" text="OFF">
      <formula>NOT(ISERROR(SEARCH("OFF",BX4)))</formula>
    </cfRule>
    <cfRule type="containsText" dxfId="64" priority="1855" operator="containsText" text="FL">
      <formula>NOT(ISERROR(SEARCH("FL",BX4)))</formula>
    </cfRule>
    <cfRule type="containsText" dxfId="63" priority="1856" operator="containsText" text="MC">
      <formula>NOT(ISERROR(SEARCH("MC",BX4)))</formula>
    </cfRule>
    <cfRule type="containsText" dxfId="62" priority="1853" operator="containsText" text="AB">
      <formula>NOT(ISERROR(SEARCH("AB",BX4)))</formula>
    </cfRule>
    <cfRule type="containsText" dxfId="61" priority="1860" operator="containsText" text="AL">
      <formula>NOT(ISERROR(SEARCH("AL",BX4)))</formula>
    </cfRule>
  </conditionalFormatting>
  <conditionalFormatting sqref="BX37">
    <cfRule type="containsText" dxfId="60" priority="1788" operator="containsText" text="FL">
      <formula>NOT(ISERROR(SEARCH("FL",BX37)))</formula>
    </cfRule>
    <cfRule type="containsText" dxfId="59" priority="1792" operator="containsText" text="OFF">
      <formula>NOT(ISERROR(SEARCH("OFF",BX37)))</formula>
    </cfRule>
    <cfRule type="containsText" dxfId="58" priority="1791" operator="containsText" text="Sick">
      <formula>NOT(ISERROR(SEARCH("Sick",BX37)))</formula>
    </cfRule>
    <cfRule type="containsText" dxfId="57" priority="1786" operator="containsText" text="AB">
      <formula>NOT(ISERROR(SEARCH("AB",BX37)))</formula>
    </cfRule>
    <cfRule type="containsText" dxfId="56" priority="1793" operator="containsText" text="AL">
      <formula>NOT(ISERROR(SEARCH("AL",BX37)))</formula>
    </cfRule>
    <cfRule type="containsText" dxfId="55" priority="1789" operator="containsText" text="MC">
      <formula>NOT(ISERROR(SEARCH("MC",BX37)))</formula>
    </cfRule>
    <cfRule type="containsText" dxfId="54" priority="1787" operator="containsText" text="SUS">
      <formula>NOT(ISERROR(SEARCH("SUS",BX37)))</formula>
    </cfRule>
  </conditionalFormatting>
  <conditionalFormatting sqref="BY4">
    <cfRule type="containsText" dxfId="53" priority="1868" operator="containsText" text="OFF">
      <formula>NOT(ISERROR(SEARCH("OFF",BY4)))</formula>
    </cfRule>
    <cfRule type="containsText" dxfId="52" priority="1869" operator="containsText" text="AL">
      <formula>NOT(ISERROR(SEARCH("AL",BY4)))</formula>
    </cfRule>
    <cfRule type="containsText" dxfId="51" priority="1863" operator="containsText" text="SUS">
      <formula>NOT(ISERROR(SEARCH("SUS",BY4)))</formula>
    </cfRule>
    <cfRule type="containsText" dxfId="50" priority="1864" operator="containsText" text="FL">
      <formula>NOT(ISERROR(SEARCH("FL",BY4)))</formula>
    </cfRule>
    <cfRule type="containsText" dxfId="49" priority="1865" operator="containsText" text="MC">
      <formula>NOT(ISERROR(SEARCH("MC",BY4)))</formula>
    </cfRule>
    <cfRule type="containsText" dxfId="48" priority="1866" operator="containsText" text="AB">
      <formula>NOT(ISERROR(SEARCH("AB",BY4)))</formula>
    </cfRule>
    <cfRule type="containsText" dxfId="47" priority="1867" operator="containsText" text="Sick">
      <formula>NOT(ISERROR(SEARCH("Sick",BY4)))</formula>
    </cfRule>
  </conditionalFormatting>
  <conditionalFormatting sqref="BY37">
    <cfRule type="containsText" dxfId="46" priority="1797" operator="containsText" text="FL">
      <formula>NOT(ISERROR(SEARCH("FL",BY37)))</formula>
    </cfRule>
    <cfRule type="containsText" dxfId="45" priority="1800" operator="containsText" text="Sick">
      <formula>NOT(ISERROR(SEARCH("Sick",BY37)))</formula>
    </cfRule>
    <cfRule type="containsText" dxfId="44" priority="1798" operator="containsText" text="MC">
      <formula>NOT(ISERROR(SEARCH("MC",BY37)))</formula>
    </cfRule>
    <cfRule type="containsText" dxfId="43" priority="1799" operator="containsText" text="AB">
      <formula>NOT(ISERROR(SEARCH("AB",BY37)))</formula>
    </cfRule>
    <cfRule type="containsText" dxfId="42" priority="1802" operator="containsText" text="AL">
      <formula>NOT(ISERROR(SEARCH("AL",BY37)))</formula>
    </cfRule>
    <cfRule type="containsText" dxfId="41" priority="1801" operator="containsText" text="OFF">
      <formula>NOT(ISERROR(SEARCH("OFF",BY37)))</formula>
    </cfRule>
    <cfRule type="containsText" dxfId="40" priority="1796" operator="containsText" text="SUS">
      <formula>NOT(ISERROR(SEARCH("SUS",BY37)))</formula>
    </cfRule>
  </conditionalFormatting>
  <conditionalFormatting sqref="BZ4">
    <cfRule type="containsText" dxfId="39" priority="1910" operator="containsText" text="NL">
      <formula>NOT(ISERROR(SEARCH("NL",BZ4)))</formula>
    </cfRule>
    <cfRule type="containsText" dxfId="38" priority="1911" operator="containsText" text="SUS">
      <formula>NOT(ISERROR(SEARCH("SUS",BZ4)))</formula>
    </cfRule>
    <cfRule type="containsText" dxfId="37" priority="1912" operator="containsText" text="FL">
      <formula>NOT(ISERROR(SEARCH("FL",BZ4)))</formula>
    </cfRule>
    <cfRule type="containsText" dxfId="36" priority="1913" operator="containsText" text="EL">
      <formula>NOT(ISERROR(SEARCH("EL",BZ4)))</formula>
    </cfRule>
    <cfRule type="containsText" dxfId="35" priority="1914" operator="containsText" text="MC">
      <formula>NOT(ISERROR(SEARCH("MC",BZ4)))</formula>
    </cfRule>
    <cfRule type="containsText" dxfId="34" priority="1915" operator="containsText" text="OFF">
      <formula>NOT(ISERROR(SEARCH("OFF",BZ4)))</formula>
    </cfRule>
    <cfRule type="containsText" dxfId="33" priority="1917" operator="containsText" text="SICK">
      <formula>NOT(ISERROR(SEARCH("SICK",BZ4)))</formula>
    </cfRule>
    <cfRule type="containsText" dxfId="32" priority="1918" operator="containsText" text="AL">
      <formula>NOT(ISERROR(SEARCH("AL",BZ4)))</formula>
    </cfRule>
    <cfRule type="containsText" dxfId="31" priority="1909" operator="containsText" text="SP">
      <formula>NOT(ISERROR(SEARCH("SP",BZ4)))</formula>
    </cfRule>
    <cfRule type="containsText" dxfId="30" priority="1916" operator="containsText" text="AB">
      <formula>NOT(ISERROR(SEARCH("AB",BZ4)))</formula>
    </cfRule>
  </conditionalFormatting>
  <conditionalFormatting sqref="BZ37">
    <cfRule type="containsText" dxfId="29" priority="1904" operator="containsText" text="MC">
      <formula>NOT(ISERROR(SEARCH("MC",BZ37)))</formula>
    </cfRule>
    <cfRule type="containsText" dxfId="28" priority="1899" operator="containsText" text="SP">
      <formula>NOT(ISERROR(SEARCH("SP",BZ37)))</formula>
    </cfRule>
    <cfRule type="containsText" dxfId="27" priority="1900" operator="containsText" text="NL">
      <formula>NOT(ISERROR(SEARCH("NL",BZ37)))</formula>
    </cfRule>
    <cfRule type="containsText" dxfId="26" priority="1901" operator="containsText" text="SUS">
      <formula>NOT(ISERROR(SEARCH("SUS",BZ37)))</formula>
    </cfRule>
    <cfRule type="containsText" dxfId="25" priority="1902" operator="containsText" text="FL">
      <formula>NOT(ISERROR(SEARCH("FL",BZ37)))</formula>
    </cfRule>
    <cfRule type="containsText" dxfId="24" priority="1903" operator="containsText" text="EL">
      <formula>NOT(ISERROR(SEARCH("EL",BZ37)))</formula>
    </cfRule>
    <cfRule type="containsText" dxfId="23" priority="1905" operator="containsText" text="OFF">
      <formula>NOT(ISERROR(SEARCH("OFF",BZ37)))</formula>
    </cfRule>
    <cfRule type="containsText" dxfId="22" priority="1906" operator="containsText" text="AB">
      <formula>NOT(ISERROR(SEARCH("AB",BZ37)))</formula>
    </cfRule>
    <cfRule type="containsText" dxfId="21" priority="1907" operator="containsText" text="SICK">
      <formula>NOT(ISERROR(SEARCH("SICK",BZ37)))</formula>
    </cfRule>
    <cfRule type="containsText" dxfId="20" priority="1908" operator="containsText" text="AL">
      <formula>NOT(ISERROR(SEARCH("AL",BZ37)))</formula>
    </cfRule>
  </conditionalFormatting>
  <conditionalFormatting sqref="CB4:CD4">
    <cfRule type="containsText" dxfId="19" priority="1812" operator="containsText" text="AL">
      <formula>NOT(ISERROR(SEARCH("AL",CB4)))</formula>
    </cfRule>
    <cfRule type="containsText" dxfId="18" priority="1811" operator="containsText" text="SICK">
      <formula>NOT(ISERROR(SEARCH("SICK",CB4)))</formula>
    </cfRule>
    <cfRule type="containsText" dxfId="17" priority="1810" operator="containsText" text="AB">
      <formula>NOT(ISERROR(SEARCH("AB",CB4)))</formula>
    </cfRule>
    <cfRule type="containsText" dxfId="16" priority="1809" operator="containsText" text="OFF">
      <formula>NOT(ISERROR(SEARCH("OFF",CB4)))</formula>
    </cfRule>
    <cfRule type="containsText" dxfId="15" priority="1808" operator="containsText" text="MC">
      <formula>NOT(ISERROR(SEARCH("MC",CB4)))</formula>
    </cfRule>
    <cfRule type="containsText" dxfId="14" priority="1807" operator="containsText" text="EL">
      <formula>NOT(ISERROR(SEARCH("EL",CB4)))</formula>
    </cfRule>
    <cfRule type="containsText" dxfId="13" priority="1806" operator="containsText" text="FL">
      <formula>NOT(ISERROR(SEARCH("FL",CB4)))</formula>
    </cfRule>
    <cfRule type="containsText" dxfId="12" priority="1805" operator="containsText" text="SUS">
      <formula>NOT(ISERROR(SEARCH("SUS",CB4)))</formula>
    </cfRule>
    <cfRule type="containsText" dxfId="11" priority="1803" operator="containsText" text="SP">
      <formula>NOT(ISERROR(SEARCH("SP",CB4)))</formula>
    </cfRule>
    <cfRule type="containsText" dxfId="10" priority="1804" operator="containsText" text="NL">
      <formula>NOT(ISERROR(SEARCH("NL",CB4)))</formula>
    </cfRule>
  </conditionalFormatting>
  <conditionalFormatting sqref="CB37:CD37">
    <cfRule type="containsText" dxfId="9" priority="1814" operator="containsText" text="NL">
      <formula>NOT(ISERROR(SEARCH("NL",CB37)))</formula>
    </cfRule>
    <cfRule type="containsText" dxfId="8" priority="1813" operator="containsText" text="SP">
      <formula>NOT(ISERROR(SEARCH("SP",CB37)))</formula>
    </cfRule>
    <cfRule type="containsText" dxfId="7" priority="1822" operator="containsText" text="AL">
      <formula>NOT(ISERROR(SEARCH("AL",CB37)))</formula>
    </cfRule>
    <cfRule type="containsText" dxfId="6" priority="1821" operator="containsText" text="SICK">
      <formula>NOT(ISERROR(SEARCH("SICK",CB37)))</formula>
    </cfRule>
    <cfRule type="containsText" dxfId="5" priority="1820" operator="containsText" text="AB">
      <formula>NOT(ISERROR(SEARCH("AB",CB37)))</formula>
    </cfRule>
    <cfRule type="containsText" dxfId="4" priority="1819" operator="containsText" text="OFF">
      <formula>NOT(ISERROR(SEARCH("OFF",CB37)))</formula>
    </cfRule>
    <cfRule type="containsText" dxfId="3" priority="1817" operator="containsText" text="EL">
      <formula>NOT(ISERROR(SEARCH("EL",CB37)))</formula>
    </cfRule>
    <cfRule type="containsText" dxfId="2" priority="1816" operator="containsText" text="FL">
      <formula>NOT(ISERROR(SEARCH("FL",CB37)))</formula>
    </cfRule>
    <cfRule type="containsText" dxfId="1" priority="1815" operator="containsText" text="SUS">
      <formula>NOT(ISERROR(SEARCH("SUS",CB37)))</formula>
    </cfRule>
    <cfRule type="containsText" dxfId="0" priority="1818" operator="containsText" text="MC">
      <formula>NOT(ISERROR(SEARCH("MC",CB37)))</formula>
    </cfRule>
  </conditionalFormatting>
  <pageMargins left="0.7" right="0.7" top="0.75" bottom="0.75" header="0.3" footer="0.3"/>
  <pageSetup paperSize="9" scale="19" fitToHeight="0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3C80-258D-499B-B64F-9D420DE3D534}">
  <sheetPr>
    <pageSetUpPr fitToPage="1"/>
  </sheetPr>
  <dimension ref="A1:AU3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19" sqref="O19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18" width="6.5703125" customWidth="1"/>
    <col min="19" max="19" width="5.85546875" style="16" customWidth="1"/>
    <col min="20" max="27" width="5" customWidth="1"/>
    <col min="28" max="28" width="5.85546875" customWidth="1"/>
    <col min="29" max="32" width="5" customWidth="1"/>
    <col min="33" max="33" width="22" customWidth="1"/>
    <col min="37" max="47" width="6" customWidth="1"/>
  </cols>
  <sheetData>
    <row r="1" spans="1:47" ht="25.5" customHeight="1" x14ac:dyDescent="0.25">
      <c r="A1" s="166" t="s">
        <v>258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8"/>
      <c r="S1" s="12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ht="22.5" customHeight="1" x14ac:dyDescent="0.25">
      <c r="A2" s="154" t="s">
        <v>0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71" t="s">
        <v>8</v>
      </c>
      <c r="T2" s="163" t="s">
        <v>9</v>
      </c>
      <c r="U2" s="160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2"/>
      <c r="AK2" s="155" t="s">
        <v>203</v>
      </c>
      <c r="AL2" s="155"/>
      <c r="AM2" s="155"/>
      <c r="AN2" s="155"/>
      <c r="AO2" s="155"/>
      <c r="AP2" s="155"/>
      <c r="AQ2" s="155"/>
      <c r="AR2" s="155"/>
      <c r="AS2" s="155"/>
      <c r="AT2" s="155"/>
      <c r="AU2" s="48"/>
    </row>
    <row r="3" spans="1:47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72"/>
      <c r="T3" s="164"/>
      <c r="U3" s="2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4"/>
      <c r="AK3" s="61" t="s">
        <v>250</v>
      </c>
      <c r="AL3" s="61"/>
      <c r="AM3" s="61"/>
      <c r="AN3" s="61"/>
      <c r="AO3" s="61"/>
      <c r="AP3" s="61"/>
      <c r="AQ3" s="61"/>
      <c r="AR3" s="61"/>
      <c r="AS3" s="61"/>
      <c r="AT3" s="61"/>
      <c r="AU3" s="48"/>
    </row>
    <row r="4" spans="1:47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14" t="s">
        <v>13</v>
      </c>
      <c r="R4" s="15" t="s">
        <v>14</v>
      </c>
      <c r="S4" s="173"/>
      <c r="T4" s="165"/>
      <c r="U4" s="6"/>
      <c r="V4" s="120" t="s">
        <v>15</v>
      </c>
      <c r="W4" s="118" t="s">
        <v>16</v>
      </c>
      <c r="X4" s="118" t="s">
        <v>17</v>
      </c>
      <c r="Y4" s="115" t="s">
        <v>18</v>
      </c>
      <c r="Z4" s="118" t="s">
        <v>19</v>
      </c>
      <c r="AA4" s="118" t="s">
        <v>20</v>
      </c>
      <c r="AB4" s="90" t="s">
        <v>183</v>
      </c>
      <c r="AC4" s="7" t="s">
        <v>22</v>
      </c>
      <c r="AD4" s="91" t="s">
        <v>23</v>
      </c>
      <c r="AE4" s="91" t="s">
        <v>24</v>
      </c>
      <c r="AF4" s="91" t="s">
        <v>25</v>
      </c>
      <c r="AG4" s="8" t="s">
        <v>26</v>
      </c>
      <c r="AK4" s="55" t="s">
        <v>16</v>
      </c>
      <c r="AL4" s="56" t="s">
        <v>17</v>
      </c>
      <c r="AM4" s="56" t="s">
        <v>18</v>
      </c>
      <c r="AN4" s="56" t="s">
        <v>19</v>
      </c>
      <c r="AO4" s="56" t="s">
        <v>20</v>
      </c>
      <c r="AP4" s="56" t="s">
        <v>21</v>
      </c>
      <c r="AQ4" s="56" t="s">
        <v>22</v>
      </c>
      <c r="AR4" s="56" t="s">
        <v>23</v>
      </c>
      <c r="AS4" s="56" t="s">
        <v>24</v>
      </c>
      <c r="AT4" s="56" t="s">
        <v>25</v>
      </c>
      <c r="AU4" s="57" t="s">
        <v>204</v>
      </c>
    </row>
    <row r="5" spans="1:47" ht="21" customHeight="1" x14ac:dyDescent="0.25">
      <c r="A5" s="11">
        <v>1</v>
      </c>
      <c r="B5" s="12" t="s">
        <v>42</v>
      </c>
      <c r="C5" s="98" t="s">
        <v>43</v>
      </c>
      <c r="D5" s="112">
        <v>45381</v>
      </c>
      <c r="E5" s="90">
        <v>0.56111111111111112</v>
      </c>
      <c r="F5" s="90">
        <v>0.97638888888888886</v>
      </c>
      <c r="G5" s="90">
        <v>0.33402777777777781</v>
      </c>
      <c r="H5" s="91">
        <v>1</v>
      </c>
      <c r="I5" s="90">
        <v>0.3298611111111111</v>
      </c>
      <c r="J5" s="91">
        <v>1</v>
      </c>
      <c r="K5" s="90">
        <v>0.3347222222222222</v>
      </c>
      <c r="L5" s="90">
        <v>0.96527777777777779</v>
      </c>
      <c r="M5" s="90">
        <v>0.34583333333333338</v>
      </c>
      <c r="N5" s="90">
        <v>0.94236111111111109</v>
      </c>
      <c r="O5" s="90">
        <v>0.33402777777777781</v>
      </c>
      <c r="P5" s="91">
        <v>1</v>
      </c>
      <c r="Q5" s="91">
        <v>1</v>
      </c>
      <c r="R5" s="91">
        <v>1</v>
      </c>
      <c r="S5" s="10">
        <f>U5+V5+X5+Y5+AC5+AA5+AB5+AF5</f>
        <v>7</v>
      </c>
      <c r="T5" s="81">
        <v>1</v>
      </c>
      <c r="U5" s="2">
        <f>COUNT(E5:R5)/2+COUNT(#REF!)/2</f>
        <v>7</v>
      </c>
      <c r="V5" s="3">
        <f>COUNTIF(E5:R5,"OFF")/2</f>
        <v>0</v>
      </c>
      <c r="W5" s="3">
        <f>COUNTIF(E5:R5,"MC")/2</f>
        <v>0</v>
      </c>
      <c r="X5" s="3">
        <f>COUNTIF(E5:R5,"EL")/2</f>
        <v>0</v>
      </c>
      <c r="Y5" s="3">
        <f>COUNTIF(E5:R5,"AL")/2</f>
        <v>0</v>
      </c>
      <c r="Z5" s="3">
        <f>COUNTIF(E5:R5,"SUS")/2</f>
        <v>0</v>
      </c>
      <c r="AA5" s="3">
        <f>COUNTIF(E5:R5,"FL")/2</f>
        <v>0</v>
      </c>
      <c r="AB5" s="3">
        <f>COUNTIF(E5:R5,"SICK")/2</f>
        <v>0</v>
      </c>
      <c r="AC5" s="3">
        <f>COUNTIF(E5:R5,"HD")/2</f>
        <v>0</v>
      </c>
      <c r="AD5" s="3">
        <f>COUNTIF(E5:R5,"AB")/2</f>
        <v>0</v>
      </c>
      <c r="AE5" s="3">
        <f>COUNTIF(E5:R5,"NL")/2</f>
        <v>0</v>
      </c>
      <c r="AF5" s="3">
        <f>COUNTIF(E5:R5,"SP")/2</f>
        <v>0</v>
      </c>
      <c r="AG5" s="85"/>
      <c r="AK5" s="58">
        <v>0</v>
      </c>
      <c r="AL5" s="58">
        <v>0</v>
      </c>
      <c r="AM5" s="59">
        <v>40</v>
      </c>
      <c r="AN5" s="58">
        <v>0</v>
      </c>
      <c r="AO5" s="58">
        <v>0</v>
      </c>
      <c r="AP5" s="58">
        <v>0</v>
      </c>
      <c r="AQ5" s="59">
        <v>2</v>
      </c>
      <c r="AR5" s="58">
        <v>0</v>
      </c>
      <c r="AS5" s="58">
        <v>0</v>
      </c>
      <c r="AT5" s="58">
        <v>0</v>
      </c>
      <c r="AU5" s="60">
        <f t="shared" ref="AU5" si="0">SUM(AK5:AT5)</f>
        <v>42</v>
      </c>
    </row>
    <row r="7" spans="1:47" ht="15.75" x14ac:dyDescent="0.25">
      <c r="E7" s="129" t="s">
        <v>255</v>
      </c>
      <c r="F7" s="129"/>
      <c r="G7" s="129" t="s">
        <v>257</v>
      </c>
      <c r="H7" s="129"/>
      <c r="I7" s="129"/>
      <c r="J7" s="129"/>
      <c r="K7" s="129"/>
      <c r="L7" s="129"/>
      <c r="M7" s="108"/>
      <c r="N7" s="108"/>
      <c r="O7" s="108"/>
    </row>
    <row r="8" spans="1:47" ht="23.25" customHeight="1" x14ac:dyDescent="0.25">
      <c r="E8" s="129" t="s">
        <v>256</v>
      </c>
      <c r="F8" s="129"/>
      <c r="G8" s="129" t="s">
        <v>263</v>
      </c>
      <c r="H8" s="129"/>
      <c r="I8" s="129"/>
      <c r="J8" s="129"/>
      <c r="K8" s="129"/>
      <c r="L8" s="129"/>
      <c r="M8" s="108"/>
      <c r="N8" s="108"/>
      <c r="O8" s="108"/>
    </row>
    <row r="9" spans="1:47" ht="15.75" x14ac:dyDescent="0.25">
      <c r="J9" s="20"/>
      <c r="K9" s="21"/>
      <c r="L9" s="22"/>
      <c r="U9" s="36" t="s">
        <v>75</v>
      </c>
      <c r="V9" s="37"/>
      <c r="W9" s="37"/>
      <c r="X9" s="38" t="s">
        <v>17</v>
      </c>
      <c r="Y9" s="39"/>
      <c r="Z9" s="44" t="s">
        <v>76</v>
      </c>
      <c r="AA9" s="45"/>
      <c r="AB9" s="45"/>
      <c r="AC9" s="42"/>
      <c r="AD9" s="43" t="s">
        <v>23</v>
      </c>
    </row>
    <row r="10" spans="1:47" ht="15.75" x14ac:dyDescent="0.25">
      <c r="J10" s="20"/>
      <c r="K10" s="20"/>
      <c r="L10" s="25"/>
      <c r="U10" s="36" t="s">
        <v>77</v>
      </c>
      <c r="V10" s="37"/>
      <c r="W10" s="37"/>
      <c r="X10" s="38" t="s">
        <v>18</v>
      </c>
      <c r="Y10" s="39"/>
      <c r="Z10" s="40" t="s">
        <v>78</v>
      </c>
      <c r="AA10" s="41"/>
      <c r="AB10" s="41"/>
      <c r="AC10" s="42"/>
      <c r="AD10" s="43" t="s">
        <v>24</v>
      </c>
    </row>
    <row r="11" spans="1:47" ht="15.75" x14ac:dyDescent="0.25">
      <c r="J11" s="20"/>
      <c r="K11" s="28" t="s">
        <v>65</v>
      </c>
      <c r="L11" s="29"/>
      <c r="U11" s="36" t="s">
        <v>79</v>
      </c>
      <c r="V11" s="37"/>
      <c r="W11" s="37"/>
      <c r="X11" s="38" t="s">
        <v>19</v>
      </c>
      <c r="Y11" s="39"/>
      <c r="Z11" s="40" t="s">
        <v>80</v>
      </c>
      <c r="AA11" s="41"/>
      <c r="AB11" s="41"/>
      <c r="AC11" s="42"/>
      <c r="AD11" s="43" t="s">
        <v>25</v>
      </c>
    </row>
    <row r="12" spans="1:47" ht="15.75" x14ac:dyDescent="0.25">
      <c r="A12" s="17"/>
      <c r="B12" s="18" t="s">
        <v>63</v>
      </c>
      <c r="C12" s="19"/>
      <c r="D12" s="18"/>
      <c r="E12" s="20"/>
      <c r="F12" s="22"/>
      <c r="G12" s="23" t="s">
        <v>64</v>
      </c>
      <c r="J12" s="20"/>
      <c r="K12" s="28"/>
      <c r="L12" s="21"/>
      <c r="M12" s="23" t="s">
        <v>66</v>
      </c>
      <c r="N12" s="21"/>
      <c r="U12" s="36" t="s">
        <v>81</v>
      </c>
      <c r="V12" s="37"/>
      <c r="W12" s="37"/>
      <c r="X12" s="38" t="s">
        <v>20</v>
      </c>
      <c r="Y12" s="39"/>
      <c r="Z12" s="39"/>
      <c r="AA12" s="39"/>
      <c r="AB12" s="39"/>
      <c r="AC12" s="39"/>
      <c r="AD12" s="39"/>
    </row>
    <row r="13" spans="1:47" ht="17.25" x14ac:dyDescent="0.25">
      <c r="A13" s="24"/>
      <c r="B13" s="20"/>
      <c r="C13" s="20"/>
      <c r="D13" s="20"/>
      <c r="E13" s="20"/>
      <c r="F13" s="25"/>
      <c r="G13" s="25"/>
      <c r="J13" s="20"/>
      <c r="K13" s="28"/>
      <c r="L13" s="26"/>
      <c r="M13" s="27"/>
      <c r="N13" s="27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 spans="1:47" ht="17.25" x14ac:dyDescent="0.25">
      <c r="A14" s="24"/>
      <c r="B14" s="28"/>
      <c r="C14" s="20"/>
      <c r="D14" s="28"/>
      <c r="E14" s="20"/>
      <c r="F14" s="29"/>
      <c r="G14" s="25"/>
      <c r="J14" s="20"/>
      <c r="K14" s="19"/>
      <c r="L14" s="20"/>
      <c r="M14" s="30"/>
      <c r="N14" s="30"/>
    </row>
    <row r="15" spans="1:47" ht="17.25" x14ac:dyDescent="0.25">
      <c r="A15" s="31"/>
      <c r="B15" s="28"/>
      <c r="C15" s="20"/>
      <c r="D15" s="28"/>
      <c r="E15" s="20"/>
      <c r="F15" s="29"/>
      <c r="G15" s="25"/>
      <c r="I15" s="26"/>
      <c r="J15" s="26"/>
      <c r="K15" s="26"/>
      <c r="L15" s="20"/>
      <c r="M15" s="30"/>
      <c r="N15" s="30"/>
    </row>
    <row r="16" spans="1:47" ht="17.25" x14ac:dyDescent="0.25">
      <c r="A16" s="32" t="s">
        <v>67</v>
      </c>
      <c r="B16" s="33"/>
      <c r="C16" s="17"/>
      <c r="D16" s="32"/>
      <c r="E16" s="20"/>
      <c r="F16" s="29"/>
      <c r="G16" s="19" t="s">
        <v>68</v>
      </c>
      <c r="L16" s="20"/>
      <c r="M16" s="19" t="s">
        <v>69</v>
      </c>
      <c r="N16" s="30"/>
    </row>
    <row r="17" spans="1:19" ht="17.25" x14ac:dyDescent="0.25">
      <c r="A17" s="32"/>
      <c r="B17" s="32" t="s">
        <v>70</v>
      </c>
      <c r="C17" s="31"/>
      <c r="D17" s="31"/>
      <c r="E17" s="20"/>
      <c r="F17" s="34"/>
      <c r="G17" s="19" t="s">
        <v>71</v>
      </c>
      <c r="L17" s="20"/>
      <c r="M17" s="19" t="s">
        <v>72</v>
      </c>
      <c r="N17" s="30"/>
    </row>
    <row r="20" spans="1:19" x14ac:dyDescent="0.25">
      <c r="R20" s="64"/>
    </row>
    <row r="21" spans="1:19" x14ac:dyDescent="0.25">
      <c r="R21" s="64"/>
      <c r="S21"/>
    </row>
    <row r="22" spans="1:19" x14ac:dyDescent="0.25">
      <c r="R22" s="64"/>
      <c r="S22"/>
    </row>
    <row r="23" spans="1:19" x14ac:dyDescent="0.25">
      <c r="R23" s="64"/>
      <c r="S23"/>
    </row>
    <row r="24" spans="1:19" x14ac:dyDescent="0.25">
      <c r="R24" s="64"/>
      <c r="S24"/>
    </row>
    <row r="25" spans="1:19" x14ac:dyDescent="0.25">
      <c r="R25" s="64"/>
      <c r="S25"/>
    </row>
    <row r="26" spans="1:19" x14ac:dyDescent="0.25">
      <c r="R26" s="64"/>
      <c r="S26"/>
    </row>
    <row r="27" spans="1:19" x14ac:dyDescent="0.25">
      <c r="R27" s="64"/>
      <c r="S27"/>
    </row>
    <row r="28" spans="1:19" x14ac:dyDescent="0.25">
      <c r="R28" s="64"/>
      <c r="S28"/>
    </row>
    <row r="29" spans="1:19" x14ac:dyDescent="0.25">
      <c r="R29" s="64"/>
      <c r="S29"/>
    </row>
    <row r="30" spans="1:19" x14ac:dyDescent="0.25">
      <c r="R30" s="64"/>
      <c r="S30"/>
    </row>
    <row r="31" spans="1:19" x14ac:dyDescent="0.25">
      <c r="R31" s="64"/>
      <c r="S31"/>
    </row>
    <row r="32" spans="1:19" x14ac:dyDescent="0.25">
      <c r="R32" s="64"/>
      <c r="S32"/>
    </row>
    <row r="33" spans="18:19" x14ac:dyDescent="0.25">
      <c r="R33" s="64"/>
      <c r="S33"/>
    </row>
    <row r="34" spans="18:19" x14ac:dyDescent="0.25">
      <c r="S34"/>
    </row>
  </sheetData>
  <mergeCells count="20">
    <mergeCell ref="AK2:AT2"/>
    <mergeCell ref="E3:F3"/>
    <mergeCell ref="G3:H3"/>
    <mergeCell ref="I3:J3"/>
    <mergeCell ref="K3:L3"/>
    <mergeCell ref="M3:N3"/>
    <mergeCell ref="O2:P2"/>
    <mergeCell ref="Q2:R2"/>
    <mergeCell ref="O3:P3"/>
    <mergeCell ref="Q3:R3"/>
    <mergeCell ref="S2:S4"/>
    <mergeCell ref="T2:T4"/>
    <mergeCell ref="U2:AG2"/>
    <mergeCell ref="A1:R1"/>
    <mergeCell ref="A2:C3"/>
    <mergeCell ref="E2:F2"/>
    <mergeCell ref="G2:H2"/>
    <mergeCell ref="I2:J2"/>
    <mergeCell ref="K2:L2"/>
    <mergeCell ref="M2:N2"/>
  </mergeCells>
  <phoneticPr fontId="11" type="noConversion"/>
  <conditionalFormatting sqref="A1 S1">
    <cfRule type="containsText" dxfId="3239" priority="612" operator="containsText" text="SP">
      <formula>NOT(ISERROR(SEARCH("SP",A1)))</formula>
    </cfRule>
    <cfRule type="containsText" dxfId="3238" priority="613" operator="containsText" text="AL">
      <formula>NOT(ISERROR(SEARCH("AL",A1)))</formula>
    </cfRule>
    <cfRule type="containsText" dxfId="3237" priority="614" operator="containsText" text="EL">
      <formula>NOT(ISERROR(SEARCH("EL",A1)))</formula>
    </cfRule>
    <cfRule type="containsText" dxfId="3236" priority="615" operator="containsText" text="AB">
      <formula>NOT(ISERROR(SEARCH("AB",A1)))</formula>
    </cfRule>
    <cfRule type="containsText" dxfId="3235" priority="616" operator="containsText" text="FL">
      <formula>NOT(ISERROR(SEARCH("FL",A1)))</formula>
    </cfRule>
    <cfRule type="containsText" dxfId="3234" priority="617" operator="containsText" text="SICK">
      <formula>NOT(ISERROR(SEARCH("SICK",A1)))</formula>
    </cfRule>
  </conditionalFormatting>
  <conditionalFormatting sqref="A5 S5 B16:E16 A8:D11 A15 F15:K15 A17:E17 J9:L11 F12:H17 P8:S14 J12:K14 O15:S15">
    <cfRule type="containsText" dxfId="3233" priority="618" stopIfTrue="1" operator="containsText" text="SP">
      <formula>NOT(ISERROR(SEARCH("SP",A5)))</formula>
    </cfRule>
  </conditionalFormatting>
  <conditionalFormatting sqref="A5 S5 B16:E16 A8:D11 A15 F15:K15 A17:E17 J9:L11 F12:H17 P8:S14 J12:K14 O15:S15">
    <cfRule type="containsText" dxfId="3232" priority="619" stopIfTrue="1" operator="containsText" text="AL">
      <formula>NOT(ISERROR(SEARCH("AL",A5)))</formula>
    </cfRule>
    <cfRule type="containsText" dxfId="3231" priority="620" stopIfTrue="1" operator="containsText" text="EL">
      <formula>NOT(ISERROR(SEARCH("EL",A5)))</formula>
    </cfRule>
    <cfRule type="containsText" dxfId="3230" priority="621" stopIfTrue="1" operator="containsText" text="AB">
      <formula>NOT(ISERROR(SEARCH("AB",A5)))</formula>
    </cfRule>
    <cfRule type="containsText" dxfId="3229" priority="622" stopIfTrue="1" operator="containsText" text="FL">
      <formula>NOT(ISERROR(SEARCH("FL",A5)))</formula>
    </cfRule>
    <cfRule type="containsText" dxfId="3228" priority="623" stopIfTrue="1" operator="containsText" text="SICK">
      <formula>NOT(ISERROR(SEARCH("SICK",A5)))</formula>
    </cfRule>
  </conditionalFormatting>
  <conditionalFormatting sqref="D5">
    <cfRule type="timePeriod" dxfId="3227" priority="537" timePeriod="nextWeek">
      <formula>AND(ROUNDDOWN(D5,0)-TODAY()&gt;(7-WEEKDAY(TODAY())),ROUNDDOWN(D5,0)-TODAY()&lt;(15-WEEKDAY(TODAY())))</formula>
    </cfRule>
  </conditionalFormatting>
  <conditionalFormatting sqref="D5">
    <cfRule type="timePeriod" priority="528" timePeriod="nextWeek">
      <formula>AND(ROUNDDOWN(D5,0)-TODAY()&gt;(7-WEEKDAY(TODAY())),ROUNDDOWN(D5,0)-TODAY()&lt;(15-WEEKDAY(TODAY())))</formula>
    </cfRule>
  </conditionalFormatting>
  <conditionalFormatting sqref="D5">
    <cfRule type="timePeriod" dxfId="3226" priority="535" timePeriod="last7Days">
      <formula>AND(TODAY()-FLOOR(D5,1)&lt;=6,FLOOR(D5,1)&lt;=TODAY())</formula>
    </cfRule>
    <cfRule type="timePeriod" dxfId="3225" priority="536" timePeriod="thisWeek">
      <formula>AND(TODAY()-ROUNDDOWN(D5,0)&lt;=WEEKDAY(TODAY())-1,ROUNDDOWN(D5,0)-TODAY()&lt;=7-WEEKDAY(TODAY()))</formula>
    </cfRule>
  </conditionalFormatting>
  <conditionalFormatting sqref="T2 T5">
    <cfRule type="cellIs" dxfId="3224" priority="639" stopIfTrue="1" operator="equal">
      <formula>";"</formula>
    </cfRule>
  </conditionalFormatting>
  <conditionalFormatting sqref="C1:C11 C18:C1048576">
    <cfRule type="duplicateValues" dxfId="3223" priority="640"/>
  </conditionalFormatting>
  <conditionalFormatting sqref="Y4">
    <cfRule type="containsText" dxfId="3222" priority="470" operator="containsText" text="EL">
      <formula>NOT(ISERROR(SEARCH("EL",Y4)))</formula>
    </cfRule>
    <cfRule type="containsText" dxfId="3221" priority="471" operator="containsText" text="AB">
      <formula>NOT(ISERROR(SEARCH("AB",Y4)))</formula>
    </cfRule>
    <cfRule type="containsText" dxfId="3220" priority="472" operator="containsText" text="SUS">
      <formula>NOT(ISERROR(SEARCH("SUS",Y4)))</formula>
    </cfRule>
    <cfRule type="containsText" dxfId="3219" priority="473" operator="containsText" text="FL">
      <formula>NOT(ISERROR(SEARCH("FL",Y4)))</formula>
    </cfRule>
    <cfRule type="containsText" dxfId="3218" priority="474" operator="containsText" text="MC">
      <formula>NOT(ISERROR(SEARCH("MC",Y4)))</formula>
    </cfRule>
    <cfRule type="containsText" dxfId="3217" priority="475" operator="containsText" text="AB">
      <formula>NOT(ISERROR(SEARCH("AB",Y4)))</formula>
    </cfRule>
    <cfRule type="containsText" dxfId="3216" priority="476" operator="containsText" text="Sick">
      <formula>NOT(ISERROR(SEARCH("Sick",Y4)))</formula>
    </cfRule>
    <cfRule type="containsText" dxfId="3215" priority="477" operator="containsText" text="OFF">
      <formula>NOT(ISERROR(SEARCH("OFF",Y4)))</formula>
    </cfRule>
    <cfRule type="containsText" dxfId="3214" priority="478" operator="containsText" text="AL">
      <formula>NOT(ISERROR(SEARCH("AL",Y4)))</formula>
    </cfRule>
  </conditionalFormatting>
  <conditionalFormatting sqref="V4">
    <cfRule type="containsText" dxfId="3213" priority="452" operator="containsText" text="EL">
      <formula>NOT(ISERROR(SEARCH("EL",V4)))</formula>
    </cfRule>
    <cfRule type="containsText" dxfId="3212" priority="453" operator="containsText" text="AB">
      <formula>NOT(ISERROR(SEARCH("AB",V4)))</formula>
    </cfRule>
    <cfRule type="containsText" dxfId="3211" priority="454" operator="containsText" text="SUS">
      <formula>NOT(ISERROR(SEARCH("SUS",V4)))</formula>
    </cfRule>
    <cfRule type="containsText" dxfId="3210" priority="455" operator="containsText" text="FL">
      <formula>NOT(ISERROR(SEARCH("FL",V4)))</formula>
    </cfRule>
    <cfRule type="containsText" dxfId="3209" priority="456" operator="containsText" text="MC">
      <formula>NOT(ISERROR(SEARCH("MC",V4)))</formula>
    </cfRule>
    <cfRule type="containsText" dxfId="3208" priority="457" operator="containsText" text="AB">
      <formula>NOT(ISERROR(SEARCH("AB",V4)))</formula>
    </cfRule>
    <cfRule type="containsText" dxfId="3207" priority="458" operator="containsText" text="Sick">
      <formula>NOT(ISERROR(SEARCH("Sick",V4)))</formula>
    </cfRule>
    <cfRule type="containsText" dxfId="3206" priority="459" operator="containsText" text="OFF">
      <formula>NOT(ISERROR(SEARCH("OFF",V4)))</formula>
    </cfRule>
    <cfRule type="containsText" dxfId="3205" priority="460" operator="containsText" text="AL">
      <formula>NOT(ISERROR(SEARCH("AL",V4)))</formula>
    </cfRule>
  </conditionalFormatting>
  <conditionalFormatting sqref="AB4">
    <cfRule type="containsText" dxfId="3204" priority="433" operator="containsText" text="SP">
      <formula>NOT(ISERROR(SEARCH("SP",AB4)))</formula>
    </cfRule>
    <cfRule type="containsText" dxfId="3203" priority="434" operator="containsText" text="NL">
      <formula>NOT(ISERROR(SEARCH("NL",AB4)))</formula>
    </cfRule>
    <cfRule type="containsText" dxfId="3202" priority="435" operator="containsText" text="SUS">
      <formula>NOT(ISERROR(SEARCH("SUS",AB4)))</formula>
    </cfRule>
    <cfRule type="containsText" dxfId="3201" priority="436" operator="containsText" text="FL">
      <formula>NOT(ISERROR(SEARCH("FL",AB4)))</formula>
    </cfRule>
    <cfRule type="containsText" dxfId="3200" priority="437" operator="containsText" text="EL">
      <formula>NOT(ISERROR(SEARCH("EL",AB4)))</formula>
    </cfRule>
    <cfRule type="containsText" dxfId="3199" priority="438" operator="containsText" text="MC">
      <formula>NOT(ISERROR(SEARCH("MC",AB4)))</formula>
    </cfRule>
    <cfRule type="containsText" dxfId="3198" priority="439" operator="containsText" text="OFF">
      <formula>NOT(ISERROR(SEARCH("OFF",AB4)))</formula>
    </cfRule>
    <cfRule type="containsText" dxfId="3197" priority="440" operator="containsText" text="AB">
      <formula>NOT(ISERROR(SEARCH("AB",AB4)))</formula>
    </cfRule>
    <cfRule type="containsText" dxfId="3196" priority="441" operator="containsText" text="SICK">
      <formula>NOT(ISERROR(SEARCH("SICK",AB4)))</formula>
    </cfRule>
    <cfRule type="containsText" dxfId="3195" priority="442" operator="containsText" text="AL">
      <formula>NOT(ISERROR(SEARCH("AL",AB4)))</formula>
    </cfRule>
  </conditionalFormatting>
  <conditionalFormatting sqref="AD4">
    <cfRule type="containsText" dxfId="3194" priority="413" operator="containsText" text="SP">
      <formula>NOT(ISERROR(SEARCH("SP",AD4)))</formula>
    </cfRule>
    <cfRule type="containsText" dxfId="3193" priority="414" operator="containsText" text="NL">
      <formula>NOT(ISERROR(SEARCH("NL",AD4)))</formula>
    </cfRule>
    <cfRule type="containsText" dxfId="3192" priority="415" operator="containsText" text="SUS">
      <formula>NOT(ISERROR(SEARCH("SUS",AD4)))</formula>
    </cfRule>
    <cfRule type="containsText" dxfId="3191" priority="416" operator="containsText" text="FL">
      <formula>NOT(ISERROR(SEARCH("FL",AD4)))</formula>
    </cfRule>
    <cfRule type="containsText" dxfId="3190" priority="417" operator="containsText" text="EL">
      <formula>NOT(ISERROR(SEARCH("EL",AD4)))</formula>
    </cfRule>
    <cfRule type="containsText" dxfId="3189" priority="418" operator="containsText" text="MC">
      <formula>NOT(ISERROR(SEARCH("MC",AD4)))</formula>
    </cfRule>
    <cfRule type="containsText" dxfId="3188" priority="419" operator="containsText" text="OFF">
      <formula>NOT(ISERROR(SEARCH("OFF",AD4)))</formula>
    </cfRule>
    <cfRule type="containsText" dxfId="3187" priority="420" operator="containsText" text="AB">
      <formula>NOT(ISERROR(SEARCH("AB",AD4)))</formula>
    </cfRule>
    <cfRule type="containsText" dxfId="3186" priority="421" operator="containsText" text="SICK">
      <formula>NOT(ISERROR(SEARCH("SICK",AD4)))</formula>
    </cfRule>
    <cfRule type="containsText" dxfId="3185" priority="422" operator="containsText" text="AL">
      <formula>NOT(ISERROR(SEARCH("AL",AD4)))</formula>
    </cfRule>
  </conditionalFormatting>
  <conditionalFormatting sqref="W4">
    <cfRule type="containsText" dxfId="3184" priority="394" operator="containsText" text="EL">
      <formula>NOT(ISERROR(SEARCH("EL",W4)))</formula>
    </cfRule>
    <cfRule type="containsText" dxfId="3183" priority="395" operator="containsText" text="AB">
      <formula>NOT(ISERROR(SEARCH("AB",W4)))</formula>
    </cfRule>
    <cfRule type="containsText" dxfId="3182" priority="396" operator="containsText" text="SUS">
      <formula>NOT(ISERROR(SEARCH("SUS",W4)))</formula>
    </cfRule>
    <cfRule type="containsText" dxfId="3181" priority="397" operator="containsText" text="FL">
      <formula>NOT(ISERROR(SEARCH("FL",W4)))</formula>
    </cfRule>
    <cfRule type="containsText" dxfId="3180" priority="398" operator="containsText" text="MC">
      <formula>NOT(ISERROR(SEARCH("MC",W4)))</formula>
    </cfRule>
    <cfRule type="containsText" dxfId="3179" priority="399" operator="containsText" text="AB">
      <formula>NOT(ISERROR(SEARCH("AB",W4)))</formula>
    </cfRule>
    <cfRule type="containsText" dxfId="3178" priority="400" operator="containsText" text="Sick">
      <formula>NOT(ISERROR(SEARCH("Sick",W4)))</formula>
    </cfRule>
    <cfRule type="containsText" dxfId="3177" priority="401" operator="containsText" text="OFF">
      <formula>NOT(ISERROR(SEARCH("OFF",W4)))</formula>
    </cfRule>
    <cfRule type="containsText" dxfId="3176" priority="402" operator="containsText" text="AL">
      <formula>NOT(ISERROR(SEARCH("AL",W4)))</formula>
    </cfRule>
  </conditionalFormatting>
  <conditionalFormatting sqref="AA4">
    <cfRule type="containsText" dxfId="3175" priority="385" operator="containsText" text="EL">
      <formula>NOT(ISERROR(SEARCH("EL",AA4)))</formula>
    </cfRule>
    <cfRule type="containsText" dxfId="3174" priority="386" operator="containsText" text="AB">
      <formula>NOT(ISERROR(SEARCH("AB",AA4)))</formula>
    </cfRule>
    <cfRule type="containsText" dxfId="3173" priority="387" operator="containsText" text="SUS">
      <formula>NOT(ISERROR(SEARCH("SUS",AA4)))</formula>
    </cfRule>
    <cfRule type="containsText" dxfId="3172" priority="388" operator="containsText" text="FL">
      <formula>NOT(ISERROR(SEARCH("FL",AA4)))</formula>
    </cfRule>
    <cfRule type="containsText" dxfId="3171" priority="389" operator="containsText" text="MC">
      <formula>NOT(ISERROR(SEARCH("MC",AA4)))</formula>
    </cfRule>
    <cfRule type="containsText" dxfId="3170" priority="390" operator="containsText" text="AB">
      <formula>NOT(ISERROR(SEARCH("AB",AA4)))</formula>
    </cfRule>
    <cfRule type="containsText" dxfId="3169" priority="391" operator="containsText" text="Sick">
      <formula>NOT(ISERROR(SEARCH("Sick",AA4)))</formula>
    </cfRule>
    <cfRule type="containsText" dxfId="3168" priority="392" operator="containsText" text="OFF">
      <formula>NOT(ISERROR(SEARCH("OFF",AA4)))</formula>
    </cfRule>
    <cfRule type="containsText" dxfId="3167" priority="393" operator="containsText" text="AL">
      <formula>NOT(ISERROR(SEARCH("AL",AA4)))</formula>
    </cfRule>
  </conditionalFormatting>
  <conditionalFormatting sqref="Z4">
    <cfRule type="containsText" dxfId="3166" priority="376" operator="containsText" text="EL">
      <formula>NOT(ISERROR(SEARCH("EL",Z4)))</formula>
    </cfRule>
    <cfRule type="containsText" dxfId="3165" priority="377" operator="containsText" text="AB">
      <formula>NOT(ISERROR(SEARCH("AB",Z4)))</formula>
    </cfRule>
    <cfRule type="containsText" dxfId="3164" priority="378" operator="containsText" text="SUS">
      <formula>NOT(ISERROR(SEARCH("SUS",Z4)))</formula>
    </cfRule>
    <cfRule type="containsText" dxfId="3163" priority="379" operator="containsText" text="FL">
      <formula>NOT(ISERROR(SEARCH("FL",Z4)))</formula>
    </cfRule>
    <cfRule type="containsText" dxfId="3162" priority="380" operator="containsText" text="MC">
      <formula>NOT(ISERROR(SEARCH("MC",Z4)))</formula>
    </cfRule>
    <cfRule type="containsText" dxfId="3161" priority="381" operator="containsText" text="AB">
      <formula>NOT(ISERROR(SEARCH("AB",Z4)))</formula>
    </cfRule>
    <cfRule type="containsText" dxfId="3160" priority="382" operator="containsText" text="Sick">
      <formula>NOT(ISERROR(SEARCH("Sick",Z4)))</formula>
    </cfRule>
    <cfRule type="containsText" dxfId="3159" priority="383" operator="containsText" text="OFF">
      <formula>NOT(ISERROR(SEARCH("OFF",Z4)))</formula>
    </cfRule>
    <cfRule type="containsText" dxfId="3158" priority="384" operator="containsText" text="AL">
      <formula>NOT(ISERROR(SEARCH("AL",Z4)))</formula>
    </cfRule>
  </conditionalFormatting>
  <conditionalFormatting sqref="X4">
    <cfRule type="containsText" dxfId="3157" priority="367" operator="containsText" text="EL">
      <formula>NOT(ISERROR(SEARCH("EL",X4)))</formula>
    </cfRule>
    <cfRule type="containsText" dxfId="3156" priority="368" operator="containsText" text="AB">
      <formula>NOT(ISERROR(SEARCH("AB",X4)))</formula>
    </cfRule>
    <cfRule type="containsText" dxfId="3155" priority="369" operator="containsText" text="SUS">
      <formula>NOT(ISERROR(SEARCH("SUS",X4)))</formula>
    </cfRule>
    <cfRule type="containsText" dxfId="3154" priority="370" operator="containsText" text="FL">
      <formula>NOT(ISERROR(SEARCH("FL",X4)))</formula>
    </cfRule>
    <cfRule type="containsText" dxfId="3153" priority="371" operator="containsText" text="MC">
      <formula>NOT(ISERROR(SEARCH("MC",X4)))</formula>
    </cfRule>
    <cfRule type="containsText" dxfId="3152" priority="372" operator="containsText" text="AB">
      <formula>NOT(ISERROR(SEARCH("AB",X4)))</formula>
    </cfRule>
    <cfRule type="containsText" dxfId="3151" priority="373" operator="containsText" text="Sick">
      <formula>NOT(ISERROR(SEARCH("Sick",X4)))</formula>
    </cfRule>
    <cfRule type="containsText" dxfId="3150" priority="374" operator="containsText" text="OFF">
      <formula>NOT(ISERROR(SEARCH("OFF",X4)))</formula>
    </cfRule>
    <cfRule type="containsText" dxfId="3149" priority="375" operator="containsText" text="AL">
      <formula>NOT(ISERROR(SEARCH("AL",X4)))</formula>
    </cfRule>
  </conditionalFormatting>
  <conditionalFormatting sqref="AF4">
    <cfRule type="containsText" dxfId="3148" priority="347" operator="containsText" text="SP">
      <formula>NOT(ISERROR(SEARCH("SP",AF4)))</formula>
    </cfRule>
    <cfRule type="containsText" dxfId="3147" priority="348" operator="containsText" text="NL">
      <formula>NOT(ISERROR(SEARCH("NL",AF4)))</formula>
    </cfRule>
    <cfRule type="containsText" dxfId="3146" priority="349" operator="containsText" text="SUS">
      <formula>NOT(ISERROR(SEARCH("SUS",AF4)))</formula>
    </cfRule>
    <cfRule type="containsText" dxfId="3145" priority="350" operator="containsText" text="FL">
      <formula>NOT(ISERROR(SEARCH("FL",AF4)))</formula>
    </cfRule>
    <cfRule type="containsText" dxfId="3144" priority="351" operator="containsText" text="EL">
      <formula>NOT(ISERROR(SEARCH("EL",AF4)))</formula>
    </cfRule>
    <cfRule type="containsText" dxfId="3143" priority="352" operator="containsText" text="MC">
      <formula>NOT(ISERROR(SEARCH("MC",AF4)))</formula>
    </cfRule>
    <cfRule type="containsText" dxfId="3142" priority="353" operator="containsText" text="OFF">
      <formula>NOT(ISERROR(SEARCH("OFF",AF4)))</formula>
    </cfRule>
    <cfRule type="containsText" dxfId="3141" priority="354" operator="containsText" text="AB">
      <formula>NOT(ISERROR(SEARCH("AB",AF4)))</formula>
    </cfRule>
    <cfRule type="containsText" dxfId="3140" priority="355" operator="containsText" text="SICK">
      <formula>NOT(ISERROR(SEARCH("SICK",AF4)))</formula>
    </cfRule>
    <cfRule type="containsText" dxfId="3139" priority="356" operator="containsText" text="AL">
      <formula>NOT(ISERROR(SEARCH("AL",AF4)))</formula>
    </cfRule>
  </conditionalFormatting>
  <conditionalFormatting sqref="AE4">
    <cfRule type="containsText" dxfId="3138" priority="327" operator="containsText" text="SP">
      <formula>NOT(ISERROR(SEARCH("SP",AE4)))</formula>
    </cfRule>
    <cfRule type="containsText" dxfId="3137" priority="328" operator="containsText" text="NL">
      <formula>NOT(ISERROR(SEARCH("NL",AE4)))</formula>
    </cfRule>
    <cfRule type="containsText" dxfId="3136" priority="329" operator="containsText" text="SUS">
      <formula>NOT(ISERROR(SEARCH("SUS",AE4)))</formula>
    </cfRule>
    <cfRule type="containsText" dxfId="3135" priority="330" operator="containsText" text="FL">
      <formula>NOT(ISERROR(SEARCH("FL",AE4)))</formula>
    </cfRule>
    <cfRule type="containsText" dxfId="3134" priority="331" operator="containsText" text="EL">
      <formula>NOT(ISERROR(SEARCH("EL",AE4)))</formula>
    </cfRule>
    <cfRule type="containsText" dxfId="3133" priority="332" operator="containsText" text="MC">
      <formula>NOT(ISERROR(SEARCH("MC",AE4)))</formula>
    </cfRule>
    <cfRule type="containsText" dxfId="3132" priority="333" operator="containsText" text="OFF">
      <formula>NOT(ISERROR(SEARCH("OFF",AE4)))</formula>
    </cfRule>
    <cfRule type="containsText" dxfId="3131" priority="334" operator="containsText" text="AB">
      <formula>NOT(ISERROR(SEARCH("AB",AE4)))</formula>
    </cfRule>
    <cfRule type="containsText" dxfId="3130" priority="335" operator="containsText" text="SICK">
      <formula>NOT(ISERROR(SEARCH("SICK",AE4)))</formula>
    </cfRule>
    <cfRule type="containsText" dxfId="3129" priority="336" operator="containsText" text="AL">
      <formula>NOT(ISERROR(SEARCH("AL",AE4)))</formula>
    </cfRule>
  </conditionalFormatting>
  <conditionalFormatting sqref="L12:N15">
    <cfRule type="containsText" dxfId="3128" priority="1" stopIfTrue="1" operator="containsText" text="AB">
      <formula>NOT(ISERROR(SEARCH("AB",L12)))</formula>
    </cfRule>
    <cfRule type="containsText" dxfId="3127" priority="2" stopIfTrue="1" operator="containsText" text="SICK">
      <formula>NOT(ISERROR(SEARCH("SICK",L12)))</formula>
    </cfRule>
    <cfRule type="containsText" dxfId="3126" priority="3" stopIfTrue="1" operator="containsText" text="SP">
      <formula>NOT(ISERROR(SEARCH("SP",L12)))</formula>
    </cfRule>
    <cfRule type="containsText" priority="4" stopIfTrue="1" operator="containsText" text="SP">
      <formula>NOT(ISERROR(SEARCH("SP",L12)))</formula>
    </cfRule>
    <cfRule type="containsText" dxfId="3125" priority="5" stopIfTrue="1" operator="containsText" text="SICK">
      <formula>NOT(ISERROR(SEARCH("SICK",L12)))</formula>
    </cfRule>
  </conditionalFormatting>
  <pageMargins left="0.7" right="0.7" top="0.75" bottom="0.75" header="0.3" footer="0.3"/>
  <pageSetup paperSize="9" scale="3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19F6-7A09-4A61-B8FD-4C631E87CEE3}">
  <sheetPr>
    <pageSetUpPr fitToPage="1"/>
  </sheetPr>
  <dimension ref="A1:AY4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W13" sqref="W13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22" width="6.5703125" customWidth="1"/>
    <col min="23" max="23" width="5.85546875" style="16" customWidth="1"/>
    <col min="24" max="31" width="5" customWidth="1"/>
    <col min="32" max="32" width="5.85546875" customWidth="1"/>
    <col min="33" max="36" width="5" customWidth="1"/>
    <col min="37" max="37" width="15.85546875" customWidth="1"/>
    <col min="41" max="51" width="6" customWidth="1"/>
  </cols>
  <sheetData>
    <row r="1" spans="1:51" ht="25.5" customHeight="1" x14ac:dyDescent="0.25">
      <c r="A1" s="153" t="s">
        <v>262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25"/>
      <c r="X1" s="65"/>
      <c r="Y1" s="69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1"/>
    </row>
    <row r="2" spans="1:51" ht="22.5" customHeight="1" x14ac:dyDescent="0.25">
      <c r="A2" s="154" t="s">
        <v>182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9" t="s">
        <v>8</v>
      </c>
      <c r="X2" s="169" t="s">
        <v>9</v>
      </c>
      <c r="Y2" s="156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8"/>
      <c r="AO2" s="155" t="s">
        <v>203</v>
      </c>
      <c r="AP2" s="155"/>
      <c r="AQ2" s="155"/>
      <c r="AR2" s="155"/>
      <c r="AS2" s="155"/>
      <c r="AT2" s="155"/>
      <c r="AU2" s="155"/>
      <c r="AV2" s="155"/>
      <c r="AW2" s="155"/>
      <c r="AX2" s="155"/>
      <c r="AY2" s="48"/>
    </row>
    <row r="3" spans="1:51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59"/>
      <c r="X3" s="169"/>
      <c r="Y3" s="72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4"/>
      <c r="AO3" s="61" t="s">
        <v>250</v>
      </c>
      <c r="AP3" s="61"/>
      <c r="AQ3" s="61"/>
      <c r="AR3" s="61"/>
      <c r="AS3" s="61"/>
      <c r="AT3" s="61"/>
      <c r="AU3" s="61"/>
      <c r="AV3" s="61"/>
      <c r="AW3" s="61"/>
      <c r="AX3" s="61"/>
      <c r="AY3" s="48"/>
    </row>
    <row r="4" spans="1:51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5" t="s">
        <v>13</v>
      </c>
      <c r="R4" s="5" t="s">
        <v>14</v>
      </c>
      <c r="S4" s="5" t="s">
        <v>13</v>
      </c>
      <c r="T4" s="5" t="s">
        <v>14</v>
      </c>
      <c r="U4" s="5" t="s">
        <v>13</v>
      </c>
      <c r="V4" s="5" t="s">
        <v>14</v>
      </c>
      <c r="W4" s="159"/>
      <c r="X4" s="170"/>
      <c r="Y4" s="66"/>
      <c r="Z4" s="120" t="s">
        <v>15</v>
      </c>
      <c r="AA4" s="118" t="s">
        <v>16</v>
      </c>
      <c r="AB4" s="118" t="s">
        <v>17</v>
      </c>
      <c r="AC4" s="115" t="s">
        <v>18</v>
      </c>
      <c r="AD4" s="118" t="s">
        <v>19</v>
      </c>
      <c r="AE4" s="118" t="s">
        <v>20</v>
      </c>
      <c r="AF4" s="90" t="s">
        <v>183</v>
      </c>
      <c r="AG4" s="67" t="s">
        <v>22</v>
      </c>
      <c r="AH4" s="91" t="s">
        <v>23</v>
      </c>
      <c r="AI4" s="91" t="s">
        <v>24</v>
      </c>
      <c r="AJ4" s="91" t="s">
        <v>25</v>
      </c>
      <c r="AK4" s="68" t="s">
        <v>26</v>
      </c>
      <c r="AO4" s="55" t="s">
        <v>16</v>
      </c>
      <c r="AP4" s="56" t="s">
        <v>17</v>
      </c>
      <c r="AQ4" s="56" t="s">
        <v>18</v>
      </c>
      <c r="AR4" s="56" t="s">
        <v>19</v>
      </c>
      <c r="AS4" s="56" t="s">
        <v>20</v>
      </c>
      <c r="AT4" s="56" t="s">
        <v>21</v>
      </c>
      <c r="AU4" s="56" t="s">
        <v>22</v>
      </c>
      <c r="AV4" s="56" t="s">
        <v>23</v>
      </c>
      <c r="AW4" s="56" t="s">
        <v>24</v>
      </c>
      <c r="AX4" s="56" t="s">
        <v>25</v>
      </c>
      <c r="AY4" s="57" t="s">
        <v>204</v>
      </c>
    </row>
    <row r="5" spans="1:51" s="108" customFormat="1" ht="21.75" customHeight="1" x14ac:dyDescent="0.25">
      <c r="A5" s="123">
        <v>1</v>
      </c>
      <c r="B5" s="135" t="s">
        <v>145</v>
      </c>
      <c r="C5" s="98" t="s">
        <v>146</v>
      </c>
      <c r="D5" s="122">
        <v>45648</v>
      </c>
      <c r="E5" s="90">
        <v>0.56597222222222221</v>
      </c>
      <c r="F5" s="90">
        <v>0.94097222222222221</v>
      </c>
      <c r="G5" s="90">
        <v>0.37847222222222227</v>
      </c>
      <c r="H5" s="90">
        <v>0.96736111111111101</v>
      </c>
      <c r="I5" s="90">
        <v>0.51388888888888895</v>
      </c>
      <c r="J5" s="90">
        <v>0.93819444444444444</v>
      </c>
      <c r="K5" s="90">
        <v>0.36736111111111108</v>
      </c>
      <c r="L5" s="90">
        <v>0.94305555555555554</v>
      </c>
      <c r="M5" s="90">
        <v>0.35555555555555557</v>
      </c>
      <c r="N5" s="90">
        <v>0.92361111111111116</v>
      </c>
      <c r="O5" s="90">
        <v>0.41666666666666669</v>
      </c>
      <c r="P5" s="130">
        <v>1</v>
      </c>
      <c r="Q5" s="130">
        <v>1</v>
      </c>
      <c r="R5" s="130">
        <v>1</v>
      </c>
      <c r="S5" s="130">
        <v>1</v>
      </c>
      <c r="T5" s="130">
        <v>1</v>
      </c>
      <c r="U5" s="130">
        <v>1</v>
      </c>
      <c r="V5" s="130">
        <v>1</v>
      </c>
      <c r="W5" s="131">
        <f t="shared" ref="W5" si="0">Y5+Z5+AB5+AC5+AG5+AE5+AF5+AJ5</f>
        <v>9</v>
      </c>
      <c r="X5" s="81">
        <v>2</v>
      </c>
      <c r="Y5" s="132">
        <f>COUNT(E5:V5)/2+COUNT(#REF!)/2</f>
        <v>9</v>
      </c>
      <c r="Z5" s="133">
        <f>COUNTIF(E5:V5,"OFF")/2</f>
        <v>0</v>
      </c>
      <c r="AA5" s="133">
        <f>COUNTIF(E5:V5,"MC")/2</f>
        <v>0</v>
      </c>
      <c r="AB5" s="133">
        <f>COUNTIF(E5:V5,"EL")/2</f>
        <v>0</v>
      </c>
      <c r="AC5" s="133">
        <f>COUNTIF(E5:V5,"AL")/2</f>
        <v>0</v>
      </c>
      <c r="AD5" s="133">
        <f>COUNTIF(E5:V5,"SUS")/2</f>
        <v>0</v>
      </c>
      <c r="AE5" s="133">
        <f>COUNTIF(E5:V5,"FL")/2</f>
        <v>0</v>
      </c>
      <c r="AF5" s="133">
        <f>COUNTIF(E5:V5,"SICK")/2</f>
        <v>0</v>
      </c>
      <c r="AG5" s="133">
        <f>COUNTIF(E5:V5,"HD")/2</f>
        <v>0</v>
      </c>
      <c r="AH5" s="133">
        <f>COUNTIF(E5:V5,"AB")/2</f>
        <v>0</v>
      </c>
      <c r="AI5" s="133">
        <f>COUNTIF(E5:V5,"NL")/2</f>
        <v>0</v>
      </c>
      <c r="AJ5" s="133">
        <f>COUNTIF(E5:V5,"SP")/2</f>
        <v>0</v>
      </c>
      <c r="AK5" s="134"/>
      <c r="AL5" s="89"/>
      <c r="AM5" s="89"/>
      <c r="AO5" s="58">
        <v>0</v>
      </c>
      <c r="AP5" s="58">
        <v>0</v>
      </c>
      <c r="AQ5" s="58">
        <v>0</v>
      </c>
      <c r="AR5" s="58">
        <v>0</v>
      </c>
      <c r="AS5" s="58">
        <v>0</v>
      </c>
      <c r="AT5" s="59">
        <v>2</v>
      </c>
      <c r="AU5" s="58">
        <v>0</v>
      </c>
      <c r="AV5" s="58">
        <v>0</v>
      </c>
      <c r="AW5" s="58">
        <v>0</v>
      </c>
      <c r="AX5" s="58">
        <v>0</v>
      </c>
      <c r="AY5" s="60">
        <f t="shared" ref="AY5" si="1">SUM(AO5:AX5)</f>
        <v>2</v>
      </c>
    </row>
    <row r="7" spans="1:51" ht="15.75" x14ac:dyDescent="0.25">
      <c r="F7" s="129" t="s">
        <v>255</v>
      </c>
      <c r="G7" s="129"/>
      <c r="H7" s="129" t="s">
        <v>261</v>
      </c>
      <c r="I7" s="129"/>
      <c r="J7" s="129"/>
      <c r="K7" s="129"/>
      <c r="L7" s="129"/>
      <c r="M7" s="129"/>
      <c r="N7" s="108"/>
      <c r="O7" s="108"/>
      <c r="P7" s="108"/>
      <c r="V7" s="21"/>
    </row>
    <row r="8" spans="1:51" ht="15.75" x14ac:dyDescent="0.25">
      <c r="F8" s="129" t="s">
        <v>256</v>
      </c>
      <c r="G8" s="129"/>
      <c r="H8" s="129" t="s">
        <v>260</v>
      </c>
      <c r="I8" s="129"/>
      <c r="J8" s="129"/>
      <c r="K8" s="129"/>
      <c r="L8" s="129"/>
      <c r="M8" s="129"/>
      <c r="N8" s="108"/>
      <c r="O8" s="108"/>
      <c r="P8" s="108"/>
      <c r="V8" s="20"/>
      <c r="Y8" s="36" t="s">
        <v>73</v>
      </c>
      <c r="Z8" s="37"/>
      <c r="AA8" s="37"/>
      <c r="AB8" s="38" t="s">
        <v>16</v>
      </c>
      <c r="AC8" s="39"/>
      <c r="AD8" s="44" t="s">
        <v>74</v>
      </c>
      <c r="AE8" s="45"/>
      <c r="AF8" s="45"/>
      <c r="AG8" s="42"/>
      <c r="AH8" s="43" t="s">
        <v>22</v>
      </c>
    </row>
    <row r="9" spans="1:51" ht="15.75" x14ac:dyDescent="0.25">
      <c r="V9" s="28"/>
      <c r="Y9" s="36" t="s">
        <v>75</v>
      </c>
      <c r="Z9" s="37"/>
      <c r="AA9" s="37"/>
      <c r="AB9" s="38" t="s">
        <v>17</v>
      </c>
      <c r="AC9" s="39"/>
      <c r="AD9" s="44" t="s">
        <v>76</v>
      </c>
      <c r="AE9" s="45"/>
      <c r="AF9" s="45"/>
      <c r="AG9" s="42"/>
      <c r="AH9" s="43" t="s">
        <v>23</v>
      </c>
    </row>
    <row r="10" spans="1:51" ht="15.75" x14ac:dyDescent="0.25">
      <c r="V10" s="28"/>
      <c r="Y10" s="36" t="s">
        <v>77</v>
      </c>
      <c r="Z10" s="37"/>
      <c r="AA10" s="37"/>
      <c r="AB10" s="38" t="s">
        <v>18</v>
      </c>
      <c r="AC10" s="39"/>
      <c r="AD10" s="40" t="s">
        <v>78</v>
      </c>
      <c r="AE10" s="41"/>
      <c r="AF10" s="41"/>
      <c r="AG10" s="42"/>
      <c r="AH10" s="43" t="s">
        <v>24</v>
      </c>
    </row>
    <row r="11" spans="1:51" ht="15.75" x14ac:dyDescent="0.25">
      <c r="V11" s="28"/>
      <c r="Y11" s="36" t="s">
        <v>79</v>
      </c>
      <c r="Z11" s="37"/>
      <c r="AA11" s="37"/>
      <c r="AB11" s="38" t="s">
        <v>19</v>
      </c>
      <c r="AC11" s="39"/>
      <c r="AD11" s="40" t="s">
        <v>80</v>
      </c>
      <c r="AE11" s="41"/>
      <c r="AF11" s="41"/>
      <c r="AG11" s="42"/>
      <c r="AH11" s="43" t="s">
        <v>25</v>
      </c>
    </row>
    <row r="12" spans="1:51" ht="15.75" x14ac:dyDescent="0.25">
      <c r="B12" s="17"/>
      <c r="C12" s="18" t="s">
        <v>63</v>
      </c>
      <c r="D12" s="19"/>
      <c r="E12" s="20"/>
      <c r="H12" s="20"/>
      <c r="I12" s="22"/>
      <c r="J12" s="23" t="s">
        <v>64</v>
      </c>
      <c r="K12" s="23"/>
      <c r="P12" s="21"/>
      <c r="Q12" s="23" t="s">
        <v>66</v>
      </c>
      <c r="R12" s="21"/>
      <c r="V12" s="19"/>
      <c r="Y12" s="36" t="s">
        <v>81</v>
      </c>
      <c r="Z12" s="37"/>
      <c r="AA12" s="37"/>
      <c r="AB12" s="38" t="s">
        <v>20</v>
      </c>
      <c r="AC12" s="39"/>
      <c r="AD12" s="39"/>
      <c r="AE12" s="39"/>
      <c r="AF12" s="39"/>
      <c r="AG12" s="39"/>
      <c r="AH12" s="39"/>
    </row>
    <row r="13" spans="1:51" ht="17.25" x14ac:dyDescent="0.25">
      <c r="B13" s="24"/>
      <c r="C13" s="20"/>
      <c r="D13" s="20"/>
      <c r="E13" s="20"/>
      <c r="H13" s="20"/>
      <c r="I13" s="25"/>
      <c r="J13" s="25"/>
      <c r="K13" s="20"/>
      <c r="P13" s="26"/>
      <c r="Q13" s="27"/>
      <c r="R13" s="27"/>
    </row>
    <row r="14" spans="1:51" ht="17.25" x14ac:dyDescent="0.25">
      <c r="B14" s="24"/>
      <c r="C14" s="28"/>
      <c r="D14" s="20"/>
      <c r="E14" s="20"/>
      <c r="H14" s="20"/>
      <c r="I14" s="29"/>
      <c r="J14" s="25"/>
      <c r="K14" s="20"/>
      <c r="P14" s="20"/>
      <c r="Q14" s="30"/>
      <c r="R14" s="30"/>
    </row>
    <row r="15" spans="1:51" ht="17.25" x14ac:dyDescent="0.25">
      <c r="B15" s="31"/>
      <c r="C15" s="28"/>
      <c r="D15" s="20"/>
      <c r="E15" s="20"/>
      <c r="H15" s="20"/>
      <c r="I15" s="29"/>
      <c r="J15" s="25"/>
      <c r="K15" s="21"/>
      <c r="P15" s="20"/>
      <c r="Q15" s="30"/>
      <c r="R15" s="30"/>
    </row>
    <row r="16" spans="1:51" ht="17.25" x14ac:dyDescent="0.25">
      <c r="B16" s="32" t="s">
        <v>67</v>
      </c>
      <c r="C16" s="33"/>
      <c r="D16" s="17"/>
      <c r="E16" s="20"/>
      <c r="H16" s="20"/>
      <c r="I16" s="29"/>
      <c r="J16" s="19" t="s">
        <v>68</v>
      </c>
      <c r="K16" s="20"/>
      <c r="P16" s="20"/>
      <c r="Q16" s="19" t="s">
        <v>69</v>
      </c>
      <c r="R16" s="30"/>
    </row>
    <row r="17" spans="2:35" ht="17.25" x14ac:dyDescent="0.25">
      <c r="B17" s="32" t="s">
        <v>259</v>
      </c>
      <c r="C17" s="32"/>
      <c r="D17" s="31"/>
      <c r="E17" s="20"/>
      <c r="H17" s="20"/>
      <c r="I17" s="34"/>
      <c r="J17" s="19" t="s">
        <v>71</v>
      </c>
      <c r="K17" s="19"/>
      <c r="P17" s="20"/>
      <c r="Q17" s="19" t="s">
        <v>72</v>
      </c>
      <c r="R17" s="30"/>
    </row>
    <row r="19" spans="2:35" x14ac:dyDescent="0.25"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7" spans="2:35" ht="24.75" customHeight="1" x14ac:dyDescent="0.25"/>
    <row r="29" spans="2:35" ht="21.75" customHeight="1" x14ac:dyDescent="0.25"/>
    <row r="30" spans="2:35" ht="21.75" customHeight="1" x14ac:dyDescent="0.25"/>
    <row r="31" spans="2:35" ht="21.75" customHeight="1" x14ac:dyDescent="0.25"/>
    <row r="32" spans="2:35" ht="21" customHeight="1" x14ac:dyDescent="0.25"/>
    <row r="33" spans="23:23" ht="21" customHeight="1" x14ac:dyDescent="0.25"/>
    <row r="34" spans="23:23" ht="21" customHeight="1" x14ac:dyDescent="0.25">
      <c r="W34"/>
    </row>
    <row r="35" spans="23:23" ht="21.75" customHeight="1" x14ac:dyDescent="0.25">
      <c r="W35"/>
    </row>
    <row r="36" spans="23:23" ht="21.75" customHeight="1" x14ac:dyDescent="0.25">
      <c r="W36"/>
    </row>
    <row r="37" spans="23:23" ht="21.75" customHeight="1" x14ac:dyDescent="0.25">
      <c r="W37"/>
    </row>
    <row r="38" spans="23:23" ht="21.75" customHeight="1" x14ac:dyDescent="0.25">
      <c r="W38"/>
    </row>
    <row r="39" spans="23:23" x14ac:dyDescent="0.25">
      <c r="W39"/>
    </row>
    <row r="40" spans="23:23" x14ac:dyDescent="0.25">
      <c r="W40"/>
    </row>
    <row r="41" spans="23:23" x14ac:dyDescent="0.25">
      <c r="W41"/>
    </row>
    <row r="42" spans="23:23" x14ac:dyDescent="0.25">
      <c r="W42"/>
    </row>
    <row r="43" spans="23:23" x14ac:dyDescent="0.25">
      <c r="W43"/>
    </row>
    <row r="44" spans="23:23" x14ac:dyDescent="0.25">
      <c r="W44"/>
    </row>
    <row r="45" spans="23:23" x14ac:dyDescent="0.25">
      <c r="W45"/>
    </row>
    <row r="46" spans="23:23" x14ac:dyDescent="0.25">
      <c r="W46"/>
    </row>
    <row r="47" spans="23:23" x14ac:dyDescent="0.25">
      <c r="W47"/>
    </row>
  </sheetData>
  <mergeCells count="24">
    <mergeCell ref="X2:X4"/>
    <mergeCell ref="Y2:AK2"/>
    <mergeCell ref="AO2:AX2"/>
    <mergeCell ref="E3:F3"/>
    <mergeCell ref="G3:H3"/>
    <mergeCell ref="I3:J3"/>
    <mergeCell ref="K3:L3"/>
    <mergeCell ref="M3:N3"/>
    <mergeCell ref="Q2:R2"/>
    <mergeCell ref="S2:T2"/>
    <mergeCell ref="U2:V2"/>
    <mergeCell ref="O3:P3"/>
    <mergeCell ref="Q3:R3"/>
    <mergeCell ref="S3:T3"/>
    <mergeCell ref="U3:V3"/>
    <mergeCell ref="W2:W4"/>
    <mergeCell ref="A1:V1"/>
    <mergeCell ref="A2:C3"/>
    <mergeCell ref="E2:F2"/>
    <mergeCell ref="G2:H2"/>
    <mergeCell ref="I2:J2"/>
    <mergeCell ref="K2:L2"/>
    <mergeCell ref="M2:N2"/>
    <mergeCell ref="O2:P2"/>
  </mergeCells>
  <conditionalFormatting sqref="W2:W3 A2:D3 A5 W5 A4:W4 A1:W1">
    <cfRule type="containsText" dxfId="3108" priority="619" stopIfTrue="1" operator="containsText" text="SP">
      <formula>NOT(ISERROR(SEARCH("SP",A1)))</formula>
    </cfRule>
  </conditionalFormatting>
  <conditionalFormatting sqref="W2:W3 A2:D3 A5 W5 A4:W4 A1:W1">
    <cfRule type="containsText" dxfId="3107" priority="620" stopIfTrue="1" operator="containsText" text="AL">
      <formula>NOT(ISERROR(SEARCH("AL",A1)))</formula>
    </cfRule>
    <cfRule type="containsText" dxfId="3106" priority="621" stopIfTrue="1" operator="containsText" text="EL">
      <formula>NOT(ISERROR(SEARCH("EL",A1)))</formula>
    </cfRule>
    <cfRule type="containsText" dxfId="3105" priority="622" stopIfTrue="1" operator="containsText" text="AB">
      <formula>NOT(ISERROR(SEARCH("AB",A1)))</formula>
    </cfRule>
    <cfRule type="containsText" dxfId="3104" priority="623" stopIfTrue="1" operator="containsText" text="FL">
      <formula>NOT(ISERROR(SEARCH("FL",A1)))</formula>
    </cfRule>
    <cfRule type="containsText" dxfId="3103" priority="624" stopIfTrue="1" operator="containsText" text="SICK">
      <formula>NOT(ISERROR(SEARCH("SICK",A1)))</formula>
    </cfRule>
  </conditionalFormatting>
  <conditionalFormatting sqref="D5">
    <cfRule type="timePeriod" dxfId="3102" priority="539" timePeriod="last7Days">
      <formula>AND(TODAY()-FLOOR(D5,1)&lt;=6,FLOOR(D5,1)&lt;=TODAY())</formula>
    </cfRule>
    <cfRule type="timePeriod" dxfId="3101" priority="540" timePeriod="thisWeek">
      <formula>AND(TODAY()-ROUNDDOWN(D5,0)&lt;=WEEKDAY(TODAY())-1,ROUNDDOWN(D5,0)-TODAY()&lt;=7-WEEKDAY(TODAY()))</formula>
    </cfRule>
    <cfRule type="timePeriod" priority="541" timePeriod="nextWeek">
      <formula>AND(ROUNDDOWN(D5,0)-TODAY()&gt;(7-WEEKDAY(TODAY())),ROUNDDOWN(D5,0)-TODAY()&lt;(15-WEEKDAY(TODAY())))</formula>
    </cfRule>
    <cfRule type="timePeriod" dxfId="3100" priority="542" timePeriod="nextWeek">
      <formula>AND(ROUNDDOWN(D5,0)-TODAY()&gt;(7-WEEKDAY(TODAY())),ROUNDDOWN(D5,0)-TODAY()&lt;(15-WEEKDAY(TODAY())))</formula>
    </cfRule>
  </conditionalFormatting>
  <conditionalFormatting sqref="V7:V10 H12:K15">
    <cfRule type="containsText" dxfId="3099" priority="625" stopIfTrue="1" operator="containsText" text="AB">
      <formula>NOT(ISERROR(SEARCH("AB",H7)))</formula>
    </cfRule>
    <cfRule type="containsText" dxfId="3098" priority="626" stopIfTrue="1" operator="containsText" text="SICK">
      <formula>NOT(ISERROR(SEARCH("SICK",H7)))</formula>
    </cfRule>
    <cfRule type="containsText" dxfId="3097" priority="627" stopIfTrue="1" operator="containsText" text="SP">
      <formula>NOT(ISERROR(SEARCH("SP",H7)))</formula>
    </cfRule>
    <cfRule type="containsText" priority="628" stopIfTrue="1" operator="containsText" text="SP">
      <formula>NOT(ISERROR(SEARCH("SP",H7)))</formula>
    </cfRule>
    <cfRule type="containsText" dxfId="3096" priority="629" stopIfTrue="1" operator="containsText" text="SICK">
      <formula>NOT(ISERROR(SEARCH("SICK",H7)))</formula>
    </cfRule>
  </conditionalFormatting>
  <conditionalFormatting sqref="X5">
    <cfRule type="cellIs" dxfId="3095" priority="640" stopIfTrue="1" operator="equal">
      <formula>";"</formula>
    </cfRule>
  </conditionalFormatting>
  <conditionalFormatting sqref="X2">
    <cfRule type="cellIs" dxfId="3094" priority="639" operator="equal">
      <formula>";"</formula>
    </cfRule>
  </conditionalFormatting>
  <conditionalFormatting sqref="AC4">
    <cfRule type="containsText" dxfId="3093" priority="462" operator="containsText" text="EL">
      <formula>NOT(ISERROR(SEARCH("EL",AC4)))</formula>
    </cfRule>
    <cfRule type="containsText" dxfId="3092" priority="463" operator="containsText" text="AB">
      <formula>NOT(ISERROR(SEARCH("AB",AC4)))</formula>
    </cfRule>
    <cfRule type="containsText" dxfId="3091" priority="464" operator="containsText" text="SUS">
      <formula>NOT(ISERROR(SEARCH("SUS",AC4)))</formula>
    </cfRule>
    <cfRule type="containsText" dxfId="3090" priority="465" operator="containsText" text="FL">
      <formula>NOT(ISERROR(SEARCH("FL",AC4)))</formula>
    </cfRule>
    <cfRule type="containsText" dxfId="3089" priority="466" operator="containsText" text="MC">
      <formula>NOT(ISERROR(SEARCH("MC",AC4)))</formula>
    </cfRule>
    <cfRule type="containsText" dxfId="3088" priority="467" operator="containsText" text="AB">
      <formula>NOT(ISERROR(SEARCH("AB",AC4)))</formula>
    </cfRule>
    <cfRule type="containsText" dxfId="3087" priority="468" operator="containsText" text="Sick">
      <formula>NOT(ISERROR(SEARCH("Sick",AC4)))</formula>
    </cfRule>
    <cfRule type="containsText" dxfId="3086" priority="469" operator="containsText" text="OFF">
      <formula>NOT(ISERROR(SEARCH("OFF",AC4)))</formula>
    </cfRule>
    <cfRule type="containsText" dxfId="3085" priority="470" operator="containsText" text="AL">
      <formula>NOT(ISERROR(SEARCH("AL",AC4)))</formula>
    </cfRule>
  </conditionalFormatting>
  <conditionalFormatting sqref="Z4">
    <cfRule type="containsText" dxfId="3084" priority="444" operator="containsText" text="EL">
      <formula>NOT(ISERROR(SEARCH("EL",Z4)))</formula>
    </cfRule>
    <cfRule type="containsText" dxfId="3083" priority="445" operator="containsText" text="AB">
      <formula>NOT(ISERROR(SEARCH("AB",Z4)))</formula>
    </cfRule>
    <cfRule type="containsText" dxfId="3082" priority="446" operator="containsText" text="SUS">
      <formula>NOT(ISERROR(SEARCH("SUS",Z4)))</formula>
    </cfRule>
    <cfRule type="containsText" dxfId="3081" priority="447" operator="containsText" text="FL">
      <formula>NOT(ISERROR(SEARCH("FL",Z4)))</formula>
    </cfRule>
    <cfRule type="containsText" dxfId="3080" priority="448" operator="containsText" text="MC">
      <formula>NOT(ISERROR(SEARCH("MC",Z4)))</formula>
    </cfRule>
    <cfRule type="containsText" dxfId="3079" priority="449" operator="containsText" text="AB">
      <formula>NOT(ISERROR(SEARCH("AB",Z4)))</formula>
    </cfRule>
    <cfRule type="containsText" dxfId="3078" priority="450" operator="containsText" text="Sick">
      <formula>NOT(ISERROR(SEARCH("Sick",Z4)))</formula>
    </cfRule>
    <cfRule type="containsText" dxfId="3077" priority="451" operator="containsText" text="OFF">
      <formula>NOT(ISERROR(SEARCH("OFF",Z4)))</formula>
    </cfRule>
    <cfRule type="containsText" dxfId="3076" priority="452" operator="containsText" text="AL">
      <formula>NOT(ISERROR(SEARCH("AL",Z4)))</formula>
    </cfRule>
  </conditionalFormatting>
  <conditionalFormatting sqref="AF4">
    <cfRule type="containsText" dxfId="3075" priority="424" operator="containsText" text="SP">
      <formula>NOT(ISERROR(SEARCH("SP",AF4)))</formula>
    </cfRule>
    <cfRule type="containsText" dxfId="3074" priority="425" operator="containsText" text="NL">
      <formula>NOT(ISERROR(SEARCH("NL",AF4)))</formula>
    </cfRule>
    <cfRule type="containsText" dxfId="3073" priority="426" operator="containsText" text="SUS">
      <formula>NOT(ISERROR(SEARCH("SUS",AF4)))</formula>
    </cfRule>
    <cfRule type="containsText" dxfId="3072" priority="427" operator="containsText" text="FL">
      <formula>NOT(ISERROR(SEARCH("FL",AF4)))</formula>
    </cfRule>
    <cfRule type="containsText" dxfId="3071" priority="428" operator="containsText" text="EL">
      <formula>NOT(ISERROR(SEARCH("EL",AF4)))</formula>
    </cfRule>
    <cfRule type="containsText" dxfId="3070" priority="429" operator="containsText" text="MC">
      <formula>NOT(ISERROR(SEARCH("MC",AF4)))</formula>
    </cfRule>
    <cfRule type="containsText" dxfId="3069" priority="430" operator="containsText" text="OFF">
      <formula>NOT(ISERROR(SEARCH("OFF",AF4)))</formula>
    </cfRule>
    <cfRule type="containsText" dxfId="3068" priority="431" operator="containsText" text="AB">
      <formula>NOT(ISERROR(SEARCH("AB",AF4)))</formula>
    </cfRule>
    <cfRule type="containsText" dxfId="3067" priority="432" operator="containsText" text="SICK">
      <formula>NOT(ISERROR(SEARCH("SICK",AF4)))</formula>
    </cfRule>
    <cfRule type="containsText" dxfId="3066" priority="433" operator="containsText" text="AL">
      <formula>NOT(ISERROR(SEARCH("AL",AF4)))</formula>
    </cfRule>
  </conditionalFormatting>
  <conditionalFormatting sqref="AH4">
    <cfRule type="containsText" dxfId="3065" priority="404" operator="containsText" text="SP">
      <formula>NOT(ISERROR(SEARCH("SP",AH4)))</formula>
    </cfRule>
    <cfRule type="containsText" dxfId="3064" priority="405" operator="containsText" text="NL">
      <formula>NOT(ISERROR(SEARCH("NL",AH4)))</formula>
    </cfRule>
    <cfRule type="containsText" dxfId="3063" priority="406" operator="containsText" text="SUS">
      <formula>NOT(ISERROR(SEARCH("SUS",AH4)))</formula>
    </cfRule>
    <cfRule type="containsText" dxfId="3062" priority="407" operator="containsText" text="FL">
      <formula>NOT(ISERROR(SEARCH("FL",AH4)))</formula>
    </cfRule>
    <cfRule type="containsText" dxfId="3061" priority="408" operator="containsText" text="EL">
      <formula>NOT(ISERROR(SEARCH("EL",AH4)))</formula>
    </cfRule>
    <cfRule type="containsText" dxfId="3060" priority="409" operator="containsText" text="MC">
      <formula>NOT(ISERROR(SEARCH("MC",AH4)))</formula>
    </cfRule>
    <cfRule type="containsText" dxfId="3059" priority="410" operator="containsText" text="OFF">
      <formula>NOT(ISERROR(SEARCH("OFF",AH4)))</formula>
    </cfRule>
    <cfRule type="containsText" dxfId="3058" priority="411" operator="containsText" text="AB">
      <formula>NOT(ISERROR(SEARCH("AB",AH4)))</formula>
    </cfRule>
    <cfRule type="containsText" dxfId="3057" priority="412" operator="containsText" text="SICK">
      <formula>NOT(ISERROR(SEARCH("SICK",AH4)))</formula>
    </cfRule>
    <cfRule type="containsText" dxfId="3056" priority="413" operator="containsText" text="AL">
      <formula>NOT(ISERROR(SEARCH("AL",AH4)))</formula>
    </cfRule>
  </conditionalFormatting>
  <conditionalFormatting sqref="AJ4">
    <cfRule type="containsText" dxfId="3055" priority="358" operator="containsText" text="SP">
      <formula>NOT(ISERROR(SEARCH("SP",AJ4)))</formula>
    </cfRule>
    <cfRule type="containsText" dxfId="3054" priority="359" operator="containsText" text="NL">
      <formula>NOT(ISERROR(SEARCH("NL",AJ4)))</formula>
    </cfRule>
    <cfRule type="containsText" dxfId="3053" priority="360" operator="containsText" text="SUS">
      <formula>NOT(ISERROR(SEARCH("SUS",AJ4)))</formula>
    </cfRule>
    <cfRule type="containsText" dxfId="3052" priority="361" operator="containsText" text="FL">
      <formula>NOT(ISERROR(SEARCH("FL",AJ4)))</formula>
    </cfRule>
    <cfRule type="containsText" dxfId="3051" priority="362" operator="containsText" text="EL">
      <formula>NOT(ISERROR(SEARCH("EL",AJ4)))</formula>
    </cfRule>
    <cfRule type="containsText" dxfId="3050" priority="363" operator="containsText" text="MC">
      <formula>NOT(ISERROR(SEARCH("MC",AJ4)))</formula>
    </cfRule>
    <cfRule type="containsText" dxfId="3049" priority="364" operator="containsText" text="OFF">
      <formula>NOT(ISERROR(SEARCH("OFF",AJ4)))</formula>
    </cfRule>
    <cfRule type="containsText" dxfId="3048" priority="365" operator="containsText" text="AB">
      <formula>NOT(ISERROR(SEARCH("AB",AJ4)))</formula>
    </cfRule>
    <cfRule type="containsText" dxfId="3047" priority="366" operator="containsText" text="SICK">
      <formula>NOT(ISERROR(SEARCH("SICK",AJ4)))</formula>
    </cfRule>
    <cfRule type="containsText" dxfId="3046" priority="367" operator="containsText" text="AL">
      <formula>NOT(ISERROR(SEARCH("AL",AJ4)))</formula>
    </cfRule>
  </conditionalFormatting>
  <conditionalFormatting sqref="AI4">
    <cfRule type="containsText" dxfId="3045" priority="338" operator="containsText" text="SP">
      <formula>NOT(ISERROR(SEARCH("SP",AI4)))</formula>
    </cfRule>
    <cfRule type="containsText" dxfId="3044" priority="339" operator="containsText" text="NL">
      <formula>NOT(ISERROR(SEARCH("NL",AI4)))</formula>
    </cfRule>
    <cfRule type="containsText" dxfId="3043" priority="340" operator="containsText" text="SUS">
      <formula>NOT(ISERROR(SEARCH("SUS",AI4)))</formula>
    </cfRule>
    <cfRule type="containsText" dxfId="3042" priority="341" operator="containsText" text="FL">
      <formula>NOT(ISERROR(SEARCH("FL",AI4)))</formula>
    </cfRule>
    <cfRule type="containsText" dxfId="3041" priority="342" operator="containsText" text="EL">
      <formula>NOT(ISERROR(SEARCH("EL",AI4)))</formula>
    </cfRule>
    <cfRule type="containsText" dxfId="3040" priority="343" operator="containsText" text="MC">
      <formula>NOT(ISERROR(SEARCH("MC",AI4)))</formula>
    </cfRule>
    <cfRule type="containsText" dxfId="3039" priority="344" operator="containsText" text="OFF">
      <formula>NOT(ISERROR(SEARCH("OFF",AI4)))</formula>
    </cfRule>
    <cfRule type="containsText" dxfId="3038" priority="345" operator="containsText" text="AB">
      <formula>NOT(ISERROR(SEARCH("AB",AI4)))</formula>
    </cfRule>
    <cfRule type="containsText" dxfId="3037" priority="346" operator="containsText" text="SICK">
      <formula>NOT(ISERROR(SEARCH("SICK",AI4)))</formula>
    </cfRule>
    <cfRule type="containsText" dxfId="3036" priority="347" operator="containsText" text="AL">
      <formula>NOT(ISERROR(SEARCH("AL",AI4)))</formula>
    </cfRule>
  </conditionalFormatting>
  <conditionalFormatting sqref="AE4">
    <cfRule type="containsText" dxfId="3035" priority="319" operator="containsText" text="EL">
      <formula>NOT(ISERROR(SEARCH("EL",AE4)))</formula>
    </cfRule>
    <cfRule type="containsText" dxfId="3034" priority="320" operator="containsText" text="AB">
      <formula>NOT(ISERROR(SEARCH("AB",AE4)))</formula>
    </cfRule>
    <cfRule type="containsText" dxfId="3033" priority="321" operator="containsText" text="SUS">
      <formula>NOT(ISERROR(SEARCH("SUS",AE4)))</formula>
    </cfRule>
    <cfRule type="containsText" dxfId="3032" priority="322" operator="containsText" text="FL">
      <formula>NOT(ISERROR(SEARCH("FL",AE4)))</formula>
    </cfRule>
    <cfRule type="containsText" dxfId="3031" priority="323" operator="containsText" text="MC">
      <formula>NOT(ISERROR(SEARCH("MC",AE4)))</formula>
    </cfRule>
    <cfRule type="containsText" dxfId="3030" priority="324" operator="containsText" text="AB">
      <formula>NOT(ISERROR(SEARCH("AB",AE4)))</formula>
    </cfRule>
    <cfRule type="containsText" dxfId="3029" priority="325" operator="containsText" text="Sick">
      <formula>NOT(ISERROR(SEARCH("Sick",AE4)))</formula>
    </cfRule>
    <cfRule type="containsText" dxfId="3028" priority="326" operator="containsText" text="OFF">
      <formula>NOT(ISERROR(SEARCH("OFF",AE4)))</formula>
    </cfRule>
    <cfRule type="containsText" dxfId="3027" priority="327" operator="containsText" text="AL">
      <formula>NOT(ISERROR(SEARCH("AL",AE4)))</formula>
    </cfRule>
  </conditionalFormatting>
  <conditionalFormatting sqref="AD4">
    <cfRule type="containsText" dxfId="3026" priority="310" operator="containsText" text="EL">
      <formula>NOT(ISERROR(SEARCH("EL",AD4)))</formula>
    </cfRule>
    <cfRule type="containsText" dxfId="3025" priority="311" operator="containsText" text="AB">
      <formula>NOT(ISERROR(SEARCH("AB",AD4)))</formula>
    </cfRule>
    <cfRule type="containsText" dxfId="3024" priority="312" operator="containsText" text="SUS">
      <formula>NOT(ISERROR(SEARCH("SUS",AD4)))</formula>
    </cfRule>
    <cfRule type="containsText" dxfId="3023" priority="313" operator="containsText" text="FL">
      <formula>NOT(ISERROR(SEARCH("FL",AD4)))</formula>
    </cfRule>
    <cfRule type="containsText" dxfId="3022" priority="314" operator="containsText" text="MC">
      <formula>NOT(ISERROR(SEARCH("MC",AD4)))</formula>
    </cfRule>
    <cfRule type="containsText" dxfId="3021" priority="315" operator="containsText" text="AB">
      <formula>NOT(ISERROR(SEARCH("AB",AD4)))</formula>
    </cfRule>
    <cfRule type="containsText" dxfId="3020" priority="316" operator="containsText" text="Sick">
      <formula>NOT(ISERROR(SEARCH("Sick",AD4)))</formula>
    </cfRule>
    <cfRule type="containsText" dxfId="3019" priority="317" operator="containsText" text="OFF">
      <formula>NOT(ISERROR(SEARCH("OFF",AD4)))</formula>
    </cfRule>
    <cfRule type="containsText" dxfId="3018" priority="318" operator="containsText" text="AL">
      <formula>NOT(ISERROR(SEARCH("AL",AD4)))</formula>
    </cfRule>
  </conditionalFormatting>
  <conditionalFormatting sqref="AA4">
    <cfRule type="containsText" dxfId="3017" priority="301" operator="containsText" text="EL">
      <formula>NOT(ISERROR(SEARCH("EL",AA4)))</formula>
    </cfRule>
    <cfRule type="containsText" dxfId="3016" priority="302" operator="containsText" text="AB">
      <formula>NOT(ISERROR(SEARCH("AB",AA4)))</formula>
    </cfRule>
    <cfRule type="containsText" dxfId="3015" priority="303" operator="containsText" text="SUS">
      <formula>NOT(ISERROR(SEARCH("SUS",AA4)))</formula>
    </cfRule>
    <cfRule type="containsText" dxfId="3014" priority="304" operator="containsText" text="FL">
      <formula>NOT(ISERROR(SEARCH("FL",AA4)))</formula>
    </cfRule>
    <cfRule type="containsText" dxfId="3013" priority="305" operator="containsText" text="MC">
      <formula>NOT(ISERROR(SEARCH("MC",AA4)))</formula>
    </cfRule>
    <cfRule type="containsText" dxfId="3012" priority="306" operator="containsText" text="AB">
      <formula>NOT(ISERROR(SEARCH("AB",AA4)))</formula>
    </cfRule>
    <cfRule type="containsText" dxfId="3011" priority="307" operator="containsText" text="Sick">
      <formula>NOT(ISERROR(SEARCH("Sick",AA4)))</formula>
    </cfRule>
    <cfRule type="containsText" dxfId="3010" priority="308" operator="containsText" text="OFF">
      <formula>NOT(ISERROR(SEARCH("OFF",AA4)))</formula>
    </cfRule>
    <cfRule type="containsText" dxfId="3009" priority="309" operator="containsText" text="AL">
      <formula>NOT(ISERROR(SEARCH("AL",AA4)))</formula>
    </cfRule>
  </conditionalFormatting>
  <conditionalFormatting sqref="AB4">
    <cfRule type="containsText" dxfId="3008" priority="292" operator="containsText" text="EL">
      <formula>NOT(ISERROR(SEARCH("EL",AB4)))</formula>
    </cfRule>
    <cfRule type="containsText" dxfId="3007" priority="293" operator="containsText" text="AB">
      <formula>NOT(ISERROR(SEARCH("AB",AB4)))</formula>
    </cfRule>
    <cfRule type="containsText" dxfId="3006" priority="294" operator="containsText" text="SUS">
      <formula>NOT(ISERROR(SEARCH("SUS",AB4)))</formula>
    </cfRule>
    <cfRule type="containsText" dxfId="3005" priority="295" operator="containsText" text="FL">
      <formula>NOT(ISERROR(SEARCH("FL",AB4)))</formula>
    </cfRule>
    <cfRule type="containsText" dxfId="3004" priority="296" operator="containsText" text="MC">
      <formula>NOT(ISERROR(SEARCH("MC",AB4)))</formula>
    </cfRule>
    <cfRule type="containsText" dxfId="3003" priority="297" operator="containsText" text="AB">
      <formula>NOT(ISERROR(SEARCH("AB",AB4)))</formula>
    </cfRule>
    <cfRule type="containsText" dxfId="3002" priority="298" operator="containsText" text="Sick">
      <formula>NOT(ISERROR(SEARCH("Sick",AB4)))</formula>
    </cfRule>
    <cfRule type="containsText" dxfId="3001" priority="299" operator="containsText" text="OFF">
      <formula>NOT(ISERROR(SEARCH("OFF",AB4)))</formula>
    </cfRule>
    <cfRule type="containsText" dxfId="3000" priority="300" operator="containsText" text="AL">
      <formula>NOT(ISERROR(SEARCH("AL",AB4)))</formula>
    </cfRule>
  </conditionalFormatting>
  <conditionalFormatting sqref="C5:C7">
    <cfRule type="duplicateValues" dxfId="2999" priority="10739"/>
  </conditionalFormatting>
  <conditionalFormatting sqref="P12:R17">
    <cfRule type="containsText" dxfId="2998" priority="1" stopIfTrue="1" operator="containsText" text="SP">
      <formula>NOT(ISERROR(SEARCH("SP",P12)))</formula>
    </cfRule>
    <cfRule type="containsText" dxfId="2997" priority="2" stopIfTrue="1" operator="containsText" text="AL">
      <formula>NOT(ISERROR(SEARCH("AL",P12)))</formula>
    </cfRule>
    <cfRule type="containsText" dxfId="2996" priority="3" stopIfTrue="1" operator="containsText" text="EL">
      <formula>NOT(ISERROR(SEARCH("EL",P12)))</formula>
    </cfRule>
    <cfRule type="containsText" dxfId="2995" priority="4" stopIfTrue="1" operator="containsText" text="AB">
      <formula>NOT(ISERROR(SEARCH("AB",P12)))</formula>
    </cfRule>
    <cfRule type="containsText" dxfId="2994" priority="5" stopIfTrue="1" operator="containsText" text="FL">
      <formula>NOT(ISERROR(SEARCH("FL",P12)))</formula>
    </cfRule>
    <cfRule type="containsText" dxfId="2993" priority="6" stopIfTrue="1" operator="containsText" text="SICK">
      <formula>NOT(ISERROR(SEARCH("SICK",P12)))</formula>
    </cfRule>
  </conditionalFormatting>
  <conditionalFormatting sqref="C1:C7 C18:C1048576">
    <cfRule type="duplicateValues" dxfId="2992" priority="10740"/>
  </conditionalFormatting>
  <pageMargins left="0.7" right="0.7" top="0.75" bottom="0.75" header="0.3" footer="0.3"/>
  <pageSetup paperSize="9" scale="36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B8F2-6D8F-4453-A80C-826DCB519F4E}">
  <sheetPr>
    <pageSetUpPr fitToPage="1"/>
  </sheetPr>
  <dimension ref="A1:BG3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5" sqref="C5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30" width="6.5703125" customWidth="1"/>
    <col min="31" max="31" width="5.85546875" style="16" customWidth="1"/>
    <col min="32" max="39" width="5" customWidth="1"/>
    <col min="40" max="40" width="5.85546875" customWidth="1"/>
    <col min="41" max="44" width="5" customWidth="1"/>
    <col min="45" max="45" width="22" customWidth="1"/>
    <col min="49" max="59" width="6" customWidth="1"/>
  </cols>
  <sheetData>
    <row r="1" spans="1:59" ht="25.5" customHeight="1" x14ac:dyDescent="0.25">
      <c r="A1" s="166" t="s">
        <v>258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24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59" ht="22.5" customHeight="1" x14ac:dyDescent="0.25">
      <c r="A2" s="154" t="s">
        <v>0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1" t="s">
        <v>2</v>
      </c>
      <c r="R2" s="178"/>
      <c r="S2" s="151" t="s">
        <v>3</v>
      </c>
      <c r="T2" s="178"/>
      <c r="U2" s="151" t="s">
        <v>4</v>
      </c>
      <c r="V2" s="178"/>
      <c r="W2" s="151" t="s">
        <v>5</v>
      </c>
      <c r="X2" s="178"/>
      <c r="Y2" s="151" t="s">
        <v>6</v>
      </c>
      <c r="Z2" s="178"/>
      <c r="AA2" s="151" t="s">
        <v>7</v>
      </c>
      <c r="AB2" s="178"/>
      <c r="AC2" s="151" t="s">
        <v>1</v>
      </c>
      <c r="AD2" s="178"/>
      <c r="AE2" s="171" t="s">
        <v>8</v>
      </c>
      <c r="AF2" s="163" t="s">
        <v>9</v>
      </c>
      <c r="AG2" s="160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2"/>
      <c r="AW2" s="155" t="s">
        <v>203</v>
      </c>
      <c r="AX2" s="155"/>
      <c r="AY2" s="155"/>
      <c r="AZ2" s="155"/>
      <c r="BA2" s="155"/>
      <c r="BB2" s="155"/>
      <c r="BC2" s="155"/>
      <c r="BD2" s="155"/>
      <c r="BE2" s="155"/>
      <c r="BF2" s="155"/>
      <c r="BG2" s="48"/>
    </row>
    <row r="3" spans="1:59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52">
        <v>46149</v>
      </c>
      <c r="R3" s="177"/>
      <c r="S3" s="152">
        <v>46150</v>
      </c>
      <c r="T3" s="177"/>
      <c r="U3" s="152">
        <v>46151</v>
      </c>
      <c r="V3" s="177"/>
      <c r="W3" s="152">
        <v>46152</v>
      </c>
      <c r="X3" s="177"/>
      <c r="Y3" s="152">
        <v>46153</v>
      </c>
      <c r="Z3" s="177"/>
      <c r="AA3" s="152">
        <v>46154</v>
      </c>
      <c r="AB3" s="177"/>
      <c r="AC3" s="152">
        <v>46155</v>
      </c>
      <c r="AD3" s="177"/>
      <c r="AE3" s="172"/>
      <c r="AF3" s="164"/>
      <c r="AG3" s="2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4"/>
      <c r="AW3" s="61" t="s">
        <v>250</v>
      </c>
      <c r="AX3" s="61"/>
      <c r="AY3" s="61"/>
      <c r="AZ3" s="61"/>
      <c r="BA3" s="61"/>
      <c r="BB3" s="61"/>
      <c r="BC3" s="61"/>
      <c r="BD3" s="61"/>
      <c r="BE3" s="61"/>
      <c r="BF3" s="61"/>
      <c r="BG3" s="48"/>
    </row>
    <row r="4" spans="1:59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14" t="s">
        <v>13</v>
      </c>
      <c r="R4" s="14" t="s">
        <v>14</v>
      </c>
      <c r="S4" s="14" t="s">
        <v>13</v>
      </c>
      <c r="T4" s="14" t="s">
        <v>14</v>
      </c>
      <c r="U4" s="14" t="s">
        <v>13</v>
      </c>
      <c r="V4" s="14" t="s">
        <v>14</v>
      </c>
      <c r="W4" s="14" t="s">
        <v>13</v>
      </c>
      <c r="X4" s="14" t="s">
        <v>14</v>
      </c>
      <c r="Y4" s="14" t="s">
        <v>13</v>
      </c>
      <c r="Z4" s="14" t="s">
        <v>14</v>
      </c>
      <c r="AA4" s="14" t="s">
        <v>13</v>
      </c>
      <c r="AB4" s="14" t="s">
        <v>14</v>
      </c>
      <c r="AC4" s="14" t="s">
        <v>13</v>
      </c>
      <c r="AD4" s="14" t="s">
        <v>14</v>
      </c>
      <c r="AE4" s="173"/>
      <c r="AF4" s="165"/>
      <c r="AG4" s="6"/>
      <c r="AH4" s="120" t="s">
        <v>15</v>
      </c>
      <c r="AI4" s="118" t="s">
        <v>16</v>
      </c>
      <c r="AJ4" s="118" t="s">
        <v>17</v>
      </c>
      <c r="AK4" s="115" t="s">
        <v>18</v>
      </c>
      <c r="AL4" s="118" t="s">
        <v>19</v>
      </c>
      <c r="AM4" s="118" t="s">
        <v>20</v>
      </c>
      <c r="AN4" s="90" t="s">
        <v>183</v>
      </c>
      <c r="AO4" s="7" t="s">
        <v>22</v>
      </c>
      <c r="AP4" s="91" t="s">
        <v>23</v>
      </c>
      <c r="AQ4" s="91" t="s">
        <v>24</v>
      </c>
      <c r="AR4" s="91" t="s">
        <v>25</v>
      </c>
      <c r="AS4" s="8" t="s">
        <v>26</v>
      </c>
      <c r="AW4" s="55" t="s">
        <v>16</v>
      </c>
      <c r="AX4" s="56" t="s">
        <v>17</v>
      </c>
      <c r="AY4" s="56" t="s">
        <v>18</v>
      </c>
      <c r="AZ4" s="56" t="s">
        <v>19</v>
      </c>
      <c r="BA4" s="56" t="s">
        <v>20</v>
      </c>
      <c r="BB4" s="56" t="s">
        <v>21</v>
      </c>
      <c r="BC4" s="56" t="s">
        <v>22</v>
      </c>
      <c r="BD4" s="56" t="s">
        <v>23</v>
      </c>
      <c r="BE4" s="56" t="s">
        <v>24</v>
      </c>
      <c r="BF4" s="56" t="s">
        <v>25</v>
      </c>
      <c r="BG4" s="57" t="s">
        <v>204</v>
      </c>
    </row>
    <row r="5" spans="1:59" ht="21" customHeight="1" x14ac:dyDescent="0.25">
      <c r="A5" s="11">
        <v>1</v>
      </c>
      <c r="B5" s="12" t="s">
        <v>51</v>
      </c>
      <c r="C5" s="98" t="s">
        <v>52</v>
      </c>
      <c r="D5" s="112">
        <v>45381</v>
      </c>
      <c r="E5" s="120" t="s">
        <v>15</v>
      </c>
      <c r="F5" s="120" t="s">
        <v>15</v>
      </c>
      <c r="G5" s="90">
        <v>0.35347222222222219</v>
      </c>
      <c r="H5" s="90">
        <v>0.96875</v>
      </c>
      <c r="I5" s="90">
        <v>0.3527777777777778</v>
      </c>
      <c r="J5" s="90">
        <v>0.93125000000000002</v>
      </c>
      <c r="K5" s="90">
        <v>0.35486111111111113</v>
      </c>
      <c r="L5" s="90">
        <v>0.95972222222222225</v>
      </c>
      <c r="M5" s="90">
        <v>0.3527777777777778</v>
      </c>
      <c r="N5" s="90">
        <v>0.93402777777777779</v>
      </c>
      <c r="O5" s="90">
        <v>0.3527777777777778</v>
      </c>
      <c r="P5" s="90">
        <v>0.96805555555555556</v>
      </c>
      <c r="Q5" s="90">
        <v>0.3520833333333333</v>
      </c>
      <c r="R5" s="90">
        <v>0.98263888888888884</v>
      </c>
      <c r="S5" s="126">
        <v>0.58194444444444449</v>
      </c>
      <c r="T5" s="126">
        <v>0.92152777777777783</v>
      </c>
      <c r="U5" s="90">
        <v>0.3520833333333333</v>
      </c>
      <c r="V5" s="90">
        <v>0.94374999999999998</v>
      </c>
      <c r="W5" s="90">
        <v>0.3527777777777778</v>
      </c>
      <c r="X5" s="91">
        <v>1</v>
      </c>
      <c r="Y5" s="91">
        <v>1</v>
      </c>
      <c r="Z5" s="91">
        <v>1</v>
      </c>
      <c r="AA5" s="91">
        <v>1</v>
      </c>
      <c r="AB5" s="91">
        <v>1</v>
      </c>
      <c r="AC5" s="91">
        <v>1</v>
      </c>
      <c r="AD5" s="91">
        <v>1</v>
      </c>
      <c r="AE5" s="10">
        <f>AG5+AH5+AJ5+AK5+AO5+AM5+AN5+AR5</f>
        <v>13</v>
      </c>
      <c r="AF5" s="81">
        <v>1</v>
      </c>
      <c r="AG5" s="2">
        <f>COUNT(E5:AD5)/2+COUNT(#REF!)/2</f>
        <v>12</v>
      </c>
      <c r="AH5" s="3">
        <f>COUNTIF(E5:AD5,"OFF")/2</f>
        <v>1</v>
      </c>
      <c r="AI5" s="3">
        <f>COUNTIF(E5:AD5,"MC")/2</f>
        <v>0</v>
      </c>
      <c r="AJ5" s="3">
        <f>COUNTIF(E5:AD5,"EL")/2</f>
        <v>0</v>
      </c>
      <c r="AK5" s="3">
        <f>COUNTIF(E5:AD5,"AL")/2</f>
        <v>0</v>
      </c>
      <c r="AL5" s="3">
        <f>COUNTIF(E5:AD5,"SUS")/2</f>
        <v>0</v>
      </c>
      <c r="AM5" s="3">
        <f>COUNTIF(E5:AD5,"FL")/2</f>
        <v>0</v>
      </c>
      <c r="AN5" s="3">
        <f>COUNTIF(E5:AD5,"SICK")/2</f>
        <v>0</v>
      </c>
      <c r="AO5" s="3">
        <f>COUNTIF(E5:AD5,"HD")/2</f>
        <v>0</v>
      </c>
      <c r="AP5" s="3">
        <f>COUNTIF(E5:AD5,"AB")/2</f>
        <v>0</v>
      </c>
      <c r="AQ5" s="3">
        <f>COUNTIF(E5:AD5,"NL")/2</f>
        <v>0</v>
      </c>
      <c r="AR5" s="3">
        <f>COUNTIF(E5:AD5,"SP")/2</f>
        <v>0</v>
      </c>
      <c r="AS5" s="85"/>
      <c r="AW5" s="58">
        <v>0</v>
      </c>
      <c r="AX5" s="58">
        <v>0</v>
      </c>
      <c r="AY5" s="59">
        <v>40</v>
      </c>
      <c r="AZ5" s="58">
        <v>0</v>
      </c>
      <c r="BA5" s="58">
        <v>0</v>
      </c>
      <c r="BB5" s="58">
        <v>0</v>
      </c>
      <c r="BC5" s="59">
        <v>2</v>
      </c>
      <c r="BD5" s="58">
        <v>0</v>
      </c>
      <c r="BE5" s="58">
        <v>0</v>
      </c>
      <c r="BF5" s="58">
        <v>0</v>
      </c>
      <c r="BG5" s="60">
        <f t="shared" ref="BG5" si="0">SUM(AW5:BF5)</f>
        <v>42</v>
      </c>
    </row>
    <row r="7" spans="1:59" ht="15.75" x14ac:dyDescent="0.25">
      <c r="E7" s="129" t="s">
        <v>255</v>
      </c>
      <c r="F7" s="129"/>
      <c r="G7" s="129" t="s">
        <v>264</v>
      </c>
      <c r="H7" s="129"/>
      <c r="I7" s="129"/>
      <c r="J7" s="129"/>
      <c r="K7" s="129"/>
      <c r="L7" s="129"/>
      <c r="M7" s="108"/>
      <c r="N7" s="108"/>
      <c r="O7" s="108"/>
      <c r="AF7" s="36" t="s">
        <v>75</v>
      </c>
      <c r="AG7" s="37"/>
      <c r="AH7" s="37"/>
      <c r="AI7" s="38" t="s">
        <v>17</v>
      </c>
      <c r="AJ7" s="39"/>
      <c r="AK7" s="44" t="s">
        <v>76</v>
      </c>
      <c r="AL7" s="45"/>
      <c r="AM7" s="45"/>
      <c r="AN7" s="42"/>
      <c r="AO7" s="43" t="s">
        <v>23</v>
      </c>
    </row>
    <row r="8" spans="1:59" ht="23.25" customHeight="1" x14ac:dyDescent="0.25">
      <c r="E8" s="129" t="s">
        <v>256</v>
      </c>
      <c r="F8" s="129"/>
      <c r="G8" s="129" t="s">
        <v>265</v>
      </c>
      <c r="H8" s="129"/>
      <c r="I8" s="129"/>
      <c r="J8" s="129"/>
      <c r="K8" s="129"/>
      <c r="L8" s="129"/>
      <c r="M8" s="108"/>
      <c r="N8" s="108"/>
      <c r="O8" s="108"/>
      <c r="AF8" s="36" t="s">
        <v>77</v>
      </c>
      <c r="AG8" s="37"/>
      <c r="AH8" s="37"/>
      <c r="AI8" s="38" t="s">
        <v>18</v>
      </c>
      <c r="AJ8" s="39"/>
      <c r="AK8" s="40" t="s">
        <v>78</v>
      </c>
      <c r="AL8" s="41"/>
      <c r="AM8" s="41"/>
      <c r="AN8" s="42"/>
      <c r="AO8" s="43" t="s">
        <v>24</v>
      </c>
    </row>
    <row r="9" spans="1:59" ht="15.75" x14ac:dyDescent="0.25">
      <c r="J9" s="20"/>
      <c r="K9" s="21"/>
      <c r="L9" s="22"/>
      <c r="AF9" s="36" t="s">
        <v>79</v>
      </c>
      <c r="AG9" s="37"/>
      <c r="AH9" s="37"/>
      <c r="AI9" s="38" t="s">
        <v>19</v>
      </c>
      <c r="AJ9" s="39"/>
      <c r="AK9" s="40" t="s">
        <v>80</v>
      </c>
      <c r="AL9" s="41"/>
      <c r="AM9" s="41"/>
      <c r="AN9" s="42"/>
      <c r="AO9" s="43" t="s">
        <v>25</v>
      </c>
    </row>
    <row r="10" spans="1:59" ht="15.75" x14ac:dyDescent="0.25">
      <c r="J10" s="20"/>
      <c r="K10" s="20"/>
      <c r="L10" s="25"/>
      <c r="AF10" s="36" t="s">
        <v>81</v>
      </c>
      <c r="AG10" s="37"/>
      <c r="AH10" s="37"/>
      <c r="AI10" s="38" t="s">
        <v>20</v>
      </c>
      <c r="AJ10" s="39"/>
      <c r="AK10" s="39"/>
      <c r="AL10" s="39"/>
      <c r="AM10" s="39"/>
      <c r="AN10" s="39"/>
      <c r="AO10" s="39"/>
    </row>
    <row r="11" spans="1:59" ht="15.75" x14ac:dyDescent="0.25">
      <c r="J11" s="20"/>
      <c r="K11" s="28" t="s">
        <v>65</v>
      </c>
      <c r="L11" s="29"/>
    </row>
    <row r="12" spans="1:59" ht="15.75" x14ac:dyDescent="0.25">
      <c r="F12" s="17"/>
      <c r="G12" s="18" t="s">
        <v>63</v>
      </c>
      <c r="H12" s="19"/>
      <c r="I12" s="18"/>
      <c r="O12" s="22"/>
      <c r="P12" s="23" t="s">
        <v>64</v>
      </c>
      <c r="R12" s="20"/>
      <c r="S12" s="28"/>
      <c r="W12" s="21"/>
      <c r="X12" s="23" t="s">
        <v>66</v>
      </c>
      <c r="Y12" s="21"/>
    </row>
    <row r="13" spans="1:59" ht="17.25" x14ac:dyDescent="0.25">
      <c r="F13" s="24"/>
      <c r="G13" s="20"/>
      <c r="H13" s="20"/>
      <c r="I13" s="20"/>
      <c r="O13" s="25"/>
      <c r="P13" s="25"/>
      <c r="R13" s="20"/>
      <c r="S13" s="28"/>
      <c r="W13" s="26"/>
      <c r="X13" s="27"/>
      <c r="Y13" s="27"/>
    </row>
    <row r="14" spans="1:59" ht="17.25" x14ac:dyDescent="0.25">
      <c r="F14" s="24"/>
      <c r="G14" s="28"/>
      <c r="H14" s="20"/>
      <c r="I14" s="28"/>
      <c r="O14" s="29"/>
      <c r="P14" s="25"/>
      <c r="R14" s="20"/>
      <c r="S14" s="19"/>
      <c r="W14" s="20"/>
      <c r="X14" s="30"/>
      <c r="Y14" s="30"/>
    </row>
    <row r="15" spans="1:59" ht="17.25" x14ac:dyDescent="0.25">
      <c r="F15" s="31"/>
      <c r="G15" s="28"/>
      <c r="H15" s="20"/>
      <c r="I15" s="28"/>
      <c r="O15" s="29"/>
      <c r="P15" s="25"/>
      <c r="R15" s="26"/>
      <c r="S15" s="26"/>
      <c r="W15" s="20"/>
      <c r="X15" s="30"/>
      <c r="Y15" s="30"/>
    </row>
    <row r="16" spans="1:59" ht="17.25" x14ac:dyDescent="0.25">
      <c r="F16" s="32" t="s">
        <v>67</v>
      </c>
      <c r="G16" s="33"/>
      <c r="H16" s="17"/>
      <c r="I16" s="32"/>
      <c r="O16" s="29"/>
      <c r="P16" s="19" t="s">
        <v>68</v>
      </c>
      <c r="W16" s="20"/>
      <c r="X16" s="19" t="s">
        <v>69</v>
      </c>
      <c r="Y16" s="30"/>
    </row>
    <row r="17" spans="6:31" ht="17.25" x14ac:dyDescent="0.25">
      <c r="F17" s="32"/>
      <c r="G17" s="32" t="s">
        <v>70</v>
      </c>
      <c r="H17" s="31"/>
      <c r="I17" s="31"/>
      <c r="O17" s="34"/>
      <c r="P17" s="19" t="s">
        <v>71</v>
      </c>
      <c r="W17" s="20"/>
      <c r="X17" s="19" t="s">
        <v>72</v>
      </c>
      <c r="Y17" s="30"/>
    </row>
    <row r="18" spans="6:31" x14ac:dyDescent="0.25">
      <c r="I18" s="47"/>
      <c r="J18" s="16"/>
    </row>
    <row r="21" spans="6:31" x14ac:dyDescent="0.25">
      <c r="AE21"/>
    </row>
    <row r="22" spans="6:31" x14ac:dyDescent="0.25">
      <c r="AE22"/>
    </row>
    <row r="23" spans="6:31" x14ac:dyDescent="0.25">
      <c r="AE23"/>
    </row>
    <row r="24" spans="6:31" x14ac:dyDescent="0.25">
      <c r="AE24"/>
    </row>
    <row r="25" spans="6:31" x14ac:dyDescent="0.25">
      <c r="AE25"/>
    </row>
    <row r="26" spans="6:31" x14ac:dyDescent="0.25">
      <c r="AE26"/>
    </row>
    <row r="27" spans="6:31" x14ac:dyDescent="0.25">
      <c r="AE27"/>
    </row>
    <row r="28" spans="6:31" x14ac:dyDescent="0.25">
      <c r="AE28"/>
    </row>
    <row r="29" spans="6:31" x14ac:dyDescent="0.25">
      <c r="AE29"/>
    </row>
    <row r="30" spans="6:31" x14ac:dyDescent="0.25">
      <c r="AE30"/>
    </row>
    <row r="31" spans="6:31" x14ac:dyDescent="0.25">
      <c r="AE31"/>
    </row>
    <row r="32" spans="6:31" x14ac:dyDescent="0.25">
      <c r="AE32"/>
    </row>
    <row r="33" spans="31:31" x14ac:dyDescent="0.25">
      <c r="AE33"/>
    </row>
    <row r="34" spans="31:31" x14ac:dyDescent="0.25">
      <c r="AE34"/>
    </row>
  </sheetData>
  <mergeCells count="32">
    <mergeCell ref="AE2:AE4"/>
    <mergeCell ref="AF2:AF4"/>
    <mergeCell ref="AG2:AS2"/>
    <mergeCell ref="AW2:BF2"/>
    <mergeCell ref="E3:F3"/>
    <mergeCell ref="G3:H3"/>
    <mergeCell ref="I3:J3"/>
    <mergeCell ref="K3:L3"/>
    <mergeCell ref="M3:N3"/>
    <mergeCell ref="O3:P3"/>
    <mergeCell ref="S3:T3"/>
    <mergeCell ref="S2:T2"/>
    <mergeCell ref="Q3:R3"/>
    <mergeCell ref="Q2:R2"/>
    <mergeCell ref="W3:X3"/>
    <mergeCell ref="W2:X2"/>
    <mergeCell ref="A1:AD1"/>
    <mergeCell ref="A2:C3"/>
    <mergeCell ref="E2:F2"/>
    <mergeCell ref="G2:H2"/>
    <mergeCell ref="I2:J2"/>
    <mergeCell ref="K2:L2"/>
    <mergeCell ref="M2:N2"/>
    <mergeCell ref="O2:P2"/>
    <mergeCell ref="U3:V3"/>
    <mergeCell ref="U2:V2"/>
    <mergeCell ref="AC3:AD3"/>
    <mergeCell ref="AC2:AD2"/>
    <mergeCell ref="AA3:AB3"/>
    <mergeCell ref="AA2:AB2"/>
    <mergeCell ref="Y3:Z3"/>
    <mergeCell ref="Y2:Z2"/>
  </mergeCells>
  <phoneticPr fontId="11" type="noConversion"/>
  <conditionalFormatting sqref="A1 AE1">
    <cfRule type="containsText" dxfId="2975" priority="114" operator="containsText" text="SP">
      <formula>NOT(ISERROR(SEARCH("SP",A1)))</formula>
    </cfRule>
    <cfRule type="containsText" dxfId="2974" priority="115" operator="containsText" text="AL">
      <formula>NOT(ISERROR(SEARCH("AL",A1)))</formula>
    </cfRule>
    <cfRule type="containsText" dxfId="2973" priority="116" operator="containsText" text="EL">
      <formula>NOT(ISERROR(SEARCH("EL",A1)))</formula>
    </cfRule>
    <cfRule type="containsText" dxfId="2972" priority="117" operator="containsText" text="AB">
      <formula>NOT(ISERROR(SEARCH("AB",A1)))</formula>
    </cfRule>
    <cfRule type="containsText" dxfId="2971" priority="118" operator="containsText" text="FL">
      <formula>NOT(ISERROR(SEARCH("FL",A1)))</formula>
    </cfRule>
    <cfRule type="containsText" dxfId="2970" priority="119" operator="containsText" text="SICK">
      <formula>NOT(ISERROR(SEARCH("SICK",A1)))</formula>
    </cfRule>
  </conditionalFormatting>
  <conditionalFormatting sqref="A5 AE5 A8:D11 F15 J9:L11 G16:I16 F17:I17 P8:AE11 O12:Q17 R12:S15 W12:AE15">
    <cfRule type="containsText" dxfId="2969" priority="120" stopIfTrue="1" operator="containsText" text="SP">
      <formula>NOT(ISERROR(SEARCH("SP",A5)))</formula>
    </cfRule>
  </conditionalFormatting>
  <conditionalFormatting sqref="A5 AE5 A8:D11 F15 J9:L11 G16:I16 F17:I17 P8:AE11 O12:Q17 R12:S15 W12:AE15">
    <cfRule type="containsText" dxfId="2968" priority="121" stopIfTrue="1" operator="containsText" text="AL">
      <formula>NOT(ISERROR(SEARCH("AL",A5)))</formula>
    </cfRule>
    <cfRule type="containsText" dxfId="2967" priority="122" stopIfTrue="1" operator="containsText" text="EL">
      <formula>NOT(ISERROR(SEARCH("EL",A5)))</formula>
    </cfRule>
    <cfRule type="containsText" dxfId="2966" priority="123" stopIfTrue="1" operator="containsText" text="AB">
      <formula>NOT(ISERROR(SEARCH("AB",A5)))</formula>
    </cfRule>
    <cfRule type="containsText" dxfId="2965" priority="124" stopIfTrue="1" operator="containsText" text="FL">
      <formula>NOT(ISERROR(SEARCH("FL",A5)))</formula>
    </cfRule>
    <cfRule type="containsText" dxfId="2964" priority="125" stopIfTrue="1" operator="containsText" text="SICK">
      <formula>NOT(ISERROR(SEARCH("SICK",A5)))</formula>
    </cfRule>
  </conditionalFormatting>
  <conditionalFormatting sqref="D5">
    <cfRule type="timePeriod" dxfId="2963" priority="113" timePeriod="nextWeek">
      <formula>AND(ROUNDDOWN(D5,0)-TODAY()&gt;(7-WEEKDAY(TODAY())),ROUNDDOWN(D5,0)-TODAY()&lt;(15-WEEKDAY(TODAY())))</formula>
    </cfRule>
  </conditionalFormatting>
  <conditionalFormatting sqref="D5">
    <cfRule type="timePeriod" priority="110" timePeriod="nextWeek">
      <formula>AND(ROUNDDOWN(D5,0)-TODAY()&gt;(7-WEEKDAY(TODAY())),ROUNDDOWN(D5,0)-TODAY()&lt;(15-WEEKDAY(TODAY())))</formula>
    </cfRule>
  </conditionalFormatting>
  <conditionalFormatting sqref="D5">
    <cfRule type="timePeriod" dxfId="2962" priority="111" timePeriod="last7Days">
      <formula>AND(TODAY()-FLOOR(D5,1)&lt;=6,FLOOR(D5,1)&lt;=TODAY())</formula>
    </cfRule>
    <cfRule type="timePeriod" dxfId="2961" priority="112" timePeriod="thisWeek">
      <formula>AND(TODAY()-ROUNDDOWN(D5,0)&lt;=WEEKDAY(TODAY())-1,ROUNDDOWN(D5,0)-TODAY()&lt;=7-WEEKDAY(TODAY()))</formula>
    </cfRule>
  </conditionalFormatting>
  <conditionalFormatting sqref="AF2 AF5">
    <cfRule type="cellIs" dxfId="2960" priority="126" stopIfTrue="1" operator="equal">
      <formula>";"</formula>
    </cfRule>
  </conditionalFormatting>
  <conditionalFormatting sqref="C1:C4 C19:C1048576 K18 C6:C11">
    <cfRule type="duplicateValues" dxfId="2959" priority="127"/>
  </conditionalFormatting>
  <conditionalFormatting sqref="AK4">
    <cfRule type="containsText" dxfId="2958" priority="101" operator="containsText" text="EL">
      <formula>NOT(ISERROR(SEARCH("EL",AK4)))</formula>
    </cfRule>
    <cfRule type="containsText" dxfId="2957" priority="102" operator="containsText" text="AB">
      <formula>NOT(ISERROR(SEARCH("AB",AK4)))</formula>
    </cfRule>
    <cfRule type="containsText" dxfId="2956" priority="103" operator="containsText" text="SUS">
      <formula>NOT(ISERROR(SEARCH("SUS",AK4)))</formula>
    </cfRule>
    <cfRule type="containsText" dxfId="2955" priority="104" operator="containsText" text="FL">
      <formula>NOT(ISERROR(SEARCH("FL",AK4)))</formula>
    </cfRule>
    <cfRule type="containsText" dxfId="2954" priority="105" operator="containsText" text="MC">
      <formula>NOT(ISERROR(SEARCH("MC",AK4)))</formula>
    </cfRule>
    <cfRule type="containsText" dxfId="2953" priority="106" operator="containsText" text="AB">
      <formula>NOT(ISERROR(SEARCH("AB",AK4)))</formula>
    </cfRule>
    <cfRule type="containsText" dxfId="2952" priority="107" operator="containsText" text="Sick">
      <formula>NOT(ISERROR(SEARCH("Sick",AK4)))</formula>
    </cfRule>
    <cfRule type="containsText" dxfId="2951" priority="108" operator="containsText" text="OFF">
      <formula>NOT(ISERROR(SEARCH("OFF",AK4)))</formula>
    </cfRule>
    <cfRule type="containsText" dxfId="2950" priority="109" operator="containsText" text="AL">
      <formula>NOT(ISERROR(SEARCH("AL",AK4)))</formula>
    </cfRule>
  </conditionalFormatting>
  <conditionalFormatting sqref="AH4">
    <cfRule type="containsText" dxfId="2949" priority="92" operator="containsText" text="EL">
      <formula>NOT(ISERROR(SEARCH("EL",AH4)))</formula>
    </cfRule>
    <cfRule type="containsText" dxfId="2948" priority="93" operator="containsText" text="AB">
      <formula>NOT(ISERROR(SEARCH("AB",AH4)))</formula>
    </cfRule>
    <cfRule type="containsText" dxfId="2947" priority="94" operator="containsText" text="SUS">
      <formula>NOT(ISERROR(SEARCH("SUS",AH4)))</formula>
    </cfRule>
    <cfRule type="containsText" dxfId="2946" priority="95" operator="containsText" text="FL">
      <formula>NOT(ISERROR(SEARCH("FL",AH4)))</formula>
    </cfRule>
    <cfRule type="containsText" dxfId="2945" priority="96" operator="containsText" text="MC">
      <formula>NOT(ISERROR(SEARCH("MC",AH4)))</formula>
    </cfRule>
    <cfRule type="containsText" dxfId="2944" priority="97" operator="containsText" text="AB">
      <formula>NOT(ISERROR(SEARCH("AB",AH4)))</formula>
    </cfRule>
    <cfRule type="containsText" dxfId="2943" priority="98" operator="containsText" text="Sick">
      <formula>NOT(ISERROR(SEARCH("Sick",AH4)))</formula>
    </cfRule>
    <cfRule type="containsText" dxfId="2942" priority="99" operator="containsText" text="OFF">
      <formula>NOT(ISERROR(SEARCH("OFF",AH4)))</formula>
    </cfRule>
    <cfRule type="containsText" dxfId="2941" priority="100" operator="containsText" text="AL">
      <formula>NOT(ISERROR(SEARCH("AL",AH4)))</formula>
    </cfRule>
  </conditionalFormatting>
  <conditionalFormatting sqref="AN4">
    <cfRule type="containsText" dxfId="2940" priority="82" operator="containsText" text="SP">
      <formula>NOT(ISERROR(SEARCH("SP",AN4)))</formula>
    </cfRule>
    <cfRule type="containsText" dxfId="2939" priority="83" operator="containsText" text="NL">
      <formula>NOT(ISERROR(SEARCH("NL",AN4)))</formula>
    </cfRule>
    <cfRule type="containsText" dxfId="2938" priority="84" operator="containsText" text="SUS">
      <formula>NOT(ISERROR(SEARCH("SUS",AN4)))</formula>
    </cfRule>
    <cfRule type="containsText" dxfId="2937" priority="85" operator="containsText" text="FL">
      <formula>NOT(ISERROR(SEARCH("FL",AN4)))</formula>
    </cfRule>
    <cfRule type="containsText" dxfId="2936" priority="86" operator="containsText" text="EL">
      <formula>NOT(ISERROR(SEARCH("EL",AN4)))</formula>
    </cfRule>
    <cfRule type="containsText" dxfId="2935" priority="87" operator="containsText" text="MC">
      <formula>NOT(ISERROR(SEARCH("MC",AN4)))</formula>
    </cfRule>
    <cfRule type="containsText" dxfId="2934" priority="88" operator="containsText" text="OFF">
      <formula>NOT(ISERROR(SEARCH("OFF",AN4)))</formula>
    </cfRule>
    <cfRule type="containsText" dxfId="2933" priority="89" operator="containsText" text="AB">
      <formula>NOT(ISERROR(SEARCH("AB",AN4)))</formula>
    </cfRule>
    <cfRule type="containsText" dxfId="2932" priority="90" operator="containsText" text="SICK">
      <formula>NOT(ISERROR(SEARCH("SICK",AN4)))</formula>
    </cfRule>
    <cfRule type="containsText" dxfId="2931" priority="91" operator="containsText" text="AL">
      <formula>NOT(ISERROR(SEARCH("AL",AN4)))</formula>
    </cfRule>
  </conditionalFormatting>
  <conditionalFormatting sqref="AP4">
    <cfRule type="containsText" dxfId="2930" priority="72" operator="containsText" text="SP">
      <formula>NOT(ISERROR(SEARCH("SP",AP4)))</formula>
    </cfRule>
    <cfRule type="containsText" dxfId="2929" priority="73" operator="containsText" text="NL">
      <formula>NOT(ISERROR(SEARCH("NL",AP4)))</formula>
    </cfRule>
    <cfRule type="containsText" dxfId="2928" priority="74" operator="containsText" text="SUS">
      <formula>NOT(ISERROR(SEARCH("SUS",AP4)))</formula>
    </cfRule>
    <cfRule type="containsText" dxfId="2927" priority="75" operator="containsText" text="FL">
      <formula>NOT(ISERROR(SEARCH("FL",AP4)))</formula>
    </cfRule>
    <cfRule type="containsText" dxfId="2926" priority="76" operator="containsText" text="EL">
      <formula>NOT(ISERROR(SEARCH("EL",AP4)))</formula>
    </cfRule>
    <cfRule type="containsText" dxfId="2925" priority="77" operator="containsText" text="MC">
      <formula>NOT(ISERROR(SEARCH("MC",AP4)))</formula>
    </cfRule>
    <cfRule type="containsText" dxfId="2924" priority="78" operator="containsText" text="OFF">
      <formula>NOT(ISERROR(SEARCH("OFF",AP4)))</formula>
    </cfRule>
    <cfRule type="containsText" dxfId="2923" priority="79" operator="containsText" text="AB">
      <formula>NOT(ISERROR(SEARCH("AB",AP4)))</formula>
    </cfRule>
    <cfRule type="containsText" dxfId="2922" priority="80" operator="containsText" text="SICK">
      <formula>NOT(ISERROR(SEARCH("SICK",AP4)))</formula>
    </cfRule>
    <cfRule type="containsText" dxfId="2921" priority="81" operator="containsText" text="AL">
      <formula>NOT(ISERROR(SEARCH("AL",AP4)))</formula>
    </cfRule>
  </conditionalFormatting>
  <conditionalFormatting sqref="AI4">
    <cfRule type="containsText" dxfId="2920" priority="63" operator="containsText" text="EL">
      <formula>NOT(ISERROR(SEARCH("EL",AI4)))</formula>
    </cfRule>
    <cfRule type="containsText" dxfId="2919" priority="64" operator="containsText" text="AB">
      <formula>NOT(ISERROR(SEARCH("AB",AI4)))</formula>
    </cfRule>
    <cfRule type="containsText" dxfId="2918" priority="65" operator="containsText" text="SUS">
      <formula>NOT(ISERROR(SEARCH("SUS",AI4)))</formula>
    </cfRule>
    <cfRule type="containsText" dxfId="2917" priority="66" operator="containsText" text="FL">
      <formula>NOT(ISERROR(SEARCH("FL",AI4)))</formula>
    </cfRule>
    <cfRule type="containsText" dxfId="2916" priority="67" operator="containsText" text="MC">
      <formula>NOT(ISERROR(SEARCH("MC",AI4)))</formula>
    </cfRule>
    <cfRule type="containsText" dxfId="2915" priority="68" operator="containsText" text="AB">
      <formula>NOT(ISERROR(SEARCH("AB",AI4)))</formula>
    </cfRule>
    <cfRule type="containsText" dxfId="2914" priority="69" operator="containsText" text="Sick">
      <formula>NOT(ISERROR(SEARCH("Sick",AI4)))</formula>
    </cfRule>
    <cfRule type="containsText" dxfId="2913" priority="70" operator="containsText" text="OFF">
      <formula>NOT(ISERROR(SEARCH("OFF",AI4)))</formula>
    </cfRule>
    <cfRule type="containsText" dxfId="2912" priority="71" operator="containsText" text="AL">
      <formula>NOT(ISERROR(SEARCH("AL",AI4)))</formula>
    </cfRule>
  </conditionalFormatting>
  <conditionalFormatting sqref="AM4">
    <cfRule type="containsText" dxfId="2911" priority="54" operator="containsText" text="EL">
      <formula>NOT(ISERROR(SEARCH("EL",AM4)))</formula>
    </cfRule>
    <cfRule type="containsText" dxfId="2910" priority="55" operator="containsText" text="AB">
      <formula>NOT(ISERROR(SEARCH("AB",AM4)))</formula>
    </cfRule>
    <cfRule type="containsText" dxfId="2909" priority="56" operator="containsText" text="SUS">
      <formula>NOT(ISERROR(SEARCH("SUS",AM4)))</formula>
    </cfRule>
    <cfRule type="containsText" dxfId="2908" priority="57" operator="containsText" text="FL">
      <formula>NOT(ISERROR(SEARCH("FL",AM4)))</formula>
    </cfRule>
    <cfRule type="containsText" dxfId="2907" priority="58" operator="containsText" text="MC">
      <formula>NOT(ISERROR(SEARCH("MC",AM4)))</formula>
    </cfRule>
    <cfRule type="containsText" dxfId="2906" priority="59" operator="containsText" text="AB">
      <formula>NOT(ISERROR(SEARCH("AB",AM4)))</formula>
    </cfRule>
    <cfRule type="containsText" dxfId="2905" priority="60" operator="containsText" text="Sick">
      <formula>NOT(ISERROR(SEARCH("Sick",AM4)))</formula>
    </cfRule>
    <cfRule type="containsText" dxfId="2904" priority="61" operator="containsText" text="OFF">
      <formula>NOT(ISERROR(SEARCH("OFF",AM4)))</formula>
    </cfRule>
    <cfRule type="containsText" dxfId="2903" priority="62" operator="containsText" text="AL">
      <formula>NOT(ISERROR(SEARCH("AL",AM4)))</formula>
    </cfRule>
  </conditionalFormatting>
  <conditionalFormatting sqref="AL4">
    <cfRule type="containsText" dxfId="2902" priority="45" operator="containsText" text="EL">
      <formula>NOT(ISERROR(SEARCH("EL",AL4)))</formula>
    </cfRule>
    <cfRule type="containsText" dxfId="2901" priority="46" operator="containsText" text="AB">
      <formula>NOT(ISERROR(SEARCH("AB",AL4)))</formula>
    </cfRule>
    <cfRule type="containsText" dxfId="2900" priority="47" operator="containsText" text="SUS">
      <formula>NOT(ISERROR(SEARCH("SUS",AL4)))</formula>
    </cfRule>
    <cfRule type="containsText" dxfId="2899" priority="48" operator="containsText" text="FL">
      <formula>NOT(ISERROR(SEARCH("FL",AL4)))</formula>
    </cfRule>
    <cfRule type="containsText" dxfId="2898" priority="49" operator="containsText" text="MC">
      <formula>NOT(ISERROR(SEARCH("MC",AL4)))</formula>
    </cfRule>
    <cfRule type="containsText" dxfId="2897" priority="50" operator="containsText" text="AB">
      <formula>NOT(ISERROR(SEARCH("AB",AL4)))</formula>
    </cfRule>
    <cfRule type="containsText" dxfId="2896" priority="51" operator="containsText" text="Sick">
      <formula>NOT(ISERROR(SEARCH("Sick",AL4)))</formula>
    </cfRule>
    <cfRule type="containsText" dxfId="2895" priority="52" operator="containsText" text="OFF">
      <formula>NOT(ISERROR(SEARCH("OFF",AL4)))</formula>
    </cfRule>
    <cfRule type="containsText" dxfId="2894" priority="53" operator="containsText" text="AL">
      <formula>NOT(ISERROR(SEARCH("AL",AL4)))</formula>
    </cfRule>
  </conditionalFormatting>
  <conditionalFormatting sqref="AJ4">
    <cfRule type="containsText" dxfId="2893" priority="36" operator="containsText" text="EL">
      <formula>NOT(ISERROR(SEARCH("EL",AJ4)))</formula>
    </cfRule>
    <cfRule type="containsText" dxfId="2892" priority="37" operator="containsText" text="AB">
      <formula>NOT(ISERROR(SEARCH("AB",AJ4)))</formula>
    </cfRule>
    <cfRule type="containsText" dxfId="2891" priority="38" operator="containsText" text="SUS">
      <formula>NOT(ISERROR(SEARCH("SUS",AJ4)))</formula>
    </cfRule>
    <cfRule type="containsText" dxfId="2890" priority="39" operator="containsText" text="FL">
      <formula>NOT(ISERROR(SEARCH("FL",AJ4)))</formula>
    </cfRule>
    <cfRule type="containsText" dxfId="2889" priority="40" operator="containsText" text="MC">
      <formula>NOT(ISERROR(SEARCH("MC",AJ4)))</formula>
    </cfRule>
    <cfRule type="containsText" dxfId="2888" priority="41" operator="containsText" text="AB">
      <formula>NOT(ISERROR(SEARCH("AB",AJ4)))</formula>
    </cfRule>
    <cfRule type="containsText" dxfId="2887" priority="42" operator="containsText" text="Sick">
      <formula>NOT(ISERROR(SEARCH("Sick",AJ4)))</formula>
    </cfRule>
    <cfRule type="containsText" dxfId="2886" priority="43" operator="containsText" text="OFF">
      <formula>NOT(ISERROR(SEARCH("OFF",AJ4)))</formula>
    </cfRule>
    <cfRule type="containsText" dxfId="2885" priority="44" operator="containsText" text="AL">
      <formula>NOT(ISERROR(SEARCH("AL",AJ4)))</formula>
    </cfRule>
  </conditionalFormatting>
  <conditionalFormatting sqref="AR4">
    <cfRule type="containsText" dxfId="2884" priority="26" operator="containsText" text="SP">
      <formula>NOT(ISERROR(SEARCH("SP",AR4)))</formula>
    </cfRule>
    <cfRule type="containsText" dxfId="2883" priority="27" operator="containsText" text="NL">
      <formula>NOT(ISERROR(SEARCH("NL",AR4)))</formula>
    </cfRule>
    <cfRule type="containsText" dxfId="2882" priority="28" operator="containsText" text="SUS">
      <formula>NOT(ISERROR(SEARCH("SUS",AR4)))</formula>
    </cfRule>
    <cfRule type="containsText" dxfId="2881" priority="29" operator="containsText" text="FL">
      <formula>NOT(ISERROR(SEARCH("FL",AR4)))</formula>
    </cfRule>
    <cfRule type="containsText" dxfId="2880" priority="30" operator="containsText" text="EL">
      <formula>NOT(ISERROR(SEARCH("EL",AR4)))</formula>
    </cfRule>
    <cfRule type="containsText" dxfId="2879" priority="31" operator="containsText" text="MC">
      <formula>NOT(ISERROR(SEARCH("MC",AR4)))</formula>
    </cfRule>
    <cfRule type="containsText" dxfId="2878" priority="32" operator="containsText" text="OFF">
      <formula>NOT(ISERROR(SEARCH("OFF",AR4)))</formula>
    </cfRule>
    <cfRule type="containsText" dxfId="2877" priority="33" operator="containsText" text="AB">
      <formula>NOT(ISERROR(SEARCH("AB",AR4)))</formula>
    </cfRule>
    <cfRule type="containsText" dxfId="2876" priority="34" operator="containsText" text="SICK">
      <formula>NOT(ISERROR(SEARCH("SICK",AR4)))</formula>
    </cfRule>
    <cfRule type="containsText" dxfId="2875" priority="35" operator="containsText" text="AL">
      <formula>NOT(ISERROR(SEARCH("AL",AR4)))</formula>
    </cfRule>
  </conditionalFormatting>
  <conditionalFormatting sqref="AQ4">
    <cfRule type="containsText" dxfId="2874" priority="16" operator="containsText" text="SP">
      <formula>NOT(ISERROR(SEARCH("SP",AQ4)))</formula>
    </cfRule>
    <cfRule type="containsText" dxfId="2873" priority="17" operator="containsText" text="NL">
      <formula>NOT(ISERROR(SEARCH("NL",AQ4)))</formula>
    </cfRule>
    <cfRule type="containsText" dxfId="2872" priority="18" operator="containsText" text="SUS">
      <formula>NOT(ISERROR(SEARCH("SUS",AQ4)))</formula>
    </cfRule>
    <cfRule type="containsText" dxfId="2871" priority="19" operator="containsText" text="FL">
      <formula>NOT(ISERROR(SEARCH("FL",AQ4)))</formula>
    </cfRule>
    <cfRule type="containsText" dxfId="2870" priority="20" operator="containsText" text="EL">
      <formula>NOT(ISERROR(SEARCH("EL",AQ4)))</formula>
    </cfRule>
    <cfRule type="containsText" dxfId="2869" priority="21" operator="containsText" text="MC">
      <formula>NOT(ISERROR(SEARCH("MC",AQ4)))</formula>
    </cfRule>
    <cfRule type="containsText" dxfId="2868" priority="22" operator="containsText" text="OFF">
      <formula>NOT(ISERROR(SEARCH("OFF",AQ4)))</formula>
    </cfRule>
    <cfRule type="containsText" dxfId="2867" priority="23" operator="containsText" text="AB">
      <formula>NOT(ISERROR(SEARCH("AB",AQ4)))</formula>
    </cfRule>
    <cfRule type="containsText" dxfId="2866" priority="24" operator="containsText" text="SICK">
      <formula>NOT(ISERROR(SEARCH("SICK",AQ4)))</formula>
    </cfRule>
    <cfRule type="containsText" dxfId="2865" priority="25" operator="containsText" text="AL">
      <formula>NOT(ISERROR(SEARCH("AL",AQ4)))</formula>
    </cfRule>
  </conditionalFormatting>
  <conditionalFormatting sqref="W12:Y15">
    <cfRule type="containsText" dxfId="2864" priority="11" stopIfTrue="1" operator="containsText" text="AB">
      <formula>NOT(ISERROR(SEARCH("AB",W12)))</formula>
    </cfRule>
    <cfRule type="containsText" dxfId="2863" priority="12" stopIfTrue="1" operator="containsText" text="SICK">
      <formula>NOT(ISERROR(SEARCH("SICK",W12)))</formula>
    </cfRule>
    <cfRule type="containsText" dxfId="2862" priority="13" stopIfTrue="1" operator="containsText" text="SP">
      <formula>NOT(ISERROR(SEARCH("SP",W12)))</formula>
    </cfRule>
    <cfRule type="containsText" priority="14" stopIfTrue="1" operator="containsText" text="SP">
      <formula>NOT(ISERROR(SEARCH("SP",W12)))</formula>
    </cfRule>
    <cfRule type="containsText" dxfId="2861" priority="15" stopIfTrue="1" operator="containsText" text="SICK">
      <formula>NOT(ISERROR(SEARCH("SICK",W12)))</formula>
    </cfRule>
  </conditionalFormatting>
  <conditionalFormatting sqref="C5">
    <cfRule type="duplicateValues" dxfId="2860" priority="10"/>
  </conditionalFormatting>
  <conditionalFormatting sqref="E5:F5">
    <cfRule type="containsText" dxfId="2859" priority="1" operator="containsText" text="EL">
      <formula>NOT(ISERROR(SEARCH("EL",E5)))</formula>
    </cfRule>
    <cfRule type="containsText" dxfId="2858" priority="2" operator="containsText" text="AB">
      <formula>NOT(ISERROR(SEARCH("AB",E5)))</formula>
    </cfRule>
    <cfRule type="containsText" dxfId="2857" priority="3" operator="containsText" text="SUS">
      <formula>NOT(ISERROR(SEARCH("SUS",E5)))</formula>
    </cfRule>
    <cfRule type="containsText" dxfId="2856" priority="4" operator="containsText" text="FL">
      <formula>NOT(ISERROR(SEARCH("FL",E5)))</formula>
    </cfRule>
    <cfRule type="containsText" dxfId="2855" priority="5" operator="containsText" text="MC">
      <formula>NOT(ISERROR(SEARCH("MC",E5)))</formula>
    </cfRule>
    <cfRule type="containsText" dxfId="2854" priority="6" operator="containsText" text="AB">
      <formula>NOT(ISERROR(SEARCH("AB",E5)))</formula>
    </cfRule>
    <cfRule type="containsText" dxfId="2853" priority="7" operator="containsText" text="Sick">
      <formula>NOT(ISERROR(SEARCH("Sick",E5)))</formula>
    </cfRule>
    <cfRule type="containsText" dxfId="2852" priority="8" operator="containsText" text="OFF">
      <formula>NOT(ISERROR(SEARCH("OFF",E5)))</formula>
    </cfRule>
    <cfRule type="containsText" dxfId="2851" priority="9" operator="containsText" text="AL">
      <formula>NOT(ISERROR(SEARCH("AL",E5)))</formula>
    </cfRule>
  </conditionalFormatting>
  <pageMargins left="0.7" right="0.7" top="0.75" bottom="0.75" header="0.3" footer="0.3"/>
  <pageSetup paperSize="9" scale="31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9A98-3EE0-43D3-82D9-C27B36EAF98C}">
  <sheetPr>
    <pageSetUpPr fitToPage="1"/>
  </sheetPr>
  <dimension ref="A1:AU4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M21" sqref="M21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30" width="6.5703125" customWidth="1"/>
    <col min="31" max="31" width="5.28515625" style="16" customWidth="1"/>
    <col min="32" max="44" width="5.28515625" customWidth="1"/>
    <col min="45" max="45" width="9.140625" customWidth="1"/>
    <col min="49" max="59" width="6" customWidth="1"/>
  </cols>
  <sheetData>
    <row r="1" spans="1:47" ht="25.5" customHeight="1" x14ac:dyDescent="0.25">
      <c r="A1" s="153" t="s">
        <v>262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25"/>
      <c r="AF1" s="65"/>
      <c r="AG1" s="69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1"/>
    </row>
    <row r="2" spans="1:47" ht="22.5" customHeight="1" x14ac:dyDescent="0.25">
      <c r="A2" s="154" t="s">
        <v>182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0" t="s">
        <v>5</v>
      </c>
      <c r="X2" s="150"/>
      <c r="Y2" s="150" t="s">
        <v>6</v>
      </c>
      <c r="Z2" s="150"/>
      <c r="AA2" s="150" t="s">
        <v>7</v>
      </c>
      <c r="AB2" s="150"/>
      <c r="AC2" s="150" t="s">
        <v>1</v>
      </c>
      <c r="AD2" s="150"/>
      <c r="AE2" s="159" t="s">
        <v>8</v>
      </c>
      <c r="AF2" s="169" t="s">
        <v>9</v>
      </c>
      <c r="AG2" s="156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8"/>
    </row>
    <row r="3" spans="1:47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49">
        <v>46152</v>
      </c>
      <c r="X3" s="149"/>
      <c r="Y3" s="149">
        <v>46153</v>
      </c>
      <c r="Z3" s="149"/>
      <c r="AA3" s="149">
        <v>46154</v>
      </c>
      <c r="AB3" s="149"/>
      <c r="AC3" s="149">
        <v>46155</v>
      </c>
      <c r="AD3" s="149"/>
      <c r="AE3" s="159"/>
      <c r="AF3" s="169"/>
      <c r="AG3" s="72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</row>
    <row r="4" spans="1:47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5" t="s">
        <v>13</v>
      </c>
      <c r="R4" s="5" t="s">
        <v>14</v>
      </c>
      <c r="S4" s="5" t="s">
        <v>13</v>
      </c>
      <c r="T4" s="5" t="s">
        <v>14</v>
      </c>
      <c r="U4" s="5" t="s">
        <v>13</v>
      </c>
      <c r="V4" s="5" t="s">
        <v>14</v>
      </c>
      <c r="W4" s="5" t="s">
        <v>13</v>
      </c>
      <c r="X4" s="5" t="s">
        <v>14</v>
      </c>
      <c r="Y4" s="5" t="s">
        <v>13</v>
      </c>
      <c r="Z4" s="5" t="s">
        <v>14</v>
      </c>
      <c r="AA4" s="5" t="s">
        <v>13</v>
      </c>
      <c r="AB4" s="5" t="s">
        <v>14</v>
      </c>
      <c r="AC4" s="5" t="s">
        <v>13</v>
      </c>
      <c r="AD4" s="5" t="s">
        <v>14</v>
      </c>
      <c r="AE4" s="159"/>
      <c r="AF4" s="170"/>
      <c r="AG4" s="66"/>
      <c r="AH4" s="120" t="s">
        <v>15</v>
      </c>
      <c r="AI4" s="118" t="s">
        <v>16</v>
      </c>
      <c r="AJ4" s="118" t="s">
        <v>17</v>
      </c>
      <c r="AK4" s="115" t="s">
        <v>18</v>
      </c>
      <c r="AL4" s="118" t="s">
        <v>19</v>
      </c>
      <c r="AM4" s="118" t="s">
        <v>20</v>
      </c>
      <c r="AN4" s="90" t="s">
        <v>183</v>
      </c>
      <c r="AO4" s="67" t="s">
        <v>22</v>
      </c>
      <c r="AP4" s="91" t="s">
        <v>23</v>
      </c>
      <c r="AQ4" s="91" t="s">
        <v>24</v>
      </c>
      <c r="AR4" s="91" t="s">
        <v>25</v>
      </c>
      <c r="AS4" s="68" t="s">
        <v>26</v>
      </c>
    </row>
    <row r="5" spans="1:47" s="108" customFormat="1" ht="21.75" customHeight="1" x14ac:dyDescent="0.25">
      <c r="A5" s="123">
        <v>1</v>
      </c>
      <c r="B5" s="12" t="s">
        <v>118</v>
      </c>
      <c r="C5" s="98" t="s">
        <v>239</v>
      </c>
      <c r="D5" s="122">
        <v>45648</v>
      </c>
      <c r="E5" s="120" t="s">
        <v>15</v>
      </c>
      <c r="F5" s="120" t="s">
        <v>15</v>
      </c>
      <c r="G5" s="90">
        <v>0.35416666666666669</v>
      </c>
      <c r="H5" s="90">
        <v>0.96736111111111101</v>
      </c>
      <c r="I5" s="90">
        <v>0.3527777777777778</v>
      </c>
      <c r="J5" s="90">
        <v>0.9291666666666667</v>
      </c>
      <c r="K5" s="90">
        <v>0.35972222222222222</v>
      </c>
      <c r="L5" s="90">
        <v>0.9604166666666667</v>
      </c>
      <c r="M5" s="90">
        <v>0.35625000000000001</v>
      </c>
      <c r="N5" s="90">
        <v>0.94513888888888886</v>
      </c>
      <c r="O5" s="90">
        <v>0.3527777777777778</v>
      </c>
      <c r="P5" s="90">
        <v>0.96527777777777779</v>
      </c>
      <c r="Q5" s="90">
        <v>0.35000000000000003</v>
      </c>
      <c r="R5" s="90">
        <v>0.96944444444444444</v>
      </c>
      <c r="S5" s="126">
        <v>0.5805555555555556</v>
      </c>
      <c r="T5" s="126">
        <v>0.93194444444444446</v>
      </c>
      <c r="U5" s="90">
        <v>0.34930555555555554</v>
      </c>
      <c r="V5" s="90">
        <v>0.94027777777777777</v>
      </c>
      <c r="W5" s="90">
        <v>0.35625000000000001</v>
      </c>
      <c r="X5" s="130">
        <v>1</v>
      </c>
      <c r="Y5" s="130">
        <v>1</v>
      </c>
      <c r="Z5" s="130">
        <v>1</v>
      </c>
      <c r="AA5" s="130">
        <v>1</v>
      </c>
      <c r="AB5" s="130">
        <v>1</v>
      </c>
      <c r="AC5" s="130">
        <v>1</v>
      </c>
      <c r="AD5" s="130">
        <v>1</v>
      </c>
      <c r="AE5" s="131">
        <f t="shared" ref="AE5" si="0">AG5+AH5+AJ5+AK5+AO5+AM5+AN5+AR5</f>
        <v>13</v>
      </c>
      <c r="AF5" s="81">
        <v>1</v>
      </c>
      <c r="AG5" s="132">
        <f>COUNT(E5:AD5)/2+COUNT(#REF!)/2</f>
        <v>12</v>
      </c>
      <c r="AH5" s="133">
        <f>COUNTIF(E5:AD5,"OFF")/2</f>
        <v>1</v>
      </c>
      <c r="AI5" s="133">
        <f>COUNTIF(E5:AD5,"MC")/2</f>
        <v>0</v>
      </c>
      <c r="AJ5" s="133">
        <f>COUNTIF(E5:AD5,"EL")/2</f>
        <v>0</v>
      </c>
      <c r="AK5" s="133">
        <f>COUNTIF(E5:AD5,"AL")/2</f>
        <v>0</v>
      </c>
      <c r="AL5" s="133">
        <f>COUNTIF(E5:AD5,"SUS")/2</f>
        <v>0</v>
      </c>
      <c r="AM5" s="133">
        <f>COUNTIF(E5:AD5,"FL")/2</f>
        <v>0</v>
      </c>
      <c r="AN5" s="133">
        <f>COUNTIF(E5:AD5,"SICK")/2</f>
        <v>0</v>
      </c>
      <c r="AO5" s="133">
        <f>COUNTIF(E5:AD5,"HD")/2</f>
        <v>0</v>
      </c>
      <c r="AP5" s="133">
        <f>COUNTIF(E5:AD5,"AB")/2</f>
        <v>0</v>
      </c>
      <c r="AQ5" s="133">
        <f>COUNTIF(E5:AD5,"NL")/2</f>
        <v>0</v>
      </c>
      <c r="AR5" s="133">
        <f>COUNTIF(E5:AD5,"SP")/2</f>
        <v>0</v>
      </c>
      <c r="AS5" s="134"/>
      <c r="AT5" s="89"/>
      <c r="AU5" s="89"/>
    </row>
    <row r="7" spans="1:47" ht="15.75" x14ac:dyDescent="0.25">
      <c r="F7" s="129" t="s">
        <v>255</v>
      </c>
      <c r="G7" s="129"/>
      <c r="H7" s="129" t="s">
        <v>266</v>
      </c>
      <c r="I7" s="129"/>
      <c r="J7" s="129"/>
      <c r="K7" s="129"/>
      <c r="L7" s="129"/>
      <c r="M7" s="129"/>
      <c r="N7" s="108"/>
      <c r="O7" s="108"/>
      <c r="P7" s="108"/>
    </row>
    <row r="8" spans="1:47" ht="15.75" x14ac:dyDescent="0.25">
      <c r="F8" s="129" t="s">
        <v>256</v>
      </c>
      <c r="G8" s="129"/>
      <c r="H8" s="129" t="s">
        <v>267</v>
      </c>
      <c r="I8" s="129"/>
      <c r="J8" s="129"/>
      <c r="K8" s="129"/>
      <c r="L8" s="129"/>
      <c r="M8" s="129"/>
      <c r="N8" s="108"/>
      <c r="O8" s="108"/>
      <c r="P8" s="108"/>
      <c r="AG8" s="36" t="s">
        <v>73</v>
      </c>
      <c r="AH8" s="37"/>
      <c r="AI8" s="37"/>
      <c r="AJ8" s="38" t="s">
        <v>16</v>
      </c>
      <c r="AK8" s="39"/>
      <c r="AL8" s="44" t="s">
        <v>74</v>
      </c>
      <c r="AM8" s="45"/>
      <c r="AN8" s="45"/>
      <c r="AO8" s="42"/>
      <c r="AP8" s="43" t="s">
        <v>22</v>
      </c>
    </row>
    <row r="9" spans="1:47" x14ac:dyDescent="0.25">
      <c r="AG9" s="36" t="s">
        <v>75</v>
      </c>
      <c r="AH9" s="37"/>
      <c r="AI9" s="37"/>
      <c r="AJ9" s="38" t="s">
        <v>17</v>
      </c>
      <c r="AK9" s="39"/>
      <c r="AL9" s="44" t="s">
        <v>76</v>
      </c>
      <c r="AM9" s="45"/>
      <c r="AN9" s="45"/>
      <c r="AO9" s="42"/>
      <c r="AP9" s="43" t="s">
        <v>23</v>
      </c>
    </row>
    <row r="10" spans="1:47" x14ac:dyDescent="0.25">
      <c r="AG10" s="36" t="s">
        <v>77</v>
      </c>
      <c r="AH10" s="37"/>
      <c r="AI10" s="37"/>
      <c r="AJ10" s="38" t="s">
        <v>18</v>
      </c>
      <c r="AK10" s="39"/>
      <c r="AL10" s="40" t="s">
        <v>78</v>
      </c>
      <c r="AM10" s="41"/>
      <c r="AN10" s="41"/>
      <c r="AO10" s="42"/>
      <c r="AP10" s="43" t="s">
        <v>24</v>
      </c>
    </row>
    <row r="11" spans="1:47" x14ac:dyDescent="0.25">
      <c r="AG11" s="36" t="s">
        <v>79</v>
      </c>
      <c r="AH11" s="37"/>
      <c r="AI11" s="37"/>
      <c r="AJ11" s="38" t="s">
        <v>19</v>
      </c>
      <c r="AK11" s="39"/>
      <c r="AL11" s="40" t="s">
        <v>80</v>
      </c>
      <c r="AM11" s="41"/>
      <c r="AN11" s="41"/>
      <c r="AO11" s="42"/>
      <c r="AP11" s="43" t="s">
        <v>25</v>
      </c>
    </row>
    <row r="12" spans="1:47" ht="15.75" x14ac:dyDescent="0.25">
      <c r="G12" s="17"/>
      <c r="H12" s="18" t="s">
        <v>63</v>
      </c>
      <c r="I12" s="19"/>
      <c r="J12" s="20"/>
      <c r="M12" s="20"/>
      <c r="P12" s="22"/>
      <c r="Q12" s="23" t="s">
        <v>64</v>
      </c>
      <c r="R12" s="23"/>
      <c r="X12" s="21"/>
      <c r="Y12" s="23" t="s">
        <v>66</v>
      </c>
      <c r="Z12" s="21"/>
      <c r="AG12" s="36" t="s">
        <v>81</v>
      </c>
      <c r="AH12" s="37"/>
      <c r="AI12" s="37"/>
      <c r="AJ12" s="38" t="s">
        <v>20</v>
      </c>
      <c r="AK12" s="39"/>
      <c r="AL12" s="39"/>
      <c r="AM12" s="39"/>
      <c r="AN12" s="39"/>
      <c r="AO12" s="39"/>
      <c r="AP12" s="39"/>
    </row>
    <row r="13" spans="1:47" ht="17.25" x14ac:dyDescent="0.25">
      <c r="G13" s="24"/>
      <c r="H13" s="20"/>
      <c r="I13" s="20"/>
      <c r="J13" s="20"/>
      <c r="M13" s="20"/>
      <c r="P13" s="25"/>
      <c r="Q13" s="25"/>
      <c r="R13" s="20"/>
      <c r="X13" s="26"/>
      <c r="Y13" s="27"/>
      <c r="Z13" s="27"/>
    </row>
    <row r="14" spans="1:47" ht="17.25" x14ac:dyDescent="0.25">
      <c r="G14" s="24"/>
      <c r="H14" s="28"/>
      <c r="I14" s="20"/>
      <c r="J14" s="20"/>
      <c r="M14" s="20"/>
      <c r="P14" s="29"/>
      <c r="Q14" s="25"/>
      <c r="R14" s="20"/>
      <c r="X14" s="20"/>
      <c r="Y14" s="30"/>
      <c r="Z14" s="30"/>
    </row>
    <row r="15" spans="1:47" ht="17.25" x14ac:dyDescent="0.25">
      <c r="G15" s="31"/>
      <c r="H15" s="28"/>
      <c r="I15" s="20"/>
      <c r="J15" s="20"/>
      <c r="M15" s="20"/>
      <c r="P15" s="29"/>
      <c r="Q15" s="25"/>
      <c r="R15" s="21"/>
      <c r="X15" s="20"/>
      <c r="Y15" s="30"/>
      <c r="Z15" s="30"/>
    </row>
    <row r="16" spans="1:47" ht="17.25" x14ac:dyDescent="0.25">
      <c r="G16" s="32" t="s">
        <v>67</v>
      </c>
      <c r="H16" s="33"/>
      <c r="I16" s="17"/>
      <c r="J16" s="20"/>
      <c r="M16" s="20"/>
      <c r="P16" s="29"/>
      <c r="Q16" s="19" t="s">
        <v>68</v>
      </c>
      <c r="R16" s="20"/>
      <c r="X16" s="20"/>
      <c r="Y16" s="19" t="s">
        <v>69</v>
      </c>
      <c r="Z16" s="30"/>
    </row>
    <row r="17" spans="7:43" ht="17.25" x14ac:dyDescent="0.25">
      <c r="G17" s="32" t="s">
        <v>259</v>
      </c>
      <c r="H17" s="32"/>
      <c r="I17" s="31"/>
      <c r="J17" s="20"/>
      <c r="M17" s="20"/>
      <c r="P17" s="34"/>
      <c r="Q17" s="19" t="s">
        <v>71</v>
      </c>
      <c r="R17" s="19"/>
      <c r="X17" s="20"/>
      <c r="Y17" s="19" t="s">
        <v>72</v>
      </c>
      <c r="Z17" s="30"/>
    </row>
    <row r="18" spans="7:43" x14ac:dyDescent="0.25">
      <c r="G18" s="16"/>
    </row>
    <row r="19" spans="7:43" x14ac:dyDescent="0.25">
      <c r="AH19" s="39"/>
      <c r="AI19" s="39"/>
      <c r="AJ19" s="39"/>
      <c r="AK19" s="39"/>
      <c r="AL19" s="39"/>
      <c r="AM19" s="39"/>
      <c r="AN19" s="39"/>
      <c r="AO19" s="39"/>
      <c r="AP19" s="39"/>
      <c r="AQ19" s="39"/>
    </row>
    <row r="27" spans="7:43" ht="24.75" customHeight="1" x14ac:dyDescent="0.25"/>
    <row r="29" spans="7:43" ht="21.75" customHeight="1" x14ac:dyDescent="0.25"/>
    <row r="30" spans="7:43" ht="21.75" customHeight="1" x14ac:dyDescent="0.25"/>
    <row r="31" spans="7:43" ht="21.75" customHeight="1" x14ac:dyDescent="0.25"/>
    <row r="32" spans="7:43" ht="21" customHeight="1" x14ac:dyDescent="0.25"/>
    <row r="33" spans="31:31" ht="21" customHeight="1" x14ac:dyDescent="0.25"/>
    <row r="34" spans="31:31" ht="21" customHeight="1" x14ac:dyDescent="0.25">
      <c r="AE34"/>
    </row>
    <row r="35" spans="31:31" ht="21.75" customHeight="1" x14ac:dyDescent="0.25">
      <c r="AE35"/>
    </row>
    <row r="36" spans="31:31" ht="21.75" customHeight="1" x14ac:dyDescent="0.25">
      <c r="AE36"/>
    </row>
    <row r="37" spans="31:31" ht="21.75" customHeight="1" x14ac:dyDescent="0.25">
      <c r="AE37"/>
    </row>
    <row r="38" spans="31:31" ht="21.75" customHeight="1" x14ac:dyDescent="0.25">
      <c r="AE38"/>
    </row>
    <row r="39" spans="31:31" x14ac:dyDescent="0.25">
      <c r="AE39"/>
    </row>
    <row r="40" spans="31:31" x14ac:dyDescent="0.25">
      <c r="AE40"/>
    </row>
    <row r="41" spans="31:31" x14ac:dyDescent="0.25">
      <c r="AE41"/>
    </row>
    <row r="42" spans="31:31" x14ac:dyDescent="0.25">
      <c r="AE42"/>
    </row>
    <row r="43" spans="31:31" x14ac:dyDescent="0.25">
      <c r="AE43"/>
    </row>
    <row r="44" spans="31:31" x14ac:dyDescent="0.25">
      <c r="AE44"/>
    </row>
    <row r="45" spans="31:31" x14ac:dyDescent="0.25">
      <c r="AE45"/>
    </row>
    <row r="46" spans="31:31" x14ac:dyDescent="0.25">
      <c r="AE46"/>
    </row>
    <row r="47" spans="31:31" x14ac:dyDescent="0.25">
      <c r="AE47"/>
    </row>
  </sheetData>
  <mergeCells count="31">
    <mergeCell ref="AE2:AE4"/>
    <mergeCell ref="AF2:AF4"/>
    <mergeCell ref="AG2:AS2"/>
    <mergeCell ref="E3:F3"/>
    <mergeCell ref="G3:H3"/>
    <mergeCell ref="I3:J3"/>
    <mergeCell ref="K3:L3"/>
    <mergeCell ref="M3:N3"/>
    <mergeCell ref="O3:P3"/>
    <mergeCell ref="Q3:R3"/>
    <mergeCell ref="S3:T3"/>
    <mergeCell ref="AC3:AD3"/>
    <mergeCell ref="AC2:AD2"/>
    <mergeCell ref="U3:V3"/>
    <mergeCell ref="U2:V2"/>
    <mergeCell ref="AA3:AB3"/>
    <mergeCell ref="A1:AD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AA2:AB2"/>
    <mergeCell ref="Y3:Z3"/>
    <mergeCell ref="Y2:Z2"/>
    <mergeCell ref="W3:X3"/>
    <mergeCell ref="W2:X2"/>
  </mergeCells>
  <phoneticPr fontId="11" type="noConversion"/>
  <conditionalFormatting sqref="AE2:AE3 A2:D3 A5 AE5 A1:AE1 A4:AE4">
    <cfRule type="containsText" dxfId="2834" priority="116" stopIfTrue="1" operator="containsText" text="SP">
      <formula>NOT(ISERROR(SEARCH("SP",A1)))</formula>
    </cfRule>
  </conditionalFormatting>
  <conditionalFormatting sqref="AE2:AE3 A2:D3 A5 AE5 A1:AE1 A4:AE4">
    <cfRule type="containsText" dxfId="2833" priority="117" stopIfTrue="1" operator="containsText" text="AL">
      <formula>NOT(ISERROR(SEARCH("AL",A1)))</formula>
    </cfRule>
    <cfRule type="containsText" dxfId="2832" priority="118" stopIfTrue="1" operator="containsText" text="EL">
      <formula>NOT(ISERROR(SEARCH("EL",A1)))</formula>
    </cfRule>
    <cfRule type="containsText" dxfId="2831" priority="119" stopIfTrue="1" operator="containsText" text="AB">
      <formula>NOT(ISERROR(SEARCH("AB",A1)))</formula>
    </cfRule>
    <cfRule type="containsText" dxfId="2830" priority="120" stopIfTrue="1" operator="containsText" text="FL">
      <formula>NOT(ISERROR(SEARCH("FL",A1)))</formula>
    </cfRule>
    <cfRule type="containsText" dxfId="2829" priority="121" stopIfTrue="1" operator="containsText" text="SICK">
      <formula>NOT(ISERROR(SEARCH("SICK",A1)))</formula>
    </cfRule>
  </conditionalFormatting>
  <conditionalFormatting sqref="D5">
    <cfRule type="timePeriod" dxfId="2828" priority="112" timePeriod="last7Days">
      <formula>AND(TODAY()-FLOOR(D5,1)&lt;=6,FLOOR(D5,1)&lt;=TODAY())</formula>
    </cfRule>
    <cfRule type="timePeriod" dxfId="2827" priority="113" timePeriod="thisWeek">
      <formula>AND(TODAY()-ROUNDDOWN(D5,0)&lt;=WEEKDAY(TODAY())-1,ROUNDDOWN(D5,0)-TODAY()&lt;=7-WEEKDAY(TODAY()))</formula>
    </cfRule>
    <cfRule type="timePeriod" priority="114" timePeriod="nextWeek">
      <formula>AND(ROUNDDOWN(D5,0)-TODAY()&gt;(7-WEEKDAY(TODAY())),ROUNDDOWN(D5,0)-TODAY()&lt;(15-WEEKDAY(TODAY())))</formula>
    </cfRule>
    <cfRule type="timePeriod" dxfId="2826" priority="115" timePeriod="nextWeek">
      <formula>AND(ROUNDDOWN(D5,0)-TODAY()&gt;(7-WEEKDAY(TODAY())),ROUNDDOWN(D5,0)-TODAY()&lt;(15-WEEKDAY(TODAY())))</formula>
    </cfRule>
  </conditionalFormatting>
  <conditionalFormatting sqref="M12:M15 P12:R15">
    <cfRule type="containsText" dxfId="2825" priority="122" stopIfTrue="1" operator="containsText" text="AB">
      <formula>NOT(ISERROR(SEARCH("AB",M12)))</formula>
    </cfRule>
    <cfRule type="containsText" dxfId="2824" priority="123" stopIfTrue="1" operator="containsText" text="SICK">
      <formula>NOT(ISERROR(SEARCH("SICK",M12)))</formula>
    </cfRule>
    <cfRule type="containsText" dxfId="2823" priority="124" stopIfTrue="1" operator="containsText" text="SP">
      <formula>NOT(ISERROR(SEARCH("SP",M12)))</formula>
    </cfRule>
    <cfRule type="containsText" priority="125" stopIfTrue="1" operator="containsText" text="SP">
      <formula>NOT(ISERROR(SEARCH("SP",M12)))</formula>
    </cfRule>
    <cfRule type="containsText" dxfId="2822" priority="126" stopIfTrue="1" operator="containsText" text="SICK">
      <formula>NOT(ISERROR(SEARCH("SICK",M12)))</formula>
    </cfRule>
  </conditionalFormatting>
  <conditionalFormatting sqref="AF5">
    <cfRule type="cellIs" dxfId="2821" priority="128" stopIfTrue="1" operator="equal">
      <formula>";"</formula>
    </cfRule>
  </conditionalFormatting>
  <conditionalFormatting sqref="AF2">
    <cfRule type="cellIs" dxfId="2820" priority="127" operator="equal">
      <formula>";"</formula>
    </cfRule>
  </conditionalFormatting>
  <conditionalFormatting sqref="AK4">
    <cfRule type="containsText" dxfId="2819" priority="103" operator="containsText" text="EL">
      <formula>NOT(ISERROR(SEARCH("EL",AK4)))</formula>
    </cfRule>
    <cfRule type="containsText" dxfId="2818" priority="104" operator="containsText" text="AB">
      <formula>NOT(ISERROR(SEARCH("AB",AK4)))</formula>
    </cfRule>
    <cfRule type="containsText" dxfId="2817" priority="105" operator="containsText" text="SUS">
      <formula>NOT(ISERROR(SEARCH("SUS",AK4)))</formula>
    </cfRule>
    <cfRule type="containsText" dxfId="2816" priority="106" operator="containsText" text="FL">
      <formula>NOT(ISERROR(SEARCH("FL",AK4)))</formula>
    </cfRule>
    <cfRule type="containsText" dxfId="2815" priority="107" operator="containsText" text="MC">
      <formula>NOT(ISERROR(SEARCH("MC",AK4)))</formula>
    </cfRule>
    <cfRule type="containsText" dxfId="2814" priority="108" operator="containsText" text="AB">
      <formula>NOT(ISERROR(SEARCH("AB",AK4)))</formula>
    </cfRule>
    <cfRule type="containsText" dxfId="2813" priority="109" operator="containsText" text="Sick">
      <formula>NOT(ISERROR(SEARCH("Sick",AK4)))</formula>
    </cfRule>
    <cfRule type="containsText" dxfId="2812" priority="110" operator="containsText" text="OFF">
      <formula>NOT(ISERROR(SEARCH("OFF",AK4)))</formula>
    </cfRule>
    <cfRule type="containsText" dxfId="2811" priority="111" operator="containsText" text="AL">
      <formula>NOT(ISERROR(SEARCH("AL",AK4)))</formula>
    </cfRule>
  </conditionalFormatting>
  <conditionalFormatting sqref="AH4">
    <cfRule type="containsText" dxfId="2810" priority="94" operator="containsText" text="EL">
      <formula>NOT(ISERROR(SEARCH("EL",AH4)))</formula>
    </cfRule>
    <cfRule type="containsText" dxfId="2809" priority="95" operator="containsText" text="AB">
      <formula>NOT(ISERROR(SEARCH("AB",AH4)))</formula>
    </cfRule>
    <cfRule type="containsText" dxfId="2808" priority="96" operator="containsText" text="SUS">
      <formula>NOT(ISERROR(SEARCH("SUS",AH4)))</formula>
    </cfRule>
    <cfRule type="containsText" dxfId="2807" priority="97" operator="containsText" text="FL">
      <formula>NOT(ISERROR(SEARCH("FL",AH4)))</formula>
    </cfRule>
    <cfRule type="containsText" dxfId="2806" priority="98" operator="containsText" text="MC">
      <formula>NOT(ISERROR(SEARCH("MC",AH4)))</formula>
    </cfRule>
    <cfRule type="containsText" dxfId="2805" priority="99" operator="containsText" text="AB">
      <formula>NOT(ISERROR(SEARCH("AB",AH4)))</formula>
    </cfRule>
    <cfRule type="containsText" dxfId="2804" priority="100" operator="containsText" text="Sick">
      <formula>NOT(ISERROR(SEARCH("Sick",AH4)))</formula>
    </cfRule>
    <cfRule type="containsText" dxfId="2803" priority="101" operator="containsText" text="OFF">
      <formula>NOT(ISERROR(SEARCH("OFF",AH4)))</formula>
    </cfRule>
    <cfRule type="containsText" dxfId="2802" priority="102" operator="containsText" text="AL">
      <formula>NOT(ISERROR(SEARCH("AL",AH4)))</formula>
    </cfRule>
  </conditionalFormatting>
  <conditionalFormatting sqref="AN4">
    <cfRule type="containsText" dxfId="2801" priority="84" operator="containsText" text="SP">
      <formula>NOT(ISERROR(SEARCH("SP",AN4)))</formula>
    </cfRule>
    <cfRule type="containsText" dxfId="2800" priority="85" operator="containsText" text="NL">
      <formula>NOT(ISERROR(SEARCH("NL",AN4)))</formula>
    </cfRule>
    <cfRule type="containsText" dxfId="2799" priority="86" operator="containsText" text="SUS">
      <formula>NOT(ISERROR(SEARCH("SUS",AN4)))</formula>
    </cfRule>
    <cfRule type="containsText" dxfId="2798" priority="87" operator="containsText" text="FL">
      <formula>NOT(ISERROR(SEARCH("FL",AN4)))</formula>
    </cfRule>
    <cfRule type="containsText" dxfId="2797" priority="88" operator="containsText" text="EL">
      <formula>NOT(ISERROR(SEARCH("EL",AN4)))</formula>
    </cfRule>
    <cfRule type="containsText" dxfId="2796" priority="89" operator="containsText" text="MC">
      <formula>NOT(ISERROR(SEARCH("MC",AN4)))</formula>
    </cfRule>
    <cfRule type="containsText" dxfId="2795" priority="90" operator="containsText" text="OFF">
      <formula>NOT(ISERROR(SEARCH("OFF",AN4)))</formula>
    </cfRule>
    <cfRule type="containsText" dxfId="2794" priority="91" operator="containsText" text="AB">
      <formula>NOT(ISERROR(SEARCH("AB",AN4)))</formula>
    </cfRule>
    <cfRule type="containsText" dxfId="2793" priority="92" operator="containsText" text="SICK">
      <formula>NOT(ISERROR(SEARCH("SICK",AN4)))</formula>
    </cfRule>
    <cfRule type="containsText" dxfId="2792" priority="93" operator="containsText" text="AL">
      <formula>NOT(ISERROR(SEARCH("AL",AN4)))</formula>
    </cfRule>
  </conditionalFormatting>
  <conditionalFormatting sqref="AP4">
    <cfRule type="containsText" dxfId="2791" priority="74" operator="containsText" text="SP">
      <formula>NOT(ISERROR(SEARCH("SP",AP4)))</formula>
    </cfRule>
    <cfRule type="containsText" dxfId="2790" priority="75" operator="containsText" text="NL">
      <formula>NOT(ISERROR(SEARCH("NL",AP4)))</formula>
    </cfRule>
    <cfRule type="containsText" dxfId="2789" priority="76" operator="containsText" text="SUS">
      <formula>NOT(ISERROR(SEARCH("SUS",AP4)))</formula>
    </cfRule>
    <cfRule type="containsText" dxfId="2788" priority="77" operator="containsText" text="FL">
      <formula>NOT(ISERROR(SEARCH("FL",AP4)))</formula>
    </cfRule>
    <cfRule type="containsText" dxfId="2787" priority="78" operator="containsText" text="EL">
      <formula>NOT(ISERROR(SEARCH("EL",AP4)))</formula>
    </cfRule>
    <cfRule type="containsText" dxfId="2786" priority="79" operator="containsText" text="MC">
      <formula>NOT(ISERROR(SEARCH("MC",AP4)))</formula>
    </cfRule>
    <cfRule type="containsText" dxfId="2785" priority="80" operator="containsText" text="OFF">
      <formula>NOT(ISERROR(SEARCH("OFF",AP4)))</formula>
    </cfRule>
    <cfRule type="containsText" dxfId="2784" priority="81" operator="containsText" text="AB">
      <formula>NOT(ISERROR(SEARCH("AB",AP4)))</formula>
    </cfRule>
    <cfRule type="containsText" dxfId="2783" priority="82" operator="containsText" text="SICK">
      <formula>NOT(ISERROR(SEARCH("SICK",AP4)))</formula>
    </cfRule>
    <cfRule type="containsText" dxfId="2782" priority="83" operator="containsText" text="AL">
      <formula>NOT(ISERROR(SEARCH("AL",AP4)))</formula>
    </cfRule>
  </conditionalFormatting>
  <conditionalFormatting sqref="AR4">
    <cfRule type="containsText" dxfId="2781" priority="64" operator="containsText" text="SP">
      <formula>NOT(ISERROR(SEARCH("SP",AR4)))</formula>
    </cfRule>
    <cfRule type="containsText" dxfId="2780" priority="65" operator="containsText" text="NL">
      <formula>NOT(ISERROR(SEARCH("NL",AR4)))</formula>
    </cfRule>
    <cfRule type="containsText" dxfId="2779" priority="66" operator="containsText" text="SUS">
      <formula>NOT(ISERROR(SEARCH("SUS",AR4)))</formula>
    </cfRule>
    <cfRule type="containsText" dxfId="2778" priority="67" operator="containsText" text="FL">
      <formula>NOT(ISERROR(SEARCH("FL",AR4)))</formula>
    </cfRule>
    <cfRule type="containsText" dxfId="2777" priority="68" operator="containsText" text="EL">
      <formula>NOT(ISERROR(SEARCH("EL",AR4)))</formula>
    </cfRule>
    <cfRule type="containsText" dxfId="2776" priority="69" operator="containsText" text="MC">
      <formula>NOT(ISERROR(SEARCH("MC",AR4)))</formula>
    </cfRule>
    <cfRule type="containsText" dxfId="2775" priority="70" operator="containsText" text="OFF">
      <formula>NOT(ISERROR(SEARCH("OFF",AR4)))</formula>
    </cfRule>
    <cfRule type="containsText" dxfId="2774" priority="71" operator="containsText" text="AB">
      <formula>NOT(ISERROR(SEARCH("AB",AR4)))</formula>
    </cfRule>
    <cfRule type="containsText" dxfId="2773" priority="72" operator="containsText" text="SICK">
      <formula>NOT(ISERROR(SEARCH("SICK",AR4)))</formula>
    </cfRule>
    <cfRule type="containsText" dxfId="2772" priority="73" operator="containsText" text="AL">
      <formula>NOT(ISERROR(SEARCH("AL",AR4)))</formula>
    </cfRule>
  </conditionalFormatting>
  <conditionalFormatting sqref="AQ4">
    <cfRule type="containsText" dxfId="2771" priority="54" operator="containsText" text="SP">
      <formula>NOT(ISERROR(SEARCH("SP",AQ4)))</formula>
    </cfRule>
    <cfRule type="containsText" dxfId="2770" priority="55" operator="containsText" text="NL">
      <formula>NOT(ISERROR(SEARCH("NL",AQ4)))</formula>
    </cfRule>
    <cfRule type="containsText" dxfId="2769" priority="56" operator="containsText" text="SUS">
      <formula>NOT(ISERROR(SEARCH("SUS",AQ4)))</formula>
    </cfRule>
    <cfRule type="containsText" dxfId="2768" priority="57" operator="containsText" text="FL">
      <formula>NOT(ISERROR(SEARCH("FL",AQ4)))</formula>
    </cfRule>
    <cfRule type="containsText" dxfId="2767" priority="58" operator="containsText" text="EL">
      <formula>NOT(ISERROR(SEARCH("EL",AQ4)))</formula>
    </cfRule>
    <cfRule type="containsText" dxfId="2766" priority="59" operator="containsText" text="MC">
      <formula>NOT(ISERROR(SEARCH("MC",AQ4)))</formula>
    </cfRule>
    <cfRule type="containsText" dxfId="2765" priority="60" operator="containsText" text="OFF">
      <formula>NOT(ISERROR(SEARCH("OFF",AQ4)))</formula>
    </cfRule>
    <cfRule type="containsText" dxfId="2764" priority="61" operator="containsText" text="AB">
      <formula>NOT(ISERROR(SEARCH("AB",AQ4)))</formula>
    </cfRule>
    <cfRule type="containsText" dxfId="2763" priority="62" operator="containsText" text="SICK">
      <formula>NOT(ISERROR(SEARCH("SICK",AQ4)))</formula>
    </cfRule>
    <cfRule type="containsText" dxfId="2762" priority="63" operator="containsText" text="AL">
      <formula>NOT(ISERROR(SEARCH("AL",AQ4)))</formula>
    </cfRule>
  </conditionalFormatting>
  <conditionalFormatting sqref="AM4">
    <cfRule type="containsText" dxfId="2761" priority="45" operator="containsText" text="EL">
      <formula>NOT(ISERROR(SEARCH("EL",AM4)))</formula>
    </cfRule>
    <cfRule type="containsText" dxfId="2760" priority="46" operator="containsText" text="AB">
      <formula>NOT(ISERROR(SEARCH("AB",AM4)))</formula>
    </cfRule>
    <cfRule type="containsText" dxfId="2759" priority="47" operator="containsText" text="SUS">
      <formula>NOT(ISERROR(SEARCH("SUS",AM4)))</formula>
    </cfRule>
    <cfRule type="containsText" dxfId="2758" priority="48" operator="containsText" text="FL">
      <formula>NOT(ISERROR(SEARCH("FL",AM4)))</formula>
    </cfRule>
    <cfRule type="containsText" dxfId="2757" priority="49" operator="containsText" text="MC">
      <formula>NOT(ISERROR(SEARCH("MC",AM4)))</formula>
    </cfRule>
    <cfRule type="containsText" dxfId="2756" priority="50" operator="containsText" text="AB">
      <formula>NOT(ISERROR(SEARCH("AB",AM4)))</formula>
    </cfRule>
    <cfRule type="containsText" dxfId="2755" priority="51" operator="containsText" text="Sick">
      <formula>NOT(ISERROR(SEARCH("Sick",AM4)))</formula>
    </cfRule>
    <cfRule type="containsText" dxfId="2754" priority="52" operator="containsText" text="OFF">
      <formula>NOT(ISERROR(SEARCH("OFF",AM4)))</formula>
    </cfRule>
    <cfRule type="containsText" dxfId="2753" priority="53" operator="containsText" text="AL">
      <formula>NOT(ISERROR(SEARCH("AL",AM4)))</formula>
    </cfRule>
  </conditionalFormatting>
  <conditionalFormatting sqref="AL4">
    <cfRule type="containsText" dxfId="2752" priority="36" operator="containsText" text="EL">
      <formula>NOT(ISERROR(SEARCH("EL",AL4)))</formula>
    </cfRule>
    <cfRule type="containsText" dxfId="2751" priority="37" operator="containsText" text="AB">
      <formula>NOT(ISERROR(SEARCH("AB",AL4)))</formula>
    </cfRule>
    <cfRule type="containsText" dxfId="2750" priority="38" operator="containsText" text="SUS">
      <formula>NOT(ISERROR(SEARCH("SUS",AL4)))</formula>
    </cfRule>
    <cfRule type="containsText" dxfId="2749" priority="39" operator="containsText" text="FL">
      <formula>NOT(ISERROR(SEARCH("FL",AL4)))</formula>
    </cfRule>
    <cfRule type="containsText" dxfId="2748" priority="40" operator="containsText" text="MC">
      <formula>NOT(ISERROR(SEARCH("MC",AL4)))</formula>
    </cfRule>
    <cfRule type="containsText" dxfId="2747" priority="41" operator="containsText" text="AB">
      <formula>NOT(ISERROR(SEARCH("AB",AL4)))</formula>
    </cfRule>
    <cfRule type="containsText" dxfId="2746" priority="42" operator="containsText" text="Sick">
      <formula>NOT(ISERROR(SEARCH("Sick",AL4)))</formula>
    </cfRule>
    <cfRule type="containsText" dxfId="2745" priority="43" operator="containsText" text="OFF">
      <formula>NOT(ISERROR(SEARCH("OFF",AL4)))</formula>
    </cfRule>
    <cfRule type="containsText" dxfId="2744" priority="44" operator="containsText" text="AL">
      <formula>NOT(ISERROR(SEARCH("AL",AL4)))</formula>
    </cfRule>
  </conditionalFormatting>
  <conditionalFormatting sqref="AI4">
    <cfRule type="containsText" dxfId="2743" priority="27" operator="containsText" text="EL">
      <formula>NOT(ISERROR(SEARCH("EL",AI4)))</formula>
    </cfRule>
    <cfRule type="containsText" dxfId="2742" priority="28" operator="containsText" text="AB">
      <formula>NOT(ISERROR(SEARCH("AB",AI4)))</formula>
    </cfRule>
    <cfRule type="containsText" dxfId="2741" priority="29" operator="containsText" text="SUS">
      <formula>NOT(ISERROR(SEARCH("SUS",AI4)))</formula>
    </cfRule>
    <cfRule type="containsText" dxfId="2740" priority="30" operator="containsText" text="FL">
      <formula>NOT(ISERROR(SEARCH("FL",AI4)))</formula>
    </cfRule>
    <cfRule type="containsText" dxfId="2739" priority="31" operator="containsText" text="MC">
      <formula>NOT(ISERROR(SEARCH("MC",AI4)))</formula>
    </cfRule>
    <cfRule type="containsText" dxfId="2738" priority="32" operator="containsText" text="AB">
      <formula>NOT(ISERROR(SEARCH("AB",AI4)))</formula>
    </cfRule>
    <cfRule type="containsText" dxfId="2737" priority="33" operator="containsText" text="Sick">
      <formula>NOT(ISERROR(SEARCH("Sick",AI4)))</formula>
    </cfRule>
    <cfRule type="containsText" dxfId="2736" priority="34" operator="containsText" text="OFF">
      <formula>NOT(ISERROR(SEARCH("OFF",AI4)))</formula>
    </cfRule>
    <cfRule type="containsText" dxfId="2735" priority="35" operator="containsText" text="AL">
      <formula>NOT(ISERROR(SEARCH("AL",AI4)))</formula>
    </cfRule>
  </conditionalFormatting>
  <conditionalFormatting sqref="AJ4">
    <cfRule type="containsText" dxfId="2734" priority="18" operator="containsText" text="EL">
      <formula>NOT(ISERROR(SEARCH("EL",AJ4)))</formula>
    </cfRule>
    <cfRule type="containsText" dxfId="2733" priority="19" operator="containsText" text="AB">
      <formula>NOT(ISERROR(SEARCH("AB",AJ4)))</formula>
    </cfRule>
    <cfRule type="containsText" dxfId="2732" priority="20" operator="containsText" text="SUS">
      <formula>NOT(ISERROR(SEARCH("SUS",AJ4)))</formula>
    </cfRule>
    <cfRule type="containsText" dxfId="2731" priority="21" operator="containsText" text="FL">
      <formula>NOT(ISERROR(SEARCH("FL",AJ4)))</formula>
    </cfRule>
    <cfRule type="containsText" dxfId="2730" priority="22" operator="containsText" text="MC">
      <formula>NOT(ISERROR(SEARCH("MC",AJ4)))</formula>
    </cfRule>
    <cfRule type="containsText" dxfId="2729" priority="23" operator="containsText" text="AB">
      <formula>NOT(ISERROR(SEARCH("AB",AJ4)))</formula>
    </cfRule>
    <cfRule type="containsText" dxfId="2728" priority="24" operator="containsText" text="Sick">
      <formula>NOT(ISERROR(SEARCH("Sick",AJ4)))</formula>
    </cfRule>
    <cfRule type="containsText" dxfId="2727" priority="25" operator="containsText" text="OFF">
      <formula>NOT(ISERROR(SEARCH("OFF",AJ4)))</formula>
    </cfRule>
    <cfRule type="containsText" dxfId="2726" priority="26" operator="containsText" text="AL">
      <formula>NOT(ISERROR(SEARCH("AL",AJ4)))</formula>
    </cfRule>
  </conditionalFormatting>
  <conditionalFormatting sqref="C6:C7">
    <cfRule type="duplicateValues" dxfId="2725" priority="129"/>
  </conditionalFormatting>
  <conditionalFormatting sqref="X12:Z17">
    <cfRule type="containsText" dxfId="2724" priority="12" stopIfTrue="1" operator="containsText" text="SP">
      <formula>NOT(ISERROR(SEARCH("SP",X12)))</formula>
    </cfRule>
    <cfRule type="containsText" dxfId="2723" priority="13" stopIfTrue="1" operator="containsText" text="AL">
      <formula>NOT(ISERROR(SEARCH("AL",X12)))</formula>
    </cfRule>
    <cfRule type="containsText" dxfId="2722" priority="14" stopIfTrue="1" operator="containsText" text="EL">
      <formula>NOT(ISERROR(SEARCH("EL",X12)))</formula>
    </cfRule>
    <cfRule type="containsText" dxfId="2721" priority="15" stopIfTrue="1" operator="containsText" text="AB">
      <formula>NOT(ISERROR(SEARCH("AB",X12)))</formula>
    </cfRule>
    <cfRule type="containsText" dxfId="2720" priority="16" stopIfTrue="1" operator="containsText" text="FL">
      <formula>NOT(ISERROR(SEARCH("FL",X12)))</formula>
    </cfRule>
    <cfRule type="containsText" dxfId="2719" priority="17" stopIfTrue="1" operator="containsText" text="SICK">
      <formula>NOT(ISERROR(SEARCH("SICK",X12)))</formula>
    </cfRule>
  </conditionalFormatting>
  <conditionalFormatting sqref="C1:C4 C19:C1048576 H18 C6:C7">
    <cfRule type="duplicateValues" dxfId="2718" priority="130"/>
  </conditionalFormatting>
  <conditionalFormatting sqref="C5">
    <cfRule type="duplicateValues" dxfId="2717" priority="10"/>
  </conditionalFormatting>
  <conditionalFormatting sqref="C5">
    <cfRule type="duplicateValues" dxfId="2716" priority="11"/>
  </conditionalFormatting>
  <conditionalFormatting sqref="E5:F5">
    <cfRule type="containsText" dxfId="2715" priority="1" operator="containsText" text="EL">
      <formula>NOT(ISERROR(SEARCH("EL",E5)))</formula>
    </cfRule>
    <cfRule type="containsText" dxfId="2714" priority="2" operator="containsText" text="AB">
      <formula>NOT(ISERROR(SEARCH("AB",E5)))</formula>
    </cfRule>
    <cfRule type="containsText" dxfId="2713" priority="3" operator="containsText" text="SUS">
      <formula>NOT(ISERROR(SEARCH("SUS",E5)))</formula>
    </cfRule>
    <cfRule type="containsText" dxfId="2712" priority="4" operator="containsText" text="FL">
      <formula>NOT(ISERROR(SEARCH("FL",E5)))</formula>
    </cfRule>
    <cfRule type="containsText" dxfId="2711" priority="5" operator="containsText" text="MC">
      <formula>NOT(ISERROR(SEARCH("MC",E5)))</formula>
    </cfRule>
    <cfRule type="containsText" dxfId="2710" priority="6" operator="containsText" text="AB">
      <formula>NOT(ISERROR(SEARCH("AB",E5)))</formula>
    </cfRule>
    <cfRule type="containsText" dxfId="2709" priority="7" operator="containsText" text="Sick">
      <formula>NOT(ISERROR(SEARCH("Sick",E5)))</formula>
    </cfRule>
    <cfRule type="containsText" dxfId="2708" priority="8" operator="containsText" text="OFF">
      <formula>NOT(ISERROR(SEARCH("OFF",E5)))</formula>
    </cfRule>
    <cfRule type="containsText" dxfId="2707" priority="9" operator="containsText" text="AL">
      <formula>NOT(ISERROR(SEARCH("AL",E5)))</formula>
    </cfRule>
  </conditionalFormatting>
  <pageMargins left="0.7" right="0.7" top="0.75" bottom="0.75" header="0.3" footer="0.3"/>
  <pageSetup paperSize="9" scale="4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1654-BE71-4CC4-AD49-38B6BAC1D2E1}">
  <sheetPr>
    <pageSetUpPr fitToPage="1"/>
  </sheetPr>
  <dimension ref="A1:AU47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J16" sqref="J16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32" width="6.5703125" customWidth="1"/>
    <col min="33" max="33" width="5.28515625" style="16" customWidth="1"/>
    <col min="34" max="46" width="5.28515625" customWidth="1"/>
    <col min="47" max="47" width="9.140625" customWidth="1"/>
    <col min="51" max="61" width="6" customWidth="1"/>
  </cols>
  <sheetData>
    <row r="1" spans="1:47" ht="25.5" customHeight="1" x14ac:dyDescent="0.25">
      <c r="A1" s="153" t="s">
        <v>262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25"/>
      <c r="AH1" s="65"/>
      <c r="AI1" s="69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1"/>
    </row>
    <row r="2" spans="1:47" ht="22.5" customHeight="1" x14ac:dyDescent="0.25">
      <c r="A2" s="154" t="s">
        <v>182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0" t="s">
        <v>5</v>
      </c>
      <c r="X2" s="150"/>
      <c r="Y2" s="150" t="s">
        <v>6</v>
      </c>
      <c r="Z2" s="150"/>
      <c r="AA2" s="150" t="s">
        <v>7</v>
      </c>
      <c r="AB2" s="150"/>
      <c r="AC2" s="150" t="s">
        <v>1</v>
      </c>
      <c r="AD2" s="150"/>
      <c r="AE2" s="150" t="s">
        <v>2</v>
      </c>
      <c r="AF2" s="150"/>
      <c r="AG2" s="159" t="s">
        <v>8</v>
      </c>
      <c r="AH2" s="169" t="s">
        <v>9</v>
      </c>
      <c r="AI2" s="156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8"/>
    </row>
    <row r="3" spans="1:47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49">
        <v>46152</v>
      </c>
      <c r="X3" s="149"/>
      <c r="Y3" s="149">
        <v>46153</v>
      </c>
      <c r="Z3" s="149"/>
      <c r="AA3" s="149">
        <v>46154</v>
      </c>
      <c r="AB3" s="149"/>
      <c r="AC3" s="149">
        <v>46155</v>
      </c>
      <c r="AD3" s="149"/>
      <c r="AE3" s="149">
        <v>46156</v>
      </c>
      <c r="AF3" s="149"/>
      <c r="AG3" s="159"/>
      <c r="AH3" s="169"/>
      <c r="AI3" s="72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4"/>
    </row>
    <row r="4" spans="1:47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5" t="s">
        <v>13</v>
      </c>
      <c r="R4" s="5" t="s">
        <v>14</v>
      </c>
      <c r="S4" s="5" t="s">
        <v>13</v>
      </c>
      <c r="T4" s="5" t="s">
        <v>14</v>
      </c>
      <c r="U4" s="5" t="s">
        <v>13</v>
      </c>
      <c r="V4" s="5" t="s">
        <v>14</v>
      </c>
      <c r="W4" s="5" t="s">
        <v>13</v>
      </c>
      <c r="X4" s="5" t="s">
        <v>14</v>
      </c>
      <c r="Y4" s="5" t="s">
        <v>13</v>
      </c>
      <c r="Z4" s="5" t="s">
        <v>14</v>
      </c>
      <c r="AA4" s="5" t="s">
        <v>13</v>
      </c>
      <c r="AB4" s="5" t="s">
        <v>14</v>
      </c>
      <c r="AC4" s="5" t="s">
        <v>13</v>
      </c>
      <c r="AD4" s="5" t="s">
        <v>14</v>
      </c>
      <c r="AE4" s="5" t="s">
        <v>13</v>
      </c>
      <c r="AF4" s="5" t="s">
        <v>14</v>
      </c>
      <c r="AG4" s="159"/>
      <c r="AH4" s="170"/>
      <c r="AI4" s="66"/>
      <c r="AJ4" s="120" t="s">
        <v>15</v>
      </c>
      <c r="AK4" s="118" t="s">
        <v>16</v>
      </c>
      <c r="AL4" s="118" t="s">
        <v>17</v>
      </c>
      <c r="AM4" s="115" t="s">
        <v>18</v>
      </c>
      <c r="AN4" s="118" t="s">
        <v>19</v>
      </c>
      <c r="AO4" s="118" t="s">
        <v>20</v>
      </c>
      <c r="AP4" s="90" t="s">
        <v>183</v>
      </c>
      <c r="AQ4" s="67" t="s">
        <v>22</v>
      </c>
      <c r="AR4" s="91" t="s">
        <v>23</v>
      </c>
      <c r="AS4" s="91" t="s">
        <v>24</v>
      </c>
      <c r="AT4" s="91" t="s">
        <v>25</v>
      </c>
      <c r="AU4" s="68" t="s">
        <v>26</v>
      </c>
    </row>
    <row r="5" spans="1:47" s="89" customFormat="1" ht="21.75" customHeight="1" x14ac:dyDescent="0.25">
      <c r="A5" s="123">
        <v>1</v>
      </c>
      <c r="B5" s="135" t="s">
        <v>113</v>
      </c>
      <c r="C5" s="98" t="s">
        <v>188</v>
      </c>
      <c r="D5" s="136">
        <v>45648</v>
      </c>
      <c r="E5" s="127" t="s">
        <v>15</v>
      </c>
      <c r="F5" s="127" t="s">
        <v>15</v>
      </c>
      <c r="G5" s="90">
        <v>0.35486111111111113</v>
      </c>
      <c r="H5" s="90">
        <v>0.92291666666666661</v>
      </c>
      <c r="I5" s="90">
        <v>0.3576388888888889</v>
      </c>
      <c r="J5" s="90">
        <v>0.91249999999999998</v>
      </c>
      <c r="K5" s="90">
        <v>0.35555555555555557</v>
      </c>
      <c r="L5" s="90">
        <v>0.92986111111111114</v>
      </c>
      <c r="M5" s="90">
        <v>0.35694444444444445</v>
      </c>
      <c r="N5" s="91">
        <v>1</v>
      </c>
      <c r="O5" s="90">
        <v>0.35138888888888892</v>
      </c>
      <c r="P5" s="90">
        <v>0.94652777777777775</v>
      </c>
      <c r="Q5" s="90">
        <v>0.3527777777777778</v>
      </c>
      <c r="R5" s="90">
        <v>0.93888888888888899</v>
      </c>
      <c r="S5" s="126">
        <v>0.58124999999999993</v>
      </c>
      <c r="T5" s="126">
        <v>0.90069444444444446</v>
      </c>
      <c r="U5" s="90">
        <v>0.3520833333333333</v>
      </c>
      <c r="V5" s="90">
        <v>0.9277777777777777</v>
      </c>
      <c r="W5" s="90">
        <v>0.35069444444444442</v>
      </c>
      <c r="X5" s="90">
        <v>0.94444444444444453</v>
      </c>
      <c r="Y5" s="90">
        <v>0.3527777777777778</v>
      </c>
      <c r="Z5" s="130">
        <v>1</v>
      </c>
      <c r="AA5" s="130">
        <v>1</v>
      </c>
      <c r="AB5" s="130">
        <v>1</v>
      </c>
      <c r="AC5" s="130">
        <v>1</v>
      </c>
      <c r="AD5" s="130">
        <v>1</v>
      </c>
      <c r="AE5" s="130">
        <v>1</v>
      </c>
      <c r="AF5" s="130">
        <v>1</v>
      </c>
      <c r="AG5" s="131">
        <f t="shared" ref="AG5" si="0">AI5+AJ5+AL5+AM5+AQ5+AO5+AP5+AT5</f>
        <v>14</v>
      </c>
      <c r="AH5" s="81">
        <v>1</v>
      </c>
      <c r="AI5" s="132">
        <f>COUNT(E5:AF5)/2+COUNT(#REF!)/2</f>
        <v>13</v>
      </c>
      <c r="AJ5" s="133">
        <f>COUNTIF(E5:AF5,"OFF")/2</f>
        <v>1</v>
      </c>
      <c r="AK5" s="133">
        <f>COUNTIF(E5:AF5,"MC")/2</f>
        <v>0</v>
      </c>
      <c r="AL5" s="133">
        <f>COUNTIF(E5:AF5,"EL")/2</f>
        <v>0</v>
      </c>
      <c r="AM5" s="133">
        <f>COUNTIF(E5:AF5,"AL")/2</f>
        <v>0</v>
      </c>
      <c r="AN5" s="133">
        <f>COUNTIF(E5:AF5,"SUS")/2</f>
        <v>0</v>
      </c>
      <c r="AO5" s="133">
        <f>COUNTIF(E5:AF5,"FL")/2</f>
        <v>0</v>
      </c>
      <c r="AP5" s="133">
        <f>COUNTIF(E5:AF5,"SICK")/2</f>
        <v>0</v>
      </c>
      <c r="AQ5" s="133">
        <f>COUNTIF(E5:AF5,"HD")/2</f>
        <v>0</v>
      </c>
      <c r="AR5" s="133">
        <f>COUNTIF(E5:AF5,"AB")/2</f>
        <v>0</v>
      </c>
      <c r="AS5" s="133">
        <f>COUNTIF(E5:AF5,"NL")/2</f>
        <v>0</v>
      </c>
      <c r="AT5" s="133">
        <f>COUNTIF(E5:AF5,"SP")/2</f>
        <v>0</v>
      </c>
      <c r="AU5" s="134"/>
    </row>
    <row r="7" spans="1:47" ht="15.75" x14ac:dyDescent="0.25">
      <c r="F7" s="129" t="s">
        <v>255</v>
      </c>
      <c r="G7" s="129"/>
      <c r="H7" s="129" t="s">
        <v>268</v>
      </c>
      <c r="I7" s="129"/>
      <c r="J7" s="129"/>
      <c r="K7" s="129"/>
      <c r="L7" s="129"/>
      <c r="M7" s="129"/>
      <c r="N7" s="108"/>
      <c r="O7" s="108"/>
      <c r="P7" s="108"/>
    </row>
    <row r="8" spans="1:47" ht="15.75" x14ac:dyDescent="0.25">
      <c r="F8" s="129" t="s">
        <v>256</v>
      </c>
      <c r="G8" s="129"/>
      <c r="H8" s="129" t="s">
        <v>269</v>
      </c>
      <c r="I8" s="129"/>
      <c r="J8" s="129"/>
      <c r="K8" s="129"/>
      <c r="L8" s="129"/>
      <c r="M8" s="129"/>
      <c r="N8" s="108"/>
      <c r="O8" s="108"/>
      <c r="P8" s="108"/>
      <c r="AI8" s="36" t="s">
        <v>73</v>
      </c>
      <c r="AJ8" s="37"/>
      <c r="AK8" s="37"/>
      <c r="AL8" s="38" t="s">
        <v>16</v>
      </c>
      <c r="AM8" s="39"/>
      <c r="AN8" s="44" t="s">
        <v>74</v>
      </c>
      <c r="AO8" s="45"/>
      <c r="AP8" s="45"/>
      <c r="AQ8" s="42"/>
      <c r="AR8" s="43" t="s">
        <v>22</v>
      </c>
    </row>
    <row r="9" spans="1:47" x14ac:dyDescent="0.25">
      <c r="AI9" s="36" t="s">
        <v>75</v>
      </c>
      <c r="AJ9" s="37"/>
      <c r="AK9" s="37"/>
      <c r="AL9" s="38" t="s">
        <v>17</v>
      </c>
      <c r="AM9" s="39"/>
      <c r="AN9" s="44" t="s">
        <v>76</v>
      </c>
      <c r="AO9" s="45"/>
      <c r="AP9" s="45"/>
      <c r="AQ9" s="42"/>
      <c r="AR9" s="43" t="s">
        <v>23</v>
      </c>
    </row>
    <row r="10" spans="1:47" x14ac:dyDescent="0.25">
      <c r="AI10" s="36" t="s">
        <v>77</v>
      </c>
      <c r="AJ10" s="37"/>
      <c r="AK10" s="37"/>
      <c r="AL10" s="38" t="s">
        <v>18</v>
      </c>
      <c r="AM10" s="39"/>
      <c r="AN10" s="40" t="s">
        <v>78</v>
      </c>
      <c r="AO10" s="41"/>
      <c r="AP10" s="41"/>
      <c r="AQ10" s="42"/>
      <c r="AR10" s="43" t="s">
        <v>24</v>
      </c>
    </row>
    <row r="11" spans="1:47" x14ac:dyDescent="0.25">
      <c r="AI11" s="36" t="s">
        <v>79</v>
      </c>
      <c r="AJ11" s="37"/>
      <c r="AK11" s="37"/>
      <c r="AL11" s="38" t="s">
        <v>19</v>
      </c>
      <c r="AM11" s="39"/>
      <c r="AN11" s="40" t="s">
        <v>80</v>
      </c>
      <c r="AO11" s="41"/>
      <c r="AP11" s="41"/>
      <c r="AQ11" s="42"/>
      <c r="AR11" s="43" t="s">
        <v>25</v>
      </c>
    </row>
    <row r="12" spans="1:47" ht="15.75" x14ac:dyDescent="0.25">
      <c r="G12" s="17"/>
      <c r="H12" s="18" t="s">
        <v>63</v>
      </c>
      <c r="I12" s="19"/>
      <c r="J12" s="20"/>
      <c r="M12" s="20"/>
      <c r="P12" s="22"/>
      <c r="Q12" s="23" t="s">
        <v>64</v>
      </c>
      <c r="R12" s="23"/>
      <c r="X12" s="21"/>
      <c r="Y12" s="23" t="s">
        <v>66</v>
      </c>
      <c r="Z12" s="21"/>
      <c r="AI12" s="36" t="s">
        <v>81</v>
      </c>
      <c r="AJ12" s="37"/>
      <c r="AK12" s="37"/>
      <c r="AL12" s="38" t="s">
        <v>20</v>
      </c>
      <c r="AM12" s="39"/>
      <c r="AN12" s="39"/>
      <c r="AO12" s="39"/>
      <c r="AP12" s="39"/>
      <c r="AQ12" s="39"/>
      <c r="AR12" s="39"/>
    </row>
    <row r="13" spans="1:47" ht="17.25" x14ac:dyDescent="0.25">
      <c r="G13" s="24"/>
      <c r="H13" s="20"/>
      <c r="I13" s="20"/>
      <c r="J13" s="20"/>
      <c r="M13" s="20"/>
      <c r="P13" s="25"/>
      <c r="Q13" s="25"/>
      <c r="R13" s="20"/>
      <c r="X13" s="26"/>
      <c r="Y13" s="27"/>
      <c r="Z13" s="27"/>
    </row>
    <row r="14" spans="1:47" ht="17.25" x14ac:dyDescent="0.25">
      <c r="G14" s="24"/>
      <c r="H14" s="28"/>
      <c r="I14" s="20"/>
      <c r="J14" s="20"/>
      <c r="M14" s="20"/>
      <c r="P14" s="29"/>
      <c r="Q14" s="25"/>
      <c r="R14" s="20"/>
      <c r="X14" s="20"/>
      <c r="Y14" s="30"/>
      <c r="Z14" s="30"/>
    </row>
    <row r="15" spans="1:47" ht="17.25" x14ac:dyDescent="0.25">
      <c r="G15" s="31"/>
      <c r="H15" s="28"/>
      <c r="I15" s="20"/>
      <c r="J15" s="20"/>
      <c r="M15" s="20"/>
      <c r="P15" s="29"/>
      <c r="Q15" s="25"/>
      <c r="R15" s="21"/>
      <c r="X15" s="20"/>
      <c r="Y15" s="30"/>
      <c r="Z15" s="30"/>
    </row>
    <row r="16" spans="1:47" ht="17.25" x14ac:dyDescent="0.25">
      <c r="G16" s="32" t="s">
        <v>67</v>
      </c>
      <c r="H16" s="33"/>
      <c r="I16" s="17"/>
      <c r="J16" s="20"/>
      <c r="M16" s="20"/>
      <c r="P16" s="29"/>
      <c r="Q16" s="19" t="s">
        <v>68</v>
      </c>
      <c r="R16" s="20"/>
      <c r="X16" s="20"/>
      <c r="Y16" s="19" t="s">
        <v>69</v>
      </c>
      <c r="Z16" s="30"/>
    </row>
    <row r="17" spans="7:45" ht="17.25" x14ac:dyDescent="0.25">
      <c r="G17" s="32" t="s">
        <v>259</v>
      </c>
      <c r="H17" s="32"/>
      <c r="I17" s="31"/>
      <c r="J17" s="20"/>
      <c r="M17" s="20"/>
      <c r="P17" s="34"/>
      <c r="Q17" s="19" t="s">
        <v>71</v>
      </c>
      <c r="R17" s="19"/>
      <c r="X17" s="20"/>
      <c r="Y17" s="19" t="s">
        <v>72</v>
      </c>
      <c r="Z17" s="30"/>
    </row>
    <row r="18" spans="7:45" x14ac:dyDescent="0.25">
      <c r="G18" s="16"/>
    </row>
    <row r="19" spans="7:45" x14ac:dyDescent="0.25">
      <c r="AJ19" s="39"/>
      <c r="AK19" s="39"/>
      <c r="AL19" s="39"/>
      <c r="AM19" s="39"/>
      <c r="AN19" s="39"/>
      <c r="AO19" s="39"/>
      <c r="AP19" s="39"/>
      <c r="AQ19" s="39"/>
      <c r="AR19" s="39"/>
      <c r="AS19" s="39"/>
    </row>
    <row r="27" spans="7:45" ht="24.75" customHeight="1" x14ac:dyDescent="0.25"/>
    <row r="29" spans="7:45" ht="21.75" customHeight="1" x14ac:dyDescent="0.25"/>
    <row r="30" spans="7:45" ht="21.75" customHeight="1" x14ac:dyDescent="0.25"/>
    <row r="31" spans="7:45" ht="21.75" customHeight="1" x14ac:dyDescent="0.25"/>
    <row r="32" spans="7:45" ht="21" customHeight="1" x14ac:dyDescent="0.25"/>
    <row r="33" spans="33:33" ht="21" customHeight="1" x14ac:dyDescent="0.25"/>
    <row r="34" spans="33:33" ht="21" customHeight="1" x14ac:dyDescent="0.25">
      <c r="AG34"/>
    </row>
    <row r="35" spans="33:33" ht="21.75" customHeight="1" x14ac:dyDescent="0.25">
      <c r="AG35"/>
    </row>
    <row r="36" spans="33:33" ht="21.75" customHeight="1" x14ac:dyDescent="0.25">
      <c r="AG36"/>
    </row>
    <row r="37" spans="33:33" ht="21.75" customHeight="1" x14ac:dyDescent="0.25">
      <c r="AG37"/>
    </row>
    <row r="38" spans="33:33" ht="21.75" customHeight="1" x14ac:dyDescent="0.25">
      <c r="AG38"/>
    </row>
    <row r="39" spans="33:33" x14ac:dyDescent="0.25">
      <c r="AG39"/>
    </row>
    <row r="40" spans="33:33" x14ac:dyDescent="0.25">
      <c r="AG40"/>
    </row>
    <row r="41" spans="33:33" x14ac:dyDescent="0.25">
      <c r="AG41"/>
    </row>
    <row r="42" spans="33:33" x14ac:dyDescent="0.25">
      <c r="AG42"/>
    </row>
    <row r="43" spans="33:33" x14ac:dyDescent="0.25">
      <c r="AG43"/>
    </row>
    <row r="44" spans="33:33" x14ac:dyDescent="0.25">
      <c r="AG44"/>
    </row>
    <row r="45" spans="33:33" x14ac:dyDescent="0.25">
      <c r="AG45"/>
    </row>
    <row r="46" spans="33:33" x14ac:dyDescent="0.25">
      <c r="AG46"/>
    </row>
    <row r="47" spans="33:33" x14ac:dyDescent="0.25">
      <c r="AG47"/>
    </row>
  </sheetData>
  <mergeCells count="33">
    <mergeCell ref="A1:AF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AE3:AF3"/>
    <mergeCell ref="AE2:AF2"/>
    <mergeCell ref="U3:V3"/>
    <mergeCell ref="AC2:AD2"/>
    <mergeCell ref="AA3:AB3"/>
    <mergeCell ref="E3:F3"/>
    <mergeCell ref="AH2:AH4"/>
    <mergeCell ref="AI2:AU2"/>
    <mergeCell ref="Y2:Z2"/>
    <mergeCell ref="AA2:AB2"/>
    <mergeCell ref="Y3:Z3"/>
    <mergeCell ref="AG2:AG4"/>
    <mergeCell ref="AC3:AD3"/>
    <mergeCell ref="G3:H3"/>
    <mergeCell ref="I3:J3"/>
    <mergeCell ref="K3:L3"/>
    <mergeCell ref="M3:N3"/>
    <mergeCell ref="O3:P3"/>
    <mergeCell ref="Q3:R3"/>
    <mergeCell ref="S3:T3"/>
    <mergeCell ref="U2:V2"/>
    <mergeCell ref="W2:X2"/>
    <mergeCell ref="W3:X3"/>
  </mergeCells>
  <phoneticPr fontId="11" type="noConversion"/>
  <conditionalFormatting sqref="AG2:AG3 A2:D3 A5 AG5 A1:AG1 A4:AG4">
    <cfRule type="containsText" dxfId="2706" priority="127" stopIfTrue="1" operator="containsText" text="SP">
      <formula>NOT(ISERROR(SEARCH("SP",A1)))</formula>
    </cfRule>
  </conditionalFormatting>
  <conditionalFormatting sqref="AG2:AG3 A2:D3 A5 AG5 A1:AG1 A4:AG4">
    <cfRule type="containsText" dxfId="2705" priority="128" stopIfTrue="1" operator="containsText" text="AL">
      <formula>NOT(ISERROR(SEARCH("AL",A1)))</formula>
    </cfRule>
    <cfRule type="containsText" dxfId="2704" priority="129" stopIfTrue="1" operator="containsText" text="EL">
      <formula>NOT(ISERROR(SEARCH("EL",A1)))</formula>
    </cfRule>
    <cfRule type="containsText" dxfId="2703" priority="130" stopIfTrue="1" operator="containsText" text="AB">
      <formula>NOT(ISERROR(SEARCH("AB",A1)))</formula>
    </cfRule>
    <cfRule type="containsText" dxfId="2702" priority="131" stopIfTrue="1" operator="containsText" text="FL">
      <formula>NOT(ISERROR(SEARCH("FL",A1)))</formula>
    </cfRule>
    <cfRule type="containsText" dxfId="2701" priority="132" stopIfTrue="1" operator="containsText" text="SICK">
      <formula>NOT(ISERROR(SEARCH("SICK",A1)))</formula>
    </cfRule>
  </conditionalFormatting>
  <conditionalFormatting sqref="D5">
    <cfRule type="timePeriod" dxfId="2700" priority="123" timePeriod="last7Days">
      <formula>AND(TODAY()-FLOOR(D5,1)&lt;=6,FLOOR(D5,1)&lt;=TODAY())</formula>
    </cfRule>
    <cfRule type="timePeriod" dxfId="2699" priority="124" timePeriod="thisWeek">
      <formula>AND(TODAY()-ROUNDDOWN(D5,0)&lt;=WEEKDAY(TODAY())-1,ROUNDDOWN(D5,0)-TODAY()&lt;=7-WEEKDAY(TODAY()))</formula>
    </cfRule>
    <cfRule type="timePeriod" priority="125" timePeriod="nextWeek">
      <formula>AND(ROUNDDOWN(D5,0)-TODAY()&gt;(7-WEEKDAY(TODAY())),ROUNDDOWN(D5,0)-TODAY()&lt;(15-WEEKDAY(TODAY())))</formula>
    </cfRule>
    <cfRule type="timePeriod" dxfId="2698" priority="126" timePeriod="nextWeek">
      <formula>AND(ROUNDDOWN(D5,0)-TODAY()&gt;(7-WEEKDAY(TODAY())),ROUNDDOWN(D5,0)-TODAY()&lt;(15-WEEKDAY(TODAY())))</formula>
    </cfRule>
  </conditionalFormatting>
  <conditionalFormatting sqref="M12:M15 P12:R15">
    <cfRule type="containsText" dxfId="2697" priority="133" stopIfTrue="1" operator="containsText" text="AB">
      <formula>NOT(ISERROR(SEARCH("AB",M12)))</formula>
    </cfRule>
    <cfRule type="containsText" dxfId="2696" priority="134" stopIfTrue="1" operator="containsText" text="SICK">
      <formula>NOT(ISERROR(SEARCH("SICK",M12)))</formula>
    </cfRule>
    <cfRule type="containsText" dxfId="2695" priority="135" stopIfTrue="1" operator="containsText" text="SP">
      <formula>NOT(ISERROR(SEARCH("SP",M12)))</formula>
    </cfRule>
    <cfRule type="containsText" priority="136" stopIfTrue="1" operator="containsText" text="SP">
      <formula>NOT(ISERROR(SEARCH("SP",M12)))</formula>
    </cfRule>
    <cfRule type="containsText" dxfId="2694" priority="137" stopIfTrue="1" operator="containsText" text="SICK">
      <formula>NOT(ISERROR(SEARCH("SICK",M12)))</formula>
    </cfRule>
  </conditionalFormatting>
  <conditionalFormatting sqref="AH5">
    <cfRule type="cellIs" dxfId="2693" priority="139" stopIfTrue="1" operator="equal">
      <formula>";"</formula>
    </cfRule>
  </conditionalFormatting>
  <conditionalFormatting sqref="AH2">
    <cfRule type="cellIs" dxfId="2692" priority="138" operator="equal">
      <formula>";"</formula>
    </cfRule>
  </conditionalFormatting>
  <conditionalFormatting sqref="AM4">
    <cfRule type="containsText" dxfId="2691" priority="114" operator="containsText" text="EL">
      <formula>NOT(ISERROR(SEARCH("EL",AM4)))</formula>
    </cfRule>
    <cfRule type="containsText" dxfId="2690" priority="115" operator="containsText" text="AB">
      <formula>NOT(ISERROR(SEARCH("AB",AM4)))</formula>
    </cfRule>
    <cfRule type="containsText" dxfId="2689" priority="116" operator="containsText" text="SUS">
      <formula>NOT(ISERROR(SEARCH("SUS",AM4)))</formula>
    </cfRule>
    <cfRule type="containsText" dxfId="2688" priority="117" operator="containsText" text="FL">
      <formula>NOT(ISERROR(SEARCH("FL",AM4)))</formula>
    </cfRule>
    <cfRule type="containsText" dxfId="2687" priority="118" operator="containsText" text="MC">
      <formula>NOT(ISERROR(SEARCH("MC",AM4)))</formula>
    </cfRule>
    <cfRule type="containsText" dxfId="2686" priority="119" operator="containsText" text="AB">
      <formula>NOT(ISERROR(SEARCH("AB",AM4)))</formula>
    </cfRule>
    <cfRule type="containsText" dxfId="2685" priority="120" operator="containsText" text="Sick">
      <formula>NOT(ISERROR(SEARCH("Sick",AM4)))</formula>
    </cfRule>
    <cfRule type="containsText" dxfId="2684" priority="121" operator="containsText" text="OFF">
      <formula>NOT(ISERROR(SEARCH("OFF",AM4)))</formula>
    </cfRule>
    <cfRule type="containsText" dxfId="2683" priority="122" operator="containsText" text="AL">
      <formula>NOT(ISERROR(SEARCH("AL",AM4)))</formula>
    </cfRule>
  </conditionalFormatting>
  <conditionalFormatting sqref="AJ4">
    <cfRule type="containsText" dxfId="2682" priority="105" operator="containsText" text="EL">
      <formula>NOT(ISERROR(SEARCH("EL",AJ4)))</formula>
    </cfRule>
    <cfRule type="containsText" dxfId="2681" priority="106" operator="containsText" text="AB">
      <formula>NOT(ISERROR(SEARCH("AB",AJ4)))</formula>
    </cfRule>
    <cfRule type="containsText" dxfId="2680" priority="107" operator="containsText" text="SUS">
      <formula>NOT(ISERROR(SEARCH("SUS",AJ4)))</formula>
    </cfRule>
    <cfRule type="containsText" dxfId="2679" priority="108" operator="containsText" text="FL">
      <formula>NOT(ISERROR(SEARCH("FL",AJ4)))</formula>
    </cfRule>
    <cfRule type="containsText" dxfId="2678" priority="109" operator="containsText" text="MC">
      <formula>NOT(ISERROR(SEARCH("MC",AJ4)))</formula>
    </cfRule>
    <cfRule type="containsText" dxfId="2677" priority="110" operator="containsText" text="AB">
      <formula>NOT(ISERROR(SEARCH("AB",AJ4)))</formula>
    </cfRule>
    <cfRule type="containsText" dxfId="2676" priority="111" operator="containsText" text="Sick">
      <formula>NOT(ISERROR(SEARCH("Sick",AJ4)))</formula>
    </cfRule>
    <cfRule type="containsText" dxfId="2675" priority="112" operator="containsText" text="OFF">
      <formula>NOT(ISERROR(SEARCH("OFF",AJ4)))</formula>
    </cfRule>
    <cfRule type="containsText" dxfId="2674" priority="113" operator="containsText" text="AL">
      <formula>NOT(ISERROR(SEARCH("AL",AJ4)))</formula>
    </cfRule>
  </conditionalFormatting>
  <conditionalFormatting sqref="AP4">
    <cfRule type="containsText" dxfId="2673" priority="95" operator="containsText" text="SP">
      <formula>NOT(ISERROR(SEARCH("SP",AP4)))</formula>
    </cfRule>
    <cfRule type="containsText" dxfId="2672" priority="96" operator="containsText" text="NL">
      <formula>NOT(ISERROR(SEARCH("NL",AP4)))</formula>
    </cfRule>
    <cfRule type="containsText" dxfId="2671" priority="97" operator="containsText" text="SUS">
      <formula>NOT(ISERROR(SEARCH("SUS",AP4)))</formula>
    </cfRule>
    <cfRule type="containsText" dxfId="2670" priority="98" operator="containsText" text="FL">
      <formula>NOT(ISERROR(SEARCH("FL",AP4)))</formula>
    </cfRule>
    <cfRule type="containsText" dxfId="2669" priority="99" operator="containsText" text="EL">
      <formula>NOT(ISERROR(SEARCH("EL",AP4)))</formula>
    </cfRule>
    <cfRule type="containsText" dxfId="2668" priority="100" operator="containsText" text="MC">
      <formula>NOT(ISERROR(SEARCH("MC",AP4)))</formula>
    </cfRule>
    <cfRule type="containsText" dxfId="2667" priority="101" operator="containsText" text="OFF">
      <formula>NOT(ISERROR(SEARCH("OFF",AP4)))</formula>
    </cfRule>
    <cfRule type="containsText" dxfId="2666" priority="102" operator="containsText" text="AB">
      <formula>NOT(ISERROR(SEARCH("AB",AP4)))</formula>
    </cfRule>
    <cfRule type="containsText" dxfId="2665" priority="103" operator="containsText" text="SICK">
      <formula>NOT(ISERROR(SEARCH("SICK",AP4)))</formula>
    </cfRule>
    <cfRule type="containsText" dxfId="2664" priority="104" operator="containsText" text="AL">
      <formula>NOT(ISERROR(SEARCH("AL",AP4)))</formula>
    </cfRule>
  </conditionalFormatting>
  <conditionalFormatting sqref="AR4">
    <cfRule type="containsText" dxfId="2663" priority="85" operator="containsText" text="SP">
      <formula>NOT(ISERROR(SEARCH("SP",AR4)))</formula>
    </cfRule>
    <cfRule type="containsText" dxfId="2662" priority="86" operator="containsText" text="NL">
      <formula>NOT(ISERROR(SEARCH("NL",AR4)))</formula>
    </cfRule>
    <cfRule type="containsText" dxfId="2661" priority="87" operator="containsText" text="SUS">
      <formula>NOT(ISERROR(SEARCH("SUS",AR4)))</formula>
    </cfRule>
    <cfRule type="containsText" dxfId="2660" priority="88" operator="containsText" text="FL">
      <formula>NOT(ISERROR(SEARCH("FL",AR4)))</formula>
    </cfRule>
    <cfRule type="containsText" dxfId="2659" priority="89" operator="containsText" text="EL">
      <formula>NOT(ISERROR(SEARCH("EL",AR4)))</formula>
    </cfRule>
    <cfRule type="containsText" dxfId="2658" priority="90" operator="containsText" text="MC">
      <formula>NOT(ISERROR(SEARCH("MC",AR4)))</formula>
    </cfRule>
    <cfRule type="containsText" dxfId="2657" priority="91" operator="containsText" text="OFF">
      <formula>NOT(ISERROR(SEARCH("OFF",AR4)))</formula>
    </cfRule>
    <cfRule type="containsText" dxfId="2656" priority="92" operator="containsText" text="AB">
      <formula>NOT(ISERROR(SEARCH("AB",AR4)))</formula>
    </cfRule>
    <cfRule type="containsText" dxfId="2655" priority="93" operator="containsText" text="SICK">
      <formula>NOT(ISERROR(SEARCH("SICK",AR4)))</formula>
    </cfRule>
    <cfRule type="containsText" dxfId="2654" priority="94" operator="containsText" text="AL">
      <formula>NOT(ISERROR(SEARCH("AL",AR4)))</formula>
    </cfRule>
  </conditionalFormatting>
  <conditionalFormatting sqref="AT4">
    <cfRule type="containsText" dxfId="2653" priority="75" operator="containsText" text="SP">
      <formula>NOT(ISERROR(SEARCH("SP",AT4)))</formula>
    </cfRule>
    <cfRule type="containsText" dxfId="2652" priority="76" operator="containsText" text="NL">
      <formula>NOT(ISERROR(SEARCH("NL",AT4)))</formula>
    </cfRule>
    <cfRule type="containsText" dxfId="2651" priority="77" operator="containsText" text="SUS">
      <formula>NOT(ISERROR(SEARCH("SUS",AT4)))</formula>
    </cfRule>
    <cfRule type="containsText" dxfId="2650" priority="78" operator="containsText" text="FL">
      <formula>NOT(ISERROR(SEARCH("FL",AT4)))</formula>
    </cfRule>
    <cfRule type="containsText" dxfId="2649" priority="79" operator="containsText" text="EL">
      <formula>NOT(ISERROR(SEARCH("EL",AT4)))</formula>
    </cfRule>
    <cfRule type="containsText" dxfId="2648" priority="80" operator="containsText" text="MC">
      <formula>NOT(ISERROR(SEARCH("MC",AT4)))</formula>
    </cfRule>
    <cfRule type="containsText" dxfId="2647" priority="81" operator="containsText" text="OFF">
      <formula>NOT(ISERROR(SEARCH("OFF",AT4)))</formula>
    </cfRule>
    <cfRule type="containsText" dxfId="2646" priority="82" operator="containsText" text="AB">
      <formula>NOT(ISERROR(SEARCH("AB",AT4)))</formula>
    </cfRule>
    <cfRule type="containsText" dxfId="2645" priority="83" operator="containsText" text="SICK">
      <formula>NOT(ISERROR(SEARCH("SICK",AT4)))</formula>
    </cfRule>
    <cfRule type="containsText" dxfId="2644" priority="84" operator="containsText" text="AL">
      <formula>NOT(ISERROR(SEARCH("AL",AT4)))</formula>
    </cfRule>
  </conditionalFormatting>
  <conditionalFormatting sqref="AS4">
    <cfRule type="containsText" dxfId="2643" priority="65" operator="containsText" text="SP">
      <formula>NOT(ISERROR(SEARCH("SP",AS4)))</formula>
    </cfRule>
    <cfRule type="containsText" dxfId="2642" priority="66" operator="containsText" text="NL">
      <formula>NOT(ISERROR(SEARCH("NL",AS4)))</formula>
    </cfRule>
    <cfRule type="containsText" dxfId="2641" priority="67" operator="containsText" text="SUS">
      <formula>NOT(ISERROR(SEARCH("SUS",AS4)))</formula>
    </cfRule>
    <cfRule type="containsText" dxfId="2640" priority="68" operator="containsText" text="FL">
      <formula>NOT(ISERROR(SEARCH("FL",AS4)))</formula>
    </cfRule>
    <cfRule type="containsText" dxfId="2639" priority="69" operator="containsText" text="EL">
      <formula>NOT(ISERROR(SEARCH("EL",AS4)))</formula>
    </cfRule>
    <cfRule type="containsText" dxfId="2638" priority="70" operator="containsText" text="MC">
      <formula>NOT(ISERROR(SEARCH("MC",AS4)))</formula>
    </cfRule>
    <cfRule type="containsText" dxfId="2637" priority="71" operator="containsText" text="OFF">
      <formula>NOT(ISERROR(SEARCH("OFF",AS4)))</formula>
    </cfRule>
    <cfRule type="containsText" dxfId="2636" priority="72" operator="containsText" text="AB">
      <formula>NOT(ISERROR(SEARCH("AB",AS4)))</formula>
    </cfRule>
    <cfRule type="containsText" dxfId="2635" priority="73" operator="containsText" text="SICK">
      <formula>NOT(ISERROR(SEARCH("SICK",AS4)))</formula>
    </cfRule>
    <cfRule type="containsText" dxfId="2634" priority="74" operator="containsText" text="AL">
      <formula>NOT(ISERROR(SEARCH("AL",AS4)))</formula>
    </cfRule>
  </conditionalFormatting>
  <conditionalFormatting sqref="AO4">
    <cfRule type="containsText" dxfId="2633" priority="56" operator="containsText" text="EL">
      <formula>NOT(ISERROR(SEARCH("EL",AO4)))</formula>
    </cfRule>
    <cfRule type="containsText" dxfId="2632" priority="57" operator="containsText" text="AB">
      <formula>NOT(ISERROR(SEARCH("AB",AO4)))</formula>
    </cfRule>
    <cfRule type="containsText" dxfId="2631" priority="58" operator="containsText" text="SUS">
      <formula>NOT(ISERROR(SEARCH("SUS",AO4)))</formula>
    </cfRule>
    <cfRule type="containsText" dxfId="2630" priority="59" operator="containsText" text="FL">
      <formula>NOT(ISERROR(SEARCH("FL",AO4)))</formula>
    </cfRule>
    <cfRule type="containsText" dxfId="2629" priority="60" operator="containsText" text="MC">
      <formula>NOT(ISERROR(SEARCH("MC",AO4)))</formula>
    </cfRule>
    <cfRule type="containsText" dxfId="2628" priority="61" operator="containsText" text="AB">
      <formula>NOT(ISERROR(SEARCH("AB",AO4)))</formula>
    </cfRule>
    <cfRule type="containsText" dxfId="2627" priority="62" operator="containsText" text="Sick">
      <formula>NOT(ISERROR(SEARCH("Sick",AO4)))</formula>
    </cfRule>
    <cfRule type="containsText" dxfId="2626" priority="63" operator="containsText" text="OFF">
      <formula>NOT(ISERROR(SEARCH("OFF",AO4)))</formula>
    </cfRule>
    <cfRule type="containsText" dxfId="2625" priority="64" operator="containsText" text="AL">
      <formula>NOT(ISERROR(SEARCH("AL",AO4)))</formula>
    </cfRule>
  </conditionalFormatting>
  <conditionalFormatting sqref="AN4">
    <cfRule type="containsText" dxfId="2624" priority="47" operator="containsText" text="EL">
      <formula>NOT(ISERROR(SEARCH("EL",AN4)))</formula>
    </cfRule>
    <cfRule type="containsText" dxfId="2623" priority="48" operator="containsText" text="AB">
      <formula>NOT(ISERROR(SEARCH("AB",AN4)))</formula>
    </cfRule>
    <cfRule type="containsText" dxfId="2622" priority="49" operator="containsText" text="SUS">
      <formula>NOT(ISERROR(SEARCH("SUS",AN4)))</formula>
    </cfRule>
    <cfRule type="containsText" dxfId="2621" priority="50" operator="containsText" text="FL">
      <formula>NOT(ISERROR(SEARCH("FL",AN4)))</formula>
    </cfRule>
    <cfRule type="containsText" dxfId="2620" priority="51" operator="containsText" text="MC">
      <formula>NOT(ISERROR(SEARCH("MC",AN4)))</formula>
    </cfRule>
    <cfRule type="containsText" dxfId="2619" priority="52" operator="containsText" text="AB">
      <formula>NOT(ISERROR(SEARCH("AB",AN4)))</formula>
    </cfRule>
    <cfRule type="containsText" dxfId="2618" priority="53" operator="containsText" text="Sick">
      <formula>NOT(ISERROR(SEARCH("Sick",AN4)))</formula>
    </cfRule>
    <cfRule type="containsText" dxfId="2617" priority="54" operator="containsText" text="OFF">
      <formula>NOT(ISERROR(SEARCH("OFF",AN4)))</formula>
    </cfRule>
    <cfRule type="containsText" dxfId="2616" priority="55" operator="containsText" text="AL">
      <formula>NOT(ISERROR(SEARCH("AL",AN4)))</formula>
    </cfRule>
  </conditionalFormatting>
  <conditionalFormatting sqref="AK4">
    <cfRule type="containsText" dxfId="2615" priority="38" operator="containsText" text="EL">
      <formula>NOT(ISERROR(SEARCH("EL",AK4)))</formula>
    </cfRule>
    <cfRule type="containsText" dxfId="2614" priority="39" operator="containsText" text="AB">
      <formula>NOT(ISERROR(SEARCH("AB",AK4)))</formula>
    </cfRule>
    <cfRule type="containsText" dxfId="2613" priority="40" operator="containsText" text="SUS">
      <formula>NOT(ISERROR(SEARCH("SUS",AK4)))</formula>
    </cfRule>
    <cfRule type="containsText" dxfId="2612" priority="41" operator="containsText" text="FL">
      <formula>NOT(ISERROR(SEARCH("FL",AK4)))</formula>
    </cfRule>
    <cfRule type="containsText" dxfId="2611" priority="42" operator="containsText" text="MC">
      <formula>NOT(ISERROR(SEARCH("MC",AK4)))</formula>
    </cfRule>
    <cfRule type="containsText" dxfId="2610" priority="43" operator="containsText" text="AB">
      <formula>NOT(ISERROR(SEARCH("AB",AK4)))</formula>
    </cfRule>
    <cfRule type="containsText" dxfId="2609" priority="44" operator="containsText" text="Sick">
      <formula>NOT(ISERROR(SEARCH("Sick",AK4)))</formula>
    </cfRule>
    <cfRule type="containsText" dxfId="2608" priority="45" operator="containsText" text="OFF">
      <formula>NOT(ISERROR(SEARCH("OFF",AK4)))</formula>
    </cfRule>
    <cfRule type="containsText" dxfId="2607" priority="46" operator="containsText" text="AL">
      <formula>NOT(ISERROR(SEARCH("AL",AK4)))</formula>
    </cfRule>
  </conditionalFormatting>
  <conditionalFormatting sqref="AL4">
    <cfRule type="containsText" dxfId="2606" priority="29" operator="containsText" text="EL">
      <formula>NOT(ISERROR(SEARCH("EL",AL4)))</formula>
    </cfRule>
    <cfRule type="containsText" dxfId="2605" priority="30" operator="containsText" text="AB">
      <formula>NOT(ISERROR(SEARCH("AB",AL4)))</formula>
    </cfRule>
    <cfRule type="containsText" dxfId="2604" priority="31" operator="containsText" text="SUS">
      <formula>NOT(ISERROR(SEARCH("SUS",AL4)))</formula>
    </cfRule>
    <cfRule type="containsText" dxfId="2603" priority="32" operator="containsText" text="FL">
      <formula>NOT(ISERROR(SEARCH("FL",AL4)))</formula>
    </cfRule>
    <cfRule type="containsText" dxfId="2602" priority="33" operator="containsText" text="MC">
      <formula>NOT(ISERROR(SEARCH("MC",AL4)))</formula>
    </cfRule>
    <cfRule type="containsText" dxfId="2601" priority="34" operator="containsText" text="AB">
      <formula>NOT(ISERROR(SEARCH("AB",AL4)))</formula>
    </cfRule>
    <cfRule type="containsText" dxfId="2600" priority="35" operator="containsText" text="Sick">
      <formula>NOT(ISERROR(SEARCH("Sick",AL4)))</formula>
    </cfRule>
    <cfRule type="containsText" dxfId="2599" priority="36" operator="containsText" text="OFF">
      <formula>NOT(ISERROR(SEARCH("OFF",AL4)))</formula>
    </cfRule>
    <cfRule type="containsText" dxfId="2598" priority="37" operator="containsText" text="AL">
      <formula>NOT(ISERROR(SEARCH("AL",AL4)))</formula>
    </cfRule>
  </conditionalFormatting>
  <conditionalFormatting sqref="C6:C7">
    <cfRule type="duplicateValues" dxfId="2597" priority="140"/>
  </conditionalFormatting>
  <conditionalFormatting sqref="X12:Z17">
    <cfRule type="containsText" dxfId="2596" priority="23" stopIfTrue="1" operator="containsText" text="SP">
      <formula>NOT(ISERROR(SEARCH("SP",X12)))</formula>
    </cfRule>
    <cfRule type="containsText" dxfId="2595" priority="24" stopIfTrue="1" operator="containsText" text="AL">
      <formula>NOT(ISERROR(SEARCH("AL",X12)))</formula>
    </cfRule>
    <cfRule type="containsText" dxfId="2594" priority="25" stopIfTrue="1" operator="containsText" text="EL">
      <formula>NOT(ISERROR(SEARCH("EL",X12)))</formula>
    </cfRule>
    <cfRule type="containsText" dxfId="2593" priority="26" stopIfTrue="1" operator="containsText" text="AB">
      <formula>NOT(ISERROR(SEARCH("AB",X12)))</formula>
    </cfRule>
    <cfRule type="containsText" dxfId="2592" priority="27" stopIfTrue="1" operator="containsText" text="FL">
      <formula>NOT(ISERROR(SEARCH("FL",X12)))</formula>
    </cfRule>
    <cfRule type="containsText" dxfId="2591" priority="28" stopIfTrue="1" operator="containsText" text="SICK">
      <formula>NOT(ISERROR(SEARCH("SICK",X12)))</formula>
    </cfRule>
  </conditionalFormatting>
  <conditionalFormatting sqref="C1:C4 C19:C1048576 H18 C6:C7">
    <cfRule type="duplicateValues" dxfId="2590" priority="141"/>
  </conditionalFormatting>
  <conditionalFormatting sqref="C5">
    <cfRule type="duplicateValues" dxfId="2589" priority="10"/>
  </conditionalFormatting>
  <conditionalFormatting sqref="C5">
    <cfRule type="duplicateValues" dxfId="2588" priority="11"/>
  </conditionalFormatting>
  <conditionalFormatting sqref="E5:F5">
    <cfRule type="containsText" dxfId="2587" priority="1" operator="containsText" text="EL">
      <formula>NOT(ISERROR(SEARCH("EL",E5)))</formula>
    </cfRule>
    <cfRule type="containsText" dxfId="2586" priority="2" operator="containsText" text="AB">
      <formula>NOT(ISERROR(SEARCH("AB",E5)))</formula>
    </cfRule>
    <cfRule type="containsText" dxfId="2585" priority="3" operator="containsText" text="SUS">
      <formula>NOT(ISERROR(SEARCH("SUS",E5)))</formula>
    </cfRule>
    <cfRule type="containsText" dxfId="2584" priority="4" operator="containsText" text="FL">
      <formula>NOT(ISERROR(SEARCH("FL",E5)))</formula>
    </cfRule>
    <cfRule type="containsText" dxfId="2583" priority="5" operator="containsText" text="MC">
      <formula>NOT(ISERROR(SEARCH("MC",E5)))</formula>
    </cfRule>
    <cfRule type="containsText" dxfId="2582" priority="6" operator="containsText" text="AB">
      <formula>NOT(ISERROR(SEARCH("AB",E5)))</formula>
    </cfRule>
    <cfRule type="containsText" dxfId="2581" priority="7" operator="containsText" text="Sick">
      <formula>NOT(ISERROR(SEARCH("Sick",E5)))</formula>
    </cfRule>
    <cfRule type="containsText" dxfId="2580" priority="8" operator="containsText" text="OFF">
      <formula>NOT(ISERROR(SEARCH("OFF",E5)))</formula>
    </cfRule>
    <cfRule type="containsText" dxfId="2579" priority="9" operator="containsText" text="AL">
      <formula>NOT(ISERROR(SEARCH("AL",E5)))</formula>
    </cfRule>
  </conditionalFormatting>
  <pageMargins left="0.7" right="0.7" top="0.75" bottom="0.75" header="0.3" footer="0.3"/>
  <pageSetup paperSize="9" scale="4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0773-20BB-4B62-8F6B-0E677D6D11AF}">
  <sheetPr>
    <pageSetUpPr fitToPage="1"/>
  </sheetPr>
  <dimension ref="A1:BA47"/>
  <sheetViews>
    <sheetView zoomScaleNormal="100" workbookViewId="0">
      <pane xSplit="4" ySplit="1" topLeftCell="E5" activePane="bottomRight" state="frozen"/>
      <selection pane="topRight" activeCell="E1" sqref="E1"/>
      <selection pane="bottomLeft" activeCell="A5" sqref="A5"/>
      <selection pane="bottomRight" activeCell="F7" sqref="F7:P8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38" width="6.5703125" customWidth="1"/>
    <col min="39" max="39" width="5.28515625" style="16" customWidth="1"/>
    <col min="40" max="52" width="5.28515625" customWidth="1"/>
    <col min="53" max="53" width="9.140625" customWidth="1"/>
    <col min="57" max="67" width="6" customWidth="1"/>
  </cols>
  <sheetData>
    <row r="1" spans="1:53" ht="25.5" customHeight="1" x14ac:dyDescent="0.25">
      <c r="A1" s="153" t="s">
        <v>262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25"/>
      <c r="AN1" s="65"/>
      <c r="AO1" s="69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1"/>
    </row>
    <row r="2" spans="1:53" ht="22.5" customHeight="1" x14ac:dyDescent="0.25">
      <c r="A2" s="154" t="s">
        <v>182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0" t="s">
        <v>5</v>
      </c>
      <c r="X2" s="150"/>
      <c r="Y2" s="150" t="s">
        <v>6</v>
      </c>
      <c r="Z2" s="150"/>
      <c r="AA2" s="150" t="s">
        <v>7</v>
      </c>
      <c r="AB2" s="150"/>
      <c r="AC2" s="150" t="s">
        <v>1</v>
      </c>
      <c r="AD2" s="150"/>
      <c r="AE2" s="150" t="s">
        <v>2</v>
      </c>
      <c r="AF2" s="150"/>
      <c r="AG2" s="150" t="s">
        <v>3</v>
      </c>
      <c r="AH2" s="150"/>
      <c r="AI2" s="150" t="s">
        <v>4</v>
      </c>
      <c r="AJ2" s="150"/>
      <c r="AK2" s="150" t="s">
        <v>5</v>
      </c>
      <c r="AL2" s="150"/>
      <c r="AM2" s="159" t="s">
        <v>8</v>
      </c>
      <c r="AN2" s="169" t="s">
        <v>9</v>
      </c>
      <c r="AO2" s="156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8"/>
    </row>
    <row r="3" spans="1:53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49">
        <v>46152</v>
      </c>
      <c r="X3" s="149"/>
      <c r="Y3" s="149">
        <v>46153</v>
      </c>
      <c r="Z3" s="149"/>
      <c r="AA3" s="149">
        <v>46154</v>
      </c>
      <c r="AB3" s="149"/>
      <c r="AC3" s="149">
        <v>46155</v>
      </c>
      <c r="AD3" s="149"/>
      <c r="AE3" s="149">
        <v>46156</v>
      </c>
      <c r="AF3" s="149"/>
      <c r="AG3" s="149">
        <v>46157</v>
      </c>
      <c r="AH3" s="149"/>
      <c r="AI3" s="149">
        <v>46158</v>
      </c>
      <c r="AJ3" s="149"/>
      <c r="AK3" s="149">
        <v>46159</v>
      </c>
      <c r="AL3" s="149"/>
      <c r="AM3" s="159"/>
      <c r="AN3" s="169"/>
      <c r="AO3" s="72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4"/>
    </row>
    <row r="4" spans="1:53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5" t="s">
        <v>13</v>
      </c>
      <c r="R4" s="5" t="s">
        <v>14</v>
      </c>
      <c r="S4" s="5" t="s">
        <v>13</v>
      </c>
      <c r="T4" s="5" t="s">
        <v>14</v>
      </c>
      <c r="U4" s="5" t="s">
        <v>13</v>
      </c>
      <c r="V4" s="5" t="s">
        <v>14</v>
      </c>
      <c r="W4" s="5" t="s">
        <v>13</v>
      </c>
      <c r="X4" s="5" t="s">
        <v>14</v>
      </c>
      <c r="Y4" s="5" t="s">
        <v>13</v>
      </c>
      <c r="Z4" s="5" t="s">
        <v>14</v>
      </c>
      <c r="AA4" s="5" t="s">
        <v>13</v>
      </c>
      <c r="AB4" s="5" t="s">
        <v>14</v>
      </c>
      <c r="AC4" s="5" t="s">
        <v>13</v>
      </c>
      <c r="AD4" s="5" t="s">
        <v>14</v>
      </c>
      <c r="AE4" s="5" t="s">
        <v>13</v>
      </c>
      <c r="AF4" s="5" t="s">
        <v>14</v>
      </c>
      <c r="AG4" s="5" t="s">
        <v>13</v>
      </c>
      <c r="AH4" s="5" t="s">
        <v>14</v>
      </c>
      <c r="AI4" s="5" t="s">
        <v>13</v>
      </c>
      <c r="AJ4" s="5" t="s">
        <v>14</v>
      </c>
      <c r="AK4" s="5" t="s">
        <v>13</v>
      </c>
      <c r="AL4" s="5" t="s">
        <v>14</v>
      </c>
      <c r="AM4" s="159"/>
      <c r="AN4" s="170"/>
      <c r="AO4" s="66"/>
      <c r="AP4" s="120" t="s">
        <v>15</v>
      </c>
      <c r="AQ4" s="118" t="s">
        <v>16</v>
      </c>
      <c r="AR4" s="118" t="s">
        <v>17</v>
      </c>
      <c r="AS4" s="115" t="s">
        <v>18</v>
      </c>
      <c r="AT4" s="118" t="s">
        <v>19</v>
      </c>
      <c r="AU4" s="118" t="s">
        <v>20</v>
      </c>
      <c r="AV4" s="90" t="s">
        <v>183</v>
      </c>
      <c r="AW4" s="67" t="s">
        <v>22</v>
      </c>
      <c r="AX4" s="91" t="s">
        <v>23</v>
      </c>
      <c r="AY4" s="91" t="s">
        <v>24</v>
      </c>
      <c r="AZ4" s="91" t="s">
        <v>25</v>
      </c>
      <c r="BA4" s="68" t="s">
        <v>26</v>
      </c>
    </row>
    <row r="5" spans="1:53" s="89" customFormat="1" ht="21.75" customHeight="1" x14ac:dyDescent="0.25">
      <c r="A5" s="123">
        <v>1</v>
      </c>
      <c r="B5" s="12" t="s">
        <v>100</v>
      </c>
      <c r="C5" s="98" t="s">
        <v>101</v>
      </c>
      <c r="D5" s="136">
        <v>45648</v>
      </c>
      <c r="E5" s="120" t="s">
        <v>15</v>
      </c>
      <c r="F5" s="120" t="s">
        <v>15</v>
      </c>
      <c r="G5" s="90">
        <v>0.3520833333333333</v>
      </c>
      <c r="H5" s="90">
        <v>0.95833333333333337</v>
      </c>
      <c r="I5" s="90">
        <v>0.3520833333333333</v>
      </c>
      <c r="J5" s="90">
        <v>0.93958333333333333</v>
      </c>
      <c r="K5" s="90">
        <v>0.35486111111111113</v>
      </c>
      <c r="L5" s="90">
        <v>0.95624999999999993</v>
      </c>
      <c r="M5" s="90">
        <v>0.35694444444444445</v>
      </c>
      <c r="N5" s="90">
        <v>0.94166666666666676</v>
      </c>
      <c r="O5" s="90">
        <v>0.36319444444444443</v>
      </c>
      <c r="P5" s="90">
        <v>0.95972222222222225</v>
      </c>
      <c r="Q5" s="90">
        <v>0.35347222222222219</v>
      </c>
      <c r="R5" s="90">
        <v>0.98541666666666661</v>
      </c>
      <c r="S5" s="126">
        <v>0.58402777777777781</v>
      </c>
      <c r="T5" s="126">
        <v>0.94444444444444453</v>
      </c>
      <c r="U5" s="90">
        <v>0.3520833333333333</v>
      </c>
      <c r="V5" s="90">
        <v>0.9555555555555556</v>
      </c>
      <c r="W5" s="90">
        <v>0.35416666666666669</v>
      </c>
      <c r="X5" s="90">
        <v>0.94374999999999998</v>
      </c>
      <c r="Y5" s="90">
        <v>0.3527777777777778</v>
      </c>
      <c r="Z5" s="90">
        <v>0.94166666666666676</v>
      </c>
      <c r="AA5" s="90">
        <v>0.35625000000000001</v>
      </c>
      <c r="AB5" s="90">
        <v>0.93958333333333333</v>
      </c>
      <c r="AC5" s="90">
        <v>0.3527777777777778</v>
      </c>
      <c r="AD5" s="90">
        <v>0.93888888888888899</v>
      </c>
      <c r="AE5" s="90">
        <v>0.35069444444444442</v>
      </c>
      <c r="AF5" s="91">
        <v>1</v>
      </c>
      <c r="AG5" s="127">
        <v>1</v>
      </c>
      <c r="AH5" s="127">
        <v>1</v>
      </c>
      <c r="AI5" s="91">
        <v>1</v>
      </c>
      <c r="AJ5" s="91">
        <v>1</v>
      </c>
      <c r="AK5" s="91">
        <v>1</v>
      </c>
      <c r="AL5" s="91">
        <v>1</v>
      </c>
      <c r="AM5" s="131">
        <f t="shared" ref="AM5" si="0">AO5+AP5+AR5+AS5+AW5+AU5+AV5+AZ5</f>
        <v>17</v>
      </c>
      <c r="AN5" s="81">
        <v>2</v>
      </c>
      <c r="AO5" s="132">
        <f>COUNT(E5:AL5)/2+COUNT(#REF!)/2</f>
        <v>16</v>
      </c>
      <c r="AP5" s="133">
        <f>COUNTIF(E5:AL5,"OFF")/2</f>
        <v>1</v>
      </c>
      <c r="AQ5" s="133">
        <f>COUNTIF(E5:AL5,"MC")/2</f>
        <v>0</v>
      </c>
      <c r="AR5" s="133">
        <f>COUNTIF(E5:AL5,"EL")/2</f>
        <v>0</v>
      </c>
      <c r="AS5" s="133">
        <f>COUNTIF(E5:AL5,"AL")/2</f>
        <v>0</v>
      </c>
      <c r="AT5" s="133">
        <f>COUNTIF(E5:AL5,"SUS")/2</f>
        <v>0</v>
      </c>
      <c r="AU5" s="133">
        <f>COUNTIF(E5:AL5,"FL")/2</f>
        <v>0</v>
      </c>
      <c r="AV5" s="133">
        <f>COUNTIF(E5:AL5,"SICK")/2</f>
        <v>0</v>
      </c>
      <c r="AW5" s="133">
        <f>COUNTIF(E5:AL5,"HD")/2</f>
        <v>0</v>
      </c>
      <c r="AX5" s="133">
        <f>COUNTIF(E5:AL5,"AB")/2</f>
        <v>0</v>
      </c>
      <c r="AY5" s="133">
        <f>COUNTIF(E5:AL5,"NL")/2</f>
        <v>0</v>
      </c>
      <c r="AZ5" s="133">
        <f>COUNTIF(E5:AL5,"SP")/2</f>
        <v>0</v>
      </c>
      <c r="BA5" s="134"/>
    </row>
    <row r="7" spans="1:53" ht="15.75" x14ac:dyDescent="0.25">
      <c r="F7" s="129" t="s">
        <v>255</v>
      </c>
      <c r="G7" s="129"/>
      <c r="H7" s="129" t="s">
        <v>270</v>
      </c>
      <c r="I7" s="129"/>
      <c r="J7" s="129"/>
      <c r="K7" s="129"/>
      <c r="L7" s="129"/>
      <c r="M7" s="129"/>
      <c r="N7" s="108"/>
      <c r="O7" s="108"/>
      <c r="P7" s="108"/>
    </row>
    <row r="8" spans="1:53" ht="15.75" x14ac:dyDescent="0.25">
      <c r="F8" s="129" t="s">
        <v>256</v>
      </c>
      <c r="G8" s="129"/>
      <c r="H8" s="129" t="s">
        <v>271</v>
      </c>
      <c r="I8" s="129"/>
      <c r="J8" s="129"/>
      <c r="K8" s="129"/>
      <c r="L8" s="129"/>
      <c r="M8" s="129"/>
      <c r="N8" s="108"/>
      <c r="O8" s="108"/>
      <c r="P8" s="108"/>
      <c r="AO8" s="36" t="s">
        <v>73</v>
      </c>
      <c r="AP8" s="37"/>
      <c r="AQ8" s="37"/>
      <c r="AR8" s="38" t="s">
        <v>16</v>
      </c>
      <c r="AS8" s="39"/>
      <c r="AT8" s="44" t="s">
        <v>74</v>
      </c>
      <c r="AU8" s="45"/>
      <c r="AV8" s="45"/>
      <c r="AW8" s="42"/>
      <c r="AX8" s="43" t="s">
        <v>22</v>
      </c>
    </row>
    <row r="9" spans="1:53" x14ac:dyDescent="0.25">
      <c r="AO9" s="36" t="s">
        <v>75</v>
      </c>
      <c r="AP9" s="37"/>
      <c r="AQ9" s="37"/>
      <c r="AR9" s="38" t="s">
        <v>17</v>
      </c>
      <c r="AS9" s="39"/>
      <c r="AT9" s="44" t="s">
        <v>76</v>
      </c>
      <c r="AU9" s="45"/>
      <c r="AV9" s="45"/>
      <c r="AW9" s="42"/>
      <c r="AX9" s="43" t="s">
        <v>23</v>
      </c>
    </row>
    <row r="10" spans="1:53" x14ac:dyDescent="0.25">
      <c r="AO10" s="36" t="s">
        <v>77</v>
      </c>
      <c r="AP10" s="37"/>
      <c r="AQ10" s="37"/>
      <c r="AR10" s="38" t="s">
        <v>18</v>
      </c>
      <c r="AS10" s="39"/>
      <c r="AT10" s="40" t="s">
        <v>78</v>
      </c>
      <c r="AU10" s="41"/>
      <c r="AV10" s="41"/>
      <c r="AW10" s="42"/>
      <c r="AX10" s="43" t="s">
        <v>24</v>
      </c>
    </row>
    <row r="11" spans="1:53" x14ac:dyDescent="0.25">
      <c r="AO11" s="36" t="s">
        <v>79</v>
      </c>
      <c r="AP11" s="37"/>
      <c r="AQ11" s="37"/>
      <c r="AR11" s="38" t="s">
        <v>19</v>
      </c>
      <c r="AS11" s="39"/>
      <c r="AT11" s="40" t="s">
        <v>80</v>
      </c>
      <c r="AU11" s="41"/>
      <c r="AV11" s="41"/>
      <c r="AW11" s="42"/>
      <c r="AX11" s="43" t="s">
        <v>25</v>
      </c>
    </row>
    <row r="12" spans="1:53" ht="15.75" x14ac:dyDescent="0.25">
      <c r="G12" s="17"/>
      <c r="H12" s="18" t="s">
        <v>63</v>
      </c>
      <c r="I12" s="19"/>
      <c r="J12" s="20"/>
      <c r="M12" s="20"/>
      <c r="P12" s="22"/>
      <c r="Q12" s="23" t="s">
        <v>64</v>
      </c>
      <c r="R12" s="23"/>
      <c r="X12" s="21"/>
      <c r="Y12" s="23" t="s">
        <v>66</v>
      </c>
      <c r="Z12" s="21"/>
      <c r="AO12" s="36" t="s">
        <v>81</v>
      </c>
      <c r="AP12" s="37"/>
      <c r="AQ12" s="37"/>
      <c r="AR12" s="38" t="s">
        <v>20</v>
      </c>
      <c r="AS12" s="39"/>
      <c r="AT12" s="39"/>
      <c r="AU12" s="39"/>
      <c r="AV12" s="39"/>
      <c r="AW12" s="39"/>
      <c r="AX12" s="39"/>
    </row>
    <row r="13" spans="1:53" ht="17.25" x14ac:dyDescent="0.25">
      <c r="G13" s="24"/>
      <c r="H13" s="20"/>
      <c r="I13" s="20"/>
      <c r="J13" s="20"/>
      <c r="M13" s="20"/>
      <c r="P13" s="25"/>
      <c r="Q13" s="25"/>
      <c r="R13" s="20"/>
      <c r="X13" s="26"/>
      <c r="Y13" s="27"/>
      <c r="Z13" s="27"/>
    </row>
    <row r="14" spans="1:53" ht="17.25" x14ac:dyDescent="0.25">
      <c r="G14" s="24"/>
      <c r="H14" s="28"/>
      <c r="I14" s="20"/>
      <c r="J14" s="20"/>
      <c r="M14" s="20"/>
      <c r="P14" s="29"/>
      <c r="Q14" s="25"/>
      <c r="R14" s="20"/>
      <c r="X14" s="20"/>
      <c r="Y14" s="30"/>
      <c r="Z14" s="30"/>
    </row>
    <row r="15" spans="1:53" ht="17.25" x14ac:dyDescent="0.25">
      <c r="G15" s="31"/>
      <c r="H15" s="28"/>
      <c r="I15" s="20"/>
      <c r="J15" s="20"/>
      <c r="M15" s="20"/>
      <c r="P15" s="29"/>
      <c r="Q15" s="25"/>
      <c r="R15" s="21"/>
      <c r="X15" s="20"/>
      <c r="Y15" s="30"/>
      <c r="Z15" s="30"/>
    </row>
    <row r="16" spans="1:53" ht="17.25" x14ac:dyDescent="0.25">
      <c r="G16" s="32" t="s">
        <v>67</v>
      </c>
      <c r="H16" s="33"/>
      <c r="I16" s="17"/>
      <c r="J16" s="20"/>
      <c r="M16" s="20"/>
      <c r="P16" s="29"/>
      <c r="Q16" s="19" t="s">
        <v>68</v>
      </c>
      <c r="R16" s="20"/>
      <c r="X16" s="20"/>
      <c r="Y16" s="19" t="s">
        <v>69</v>
      </c>
      <c r="Z16" s="30"/>
    </row>
    <row r="17" spans="7:51" ht="17.25" x14ac:dyDescent="0.25">
      <c r="G17" s="32" t="s">
        <v>259</v>
      </c>
      <c r="H17" s="32"/>
      <c r="I17" s="31"/>
      <c r="J17" s="20"/>
      <c r="M17" s="20"/>
      <c r="P17" s="34"/>
      <c r="Q17" s="19" t="s">
        <v>71</v>
      </c>
      <c r="R17" s="19"/>
      <c r="X17" s="20"/>
      <c r="Y17" s="19" t="s">
        <v>72</v>
      </c>
      <c r="Z17" s="30"/>
    </row>
    <row r="18" spans="7:51" x14ac:dyDescent="0.25">
      <c r="G18" s="16"/>
    </row>
    <row r="19" spans="7:51" x14ac:dyDescent="0.25">
      <c r="AP19" s="39"/>
      <c r="AQ19" s="39"/>
      <c r="AR19" s="39"/>
      <c r="AS19" s="39"/>
      <c r="AT19" s="39"/>
      <c r="AU19" s="39"/>
      <c r="AV19" s="39"/>
      <c r="AW19" s="39"/>
      <c r="AX19" s="39"/>
      <c r="AY19" s="39"/>
    </row>
    <row r="27" spans="7:51" ht="24.75" customHeight="1" x14ac:dyDescent="0.25"/>
    <row r="29" spans="7:51" ht="21.75" customHeight="1" x14ac:dyDescent="0.25"/>
    <row r="30" spans="7:51" ht="21.75" customHeight="1" x14ac:dyDescent="0.25"/>
    <row r="31" spans="7:51" ht="21.75" customHeight="1" x14ac:dyDescent="0.25"/>
    <row r="32" spans="7:51" ht="21" customHeight="1" x14ac:dyDescent="0.25"/>
    <row r="33" spans="39:39" ht="21" customHeight="1" x14ac:dyDescent="0.25"/>
    <row r="34" spans="39:39" ht="21" customHeight="1" x14ac:dyDescent="0.25">
      <c r="AM34"/>
    </row>
    <row r="35" spans="39:39" ht="21.75" customHeight="1" x14ac:dyDescent="0.25">
      <c r="AM35"/>
    </row>
    <row r="36" spans="39:39" ht="21.75" customHeight="1" x14ac:dyDescent="0.25">
      <c r="AM36"/>
    </row>
    <row r="37" spans="39:39" ht="21.75" customHeight="1" x14ac:dyDescent="0.25">
      <c r="AM37"/>
    </row>
    <row r="38" spans="39:39" ht="21.75" customHeight="1" x14ac:dyDescent="0.25">
      <c r="AM38"/>
    </row>
    <row r="39" spans="39:39" x14ac:dyDescent="0.25">
      <c r="AM39"/>
    </row>
    <row r="40" spans="39:39" x14ac:dyDescent="0.25">
      <c r="AM40"/>
    </row>
    <row r="41" spans="39:39" x14ac:dyDescent="0.25">
      <c r="AM41"/>
    </row>
    <row r="42" spans="39:39" x14ac:dyDescent="0.25">
      <c r="AM42"/>
    </row>
    <row r="43" spans="39:39" x14ac:dyDescent="0.25">
      <c r="AM43"/>
    </row>
    <row r="44" spans="39:39" x14ac:dyDescent="0.25">
      <c r="AM44"/>
    </row>
    <row r="45" spans="39:39" x14ac:dyDescent="0.25">
      <c r="AM45"/>
    </row>
    <row r="46" spans="39:39" x14ac:dyDescent="0.25">
      <c r="AM46"/>
    </row>
    <row r="47" spans="39:39" x14ac:dyDescent="0.25">
      <c r="AM47"/>
    </row>
  </sheetData>
  <mergeCells count="39">
    <mergeCell ref="A1:AL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AE3:AF3"/>
    <mergeCell ref="S3:T3"/>
    <mergeCell ref="U3:V3"/>
    <mergeCell ref="W3:X3"/>
    <mergeCell ref="Y3:Z3"/>
    <mergeCell ref="AA3:AB3"/>
    <mergeCell ref="AM2:AM4"/>
    <mergeCell ref="AN2:AN4"/>
    <mergeCell ref="AO2:BA2"/>
    <mergeCell ref="E3:F3"/>
    <mergeCell ref="G3:H3"/>
    <mergeCell ref="I3:J3"/>
    <mergeCell ref="K3:L3"/>
    <mergeCell ref="M3:N3"/>
    <mergeCell ref="O3:P3"/>
    <mergeCell ref="Q3:R3"/>
    <mergeCell ref="U2:V2"/>
    <mergeCell ref="W2:X2"/>
    <mergeCell ref="Y2:Z2"/>
    <mergeCell ref="AA2:AB2"/>
    <mergeCell ref="AC2:AD2"/>
    <mergeCell ref="AE2:AF2"/>
    <mergeCell ref="AC3:AD3"/>
    <mergeCell ref="AK3:AL3"/>
    <mergeCell ref="AK2:AL2"/>
    <mergeCell ref="AI3:AJ3"/>
    <mergeCell ref="AI2:AJ2"/>
    <mergeCell ref="AG3:AH3"/>
    <mergeCell ref="AG2:AH2"/>
  </mergeCells>
  <phoneticPr fontId="11" type="noConversion"/>
  <conditionalFormatting sqref="AM2:AM3 A2:D3 A5 AM5 A1:AM1 A4:AM4">
    <cfRule type="containsText" dxfId="2578" priority="127" stopIfTrue="1" operator="containsText" text="SP">
      <formula>NOT(ISERROR(SEARCH("SP",A1)))</formula>
    </cfRule>
  </conditionalFormatting>
  <conditionalFormatting sqref="AM2:AM3 A2:D3 A5 AM5 A1:AM1 A4:AM4">
    <cfRule type="containsText" dxfId="2577" priority="128" stopIfTrue="1" operator="containsText" text="AL">
      <formula>NOT(ISERROR(SEARCH("AL",A1)))</formula>
    </cfRule>
    <cfRule type="containsText" dxfId="2576" priority="129" stopIfTrue="1" operator="containsText" text="EL">
      <formula>NOT(ISERROR(SEARCH("EL",A1)))</formula>
    </cfRule>
    <cfRule type="containsText" dxfId="2575" priority="130" stopIfTrue="1" operator="containsText" text="AB">
      <formula>NOT(ISERROR(SEARCH("AB",A1)))</formula>
    </cfRule>
    <cfRule type="containsText" dxfId="2574" priority="131" stopIfTrue="1" operator="containsText" text="FL">
      <formula>NOT(ISERROR(SEARCH("FL",A1)))</formula>
    </cfRule>
    <cfRule type="containsText" dxfId="2573" priority="132" stopIfTrue="1" operator="containsText" text="SICK">
      <formula>NOT(ISERROR(SEARCH("SICK",A1)))</formula>
    </cfRule>
  </conditionalFormatting>
  <conditionalFormatting sqref="D5">
    <cfRule type="timePeriod" dxfId="2572" priority="123" timePeriod="last7Days">
      <formula>AND(TODAY()-FLOOR(D5,1)&lt;=6,FLOOR(D5,1)&lt;=TODAY())</formula>
    </cfRule>
    <cfRule type="timePeriod" dxfId="2571" priority="124" timePeriod="thisWeek">
      <formula>AND(TODAY()-ROUNDDOWN(D5,0)&lt;=WEEKDAY(TODAY())-1,ROUNDDOWN(D5,0)-TODAY()&lt;=7-WEEKDAY(TODAY()))</formula>
    </cfRule>
    <cfRule type="timePeriod" priority="125" timePeriod="nextWeek">
      <formula>AND(ROUNDDOWN(D5,0)-TODAY()&gt;(7-WEEKDAY(TODAY())),ROUNDDOWN(D5,0)-TODAY()&lt;(15-WEEKDAY(TODAY())))</formula>
    </cfRule>
    <cfRule type="timePeriod" dxfId="2570" priority="126" timePeriod="nextWeek">
      <formula>AND(ROUNDDOWN(D5,0)-TODAY()&gt;(7-WEEKDAY(TODAY())),ROUNDDOWN(D5,0)-TODAY()&lt;(15-WEEKDAY(TODAY())))</formula>
    </cfRule>
  </conditionalFormatting>
  <conditionalFormatting sqref="M12:M15 P12:R15">
    <cfRule type="containsText" dxfId="2569" priority="133" stopIfTrue="1" operator="containsText" text="AB">
      <formula>NOT(ISERROR(SEARCH("AB",M12)))</formula>
    </cfRule>
    <cfRule type="containsText" dxfId="2568" priority="134" stopIfTrue="1" operator="containsText" text="SICK">
      <formula>NOT(ISERROR(SEARCH("SICK",M12)))</formula>
    </cfRule>
    <cfRule type="containsText" dxfId="2567" priority="135" stopIfTrue="1" operator="containsText" text="SP">
      <formula>NOT(ISERROR(SEARCH("SP",M12)))</formula>
    </cfRule>
    <cfRule type="containsText" priority="136" stopIfTrue="1" operator="containsText" text="SP">
      <formula>NOT(ISERROR(SEARCH("SP",M12)))</formula>
    </cfRule>
    <cfRule type="containsText" dxfId="2566" priority="137" stopIfTrue="1" operator="containsText" text="SICK">
      <formula>NOT(ISERROR(SEARCH("SICK",M12)))</formula>
    </cfRule>
  </conditionalFormatting>
  <conditionalFormatting sqref="AN5">
    <cfRule type="cellIs" dxfId="2565" priority="139" stopIfTrue="1" operator="equal">
      <formula>";"</formula>
    </cfRule>
  </conditionalFormatting>
  <conditionalFormatting sqref="AN2">
    <cfRule type="cellIs" dxfId="2564" priority="138" operator="equal">
      <formula>";"</formula>
    </cfRule>
  </conditionalFormatting>
  <conditionalFormatting sqref="AS4">
    <cfRule type="containsText" dxfId="2563" priority="114" operator="containsText" text="EL">
      <formula>NOT(ISERROR(SEARCH("EL",AS4)))</formula>
    </cfRule>
    <cfRule type="containsText" dxfId="2562" priority="115" operator="containsText" text="AB">
      <formula>NOT(ISERROR(SEARCH("AB",AS4)))</formula>
    </cfRule>
    <cfRule type="containsText" dxfId="2561" priority="116" operator="containsText" text="SUS">
      <formula>NOT(ISERROR(SEARCH("SUS",AS4)))</formula>
    </cfRule>
    <cfRule type="containsText" dxfId="2560" priority="117" operator="containsText" text="FL">
      <formula>NOT(ISERROR(SEARCH("FL",AS4)))</formula>
    </cfRule>
    <cfRule type="containsText" dxfId="2559" priority="118" operator="containsText" text="MC">
      <formula>NOT(ISERROR(SEARCH("MC",AS4)))</formula>
    </cfRule>
    <cfRule type="containsText" dxfId="2558" priority="119" operator="containsText" text="AB">
      <formula>NOT(ISERROR(SEARCH("AB",AS4)))</formula>
    </cfRule>
    <cfRule type="containsText" dxfId="2557" priority="120" operator="containsText" text="Sick">
      <formula>NOT(ISERROR(SEARCH("Sick",AS4)))</formula>
    </cfRule>
    <cfRule type="containsText" dxfId="2556" priority="121" operator="containsText" text="OFF">
      <formula>NOT(ISERROR(SEARCH("OFF",AS4)))</formula>
    </cfRule>
    <cfRule type="containsText" dxfId="2555" priority="122" operator="containsText" text="AL">
      <formula>NOT(ISERROR(SEARCH("AL",AS4)))</formula>
    </cfRule>
  </conditionalFormatting>
  <conditionalFormatting sqref="AP4">
    <cfRule type="containsText" dxfId="2554" priority="105" operator="containsText" text="EL">
      <formula>NOT(ISERROR(SEARCH("EL",AP4)))</formula>
    </cfRule>
    <cfRule type="containsText" dxfId="2553" priority="106" operator="containsText" text="AB">
      <formula>NOT(ISERROR(SEARCH("AB",AP4)))</formula>
    </cfRule>
    <cfRule type="containsText" dxfId="2552" priority="107" operator="containsText" text="SUS">
      <formula>NOT(ISERROR(SEARCH("SUS",AP4)))</formula>
    </cfRule>
    <cfRule type="containsText" dxfId="2551" priority="108" operator="containsText" text="FL">
      <formula>NOT(ISERROR(SEARCH("FL",AP4)))</formula>
    </cfRule>
    <cfRule type="containsText" dxfId="2550" priority="109" operator="containsText" text="MC">
      <formula>NOT(ISERROR(SEARCH("MC",AP4)))</formula>
    </cfRule>
    <cfRule type="containsText" dxfId="2549" priority="110" operator="containsText" text="AB">
      <formula>NOT(ISERROR(SEARCH("AB",AP4)))</formula>
    </cfRule>
    <cfRule type="containsText" dxfId="2548" priority="111" operator="containsText" text="Sick">
      <formula>NOT(ISERROR(SEARCH("Sick",AP4)))</formula>
    </cfRule>
    <cfRule type="containsText" dxfId="2547" priority="112" operator="containsText" text="OFF">
      <formula>NOT(ISERROR(SEARCH("OFF",AP4)))</formula>
    </cfRule>
    <cfRule type="containsText" dxfId="2546" priority="113" operator="containsText" text="AL">
      <formula>NOT(ISERROR(SEARCH("AL",AP4)))</formula>
    </cfRule>
  </conditionalFormatting>
  <conditionalFormatting sqref="AV4">
    <cfRule type="containsText" dxfId="2545" priority="95" operator="containsText" text="SP">
      <formula>NOT(ISERROR(SEARCH("SP",AV4)))</formula>
    </cfRule>
    <cfRule type="containsText" dxfId="2544" priority="96" operator="containsText" text="NL">
      <formula>NOT(ISERROR(SEARCH("NL",AV4)))</formula>
    </cfRule>
    <cfRule type="containsText" dxfId="2543" priority="97" operator="containsText" text="SUS">
      <formula>NOT(ISERROR(SEARCH("SUS",AV4)))</formula>
    </cfRule>
    <cfRule type="containsText" dxfId="2542" priority="98" operator="containsText" text="FL">
      <formula>NOT(ISERROR(SEARCH("FL",AV4)))</formula>
    </cfRule>
    <cfRule type="containsText" dxfId="2541" priority="99" operator="containsText" text="EL">
      <formula>NOT(ISERROR(SEARCH("EL",AV4)))</formula>
    </cfRule>
    <cfRule type="containsText" dxfId="2540" priority="100" operator="containsText" text="MC">
      <formula>NOT(ISERROR(SEARCH("MC",AV4)))</formula>
    </cfRule>
    <cfRule type="containsText" dxfId="2539" priority="101" operator="containsText" text="OFF">
      <formula>NOT(ISERROR(SEARCH("OFF",AV4)))</formula>
    </cfRule>
    <cfRule type="containsText" dxfId="2538" priority="102" operator="containsText" text="AB">
      <formula>NOT(ISERROR(SEARCH("AB",AV4)))</formula>
    </cfRule>
    <cfRule type="containsText" dxfId="2537" priority="103" operator="containsText" text="SICK">
      <formula>NOT(ISERROR(SEARCH("SICK",AV4)))</formula>
    </cfRule>
    <cfRule type="containsText" dxfId="2536" priority="104" operator="containsText" text="AL">
      <formula>NOT(ISERROR(SEARCH("AL",AV4)))</formula>
    </cfRule>
  </conditionalFormatting>
  <conditionalFormatting sqref="AX4">
    <cfRule type="containsText" dxfId="2535" priority="85" operator="containsText" text="SP">
      <formula>NOT(ISERROR(SEARCH("SP",AX4)))</formula>
    </cfRule>
    <cfRule type="containsText" dxfId="2534" priority="86" operator="containsText" text="NL">
      <formula>NOT(ISERROR(SEARCH("NL",AX4)))</formula>
    </cfRule>
    <cfRule type="containsText" dxfId="2533" priority="87" operator="containsText" text="SUS">
      <formula>NOT(ISERROR(SEARCH("SUS",AX4)))</formula>
    </cfRule>
    <cfRule type="containsText" dxfId="2532" priority="88" operator="containsText" text="FL">
      <formula>NOT(ISERROR(SEARCH("FL",AX4)))</formula>
    </cfRule>
    <cfRule type="containsText" dxfId="2531" priority="89" operator="containsText" text="EL">
      <formula>NOT(ISERROR(SEARCH("EL",AX4)))</formula>
    </cfRule>
    <cfRule type="containsText" dxfId="2530" priority="90" operator="containsText" text="MC">
      <formula>NOT(ISERROR(SEARCH("MC",AX4)))</formula>
    </cfRule>
    <cfRule type="containsText" dxfId="2529" priority="91" operator="containsText" text="OFF">
      <formula>NOT(ISERROR(SEARCH("OFF",AX4)))</formula>
    </cfRule>
    <cfRule type="containsText" dxfId="2528" priority="92" operator="containsText" text="AB">
      <formula>NOT(ISERROR(SEARCH("AB",AX4)))</formula>
    </cfRule>
    <cfRule type="containsText" dxfId="2527" priority="93" operator="containsText" text="SICK">
      <formula>NOT(ISERROR(SEARCH("SICK",AX4)))</formula>
    </cfRule>
    <cfRule type="containsText" dxfId="2526" priority="94" operator="containsText" text="AL">
      <formula>NOT(ISERROR(SEARCH("AL",AX4)))</formula>
    </cfRule>
  </conditionalFormatting>
  <conditionalFormatting sqref="AZ4">
    <cfRule type="containsText" dxfId="2525" priority="75" operator="containsText" text="SP">
      <formula>NOT(ISERROR(SEARCH("SP",AZ4)))</formula>
    </cfRule>
    <cfRule type="containsText" dxfId="2524" priority="76" operator="containsText" text="NL">
      <formula>NOT(ISERROR(SEARCH("NL",AZ4)))</formula>
    </cfRule>
    <cfRule type="containsText" dxfId="2523" priority="77" operator="containsText" text="SUS">
      <formula>NOT(ISERROR(SEARCH("SUS",AZ4)))</formula>
    </cfRule>
    <cfRule type="containsText" dxfId="2522" priority="78" operator="containsText" text="FL">
      <formula>NOT(ISERROR(SEARCH("FL",AZ4)))</formula>
    </cfRule>
    <cfRule type="containsText" dxfId="2521" priority="79" operator="containsText" text="EL">
      <formula>NOT(ISERROR(SEARCH("EL",AZ4)))</formula>
    </cfRule>
    <cfRule type="containsText" dxfId="2520" priority="80" operator="containsText" text="MC">
      <formula>NOT(ISERROR(SEARCH("MC",AZ4)))</formula>
    </cfRule>
    <cfRule type="containsText" dxfId="2519" priority="81" operator="containsText" text="OFF">
      <formula>NOT(ISERROR(SEARCH("OFF",AZ4)))</formula>
    </cfRule>
    <cfRule type="containsText" dxfId="2518" priority="82" operator="containsText" text="AB">
      <formula>NOT(ISERROR(SEARCH("AB",AZ4)))</formula>
    </cfRule>
    <cfRule type="containsText" dxfId="2517" priority="83" operator="containsText" text="SICK">
      <formula>NOT(ISERROR(SEARCH("SICK",AZ4)))</formula>
    </cfRule>
    <cfRule type="containsText" dxfId="2516" priority="84" operator="containsText" text="AL">
      <formula>NOT(ISERROR(SEARCH("AL",AZ4)))</formula>
    </cfRule>
  </conditionalFormatting>
  <conditionalFormatting sqref="AY4">
    <cfRule type="containsText" dxfId="2515" priority="65" operator="containsText" text="SP">
      <formula>NOT(ISERROR(SEARCH("SP",AY4)))</formula>
    </cfRule>
    <cfRule type="containsText" dxfId="2514" priority="66" operator="containsText" text="NL">
      <formula>NOT(ISERROR(SEARCH("NL",AY4)))</formula>
    </cfRule>
    <cfRule type="containsText" dxfId="2513" priority="67" operator="containsText" text="SUS">
      <formula>NOT(ISERROR(SEARCH("SUS",AY4)))</formula>
    </cfRule>
    <cfRule type="containsText" dxfId="2512" priority="68" operator="containsText" text="FL">
      <formula>NOT(ISERROR(SEARCH("FL",AY4)))</formula>
    </cfRule>
    <cfRule type="containsText" dxfId="2511" priority="69" operator="containsText" text="EL">
      <formula>NOT(ISERROR(SEARCH("EL",AY4)))</formula>
    </cfRule>
    <cfRule type="containsText" dxfId="2510" priority="70" operator="containsText" text="MC">
      <formula>NOT(ISERROR(SEARCH("MC",AY4)))</formula>
    </cfRule>
    <cfRule type="containsText" dxfId="2509" priority="71" operator="containsText" text="OFF">
      <formula>NOT(ISERROR(SEARCH("OFF",AY4)))</formula>
    </cfRule>
    <cfRule type="containsText" dxfId="2508" priority="72" operator="containsText" text="AB">
      <formula>NOT(ISERROR(SEARCH("AB",AY4)))</formula>
    </cfRule>
    <cfRule type="containsText" dxfId="2507" priority="73" operator="containsText" text="SICK">
      <formula>NOT(ISERROR(SEARCH("SICK",AY4)))</formula>
    </cfRule>
    <cfRule type="containsText" dxfId="2506" priority="74" operator="containsText" text="AL">
      <formula>NOT(ISERROR(SEARCH("AL",AY4)))</formula>
    </cfRule>
  </conditionalFormatting>
  <conditionalFormatting sqref="AU4">
    <cfRule type="containsText" dxfId="2505" priority="56" operator="containsText" text="EL">
      <formula>NOT(ISERROR(SEARCH("EL",AU4)))</formula>
    </cfRule>
    <cfRule type="containsText" dxfId="2504" priority="57" operator="containsText" text="AB">
      <formula>NOT(ISERROR(SEARCH("AB",AU4)))</formula>
    </cfRule>
    <cfRule type="containsText" dxfId="2503" priority="58" operator="containsText" text="SUS">
      <formula>NOT(ISERROR(SEARCH("SUS",AU4)))</formula>
    </cfRule>
    <cfRule type="containsText" dxfId="2502" priority="59" operator="containsText" text="FL">
      <formula>NOT(ISERROR(SEARCH("FL",AU4)))</formula>
    </cfRule>
    <cfRule type="containsText" dxfId="2501" priority="60" operator="containsText" text="MC">
      <formula>NOT(ISERROR(SEARCH("MC",AU4)))</formula>
    </cfRule>
    <cfRule type="containsText" dxfId="2500" priority="61" operator="containsText" text="AB">
      <formula>NOT(ISERROR(SEARCH("AB",AU4)))</formula>
    </cfRule>
    <cfRule type="containsText" dxfId="2499" priority="62" operator="containsText" text="Sick">
      <formula>NOT(ISERROR(SEARCH("Sick",AU4)))</formula>
    </cfRule>
    <cfRule type="containsText" dxfId="2498" priority="63" operator="containsText" text="OFF">
      <formula>NOT(ISERROR(SEARCH("OFF",AU4)))</formula>
    </cfRule>
    <cfRule type="containsText" dxfId="2497" priority="64" operator="containsText" text="AL">
      <formula>NOT(ISERROR(SEARCH("AL",AU4)))</formula>
    </cfRule>
  </conditionalFormatting>
  <conditionalFormatting sqref="AT4">
    <cfRule type="containsText" dxfId="2496" priority="47" operator="containsText" text="EL">
      <formula>NOT(ISERROR(SEARCH("EL",AT4)))</formula>
    </cfRule>
    <cfRule type="containsText" dxfId="2495" priority="48" operator="containsText" text="AB">
      <formula>NOT(ISERROR(SEARCH("AB",AT4)))</formula>
    </cfRule>
    <cfRule type="containsText" dxfId="2494" priority="49" operator="containsText" text="SUS">
      <formula>NOT(ISERROR(SEARCH("SUS",AT4)))</formula>
    </cfRule>
    <cfRule type="containsText" dxfId="2493" priority="50" operator="containsText" text="FL">
      <formula>NOT(ISERROR(SEARCH("FL",AT4)))</formula>
    </cfRule>
    <cfRule type="containsText" dxfId="2492" priority="51" operator="containsText" text="MC">
      <formula>NOT(ISERROR(SEARCH("MC",AT4)))</formula>
    </cfRule>
    <cfRule type="containsText" dxfId="2491" priority="52" operator="containsText" text="AB">
      <formula>NOT(ISERROR(SEARCH("AB",AT4)))</formula>
    </cfRule>
    <cfRule type="containsText" dxfId="2490" priority="53" operator="containsText" text="Sick">
      <formula>NOT(ISERROR(SEARCH("Sick",AT4)))</formula>
    </cfRule>
    <cfRule type="containsText" dxfId="2489" priority="54" operator="containsText" text="OFF">
      <formula>NOT(ISERROR(SEARCH("OFF",AT4)))</formula>
    </cfRule>
    <cfRule type="containsText" dxfId="2488" priority="55" operator="containsText" text="AL">
      <formula>NOT(ISERROR(SEARCH("AL",AT4)))</formula>
    </cfRule>
  </conditionalFormatting>
  <conditionalFormatting sqref="AQ4">
    <cfRule type="containsText" dxfId="2487" priority="38" operator="containsText" text="EL">
      <formula>NOT(ISERROR(SEARCH("EL",AQ4)))</formula>
    </cfRule>
    <cfRule type="containsText" dxfId="2486" priority="39" operator="containsText" text="AB">
      <formula>NOT(ISERROR(SEARCH("AB",AQ4)))</formula>
    </cfRule>
    <cfRule type="containsText" dxfId="2485" priority="40" operator="containsText" text="SUS">
      <formula>NOT(ISERROR(SEARCH("SUS",AQ4)))</formula>
    </cfRule>
    <cfRule type="containsText" dxfId="2484" priority="41" operator="containsText" text="FL">
      <formula>NOT(ISERROR(SEARCH("FL",AQ4)))</formula>
    </cfRule>
    <cfRule type="containsText" dxfId="2483" priority="42" operator="containsText" text="MC">
      <formula>NOT(ISERROR(SEARCH("MC",AQ4)))</formula>
    </cfRule>
    <cfRule type="containsText" dxfId="2482" priority="43" operator="containsText" text="AB">
      <formula>NOT(ISERROR(SEARCH("AB",AQ4)))</formula>
    </cfRule>
    <cfRule type="containsText" dxfId="2481" priority="44" operator="containsText" text="Sick">
      <formula>NOT(ISERROR(SEARCH("Sick",AQ4)))</formula>
    </cfRule>
    <cfRule type="containsText" dxfId="2480" priority="45" operator="containsText" text="OFF">
      <formula>NOT(ISERROR(SEARCH("OFF",AQ4)))</formula>
    </cfRule>
    <cfRule type="containsText" dxfId="2479" priority="46" operator="containsText" text="AL">
      <formula>NOT(ISERROR(SEARCH("AL",AQ4)))</formula>
    </cfRule>
  </conditionalFormatting>
  <conditionalFormatting sqref="AR4">
    <cfRule type="containsText" dxfId="2478" priority="29" operator="containsText" text="EL">
      <formula>NOT(ISERROR(SEARCH("EL",AR4)))</formula>
    </cfRule>
    <cfRule type="containsText" dxfId="2477" priority="30" operator="containsText" text="AB">
      <formula>NOT(ISERROR(SEARCH("AB",AR4)))</formula>
    </cfRule>
    <cfRule type="containsText" dxfId="2476" priority="31" operator="containsText" text="SUS">
      <formula>NOT(ISERROR(SEARCH("SUS",AR4)))</formula>
    </cfRule>
    <cfRule type="containsText" dxfId="2475" priority="32" operator="containsText" text="FL">
      <formula>NOT(ISERROR(SEARCH("FL",AR4)))</formula>
    </cfRule>
    <cfRule type="containsText" dxfId="2474" priority="33" operator="containsText" text="MC">
      <formula>NOT(ISERROR(SEARCH("MC",AR4)))</formula>
    </cfRule>
    <cfRule type="containsText" dxfId="2473" priority="34" operator="containsText" text="AB">
      <formula>NOT(ISERROR(SEARCH("AB",AR4)))</formula>
    </cfRule>
    <cfRule type="containsText" dxfId="2472" priority="35" operator="containsText" text="Sick">
      <formula>NOT(ISERROR(SEARCH("Sick",AR4)))</formula>
    </cfRule>
    <cfRule type="containsText" dxfId="2471" priority="36" operator="containsText" text="OFF">
      <formula>NOT(ISERROR(SEARCH("OFF",AR4)))</formula>
    </cfRule>
    <cfRule type="containsText" dxfId="2470" priority="37" operator="containsText" text="AL">
      <formula>NOT(ISERROR(SEARCH("AL",AR4)))</formula>
    </cfRule>
  </conditionalFormatting>
  <conditionalFormatting sqref="C6:C7">
    <cfRule type="duplicateValues" dxfId="2469" priority="140"/>
  </conditionalFormatting>
  <conditionalFormatting sqref="X12:Z17">
    <cfRule type="containsText" dxfId="2468" priority="23" stopIfTrue="1" operator="containsText" text="SP">
      <formula>NOT(ISERROR(SEARCH("SP",X12)))</formula>
    </cfRule>
    <cfRule type="containsText" dxfId="2467" priority="24" stopIfTrue="1" operator="containsText" text="AL">
      <formula>NOT(ISERROR(SEARCH("AL",X12)))</formula>
    </cfRule>
    <cfRule type="containsText" dxfId="2466" priority="25" stopIfTrue="1" operator="containsText" text="EL">
      <formula>NOT(ISERROR(SEARCH("EL",X12)))</formula>
    </cfRule>
    <cfRule type="containsText" dxfId="2465" priority="26" stopIfTrue="1" operator="containsText" text="AB">
      <formula>NOT(ISERROR(SEARCH("AB",X12)))</formula>
    </cfRule>
    <cfRule type="containsText" dxfId="2464" priority="27" stopIfTrue="1" operator="containsText" text="FL">
      <formula>NOT(ISERROR(SEARCH("FL",X12)))</formula>
    </cfRule>
    <cfRule type="containsText" dxfId="2463" priority="28" stopIfTrue="1" operator="containsText" text="SICK">
      <formula>NOT(ISERROR(SEARCH("SICK",X12)))</formula>
    </cfRule>
  </conditionalFormatting>
  <conditionalFormatting sqref="C1:C4 C19:C1048576 H18 C6:C7">
    <cfRule type="duplicateValues" dxfId="2462" priority="141"/>
  </conditionalFormatting>
  <conditionalFormatting sqref="C5">
    <cfRule type="duplicateValues" dxfId="2461" priority="10"/>
  </conditionalFormatting>
  <conditionalFormatting sqref="C5">
    <cfRule type="duplicateValues" dxfId="2460" priority="11"/>
  </conditionalFormatting>
  <conditionalFormatting sqref="E5:F5">
    <cfRule type="containsText" dxfId="2459" priority="1" operator="containsText" text="EL">
      <formula>NOT(ISERROR(SEARCH("EL",E5)))</formula>
    </cfRule>
    <cfRule type="containsText" dxfId="2458" priority="2" operator="containsText" text="AB">
      <formula>NOT(ISERROR(SEARCH("AB",E5)))</formula>
    </cfRule>
    <cfRule type="containsText" dxfId="2457" priority="3" operator="containsText" text="SUS">
      <formula>NOT(ISERROR(SEARCH("SUS",E5)))</formula>
    </cfRule>
    <cfRule type="containsText" dxfId="2456" priority="4" operator="containsText" text="FL">
      <formula>NOT(ISERROR(SEARCH("FL",E5)))</formula>
    </cfRule>
    <cfRule type="containsText" dxfId="2455" priority="5" operator="containsText" text="MC">
      <formula>NOT(ISERROR(SEARCH("MC",E5)))</formula>
    </cfRule>
    <cfRule type="containsText" dxfId="2454" priority="6" operator="containsText" text="AB">
      <formula>NOT(ISERROR(SEARCH("AB",E5)))</formula>
    </cfRule>
    <cfRule type="containsText" dxfId="2453" priority="7" operator="containsText" text="Sick">
      <formula>NOT(ISERROR(SEARCH("Sick",E5)))</formula>
    </cfRule>
    <cfRule type="containsText" dxfId="2452" priority="8" operator="containsText" text="OFF">
      <formula>NOT(ISERROR(SEARCH("OFF",E5)))</formula>
    </cfRule>
    <cfRule type="containsText" dxfId="2451" priority="9" operator="containsText" text="AL">
      <formula>NOT(ISERROR(SEARCH("AL",E5)))</formula>
    </cfRule>
  </conditionalFormatting>
  <pageMargins left="0.7" right="0.7" top="0.75" bottom="0.75" header="0.3" footer="0.3"/>
  <pageSetup paperSize="9" scale="3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92A7-DD08-4B70-85FD-ECA9EC847FB7}">
  <sheetPr>
    <pageSetUpPr fitToPage="1"/>
  </sheetPr>
  <dimension ref="A1:BA4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N18" sqref="N18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38" width="6.5703125" customWidth="1"/>
    <col min="39" max="39" width="5.28515625" style="16" customWidth="1"/>
    <col min="40" max="52" width="5.28515625" customWidth="1"/>
    <col min="53" max="53" width="9.140625" customWidth="1"/>
    <col min="57" max="67" width="6" customWidth="1"/>
  </cols>
  <sheetData>
    <row r="1" spans="1:53" ht="25.5" customHeight="1" x14ac:dyDescent="0.25">
      <c r="A1" s="153" t="s">
        <v>262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25"/>
      <c r="AN1" s="65"/>
      <c r="AO1" s="69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1"/>
    </row>
    <row r="2" spans="1:53" ht="22.5" customHeight="1" x14ac:dyDescent="0.25">
      <c r="A2" s="154" t="s">
        <v>182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0" t="s">
        <v>5</v>
      </c>
      <c r="X2" s="150"/>
      <c r="Y2" s="150" t="s">
        <v>6</v>
      </c>
      <c r="Z2" s="150"/>
      <c r="AA2" s="150" t="s">
        <v>7</v>
      </c>
      <c r="AB2" s="150"/>
      <c r="AC2" s="150" t="s">
        <v>1</v>
      </c>
      <c r="AD2" s="150"/>
      <c r="AE2" s="150" t="s">
        <v>2</v>
      </c>
      <c r="AF2" s="150"/>
      <c r="AG2" s="150" t="s">
        <v>3</v>
      </c>
      <c r="AH2" s="150"/>
      <c r="AI2" s="150" t="s">
        <v>4</v>
      </c>
      <c r="AJ2" s="150"/>
      <c r="AK2" s="150" t="s">
        <v>5</v>
      </c>
      <c r="AL2" s="150"/>
      <c r="AM2" s="159" t="s">
        <v>8</v>
      </c>
      <c r="AN2" s="169" t="s">
        <v>9</v>
      </c>
      <c r="AO2" s="156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8"/>
    </row>
    <row r="3" spans="1:53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49">
        <v>46152</v>
      </c>
      <c r="X3" s="149"/>
      <c r="Y3" s="149">
        <v>46153</v>
      </c>
      <c r="Z3" s="149"/>
      <c r="AA3" s="149">
        <v>46154</v>
      </c>
      <c r="AB3" s="149"/>
      <c r="AC3" s="149">
        <v>46155</v>
      </c>
      <c r="AD3" s="149"/>
      <c r="AE3" s="149">
        <v>46156</v>
      </c>
      <c r="AF3" s="149"/>
      <c r="AG3" s="149">
        <v>46157</v>
      </c>
      <c r="AH3" s="149"/>
      <c r="AI3" s="149">
        <v>46158</v>
      </c>
      <c r="AJ3" s="149"/>
      <c r="AK3" s="149">
        <v>46159</v>
      </c>
      <c r="AL3" s="149"/>
      <c r="AM3" s="159"/>
      <c r="AN3" s="169"/>
      <c r="AO3" s="72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4"/>
    </row>
    <row r="4" spans="1:53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5" t="s">
        <v>13</v>
      </c>
      <c r="R4" s="5" t="s">
        <v>14</v>
      </c>
      <c r="S4" s="5" t="s">
        <v>13</v>
      </c>
      <c r="T4" s="5" t="s">
        <v>14</v>
      </c>
      <c r="U4" s="5" t="s">
        <v>13</v>
      </c>
      <c r="V4" s="5" t="s">
        <v>14</v>
      </c>
      <c r="W4" s="5" t="s">
        <v>13</v>
      </c>
      <c r="X4" s="5" t="s">
        <v>14</v>
      </c>
      <c r="Y4" s="5" t="s">
        <v>13</v>
      </c>
      <c r="Z4" s="5" t="s">
        <v>14</v>
      </c>
      <c r="AA4" s="5" t="s">
        <v>13</v>
      </c>
      <c r="AB4" s="5" t="s">
        <v>14</v>
      </c>
      <c r="AC4" s="5" t="s">
        <v>13</v>
      </c>
      <c r="AD4" s="5" t="s">
        <v>14</v>
      </c>
      <c r="AE4" s="5" t="s">
        <v>13</v>
      </c>
      <c r="AF4" s="5" t="s">
        <v>14</v>
      </c>
      <c r="AG4" s="5" t="s">
        <v>13</v>
      </c>
      <c r="AH4" s="5" t="s">
        <v>14</v>
      </c>
      <c r="AI4" s="5" t="s">
        <v>13</v>
      </c>
      <c r="AJ4" s="5" t="s">
        <v>14</v>
      </c>
      <c r="AK4" s="5" t="s">
        <v>13</v>
      </c>
      <c r="AL4" s="5" t="s">
        <v>14</v>
      </c>
      <c r="AM4" s="159"/>
      <c r="AN4" s="170"/>
      <c r="AO4" s="66"/>
      <c r="AP4" s="120" t="s">
        <v>15</v>
      </c>
      <c r="AQ4" s="118" t="s">
        <v>16</v>
      </c>
      <c r="AR4" s="118" t="s">
        <v>17</v>
      </c>
      <c r="AS4" s="115" t="s">
        <v>18</v>
      </c>
      <c r="AT4" s="118" t="s">
        <v>19</v>
      </c>
      <c r="AU4" s="118" t="s">
        <v>20</v>
      </c>
      <c r="AV4" s="90" t="s">
        <v>183</v>
      </c>
      <c r="AW4" s="67" t="s">
        <v>22</v>
      </c>
      <c r="AX4" s="91" t="s">
        <v>23</v>
      </c>
      <c r="AY4" s="91" t="s">
        <v>24</v>
      </c>
      <c r="AZ4" s="91" t="s">
        <v>25</v>
      </c>
      <c r="BA4" s="68" t="s">
        <v>26</v>
      </c>
    </row>
    <row r="5" spans="1:53" s="89" customFormat="1" ht="21.75" customHeight="1" x14ac:dyDescent="0.25">
      <c r="A5" s="123">
        <v>1</v>
      </c>
      <c r="B5" s="12" t="s">
        <v>116</v>
      </c>
      <c r="C5" s="98" t="s">
        <v>117</v>
      </c>
      <c r="D5" s="136">
        <v>45648</v>
      </c>
      <c r="E5" s="126">
        <v>0.32708333333333334</v>
      </c>
      <c r="F5" s="126">
        <v>0.97152777777777777</v>
      </c>
      <c r="G5" s="90">
        <v>0.35902777777777778</v>
      </c>
      <c r="H5" s="90">
        <v>0.94861111111111107</v>
      </c>
      <c r="I5" s="90">
        <v>0.33611111111111108</v>
      </c>
      <c r="J5" s="90">
        <v>0.95416666666666661</v>
      </c>
      <c r="K5" s="90">
        <v>0.35555555555555557</v>
      </c>
      <c r="L5" s="90">
        <v>0.94791666666666663</v>
      </c>
      <c r="M5" s="91">
        <v>1</v>
      </c>
      <c r="N5" s="91">
        <v>1</v>
      </c>
      <c r="O5" s="90">
        <v>0.33055555555555555</v>
      </c>
      <c r="P5" s="90">
        <v>0.95208333333333339</v>
      </c>
      <c r="Q5" s="90">
        <v>0.33194444444444443</v>
      </c>
      <c r="R5" s="90">
        <v>0.97152777777777777</v>
      </c>
      <c r="S5" s="126">
        <v>0.57708333333333328</v>
      </c>
      <c r="T5" s="126">
        <v>0.95972222222222225</v>
      </c>
      <c r="U5" s="90">
        <v>0.3298611111111111</v>
      </c>
      <c r="V5" s="90">
        <v>0.97013888888888899</v>
      </c>
      <c r="W5" s="90">
        <v>0.32916666666666666</v>
      </c>
      <c r="X5" s="90">
        <v>0.9506944444444444</v>
      </c>
      <c r="Y5" s="90">
        <v>0.3263888888888889</v>
      </c>
      <c r="Z5" s="90">
        <v>0.94930555555555562</v>
      </c>
      <c r="AA5" s="90">
        <v>0.33124999999999999</v>
      </c>
      <c r="AB5" s="90">
        <v>0.95347222222222217</v>
      </c>
      <c r="AC5" s="90">
        <v>0.32847222222222222</v>
      </c>
      <c r="AD5" s="90">
        <v>0.95000000000000007</v>
      </c>
      <c r="AE5" s="90">
        <v>0.3354166666666667</v>
      </c>
      <c r="AF5" s="91">
        <v>1</v>
      </c>
      <c r="AG5" s="127">
        <v>1</v>
      </c>
      <c r="AH5" s="127">
        <v>1</v>
      </c>
      <c r="AI5" s="91">
        <v>1</v>
      </c>
      <c r="AJ5" s="91">
        <v>1</v>
      </c>
      <c r="AK5" s="91">
        <v>1</v>
      </c>
      <c r="AL5" s="91">
        <v>1</v>
      </c>
      <c r="AM5" s="131">
        <f t="shared" ref="AM5" si="0">AO5+AP5+AR5+AS5+AW5+AU5+AV5+AZ5</f>
        <v>17</v>
      </c>
      <c r="AN5" s="81">
        <v>3</v>
      </c>
      <c r="AO5" s="132">
        <f>COUNT(E5:AL5)/2+COUNT(#REF!)/2</f>
        <v>17</v>
      </c>
      <c r="AP5" s="133">
        <f>COUNTIF(E5:AL5,"OFF")/2</f>
        <v>0</v>
      </c>
      <c r="AQ5" s="133">
        <f>COUNTIF(E5:AL5,"MC")/2</f>
        <v>0</v>
      </c>
      <c r="AR5" s="133">
        <f>COUNTIF(E5:AL5,"EL")/2</f>
        <v>0</v>
      </c>
      <c r="AS5" s="133">
        <f>COUNTIF(E5:AL5,"AL")/2</f>
        <v>0</v>
      </c>
      <c r="AT5" s="133">
        <f>COUNTIF(E5:AL5,"SUS")/2</f>
        <v>0</v>
      </c>
      <c r="AU5" s="133">
        <f>COUNTIF(E5:AL5,"FL")/2</f>
        <v>0</v>
      </c>
      <c r="AV5" s="133">
        <f>COUNTIF(E5:AL5,"SICK")/2</f>
        <v>0</v>
      </c>
      <c r="AW5" s="133">
        <f>COUNTIF(E5:AL5,"HD")/2</f>
        <v>0</v>
      </c>
      <c r="AX5" s="133">
        <f>COUNTIF(E5:AL5,"AB")/2</f>
        <v>0</v>
      </c>
      <c r="AY5" s="133">
        <f>COUNTIF(E5:AL5,"NL")/2</f>
        <v>0</v>
      </c>
      <c r="AZ5" s="133">
        <f>COUNTIF(E5:AL5,"SP")/2</f>
        <v>0</v>
      </c>
      <c r="BA5" s="134"/>
    </row>
    <row r="7" spans="1:53" ht="15.75" x14ac:dyDescent="0.25">
      <c r="F7" s="129" t="s">
        <v>255</v>
      </c>
      <c r="G7" s="129"/>
      <c r="H7" s="129" t="s">
        <v>270</v>
      </c>
      <c r="I7" s="129"/>
      <c r="J7" s="129"/>
      <c r="K7" s="129"/>
      <c r="L7" s="129"/>
      <c r="M7" s="129"/>
      <c r="N7" s="108"/>
      <c r="O7" s="108"/>
      <c r="P7" s="108"/>
    </row>
    <row r="8" spans="1:53" ht="15.75" x14ac:dyDescent="0.25">
      <c r="F8" s="129" t="s">
        <v>256</v>
      </c>
      <c r="G8" s="129"/>
      <c r="H8" s="129" t="s">
        <v>272</v>
      </c>
      <c r="I8" s="129"/>
      <c r="J8" s="129"/>
      <c r="K8" s="129"/>
      <c r="L8" s="129"/>
      <c r="M8" s="129"/>
      <c r="N8" s="108"/>
      <c r="O8" s="108"/>
      <c r="P8" s="108"/>
      <c r="AO8" s="36" t="s">
        <v>73</v>
      </c>
      <c r="AP8" s="37"/>
      <c r="AQ8" s="37"/>
      <c r="AR8" s="38" t="s">
        <v>16</v>
      </c>
      <c r="AS8" s="39"/>
      <c r="AT8" s="44" t="s">
        <v>74</v>
      </c>
      <c r="AU8" s="45"/>
      <c r="AV8" s="45"/>
      <c r="AW8" s="42"/>
      <c r="AX8" s="43" t="s">
        <v>22</v>
      </c>
    </row>
    <row r="9" spans="1:53" x14ac:dyDescent="0.25">
      <c r="AO9" s="36" t="s">
        <v>75</v>
      </c>
      <c r="AP9" s="37"/>
      <c r="AQ9" s="37"/>
      <c r="AR9" s="38" t="s">
        <v>17</v>
      </c>
      <c r="AS9" s="39"/>
      <c r="AT9" s="44" t="s">
        <v>76</v>
      </c>
      <c r="AU9" s="45"/>
      <c r="AV9" s="45"/>
      <c r="AW9" s="42"/>
      <c r="AX9" s="43" t="s">
        <v>23</v>
      </c>
    </row>
    <row r="10" spans="1:53" x14ac:dyDescent="0.25">
      <c r="AO10" s="36" t="s">
        <v>77</v>
      </c>
      <c r="AP10" s="37"/>
      <c r="AQ10" s="37"/>
      <c r="AR10" s="38" t="s">
        <v>18</v>
      </c>
      <c r="AS10" s="39"/>
      <c r="AT10" s="40" t="s">
        <v>78</v>
      </c>
      <c r="AU10" s="41"/>
      <c r="AV10" s="41"/>
      <c r="AW10" s="42"/>
      <c r="AX10" s="43" t="s">
        <v>24</v>
      </c>
    </row>
    <row r="11" spans="1:53" x14ac:dyDescent="0.25">
      <c r="AO11" s="36" t="s">
        <v>79</v>
      </c>
      <c r="AP11" s="37"/>
      <c r="AQ11" s="37"/>
      <c r="AR11" s="38" t="s">
        <v>19</v>
      </c>
      <c r="AS11" s="39"/>
      <c r="AT11" s="40" t="s">
        <v>80</v>
      </c>
      <c r="AU11" s="41"/>
      <c r="AV11" s="41"/>
      <c r="AW11" s="42"/>
      <c r="AX11" s="43" t="s">
        <v>25</v>
      </c>
    </row>
    <row r="12" spans="1:53" ht="15.75" x14ac:dyDescent="0.25">
      <c r="G12" s="17"/>
      <c r="H12" s="18" t="s">
        <v>63</v>
      </c>
      <c r="I12" s="19"/>
      <c r="J12" s="20"/>
      <c r="M12" s="20"/>
      <c r="P12" s="22"/>
      <c r="Q12" s="23" t="s">
        <v>64</v>
      </c>
      <c r="R12" s="23"/>
      <c r="X12" s="21"/>
      <c r="Y12" s="23" t="s">
        <v>66</v>
      </c>
      <c r="Z12" s="21"/>
      <c r="AO12" s="36" t="s">
        <v>81</v>
      </c>
      <c r="AP12" s="37"/>
      <c r="AQ12" s="37"/>
      <c r="AR12" s="38" t="s">
        <v>20</v>
      </c>
      <c r="AS12" s="39"/>
      <c r="AT12" s="39"/>
      <c r="AU12" s="39"/>
      <c r="AV12" s="39"/>
      <c r="AW12" s="39"/>
      <c r="AX12" s="39"/>
    </row>
    <row r="13" spans="1:53" ht="17.25" x14ac:dyDescent="0.25">
      <c r="G13" s="24"/>
      <c r="H13" s="20"/>
      <c r="I13" s="20"/>
      <c r="J13" s="20"/>
      <c r="M13" s="20"/>
      <c r="P13" s="25"/>
      <c r="Q13" s="25"/>
      <c r="R13" s="20"/>
      <c r="X13" s="26"/>
      <c r="Y13" s="27"/>
      <c r="Z13" s="27"/>
    </row>
    <row r="14" spans="1:53" ht="17.25" x14ac:dyDescent="0.25">
      <c r="G14" s="24"/>
      <c r="H14" s="28"/>
      <c r="I14" s="20"/>
      <c r="J14" s="20"/>
      <c r="M14" s="20"/>
      <c r="P14" s="29"/>
      <c r="Q14" s="25"/>
      <c r="R14" s="20"/>
      <c r="X14" s="20"/>
      <c r="Y14" s="30"/>
      <c r="Z14" s="30"/>
    </row>
    <row r="15" spans="1:53" ht="17.25" x14ac:dyDescent="0.25">
      <c r="G15" s="31"/>
      <c r="H15" s="28"/>
      <c r="I15" s="20"/>
      <c r="J15" s="20"/>
      <c r="M15" s="20"/>
      <c r="P15" s="29"/>
      <c r="Q15" s="25"/>
      <c r="R15" s="21"/>
      <c r="X15" s="20"/>
      <c r="Y15" s="30"/>
      <c r="Z15" s="30"/>
    </row>
    <row r="16" spans="1:53" ht="17.25" x14ac:dyDescent="0.25">
      <c r="G16" s="32" t="s">
        <v>67</v>
      </c>
      <c r="H16" s="33"/>
      <c r="I16" s="17"/>
      <c r="J16" s="20"/>
      <c r="M16" s="20"/>
      <c r="P16" s="29"/>
      <c r="Q16" s="19" t="s">
        <v>68</v>
      </c>
      <c r="R16" s="20"/>
      <c r="X16" s="20"/>
      <c r="Y16" s="19" t="s">
        <v>69</v>
      </c>
      <c r="Z16" s="30"/>
    </row>
    <row r="17" spans="7:51" ht="17.25" x14ac:dyDescent="0.25">
      <c r="G17" s="32" t="s">
        <v>259</v>
      </c>
      <c r="H17" s="32"/>
      <c r="I17" s="31"/>
      <c r="J17" s="20"/>
      <c r="M17" s="20"/>
      <c r="P17" s="34"/>
      <c r="Q17" s="19" t="s">
        <v>71</v>
      </c>
      <c r="R17" s="19"/>
      <c r="X17" s="20"/>
      <c r="Y17" s="19" t="s">
        <v>72</v>
      </c>
      <c r="Z17" s="30"/>
    </row>
    <row r="18" spans="7:51" x14ac:dyDescent="0.25">
      <c r="G18" s="16"/>
    </row>
    <row r="19" spans="7:51" x14ac:dyDescent="0.25">
      <c r="AP19" s="39"/>
      <c r="AQ19" s="39"/>
      <c r="AR19" s="39"/>
      <c r="AS19" s="39"/>
      <c r="AT19" s="39"/>
      <c r="AU19" s="39"/>
      <c r="AV19" s="39"/>
      <c r="AW19" s="39"/>
      <c r="AX19" s="39"/>
      <c r="AY19" s="39"/>
    </row>
    <row r="27" spans="7:51" ht="24.75" customHeight="1" x14ac:dyDescent="0.25"/>
    <row r="29" spans="7:51" ht="21.75" customHeight="1" x14ac:dyDescent="0.25"/>
    <row r="30" spans="7:51" ht="21.75" customHeight="1" x14ac:dyDescent="0.25"/>
    <row r="31" spans="7:51" ht="21.75" customHeight="1" x14ac:dyDescent="0.25"/>
    <row r="32" spans="7:51" ht="21" customHeight="1" x14ac:dyDescent="0.25"/>
    <row r="33" spans="39:39" ht="21" customHeight="1" x14ac:dyDescent="0.25"/>
    <row r="34" spans="39:39" ht="21" customHeight="1" x14ac:dyDescent="0.25">
      <c r="AM34"/>
    </row>
    <row r="35" spans="39:39" ht="21.75" customHeight="1" x14ac:dyDescent="0.25">
      <c r="AM35"/>
    </row>
    <row r="36" spans="39:39" ht="21.75" customHeight="1" x14ac:dyDescent="0.25">
      <c r="AM36"/>
    </row>
    <row r="37" spans="39:39" ht="21.75" customHeight="1" x14ac:dyDescent="0.25">
      <c r="AM37"/>
    </row>
    <row r="38" spans="39:39" ht="21.75" customHeight="1" x14ac:dyDescent="0.25">
      <c r="AM38"/>
    </row>
    <row r="39" spans="39:39" x14ac:dyDescent="0.25">
      <c r="AM39"/>
    </row>
    <row r="40" spans="39:39" x14ac:dyDescent="0.25">
      <c r="AM40"/>
    </row>
    <row r="41" spans="39:39" x14ac:dyDescent="0.25">
      <c r="AM41"/>
    </row>
    <row r="42" spans="39:39" x14ac:dyDescent="0.25">
      <c r="AM42"/>
    </row>
    <row r="43" spans="39:39" x14ac:dyDescent="0.25">
      <c r="AM43"/>
    </row>
    <row r="44" spans="39:39" x14ac:dyDescent="0.25">
      <c r="AM44"/>
    </row>
    <row r="45" spans="39:39" x14ac:dyDescent="0.25">
      <c r="AM45"/>
    </row>
    <row r="46" spans="39:39" x14ac:dyDescent="0.25">
      <c r="AM46"/>
    </row>
    <row r="47" spans="39:39" x14ac:dyDescent="0.25">
      <c r="AM47"/>
    </row>
  </sheetData>
  <mergeCells count="39">
    <mergeCell ref="A1:AL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E3:F3"/>
    <mergeCell ref="G3:H3"/>
    <mergeCell ref="I3:J3"/>
    <mergeCell ref="K3:L3"/>
    <mergeCell ref="M3:N3"/>
    <mergeCell ref="O3:P3"/>
    <mergeCell ref="AO2:BA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M4"/>
    <mergeCell ref="AN2:AN4"/>
    <mergeCell ref="AA3:AB3"/>
    <mergeCell ref="AC3:AD3"/>
    <mergeCell ref="AE3:AF3"/>
    <mergeCell ref="AG3:AH3"/>
    <mergeCell ref="AI3:AJ3"/>
    <mergeCell ref="AK3:AL3"/>
    <mergeCell ref="Q3:R3"/>
    <mergeCell ref="S3:T3"/>
    <mergeCell ref="U3:V3"/>
    <mergeCell ref="W3:X3"/>
    <mergeCell ref="Y3:Z3"/>
  </mergeCells>
  <conditionalFormatting sqref="AM2:AM3 A2:D3 A5 AM5 A1:AM1 A4:AM4">
    <cfRule type="containsText" dxfId="2450" priority="118" stopIfTrue="1" operator="containsText" text="SP">
      <formula>NOT(ISERROR(SEARCH("SP",A1)))</formula>
    </cfRule>
  </conditionalFormatting>
  <conditionalFormatting sqref="AM2:AM3 A2:D3 A5 AM5 A1:AM1 A4:AM4">
    <cfRule type="containsText" dxfId="2449" priority="119" stopIfTrue="1" operator="containsText" text="AL">
      <formula>NOT(ISERROR(SEARCH("AL",A1)))</formula>
    </cfRule>
    <cfRule type="containsText" dxfId="2448" priority="120" stopIfTrue="1" operator="containsText" text="EL">
      <formula>NOT(ISERROR(SEARCH("EL",A1)))</formula>
    </cfRule>
    <cfRule type="containsText" dxfId="2447" priority="121" stopIfTrue="1" operator="containsText" text="AB">
      <formula>NOT(ISERROR(SEARCH("AB",A1)))</formula>
    </cfRule>
    <cfRule type="containsText" dxfId="2446" priority="122" stopIfTrue="1" operator="containsText" text="FL">
      <formula>NOT(ISERROR(SEARCH("FL",A1)))</formula>
    </cfRule>
    <cfRule type="containsText" dxfId="2445" priority="123" stopIfTrue="1" operator="containsText" text="SICK">
      <formula>NOT(ISERROR(SEARCH("SICK",A1)))</formula>
    </cfRule>
  </conditionalFormatting>
  <conditionalFormatting sqref="D5">
    <cfRule type="timePeriod" dxfId="2444" priority="114" timePeriod="last7Days">
      <formula>AND(TODAY()-FLOOR(D5,1)&lt;=6,FLOOR(D5,1)&lt;=TODAY())</formula>
    </cfRule>
    <cfRule type="timePeriod" dxfId="2443" priority="115" timePeriod="thisWeek">
      <formula>AND(TODAY()-ROUNDDOWN(D5,0)&lt;=WEEKDAY(TODAY())-1,ROUNDDOWN(D5,0)-TODAY()&lt;=7-WEEKDAY(TODAY()))</formula>
    </cfRule>
    <cfRule type="timePeriod" priority="116" timePeriod="nextWeek">
      <formula>AND(ROUNDDOWN(D5,0)-TODAY()&gt;(7-WEEKDAY(TODAY())),ROUNDDOWN(D5,0)-TODAY()&lt;(15-WEEKDAY(TODAY())))</formula>
    </cfRule>
    <cfRule type="timePeriod" dxfId="2442" priority="117" timePeriod="nextWeek">
      <formula>AND(ROUNDDOWN(D5,0)-TODAY()&gt;(7-WEEKDAY(TODAY())),ROUNDDOWN(D5,0)-TODAY()&lt;(15-WEEKDAY(TODAY())))</formula>
    </cfRule>
  </conditionalFormatting>
  <conditionalFormatting sqref="M12:M15 P12:R15">
    <cfRule type="containsText" dxfId="2441" priority="124" stopIfTrue="1" operator="containsText" text="AB">
      <formula>NOT(ISERROR(SEARCH("AB",M12)))</formula>
    </cfRule>
    <cfRule type="containsText" dxfId="2440" priority="125" stopIfTrue="1" operator="containsText" text="SICK">
      <formula>NOT(ISERROR(SEARCH("SICK",M12)))</formula>
    </cfRule>
    <cfRule type="containsText" dxfId="2439" priority="126" stopIfTrue="1" operator="containsText" text="SP">
      <formula>NOT(ISERROR(SEARCH("SP",M12)))</formula>
    </cfRule>
    <cfRule type="containsText" priority="127" stopIfTrue="1" operator="containsText" text="SP">
      <formula>NOT(ISERROR(SEARCH("SP",M12)))</formula>
    </cfRule>
    <cfRule type="containsText" dxfId="2438" priority="128" stopIfTrue="1" operator="containsText" text="SICK">
      <formula>NOT(ISERROR(SEARCH("SICK",M12)))</formula>
    </cfRule>
  </conditionalFormatting>
  <conditionalFormatting sqref="AN5">
    <cfRule type="cellIs" dxfId="2437" priority="130" stopIfTrue="1" operator="equal">
      <formula>";"</formula>
    </cfRule>
  </conditionalFormatting>
  <conditionalFormatting sqref="AN2">
    <cfRule type="cellIs" dxfId="2436" priority="129" operator="equal">
      <formula>";"</formula>
    </cfRule>
  </conditionalFormatting>
  <conditionalFormatting sqref="AS4">
    <cfRule type="containsText" dxfId="2435" priority="105" operator="containsText" text="EL">
      <formula>NOT(ISERROR(SEARCH("EL",AS4)))</formula>
    </cfRule>
    <cfRule type="containsText" dxfId="2434" priority="106" operator="containsText" text="AB">
      <formula>NOT(ISERROR(SEARCH("AB",AS4)))</formula>
    </cfRule>
    <cfRule type="containsText" dxfId="2433" priority="107" operator="containsText" text="SUS">
      <formula>NOT(ISERROR(SEARCH("SUS",AS4)))</formula>
    </cfRule>
    <cfRule type="containsText" dxfId="2432" priority="108" operator="containsText" text="FL">
      <formula>NOT(ISERROR(SEARCH("FL",AS4)))</formula>
    </cfRule>
    <cfRule type="containsText" dxfId="2431" priority="109" operator="containsText" text="MC">
      <formula>NOT(ISERROR(SEARCH("MC",AS4)))</formula>
    </cfRule>
    <cfRule type="containsText" dxfId="2430" priority="110" operator="containsText" text="AB">
      <formula>NOT(ISERROR(SEARCH("AB",AS4)))</formula>
    </cfRule>
    <cfRule type="containsText" dxfId="2429" priority="111" operator="containsText" text="Sick">
      <formula>NOT(ISERROR(SEARCH("Sick",AS4)))</formula>
    </cfRule>
    <cfRule type="containsText" dxfId="2428" priority="112" operator="containsText" text="OFF">
      <formula>NOT(ISERROR(SEARCH("OFF",AS4)))</formula>
    </cfRule>
    <cfRule type="containsText" dxfId="2427" priority="113" operator="containsText" text="AL">
      <formula>NOT(ISERROR(SEARCH("AL",AS4)))</formula>
    </cfRule>
  </conditionalFormatting>
  <conditionalFormatting sqref="AP4">
    <cfRule type="containsText" dxfId="2426" priority="96" operator="containsText" text="EL">
      <formula>NOT(ISERROR(SEARCH("EL",AP4)))</formula>
    </cfRule>
    <cfRule type="containsText" dxfId="2425" priority="97" operator="containsText" text="AB">
      <formula>NOT(ISERROR(SEARCH("AB",AP4)))</formula>
    </cfRule>
    <cfRule type="containsText" dxfId="2424" priority="98" operator="containsText" text="SUS">
      <formula>NOT(ISERROR(SEARCH("SUS",AP4)))</formula>
    </cfRule>
    <cfRule type="containsText" dxfId="2423" priority="99" operator="containsText" text="FL">
      <formula>NOT(ISERROR(SEARCH("FL",AP4)))</formula>
    </cfRule>
    <cfRule type="containsText" dxfId="2422" priority="100" operator="containsText" text="MC">
      <formula>NOT(ISERROR(SEARCH("MC",AP4)))</formula>
    </cfRule>
    <cfRule type="containsText" dxfId="2421" priority="101" operator="containsText" text="AB">
      <formula>NOT(ISERROR(SEARCH("AB",AP4)))</formula>
    </cfRule>
    <cfRule type="containsText" dxfId="2420" priority="102" operator="containsText" text="Sick">
      <formula>NOT(ISERROR(SEARCH("Sick",AP4)))</formula>
    </cfRule>
    <cfRule type="containsText" dxfId="2419" priority="103" operator="containsText" text="OFF">
      <formula>NOT(ISERROR(SEARCH("OFF",AP4)))</formula>
    </cfRule>
    <cfRule type="containsText" dxfId="2418" priority="104" operator="containsText" text="AL">
      <formula>NOT(ISERROR(SEARCH("AL",AP4)))</formula>
    </cfRule>
  </conditionalFormatting>
  <conditionalFormatting sqref="AV4">
    <cfRule type="containsText" dxfId="2417" priority="86" operator="containsText" text="SP">
      <formula>NOT(ISERROR(SEARCH("SP",AV4)))</formula>
    </cfRule>
    <cfRule type="containsText" dxfId="2416" priority="87" operator="containsText" text="NL">
      <formula>NOT(ISERROR(SEARCH("NL",AV4)))</formula>
    </cfRule>
    <cfRule type="containsText" dxfId="2415" priority="88" operator="containsText" text="SUS">
      <formula>NOT(ISERROR(SEARCH("SUS",AV4)))</formula>
    </cfRule>
    <cfRule type="containsText" dxfId="2414" priority="89" operator="containsText" text="FL">
      <formula>NOT(ISERROR(SEARCH("FL",AV4)))</formula>
    </cfRule>
    <cfRule type="containsText" dxfId="2413" priority="90" operator="containsText" text="EL">
      <formula>NOT(ISERROR(SEARCH("EL",AV4)))</formula>
    </cfRule>
    <cfRule type="containsText" dxfId="2412" priority="91" operator="containsText" text="MC">
      <formula>NOT(ISERROR(SEARCH("MC",AV4)))</formula>
    </cfRule>
    <cfRule type="containsText" dxfId="2411" priority="92" operator="containsText" text="OFF">
      <formula>NOT(ISERROR(SEARCH("OFF",AV4)))</formula>
    </cfRule>
    <cfRule type="containsText" dxfId="2410" priority="93" operator="containsText" text="AB">
      <formula>NOT(ISERROR(SEARCH("AB",AV4)))</formula>
    </cfRule>
    <cfRule type="containsText" dxfId="2409" priority="94" operator="containsText" text="SICK">
      <formula>NOT(ISERROR(SEARCH("SICK",AV4)))</formula>
    </cfRule>
    <cfRule type="containsText" dxfId="2408" priority="95" operator="containsText" text="AL">
      <formula>NOT(ISERROR(SEARCH("AL",AV4)))</formula>
    </cfRule>
  </conditionalFormatting>
  <conditionalFormatting sqref="AX4">
    <cfRule type="containsText" dxfId="2407" priority="76" operator="containsText" text="SP">
      <formula>NOT(ISERROR(SEARCH("SP",AX4)))</formula>
    </cfRule>
    <cfRule type="containsText" dxfId="2406" priority="77" operator="containsText" text="NL">
      <formula>NOT(ISERROR(SEARCH("NL",AX4)))</formula>
    </cfRule>
    <cfRule type="containsText" dxfId="2405" priority="78" operator="containsText" text="SUS">
      <formula>NOT(ISERROR(SEARCH("SUS",AX4)))</formula>
    </cfRule>
    <cfRule type="containsText" dxfId="2404" priority="79" operator="containsText" text="FL">
      <formula>NOT(ISERROR(SEARCH("FL",AX4)))</formula>
    </cfRule>
    <cfRule type="containsText" dxfId="2403" priority="80" operator="containsText" text="EL">
      <formula>NOT(ISERROR(SEARCH("EL",AX4)))</formula>
    </cfRule>
    <cfRule type="containsText" dxfId="2402" priority="81" operator="containsText" text="MC">
      <formula>NOT(ISERROR(SEARCH("MC",AX4)))</formula>
    </cfRule>
    <cfRule type="containsText" dxfId="2401" priority="82" operator="containsText" text="OFF">
      <formula>NOT(ISERROR(SEARCH("OFF",AX4)))</formula>
    </cfRule>
    <cfRule type="containsText" dxfId="2400" priority="83" operator="containsText" text="AB">
      <formula>NOT(ISERROR(SEARCH("AB",AX4)))</formula>
    </cfRule>
    <cfRule type="containsText" dxfId="2399" priority="84" operator="containsText" text="SICK">
      <formula>NOT(ISERROR(SEARCH("SICK",AX4)))</formula>
    </cfRule>
    <cfRule type="containsText" dxfId="2398" priority="85" operator="containsText" text="AL">
      <formula>NOT(ISERROR(SEARCH("AL",AX4)))</formula>
    </cfRule>
  </conditionalFormatting>
  <conditionalFormatting sqref="AZ4">
    <cfRule type="containsText" dxfId="2397" priority="66" operator="containsText" text="SP">
      <formula>NOT(ISERROR(SEARCH("SP",AZ4)))</formula>
    </cfRule>
    <cfRule type="containsText" dxfId="2396" priority="67" operator="containsText" text="NL">
      <formula>NOT(ISERROR(SEARCH("NL",AZ4)))</formula>
    </cfRule>
    <cfRule type="containsText" dxfId="2395" priority="68" operator="containsText" text="SUS">
      <formula>NOT(ISERROR(SEARCH("SUS",AZ4)))</formula>
    </cfRule>
    <cfRule type="containsText" dxfId="2394" priority="69" operator="containsText" text="FL">
      <formula>NOT(ISERROR(SEARCH("FL",AZ4)))</formula>
    </cfRule>
    <cfRule type="containsText" dxfId="2393" priority="70" operator="containsText" text="EL">
      <formula>NOT(ISERROR(SEARCH("EL",AZ4)))</formula>
    </cfRule>
    <cfRule type="containsText" dxfId="2392" priority="71" operator="containsText" text="MC">
      <formula>NOT(ISERROR(SEARCH("MC",AZ4)))</formula>
    </cfRule>
    <cfRule type="containsText" dxfId="2391" priority="72" operator="containsText" text="OFF">
      <formula>NOT(ISERROR(SEARCH("OFF",AZ4)))</formula>
    </cfRule>
    <cfRule type="containsText" dxfId="2390" priority="73" operator="containsText" text="AB">
      <formula>NOT(ISERROR(SEARCH("AB",AZ4)))</formula>
    </cfRule>
    <cfRule type="containsText" dxfId="2389" priority="74" operator="containsText" text="SICK">
      <formula>NOT(ISERROR(SEARCH("SICK",AZ4)))</formula>
    </cfRule>
    <cfRule type="containsText" dxfId="2388" priority="75" operator="containsText" text="AL">
      <formula>NOT(ISERROR(SEARCH("AL",AZ4)))</formula>
    </cfRule>
  </conditionalFormatting>
  <conditionalFormatting sqref="AY4">
    <cfRule type="containsText" dxfId="2387" priority="56" operator="containsText" text="SP">
      <formula>NOT(ISERROR(SEARCH("SP",AY4)))</formula>
    </cfRule>
    <cfRule type="containsText" dxfId="2386" priority="57" operator="containsText" text="NL">
      <formula>NOT(ISERROR(SEARCH("NL",AY4)))</formula>
    </cfRule>
    <cfRule type="containsText" dxfId="2385" priority="58" operator="containsText" text="SUS">
      <formula>NOT(ISERROR(SEARCH("SUS",AY4)))</formula>
    </cfRule>
    <cfRule type="containsText" dxfId="2384" priority="59" operator="containsText" text="FL">
      <formula>NOT(ISERROR(SEARCH("FL",AY4)))</formula>
    </cfRule>
    <cfRule type="containsText" dxfId="2383" priority="60" operator="containsText" text="EL">
      <formula>NOT(ISERROR(SEARCH("EL",AY4)))</formula>
    </cfRule>
    <cfRule type="containsText" dxfId="2382" priority="61" operator="containsText" text="MC">
      <formula>NOT(ISERROR(SEARCH("MC",AY4)))</formula>
    </cfRule>
    <cfRule type="containsText" dxfId="2381" priority="62" operator="containsText" text="OFF">
      <formula>NOT(ISERROR(SEARCH("OFF",AY4)))</formula>
    </cfRule>
    <cfRule type="containsText" dxfId="2380" priority="63" operator="containsText" text="AB">
      <formula>NOT(ISERROR(SEARCH("AB",AY4)))</formula>
    </cfRule>
    <cfRule type="containsText" dxfId="2379" priority="64" operator="containsText" text="SICK">
      <formula>NOT(ISERROR(SEARCH("SICK",AY4)))</formula>
    </cfRule>
    <cfRule type="containsText" dxfId="2378" priority="65" operator="containsText" text="AL">
      <formula>NOT(ISERROR(SEARCH("AL",AY4)))</formula>
    </cfRule>
  </conditionalFormatting>
  <conditionalFormatting sqref="AU4">
    <cfRule type="containsText" dxfId="2377" priority="47" operator="containsText" text="EL">
      <formula>NOT(ISERROR(SEARCH("EL",AU4)))</formula>
    </cfRule>
    <cfRule type="containsText" dxfId="2376" priority="48" operator="containsText" text="AB">
      <formula>NOT(ISERROR(SEARCH("AB",AU4)))</formula>
    </cfRule>
    <cfRule type="containsText" dxfId="2375" priority="49" operator="containsText" text="SUS">
      <formula>NOT(ISERROR(SEARCH("SUS",AU4)))</formula>
    </cfRule>
    <cfRule type="containsText" dxfId="2374" priority="50" operator="containsText" text="FL">
      <formula>NOT(ISERROR(SEARCH("FL",AU4)))</formula>
    </cfRule>
    <cfRule type="containsText" dxfId="2373" priority="51" operator="containsText" text="MC">
      <formula>NOT(ISERROR(SEARCH("MC",AU4)))</formula>
    </cfRule>
    <cfRule type="containsText" dxfId="2372" priority="52" operator="containsText" text="AB">
      <formula>NOT(ISERROR(SEARCH("AB",AU4)))</formula>
    </cfRule>
    <cfRule type="containsText" dxfId="2371" priority="53" operator="containsText" text="Sick">
      <formula>NOT(ISERROR(SEARCH("Sick",AU4)))</formula>
    </cfRule>
    <cfRule type="containsText" dxfId="2370" priority="54" operator="containsText" text="OFF">
      <formula>NOT(ISERROR(SEARCH("OFF",AU4)))</formula>
    </cfRule>
    <cfRule type="containsText" dxfId="2369" priority="55" operator="containsText" text="AL">
      <formula>NOT(ISERROR(SEARCH("AL",AU4)))</formula>
    </cfRule>
  </conditionalFormatting>
  <conditionalFormatting sqref="AT4">
    <cfRule type="containsText" dxfId="2368" priority="38" operator="containsText" text="EL">
      <formula>NOT(ISERROR(SEARCH("EL",AT4)))</formula>
    </cfRule>
    <cfRule type="containsText" dxfId="2367" priority="39" operator="containsText" text="AB">
      <formula>NOT(ISERROR(SEARCH("AB",AT4)))</formula>
    </cfRule>
    <cfRule type="containsText" dxfId="2366" priority="40" operator="containsText" text="SUS">
      <formula>NOT(ISERROR(SEARCH("SUS",AT4)))</formula>
    </cfRule>
    <cfRule type="containsText" dxfId="2365" priority="41" operator="containsText" text="FL">
      <formula>NOT(ISERROR(SEARCH("FL",AT4)))</formula>
    </cfRule>
    <cfRule type="containsText" dxfId="2364" priority="42" operator="containsText" text="MC">
      <formula>NOT(ISERROR(SEARCH("MC",AT4)))</formula>
    </cfRule>
    <cfRule type="containsText" dxfId="2363" priority="43" operator="containsText" text="AB">
      <formula>NOT(ISERROR(SEARCH("AB",AT4)))</formula>
    </cfRule>
    <cfRule type="containsText" dxfId="2362" priority="44" operator="containsText" text="Sick">
      <formula>NOT(ISERROR(SEARCH("Sick",AT4)))</formula>
    </cfRule>
    <cfRule type="containsText" dxfId="2361" priority="45" operator="containsText" text="OFF">
      <formula>NOT(ISERROR(SEARCH("OFF",AT4)))</formula>
    </cfRule>
    <cfRule type="containsText" dxfId="2360" priority="46" operator="containsText" text="AL">
      <formula>NOT(ISERROR(SEARCH("AL",AT4)))</formula>
    </cfRule>
  </conditionalFormatting>
  <conditionalFormatting sqref="AQ4">
    <cfRule type="containsText" dxfId="2359" priority="29" operator="containsText" text="EL">
      <formula>NOT(ISERROR(SEARCH("EL",AQ4)))</formula>
    </cfRule>
    <cfRule type="containsText" dxfId="2358" priority="30" operator="containsText" text="AB">
      <formula>NOT(ISERROR(SEARCH("AB",AQ4)))</formula>
    </cfRule>
    <cfRule type="containsText" dxfId="2357" priority="31" operator="containsText" text="SUS">
      <formula>NOT(ISERROR(SEARCH("SUS",AQ4)))</formula>
    </cfRule>
    <cfRule type="containsText" dxfId="2356" priority="32" operator="containsText" text="FL">
      <formula>NOT(ISERROR(SEARCH("FL",AQ4)))</formula>
    </cfRule>
    <cfRule type="containsText" dxfId="2355" priority="33" operator="containsText" text="MC">
      <formula>NOT(ISERROR(SEARCH("MC",AQ4)))</formula>
    </cfRule>
    <cfRule type="containsText" dxfId="2354" priority="34" operator="containsText" text="AB">
      <formula>NOT(ISERROR(SEARCH("AB",AQ4)))</formula>
    </cfRule>
    <cfRule type="containsText" dxfId="2353" priority="35" operator="containsText" text="Sick">
      <formula>NOT(ISERROR(SEARCH("Sick",AQ4)))</formula>
    </cfRule>
    <cfRule type="containsText" dxfId="2352" priority="36" operator="containsText" text="OFF">
      <formula>NOT(ISERROR(SEARCH("OFF",AQ4)))</formula>
    </cfRule>
    <cfRule type="containsText" dxfId="2351" priority="37" operator="containsText" text="AL">
      <formula>NOT(ISERROR(SEARCH("AL",AQ4)))</formula>
    </cfRule>
  </conditionalFormatting>
  <conditionalFormatting sqref="AR4">
    <cfRule type="containsText" dxfId="2350" priority="20" operator="containsText" text="EL">
      <formula>NOT(ISERROR(SEARCH("EL",AR4)))</formula>
    </cfRule>
    <cfRule type="containsText" dxfId="2349" priority="21" operator="containsText" text="AB">
      <formula>NOT(ISERROR(SEARCH("AB",AR4)))</formula>
    </cfRule>
    <cfRule type="containsText" dxfId="2348" priority="22" operator="containsText" text="SUS">
      <formula>NOT(ISERROR(SEARCH("SUS",AR4)))</formula>
    </cfRule>
    <cfRule type="containsText" dxfId="2347" priority="23" operator="containsText" text="FL">
      <formula>NOT(ISERROR(SEARCH("FL",AR4)))</formula>
    </cfRule>
    <cfRule type="containsText" dxfId="2346" priority="24" operator="containsText" text="MC">
      <formula>NOT(ISERROR(SEARCH("MC",AR4)))</formula>
    </cfRule>
    <cfRule type="containsText" dxfId="2345" priority="25" operator="containsText" text="AB">
      <formula>NOT(ISERROR(SEARCH("AB",AR4)))</formula>
    </cfRule>
    <cfRule type="containsText" dxfId="2344" priority="26" operator="containsText" text="Sick">
      <formula>NOT(ISERROR(SEARCH("Sick",AR4)))</formula>
    </cfRule>
    <cfRule type="containsText" dxfId="2343" priority="27" operator="containsText" text="OFF">
      <formula>NOT(ISERROR(SEARCH("OFF",AR4)))</formula>
    </cfRule>
    <cfRule type="containsText" dxfId="2342" priority="28" operator="containsText" text="AL">
      <formula>NOT(ISERROR(SEARCH("AL",AR4)))</formula>
    </cfRule>
  </conditionalFormatting>
  <conditionalFormatting sqref="C6:C7">
    <cfRule type="duplicateValues" dxfId="2341" priority="131"/>
  </conditionalFormatting>
  <conditionalFormatting sqref="X12:Z17">
    <cfRule type="containsText" dxfId="2340" priority="14" stopIfTrue="1" operator="containsText" text="SP">
      <formula>NOT(ISERROR(SEARCH("SP",X12)))</formula>
    </cfRule>
    <cfRule type="containsText" dxfId="2339" priority="15" stopIfTrue="1" operator="containsText" text="AL">
      <formula>NOT(ISERROR(SEARCH("AL",X12)))</formula>
    </cfRule>
    <cfRule type="containsText" dxfId="2338" priority="16" stopIfTrue="1" operator="containsText" text="EL">
      <formula>NOT(ISERROR(SEARCH("EL",X12)))</formula>
    </cfRule>
    <cfRule type="containsText" dxfId="2337" priority="17" stopIfTrue="1" operator="containsText" text="AB">
      <formula>NOT(ISERROR(SEARCH("AB",X12)))</formula>
    </cfRule>
    <cfRule type="containsText" dxfId="2336" priority="18" stopIfTrue="1" operator="containsText" text="FL">
      <formula>NOT(ISERROR(SEARCH("FL",X12)))</formula>
    </cfRule>
    <cfRule type="containsText" dxfId="2335" priority="19" stopIfTrue="1" operator="containsText" text="SICK">
      <formula>NOT(ISERROR(SEARCH("SICK",X12)))</formula>
    </cfRule>
  </conditionalFormatting>
  <conditionalFormatting sqref="C1:C4 C19:C1048576 H18 C6:C7">
    <cfRule type="duplicateValues" dxfId="2334" priority="132"/>
  </conditionalFormatting>
  <conditionalFormatting sqref="C5">
    <cfRule type="duplicateValues" dxfId="2333" priority="1"/>
  </conditionalFormatting>
  <conditionalFormatting sqref="C5">
    <cfRule type="duplicateValues" dxfId="2332" priority="2"/>
  </conditionalFormatting>
  <pageMargins left="0.7" right="0.7" top="0.75" bottom="0.75" header="0.3" footer="0.3"/>
  <pageSetup paperSize="9" scale="3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6165-A1FB-463D-851C-8B72BD6CCBE4}">
  <sheetPr>
    <pageSetUpPr fitToPage="1"/>
  </sheetPr>
  <dimension ref="A1:BE4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C5" sqref="C5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42" width="6.5703125" customWidth="1"/>
    <col min="43" max="43" width="5.28515625" style="16" customWidth="1"/>
    <col min="44" max="56" width="5.28515625" customWidth="1"/>
    <col min="57" max="57" width="9.140625" customWidth="1"/>
    <col min="61" max="71" width="6" customWidth="1"/>
  </cols>
  <sheetData>
    <row r="1" spans="1:57" ht="25.5" customHeight="1" x14ac:dyDescent="0.25">
      <c r="A1" s="153" t="s">
        <v>262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25"/>
      <c r="AR1" s="65"/>
      <c r="AS1" s="69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22.5" customHeight="1" x14ac:dyDescent="0.25">
      <c r="A2" s="154" t="s">
        <v>182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0" t="s">
        <v>5</v>
      </c>
      <c r="X2" s="150"/>
      <c r="Y2" s="150" t="s">
        <v>6</v>
      </c>
      <c r="Z2" s="150"/>
      <c r="AA2" s="150" t="s">
        <v>7</v>
      </c>
      <c r="AB2" s="150"/>
      <c r="AC2" s="150" t="s">
        <v>1</v>
      </c>
      <c r="AD2" s="150"/>
      <c r="AE2" s="150" t="s">
        <v>2</v>
      </c>
      <c r="AF2" s="150"/>
      <c r="AG2" s="150" t="s">
        <v>3</v>
      </c>
      <c r="AH2" s="150"/>
      <c r="AI2" s="150" t="s">
        <v>4</v>
      </c>
      <c r="AJ2" s="150"/>
      <c r="AK2" s="150" t="s">
        <v>5</v>
      </c>
      <c r="AL2" s="150"/>
      <c r="AM2" s="150" t="s">
        <v>6</v>
      </c>
      <c r="AN2" s="150"/>
      <c r="AO2" s="150" t="s">
        <v>7</v>
      </c>
      <c r="AP2" s="150"/>
      <c r="AQ2" s="159" t="s">
        <v>8</v>
      </c>
      <c r="AR2" s="169" t="s">
        <v>9</v>
      </c>
      <c r="AS2" s="156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8"/>
    </row>
    <row r="3" spans="1:57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49">
        <v>46152</v>
      </c>
      <c r="X3" s="149"/>
      <c r="Y3" s="149">
        <v>46153</v>
      </c>
      <c r="Z3" s="149"/>
      <c r="AA3" s="149">
        <v>46154</v>
      </c>
      <c r="AB3" s="149"/>
      <c r="AC3" s="149">
        <v>46155</v>
      </c>
      <c r="AD3" s="149"/>
      <c r="AE3" s="149">
        <v>46156</v>
      </c>
      <c r="AF3" s="149"/>
      <c r="AG3" s="149">
        <v>46157</v>
      </c>
      <c r="AH3" s="149"/>
      <c r="AI3" s="149">
        <v>46158</v>
      </c>
      <c r="AJ3" s="149"/>
      <c r="AK3" s="149">
        <v>46159</v>
      </c>
      <c r="AL3" s="149"/>
      <c r="AM3" s="149">
        <v>46160</v>
      </c>
      <c r="AN3" s="149"/>
      <c r="AO3" s="149">
        <v>46161</v>
      </c>
      <c r="AP3" s="149"/>
      <c r="AQ3" s="159"/>
      <c r="AR3" s="169"/>
      <c r="AS3" s="72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5" t="s">
        <v>13</v>
      </c>
      <c r="R4" s="5" t="s">
        <v>14</v>
      </c>
      <c r="S4" s="5" t="s">
        <v>13</v>
      </c>
      <c r="T4" s="5" t="s">
        <v>14</v>
      </c>
      <c r="U4" s="5" t="s">
        <v>13</v>
      </c>
      <c r="V4" s="5" t="s">
        <v>14</v>
      </c>
      <c r="W4" s="5" t="s">
        <v>13</v>
      </c>
      <c r="X4" s="5" t="s">
        <v>14</v>
      </c>
      <c r="Y4" s="5" t="s">
        <v>13</v>
      </c>
      <c r="Z4" s="5" t="s">
        <v>14</v>
      </c>
      <c r="AA4" s="5" t="s">
        <v>13</v>
      </c>
      <c r="AB4" s="5" t="s">
        <v>14</v>
      </c>
      <c r="AC4" s="5" t="s">
        <v>13</v>
      </c>
      <c r="AD4" s="5" t="s">
        <v>14</v>
      </c>
      <c r="AE4" s="5" t="s">
        <v>13</v>
      </c>
      <c r="AF4" s="5" t="s">
        <v>14</v>
      </c>
      <c r="AG4" s="5" t="s">
        <v>13</v>
      </c>
      <c r="AH4" s="5" t="s">
        <v>14</v>
      </c>
      <c r="AI4" s="5" t="s">
        <v>13</v>
      </c>
      <c r="AJ4" s="5" t="s">
        <v>14</v>
      </c>
      <c r="AK4" s="5" t="s">
        <v>13</v>
      </c>
      <c r="AL4" s="5" t="s">
        <v>14</v>
      </c>
      <c r="AM4" s="5" t="s">
        <v>13</v>
      </c>
      <c r="AN4" s="5" t="s">
        <v>14</v>
      </c>
      <c r="AO4" s="5" t="s">
        <v>13</v>
      </c>
      <c r="AP4" s="5" t="s">
        <v>14</v>
      </c>
      <c r="AQ4" s="159"/>
      <c r="AR4" s="170"/>
      <c r="AS4" s="66"/>
      <c r="AT4" s="120" t="s">
        <v>15</v>
      </c>
      <c r="AU4" s="118" t="s">
        <v>16</v>
      </c>
      <c r="AV4" s="118" t="s">
        <v>17</v>
      </c>
      <c r="AW4" s="115" t="s">
        <v>18</v>
      </c>
      <c r="AX4" s="118" t="s">
        <v>19</v>
      </c>
      <c r="AY4" s="118" t="s">
        <v>20</v>
      </c>
      <c r="AZ4" s="90" t="s">
        <v>183</v>
      </c>
      <c r="BA4" s="67" t="s">
        <v>22</v>
      </c>
      <c r="BB4" s="91" t="s">
        <v>23</v>
      </c>
      <c r="BC4" s="91" t="s">
        <v>24</v>
      </c>
      <c r="BD4" s="91" t="s">
        <v>25</v>
      </c>
      <c r="BE4" s="68" t="s">
        <v>26</v>
      </c>
    </row>
    <row r="5" spans="1:57" s="89" customFormat="1" ht="21.75" customHeight="1" x14ac:dyDescent="0.25">
      <c r="A5" s="123">
        <v>1</v>
      </c>
      <c r="B5" s="12" t="s">
        <v>128</v>
      </c>
      <c r="C5" s="98" t="s">
        <v>186</v>
      </c>
      <c r="D5" s="136">
        <v>45648</v>
      </c>
      <c r="E5" s="120" t="s">
        <v>15</v>
      </c>
      <c r="F5" s="120" t="s">
        <v>15</v>
      </c>
      <c r="G5" s="90">
        <v>0.34791666666666665</v>
      </c>
      <c r="H5" s="90">
        <v>0.96805555555555556</v>
      </c>
      <c r="I5" s="90">
        <v>0.34652777777777777</v>
      </c>
      <c r="J5" s="90">
        <v>0.94791666666666663</v>
      </c>
      <c r="K5" s="90">
        <v>0.41736111111111113</v>
      </c>
      <c r="L5" s="90">
        <v>0.95624999999999993</v>
      </c>
      <c r="M5" s="91">
        <v>1</v>
      </c>
      <c r="N5" s="90">
        <v>0.95277777777777783</v>
      </c>
      <c r="O5" s="90">
        <v>0.3430555555555555</v>
      </c>
      <c r="P5" s="91">
        <v>1</v>
      </c>
      <c r="Q5" s="90">
        <v>0.34513888888888888</v>
      </c>
      <c r="R5" s="90">
        <v>0.96805555555555556</v>
      </c>
      <c r="S5" s="126">
        <v>0.57291666666666663</v>
      </c>
      <c r="T5" s="126">
        <v>0.95486111111111116</v>
      </c>
      <c r="U5" s="90">
        <v>0.34583333333333338</v>
      </c>
      <c r="V5" s="90">
        <v>0.95833333333333337</v>
      </c>
      <c r="W5" s="90">
        <v>0.34652777777777777</v>
      </c>
      <c r="X5" s="90">
        <v>0.9506944444444444</v>
      </c>
      <c r="Y5" s="90">
        <v>0.34652777777777777</v>
      </c>
      <c r="Z5" s="91">
        <v>1</v>
      </c>
      <c r="AA5" s="90">
        <v>0.34652777777777777</v>
      </c>
      <c r="AB5" s="90">
        <v>0.9555555555555556</v>
      </c>
      <c r="AC5" s="90">
        <v>0.34652777777777777</v>
      </c>
      <c r="AD5" s="91">
        <v>1</v>
      </c>
      <c r="AE5" s="90">
        <v>0.34583333333333338</v>
      </c>
      <c r="AF5" s="90">
        <v>0.96250000000000002</v>
      </c>
      <c r="AG5" s="120" t="s">
        <v>15</v>
      </c>
      <c r="AH5" s="120" t="s">
        <v>15</v>
      </c>
      <c r="AI5" s="90">
        <v>0.34722222222222227</v>
      </c>
      <c r="AJ5" s="91">
        <v>1</v>
      </c>
      <c r="AK5" s="91">
        <v>1</v>
      </c>
      <c r="AL5" s="91">
        <v>1</v>
      </c>
      <c r="AM5" s="91">
        <v>1</v>
      </c>
      <c r="AN5" s="91">
        <v>1</v>
      </c>
      <c r="AO5" s="91">
        <v>1</v>
      </c>
      <c r="AP5" s="91">
        <v>1</v>
      </c>
      <c r="AQ5" s="131">
        <f t="shared" ref="AQ5" si="0">AS5+AT5+AV5+AW5+BA5+AY5+AZ5+BD5</f>
        <v>19</v>
      </c>
      <c r="AR5" s="81">
        <v>1</v>
      </c>
      <c r="AS5" s="132">
        <f>COUNT(E5:AP5)/2+COUNT(#REF!)/2</f>
        <v>17</v>
      </c>
      <c r="AT5" s="133">
        <f>COUNTIF(E5:AP5,"OFF")/2</f>
        <v>2</v>
      </c>
      <c r="AU5" s="133">
        <f>COUNTIF(E5:AP5,"MC")/2</f>
        <v>0</v>
      </c>
      <c r="AV5" s="133">
        <f>COUNTIF(E5:AP5,"EL")/2</f>
        <v>0</v>
      </c>
      <c r="AW5" s="133">
        <f>COUNTIF(E5:AP5,"AL")/2</f>
        <v>0</v>
      </c>
      <c r="AX5" s="133">
        <f>COUNTIF(E5:AP5,"SUS")/2</f>
        <v>0</v>
      </c>
      <c r="AY5" s="133">
        <f>COUNTIF(E5:AP5,"FL")/2</f>
        <v>0</v>
      </c>
      <c r="AZ5" s="133">
        <f>COUNTIF(E5:AP5,"SICK")/2</f>
        <v>0</v>
      </c>
      <c r="BA5" s="133">
        <f>COUNTIF(E5:AP5,"HD")/2</f>
        <v>0</v>
      </c>
      <c r="BB5" s="133">
        <f>COUNTIF(E5:AP5,"AB")/2</f>
        <v>0</v>
      </c>
      <c r="BC5" s="133">
        <f>COUNTIF(E5:AP5,"NL")/2</f>
        <v>0</v>
      </c>
      <c r="BD5" s="133">
        <f>COUNTIF(E5:AP5,"SP")/2</f>
        <v>0</v>
      </c>
      <c r="BE5" s="134"/>
    </row>
    <row r="7" spans="1:57" ht="15.75" x14ac:dyDescent="0.25">
      <c r="F7" s="129" t="s">
        <v>255</v>
      </c>
      <c r="G7" s="129"/>
      <c r="H7" s="129" t="s">
        <v>274</v>
      </c>
      <c r="I7" s="129"/>
      <c r="J7" s="129"/>
      <c r="K7" s="129"/>
      <c r="L7" s="129"/>
      <c r="M7" s="129"/>
      <c r="N7" s="108"/>
      <c r="O7" s="108"/>
      <c r="P7" s="108"/>
    </row>
    <row r="8" spans="1:57" ht="15.75" x14ac:dyDescent="0.25">
      <c r="F8" s="129" t="s">
        <v>256</v>
      </c>
      <c r="G8" s="129"/>
      <c r="H8" s="129" t="s">
        <v>273</v>
      </c>
      <c r="I8" s="129"/>
      <c r="J8" s="129"/>
      <c r="K8" s="129"/>
      <c r="L8" s="129"/>
      <c r="M8" s="129"/>
      <c r="N8" s="108"/>
      <c r="O8" s="108"/>
      <c r="P8" s="108"/>
      <c r="AS8" s="36" t="s">
        <v>73</v>
      </c>
      <c r="AT8" s="37"/>
      <c r="AU8" s="37"/>
      <c r="AV8" s="38" t="s">
        <v>16</v>
      </c>
      <c r="AW8" s="39"/>
      <c r="AX8" s="44" t="s">
        <v>74</v>
      </c>
      <c r="AY8" s="45"/>
      <c r="AZ8" s="45"/>
      <c r="BA8" s="42"/>
      <c r="BB8" s="43" t="s">
        <v>22</v>
      </c>
    </row>
    <row r="9" spans="1:57" x14ac:dyDescent="0.25">
      <c r="AS9" s="36" t="s">
        <v>75</v>
      </c>
      <c r="AT9" s="37"/>
      <c r="AU9" s="37"/>
      <c r="AV9" s="38" t="s">
        <v>17</v>
      </c>
      <c r="AW9" s="39"/>
      <c r="AX9" s="44" t="s">
        <v>76</v>
      </c>
      <c r="AY9" s="45"/>
      <c r="AZ9" s="45"/>
      <c r="BA9" s="42"/>
      <c r="BB9" s="43" t="s">
        <v>23</v>
      </c>
    </row>
    <row r="10" spans="1:57" x14ac:dyDescent="0.25">
      <c r="AS10" s="36" t="s">
        <v>77</v>
      </c>
      <c r="AT10" s="37"/>
      <c r="AU10" s="37"/>
      <c r="AV10" s="38" t="s">
        <v>18</v>
      </c>
      <c r="AW10" s="39"/>
      <c r="AX10" s="40" t="s">
        <v>78</v>
      </c>
      <c r="AY10" s="41"/>
      <c r="AZ10" s="41"/>
      <c r="BA10" s="42"/>
      <c r="BB10" s="43" t="s">
        <v>24</v>
      </c>
    </row>
    <row r="11" spans="1:57" x14ac:dyDescent="0.25">
      <c r="AS11" s="36" t="s">
        <v>79</v>
      </c>
      <c r="AT11" s="37"/>
      <c r="AU11" s="37"/>
      <c r="AV11" s="38" t="s">
        <v>19</v>
      </c>
      <c r="AW11" s="39"/>
      <c r="AX11" s="40" t="s">
        <v>80</v>
      </c>
      <c r="AY11" s="41"/>
      <c r="AZ11" s="41"/>
      <c r="BA11" s="42"/>
      <c r="BB11" s="43" t="s">
        <v>25</v>
      </c>
    </row>
    <row r="12" spans="1:57" ht="15.75" x14ac:dyDescent="0.25">
      <c r="G12" s="17"/>
      <c r="H12" s="18" t="s">
        <v>63</v>
      </c>
      <c r="I12" s="19"/>
      <c r="J12" s="20"/>
      <c r="M12" s="20"/>
      <c r="P12" s="22"/>
      <c r="Q12" s="23" t="s">
        <v>64</v>
      </c>
      <c r="R12" s="23"/>
      <c r="X12" s="21"/>
      <c r="Y12" s="23" t="s">
        <v>66</v>
      </c>
      <c r="Z12" s="21"/>
      <c r="AS12" s="36" t="s">
        <v>81</v>
      </c>
      <c r="AT12" s="37"/>
      <c r="AU12" s="37"/>
      <c r="AV12" s="38" t="s">
        <v>20</v>
      </c>
      <c r="AW12" s="39"/>
      <c r="AX12" s="39"/>
      <c r="AY12" s="39"/>
      <c r="AZ12" s="39"/>
      <c r="BA12" s="39"/>
      <c r="BB12" s="39"/>
    </row>
    <row r="13" spans="1:57" ht="17.25" x14ac:dyDescent="0.25">
      <c r="G13" s="24"/>
      <c r="H13" s="20"/>
      <c r="I13" s="20"/>
      <c r="J13" s="20"/>
      <c r="M13" s="20"/>
      <c r="P13" s="25"/>
      <c r="Q13" s="25"/>
      <c r="R13" s="20"/>
      <c r="X13" s="26"/>
      <c r="Y13" s="27"/>
      <c r="Z13" s="27"/>
    </row>
    <row r="14" spans="1:57" ht="17.25" x14ac:dyDescent="0.25">
      <c r="G14" s="24"/>
      <c r="H14" s="28"/>
      <c r="I14" s="20"/>
      <c r="J14" s="20"/>
      <c r="M14" s="20"/>
      <c r="P14" s="29"/>
      <c r="Q14" s="25"/>
      <c r="R14" s="20"/>
      <c r="X14" s="20"/>
      <c r="Y14" s="30"/>
      <c r="Z14" s="30"/>
    </row>
    <row r="15" spans="1:57" ht="17.25" x14ac:dyDescent="0.25">
      <c r="G15" s="31"/>
      <c r="H15" s="28"/>
      <c r="I15" s="20"/>
      <c r="J15" s="20"/>
      <c r="M15" s="20"/>
      <c r="P15" s="29"/>
      <c r="Q15" s="25"/>
      <c r="R15" s="21"/>
      <c r="X15" s="20"/>
      <c r="Y15" s="30"/>
      <c r="Z15" s="30"/>
    </row>
    <row r="16" spans="1:57" ht="17.25" x14ac:dyDescent="0.25">
      <c r="G16" s="140" t="s">
        <v>67</v>
      </c>
      <c r="H16" s="33"/>
      <c r="I16" s="17"/>
      <c r="J16" s="141"/>
      <c r="M16" s="141"/>
      <c r="P16" s="142"/>
      <c r="Q16" s="143" t="s">
        <v>68</v>
      </c>
      <c r="R16" s="141"/>
      <c r="X16" s="141"/>
      <c r="Y16" s="143" t="s">
        <v>69</v>
      </c>
      <c r="Z16" s="144"/>
    </row>
    <row r="17" spans="7:55" ht="17.25" x14ac:dyDescent="0.25">
      <c r="G17" s="140" t="s">
        <v>259</v>
      </c>
      <c r="H17" s="140"/>
      <c r="I17" s="145"/>
      <c r="J17" s="141"/>
      <c r="M17" s="141"/>
      <c r="P17" s="146"/>
      <c r="Q17" s="143" t="s">
        <v>71</v>
      </c>
      <c r="R17" s="143"/>
      <c r="X17" s="141"/>
      <c r="Y17" s="143" t="s">
        <v>72</v>
      </c>
      <c r="Z17" s="144"/>
    </row>
    <row r="18" spans="7:55" x14ac:dyDescent="0.25">
      <c r="G18" s="16"/>
    </row>
    <row r="19" spans="7:55" x14ac:dyDescent="0.25">
      <c r="AT19" s="39"/>
      <c r="AU19" s="39"/>
      <c r="AV19" s="39"/>
      <c r="AW19" s="39"/>
      <c r="AX19" s="39"/>
      <c r="AY19" s="39"/>
      <c r="AZ19" s="39"/>
      <c r="BA19" s="39"/>
      <c r="BB19" s="39"/>
      <c r="BC19" s="39"/>
    </row>
    <row r="27" spans="7:55" ht="24.75" customHeight="1" x14ac:dyDescent="0.25"/>
    <row r="29" spans="7:55" ht="21.75" customHeight="1" x14ac:dyDescent="0.25"/>
    <row r="30" spans="7:55" ht="21.75" customHeight="1" x14ac:dyDescent="0.25"/>
    <row r="31" spans="7:55" ht="21.75" customHeight="1" x14ac:dyDescent="0.25"/>
    <row r="32" spans="7:55" ht="21" customHeight="1" x14ac:dyDescent="0.25"/>
    <row r="33" spans="43:43" ht="21" customHeight="1" x14ac:dyDescent="0.25"/>
    <row r="34" spans="43:43" ht="21" customHeight="1" x14ac:dyDescent="0.25">
      <c r="AQ34"/>
    </row>
    <row r="35" spans="43:43" ht="21.75" customHeight="1" x14ac:dyDescent="0.25">
      <c r="AQ35"/>
    </row>
    <row r="36" spans="43:43" ht="21.75" customHeight="1" x14ac:dyDescent="0.25">
      <c r="AQ36"/>
    </row>
    <row r="37" spans="43:43" ht="21.75" customHeight="1" x14ac:dyDescent="0.25">
      <c r="AQ37"/>
    </row>
    <row r="38" spans="43:43" ht="21.75" customHeight="1" x14ac:dyDescent="0.25">
      <c r="AQ38"/>
    </row>
    <row r="39" spans="43:43" x14ac:dyDescent="0.25">
      <c r="AQ39"/>
    </row>
    <row r="40" spans="43:43" x14ac:dyDescent="0.25">
      <c r="AQ40"/>
    </row>
    <row r="41" spans="43:43" x14ac:dyDescent="0.25">
      <c r="AQ41"/>
    </row>
    <row r="42" spans="43:43" x14ac:dyDescent="0.25">
      <c r="AQ42"/>
    </row>
    <row r="43" spans="43:43" x14ac:dyDescent="0.25">
      <c r="AQ43"/>
    </row>
    <row r="44" spans="43:43" x14ac:dyDescent="0.25">
      <c r="AQ44"/>
    </row>
    <row r="45" spans="43:43" x14ac:dyDescent="0.25">
      <c r="AQ45"/>
    </row>
    <row r="46" spans="43:43" x14ac:dyDescent="0.25">
      <c r="AQ46"/>
    </row>
    <row r="47" spans="43:43" x14ac:dyDescent="0.25">
      <c r="AQ47"/>
    </row>
  </sheetData>
  <mergeCells count="43">
    <mergeCell ref="AE2:AF2"/>
    <mergeCell ref="A1:AP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G2:AH2"/>
    <mergeCell ref="AI2:AJ2"/>
    <mergeCell ref="AQ2:AQ4"/>
    <mergeCell ref="AR2:AR4"/>
    <mergeCell ref="AS2:BE2"/>
    <mergeCell ref="AO2:AP2"/>
    <mergeCell ref="AM2:AN2"/>
    <mergeCell ref="AK2:AL2"/>
    <mergeCell ref="AA3:AB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C3:AD3"/>
    <mergeCell ref="AE3:AF3"/>
    <mergeCell ref="AG3:AH3"/>
    <mergeCell ref="AI3:AJ3"/>
    <mergeCell ref="AO3:AP3"/>
    <mergeCell ref="AM3:AN3"/>
    <mergeCell ref="AK3:AL3"/>
  </mergeCells>
  <phoneticPr fontId="11" type="noConversion"/>
  <conditionalFormatting sqref="AQ2:AQ3 A2:D3 A5 AQ5 A1:AQ1 A4:AQ4">
    <cfRule type="containsText" dxfId="2331" priority="134" stopIfTrue="1" operator="containsText" text="SP">
      <formula>NOT(ISERROR(SEARCH("SP",A1)))</formula>
    </cfRule>
  </conditionalFormatting>
  <conditionalFormatting sqref="AQ2:AQ3 A2:D3 A5 AQ5 A1:AQ1 A4:AQ4">
    <cfRule type="containsText" dxfId="2330" priority="135" stopIfTrue="1" operator="containsText" text="AL">
      <formula>NOT(ISERROR(SEARCH("AL",A1)))</formula>
    </cfRule>
    <cfRule type="containsText" dxfId="2329" priority="136" stopIfTrue="1" operator="containsText" text="EL">
      <formula>NOT(ISERROR(SEARCH("EL",A1)))</formula>
    </cfRule>
    <cfRule type="containsText" dxfId="2328" priority="137" stopIfTrue="1" operator="containsText" text="AB">
      <formula>NOT(ISERROR(SEARCH("AB",A1)))</formula>
    </cfRule>
    <cfRule type="containsText" dxfId="2327" priority="138" stopIfTrue="1" operator="containsText" text="FL">
      <formula>NOT(ISERROR(SEARCH("FL",A1)))</formula>
    </cfRule>
    <cfRule type="containsText" dxfId="2326" priority="139" stopIfTrue="1" operator="containsText" text="SICK">
      <formula>NOT(ISERROR(SEARCH("SICK",A1)))</formula>
    </cfRule>
  </conditionalFormatting>
  <conditionalFormatting sqref="D5">
    <cfRule type="timePeriod" dxfId="2325" priority="130" timePeriod="last7Days">
      <formula>AND(TODAY()-FLOOR(D5,1)&lt;=6,FLOOR(D5,1)&lt;=TODAY())</formula>
    </cfRule>
    <cfRule type="timePeriod" dxfId="2324" priority="131" timePeriod="thisWeek">
      <formula>AND(TODAY()-ROUNDDOWN(D5,0)&lt;=WEEKDAY(TODAY())-1,ROUNDDOWN(D5,0)-TODAY()&lt;=7-WEEKDAY(TODAY()))</formula>
    </cfRule>
    <cfRule type="timePeriod" priority="132" timePeriod="nextWeek">
      <formula>AND(ROUNDDOWN(D5,0)-TODAY()&gt;(7-WEEKDAY(TODAY())),ROUNDDOWN(D5,0)-TODAY()&lt;(15-WEEKDAY(TODAY())))</formula>
    </cfRule>
    <cfRule type="timePeriod" dxfId="2323" priority="133" timePeriod="nextWeek">
      <formula>AND(ROUNDDOWN(D5,0)-TODAY()&gt;(7-WEEKDAY(TODAY())),ROUNDDOWN(D5,0)-TODAY()&lt;(15-WEEKDAY(TODAY())))</formula>
    </cfRule>
  </conditionalFormatting>
  <conditionalFormatting sqref="M12:M15 P12:R15">
    <cfRule type="containsText" dxfId="2322" priority="140" stopIfTrue="1" operator="containsText" text="AB">
      <formula>NOT(ISERROR(SEARCH("AB",M12)))</formula>
    </cfRule>
    <cfRule type="containsText" dxfId="2321" priority="141" stopIfTrue="1" operator="containsText" text="SICK">
      <formula>NOT(ISERROR(SEARCH("SICK",M12)))</formula>
    </cfRule>
    <cfRule type="containsText" dxfId="2320" priority="142" stopIfTrue="1" operator="containsText" text="SP">
      <formula>NOT(ISERROR(SEARCH("SP",M12)))</formula>
    </cfRule>
    <cfRule type="containsText" priority="143" stopIfTrue="1" operator="containsText" text="SP">
      <formula>NOT(ISERROR(SEARCH("SP",M12)))</formula>
    </cfRule>
    <cfRule type="containsText" dxfId="2319" priority="144" stopIfTrue="1" operator="containsText" text="SICK">
      <formula>NOT(ISERROR(SEARCH("SICK",M12)))</formula>
    </cfRule>
  </conditionalFormatting>
  <conditionalFormatting sqref="AR5">
    <cfRule type="cellIs" dxfId="2318" priority="146" stopIfTrue="1" operator="equal">
      <formula>";"</formula>
    </cfRule>
  </conditionalFormatting>
  <conditionalFormatting sqref="AR2">
    <cfRule type="cellIs" dxfId="2317" priority="145" operator="equal">
      <formula>";"</formula>
    </cfRule>
  </conditionalFormatting>
  <conditionalFormatting sqref="AW4">
    <cfRule type="containsText" dxfId="2316" priority="121" operator="containsText" text="EL">
      <formula>NOT(ISERROR(SEARCH("EL",AW4)))</formula>
    </cfRule>
    <cfRule type="containsText" dxfId="2315" priority="122" operator="containsText" text="AB">
      <formula>NOT(ISERROR(SEARCH("AB",AW4)))</formula>
    </cfRule>
    <cfRule type="containsText" dxfId="2314" priority="123" operator="containsText" text="SUS">
      <formula>NOT(ISERROR(SEARCH("SUS",AW4)))</formula>
    </cfRule>
    <cfRule type="containsText" dxfId="2313" priority="124" operator="containsText" text="FL">
      <formula>NOT(ISERROR(SEARCH("FL",AW4)))</formula>
    </cfRule>
    <cfRule type="containsText" dxfId="2312" priority="125" operator="containsText" text="MC">
      <formula>NOT(ISERROR(SEARCH("MC",AW4)))</formula>
    </cfRule>
    <cfRule type="containsText" dxfId="2311" priority="126" operator="containsText" text="AB">
      <formula>NOT(ISERROR(SEARCH("AB",AW4)))</formula>
    </cfRule>
    <cfRule type="containsText" dxfId="2310" priority="127" operator="containsText" text="Sick">
      <formula>NOT(ISERROR(SEARCH("Sick",AW4)))</formula>
    </cfRule>
    <cfRule type="containsText" dxfId="2309" priority="128" operator="containsText" text="OFF">
      <formula>NOT(ISERROR(SEARCH("OFF",AW4)))</formula>
    </cfRule>
    <cfRule type="containsText" dxfId="2308" priority="129" operator="containsText" text="AL">
      <formula>NOT(ISERROR(SEARCH("AL",AW4)))</formula>
    </cfRule>
  </conditionalFormatting>
  <conditionalFormatting sqref="AT4">
    <cfRule type="containsText" dxfId="2307" priority="112" operator="containsText" text="EL">
      <formula>NOT(ISERROR(SEARCH("EL",AT4)))</formula>
    </cfRule>
    <cfRule type="containsText" dxfId="2306" priority="113" operator="containsText" text="AB">
      <formula>NOT(ISERROR(SEARCH("AB",AT4)))</formula>
    </cfRule>
    <cfRule type="containsText" dxfId="2305" priority="114" operator="containsText" text="SUS">
      <formula>NOT(ISERROR(SEARCH("SUS",AT4)))</formula>
    </cfRule>
    <cfRule type="containsText" dxfId="2304" priority="115" operator="containsText" text="FL">
      <formula>NOT(ISERROR(SEARCH("FL",AT4)))</formula>
    </cfRule>
    <cfRule type="containsText" dxfId="2303" priority="116" operator="containsText" text="MC">
      <formula>NOT(ISERROR(SEARCH("MC",AT4)))</formula>
    </cfRule>
    <cfRule type="containsText" dxfId="2302" priority="117" operator="containsText" text="AB">
      <formula>NOT(ISERROR(SEARCH("AB",AT4)))</formula>
    </cfRule>
    <cfRule type="containsText" dxfId="2301" priority="118" operator="containsText" text="Sick">
      <formula>NOT(ISERROR(SEARCH("Sick",AT4)))</formula>
    </cfRule>
    <cfRule type="containsText" dxfId="2300" priority="119" operator="containsText" text="OFF">
      <formula>NOT(ISERROR(SEARCH("OFF",AT4)))</formula>
    </cfRule>
    <cfRule type="containsText" dxfId="2299" priority="120" operator="containsText" text="AL">
      <formula>NOT(ISERROR(SEARCH("AL",AT4)))</formula>
    </cfRule>
  </conditionalFormatting>
  <conditionalFormatting sqref="AZ4">
    <cfRule type="containsText" dxfId="2298" priority="102" operator="containsText" text="SP">
      <formula>NOT(ISERROR(SEARCH("SP",AZ4)))</formula>
    </cfRule>
    <cfRule type="containsText" dxfId="2297" priority="103" operator="containsText" text="NL">
      <formula>NOT(ISERROR(SEARCH("NL",AZ4)))</formula>
    </cfRule>
    <cfRule type="containsText" dxfId="2296" priority="104" operator="containsText" text="SUS">
      <formula>NOT(ISERROR(SEARCH("SUS",AZ4)))</formula>
    </cfRule>
    <cfRule type="containsText" dxfId="2295" priority="105" operator="containsText" text="FL">
      <formula>NOT(ISERROR(SEARCH("FL",AZ4)))</formula>
    </cfRule>
    <cfRule type="containsText" dxfId="2294" priority="106" operator="containsText" text="EL">
      <formula>NOT(ISERROR(SEARCH("EL",AZ4)))</formula>
    </cfRule>
    <cfRule type="containsText" dxfId="2293" priority="107" operator="containsText" text="MC">
      <formula>NOT(ISERROR(SEARCH("MC",AZ4)))</formula>
    </cfRule>
    <cfRule type="containsText" dxfId="2292" priority="108" operator="containsText" text="OFF">
      <formula>NOT(ISERROR(SEARCH("OFF",AZ4)))</formula>
    </cfRule>
    <cfRule type="containsText" dxfId="2291" priority="109" operator="containsText" text="AB">
      <formula>NOT(ISERROR(SEARCH("AB",AZ4)))</formula>
    </cfRule>
    <cfRule type="containsText" dxfId="2290" priority="110" operator="containsText" text="SICK">
      <formula>NOT(ISERROR(SEARCH("SICK",AZ4)))</formula>
    </cfRule>
    <cfRule type="containsText" dxfId="2289" priority="111" operator="containsText" text="AL">
      <formula>NOT(ISERROR(SEARCH("AL",AZ4)))</formula>
    </cfRule>
  </conditionalFormatting>
  <conditionalFormatting sqref="BB4">
    <cfRule type="containsText" dxfId="2288" priority="92" operator="containsText" text="SP">
      <formula>NOT(ISERROR(SEARCH("SP",BB4)))</formula>
    </cfRule>
    <cfRule type="containsText" dxfId="2287" priority="93" operator="containsText" text="NL">
      <formula>NOT(ISERROR(SEARCH("NL",BB4)))</formula>
    </cfRule>
    <cfRule type="containsText" dxfId="2286" priority="94" operator="containsText" text="SUS">
      <formula>NOT(ISERROR(SEARCH("SUS",BB4)))</formula>
    </cfRule>
    <cfRule type="containsText" dxfId="2285" priority="95" operator="containsText" text="FL">
      <formula>NOT(ISERROR(SEARCH("FL",BB4)))</formula>
    </cfRule>
    <cfRule type="containsText" dxfId="2284" priority="96" operator="containsText" text="EL">
      <formula>NOT(ISERROR(SEARCH("EL",BB4)))</formula>
    </cfRule>
    <cfRule type="containsText" dxfId="2283" priority="97" operator="containsText" text="MC">
      <formula>NOT(ISERROR(SEARCH("MC",BB4)))</formula>
    </cfRule>
    <cfRule type="containsText" dxfId="2282" priority="98" operator="containsText" text="OFF">
      <formula>NOT(ISERROR(SEARCH("OFF",BB4)))</formula>
    </cfRule>
    <cfRule type="containsText" dxfId="2281" priority="99" operator="containsText" text="AB">
      <formula>NOT(ISERROR(SEARCH("AB",BB4)))</formula>
    </cfRule>
    <cfRule type="containsText" dxfId="2280" priority="100" operator="containsText" text="SICK">
      <formula>NOT(ISERROR(SEARCH("SICK",BB4)))</formula>
    </cfRule>
    <cfRule type="containsText" dxfId="2279" priority="101" operator="containsText" text="AL">
      <formula>NOT(ISERROR(SEARCH("AL",BB4)))</formula>
    </cfRule>
  </conditionalFormatting>
  <conditionalFormatting sqref="BD4">
    <cfRule type="containsText" dxfId="2278" priority="82" operator="containsText" text="SP">
      <formula>NOT(ISERROR(SEARCH("SP",BD4)))</formula>
    </cfRule>
    <cfRule type="containsText" dxfId="2277" priority="83" operator="containsText" text="NL">
      <formula>NOT(ISERROR(SEARCH("NL",BD4)))</formula>
    </cfRule>
    <cfRule type="containsText" dxfId="2276" priority="84" operator="containsText" text="SUS">
      <formula>NOT(ISERROR(SEARCH("SUS",BD4)))</formula>
    </cfRule>
    <cfRule type="containsText" dxfId="2275" priority="85" operator="containsText" text="FL">
      <formula>NOT(ISERROR(SEARCH("FL",BD4)))</formula>
    </cfRule>
    <cfRule type="containsText" dxfId="2274" priority="86" operator="containsText" text="EL">
      <formula>NOT(ISERROR(SEARCH("EL",BD4)))</formula>
    </cfRule>
    <cfRule type="containsText" dxfId="2273" priority="87" operator="containsText" text="MC">
      <formula>NOT(ISERROR(SEARCH("MC",BD4)))</formula>
    </cfRule>
    <cfRule type="containsText" dxfId="2272" priority="88" operator="containsText" text="OFF">
      <formula>NOT(ISERROR(SEARCH("OFF",BD4)))</formula>
    </cfRule>
    <cfRule type="containsText" dxfId="2271" priority="89" operator="containsText" text="AB">
      <formula>NOT(ISERROR(SEARCH("AB",BD4)))</formula>
    </cfRule>
    <cfRule type="containsText" dxfId="2270" priority="90" operator="containsText" text="SICK">
      <formula>NOT(ISERROR(SEARCH("SICK",BD4)))</formula>
    </cfRule>
    <cfRule type="containsText" dxfId="2269" priority="91" operator="containsText" text="AL">
      <formula>NOT(ISERROR(SEARCH("AL",BD4)))</formula>
    </cfRule>
  </conditionalFormatting>
  <conditionalFormatting sqref="BC4">
    <cfRule type="containsText" dxfId="2268" priority="72" operator="containsText" text="SP">
      <formula>NOT(ISERROR(SEARCH("SP",BC4)))</formula>
    </cfRule>
    <cfRule type="containsText" dxfId="2267" priority="73" operator="containsText" text="NL">
      <formula>NOT(ISERROR(SEARCH("NL",BC4)))</formula>
    </cfRule>
    <cfRule type="containsText" dxfId="2266" priority="74" operator="containsText" text="SUS">
      <formula>NOT(ISERROR(SEARCH("SUS",BC4)))</formula>
    </cfRule>
    <cfRule type="containsText" dxfId="2265" priority="75" operator="containsText" text="FL">
      <formula>NOT(ISERROR(SEARCH("FL",BC4)))</formula>
    </cfRule>
    <cfRule type="containsText" dxfId="2264" priority="76" operator="containsText" text="EL">
      <formula>NOT(ISERROR(SEARCH("EL",BC4)))</formula>
    </cfRule>
    <cfRule type="containsText" dxfId="2263" priority="77" operator="containsText" text="MC">
      <formula>NOT(ISERROR(SEARCH("MC",BC4)))</formula>
    </cfRule>
    <cfRule type="containsText" dxfId="2262" priority="78" operator="containsText" text="OFF">
      <formula>NOT(ISERROR(SEARCH("OFF",BC4)))</formula>
    </cfRule>
    <cfRule type="containsText" dxfId="2261" priority="79" operator="containsText" text="AB">
      <formula>NOT(ISERROR(SEARCH("AB",BC4)))</formula>
    </cfRule>
    <cfRule type="containsText" dxfId="2260" priority="80" operator="containsText" text="SICK">
      <formula>NOT(ISERROR(SEARCH("SICK",BC4)))</formula>
    </cfRule>
    <cfRule type="containsText" dxfId="2259" priority="81" operator="containsText" text="AL">
      <formula>NOT(ISERROR(SEARCH("AL",BC4)))</formula>
    </cfRule>
  </conditionalFormatting>
  <conditionalFormatting sqref="AY4">
    <cfRule type="containsText" dxfId="2258" priority="63" operator="containsText" text="EL">
      <formula>NOT(ISERROR(SEARCH("EL",AY4)))</formula>
    </cfRule>
    <cfRule type="containsText" dxfId="2257" priority="64" operator="containsText" text="AB">
      <formula>NOT(ISERROR(SEARCH("AB",AY4)))</formula>
    </cfRule>
    <cfRule type="containsText" dxfId="2256" priority="65" operator="containsText" text="SUS">
      <formula>NOT(ISERROR(SEARCH("SUS",AY4)))</formula>
    </cfRule>
    <cfRule type="containsText" dxfId="2255" priority="66" operator="containsText" text="FL">
      <formula>NOT(ISERROR(SEARCH("FL",AY4)))</formula>
    </cfRule>
    <cfRule type="containsText" dxfId="2254" priority="67" operator="containsText" text="MC">
      <formula>NOT(ISERROR(SEARCH("MC",AY4)))</formula>
    </cfRule>
    <cfRule type="containsText" dxfId="2253" priority="68" operator="containsText" text="AB">
      <formula>NOT(ISERROR(SEARCH("AB",AY4)))</formula>
    </cfRule>
    <cfRule type="containsText" dxfId="2252" priority="69" operator="containsText" text="Sick">
      <formula>NOT(ISERROR(SEARCH("Sick",AY4)))</formula>
    </cfRule>
    <cfRule type="containsText" dxfId="2251" priority="70" operator="containsText" text="OFF">
      <formula>NOT(ISERROR(SEARCH("OFF",AY4)))</formula>
    </cfRule>
    <cfRule type="containsText" dxfId="2250" priority="71" operator="containsText" text="AL">
      <formula>NOT(ISERROR(SEARCH("AL",AY4)))</formula>
    </cfRule>
  </conditionalFormatting>
  <conditionalFormatting sqref="AX4">
    <cfRule type="containsText" dxfId="2249" priority="54" operator="containsText" text="EL">
      <formula>NOT(ISERROR(SEARCH("EL",AX4)))</formula>
    </cfRule>
    <cfRule type="containsText" dxfId="2248" priority="55" operator="containsText" text="AB">
      <formula>NOT(ISERROR(SEARCH("AB",AX4)))</formula>
    </cfRule>
    <cfRule type="containsText" dxfId="2247" priority="56" operator="containsText" text="SUS">
      <formula>NOT(ISERROR(SEARCH("SUS",AX4)))</formula>
    </cfRule>
    <cfRule type="containsText" dxfId="2246" priority="57" operator="containsText" text="FL">
      <formula>NOT(ISERROR(SEARCH("FL",AX4)))</formula>
    </cfRule>
    <cfRule type="containsText" dxfId="2245" priority="58" operator="containsText" text="MC">
      <formula>NOT(ISERROR(SEARCH("MC",AX4)))</formula>
    </cfRule>
    <cfRule type="containsText" dxfId="2244" priority="59" operator="containsText" text="AB">
      <formula>NOT(ISERROR(SEARCH("AB",AX4)))</formula>
    </cfRule>
    <cfRule type="containsText" dxfId="2243" priority="60" operator="containsText" text="Sick">
      <formula>NOT(ISERROR(SEARCH("Sick",AX4)))</formula>
    </cfRule>
    <cfRule type="containsText" dxfId="2242" priority="61" operator="containsText" text="OFF">
      <formula>NOT(ISERROR(SEARCH("OFF",AX4)))</formula>
    </cfRule>
    <cfRule type="containsText" dxfId="2241" priority="62" operator="containsText" text="AL">
      <formula>NOT(ISERROR(SEARCH("AL",AX4)))</formula>
    </cfRule>
  </conditionalFormatting>
  <conditionalFormatting sqref="AU4">
    <cfRule type="containsText" dxfId="2240" priority="45" operator="containsText" text="EL">
      <formula>NOT(ISERROR(SEARCH("EL",AU4)))</formula>
    </cfRule>
    <cfRule type="containsText" dxfId="2239" priority="46" operator="containsText" text="AB">
      <formula>NOT(ISERROR(SEARCH("AB",AU4)))</formula>
    </cfRule>
    <cfRule type="containsText" dxfId="2238" priority="47" operator="containsText" text="SUS">
      <formula>NOT(ISERROR(SEARCH("SUS",AU4)))</formula>
    </cfRule>
    <cfRule type="containsText" dxfId="2237" priority="48" operator="containsText" text="FL">
      <formula>NOT(ISERROR(SEARCH("FL",AU4)))</formula>
    </cfRule>
    <cfRule type="containsText" dxfId="2236" priority="49" operator="containsText" text="MC">
      <formula>NOT(ISERROR(SEARCH("MC",AU4)))</formula>
    </cfRule>
    <cfRule type="containsText" dxfId="2235" priority="50" operator="containsText" text="AB">
      <formula>NOT(ISERROR(SEARCH("AB",AU4)))</formula>
    </cfRule>
    <cfRule type="containsText" dxfId="2234" priority="51" operator="containsText" text="Sick">
      <formula>NOT(ISERROR(SEARCH("Sick",AU4)))</formula>
    </cfRule>
    <cfRule type="containsText" dxfId="2233" priority="52" operator="containsText" text="OFF">
      <formula>NOT(ISERROR(SEARCH("OFF",AU4)))</formula>
    </cfRule>
    <cfRule type="containsText" dxfId="2232" priority="53" operator="containsText" text="AL">
      <formula>NOT(ISERROR(SEARCH("AL",AU4)))</formula>
    </cfRule>
  </conditionalFormatting>
  <conditionalFormatting sqref="AV4">
    <cfRule type="containsText" dxfId="2231" priority="36" operator="containsText" text="EL">
      <formula>NOT(ISERROR(SEARCH("EL",AV4)))</formula>
    </cfRule>
    <cfRule type="containsText" dxfId="2230" priority="37" operator="containsText" text="AB">
      <formula>NOT(ISERROR(SEARCH("AB",AV4)))</formula>
    </cfRule>
    <cfRule type="containsText" dxfId="2229" priority="38" operator="containsText" text="SUS">
      <formula>NOT(ISERROR(SEARCH("SUS",AV4)))</formula>
    </cfRule>
    <cfRule type="containsText" dxfId="2228" priority="39" operator="containsText" text="FL">
      <formula>NOT(ISERROR(SEARCH("FL",AV4)))</formula>
    </cfRule>
    <cfRule type="containsText" dxfId="2227" priority="40" operator="containsText" text="MC">
      <formula>NOT(ISERROR(SEARCH("MC",AV4)))</formula>
    </cfRule>
    <cfRule type="containsText" dxfId="2226" priority="41" operator="containsText" text="AB">
      <formula>NOT(ISERROR(SEARCH("AB",AV4)))</formula>
    </cfRule>
    <cfRule type="containsText" dxfId="2225" priority="42" operator="containsText" text="Sick">
      <formula>NOT(ISERROR(SEARCH("Sick",AV4)))</formula>
    </cfRule>
    <cfRule type="containsText" dxfId="2224" priority="43" operator="containsText" text="OFF">
      <formula>NOT(ISERROR(SEARCH("OFF",AV4)))</formula>
    </cfRule>
    <cfRule type="containsText" dxfId="2223" priority="44" operator="containsText" text="AL">
      <formula>NOT(ISERROR(SEARCH("AL",AV4)))</formula>
    </cfRule>
  </conditionalFormatting>
  <conditionalFormatting sqref="C6:C7">
    <cfRule type="duplicateValues" dxfId="2222" priority="147"/>
  </conditionalFormatting>
  <conditionalFormatting sqref="X12:Z17">
    <cfRule type="containsText" dxfId="2221" priority="30" stopIfTrue="1" operator="containsText" text="SP">
      <formula>NOT(ISERROR(SEARCH("SP",X12)))</formula>
    </cfRule>
    <cfRule type="containsText" dxfId="2220" priority="31" stopIfTrue="1" operator="containsText" text="AL">
      <formula>NOT(ISERROR(SEARCH("AL",X12)))</formula>
    </cfRule>
    <cfRule type="containsText" dxfId="2219" priority="32" stopIfTrue="1" operator="containsText" text="EL">
      <formula>NOT(ISERROR(SEARCH("EL",X12)))</formula>
    </cfRule>
    <cfRule type="containsText" dxfId="2218" priority="33" stopIfTrue="1" operator="containsText" text="AB">
      <formula>NOT(ISERROR(SEARCH("AB",X12)))</formula>
    </cfRule>
    <cfRule type="containsText" dxfId="2217" priority="34" stopIfTrue="1" operator="containsText" text="FL">
      <formula>NOT(ISERROR(SEARCH("FL",X12)))</formula>
    </cfRule>
    <cfRule type="containsText" dxfId="2216" priority="35" stopIfTrue="1" operator="containsText" text="SICK">
      <formula>NOT(ISERROR(SEARCH("SICK",X12)))</formula>
    </cfRule>
  </conditionalFormatting>
  <conditionalFormatting sqref="C1:C4 C19:C1048576 H18 C6:C7">
    <cfRule type="duplicateValues" dxfId="2215" priority="148"/>
  </conditionalFormatting>
  <conditionalFormatting sqref="C5">
    <cfRule type="duplicateValues" dxfId="2214" priority="26"/>
  </conditionalFormatting>
  <conditionalFormatting sqref="C5">
    <cfRule type="duplicateValues" dxfId="2213" priority="27"/>
  </conditionalFormatting>
  <conditionalFormatting sqref="E5:F5">
    <cfRule type="containsText" dxfId="2212" priority="17" operator="containsText" text="EL">
      <formula>NOT(ISERROR(SEARCH("EL",E5)))</formula>
    </cfRule>
    <cfRule type="containsText" dxfId="2211" priority="18" operator="containsText" text="AB">
      <formula>NOT(ISERROR(SEARCH("AB",E5)))</formula>
    </cfRule>
    <cfRule type="containsText" dxfId="2210" priority="19" operator="containsText" text="SUS">
      <formula>NOT(ISERROR(SEARCH("SUS",E5)))</formula>
    </cfRule>
    <cfRule type="containsText" dxfId="2209" priority="20" operator="containsText" text="FL">
      <formula>NOT(ISERROR(SEARCH("FL",E5)))</formula>
    </cfRule>
    <cfRule type="containsText" dxfId="2208" priority="21" operator="containsText" text="MC">
      <formula>NOT(ISERROR(SEARCH("MC",E5)))</formula>
    </cfRule>
    <cfRule type="containsText" dxfId="2207" priority="22" operator="containsText" text="AB">
      <formula>NOT(ISERROR(SEARCH("AB",E5)))</formula>
    </cfRule>
    <cfRule type="containsText" dxfId="2206" priority="23" operator="containsText" text="Sick">
      <formula>NOT(ISERROR(SEARCH("Sick",E5)))</formula>
    </cfRule>
    <cfRule type="containsText" dxfId="2205" priority="24" operator="containsText" text="OFF">
      <formula>NOT(ISERROR(SEARCH("OFF",E5)))</formula>
    </cfRule>
    <cfRule type="containsText" dxfId="2204" priority="25" operator="containsText" text="AL">
      <formula>NOT(ISERROR(SEARCH("AL",E5)))</formula>
    </cfRule>
  </conditionalFormatting>
  <conditionalFormatting sqref="AG5">
    <cfRule type="containsText" dxfId="2203" priority="10" operator="containsText" text="SUS">
      <formula>NOT(ISERROR(SEARCH("SUS",AG5)))</formula>
    </cfRule>
    <cfRule type="containsText" dxfId="2202" priority="11" operator="containsText" text="FL">
      <formula>NOT(ISERROR(SEARCH("FL",AG5)))</formula>
    </cfRule>
    <cfRule type="containsText" dxfId="2201" priority="12" operator="containsText" text="MC">
      <formula>NOT(ISERROR(SEARCH("MC",AG5)))</formula>
    </cfRule>
    <cfRule type="containsText" dxfId="2200" priority="13" operator="containsText" text="AB">
      <formula>NOT(ISERROR(SEARCH("AB",AG5)))</formula>
    </cfRule>
    <cfRule type="containsText" dxfId="2199" priority="14" operator="containsText" text="Sick">
      <formula>NOT(ISERROR(SEARCH("Sick",AG5)))</formula>
    </cfRule>
    <cfRule type="containsText" dxfId="2198" priority="15" operator="containsText" text="OFF">
      <formula>NOT(ISERROR(SEARCH("OFF",AG5)))</formula>
    </cfRule>
    <cfRule type="containsText" dxfId="2197" priority="16" operator="containsText" text="AL">
      <formula>NOT(ISERROR(SEARCH("AL",AG5)))</formula>
    </cfRule>
  </conditionalFormatting>
  <conditionalFormatting sqref="AG5:AH5">
    <cfRule type="containsText" dxfId="2196" priority="1" operator="containsText" text="EL">
      <formula>NOT(ISERROR(SEARCH("EL",AG5)))</formula>
    </cfRule>
    <cfRule type="containsText" dxfId="2195" priority="6" operator="containsText" text="AB">
      <formula>NOT(ISERROR(SEARCH("AB",AG5)))</formula>
    </cfRule>
  </conditionalFormatting>
  <conditionalFormatting sqref="AH5">
    <cfRule type="containsText" dxfId="2194" priority="2" operator="containsText" text="AB">
      <formula>NOT(ISERROR(SEARCH("AB",AH5)))</formula>
    </cfRule>
    <cfRule type="containsText" dxfId="2193" priority="3" operator="containsText" text="SUS">
      <formula>NOT(ISERROR(SEARCH("SUS",AH5)))</formula>
    </cfRule>
    <cfRule type="containsText" dxfId="2192" priority="4" operator="containsText" text="FL">
      <formula>NOT(ISERROR(SEARCH("FL",AH5)))</formula>
    </cfRule>
    <cfRule type="containsText" dxfId="2191" priority="5" operator="containsText" text="MC">
      <formula>NOT(ISERROR(SEARCH("MC",AH5)))</formula>
    </cfRule>
    <cfRule type="containsText" dxfId="2190" priority="7" operator="containsText" text="Sick">
      <formula>NOT(ISERROR(SEARCH("Sick",AH5)))</formula>
    </cfRule>
    <cfRule type="containsText" dxfId="2189" priority="8" operator="containsText" text="OFF">
      <formula>NOT(ISERROR(SEARCH("OFF",AH5)))</formula>
    </cfRule>
    <cfRule type="containsText" dxfId="2188" priority="9" operator="containsText" text="AL">
      <formula>NOT(ISERROR(SEARCH("AL",AH5)))</formula>
    </cfRule>
  </conditionalFormatting>
  <pageMargins left="0.7" right="0.7" top="0.75" bottom="0.75" header="0.3" footer="0.3"/>
  <pageSetup paperSize="9" scale="3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35EC-9E00-4BBA-9121-8414C97AD556}">
  <sheetPr>
    <pageSetUpPr fitToPage="1"/>
  </sheetPr>
  <dimension ref="A1:BO4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W13" sqref="W13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52" width="6.5703125" customWidth="1"/>
    <col min="53" max="53" width="5.28515625" style="16" customWidth="1"/>
    <col min="54" max="66" width="5.28515625" customWidth="1"/>
    <col min="67" max="67" width="9.140625" customWidth="1"/>
    <col min="71" max="81" width="6" customWidth="1"/>
  </cols>
  <sheetData>
    <row r="1" spans="1:67" ht="25.5" customHeight="1" x14ac:dyDescent="0.25">
      <c r="A1" s="166" t="s">
        <v>262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8"/>
      <c r="AI1" s="179" t="s">
        <v>262</v>
      </c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1"/>
    </row>
    <row r="2" spans="1:67" ht="22.5" customHeight="1" x14ac:dyDescent="0.25">
      <c r="A2" s="154" t="s">
        <v>182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0" t="s">
        <v>5</v>
      </c>
      <c r="X2" s="150"/>
      <c r="Y2" s="150" t="s">
        <v>6</v>
      </c>
      <c r="Z2" s="150"/>
      <c r="AA2" s="150" t="s">
        <v>7</v>
      </c>
      <c r="AB2" s="150"/>
      <c r="AC2" s="150" t="s">
        <v>1</v>
      </c>
      <c r="AD2" s="150"/>
      <c r="AE2" s="150" t="s">
        <v>2</v>
      </c>
      <c r="AF2" s="150"/>
      <c r="AG2" s="150" t="s">
        <v>3</v>
      </c>
      <c r="AH2" s="150"/>
      <c r="AI2" s="150" t="s">
        <v>4</v>
      </c>
      <c r="AJ2" s="150"/>
      <c r="AK2" s="150" t="s">
        <v>5</v>
      </c>
      <c r="AL2" s="150"/>
      <c r="AM2" s="150" t="s">
        <v>6</v>
      </c>
      <c r="AN2" s="150"/>
      <c r="AO2" s="150" t="s">
        <v>7</v>
      </c>
      <c r="AP2" s="150"/>
      <c r="AQ2" s="150" t="s">
        <v>1</v>
      </c>
      <c r="AR2" s="150"/>
      <c r="AS2" s="150" t="s">
        <v>2</v>
      </c>
      <c r="AT2" s="150"/>
      <c r="AU2" s="150" t="s">
        <v>3</v>
      </c>
      <c r="AV2" s="150"/>
      <c r="AW2" s="150" t="s">
        <v>4</v>
      </c>
      <c r="AX2" s="150"/>
      <c r="AY2" s="150" t="s">
        <v>5</v>
      </c>
      <c r="AZ2" s="150"/>
      <c r="BA2" s="159" t="s">
        <v>8</v>
      </c>
      <c r="BB2" s="169" t="s">
        <v>9</v>
      </c>
      <c r="BC2" s="156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8"/>
    </row>
    <row r="3" spans="1:67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49">
        <v>46152</v>
      </c>
      <c r="X3" s="149"/>
      <c r="Y3" s="149">
        <v>46153</v>
      </c>
      <c r="Z3" s="149"/>
      <c r="AA3" s="149">
        <v>46154</v>
      </c>
      <c r="AB3" s="149"/>
      <c r="AC3" s="149">
        <v>46155</v>
      </c>
      <c r="AD3" s="149"/>
      <c r="AE3" s="149">
        <v>46156</v>
      </c>
      <c r="AF3" s="149"/>
      <c r="AG3" s="149">
        <v>46157</v>
      </c>
      <c r="AH3" s="149"/>
      <c r="AI3" s="149">
        <v>46158</v>
      </c>
      <c r="AJ3" s="149"/>
      <c r="AK3" s="149">
        <v>46159</v>
      </c>
      <c r="AL3" s="149"/>
      <c r="AM3" s="149">
        <v>46160</v>
      </c>
      <c r="AN3" s="149"/>
      <c r="AO3" s="149">
        <v>46161</v>
      </c>
      <c r="AP3" s="149"/>
      <c r="AQ3" s="149">
        <v>46162</v>
      </c>
      <c r="AR3" s="149"/>
      <c r="AS3" s="149">
        <v>46163</v>
      </c>
      <c r="AT3" s="149"/>
      <c r="AU3" s="149">
        <v>46164</v>
      </c>
      <c r="AV3" s="149"/>
      <c r="AW3" s="149">
        <v>46165</v>
      </c>
      <c r="AX3" s="149"/>
      <c r="AY3" s="149">
        <v>46166</v>
      </c>
      <c r="AZ3" s="149"/>
      <c r="BA3" s="159"/>
      <c r="BB3" s="169"/>
      <c r="BC3" s="72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4"/>
    </row>
    <row r="4" spans="1:67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5" t="s">
        <v>13</v>
      </c>
      <c r="R4" s="5" t="s">
        <v>14</v>
      </c>
      <c r="S4" s="5" t="s">
        <v>13</v>
      </c>
      <c r="T4" s="5" t="s">
        <v>14</v>
      </c>
      <c r="U4" s="5" t="s">
        <v>13</v>
      </c>
      <c r="V4" s="5" t="s">
        <v>14</v>
      </c>
      <c r="W4" s="5" t="s">
        <v>13</v>
      </c>
      <c r="X4" s="5" t="s">
        <v>14</v>
      </c>
      <c r="Y4" s="5" t="s">
        <v>13</v>
      </c>
      <c r="Z4" s="5" t="s">
        <v>14</v>
      </c>
      <c r="AA4" s="5" t="s">
        <v>13</v>
      </c>
      <c r="AB4" s="5" t="s">
        <v>14</v>
      </c>
      <c r="AC4" s="5" t="s">
        <v>13</v>
      </c>
      <c r="AD4" s="5" t="s">
        <v>14</v>
      </c>
      <c r="AE4" s="5" t="s">
        <v>13</v>
      </c>
      <c r="AF4" s="5" t="s">
        <v>14</v>
      </c>
      <c r="AG4" s="5" t="s">
        <v>13</v>
      </c>
      <c r="AH4" s="5" t="s">
        <v>14</v>
      </c>
      <c r="AI4" s="5" t="s">
        <v>13</v>
      </c>
      <c r="AJ4" s="5" t="s">
        <v>14</v>
      </c>
      <c r="AK4" s="5" t="s">
        <v>13</v>
      </c>
      <c r="AL4" s="5" t="s">
        <v>14</v>
      </c>
      <c r="AM4" s="5" t="s">
        <v>13</v>
      </c>
      <c r="AN4" s="5" t="s">
        <v>14</v>
      </c>
      <c r="AO4" s="5" t="s">
        <v>13</v>
      </c>
      <c r="AP4" s="5" t="s">
        <v>14</v>
      </c>
      <c r="AQ4" s="5" t="s">
        <v>13</v>
      </c>
      <c r="AR4" s="5" t="s">
        <v>14</v>
      </c>
      <c r="AS4" s="5" t="s">
        <v>13</v>
      </c>
      <c r="AT4" s="5" t="s">
        <v>14</v>
      </c>
      <c r="AU4" s="5" t="s">
        <v>13</v>
      </c>
      <c r="AV4" s="5" t="s">
        <v>14</v>
      </c>
      <c r="AW4" s="5" t="s">
        <v>13</v>
      </c>
      <c r="AX4" s="5" t="s">
        <v>14</v>
      </c>
      <c r="AY4" s="5" t="s">
        <v>13</v>
      </c>
      <c r="AZ4" s="5" t="s">
        <v>14</v>
      </c>
      <c r="BA4" s="159"/>
      <c r="BB4" s="170"/>
      <c r="BC4" s="66"/>
      <c r="BD4" s="120" t="s">
        <v>15</v>
      </c>
      <c r="BE4" s="118" t="s">
        <v>16</v>
      </c>
      <c r="BF4" s="118" t="s">
        <v>17</v>
      </c>
      <c r="BG4" s="115" t="s">
        <v>18</v>
      </c>
      <c r="BH4" s="118" t="s">
        <v>19</v>
      </c>
      <c r="BI4" s="118" t="s">
        <v>20</v>
      </c>
      <c r="BJ4" s="90" t="s">
        <v>183</v>
      </c>
      <c r="BK4" s="67" t="s">
        <v>22</v>
      </c>
      <c r="BL4" s="91" t="s">
        <v>23</v>
      </c>
      <c r="BM4" s="91" t="s">
        <v>24</v>
      </c>
      <c r="BN4" s="91" t="s">
        <v>25</v>
      </c>
      <c r="BO4" s="68" t="s">
        <v>26</v>
      </c>
    </row>
    <row r="5" spans="1:67" s="89" customFormat="1" ht="21.75" customHeight="1" x14ac:dyDescent="0.25">
      <c r="A5" s="123">
        <v>1</v>
      </c>
      <c r="B5" s="12" t="s">
        <v>119</v>
      </c>
      <c r="C5" s="98" t="s">
        <v>240</v>
      </c>
      <c r="D5" s="136">
        <v>45648</v>
      </c>
      <c r="E5" s="120" t="s">
        <v>15</v>
      </c>
      <c r="F5" s="120" t="s">
        <v>15</v>
      </c>
      <c r="G5" s="90">
        <v>0.34652777777777777</v>
      </c>
      <c r="H5" s="91">
        <v>1</v>
      </c>
      <c r="I5" s="90">
        <v>0.35069444444444442</v>
      </c>
      <c r="J5" s="90">
        <v>0.94097222222222221</v>
      </c>
      <c r="K5" s="90">
        <v>0.3520833333333333</v>
      </c>
      <c r="L5" s="90">
        <v>0.9590277777777777</v>
      </c>
      <c r="M5" s="90">
        <v>0.3520833333333333</v>
      </c>
      <c r="N5" s="90">
        <v>0.95624999999999993</v>
      </c>
      <c r="O5" s="90">
        <v>0.35000000000000003</v>
      </c>
      <c r="P5" s="90">
        <v>0.96250000000000002</v>
      </c>
      <c r="Q5" s="90">
        <v>0.35069444444444442</v>
      </c>
      <c r="R5" s="90">
        <v>0.94027777777777777</v>
      </c>
      <c r="S5" s="126">
        <v>0.55902777777777779</v>
      </c>
      <c r="T5" s="126">
        <v>0.93541666666666667</v>
      </c>
      <c r="U5" s="90">
        <v>0.34791666666666665</v>
      </c>
      <c r="V5" s="90">
        <v>0.94166666666666676</v>
      </c>
      <c r="W5" s="90">
        <v>0.34930555555555554</v>
      </c>
      <c r="X5" s="90">
        <v>0.94444444444444453</v>
      </c>
      <c r="Y5" s="90">
        <v>0.35069444444444442</v>
      </c>
      <c r="Z5" s="90">
        <v>0.94097222222222221</v>
      </c>
      <c r="AA5" s="90">
        <v>0.35069444444444442</v>
      </c>
      <c r="AB5" s="90">
        <v>0.94027777777777777</v>
      </c>
      <c r="AC5" s="90">
        <v>0.34861111111111115</v>
      </c>
      <c r="AD5" s="90">
        <v>0.8881944444444444</v>
      </c>
      <c r="AE5" s="90">
        <v>0.34930555555555554</v>
      </c>
      <c r="AF5" s="90">
        <v>0.95694444444444438</v>
      </c>
      <c r="AG5" s="120" t="s">
        <v>15</v>
      </c>
      <c r="AH5" s="120" t="s">
        <v>15</v>
      </c>
      <c r="AI5" s="90">
        <v>0.35069444444444442</v>
      </c>
      <c r="AJ5" s="90">
        <v>0.95138888888888884</v>
      </c>
      <c r="AK5" s="90">
        <v>0.34930555555555554</v>
      </c>
      <c r="AL5" s="90">
        <v>0.93888888888888899</v>
      </c>
      <c r="AM5" s="90">
        <v>0.35138888888888892</v>
      </c>
      <c r="AN5" s="90">
        <v>0.93888888888888899</v>
      </c>
      <c r="AO5" s="90">
        <v>0.35069444444444442</v>
      </c>
      <c r="AP5" s="90">
        <v>0.93888888888888899</v>
      </c>
      <c r="AQ5" s="90">
        <v>0.3527777777777778</v>
      </c>
      <c r="AR5" s="90">
        <v>0.95138888888888884</v>
      </c>
      <c r="AS5" s="90">
        <v>0.35000000000000003</v>
      </c>
      <c r="AT5" s="130">
        <v>1</v>
      </c>
      <c r="AU5" s="128">
        <v>1</v>
      </c>
      <c r="AV5" s="128">
        <v>1</v>
      </c>
      <c r="AW5" s="130">
        <v>1</v>
      </c>
      <c r="AX5" s="130">
        <v>1</v>
      </c>
      <c r="AY5" s="130">
        <v>1</v>
      </c>
      <c r="AZ5" s="130">
        <v>1</v>
      </c>
      <c r="BA5" s="131">
        <f t="shared" ref="BA5" si="0">BC5+BD5+BF5+BG5+BK5+BI5+BJ5+BN5</f>
        <v>24</v>
      </c>
      <c r="BB5" s="81">
        <v>2</v>
      </c>
      <c r="BC5" s="132">
        <f>COUNT(E5:AZ5)/2+COUNT(#REF!)/2</f>
        <v>22</v>
      </c>
      <c r="BD5" s="133">
        <f>COUNTIF(E5:AZ5,"OFF")/2</f>
        <v>2</v>
      </c>
      <c r="BE5" s="133">
        <f>COUNTIF(E5:AZ5,"MC")/2</f>
        <v>0</v>
      </c>
      <c r="BF5" s="133">
        <f>COUNTIF(E5:AZ5,"EL")/2</f>
        <v>0</v>
      </c>
      <c r="BG5" s="133">
        <f>COUNTIF(E5:AZ5,"AL")/2</f>
        <v>0</v>
      </c>
      <c r="BH5" s="133">
        <f>COUNTIF(E5:AZ5,"SUS")/2</f>
        <v>0</v>
      </c>
      <c r="BI5" s="133">
        <f>COUNTIF(E5:AZ5,"FL")/2</f>
        <v>0</v>
      </c>
      <c r="BJ5" s="133">
        <f>COUNTIF(E5:AZ5,"SICK")/2</f>
        <v>0</v>
      </c>
      <c r="BK5" s="133">
        <f>COUNTIF(E5:AZ5,"HD")/2</f>
        <v>0</v>
      </c>
      <c r="BL5" s="133">
        <f>COUNTIF(E5:AZ5,"AB")/2</f>
        <v>0</v>
      </c>
      <c r="BM5" s="133">
        <f>COUNTIF(E5:AZ5,"NL")/2</f>
        <v>0</v>
      </c>
      <c r="BN5" s="133">
        <f>COUNTIF(E5:AZ5,"SP")/2</f>
        <v>0</v>
      </c>
      <c r="BO5" s="134"/>
    </row>
    <row r="7" spans="1:67" ht="15.75" x14ac:dyDescent="0.25">
      <c r="F7" s="129" t="s">
        <v>255</v>
      </c>
      <c r="G7" s="129"/>
      <c r="H7" s="129" t="s">
        <v>275</v>
      </c>
      <c r="I7" s="129"/>
      <c r="J7" s="129"/>
      <c r="K7" s="129"/>
      <c r="L7" s="129"/>
      <c r="M7" s="129"/>
      <c r="N7" s="108"/>
      <c r="O7" s="108"/>
      <c r="P7" s="108"/>
    </row>
    <row r="8" spans="1:67" ht="15.75" x14ac:dyDescent="0.25">
      <c r="F8" s="129" t="s">
        <v>256</v>
      </c>
      <c r="G8" s="129"/>
      <c r="H8" s="129" t="s">
        <v>276</v>
      </c>
      <c r="I8" s="129"/>
      <c r="J8" s="129"/>
      <c r="K8" s="129"/>
      <c r="L8" s="129"/>
      <c r="M8" s="129"/>
      <c r="N8" s="108"/>
      <c r="O8" s="108"/>
      <c r="P8" s="108"/>
      <c r="BC8" s="36" t="s">
        <v>73</v>
      </c>
      <c r="BD8" s="37"/>
      <c r="BE8" s="37"/>
      <c r="BF8" s="38" t="s">
        <v>16</v>
      </c>
      <c r="BG8" s="39"/>
      <c r="BH8" s="44" t="s">
        <v>74</v>
      </c>
      <c r="BI8" s="45"/>
      <c r="BJ8" s="45"/>
      <c r="BK8" s="42"/>
      <c r="BL8" s="43" t="s">
        <v>22</v>
      </c>
    </row>
    <row r="9" spans="1:67" x14ac:dyDescent="0.25">
      <c r="BC9" s="36" t="s">
        <v>75</v>
      </c>
      <c r="BD9" s="37"/>
      <c r="BE9" s="37"/>
      <c r="BF9" s="38" t="s">
        <v>17</v>
      </c>
      <c r="BG9" s="39"/>
      <c r="BH9" s="44" t="s">
        <v>76</v>
      </c>
      <c r="BI9" s="45"/>
      <c r="BJ9" s="45"/>
      <c r="BK9" s="42"/>
      <c r="BL9" s="43" t="s">
        <v>23</v>
      </c>
    </row>
    <row r="10" spans="1:67" x14ac:dyDescent="0.25">
      <c r="BC10" s="36" t="s">
        <v>77</v>
      </c>
      <c r="BD10" s="37"/>
      <c r="BE10" s="37"/>
      <c r="BF10" s="38" t="s">
        <v>18</v>
      </c>
      <c r="BG10" s="39"/>
      <c r="BH10" s="40" t="s">
        <v>78</v>
      </c>
      <c r="BI10" s="41"/>
      <c r="BJ10" s="41"/>
      <c r="BK10" s="42"/>
      <c r="BL10" s="43" t="s">
        <v>24</v>
      </c>
    </row>
    <row r="11" spans="1:67" x14ac:dyDescent="0.25">
      <c r="BC11" s="36" t="s">
        <v>79</v>
      </c>
      <c r="BD11" s="37"/>
      <c r="BE11" s="37"/>
      <c r="BF11" s="38" t="s">
        <v>19</v>
      </c>
      <c r="BG11" s="39"/>
      <c r="BH11" s="40" t="s">
        <v>80</v>
      </c>
      <c r="BI11" s="41"/>
      <c r="BJ11" s="41"/>
      <c r="BK11" s="42"/>
      <c r="BL11" s="43" t="s">
        <v>25</v>
      </c>
    </row>
    <row r="12" spans="1:67" ht="15.75" x14ac:dyDescent="0.25">
      <c r="G12" s="17"/>
      <c r="H12" s="18" t="s">
        <v>63</v>
      </c>
      <c r="I12" s="19"/>
      <c r="J12" s="20"/>
      <c r="M12" s="20"/>
      <c r="P12" s="22"/>
      <c r="Q12" s="23" t="s">
        <v>64</v>
      </c>
      <c r="R12" s="23"/>
      <c r="X12" s="21"/>
      <c r="Y12" s="23" t="s">
        <v>66</v>
      </c>
      <c r="Z12" s="21"/>
      <c r="BC12" s="36" t="s">
        <v>81</v>
      </c>
      <c r="BD12" s="37"/>
      <c r="BE12" s="37"/>
      <c r="BF12" s="38" t="s">
        <v>20</v>
      </c>
      <c r="BG12" s="39"/>
      <c r="BH12" s="39"/>
      <c r="BI12" s="39"/>
      <c r="BJ12" s="39"/>
      <c r="BK12" s="39"/>
      <c r="BL12" s="39"/>
    </row>
    <row r="13" spans="1:67" ht="17.25" x14ac:dyDescent="0.25">
      <c r="G13" s="24"/>
      <c r="H13" s="20"/>
      <c r="I13" s="20"/>
      <c r="J13" s="20"/>
      <c r="M13" s="20"/>
      <c r="P13" s="25"/>
      <c r="Q13" s="25"/>
      <c r="R13" s="20"/>
      <c r="X13" s="26"/>
      <c r="Y13" s="27"/>
      <c r="Z13" s="27"/>
    </row>
    <row r="14" spans="1:67" ht="17.25" x14ac:dyDescent="0.25">
      <c r="G14" s="24"/>
      <c r="H14" s="28"/>
      <c r="I14" s="20"/>
      <c r="J14" s="20"/>
      <c r="M14" s="20"/>
      <c r="P14" s="29"/>
      <c r="Q14" s="25"/>
      <c r="R14" s="20"/>
      <c r="X14" s="20"/>
      <c r="Y14" s="30"/>
      <c r="Z14" s="30"/>
    </row>
    <row r="15" spans="1:67" ht="17.25" x14ac:dyDescent="0.25">
      <c r="G15" s="31"/>
      <c r="H15" s="28"/>
      <c r="I15" s="20"/>
      <c r="J15" s="20"/>
      <c r="M15" s="20"/>
      <c r="P15" s="29"/>
      <c r="Q15" s="25"/>
      <c r="R15" s="21"/>
      <c r="X15" s="20"/>
      <c r="Y15" s="30"/>
      <c r="Z15" s="30"/>
    </row>
    <row r="16" spans="1:67" ht="17.25" x14ac:dyDescent="0.25">
      <c r="G16" s="140" t="s">
        <v>67</v>
      </c>
      <c r="H16" s="33"/>
      <c r="I16" s="17"/>
      <c r="J16" s="141"/>
      <c r="M16" s="141"/>
      <c r="P16" s="142"/>
      <c r="Q16" s="143" t="s">
        <v>68</v>
      </c>
      <c r="R16" s="141"/>
      <c r="X16" s="141"/>
      <c r="Y16" s="143" t="s">
        <v>69</v>
      </c>
      <c r="Z16" s="144"/>
    </row>
    <row r="17" spans="7:65" ht="17.25" x14ac:dyDescent="0.25">
      <c r="G17" s="140" t="s">
        <v>259</v>
      </c>
      <c r="H17" s="140"/>
      <c r="I17" s="145"/>
      <c r="J17" s="141"/>
      <c r="M17" s="141"/>
      <c r="P17" s="146"/>
      <c r="Q17" s="143" t="s">
        <v>71</v>
      </c>
      <c r="R17" s="143"/>
      <c r="X17" s="141"/>
      <c r="Y17" s="143" t="s">
        <v>72</v>
      </c>
      <c r="Z17" s="144"/>
    </row>
    <row r="18" spans="7:65" x14ac:dyDescent="0.25">
      <c r="G18" s="16"/>
    </row>
    <row r="19" spans="7:65" x14ac:dyDescent="0.25">
      <c r="BD19" s="39"/>
      <c r="BE19" s="39"/>
      <c r="BF19" s="39"/>
      <c r="BG19" s="39"/>
      <c r="BH19" s="39"/>
      <c r="BI19" s="39"/>
      <c r="BJ19" s="39"/>
      <c r="BK19" s="39"/>
      <c r="BL19" s="39"/>
      <c r="BM19" s="39"/>
    </row>
    <row r="27" spans="7:65" ht="24.75" customHeight="1" x14ac:dyDescent="0.25"/>
    <row r="29" spans="7:65" ht="21.75" customHeight="1" x14ac:dyDescent="0.25"/>
    <row r="30" spans="7:65" ht="21.75" customHeight="1" x14ac:dyDescent="0.25"/>
    <row r="31" spans="7:65" ht="21.75" customHeight="1" x14ac:dyDescent="0.25"/>
    <row r="32" spans="7:65" ht="21" customHeight="1" x14ac:dyDescent="0.25"/>
    <row r="33" spans="53:53" ht="21" customHeight="1" x14ac:dyDescent="0.25"/>
    <row r="34" spans="53:53" ht="21" customHeight="1" x14ac:dyDescent="0.25">
      <c r="BA34"/>
    </row>
    <row r="35" spans="53:53" ht="21.75" customHeight="1" x14ac:dyDescent="0.25">
      <c r="BA35"/>
    </row>
    <row r="36" spans="53:53" ht="21.75" customHeight="1" x14ac:dyDescent="0.25">
      <c r="BA36"/>
    </row>
    <row r="37" spans="53:53" ht="21.75" customHeight="1" x14ac:dyDescent="0.25">
      <c r="BA37"/>
    </row>
    <row r="38" spans="53:53" ht="21.75" customHeight="1" x14ac:dyDescent="0.25">
      <c r="BA38"/>
    </row>
    <row r="39" spans="53:53" x14ac:dyDescent="0.25">
      <c r="BA39"/>
    </row>
    <row r="40" spans="53:53" x14ac:dyDescent="0.25">
      <c r="BA40"/>
    </row>
    <row r="41" spans="53:53" x14ac:dyDescent="0.25">
      <c r="BA41"/>
    </row>
    <row r="42" spans="53:53" x14ac:dyDescent="0.25">
      <c r="BA42"/>
    </row>
    <row r="43" spans="53:53" x14ac:dyDescent="0.25">
      <c r="BA43"/>
    </row>
    <row r="44" spans="53:53" x14ac:dyDescent="0.25">
      <c r="BA44"/>
    </row>
    <row r="45" spans="53:53" x14ac:dyDescent="0.25">
      <c r="BA45"/>
    </row>
    <row r="46" spans="53:53" x14ac:dyDescent="0.25">
      <c r="BA46"/>
    </row>
    <row r="47" spans="53:53" x14ac:dyDescent="0.25">
      <c r="BA47"/>
    </row>
  </sheetData>
  <mergeCells count="54">
    <mergeCell ref="A1:AH1"/>
    <mergeCell ref="AI1:BO1"/>
    <mergeCell ref="AY3:AZ3"/>
    <mergeCell ref="AY2:AZ2"/>
    <mergeCell ref="AW3:AX3"/>
    <mergeCell ref="AW2:AX2"/>
    <mergeCell ref="AU3:AV3"/>
    <mergeCell ref="AU2:AV2"/>
    <mergeCell ref="AS3:AT3"/>
    <mergeCell ref="AS2:AT2"/>
    <mergeCell ref="AQ3:AR3"/>
    <mergeCell ref="U3:V3"/>
    <mergeCell ref="W3:X3"/>
    <mergeCell ref="Y3:Z3"/>
    <mergeCell ref="AA3:AB3"/>
    <mergeCell ref="AC3:AD3"/>
    <mergeCell ref="AE3:AF3"/>
    <mergeCell ref="BB2:BB4"/>
    <mergeCell ref="AK3:AL3"/>
    <mergeCell ref="AM3:AN3"/>
    <mergeCell ref="AE2:AF2"/>
    <mergeCell ref="AQ2:AR2"/>
    <mergeCell ref="AO3:AP3"/>
    <mergeCell ref="AO2:AP2"/>
    <mergeCell ref="BC2:BO2"/>
    <mergeCell ref="E3:F3"/>
    <mergeCell ref="G3:H3"/>
    <mergeCell ref="I3:J3"/>
    <mergeCell ref="K3:L3"/>
    <mergeCell ref="M3:N3"/>
    <mergeCell ref="O3:P3"/>
    <mergeCell ref="Q3:R3"/>
    <mergeCell ref="S3:T3"/>
    <mergeCell ref="AG2:AH2"/>
    <mergeCell ref="AI2:AJ2"/>
    <mergeCell ref="AK2:AL2"/>
    <mergeCell ref="AM2:AN2"/>
    <mergeCell ref="BA2:BA4"/>
    <mergeCell ref="AG3:AH3"/>
    <mergeCell ref="AI3:AJ3"/>
    <mergeCell ref="U2:V2"/>
    <mergeCell ref="W2:X2"/>
    <mergeCell ref="Y2:Z2"/>
    <mergeCell ref="AA2:AB2"/>
    <mergeCell ref="AC2:AD2"/>
    <mergeCell ref="M2:N2"/>
    <mergeCell ref="O2:P2"/>
    <mergeCell ref="Q2:R2"/>
    <mergeCell ref="S2:T2"/>
    <mergeCell ref="A2:C3"/>
    <mergeCell ref="E2:F2"/>
    <mergeCell ref="G2:H2"/>
    <mergeCell ref="I2:J2"/>
    <mergeCell ref="K2:L2"/>
  </mergeCells>
  <phoneticPr fontId="11" type="noConversion"/>
  <conditionalFormatting sqref="BA2:BA3 A2:D3 A5 BA5 A1 A4:BA4 AI1">
    <cfRule type="containsText" dxfId="2187" priority="143" stopIfTrue="1" operator="containsText" text="SP">
      <formula>NOT(ISERROR(SEARCH("SP",A1)))</formula>
    </cfRule>
  </conditionalFormatting>
  <conditionalFormatting sqref="BA2:BA3 A2:D3 A5 BA5 A1 A4:BA4 AI1">
    <cfRule type="containsText" dxfId="2186" priority="144" stopIfTrue="1" operator="containsText" text="AL">
      <formula>NOT(ISERROR(SEARCH("AL",A1)))</formula>
    </cfRule>
    <cfRule type="containsText" dxfId="2185" priority="145" stopIfTrue="1" operator="containsText" text="EL">
      <formula>NOT(ISERROR(SEARCH("EL",A1)))</formula>
    </cfRule>
    <cfRule type="containsText" dxfId="2184" priority="146" stopIfTrue="1" operator="containsText" text="AB">
      <formula>NOT(ISERROR(SEARCH("AB",A1)))</formula>
    </cfRule>
    <cfRule type="containsText" dxfId="2183" priority="147" stopIfTrue="1" operator="containsText" text="FL">
      <formula>NOT(ISERROR(SEARCH("FL",A1)))</formula>
    </cfRule>
    <cfRule type="containsText" dxfId="2182" priority="148" stopIfTrue="1" operator="containsText" text="SICK">
      <formula>NOT(ISERROR(SEARCH("SICK",A1)))</formula>
    </cfRule>
  </conditionalFormatting>
  <conditionalFormatting sqref="D5">
    <cfRule type="timePeriod" dxfId="2181" priority="139" timePeriod="last7Days">
      <formula>AND(TODAY()-FLOOR(D5,1)&lt;=6,FLOOR(D5,1)&lt;=TODAY())</formula>
    </cfRule>
    <cfRule type="timePeriod" dxfId="2180" priority="140" timePeriod="thisWeek">
      <formula>AND(TODAY()-ROUNDDOWN(D5,0)&lt;=WEEKDAY(TODAY())-1,ROUNDDOWN(D5,0)-TODAY()&lt;=7-WEEKDAY(TODAY()))</formula>
    </cfRule>
    <cfRule type="timePeriod" priority="141" timePeriod="nextWeek">
      <formula>AND(ROUNDDOWN(D5,0)-TODAY()&gt;(7-WEEKDAY(TODAY())),ROUNDDOWN(D5,0)-TODAY()&lt;(15-WEEKDAY(TODAY())))</formula>
    </cfRule>
    <cfRule type="timePeriod" dxfId="2179" priority="142" timePeriod="nextWeek">
      <formula>AND(ROUNDDOWN(D5,0)-TODAY()&gt;(7-WEEKDAY(TODAY())),ROUNDDOWN(D5,0)-TODAY()&lt;(15-WEEKDAY(TODAY())))</formula>
    </cfRule>
  </conditionalFormatting>
  <conditionalFormatting sqref="M12:M15 P12:R15">
    <cfRule type="containsText" dxfId="2178" priority="149" stopIfTrue="1" operator="containsText" text="AB">
      <formula>NOT(ISERROR(SEARCH("AB",M12)))</formula>
    </cfRule>
    <cfRule type="containsText" dxfId="2177" priority="150" stopIfTrue="1" operator="containsText" text="SICK">
      <formula>NOT(ISERROR(SEARCH("SICK",M12)))</formula>
    </cfRule>
    <cfRule type="containsText" dxfId="2176" priority="151" stopIfTrue="1" operator="containsText" text="SP">
      <formula>NOT(ISERROR(SEARCH("SP",M12)))</formula>
    </cfRule>
    <cfRule type="containsText" priority="152" stopIfTrue="1" operator="containsText" text="SP">
      <formula>NOT(ISERROR(SEARCH("SP",M12)))</formula>
    </cfRule>
    <cfRule type="containsText" dxfId="2175" priority="153" stopIfTrue="1" operator="containsText" text="SICK">
      <formula>NOT(ISERROR(SEARCH("SICK",M12)))</formula>
    </cfRule>
  </conditionalFormatting>
  <conditionalFormatting sqref="BB5">
    <cfRule type="cellIs" dxfId="2174" priority="155" stopIfTrue="1" operator="equal">
      <formula>";"</formula>
    </cfRule>
  </conditionalFormatting>
  <conditionalFormatting sqref="BB2">
    <cfRule type="cellIs" dxfId="2173" priority="154" operator="equal">
      <formula>";"</formula>
    </cfRule>
  </conditionalFormatting>
  <conditionalFormatting sqref="BG4">
    <cfRule type="containsText" dxfId="2172" priority="130" operator="containsText" text="EL">
      <formula>NOT(ISERROR(SEARCH("EL",BG4)))</formula>
    </cfRule>
    <cfRule type="containsText" dxfId="2171" priority="131" operator="containsText" text="AB">
      <formula>NOT(ISERROR(SEARCH("AB",BG4)))</formula>
    </cfRule>
    <cfRule type="containsText" dxfId="2170" priority="132" operator="containsText" text="SUS">
      <formula>NOT(ISERROR(SEARCH("SUS",BG4)))</formula>
    </cfRule>
    <cfRule type="containsText" dxfId="2169" priority="133" operator="containsText" text="FL">
      <formula>NOT(ISERROR(SEARCH("FL",BG4)))</formula>
    </cfRule>
    <cfRule type="containsText" dxfId="2168" priority="134" operator="containsText" text="MC">
      <formula>NOT(ISERROR(SEARCH("MC",BG4)))</formula>
    </cfRule>
    <cfRule type="containsText" dxfId="2167" priority="135" operator="containsText" text="AB">
      <formula>NOT(ISERROR(SEARCH("AB",BG4)))</formula>
    </cfRule>
    <cfRule type="containsText" dxfId="2166" priority="136" operator="containsText" text="Sick">
      <formula>NOT(ISERROR(SEARCH("Sick",BG4)))</formula>
    </cfRule>
    <cfRule type="containsText" dxfId="2165" priority="137" operator="containsText" text="OFF">
      <formula>NOT(ISERROR(SEARCH("OFF",BG4)))</formula>
    </cfRule>
    <cfRule type="containsText" dxfId="2164" priority="138" operator="containsText" text="AL">
      <formula>NOT(ISERROR(SEARCH("AL",BG4)))</formula>
    </cfRule>
  </conditionalFormatting>
  <conditionalFormatting sqref="BD4">
    <cfRule type="containsText" dxfId="2163" priority="121" operator="containsText" text="EL">
      <formula>NOT(ISERROR(SEARCH("EL",BD4)))</formula>
    </cfRule>
    <cfRule type="containsText" dxfId="2162" priority="122" operator="containsText" text="AB">
      <formula>NOT(ISERROR(SEARCH("AB",BD4)))</formula>
    </cfRule>
    <cfRule type="containsText" dxfId="2161" priority="123" operator="containsText" text="SUS">
      <formula>NOT(ISERROR(SEARCH("SUS",BD4)))</formula>
    </cfRule>
    <cfRule type="containsText" dxfId="2160" priority="124" operator="containsText" text="FL">
      <formula>NOT(ISERROR(SEARCH("FL",BD4)))</formula>
    </cfRule>
    <cfRule type="containsText" dxfId="2159" priority="125" operator="containsText" text="MC">
      <formula>NOT(ISERROR(SEARCH("MC",BD4)))</formula>
    </cfRule>
    <cfRule type="containsText" dxfId="2158" priority="126" operator="containsText" text="AB">
      <formula>NOT(ISERROR(SEARCH("AB",BD4)))</formula>
    </cfRule>
    <cfRule type="containsText" dxfId="2157" priority="127" operator="containsText" text="Sick">
      <formula>NOT(ISERROR(SEARCH("Sick",BD4)))</formula>
    </cfRule>
    <cfRule type="containsText" dxfId="2156" priority="128" operator="containsText" text="OFF">
      <formula>NOT(ISERROR(SEARCH("OFF",BD4)))</formula>
    </cfRule>
    <cfRule type="containsText" dxfId="2155" priority="129" operator="containsText" text="AL">
      <formula>NOT(ISERROR(SEARCH("AL",BD4)))</formula>
    </cfRule>
  </conditionalFormatting>
  <conditionalFormatting sqref="BJ4">
    <cfRule type="containsText" dxfId="2154" priority="111" operator="containsText" text="SP">
      <formula>NOT(ISERROR(SEARCH("SP",BJ4)))</formula>
    </cfRule>
    <cfRule type="containsText" dxfId="2153" priority="112" operator="containsText" text="NL">
      <formula>NOT(ISERROR(SEARCH("NL",BJ4)))</formula>
    </cfRule>
    <cfRule type="containsText" dxfId="2152" priority="113" operator="containsText" text="SUS">
      <formula>NOT(ISERROR(SEARCH("SUS",BJ4)))</formula>
    </cfRule>
    <cfRule type="containsText" dxfId="2151" priority="114" operator="containsText" text="FL">
      <formula>NOT(ISERROR(SEARCH("FL",BJ4)))</formula>
    </cfRule>
    <cfRule type="containsText" dxfId="2150" priority="115" operator="containsText" text="EL">
      <formula>NOT(ISERROR(SEARCH("EL",BJ4)))</formula>
    </cfRule>
    <cfRule type="containsText" dxfId="2149" priority="116" operator="containsText" text="MC">
      <formula>NOT(ISERROR(SEARCH("MC",BJ4)))</formula>
    </cfRule>
    <cfRule type="containsText" dxfId="2148" priority="117" operator="containsText" text="OFF">
      <formula>NOT(ISERROR(SEARCH("OFF",BJ4)))</formula>
    </cfRule>
    <cfRule type="containsText" dxfId="2147" priority="118" operator="containsText" text="AB">
      <formula>NOT(ISERROR(SEARCH("AB",BJ4)))</formula>
    </cfRule>
    <cfRule type="containsText" dxfId="2146" priority="119" operator="containsText" text="SICK">
      <formula>NOT(ISERROR(SEARCH("SICK",BJ4)))</formula>
    </cfRule>
    <cfRule type="containsText" dxfId="2145" priority="120" operator="containsText" text="AL">
      <formula>NOT(ISERROR(SEARCH("AL",BJ4)))</formula>
    </cfRule>
  </conditionalFormatting>
  <conditionalFormatting sqref="BL4">
    <cfRule type="containsText" dxfId="2144" priority="101" operator="containsText" text="SP">
      <formula>NOT(ISERROR(SEARCH("SP",BL4)))</formula>
    </cfRule>
    <cfRule type="containsText" dxfId="2143" priority="102" operator="containsText" text="NL">
      <formula>NOT(ISERROR(SEARCH("NL",BL4)))</formula>
    </cfRule>
    <cfRule type="containsText" dxfId="2142" priority="103" operator="containsText" text="SUS">
      <formula>NOT(ISERROR(SEARCH("SUS",BL4)))</formula>
    </cfRule>
    <cfRule type="containsText" dxfId="2141" priority="104" operator="containsText" text="FL">
      <formula>NOT(ISERROR(SEARCH("FL",BL4)))</formula>
    </cfRule>
    <cfRule type="containsText" dxfId="2140" priority="105" operator="containsText" text="EL">
      <formula>NOT(ISERROR(SEARCH("EL",BL4)))</formula>
    </cfRule>
    <cfRule type="containsText" dxfId="2139" priority="106" operator="containsText" text="MC">
      <formula>NOT(ISERROR(SEARCH("MC",BL4)))</formula>
    </cfRule>
    <cfRule type="containsText" dxfId="2138" priority="107" operator="containsText" text="OFF">
      <formula>NOT(ISERROR(SEARCH("OFF",BL4)))</formula>
    </cfRule>
    <cfRule type="containsText" dxfId="2137" priority="108" operator="containsText" text="AB">
      <formula>NOT(ISERROR(SEARCH("AB",BL4)))</formula>
    </cfRule>
    <cfRule type="containsText" dxfId="2136" priority="109" operator="containsText" text="SICK">
      <formula>NOT(ISERROR(SEARCH("SICK",BL4)))</formula>
    </cfRule>
    <cfRule type="containsText" dxfId="2135" priority="110" operator="containsText" text="AL">
      <formula>NOT(ISERROR(SEARCH("AL",BL4)))</formula>
    </cfRule>
  </conditionalFormatting>
  <conditionalFormatting sqref="BN4">
    <cfRule type="containsText" dxfId="2134" priority="91" operator="containsText" text="SP">
      <formula>NOT(ISERROR(SEARCH("SP",BN4)))</formula>
    </cfRule>
    <cfRule type="containsText" dxfId="2133" priority="92" operator="containsText" text="NL">
      <formula>NOT(ISERROR(SEARCH("NL",BN4)))</formula>
    </cfRule>
    <cfRule type="containsText" dxfId="2132" priority="93" operator="containsText" text="SUS">
      <formula>NOT(ISERROR(SEARCH("SUS",BN4)))</formula>
    </cfRule>
    <cfRule type="containsText" dxfId="2131" priority="94" operator="containsText" text="FL">
      <formula>NOT(ISERROR(SEARCH("FL",BN4)))</formula>
    </cfRule>
    <cfRule type="containsText" dxfId="2130" priority="95" operator="containsText" text="EL">
      <formula>NOT(ISERROR(SEARCH("EL",BN4)))</formula>
    </cfRule>
    <cfRule type="containsText" dxfId="2129" priority="96" operator="containsText" text="MC">
      <formula>NOT(ISERROR(SEARCH("MC",BN4)))</formula>
    </cfRule>
    <cfRule type="containsText" dxfId="2128" priority="97" operator="containsText" text="OFF">
      <formula>NOT(ISERROR(SEARCH("OFF",BN4)))</formula>
    </cfRule>
    <cfRule type="containsText" dxfId="2127" priority="98" operator="containsText" text="AB">
      <formula>NOT(ISERROR(SEARCH("AB",BN4)))</formula>
    </cfRule>
    <cfRule type="containsText" dxfId="2126" priority="99" operator="containsText" text="SICK">
      <formula>NOT(ISERROR(SEARCH("SICK",BN4)))</formula>
    </cfRule>
    <cfRule type="containsText" dxfId="2125" priority="100" operator="containsText" text="AL">
      <formula>NOT(ISERROR(SEARCH("AL",BN4)))</formula>
    </cfRule>
  </conditionalFormatting>
  <conditionalFormatting sqref="BM4">
    <cfRule type="containsText" dxfId="2124" priority="81" operator="containsText" text="SP">
      <formula>NOT(ISERROR(SEARCH("SP",BM4)))</formula>
    </cfRule>
    <cfRule type="containsText" dxfId="2123" priority="82" operator="containsText" text="NL">
      <formula>NOT(ISERROR(SEARCH("NL",BM4)))</formula>
    </cfRule>
    <cfRule type="containsText" dxfId="2122" priority="83" operator="containsText" text="SUS">
      <formula>NOT(ISERROR(SEARCH("SUS",BM4)))</formula>
    </cfRule>
    <cfRule type="containsText" dxfId="2121" priority="84" operator="containsText" text="FL">
      <formula>NOT(ISERROR(SEARCH("FL",BM4)))</formula>
    </cfRule>
    <cfRule type="containsText" dxfId="2120" priority="85" operator="containsText" text="EL">
      <formula>NOT(ISERROR(SEARCH("EL",BM4)))</formula>
    </cfRule>
    <cfRule type="containsText" dxfId="2119" priority="86" operator="containsText" text="MC">
      <formula>NOT(ISERROR(SEARCH("MC",BM4)))</formula>
    </cfRule>
    <cfRule type="containsText" dxfId="2118" priority="87" operator="containsText" text="OFF">
      <formula>NOT(ISERROR(SEARCH("OFF",BM4)))</formula>
    </cfRule>
    <cfRule type="containsText" dxfId="2117" priority="88" operator="containsText" text="AB">
      <formula>NOT(ISERROR(SEARCH("AB",BM4)))</formula>
    </cfRule>
    <cfRule type="containsText" dxfId="2116" priority="89" operator="containsText" text="SICK">
      <formula>NOT(ISERROR(SEARCH("SICK",BM4)))</formula>
    </cfRule>
    <cfRule type="containsText" dxfId="2115" priority="90" operator="containsText" text="AL">
      <formula>NOT(ISERROR(SEARCH("AL",BM4)))</formula>
    </cfRule>
  </conditionalFormatting>
  <conditionalFormatting sqref="BI4">
    <cfRule type="containsText" dxfId="2114" priority="72" operator="containsText" text="EL">
      <formula>NOT(ISERROR(SEARCH("EL",BI4)))</formula>
    </cfRule>
    <cfRule type="containsText" dxfId="2113" priority="73" operator="containsText" text="AB">
      <formula>NOT(ISERROR(SEARCH("AB",BI4)))</formula>
    </cfRule>
    <cfRule type="containsText" dxfId="2112" priority="74" operator="containsText" text="SUS">
      <formula>NOT(ISERROR(SEARCH("SUS",BI4)))</formula>
    </cfRule>
    <cfRule type="containsText" dxfId="2111" priority="75" operator="containsText" text="FL">
      <formula>NOT(ISERROR(SEARCH("FL",BI4)))</formula>
    </cfRule>
    <cfRule type="containsText" dxfId="2110" priority="76" operator="containsText" text="MC">
      <formula>NOT(ISERROR(SEARCH("MC",BI4)))</formula>
    </cfRule>
    <cfRule type="containsText" dxfId="2109" priority="77" operator="containsText" text="AB">
      <formula>NOT(ISERROR(SEARCH("AB",BI4)))</formula>
    </cfRule>
    <cfRule type="containsText" dxfId="2108" priority="78" operator="containsText" text="Sick">
      <formula>NOT(ISERROR(SEARCH("Sick",BI4)))</formula>
    </cfRule>
    <cfRule type="containsText" dxfId="2107" priority="79" operator="containsText" text="OFF">
      <formula>NOT(ISERROR(SEARCH("OFF",BI4)))</formula>
    </cfRule>
    <cfRule type="containsText" dxfId="2106" priority="80" operator="containsText" text="AL">
      <formula>NOT(ISERROR(SEARCH("AL",BI4)))</formula>
    </cfRule>
  </conditionalFormatting>
  <conditionalFormatting sqref="BH4">
    <cfRule type="containsText" dxfId="2105" priority="63" operator="containsText" text="EL">
      <formula>NOT(ISERROR(SEARCH("EL",BH4)))</formula>
    </cfRule>
    <cfRule type="containsText" dxfId="2104" priority="64" operator="containsText" text="AB">
      <formula>NOT(ISERROR(SEARCH("AB",BH4)))</formula>
    </cfRule>
    <cfRule type="containsText" dxfId="2103" priority="65" operator="containsText" text="SUS">
      <formula>NOT(ISERROR(SEARCH("SUS",BH4)))</formula>
    </cfRule>
    <cfRule type="containsText" dxfId="2102" priority="66" operator="containsText" text="FL">
      <formula>NOT(ISERROR(SEARCH("FL",BH4)))</formula>
    </cfRule>
    <cfRule type="containsText" dxfId="2101" priority="67" operator="containsText" text="MC">
      <formula>NOT(ISERROR(SEARCH("MC",BH4)))</formula>
    </cfRule>
    <cfRule type="containsText" dxfId="2100" priority="68" operator="containsText" text="AB">
      <formula>NOT(ISERROR(SEARCH("AB",BH4)))</formula>
    </cfRule>
    <cfRule type="containsText" dxfId="2099" priority="69" operator="containsText" text="Sick">
      <formula>NOT(ISERROR(SEARCH("Sick",BH4)))</formula>
    </cfRule>
    <cfRule type="containsText" dxfId="2098" priority="70" operator="containsText" text="OFF">
      <formula>NOT(ISERROR(SEARCH("OFF",BH4)))</formula>
    </cfRule>
    <cfRule type="containsText" dxfId="2097" priority="71" operator="containsText" text="AL">
      <formula>NOT(ISERROR(SEARCH("AL",BH4)))</formula>
    </cfRule>
  </conditionalFormatting>
  <conditionalFormatting sqref="BE4">
    <cfRule type="containsText" dxfId="2096" priority="54" operator="containsText" text="EL">
      <formula>NOT(ISERROR(SEARCH("EL",BE4)))</formula>
    </cfRule>
    <cfRule type="containsText" dxfId="2095" priority="55" operator="containsText" text="AB">
      <formula>NOT(ISERROR(SEARCH("AB",BE4)))</formula>
    </cfRule>
    <cfRule type="containsText" dxfId="2094" priority="56" operator="containsText" text="SUS">
      <formula>NOT(ISERROR(SEARCH("SUS",BE4)))</formula>
    </cfRule>
    <cfRule type="containsText" dxfId="2093" priority="57" operator="containsText" text="FL">
      <formula>NOT(ISERROR(SEARCH("FL",BE4)))</formula>
    </cfRule>
    <cfRule type="containsText" dxfId="2092" priority="58" operator="containsText" text="MC">
      <formula>NOT(ISERROR(SEARCH("MC",BE4)))</formula>
    </cfRule>
    <cfRule type="containsText" dxfId="2091" priority="59" operator="containsText" text="AB">
      <formula>NOT(ISERROR(SEARCH("AB",BE4)))</formula>
    </cfRule>
    <cfRule type="containsText" dxfId="2090" priority="60" operator="containsText" text="Sick">
      <formula>NOT(ISERROR(SEARCH("Sick",BE4)))</formula>
    </cfRule>
    <cfRule type="containsText" dxfId="2089" priority="61" operator="containsText" text="OFF">
      <formula>NOT(ISERROR(SEARCH("OFF",BE4)))</formula>
    </cfRule>
    <cfRule type="containsText" dxfId="2088" priority="62" operator="containsText" text="AL">
      <formula>NOT(ISERROR(SEARCH("AL",BE4)))</formula>
    </cfRule>
  </conditionalFormatting>
  <conditionalFormatting sqref="BF4">
    <cfRule type="containsText" dxfId="2087" priority="45" operator="containsText" text="EL">
      <formula>NOT(ISERROR(SEARCH("EL",BF4)))</formula>
    </cfRule>
    <cfRule type="containsText" dxfId="2086" priority="46" operator="containsText" text="AB">
      <formula>NOT(ISERROR(SEARCH("AB",BF4)))</formula>
    </cfRule>
    <cfRule type="containsText" dxfId="2085" priority="47" operator="containsText" text="SUS">
      <formula>NOT(ISERROR(SEARCH("SUS",BF4)))</formula>
    </cfRule>
    <cfRule type="containsText" dxfId="2084" priority="48" operator="containsText" text="FL">
      <formula>NOT(ISERROR(SEARCH("FL",BF4)))</formula>
    </cfRule>
    <cfRule type="containsText" dxfId="2083" priority="49" operator="containsText" text="MC">
      <formula>NOT(ISERROR(SEARCH("MC",BF4)))</formula>
    </cfRule>
    <cfRule type="containsText" dxfId="2082" priority="50" operator="containsText" text="AB">
      <formula>NOT(ISERROR(SEARCH("AB",BF4)))</formula>
    </cfRule>
    <cfRule type="containsText" dxfId="2081" priority="51" operator="containsText" text="Sick">
      <formula>NOT(ISERROR(SEARCH("Sick",BF4)))</formula>
    </cfRule>
    <cfRule type="containsText" dxfId="2080" priority="52" operator="containsText" text="OFF">
      <formula>NOT(ISERROR(SEARCH("OFF",BF4)))</formula>
    </cfRule>
    <cfRule type="containsText" dxfId="2079" priority="53" operator="containsText" text="AL">
      <formula>NOT(ISERROR(SEARCH("AL",BF4)))</formula>
    </cfRule>
  </conditionalFormatting>
  <conditionalFormatting sqref="C6:C7">
    <cfRule type="duplicateValues" dxfId="2078" priority="156"/>
  </conditionalFormatting>
  <conditionalFormatting sqref="X12:Z17">
    <cfRule type="containsText" dxfId="2077" priority="39" stopIfTrue="1" operator="containsText" text="SP">
      <formula>NOT(ISERROR(SEARCH("SP",X12)))</formula>
    </cfRule>
    <cfRule type="containsText" dxfId="2076" priority="40" stopIfTrue="1" operator="containsText" text="AL">
      <formula>NOT(ISERROR(SEARCH("AL",X12)))</formula>
    </cfRule>
    <cfRule type="containsText" dxfId="2075" priority="41" stopIfTrue="1" operator="containsText" text="EL">
      <formula>NOT(ISERROR(SEARCH("EL",X12)))</formula>
    </cfRule>
    <cfRule type="containsText" dxfId="2074" priority="42" stopIfTrue="1" operator="containsText" text="AB">
      <formula>NOT(ISERROR(SEARCH("AB",X12)))</formula>
    </cfRule>
    <cfRule type="containsText" dxfId="2073" priority="43" stopIfTrue="1" operator="containsText" text="FL">
      <formula>NOT(ISERROR(SEARCH("FL",X12)))</formula>
    </cfRule>
    <cfRule type="containsText" dxfId="2072" priority="44" stopIfTrue="1" operator="containsText" text="SICK">
      <formula>NOT(ISERROR(SEARCH("SICK",X12)))</formula>
    </cfRule>
  </conditionalFormatting>
  <conditionalFormatting sqref="C2:C4 C19:C1048576 H18 C6:C7">
    <cfRule type="duplicateValues" dxfId="2071" priority="157"/>
  </conditionalFormatting>
  <conditionalFormatting sqref="C5">
    <cfRule type="duplicateValues" dxfId="2070" priority="10"/>
  </conditionalFormatting>
  <conditionalFormatting sqref="C5">
    <cfRule type="duplicateValues" dxfId="2069" priority="11"/>
  </conditionalFormatting>
  <conditionalFormatting sqref="E5:F5 AG5:AH5">
    <cfRule type="containsText" dxfId="2068" priority="3" operator="containsText" text="SUS">
      <formula>NOT(ISERROR(SEARCH("SUS",E5)))</formula>
    </cfRule>
    <cfRule type="containsText" dxfId="2067" priority="4" operator="containsText" text="FL">
      <formula>NOT(ISERROR(SEARCH("FL",E5)))</formula>
    </cfRule>
  </conditionalFormatting>
  <conditionalFormatting sqref="E5:F5 AG5:AH5">
    <cfRule type="containsText" dxfId="2066" priority="1" operator="containsText" text="EL">
      <formula>NOT(ISERROR(SEARCH("EL",E5)))</formula>
    </cfRule>
    <cfRule type="containsText" dxfId="2065" priority="2" operator="containsText" text="AB">
      <formula>NOT(ISERROR(SEARCH("AB",E5)))</formula>
    </cfRule>
  </conditionalFormatting>
  <conditionalFormatting sqref="E5:F5 AG5:AH5">
    <cfRule type="containsText" dxfId="2064" priority="5" operator="containsText" text="MC">
      <formula>NOT(ISERROR(SEARCH("MC",E5)))</formula>
    </cfRule>
    <cfRule type="containsText" dxfId="2063" priority="6" operator="containsText" text="AB">
      <formula>NOT(ISERROR(SEARCH("AB",E5)))</formula>
    </cfRule>
    <cfRule type="containsText" dxfId="2062" priority="7" operator="containsText" text="Sick">
      <formula>NOT(ISERROR(SEARCH("Sick",E5)))</formula>
    </cfRule>
    <cfRule type="containsText" dxfId="2061" priority="8" operator="containsText" text="OFF">
      <formula>NOT(ISERROR(SEARCH("OFF",E5)))</formula>
    </cfRule>
    <cfRule type="containsText" dxfId="2060" priority="9" operator="containsText" text="AL">
      <formula>NOT(ISERROR(SEARCH("AL",E5)))</formula>
    </cfRule>
  </conditionalFormatting>
  <pageMargins left="0.7" right="0.7" top="0.75" bottom="0.75" header="0.3" footer="0.3"/>
  <pageSetup paperSize="9" scale="2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D86B-247C-4C78-8287-F5573ED02A5C}">
  <sheetPr>
    <pageSetUpPr fitToPage="1"/>
  </sheetPr>
  <dimension ref="A1:CS3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5" sqref="A5"/>
      <selection pane="bottomRight" activeCell="BW21" sqref="BW21"/>
    </sheetView>
  </sheetViews>
  <sheetFormatPr defaultRowHeight="15" x14ac:dyDescent="0.25"/>
  <cols>
    <col min="1" max="1" width="5.140625" style="47" customWidth="1"/>
    <col min="2" max="2" width="12" style="16" customWidth="1"/>
    <col min="3" max="3" width="33.7109375" customWidth="1"/>
    <col min="4" max="4" width="13.42578125" hidden="1" customWidth="1"/>
    <col min="5" max="34" width="6.5703125" customWidth="1"/>
    <col min="35" max="35" width="5.5703125" customWidth="1"/>
    <col min="36" max="36" width="5.140625" style="64" customWidth="1"/>
    <col min="37" max="68" width="6.5703125" customWidth="1"/>
    <col min="69" max="69" width="5.85546875" style="16" customWidth="1"/>
    <col min="70" max="77" width="5" customWidth="1"/>
    <col min="78" max="78" width="5.85546875" customWidth="1"/>
    <col min="79" max="82" width="5" customWidth="1"/>
    <col min="83" max="83" width="32.28515625" customWidth="1"/>
    <col min="87" max="97" width="6" customWidth="1"/>
  </cols>
  <sheetData>
    <row r="1" spans="1:97" ht="25.5" customHeight="1" x14ac:dyDescent="0.25">
      <c r="A1" s="153" t="s">
        <v>262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89"/>
      <c r="AJ1" s="153" t="s">
        <v>262</v>
      </c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65"/>
      <c r="BS1" s="69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1"/>
    </row>
    <row r="2" spans="1:97" ht="22.5" customHeight="1" x14ac:dyDescent="0.25">
      <c r="A2" s="154" t="s">
        <v>182</v>
      </c>
      <c r="B2" s="154"/>
      <c r="C2" s="154"/>
      <c r="D2" s="109"/>
      <c r="E2" s="150" t="s">
        <v>3</v>
      </c>
      <c r="F2" s="150"/>
      <c r="G2" s="150" t="s">
        <v>4</v>
      </c>
      <c r="H2" s="150"/>
      <c r="I2" s="150" t="s">
        <v>5</v>
      </c>
      <c r="J2" s="150"/>
      <c r="K2" s="150" t="s">
        <v>6</v>
      </c>
      <c r="L2" s="150"/>
      <c r="M2" s="150" t="s">
        <v>7</v>
      </c>
      <c r="N2" s="150"/>
      <c r="O2" s="150" t="s">
        <v>1</v>
      </c>
      <c r="P2" s="150"/>
      <c r="Q2" s="150" t="s">
        <v>2</v>
      </c>
      <c r="R2" s="150"/>
      <c r="S2" s="150" t="s">
        <v>3</v>
      </c>
      <c r="T2" s="150"/>
      <c r="U2" s="150" t="s">
        <v>4</v>
      </c>
      <c r="V2" s="150"/>
      <c r="W2" s="150" t="s">
        <v>5</v>
      </c>
      <c r="X2" s="150"/>
      <c r="Y2" s="150" t="s">
        <v>6</v>
      </c>
      <c r="Z2" s="150"/>
      <c r="AA2" s="150" t="s">
        <v>7</v>
      </c>
      <c r="AB2" s="150"/>
      <c r="AC2" s="150" t="s">
        <v>1</v>
      </c>
      <c r="AD2" s="150"/>
      <c r="AE2" s="150" t="s">
        <v>2</v>
      </c>
      <c r="AF2" s="150"/>
      <c r="AG2" s="150" t="s">
        <v>3</v>
      </c>
      <c r="AH2" s="150"/>
      <c r="AI2" s="92"/>
      <c r="AJ2" s="5"/>
      <c r="AK2" s="150" t="s">
        <v>4</v>
      </c>
      <c r="AL2" s="151"/>
      <c r="AM2" s="150" t="s">
        <v>5</v>
      </c>
      <c r="AN2" s="151"/>
      <c r="AO2" s="150" t="s">
        <v>6</v>
      </c>
      <c r="AP2" s="151"/>
      <c r="AQ2" s="150" t="s">
        <v>7</v>
      </c>
      <c r="AR2" s="151"/>
      <c r="AS2" s="150" t="s">
        <v>1</v>
      </c>
      <c r="AT2" s="151"/>
      <c r="AU2" s="150" t="s">
        <v>2</v>
      </c>
      <c r="AV2" s="151"/>
      <c r="AW2" s="150" t="s">
        <v>3</v>
      </c>
      <c r="AX2" s="151"/>
      <c r="AY2" s="150" t="s">
        <v>4</v>
      </c>
      <c r="AZ2" s="151"/>
      <c r="BA2" s="150" t="s">
        <v>5</v>
      </c>
      <c r="BB2" s="151"/>
      <c r="BC2" s="150" t="s">
        <v>6</v>
      </c>
      <c r="BD2" s="151"/>
      <c r="BE2" s="150" t="s">
        <v>7</v>
      </c>
      <c r="BF2" s="151"/>
      <c r="BG2" s="150" t="s">
        <v>1</v>
      </c>
      <c r="BH2" s="151"/>
      <c r="BI2" s="150" t="s">
        <v>2</v>
      </c>
      <c r="BJ2" s="151"/>
      <c r="BK2" s="150" t="s">
        <v>3</v>
      </c>
      <c r="BL2" s="151"/>
      <c r="BM2" s="150" t="s">
        <v>4</v>
      </c>
      <c r="BN2" s="151"/>
      <c r="BO2" s="150" t="s">
        <v>5</v>
      </c>
      <c r="BP2" s="151"/>
      <c r="BQ2" s="159" t="s">
        <v>8</v>
      </c>
      <c r="BR2" s="169" t="s">
        <v>9</v>
      </c>
      <c r="BS2" s="156"/>
      <c r="BT2" s="157"/>
      <c r="BU2" s="157"/>
      <c r="BV2" s="157"/>
      <c r="BW2" s="157"/>
      <c r="BX2" s="157"/>
      <c r="BY2" s="157"/>
      <c r="BZ2" s="157"/>
      <c r="CA2" s="157"/>
      <c r="CB2" s="157"/>
      <c r="CC2" s="157"/>
      <c r="CD2" s="157"/>
      <c r="CE2" s="158"/>
      <c r="CI2" s="155" t="s">
        <v>203</v>
      </c>
      <c r="CJ2" s="155"/>
      <c r="CK2" s="155"/>
      <c r="CL2" s="155"/>
      <c r="CM2" s="155"/>
      <c r="CN2" s="155"/>
      <c r="CO2" s="155"/>
      <c r="CP2" s="155"/>
      <c r="CQ2" s="155"/>
      <c r="CR2" s="155"/>
      <c r="CS2" s="48"/>
    </row>
    <row r="3" spans="1:97" ht="22.5" customHeight="1" x14ac:dyDescent="0.25">
      <c r="A3" s="154"/>
      <c r="B3" s="154"/>
      <c r="C3" s="154"/>
      <c r="D3" s="109"/>
      <c r="E3" s="149">
        <v>46143</v>
      </c>
      <c r="F3" s="149"/>
      <c r="G3" s="149">
        <v>46144</v>
      </c>
      <c r="H3" s="149"/>
      <c r="I3" s="149">
        <v>46145</v>
      </c>
      <c r="J3" s="149"/>
      <c r="K3" s="149">
        <v>46146</v>
      </c>
      <c r="L3" s="149"/>
      <c r="M3" s="149">
        <v>46147</v>
      </c>
      <c r="N3" s="149"/>
      <c r="O3" s="149">
        <v>46148</v>
      </c>
      <c r="P3" s="149"/>
      <c r="Q3" s="149">
        <v>46149</v>
      </c>
      <c r="R3" s="149"/>
      <c r="S3" s="149">
        <v>46150</v>
      </c>
      <c r="T3" s="149"/>
      <c r="U3" s="149">
        <v>46151</v>
      </c>
      <c r="V3" s="149"/>
      <c r="W3" s="149">
        <v>46152</v>
      </c>
      <c r="X3" s="149"/>
      <c r="Y3" s="149">
        <v>46153</v>
      </c>
      <c r="Z3" s="149"/>
      <c r="AA3" s="149">
        <v>46154</v>
      </c>
      <c r="AB3" s="149"/>
      <c r="AC3" s="149">
        <v>46155</v>
      </c>
      <c r="AD3" s="149"/>
      <c r="AE3" s="149">
        <v>46156</v>
      </c>
      <c r="AF3" s="149"/>
      <c r="AG3" s="149">
        <v>46157</v>
      </c>
      <c r="AH3" s="149"/>
      <c r="AI3" s="93"/>
      <c r="AJ3" s="83"/>
      <c r="AK3" s="149">
        <v>46158</v>
      </c>
      <c r="AL3" s="152"/>
      <c r="AM3" s="149">
        <v>46159</v>
      </c>
      <c r="AN3" s="152"/>
      <c r="AO3" s="149">
        <v>46160</v>
      </c>
      <c r="AP3" s="152"/>
      <c r="AQ3" s="149">
        <v>46161</v>
      </c>
      <c r="AR3" s="152"/>
      <c r="AS3" s="149">
        <v>46162</v>
      </c>
      <c r="AT3" s="152"/>
      <c r="AU3" s="149">
        <v>46163</v>
      </c>
      <c r="AV3" s="152"/>
      <c r="AW3" s="149">
        <v>46164</v>
      </c>
      <c r="AX3" s="152"/>
      <c r="AY3" s="149">
        <v>46165</v>
      </c>
      <c r="AZ3" s="152"/>
      <c r="BA3" s="149">
        <v>46166</v>
      </c>
      <c r="BB3" s="152"/>
      <c r="BC3" s="149">
        <v>46167</v>
      </c>
      <c r="BD3" s="152"/>
      <c r="BE3" s="149">
        <v>46168</v>
      </c>
      <c r="BF3" s="152"/>
      <c r="BG3" s="149">
        <v>46169</v>
      </c>
      <c r="BH3" s="152"/>
      <c r="BI3" s="149">
        <v>46170</v>
      </c>
      <c r="BJ3" s="152"/>
      <c r="BK3" s="149">
        <v>46171</v>
      </c>
      <c r="BL3" s="152"/>
      <c r="BM3" s="149">
        <v>46172</v>
      </c>
      <c r="BN3" s="152"/>
      <c r="BO3" s="149">
        <v>46173</v>
      </c>
      <c r="BP3" s="152"/>
      <c r="BQ3" s="159"/>
      <c r="BR3" s="169"/>
      <c r="BS3" s="72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4"/>
      <c r="CI3" s="61" t="s">
        <v>250</v>
      </c>
      <c r="CJ3" s="61"/>
      <c r="CK3" s="61"/>
      <c r="CL3" s="61"/>
      <c r="CM3" s="61"/>
      <c r="CN3" s="61"/>
      <c r="CO3" s="61"/>
      <c r="CP3" s="61"/>
      <c r="CQ3" s="61"/>
      <c r="CR3" s="61"/>
      <c r="CS3" s="48"/>
    </row>
    <row r="4" spans="1:97" ht="20.25" customHeight="1" x14ac:dyDescent="0.25">
      <c r="A4" s="5" t="s">
        <v>10</v>
      </c>
      <c r="B4" s="5" t="s">
        <v>11</v>
      </c>
      <c r="C4" s="5" t="s">
        <v>12</v>
      </c>
      <c r="D4" s="14"/>
      <c r="E4" s="14" t="s">
        <v>13</v>
      </c>
      <c r="F4" s="14" t="s">
        <v>14</v>
      </c>
      <c r="G4" s="14" t="s">
        <v>13</v>
      </c>
      <c r="H4" s="14" t="s">
        <v>14</v>
      </c>
      <c r="I4" s="14" t="s">
        <v>13</v>
      </c>
      <c r="J4" s="14" t="s">
        <v>14</v>
      </c>
      <c r="K4" s="14" t="s">
        <v>13</v>
      </c>
      <c r="L4" s="14" t="s">
        <v>14</v>
      </c>
      <c r="M4" s="14" t="s">
        <v>13</v>
      </c>
      <c r="N4" s="14" t="s">
        <v>14</v>
      </c>
      <c r="O4" s="14" t="s">
        <v>13</v>
      </c>
      <c r="P4" s="14" t="s">
        <v>14</v>
      </c>
      <c r="Q4" s="5" t="s">
        <v>13</v>
      </c>
      <c r="R4" s="5" t="s">
        <v>14</v>
      </c>
      <c r="S4" s="5" t="s">
        <v>13</v>
      </c>
      <c r="T4" s="5" t="s">
        <v>14</v>
      </c>
      <c r="U4" s="5" t="s">
        <v>13</v>
      </c>
      <c r="V4" s="5" t="s">
        <v>14</v>
      </c>
      <c r="W4" s="5" t="s">
        <v>13</v>
      </c>
      <c r="X4" s="5" t="s">
        <v>14</v>
      </c>
      <c r="Y4" s="5" t="s">
        <v>13</v>
      </c>
      <c r="Z4" s="5" t="s">
        <v>14</v>
      </c>
      <c r="AA4" s="5" t="s">
        <v>13</v>
      </c>
      <c r="AB4" s="5" t="s">
        <v>14</v>
      </c>
      <c r="AC4" s="5" t="s">
        <v>13</v>
      </c>
      <c r="AD4" s="5" t="s">
        <v>14</v>
      </c>
      <c r="AE4" s="5" t="s">
        <v>13</v>
      </c>
      <c r="AF4" s="5" t="s">
        <v>14</v>
      </c>
      <c r="AG4" s="5" t="s">
        <v>13</v>
      </c>
      <c r="AH4" s="5" t="s">
        <v>14</v>
      </c>
      <c r="AJ4" s="5"/>
      <c r="AK4" s="5" t="s">
        <v>13</v>
      </c>
      <c r="AL4" s="5" t="s">
        <v>14</v>
      </c>
      <c r="AM4" s="5" t="s">
        <v>13</v>
      </c>
      <c r="AN4" s="5" t="s">
        <v>14</v>
      </c>
      <c r="AO4" s="5" t="s">
        <v>13</v>
      </c>
      <c r="AP4" s="5" t="s">
        <v>14</v>
      </c>
      <c r="AQ4" s="5" t="s">
        <v>13</v>
      </c>
      <c r="AR4" s="5" t="s">
        <v>14</v>
      </c>
      <c r="AS4" s="5" t="s">
        <v>13</v>
      </c>
      <c r="AT4" s="5" t="s">
        <v>14</v>
      </c>
      <c r="AU4" s="14" t="s">
        <v>13</v>
      </c>
      <c r="AV4" s="14" t="s">
        <v>14</v>
      </c>
      <c r="AW4" s="14" t="s">
        <v>13</v>
      </c>
      <c r="AX4" s="14" t="s">
        <v>14</v>
      </c>
      <c r="AY4" s="14" t="s">
        <v>13</v>
      </c>
      <c r="AZ4" s="14" t="s">
        <v>14</v>
      </c>
      <c r="BA4" s="14" t="s">
        <v>13</v>
      </c>
      <c r="BB4" s="14" t="s">
        <v>14</v>
      </c>
      <c r="BC4" s="14" t="s">
        <v>13</v>
      </c>
      <c r="BD4" s="14" t="s">
        <v>14</v>
      </c>
      <c r="BE4" s="5" t="s">
        <v>13</v>
      </c>
      <c r="BF4" s="5" t="s">
        <v>14</v>
      </c>
      <c r="BG4" s="5" t="s">
        <v>13</v>
      </c>
      <c r="BH4" s="5" t="s">
        <v>14</v>
      </c>
      <c r="BI4" s="5" t="s">
        <v>13</v>
      </c>
      <c r="BJ4" s="5" t="s">
        <v>14</v>
      </c>
      <c r="BK4" s="5" t="s">
        <v>13</v>
      </c>
      <c r="BL4" s="5" t="s">
        <v>14</v>
      </c>
      <c r="BM4" s="5" t="s">
        <v>13</v>
      </c>
      <c r="BN4" s="5" t="s">
        <v>14</v>
      </c>
      <c r="BO4" s="5" t="s">
        <v>13</v>
      </c>
      <c r="BP4" s="5" t="s">
        <v>14</v>
      </c>
      <c r="BQ4" s="159"/>
      <c r="BR4" s="170"/>
      <c r="BS4" s="66"/>
      <c r="BT4" s="120" t="s">
        <v>15</v>
      </c>
      <c r="BU4" s="118" t="s">
        <v>16</v>
      </c>
      <c r="BV4" s="118" t="s">
        <v>17</v>
      </c>
      <c r="BW4" s="115" t="s">
        <v>18</v>
      </c>
      <c r="BX4" s="118" t="s">
        <v>19</v>
      </c>
      <c r="BY4" s="118" t="s">
        <v>20</v>
      </c>
      <c r="BZ4" s="90" t="s">
        <v>183</v>
      </c>
      <c r="CA4" s="67" t="s">
        <v>22</v>
      </c>
      <c r="CB4" s="91" t="s">
        <v>23</v>
      </c>
      <c r="CC4" s="91" t="s">
        <v>24</v>
      </c>
      <c r="CD4" s="91" t="s">
        <v>25</v>
      </c>
      <c r="CE4" s="68" t="s">
        <v>26</v>
      </c>
      <c r="CI4" s="55" t="s">
        <v>16</v>
      </c>
      <c r="CJ4" s="56" t="s">
        <v>17</v>
      </c>
      <c r="CK4" s="56" t="s">
        <v>18</v>
      </c>
      <c r="CL4" s="56" t="s">
        <v>19</v>
      </c>
      <c r="CM4" s="56" t="s">
        <v>20</v>
      </c>
      <c r="CN4" s="56" t="s">
        <v>21</v>
      </c>
      <c r="CO4" s="56" t="s">
        <v>22</v>
      </c>
      <c r="CP4" s="56" t="s">
        <v>23</v>
      </c>
      <c r="CQ4" s="56" t="s">
        <v>24</v>
      </c>
      <c r="CR4" s="56" t="s">
        <v>25</v>
      </c>
      <c r="CS4" s="57" t="s">
        <v>204</v>
      </c>
    </row>
    <row r="5" spans="1:97" ht="21.75" customHeight="1" x14ac:dyDescent="0.25">
      <c r="A5" s="46">
        <v>1</v>
      </c>
      <c r="B5" s="12" t="s">
        <v>110</v>
      </c>
      <c r="C5" s="98" t="s">
        <v>189</v>
      </c>
      <c r="D5" s="112">
        <v>44987</v>
      </c>
      <c r="E5" s="120" t="s">
        <v>15</v>
      </c>
      <c r="F5" s="120" t="s">
        <v>15</v>
      </c>
      <c r="G5" s="90">
        <v>0.3520833333333333</v>
      </c>
      <c r="H5" s="90">
        <v>0.93472222222222223</v>
      </c>
      <c r="I5" s="90">
        <v>0.3527777777777778</v>
      </c>
      <c r="J5" s="90">
        <v>0.89722222222222225</v>
      </c>
      <c r="K5" s="90">
        <v>0.3520833333333333</v>
      </c>
      <c r="L5" s="90">
        <v>0.91805555555555562</v>
      </c>
      <c r="M5" s="90">
        <v>0.3527777777777778</v>
      </c>
      <c r="N5" s="90">
        <v>0.90763888888888899</v>
      </c>
      <c r="O5" s="90">
        <v>0.3520833333333333</v>
      </c>
      <c r="P5" s="90">
        <v>0.91666666666666663</v>
      </c>
      <c r="Q5" s="90">
        <v>0.3520833333333333</v>
      </c>
      <c r="R5" s="90">
        <v>0.92847222222222225</v>
      </c>
      <c r="S5" s="126">
        <v>0.57638888888888895</v>
      </c>
      <c r="T5" s="126">
        <v>0.88541666666666663</v>
      </c>
      <c r="U5" s="90">
        <v>0.3520833333333333</v>
      </c>
      <c r="V5" s="90">
        <v>0.92569444444444438</v>
      </c>
      <c r="W5" s="90">
        <v>0.3520833333333333</v>
      </c>
      <c r="X5" s="90">
        <v>0.92569444444444438</v>
      </c>
      <c r="Y5" s="90">
        <v>0.35069444444444442</v>
      </c>
      <c r="Z5" s="90">
        <v>0.90347222222222223</v>
      </c>
      <c r="AA5" s="90">
        <v>0.3520833333333333</v>
      </c>
      <c r="AB5" s="90">
        <v>0.9194444444444444</v>
      </c>
      <c r="AC5" s="90">
        <v>0.35138888888888892</v>
      </c>
      <c r="AD5" s="90">
        <v>0.90069444444444446</v>
      </c>
      <c r="AE5" s="90">
        <v>0.35138888888888892</v>
      </c>
      <c r="AF5" s="90">
        <v>0.93194444444444446</v>
      </c>
      <c r="AG5" s="120" t="s">
        <v>15</v>
      </c>
      <c r="AH5" s="120" t="s">
        <v>15</v>
      </c>
      <c r="AJ5" s="123">
        <v>1</v>
      </c>
      <c r="AK5" s="90">
        <v>0.35138888888888892</v>
      </c>
      <c r="AL5" s="90">
        <v>0.93333333333333324</v>
      </c>
      <c r="AM5" s="90">
        <v>0.3520833333333333</v>
      </c>
      <c r="AN5" s="90">
        <v>0.91388888888888886</v>
      </c>
      <c r="AO5" s="90">
        <v>0.3520833333333333</v>
      </c>
      <c r="AP5" s="90">
        <v>0.9</v>
      </c>
      <c r="AQ5" s="90">
        <v>0.3520833333333333</v>
      </c>
      <c r="AR5" s="90">
        <v>0.91875000000000007</v>
      </c>
      <c r="AS5" s="90">
        <v>0.3527777777777778</v>
      </c>
      <c r="AT5" s="90">
        <v>0.90069444444444446</v>
      </c>
      <c r="AU5" s="90">
        <v>0.35138888888888892</v>
      </c>
      <c r="AV5" s="90">
        <v>0.9375</v>
      </c>
      <c r="AW5" s="126">
        <v>0.58124999999999993</v>
      </c>
      <c r="AX5" s="126">
        <v>0.89930555555555547</v>
      </c>
      <c r="AY5" s="90" t="s">
        <v>183</v>
      </c>
      <c r="AZ5" s="90" t="s">
        <v>183</v>
      </c>
      <c r="BA5" s="90">
        <v>0.35138888888888892</v>
      </c>
      <c r="BB5" s="90">
        <v>8.3333333333333332E-3</v>
      </c>
      <c r="BC5" s="90">
        <v>0.35416666666666669</v>
      </c>
      <c r="BD5" s="90">
        <v>0.99236111111111114</v>
      </c>
      <c r="BE5" s="90">
        <v>0.3527777777777778</v>
      </c>
      <c r="BF5" s="90">
        <v>0.9770833333333333</v>
      </c>
      <c r="BG5" s="120" t="s">
        <v>15</v>
      </c>
      <c r="BH5" s="120" t="s">
        <v>15</v>
      </c>
      <c r="BI5" s="90">
        <v>0.35138888888888892</v>
      </c>
      <c r="BJ5" s="90">
        <v>0.93333333333333324</v>
      </c>
      <c r="BK5" s="120" t="s">
        <v>15</v>
      </c>
      <c r="BL5" s="120" t="s">
        <v>15</v>
      </c>
      <c r="BM5" s="90">
        <v>0.3520833333333333</v>
      </c>
      <c r="BN5" s="90">
        <v>0.93819444444444444</v>
      </c>
      <c r="BO5" s="90">
        <v>0.3520833333333333</v>
      </c>
      <c r="BP5" s="90">
        <v>0.93541666666666667</v>
      </c>
      <c r="BQ5" s="147">
        <f t="shared" ref="BQ5" si="0">BS5+BT5+BV5+BW5+CA5+BY5+BZ5+CD5</f>
        <v>31</v>
      </c>
      <c r="BR5" s="81">
        <v>2</v>
      </c>
      <c r="BS5" s="2">
        <f t="shared" ref="BS5" si="1">COUNT(E5:AH5)/2+COUNT(AK5:BP5)/2</f>
        <v>26</v>
      </c>
      <c r="BT5" s="3">
        <f t="shared" ref="BT5" si="2">COUNTIF(E5:BP5,"OFF")/2</f>
        <v>4</v>
      </c>
      <c r="BU5" s="3">
        <f t="shared" ref="BU5" si="3">COUNTIF(E5:BP5,"MC")/2</f>
        <v>0</v>
      </c>
      <c r="BV5" s="3">
        <f t="shared" ref="BV5" si="4">COUNTIF(E5:BP5,"EL")/2</f>
        <v>0</v>
      </c>
      <c r="BW5" s="3">
        <f t="shared" ref="BW5" si="5">COUNTIF(E5:BP5,"AL")/2</f>
        <v>0</v>
      </c>
      <c r="BX5" s="3">
        <f t="shared" ref="BX5" si="6">COUNTIF(E5:BP5,"SUS")/2</f>
        <v>0</v>
      </c>
      <c r="BY5" s="3">
        <f t="shared" ref="BY5" si="7">COUNTIF(E5:BN5,"FL")/2</f>
        <v>0</v>
      </c>
      <c r="BZ5" s="3">
        <f t="shared" ref="BZ5" si="8">COUNTIF(E5:BP5,"SICK")/2</f>
        <v>1</v>
      </c>
      <c r="CA5" s="3">
        <f t="shared" ref="CA5" si="9">COUNTIF(E5:BN5,"HD")/2</f>
        <v>0</v>
      </c>
      <c r="CB5" s="3">
        <f t="shared" ref="CB5" si="10">COUNTIF(E5:BN5,"AB")/2</f>
        <v>0</v>
      </c>
      <c r="CC5" s="3">
        <f t="shared" ref="CC5" si="11">COUNTIF(E5:BN5,"NL")/2</f>
        <v>0</v>
      </c>
      <c r="CD5" s="3">
        <f t="shared" ref="CD5" si="12">COUNTIF(E5:BN5,"SP")/2</f>
        <v>0</v>
      </c>
      <c r="CE5" s="4"/>
      <c r="CI5" s="58">
        <v>0</v>
      </c>
      <c r="CJ5" s="58">
        <v>0</v>
      </c>
      <c r="CK5" s="58">
        <v>0</v>
      </c>
      <c r="CL5" s="58">
        <v>0</v>
      </c>
      <c r="CM5" s="58">
        <v>0</v>
      </c>
      <c r="CN5" s="59">
        <v>2</v>
      </c>
      <c r="CO5" s="59">
        <v>0</v>
      </c>
      <c r="CP5" s="59">
        <v>0</v>
      </c>
      <c r="CQ5" s="58">
        <v>0</v>
      </c>
      <c r="CR5" s="58">
        <v>0</v>
      </c>
      <c r="CS5" s="60">
        <f t="shared" ref="CS5" si="13">SUM(CI5:CR5)</f>
        <v>2</v>
      </c>
    </row>
    <row r="7" spans="1:97" ht="15.75" x14ac:dyDescent="0.25">
      <c r="I7" s="148"/>
      <c r="J7" s="148"/>
      <c r="K7" s="148"/>
      <c r="L7" s="148"/>
      <c r="M7" s="148"/>
      <c r="N7" s="148"/>
      <c r="O7" s="148"/>
      <c r="P7" s="148"/>
      <c r="Q7" s="89"/>
      <c r="R7" s="89"/>
      <c r="S7" s="89"/>
      <c r="BR7" s="36" t="s">
        <v>73</v>
      </c>
      <c r="BS7" s="37"/>
      <c r="BT7" s="37"/>
      <c r="BU7" s="38" t="s">
        <v>16</v>
      </c>
      <c r="BV7" s="39"/>
      <c r="BW7" s="44" t="s">
        <v>74</v>
      </c>
      <c r="BX7" s="45"/>
      <c r="BY7" s="45"/>
      <c r="BZ7" s="42"/>
      <c r="CA7" s="43" t="s">
        <v>22</v>
      </c>
    </row>
    <row r="8" spans="1:97" ht="15.75" x14ac:dyDescent="0.25">
      <c r="I8" s="129" t="s">
        <v>256</v>
      </c>
      <c r="J8" s="129"/>
      <c r="K8" s="129" t="s">
        <v>285</v>
      </c>
      <c r="L8" s="129"/>
      <c r="M8" s="129"/>
      <c r="N8" s="129"/>
      <c r="O8" s="129"/>
      <c r="P8" s="129"/>
      <c r="Q8" s="108"/>
      <c r="R8" s="108"/>
      <c r="S8" s="108"/>
      <c r="BR8" s="36" t="s">
        <v>75</v>
      </c>
      <c r="BS8" s="37"/>
      <c r="BT8" s="37"/>
      <c r="BU8" s="38" t="s">
        <v>17</v>
      </c>
      <c r="BV8" s="39"/>
      <c r="BW8" s="44" t="s">
        <v>76</v>
      </c>
      <c r="BX8" s="45"/>
      <c r="BY8" s="45"/>
      <c r="BZ8" s="42"/>
      <c r="CA8" s="43" t="s">
        <v>23</v>
      </c>
    </row>
    <row r="9" spans="1:97" x14ac:dyDescent="0.25">
      <c r="BR9" s="36" t="s">
        <v>77</v>
      </c>
      <c r="BS9" s="37"/>
      <c r="BT9" s="37"/>
      <c r="BU9" s="38" t="s">
        <v>18</v>
      </c>
      <c r="BV9" s="39"/>
      <c r="BW9" s="40" t="s">
        <v>78</v>
      </c>
      <c r="BX9" s="41"/>
      <c r="BY9" s="41"/>
      <c r="BZ9" s="42"/>
      <c r="CA9" s="43" t="s">
        <v>24</v>
      </c>
    </row>
    <row r="10" spans="1:97" x14ac:dyDescent="0.25">
      <c r="BR10" s="36" t="s">
        <v>79</v>
      </c>
      <c r="BS10" s="37"/>
      <c r="BT10" s="37"/>
      <c r="BU10" s="38" t="s">
        <v>19</v>
      </c>
      <c r="BV10" s="39"/>
      <c r="BW10" s="40" t="s">
        <v>80</v>
      </c>
      <c r="BX10" s="41"/>
      <c r="BY10" s="41"/>
      <c r="BZ10" s="42"/>
      <c r="CA10" s="43" t="s">
        <v>25</v>
      </c>
    </row>
    <row r="11" spans="1:97" x14ac:dyDescent="0.25">
      <c r="BR11" s="36" t="s">
        <v>81</v>
      </c>
      <c r="BS11" s="37"/>
      <c r="BT11" s="37"/>
      <c r="BU11" s="38" t="s">
        <v>20</v>
      </c>
      <c r="BV11" s="39"/>
      <c r="BW11" s="39"/>
      <c r="BX11" s="39"/>
      <c r="BY11" s="39"/>
      <c r="BZ11" s="39"/>
      <c r="CA11" s="39"/>
    </row>
    <row r="13" spans="1:97" ht="15.75" x14ac:dyDescent="0.25">
      <c r="I13" s="17"/>
      <c r="J13" s="18" t="s">
        <v>63</v>
      </c>
      <c r="K13" s="19"/>
      <c r="L13" s="18"/>
      <c r="M13" s="20"/>
      <c r="P13" s="20"/>
      <c r="Q13" s="21"/>
      <c r="R13" s="22"/>
      <c r="S13" s="22"/>
      <c r="T13" s="23" t="s">
        <v>64</v>
      </c>
      <c r="U13" s="23"/>
      <c r="V13" s="21"/>
      <c r="W13" s="21"/>
      <c r="X13" s="21"/>
      <c r="Y13" s="21"/>
      <c r="Z13" s="21" t="s">
        <v>65</v>
      </c>
      <c r="AA13" s="21"/>
      <c r="AB13" s="21"/>
      <c r="AC13" s="21"/>
      <c r="AD13" s="23" t="s">
        <v>66</v>
      </c>
      <c r="AE13" s="21"/>
      <c r="AJ13" s="78"/>
    </row>
    <row r="14" spans="1:97" ht="17.25" x14ac:dyDescent="0.25">
      <c r="I14" s="24"/>
      <c r="J14" s="20"/>
      <c r="K14" s="20"/>
      <c r="L14" s="20"/>
      <c r="M14" s="20"/>
      <c r="P14" s="20"/>
      <c r="Q14" s="20"/>
      <c r="R14" s="25"/>
      <c r="S14" s="25"/>
      <c r="T14" s="25"/>
      <c r="U14" s="20"/>
      <c r="V14" s="20"/>
      <c r="W14" s="20"/>
      <c r="X14" s="26"/>
      <c r="Y14" s="26"/>
      <c r="Z14" s="26"/>
      <c r="AA14" s="26"/>
      <c r="AB14" s="26"/>
      <c r="AC14" s="26"/>
      <c r="AD14" s="27"/>
      <c r="AE14" s="27"/>
      <c r="AJ14" s="78"/>
    </row>
    <row r="15" spans="1:97" ht="17.25" x14ac:dyDescent="0.25">
      <c r="I15" s="24"/>
      <c r="J15" s="28"/>
      <c r="K15" s="20"/>
      <c r="L15" s="28"/>
      <c r="M15" s="20"/>
      <c r="P15" s="20"/>
      <c r="Q15" s="28" t="s">
        <v>65</v>
      </c>
      <c r="R15" s="29"/>
      <c r="S15" s="29"/>
      <c r="T15" s="25"/>
      <c r="U15" s="20"/>
      <c r="V15" s="28"/>
      <c r="W15" s="28"/>
      <c r="X15" s="21"/>
      <c r="Y15" s="20"/>
      <c r="Z15" s="20"/>
      <c r="AA15" s="20"/>
      <c r="AB15" s="20"/>
      <c r="AC15" s="20"/>
      <c r="AD15" s="30"/>
      <c r="AE15" s="30"/>
      <c r="AJ15" s="78"/>
    </row>
    <row r="16" spans="1:97" ht="17.25" x14ac:dyDescent="0.25">
      <c r="I16" s="31"/>
      <c r="J16" s="28"/>
      <c r="K16" s="20"/>
      <c r="L16" s="28"/>
      <c r="M16" s="20"/>
      <c r="P16" s="20"/>
      <c r="Q16" s="28"/>
      <c r="R16" s="29"/>
      <c r="S16" s="29"/>
      <c r="T16" s="25"/>
      <c r="U16" s="21"/>
      <c r="V16" s="28"/>
      <c r="W16" s="28"/>
      <c r="X16" s="21"/>
      <c r="Y16" s="20"/>
      <c r="Z16" s="20"/>
      <c r="AA16" s="20"/>
      <c r="AB16" s="20"/>
      <c r="AC16" s="20"/>
      <c r="AD16" s="30"/>
      <c r="AE16" s="30"/>
      <c r="AJ16" s="78"/>
    </row>
    <row r="17" spans="9:97" ht="17.25" x14ac:dyDescent="0.25">
      <c r="I17" s="32" t="s">
        <v>67</v>
      </c>
      <c r="J17" s="33"/>
      <c r="K17" s="17"/>
      <c r="L17" s="32"/>
      <c r="M17" s="20"/>
      <c r="P17" s="20"/>
      <c r="Q17" s="28"/>
      <c r="R17" s="25"/>
      <c r="S17" s="29"/>
      <c r="T17" s="19" t="s">
        <v>68</v>
      </c>
      <c r="U17" s="20"/>
      <c r="V17" s="28"/>
      <c r="W17" s="21"/>
      <c r="X17" s="20"/>
      <c r="Y17" s="20"/>
      <c r="Z17" s="20"/>
      <c r="AA17" s="20"/>
      <c r="AB17" s="20"/>
      <c r="AC17" s="20"/>
      <c r="AD17" s="19" t="s">
        <v>69</v>
      </c>
      <c r="AE17" s="30"/>
    </row>
    <row r="18" spans="9:97" ht="17.25" x14ac:dyDescent="0.25">
      <c r="I18" s="32"/>
      <c r="J18" s="32" t="s">
        <v>70</v>
      </c>
      <c r="K18" s="31"/>
      <c r="L18" s="31"/>
      <c r="M18" s="20"/>
      <c r="P18" s="20"/>
      <c r="Q18" s="19"/>
      <c r="R18" s="34"/>
      <c r="S18" s="34"/>
      <c r="T18" s="19" t="s">
        <v>71</v>
      </c>
      <c r="U18" s="19"/>
      <c r="V18" s="19"/>
      <c r="W18" s="21"/>
      <c r="X18" s="19"/>
      <c r="Y18" s="20"/>
      <c r="Z18" s="20"/>
      <c r="AA18" s="20"/>
      <c r="AB18" s="20"/>
      <c r="AC18" s="20"/>
      <c r="AD18" s="19" t="s">
        <v>72</v>
      </c>
      <c r="AE18" s="30"/>
    </row>
    <row r="20" spans="9:97" x14ac:dyDescent="0.25">
      <c r="BT20" s="39"/>
      <c r="BU20" s="39"/>
      <c r="BV20" s="39"/>
      <c r="BW20" s="39"/>
      <c r="BX20" s="39"/>
      <c r="BY20" s="39"/>
      <c r="BZ20" s="39"/>
      <c r="CA20" s="39"/>
      <c r="CB20" s="39"/>
      <c r="CC20" s="39"/>
    </row>
    <row r="22" spans="9:97" ht="15.75" x14ac:dyDescent="0.25">
      <c r="CI22" s="58">
        <v>0</v>
      </c>
      <c r="CJ22" s="58">
        <v>0</v>
      </c>
      <c r="CK22" s="58">
        <v>0</v>
      </c>
      <c r="CL22" s="58">
        <v>0</v>
      </c>
      <c r="CM22" s="58">
        <v>0</v>
      </c>
      <c r="CN22" s="58">
        <v>0</v>
      </c>
      <c r="CO22" s="58">
        <v>0</v>
      </c>
      <c r="CP22" s="58">
        <v>0</v>
      </c>
      <c r="CQ22" s="58">
        <v>0</v>
      </c>
      <c r="CR22" s="58">
        <v>0</v>
      </c>
      <c r="CS22" s="60">
        <f>SUM(CI22:CR22)</f>
        <v>0</v>
      </c>
    </row>
    <row r="23" spans="9:97" ht="15.75" x14ac:dyDescent="0.25">
      <c r="CI23" s="58">
        <v>0</v>
      </c>
      <c r="CJ23" s="58">
        <v>0</v>
      </c>
      <c r="CK23" s="58">
        <v>60</v>
      </c>
      <c r="CL23" s="58">
        <v>0</v>
      </c>
      <c r="CM23" s="58">
        <v>0</v>
      </c>
      <c r="CN23" s="58">
        <v>0</v>
      </c>
      <c r="CO23" s="58">
        <v>0</v>
      </c>
      <c r="CP23" s="58">
        <v>0</v>
      </c>
      <c r="CQ23" s="58">
        <v>11</v>
      </c>
      <c r="CR23" s="58">
        <v>0</v>
      </c>
      <c r="CS23" s="60">
        <f>SUM(CI23:CR23)</f>
        <v>71</v>
      </c>
    </row>
    <row r="24" spans="9:97" ht="15.75" x14ac:dyDescent="0.25">
      <c r="CI24" s="58">
        <v>0</v>
      </c>
      <c r="CJ24" s="58">
        <v>0</v>
      </c>
      <c r="CK24" s="58">
        <v>0</v>
      </c>
      <c r="CL24" s="58">
        <v>0</v>
      </c>
      <c r="CM24" s="58">
        <v>0</v>
      </c>
      <c r="CN24" s="59">
        <v>7</v>
      </c>
      <c r="CO24" s="59">
        <v>0</v>
      </c>
      <c r="CP24" s="59">
        <v>0</v>
      </c>
      <c r="CQ24" s="58">
        <v>0</v>
      </c>
      <c r="CR24" s="58">
        <v>0</v>
      </c>
      <c r="CS24" s="60">
        <f>SUM(CI24:CR24)</f>
        <v>7</v>
      </c>
    </row>
    <row r="27" spans="9:97" ht="15.75" x14ac:dyDescent="0.25">
      <c r="CI27" s="58">
        <v>0</v>
      </c>
      <c r="CJ27" s="58">
        <v>0</v>
      </c>
      <c r="CK27" s="58">
        <v>0</v>
      </c>
      <c r="CL27" s="58">
        <v>0</v>
      </c>
      <c r="CM27" s="58">
        <v>0</v>
      </c>
      <c r="CN27" s="58">
        <v>0</v>
      </c>
      <c r="CO27" s="59">
        <v>0</v>
      </c>
      <c r="CP27" s="59">
        <v>0</v>
      </c>
      <c r="CQ27" s="58">
        <v>0</v>
      </c>
      <c r="CR27" s="58">
        <v>0</v>
      </c>
      <c r="CS27" s="60">
        <f t="shared" ref="CS27:CS28" si="14">SUM(CI27:CR27)</f>
        <v>0</v>
      </c>
    </row>
    <row r="28" spans="9:97" ht="24.75" customHeight="1" x14ac:dyDescent="0.25">
      <c r="CI28" s="58">
        <v>0</v>
      </c>
      <c r="CJ28" s="58">
        <v>0</v>
      </c>
      <c r="CK28" s="58">
        <v>0</v>
      </c>
      <c r="CL28" s="58">
        <v>0</v>
      </c>
      <c r="CM28" s="58">
        <v>0</v>
      </c>
      <c r="CN28" s="58">
        <v>1</v>
      </c>
      <c r="CO28" s="58">
        <v>0</v>
      </c>
      <c r="CP28" s="58">
        <v>0</v>
      </c>
      <c r="CQ28" s="58">
        <v>0</v>
      </c>
      <c r="CR28" s="58">
        <v>0</v>
      </c>
      <c r="CS28" s="60">
        <f t="shared" si="14"/>
        <v>1</v>
      </c>
    </row>
    <row r="29" spans="9:97" x14ac:dyDescent="0.25">
      <c r="AH29" s="64"/>
      <c r="AJ29"/>
      <c r="BI29" s="16"/>
      <c r="BJ29" s="16"/>
      <c r="BK29" s="16"/>
      <c r="BL29" s="16"/>
      <c r="BM29" s="16"/>
      <c r="BN29" s="16"/>
      <c r="BO29" s="16"/>
      <c r="BP29" s="16"/>
      <c r="BQ29"/>
    </row>
    <row r="30" spans="9:97" x14ac:dyDescent="0.25">
      <c r="AH30" s="64"/>
      <c r="AJ30"/>
      <c r="BI30" s="16"/>
      <c r="BJ30" s="16"/>
      <c r="BK30" s="16"/>
      <c r="BL30" s="16"/>
      <c r="BM30" s="16"/>
      <c r="BN30" s="16"/>
      <c r="BO30" s="16"/>
      <c r="BP30" s="16"/>
      <c r="BQ30"/>
    </row>
    <row r="31" spans="9:97" x14ac:dyDescent="0.25">
      <c r="AH31" s="64"/>
      <c r="AJ31"/>
      <c r="BI31" s="16"/>
      <c r="BJ31" s="16"/>
      <c r="BK31" s="16"/>
      <c r="BL31" s="16"/>
      <c r="BM31" s="16"/>
      <c r="BN31" s="16"/>
      <c r="BO31" s="16"/>
      <c r="BP31" s="16"/>
      <c r="BQ31"/>
    </row>
    <row r="32" spans="9:97" x14ac:dyDescent="0.25">
      <c r="AH32" s="64"/>
      <c r="AJ32"/>
      <c r="BI32" s="16"/>
      <c r="BJ32" s="16"/>
      <c r="BK32" s="16"/>
      <c r="BL32" s="16"/>
      <c r="BM32" s="16"/>
      <c r="BN32" s="16"/>
      <c r="BO32" s="16"/>
      <c r="BP32" s="16"/>
      <c r="BQ32"/>
    </row>
    <row r="33" spans="34:69" x14ac:dyDescent="0.25">
      <c r="AH33" s="64"/>
      <c r="AJ33"/>
      <c r="BI33" s="16"/>
      <c r="BJ33" s="16"/>
      <c r="BK33" s="16"/>
      <c r="BL33" s="16"/>
      <c r="BM33" s="16"/>
      <c r="BN33" s="16"/>
      <c r="BO33" s="16"/>
      <c r="BP33" s="16"/>
      <c r="BQ33"/>
    </row>
    <row r="34" spans="34:69" x14ac:dyDescent="0.25">
      <c r="AH34" s="64"/>
      <c r="AJ34"/>
      <c r="BI34" s="16"/>
      <c r="BJ34" s="16"/>
      <c r="BK34" s="16"/>
      <c r="BL34" s="16"/>
      <c r="BM34" s="16"/>
      <c r="BN34" s="16"/>
      <c r="BO34" s="16"/>
      <c r="BP34" s="16"/>
      <c r="BQ34"/>
    </row>
    <row r="35" spans="34:69" x14ac:dyDescent="0.25">
      <c r="AH35" s="64"/>
      <c r="AJ35"/>
      <c r="BI35" s="16"/>
      <c r="BJ35" s="16"/>
      <c r="BK35" s="16"/>
      <c r="BL35" s="16"/>
      <c r="BM35" s="16"/>
      <c r="BN35" s="16"/>
      <c r="BO35" s="16"/>
      <c r="BP35" s="16"/>
      <c r="BQ35"/>
    </row>
    <row r="36" spans="34:69" x14ac:dyDescent="0.25">
      <c r="AH36" s="64"/>
      <c r="AJ36"/>
      <c r="BI36" s="16"/>
      <c r="BJ36" s="16"/>
      <c r="BK36" s="16"/>
      <c r="BL36" s="16"/>
      <c r="BM36" s="16"/>
      <c r="BN36" s="16"/>
      <c r="BO36" s="16"/>
      <c r="BP36" s="16"/>
      <c r="BQ36"/>
    </row>
    <row r="37" spans="34:69" x14ac:dyDescent="0.25">
      <c r="AJ37"/>
      <c r="BI37" s="16"/>
      <c r="BJ37" s="16"/>
      <c r="BK37" s="16"/>
      <c r="BL37" s="16"/>
      <c r="BM37" s="16"/>
      <c r="BN37" s="16"/>
      <c r="BO37" s="16"/>
      <c r="BP37" s="16"/>
      <c r="BQ37"/>
    </row>
  </sheetData>
  <mergeCells count="69">
    <mergeCell ref="A1:AH1"/>
    <mergeCell ref="AJ1:BQ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Y3:Z3"/>
    <mergeCell ref="BO2:BP2"/>
    <mergeCell ref="CI2:CR2"/>
    <mergeCell ref="E3:F3"/>
    <mergeCell ref="G3:H3"/>
    <mergeCell ref="I3:J3"/>
    <mergeCell ref="K3:L3"/>
    <mergeCell ref="M3:N3"/>
    <mergeCell ref="BC2:BD2"/>
    <mergeCell ref="BE2:BF2"/>
    <mergeCell ref="BG2:BH2"/>
    <mergeCell ref="BI2:BJ2"/>
    <mergeCell ref="BK2:BL2"/>
    <mergeCell ref="BM2:BN2"/>
    <mergeCell ref="AQ2:AR2"/>
    <mergeCell ref="AS2:AT2"/>
    <mergeCell ref="AU2:AV2"/>
    <mergeCell ref="AW2:AX2"/>
    <mergeCell ref="BS2:CE2"/>
    <mergeCell ref="AY2:AZ2"/>
    <mergeCell ref="BA2:BB2"/>
    <mergeCell ref="AY3:AZ3"/>
    <mergeCell ref="BO3:BP3"/>
    <mergeCell ref="AG2:AH2"/>
    <mergeCell ref="AK2:AL2"/>
    <mergeCell ref="AM2:AN2"/>
    <mergeCell ref="BQ2:BQ4"/>
    <mergeCell ref="BR2:BR4"/>
    <mergeCell ref="AO2:AP2"/>
    <mergeCell ref="AA2:AB2"/>
    <mergeCell ref="O3:P3"/>
    <mergeCell ref="Q3:R3"/>
    <mergeCell ref="S3:T3"/>
    <mergeCell ref="U3:V3"/>
    <mergeCell ref="W3:X3"/>
    <mergeCell ref="AA3:AB3"/>
    <mergeCell ref="AC3:AD3"/>
    <mergeCell ref="AE3:AF3"/>
    <mergeCell ref="AG3:AH3"/>
    <mergeCell ref="AK3:AL3"/>
    <mergeCell ref="AM3:AN3"/>
    <mergeCell ref="AO3:AP3"/>
    <mergeCell ref="AC2:AD2"/>
    <mergeCell ref="AE2:AF2"/>
    <mergeCell ref="AQ3:AR3"/>
    <mergeCell ref="AS3:AT3"/>
    <mergeCell ref="AU3:AV3"/>
    <mergeCell ref="AW3:AX3"/>
    <mergeCell ref="BM3:BN3"/>
    <mergeCell ref="BA3:BB3"/>
    <mergeCell ref="BC3:BD3"/>
    <mergeCell ref="BE3:BF3"/>
    <mergeCell ref="BG3:BH3"/>
    <mergeCell ref="BI3:BJ3"/>
    <mergeCell ref="BK3:BL3"/>
  </mergeCells>
  <conditionalFormatting sqref="AI2:AJ3 BQ2:BQ3 A2:D3 A4:BQ4 A1:BQ1 BQ5 A5">
    <cfRule type="containsText" dxfId="2059" priority="1865" stopIfTrue="1" operator="containsText" text="SP">
      <formula>NOT(ISERROR(SEARCH("SP",A1)))</formula>
    </cfRule>
  </conditionalFormatting>
  <conditionalFormatting sqref="AI2:AJ3 BQ2:BQ3 A2:D3 A4:BQ4 A1:BQ1 BQ5 A5">
    <cfRule type="containsText" dxfId="2058" priority="1866" stopIfTrue="1" operator="containsText" text="AL">
      <formula>NOT(ISERROR(SEARCH("AL",A1)))</formula>
    </cfRule>
    <cfRule type="containsText" dxfId="2057" priority="1867" stopIfTrue="1" operator="containsText" text="EL">
      <formula>NOT(ISERROR(SEARCH("EL",A1)))</formula>
    </cfRule>
    <cfRule type="containsText" dxfId="2056" priority="1868" stopIfTrue="1" operator="containsText" text="AB">
      <formula>NOT(ISERROR(SEARCH("AB",A1)))</formula>
    </cfRule>
    <cfRule type="containsText" dxfId="2055" priority="1869" stopIfTrue="1" operator="containsText" text="FL">
      <formula>NOT(ISERROR(SEARCH("FL",A1)))</formula>
    </cfRule>
    <cfRule type="containsText" dxfId="2054" priority="1870" stopIfTrue="1" operator="containsText" text="SICK">
      <formula>NOT(ISERROR(SEARCH("SICK",A1)))</formula>
    </cfRule>
  </conditionalFormatting>
  <conditionalFormatting sqref="D5">
    <cfRule type="timePeriod" priority="1780" timePeriod="nextWeek">
      <formula>AND(ROUNDDOWN(D5,0)-TODAY()&gt;(7-WEEKDAY(TODAY())),ROUNDDOWN(D5,0)-TODAY()&lt;(15-WEEKDAY(TODAY())))</formula>
    </cfRule>
  </conditionalFormatting>
  <conditionalFormatting sqref="D5">
    <cfRule type="timePeriod" dxfId="2053" priority="1786" timePeriod="last7Days">
      <formula>AND(TODAY()-FLOOR(D5,1)&lt;=6,FLOOR(D5,1)&lt;=TODAY())</formula>
    </cfRule>
    <cfRule type="timePeriod" dxfId="2052" priority="1787" timePeriod="thisWeek">
      <formula>AND(TODAY()-ROUNDDOWN(D5,0)&lt;=WEEKDAY(TODAY())-1,ROUNDDOWN(D5,0)-TODAY()&lt;=7-WEEKDAY(TODAY()))</formula>
    </cfRule>
    <cfRule type="timePeriod" dxfId="2051" priority="1788" timePeriod="nextWeek">
      <formula>AND(ROUNDDOWN(D5,0)-TODAY()&gt;(7-WEEKDAY(TODAY())),ROUNDDOWN(D5,0)-TODAY()&lt;(15-WEEKDAY(TODAY())))</formula>
    </cfRule>
  </conditionalFormatting>
  <conditionalFormatting sqref="BG5">
    <cfRule type="containsText" dxfId="2050" priority="1535" operator="containsText" text="SUS">
      <formula>NOT(ISERROR(SEARCH("SUS",BG5)))</formula>
    </cfRule>
    <cfRule type="containsText" dxfId="2049" priority="1536" operator="containsText" text="FL">
      <formula>NOT(ISERROR(SEARCH("FL",BG5)))</formula>
    </cfRule>
    <cfRule type="containsText" dxfId="2048" priority="1537" operator="containsText" text="MC">
      <formula>NOT(ISERROR(SEARCH("MC",BG5)))</formula>
    </cfRule>
    <cfRule type="containsText" dxfId="2047" priority="1538" operator="containsText" text="AB">
      <formula>NOT(ISERROR(SEARCH("AB",BG5)))</formula>
    </cfRule>
    <cfRule type="containsText" dxfId="2046" priority="1539" operator="containsText" text="Sick">
      <formula>NOT(ISERROR(SEARCH("Sick",BG5)))</formula>
    </cfRule>
    <cfRule type="containsText" dxfId="2045" priority="1540" operator="containsText" text="OFF">
      <formula>NOT(ISERROR(SEARCH("OFF",BG5)))</formula>
    </cfRule>
    <cfRule type="containsText" dxfId="2044" priority="1541" operator="containsText" text="AL">
      <formula>NOT(ISERROR(SEARCH("AL",BG5)))</formula>
    </cfRule>
  </conditionalFormatting>
  <conditionalFormatting sqref="AJ5">
    <cfRule type="containsText" dxfId="2043" priority="1574" operator="containsText" text="AB">
      <formula>NOT(ISERROR(SEARCH("AB",AJ5)))</formula>
    </cfRule>
  </conditionalFormatting>
  <conditionalFormatting sqref="BH5">
    <cfRule type="containsText" dxfId="2042" priority="1570" operator="containsText" text="AB">
      <formula>NOT(ISERROR(SEARCH("AB",BH5)))</formula>
    </cfRule>
    <cfRule type="containsText" dxfId="2041" priority="1571" operator="containsText" text="SUS">
      <formula>NOT(ISERROR(SEARCH("SUS",BH5)))</formula>
    </cfRule>
    <cfRule type="containsText" dxfId="2040" priority="1572" operator="containsText" text="FL">
      <formula>NOT(ISERROR(SEARCH("FL",BH5)))</formula>
    </cfRule>
    <cfRule type="containsText" dxfId="2039" priority="1573" operator="containsText" text="MC">
      <formula>NOT(ISERROR(SEARCH("MC",BH5)))</formula>
    </cfRule>
    <cfRule type="containsText" dxfId="2038" priority="1575" operator="containsText" text="Sick">
      <formula>NOT(ISERROR(SEARCH("Sick",BH5)))</formula>
    </cfRule>
    <cfRule type="containsText" dxfId="2037" priority="1576" operator="containsText" text="OFF">
      <formula>NOT(ISERROR(SEARCH("OFF",BH5)))</formula>
    </cfRule>
    <cfRule type="containsText" dxfId="2036" priority="1577" operator="containsText" text="AL">
      <formula>NOT(ISERROR(SEARCH("AL",BH5)))</formula>
    </cfRule>
  </conditionalFormatting>
  <conditionalFormatting sqref="BG5:BH5">
    <cfRule type="containsText" dxfId="2035" priority="1551" operator="containsText" text="EL">
      <formula>NOT(ISERROR(SEARCH("EL",BG5)))</formula>
    </cfRule>
    <cfRule type="containsText" dxfId="2034" priority="1556" operator="containsText" text="AB">
      <formula>NOT(ISERROR(SEARCH("AB",BG5)))</formula>
    </cfRule>
  </conditionalFormatting>
  <conditionalFormatting sqref="AJ5">
    <cfRule type="containsText" dxfId="2033" priority="1730" operator="containsText" text="SUS">
      <formula>NOT(ISERROR(SEARCH("SUS",AJ5)))</formula>
    </cfRule>
    <cfRule type="containsText" dxfId="2032" priority="1731" operator="containsText" text="FL">
      <formula>NOT(ISERROR(SEARCH("FL",AJ5)))</formula>
    </cfRule>
  </conditionalFormatting>
  <conditionalFormatting sqref="E5:F5">
    <cfRule type="containsText" dxfId="2031" priority="1508" operator="containsText" text="EL">
      <formula>NOT(ISERROR(SEARCH("EL",E5)))</formula>
    </cfRule>
    <cfRule type="containsText" dxfId="2030" priority="1509" operator="containsText" text="AB">
      <formula>NOT(ISERROR(SEARCH("AB",E5)))</formula>
    </cfRule>
    <cfRule type="containsText" dxfId="2029" priority="1510" operator="containsText" text="SUS">
      <formula>NOT(ISERROR(SEARCH("SUS",E5)))</formula>
    </cfRule>
    <cfRule type="containsText" dxfId="2028" priority="1511" operator="containsText" text="FL">
      <formula>NOT(ISERROR(SEARCH("FL",E5)))</formula>
    </cfRule>
    <cfRule type="containsText" dxfId="2027" priority="1512" operator="containsText" text="MC">
      <formula>NOT(ISERROR(SEARCH("MC",E5)))</formula>
    </cfRule>
    <cfRule type="containsText" dxfId="2026" priority="1513" operator="containsText" text="AB">
      <formula>NOT(ISERROR(SEARCH("AB",E5)))</formula>
    </cfRule>
    <cfRule type="containsText" dxfId="2025" priority="1514" operator="containsText" text="Sick">
      <formula>NOT(ISERROR(SEARCH("Sick",E5)))</formula>
    </cfRule>
    <cfRule type="containsText" dxfId="2024" priority="1515" operator="containsText" text="OFF">
      <formula>NOT(ISERROR(SEARCH("OFF",E5)))</formula>
    </cfRule>
    <cfRule type="containsText" dxfId="2023" priority="1516" operator="containsText" text="AL">
      <formula>NOT(ISERROR(SEARCH("AL",E5)))</formula>
    </cfRule>
  </conditionalFormatting>
  <conditionalFormatting sqref="P13:AE16 AA19">
    <cfRule type="containsText" dxfId="2022" priority="1871" stopIfTrue="1" operator="containsText" text="AB">
      <formula>NOT(ISERROR(SEARCH("AB",P13)))</formula>
    </cfRule>
    <cfRule type="containsText" dxfId="2021" priority="1872" stopIfTrue="1" operator="containsText" text="SICK">
      <formula>NOT(ISERROR(SEARCH("SICK",P13)))</formula>
    </cfRule>
    <cfRule type="containsText" dxfId="2020" priority="1873" stopIfTrue="1" operator="containsText" text="SP">
      <formula>NOT(ISERROR(SEARCH("SP",P13)))</formula>
    </cfRule>
    <cfRule type="containsText" priority="1874" stopIfTrue="1" operator="containsText" text="SP">
      <formula>NOT(ISERROR(SEARCH("SP",P13)))</formula>
    </cfRule>
    <cfRule type="containsText" dxfId="2019" priority="1875" stopIfTrue="1" operator="containsText" text="SICK">
      <formula>NOT(ISERROR(SEARCH("SICK",P13)))</formula>
    </cfRule>
  </conditionalFormatting>
  <conditionalFormatting sqref="AG5">
    <cfRule type="containsText" dxfId="2018" priority="1017" operator="containsText" text="SUS">
      <formula>NOT(ISERROR(SEARCH("SUS",AG5)))</formula>
    </cfRule>
    <cfRule type="containsText" dxfId="2017" priority="1018" operator="containsText" text="FL">
      <formula>NOT(ISERROR(SEARCH("FL",AG5)))</formula>
    </cfRule>
    <cfRule type="containsText" dxfId="2016" priority="1019" operator="containsText" text="MC">
      <formula>NOT(ISERROR(SEARCH("MC",AG5)))</formula>
    </cfRule>
    <cfRule type="containsText" dxfId="2015" priority="1020" operator="containsText" text="AB">
      <formula>NOT(ISERROR(SEARCH("AB",AG5)))</formula>
    </cfRule>
    <cfRule type="containsText" dxfId="2014" priority="1021" operator="containsText" text="Sick">
      <formula>NOT(ISERROR(SEARCH("Sick",AG5)))</formula>
    </cfRule>
    <cfRule type="containsText" dxfId="2013" priority="1022" operator="containsText" text="OFF">
      <formula>NOT(ISERROR(SEARCH("OFF",AG5)))</formula>
    </cfRule>
    <cfRule type="containsText" dxfId="2012" priority="1023" operator="containsText" text="AL">
      <formula>NOT(ISERROR(SEARCH("AL",AG5)))</formula>
    </cfRule>
  </conditionalFormatting>
  <conditionalFormatting sqref="AG5:AH5">
    <cfRule type="containsText" dxfId="2011" priority="1008" operator="containsText" text="EL">
      <formula>NOT(ISERROR(SEARCH("EL",AG5)))</formula>
    </cfRule>
    <cfRule type="containsText" dxfId="2010" priority="1013" operator="containsText" text="AB">
      <formula>NOT(ISERROR(SEARCH("AB",AG5)))</formula>
    </cfRule>
  </conditionalFormatting>
  <conditionalFormatting sqref="AJ5">
    <cfRule type="containsText" dxfId="2009" priority="1569" operator="containsText" text="EL">
      <formula>NOT(ISERROR(SEARCH("EL",AJ5)))</formula>
    </cfRule>
  </conditionalFormatting>
  <conditionalFormatting sqref="AH5">
    <cfRule type="containsText" dxfId="2008" priority="1009" operator="containsText" text="AB">
      <formula>NOT(ISERROR(SEARCH("AB",AH5)))</formula>
    </cfRule>
    <cfRule type="containsText" dxfId="2007" priority="1010" operator="containsText" text="SUS">
      <formula>NOT(ISERROR(SEARCH("SUS",AH5)))</formula>
    </cfRule>
    <cfRule type="containsText" dxfId="2006" priority="1011" operator="containsText" text="FL">
      <formula>NOT(ISERROR(SEARCH("FL",AH5)))</formula>
    </cfRule>
    <cfRule type="containsText" dxfId="2005" priority="1012" operator="containsText" text="MC">
      <formula>NOT(ISERROR(SEARCH("MC",AH5)))</formula>
    </cfRule>
    <cfRule type="containsText" dxfId="2004" priority="1014" operator="containsText" text="Sick">
      <formula>NOT(ISERROR(SEARCH("Sick",AH5)))</formula>
    </cfRule>
    <cfRule type="containsText" dxfId="2003" priority="1015" operator="containsText" text="OFF">
      <formula>NOT(ISERROR(SEARCH("OFF",AH5)))</formula>
    </cfRule>
    <cfRule type="containsText" dxfId="2002" priority="1016" operator="containsText" text="AL">
      <formula>NOT(ISERROR(SEARCH("AL",AH5)))</formula>
    </cfRule>
  </conditionalFormatting>
  <conditionalFormatting sqref="AJ5">
    <cfRule type="containsText" dxfId="2001" priority="1742" operator="containsText" text="MC">
      <formula>NOT(ISERROR(SEARCH("MC",AJ5)))</formula>
    </cfRule>
  </conditionalFormatting>
  <conditionalFormatting sqref="AJ5">
    <cfRule type="containsText" dxfId="2000" priority="1745" operator="containsText" text="SICK">
      <formula>NOT(ISERROR(SEARCH("SICK",AJ5)))</formula>
    </cfRule>
  </conditionalFormatting>
  <conditionalFormatting sqref="AJ5">
    <cfRule type="containsText" dxfId="1999" priority="1604" operator="containsText" text="NL">
      <formula>NOT(ISERROR(SEARCH("NL",AJ5)))</formula>
    </cfRule>
  </conditionalFormatting>
  <conditionalFormatting sqref="AJ5">
    <cfRule type="containsText" dxfId="1998" priority="1743" operator="containsText" text="OFF">
      <formula>NOT(ISERROR(SEARCH("OFF",AJ5)))</formula>
    </cfRule>
    <cfRule type="containsText" dxfId="1997" priority="1746" operator="containsText" text="AL">
      <formula>NOT(ISERROR(SEARCH("AL",AJ5)))</formula>
    </cfRule>
  </conditionalFormatting>
  <conditionalFormatting sqref="AJ5">
    <cfRule type="containsText" dxfId="1996" priority="1603" operator="containsText" text="SP">
      <formula>NOT(ISERROR(SEARCH("SP",AJ5)))</formula>
    </cfRule>
  </conditionalFormatting>
  <conditionalFormatting sqref="AJ13:AJ16">
    <cfRule type="containsText" dxfId="1995" priority="1876" stopIfTrue="1" operator="containsText" text="SICK">
      <formula>NOT(ISERROR(SEARCH("SICK",AJ13)))</formula>
    </cfRule>
    <cfRule type="containsText" dxfId="1994" priority="1877" stopIfTrue="1" operator="containsText" text="SP">
      <formula>NOT(ISERROR(SEARCH("SP",AJ13)))</formula>
    </cfRule>
    <cfRule type="containsText" priority="1878" stopIfTrue="1" operator="containsText" text="SP">
      <formula>NOT(ISERROR(SEARCH("SP",AJ13)))</formula>
    </cfRule>
    <cfRule type="containsText" dxfId="1993" priority="1879" stopIfTrue="1" operator="containsText" text="AB">
      <formula>NOT(ISERROR(SEARCH("AB",AJ13)))</formula>
    </cfRule>
    <cfRule type="containsText" dxfId="1992" priority="1880" stopIfTrue="1" operator="containsText" text="HD">
      <formula>NOT(ISERROR(SEARCH("HD",AJ13)))</formula>
    </cfRule>
    <cfRule type="containsText" dxfId="1991" priority="1881" stopIfTrue="1" operator="containsText" text="AB">
      <formula>NOT(ISERROR(SEARCH("AB",AJ13)))</formula>
    </cfRule>
  </conditionalFormatting>
  <conditionalFormatting sqref="AY5:AZ5">
    <cfRule type="containsText" dxfId="1990" priority="456" operator="containsText" text="SP">
      <formula>NOT(ISERROR(SEARCH("SP",AY5)))</formula>
    </cfRule>
    <cfRule type="containsText" dxfId="1989" priority="457" operator="containsText" text="NL">
      <formula>NOT(ISERROR(SEARCH("NL",AY5)))</formula>
    </cfRule>
    <cfRule type="containsText" dxfId="1988" priority="458" operator="containsText" text="SUS">
      <formula>NOT(ISERROR(SEARCH("SUS",AY5)))</formula>
    </cfRule>
    <cfRule type="containsText" dxfId="1987" priority="459" operator="containsText" text="FL">
      <formula>NOT(ISERROR(SEARCH("FL",AY5)))</formula>
    </cfRule>
    <cfRule type="containsText" dxfId="1986" priority="460" operator="containsText" text="EL">
      <formula>NOT(ISERROR(SEARCH("EL",AY5)))</formula>
    </cfRule>
    <cfRule type="containsText" dxfId="1985" priority="461" operator="containsText" text="MC">
      <formula>NOT(ISERROR(SEARCH("MC",AY5)))</formula>
    </cfRule>
    <cfRule type="containsText" dxfId="1984" priority="462" operator="containsText" text="OFF">
      <formula>NOT(ISERROR(SEARCH("OFF",AY5)))</formula>
    </cfRule>
    <cfRule type="containsText" dxfId="1983" priority="463" operator="containsText" text="AB">
      <formula>NOT(ISERROR(SEARCH("AB",AY5)))</formula>
    </cfRule>
    <cfRule type="containsText" dxfId="1982" priority="464" operator="containsText" text="SICK">
      <formula>NOT(ISERROR(SEARCH("SICK",AY5)))</formula>
    </cfRule>
    <cfRule type="containsText" dxfId="1981" priority="465" operator="containsText" text="AL">
      <formula>NOT(ISERROR(SEARCH("AL",AY5)))</formula>
    </cfRule>
  </conditionalFormatting>
  <conditionalFormatting sqref="BK5">
    <cfRule type="containsText" dxfId="1980" priority="313" operator="containsText" text="SUS">
      <formula>NOT(ISERROR(SEARCH("SUS",BK5)))</formula>
    </cfRule>
    <cfRule type="containsText" dxfId="1979" priority="314" operator="containsText" text="FL">
      <formula>NOT(ISERROR(SEARCH("FL",BK5)))</formula>
    </cfRule>
    <cfRule type="containsText" dxfId="1978" priority="315" operator="containsText" text="MC">
      <formula>NOT(ISERROR(SEARCH("MC",BK5)))</formula>
    </cfRule>
    <cfRule type="containsText" dxfId="1977" priority="316" operator="containsText" text="AB">
      <formula>NOT(ISERROR(SEARCH("AB",BK5)))</formula>
    </cfRule>
    <cfRule type="containsText" dxfId="1976" priority="317" operator="containsText" text="Sick">
      <formula>NOT(ISERROR(SEARCH("Sick",BK5)))</formula>
    </cfRule>
    <cfRule type="containsText" dxfId="1975" priority="318" operator="containsText" text="OFF">
      <formula>NOT(ISERROR(SEARCH("OFF",BK5)))</formula>
    </cfRule>
    <cfRule type="containsText" dxfId="1974" priority="319" operator="containsText" text="AL">
      <formula>NOT(ISERROR(SEARCH("AL",BK5)))</formula>
    </cfRule>
  </conditionalFormatting>
  <conditionalFormatting sqref="BK5:BL5">
    <cfRule type="containsText" dxfId="1973" priority="304" operator="containsText" text="EL">
      <formula>NOT(ISERROR(SEARCH("EL",BK5)))</formula>
    </cfRule>
    <cfRule type="containsText" dxfId="1972" priority="309" operator="containsText" text="AB">
      <formula>NOT(ISERROR(SEARCH("AB",BK5)))</formula>
    </cfRule>
  </conditionalFormatting>
  <conditionalFormatting sqref="BL5">
    <cfRule type="containsText" dxfId="1971" priority="305" operator="containsText" text="AB">
      <formula>NOT(ISERROR(SEARCH("AB",BL5)))</formula>
    </cfRule>
    <cfRule type="containsText" dxfId="1970" priority="306" operator="containsText" text="SUS">
      <formula>NOT(ISERROR(SEARCH("SUS",BL5)))</formula>
    </cfRule>
    <cfRule type="containsText" dxfId="1969" priority="307" operator="containsText" text="FL">
      <formula>NOT(ISERROR(SEARCH("FL",BL5)))</formula>
    </cfRule>
    <cfRule type="containsText" dxfId="1968" priority="308" operator="containsText" text="MC">
      <formula>NOT(ISERROR(SEARCH("MC",BL5)))</formula>
    </cfRule>
    <cfRule type="containsText" dxfId="1967" priority="310" operator="containsText" text="Sick">
      <formula>NOT(ISERROR(SEARCH("Sick",BL5)))</formula>
    </cfRule>
    <cfRule type="containsText" dxfId="1966" priority="311" operator="containsText" text="OFF">
      <formula>NOT(ISERROR(SEARCH("OFF",BL5)))</formula>
    </cfRule>
    <cfRule type="containsText" dxfId="1965" priority="312" operator="containsText" text="AL">
      <formula>NOT(ISERROR(SEARCH("AL",BL5)))</formula>
    </cfRule>
  </conditionalFormatting>
  <conditionalFormatting sqref="BR5">
    <cfRule type="cellIs" dxfId="1964" priority="1883" stopIfTrue="1" operator="equal">
      <formula>";"</formula>
    </cfRule>
  </conditionalFormatting>
  <conditionalFormatting sqref="BR2">
    <cfRule type="cellIs" dxfId="1963" priority="1882" operator="equal">
      <formula>";"</formula>
    </cfRule>
  </conditionalFormatting>
  <conditionalFormatting sqref="BT4">
    <cfRule type="containsText" dxfId="1962" priority="1707" operator="containsText" text="SUS">
      <formula>NOT(ISERROR(SEARCH("SUS",BT4)))</formula>
    </cfRule>
    <cfRule type="containsText" dxfId="1961" priority="1708" operator="containsText" text="FL">
      <formula>NOT(ISERROR(SEARCH("FL",BT4)))</formula>
    </cfRule>
    <cfRule type="containsText" dxfId="1960" priority="1709" operator="containsText" text="MC">
      <formula>NOT(ISERROR(SEARCH("MC",BT4)))</formula>
    </cfRule>
    <cfRule type="containsText" dxfId="1959" priority="1710" operator="containsText" text="AB">
      <formula>NOT(ISERROR(SEARCH("AB",BT4)))</formula>
    </cfRule>
    <cfRule type="containsText" dxfId="1958" priority="1711" operator="containsText" text="Sick">
      <formula>NOT(ISERROR(SEARCH("Sick",BT4)))</formula>
    </cfRule>
    <cfRule type="containsText" dxfId="1957" priority="1712" operator="containsText" text="OFF">
      <formula>NOT(ISERROR(SEARCH("OFF",BT4)))</formula>
    </cfRule>
    <cfRule type="containsText" dxfId="1956" priority="1713" operator="containsText" text="AL">
      <formula>NOT(ISERROR(SEARCH("AL",BT4)))</formula>
    </cfRule>
  </conditionalFormatting>
  <conditionalFormatting sqref="BT4:BU4">
    <cfRule type="containsText" dxfId="1955" priority="1617" operator="containsText" text="AB">
      <formula>NOT(ISERROR(SEARCH("AB",BT4)))</formula>
    </cfRule>
  </conditionalFormatting>
  <conditionalFormatting sqref="BT4:BY4">
    <cfRule type="containsText" dxfId="1954" priority="1605" operator="containsText" text="EL">
      <formula>NOT(ISERROR(SEARCH("EL",BT4)))</formula>
    </cfRule>
  </conditionalFormatting>
  <conditionalFormatting sqref="BU4">
    <cfRule type="containsText" dxfId="1953" priority="1614" operator="containsText" text="SUS">
      <formula>NOT(ISERROR(SEARCH("SUS",BU4)))</formula>
    </cfRule>
    <cfRule type="containsText" dxfId="1952" priority="1615" operator="containsText" text="FL">
      <formula>NOT(ISERROR(SEARCH("FL",BU4)))</formula>
    </cfRule>
    <cfRule type="containsText" dxfId="1951" priority="1616" operator="containsText" text="MC">
      <formula>NOT(ISERROR(SEARCH("MC",BU4)))</formula>
    </cfRule>
    <cfRule type="containsText" dxfId="1950" priority="1618" operator="containsText" text="Sick">
      <formula>NOT(ISERROR(SEARCH("Sick",BU4)))</formula>
    </cfRule>
    <cfRule type="containsText" dxfId="1949" priority="1619" operator="containsText" text="OFF">
      <formula>NOT(ISERROR(SEARCH("OFF",BU4)))</formula>
    </cfRule>
    <cfRule type="containsText" dxfId="1948" priority="1620" operator="containsText" text="AL">
      <formula>NOT(ISERROR(SEARCH("AL",BU4)))</formula>
    </cfRule>
  </conditionalFormatting>
  <conditionalFormatting sqref="BU4:BV4">
    <cfRule type="containsText" dxfId="1947" priority="1610" operator="containsText" text="AB">
      <formula>NOT(ISERROR(SEARCH("AB",BU4)))</formula>
    </cfRule>
  </conditionalFormatting>
  <conditionalFormatting sqref="BV4">
    <cfRule type="containsText" dxfId="1946" priority="1606" operator="containsText" text="AB">
      <formula>NOT(ISERROR(SEARCH("AB",BV4)))</formula>
    </cfRule>
    <cfRule type="containsText" dxfId="1945" priority="1607" operator="containsText" text="SUS">
      <formula>NOT(ISERROR(SEARCH("SUS",BV4)))</formula>
    </cfRule>
    <cfRule type="containsText" dxfId="1944" priority="1608" operator="containsText" text="FL">
      <formula>NOT(ISERROR(SEARCH("FL",BV4)))</formula>
    </cfRule>
    <cfRule type="containsText" dxfId="1943" priority="1609" operator="containsText" text="MC">
      <formula>NOT(ISERROR(SEARCH("MC",BV4)))</formula>
    </cfRule>
    <cfRule type="containsText" dxfId="1942" priority="1611" operator="containsText" text="Sick">
      <formula>NOT(ISERROR(SEARCH("Sick",BV4)))</formula>
    </cfRule>
    <cfRule type="containsText" dxfId="1941" priority="1612" operator="containsText" text="OFF">
      <formula>NOT(ISERROR(SEARCH("OFF",BV4)))</formula>
    </cfRule>
    <cfRule type="containsText" dxfId="1940" priority="1613" operator="containsText" text="AL">
      <formula>NOT(ISERROR(SEARCH("AL",BV4)))</formula>
    </cfRule>
  </conditionalFormatting>
  <conditionalFormatting sqref="BW4">
    <cfRule type="containsText" dxfId="1939" priority="1721" operator="containsText" text="SUS">
      <formula>NOT(ISERROR(SEARCH("SUS",BW4)))</formula>
    </cfRule>
    <cfRule type="containsText" dxfId="1938" priority="1722" operator="containsText" text="FL">
      <formula>NOT(ISERROR(SEARCH("FL",BW4)))</formula>
    </cfRule>
    <cfRule type="containsText" dxfId="1937" priority="1723" operator="containsText" text="MC">
      <formula>NOT(ISERROR(SEARCH("MC",BW4)))</formula>
    </cfRule>
    <cfRule type="containsText" dxfId="1936" priority="1724" operator="containsText" text="AB">
      <formula>NOT(ISERROR(SEARCH("AB",BW4)))</formula>
    </cfRule>
    <cfRule type="containsText" dxfId="1935" priority="1725" operator="containsText" text="Sick">
      <formula>NOT(ISERROR(SEARCH("Sick",BW4)))</formula>
    </cfRule>
    <cfRule type="containsText" dxfId="1934" priority="1726" operator="containsText" text="OFF">
      <formula>NOT(ISERROR(SEARCH("OFF",BW4)))</formula>
    </cfRule>
    <cfRule type="containsText" dxfId="1933" priority="1727" operator="containsText" text="AL">
      <formula>NOT(ISERROR(SEARCH("AL",BW4)))</formula>
    </cfRule>
  </conditionalFormatting>
  <conditionalFormatting sqref="BW4:BY4">
    <cfRule type="containsText" dxfId="1932" priority="1625" operator="containsText" text="AB">
      <formula>NOT(ISERROR(SEARCH("AB",BW4)))</formula>
    </cfRule>
  </conditionalFormatting>
  <conditionalFormatting sqref="BX4">
    <cfRule type="containsText" dxfId="1931" priority="1621" operator="containsText" text="AB">
      <formula>NOT(ISERROR(SEARCH("AB",BX4)))</formula>
    </cfRule>
    <cfRule type="containsText" dxfId="1930" priority="1622" operator="containsText" text="SUS">
      <formula>NOT(ISERROR(SEARCH("SUS",BX4)))</formula>
    </cfRule>
    <cfRule type="containsText" dxfId="1929" priority="1623" operator="containsText" text="FL">
      <formula>NOT(ISERROR(SEARCH("FL",BX4)))</formula>
    </cfRule>
    <cfRule type="containsText" dxfId="1928" priority="1624" operator="containsText" text="MC">
      <formula>NOT(ISERROR(SEARCH("MC",BX4)))</formula>
    </cfRule>
    <cfRule type="containsText" dxfId="1927" priority="1626" operator="containsText" text="Sick">
      <formula>NOT(ISERROR(SEARCH("Sick",BX4)))</formula>
    </cfRule>
    <cfRule type="containsText" dxfId="1926" priority="1627" operator="containsText" text="OFF">
      <formula>NOT(ISERROR(SEARCH("OFF",BX4)))</formula>
    </cfRule>
    <cfRule type="containsText" dxfId="1925" priority="1628" operator="containsText" text="AL">
      <formula>NOT(ISERROR(SEARCH("AL",BX4)))</formula>
    </cfRule>
  </conditionalFormatting>
  <conditionalFormatting sqref="BY4">
    <cfRule type="containsText" dxfId="1924" priority="1629" operator="containsText" text="SUS">
      <formula>NOT(ISERROR(SEARCH("SUS",BY4)))</formula>
    </cfRule>
    <cfRule type="containsText" dxfId="1923" priority="1630" operator="containsText" text="FL">
      <formula>NOT(ISERROR(SEARCH("FL",BY4)))</formula>
    </cfRule>
    <cfRule type="containsText" dxfId="1922" priority="1631" operator="containsText" text="MC">
      <formula>NOT(ISERROR(SEARCH("MC",BY4)))</formula>
    </cfRule>
    <cfRule type="containsText" dxfId="1921" priority="1632" operator="containsText" text="AB">
      <formula>NOT(ISERROR(SEARCH("AB",BY4)))</formula>
    </cfRule>
    <cfRule type="containsText" dxfId="1920" priority="1633" operator="containsText" text="Sick">
      <formula>NOT(ISERROR(SEARCH("Sick",BY4)))</formula>
    </cfRule>
    <cfRule type="containsText" dxfId="1919" priority="1634" operator="containsText" text="OFF">
      <formula>NOT(ISERROR(SEARCH("OFF",BY4)))</formula>
    </cfRule>
    <cfRule type="containsText" dxfId="1918" priority="1635" operator="containsText" text="AL">
      <formula>NOT(ISERROR(SEARCH("AL",BY4)))</formula>
    </cfRule>
  </conditionalFormatting>
  <conditionalFormatting sqref="BZ4">
    <cfRule type="containsText" dxfId="1917" priority="1687" operator="containsText" text="SP">
      <formula>NOT(ISERROR(SEARCH("SP",BZ4)))</formula>
    </cfRule>
    <cfRule type="containsText" dxfId="1916" priority="1688" operator="containsText" text="NL">
      <formula>NOT(ISERROR(SEARCH("NL",BZ4)))</formula>
    </cfRule>
    <cfRule type="containsText" dxfId="1915" priority="1689" operator="containsText" text="SUS">
      <formula>NOT(ISERROR(SEARCH("SUS",BZ4)))</formula>
    </cfRule>
    <cfRule type="containsText" dxfId="1914" priority="1690" operator="containsText" text="FL">
      <formula>NOT(ISERROR(SEARCH("FL",BZ4)))</formula>
    </cfRule>
    <cfRule type="containsText" dxfId="1913" priority="1691" operator="containsText" text="EL">
      <formula>NOT(ISERROR(SEARCH("EL",BZ4)))</formula>
    </cfRule>
    <cfRule type="containsText" dxfId="1912" priority="1692" operator="containsText" text="MC">
      <formula>NOT(ISERROR(SEARCH("MC",BZ4)))</formula>
    </cfRule>
    <cfRule type="containsText" dxfId="1911" priority="1693" operator="containsText" text="OFF">
      <formula>NOT(ISERROR(SEARCH("OFF",BZ4)))</formula>
    </cfRule>
    <cfRule type="containsText" dxfId="1910" priority="1694" operator="containsText" text="AB">
      <formula>NOT(ISERROR(SEARCH("AB",BZ4)))</formula>
    </cfRule>
    <cfRule type="containsText" dxfId="1909" priority="1695" operator="containsText" text="SICK">
      <formula>NOT(ISERROR(SEARCH("SICK",BZ4)))</formula>
    </cfRule>
    <cfRule type="containsText" dxfId="1908" priority="1696" operator="containsText" text="AL">
      <formula>NOT(ISERROR(SEARCH("AL",BZ4)))</formula>
    </cfRule>
  </conditionalFormatting>
  <conditionalFormatting sqref="CB4:CD4">
    <cfRule type="containsText" dxfId="1907" priority="1646" operator="containsText" text="SP">
      <formula>NOT(ISERROR(SEARCH("SP",CB4)))</formula>
    </cfRule>
    <cfRule type="containsText" dxfId="1906" priority="1647" operator="containsText" text="NL">
      <formula>NOT(ISERROR(SEARCH("NL",CB4)))</formula>
    </cfRule>
    <cfRule type="containsText" dxfId="1905" priority="1648" operator="containsText" text="SUS">
      <formula>NOT(ISERROR(SEARCH("SUS",CB4)))</formula>
    </cfRule>
    <cfRule type="containsText" dxfId="1904" priority="1649" operator="containsText" text="FL">
      <formula>NOT(ISERROR(SEARCH("FL",CB4)))</formula>
    </cfRule>
    <cfRule type="containsText" dxfId="1903" priority="1650" operator="containsText" text="EL">
      <formula>NOT(ISERROR(SEARCH("EL",CB4)))</formula>
    </cfRule>
    <cfRule type="containsText" dxfId="1902" priority="1651" operator="containsText" text="MC">
      <formula>NOT(ISERROR(SEARCH("MC",CB4)))</formula>
    </cfRule>
    <cfRule type="containsText" dxfId="1901" priority="1652" operator="containsText" text="OFF">
      <formula>NOT(ISERROR(SEARCH("OFF",CB4)))</formula>
    </cfRule>
    <cfRule type="containsText" dxfId="1900" priority="1653" operator="containsText" text="AB">
      <formula>NOT(ISERROR(SEARCH("AB",CB4)))</formula>
    </cfRule>
    <cfRule type="containsText" dxfId="1899" priority="1654" operator="containsText" text="SICK">
      <formula>NOT(ISERROR(SEARCH("SICK",CB4)))</formula>
    </cfRule>
    <cfRule type="containsText" dxfId="1898" priority="1655" operator="containsText" text="AL">
      <formula>NOT(ISERROR(SEARCH("AL",CB4)))</formula>
    </cfRule>
  </conditionalFormatting>
  <conditionalFormatting sqref="C5 C7:C9">
    <cfRule type="duplicateValues" dxfId="1897" priority="12231"/>
  </conditionalFormatting>
  <conditionalFormatting sqref="C1:C5 C7:C1048576">
    <cfRule type="duplicateValues" dxfId="1896" priority="12233"/>
  </conditionalFormatting>
  <conditionalFormatting sqref="C1:C1048576">
    <cfRule type="duplicateValues" dxfId="1895" priority="12237"/>
  </conditionalFormatting>
  <pageMargins left="0.7" right="0.7" top="0.75" bottom="0.75" header="0.3" footer="0.3"/>
  <pageSetup paperSize="9" scale="1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</vt:lpstr>
      <vt:lpstr>SURIYA</vt:lpstr>
      <vt:lpstr>arun</vt:lpstr>
      <vt:lpstr>karim</vt:lpstr>
      <vt:lpstr>Enamul Hoque</vt:lpstr>
      <vt:lpstr>MD SAHMAD</vt:lpstr>
      <vt:lpstr>Sumon</vt:lpstr>
      <vt:lpstr>Rumi</vt:lpstr>
      <vt:lpstr>Saswati</vt:lpstr>
      <vt:lpstr>Manik Hossain</vt:lpstr>
      <vt:lpstr>Anuj Mishra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2026-06-16T11:07:53Z</cp:lastPrinted>
  <dcterms:created xsi:type="dcterms:W3CDTF">2025-11-02T11:29:49Z</dcterms:created>
  <dcterms:modified xsi:type="dcterms:W3CDTF">2026-10-30T09:26:02Z</dcterms:modified>
</cp:coreProperties>
</file>