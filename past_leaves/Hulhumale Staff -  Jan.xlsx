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"/>
    </mc:Choice>
  </mc:AlternateContent>
  <xr:revisionPtr revIDLastSave="0" documentId="8_{BE46DBA4-A4DE-4873-BD48-DC014B5F4D13}" xr6:coauthVersionLast="47" xr6:coauthVersionMax="47" xr10:uidLastSave="{00000000-0000-0000-0000-000000000000}"/>
  <bookViews>
    <workbookView xWindow="-120" yWindow="-120" windowWidth="29040" windowHeight="15840" xr2:uid="{F40E51D0-06DA-454F-A274-231ADDE8369D}"/>
  </bookViews>
  <sheets>
    <sheet name="MASTER" sheetId="1" r:id="rId1"/>
  </sheets>
  <externalReferences>
    <externalReference r:id="rId2"/>
  </externalReferences>
  <definedNames>
    <definedName name="_xlnm._FilterDatabase" localSheetId="0" hidden="1">MASTER!$CI$4:$CS$4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S36" i="1" l="1"/>
  <c r="CS35" i="1"/>
  <c r="CS34" i="1"/>
  <c r="CS33" i="1"/>
  <c r="CS32" i="1"/>
  <c r="CS31" i="1"/>
  <c r="CS30" i="1"/>
  <c r="CS29" i="1"/>
  <c r="CS28" i="1"/>
  <c r="CS27" i="1"/>
  <c r="CS26" i="1"/>
  <c r="CS25" i="1"/>
  <c r="CS24" i="1"/>
  <c r="CS23" i="1"/>
  <c r="CS22" i="1"/>
  <c r="CS21" i="1"/>
  <c r="CS20" i="1"/>
  <c r="CS19" i="1"/>
  <c r="CS18" i="1"/>
  <c r="CS17" i="1"/>
  <c r="CS10" i="1"/>
  <c r="CS9" i="1"/>
  <c r="CS8" i="1"/>
  <c r="CS7" i="1"/>
  <c r="CS6" i="1"/>
  <c r="CS5" i="1"/>
  <c r="BR18" i="1" l="1"/>
  <c r="BS18" i="1"/>
  <c r="BT18" i="1"/>
  <c r="BU18" i="1"/>
  <c r="BV18" i="1"/>
  <c r="BW18" i="1"/>
  <c r="BX18" i="1"/>
  <c r="BY18" i="1"/>
  <c r="BZ18" i="1"/>
  <c r="CA18" i="1"/>
  <c r="CB18" i="1"/>
  <c r="CC18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R7" i="1"/>
  <c r="BS7" i="1"/>
  <c r="BT7" i="1"/>
  <c r="BU7" i="1"/>
  <c r="BV7" i="1"/>
  <c r="BW7" i="1"/>
  <c r="BX7" i="1"/>
  <c r="BY7" i="1"/>
  <c r="BZ7" i="1"/>
  <c r="CA7" i="1"/>
  <c r="CB7" i="1"/>
  <c r="CC7" i="1"/>
  <c r="BP36" i="1" l="1"/>
  <c r="BP35" i="1"/>
  <c r="BP7" i="1"/>
  <c r="BR51" i="1" l="1"/>
  <c r="BS51" i="1"/>
  <c r="BT51" i="1"/>
  <c r="BU51" i="1"/>
  <c r="BV51" i="1"/>
  <c r="BW51" i="1"/>
  <c r="BX51" i="1"/>
  <c r="BY51" i="1"/>
  <c r="BZ51" i="1"/>
  <c r="CA51" i="1"/>
  <c r="CB51" i="1"/>
  <c r="CC51" i="1"/>
  <c r="BP17" i="1" l="1"/>
  <c r="BP27" i="1"/>
  <c r="BP34" i="1"/>
  <c r="BP30" i="1"/>
  <c r="BP26" i="1"/>
  <c r="BP23" i="1"/>
  <c r="BP20" i="1"/>
  <c r="BP32" i="1"/>
  <c r="BP28" i="1"/>
  <c r="BP33" i="1"/>
  <c r="BP31" i="1"/>
  <c r="BP29" i="1"/>
  <c r="BP25" i="1"/>
  <c r="BP24" i="1"/>
  <c r="BP51" i="1"/>
  <c r="BP22" i="1"/>
  <c r="BP21" i="1"/>
  <c r="BP19" i="1"/>
  <c r="BP18" i="1"/>
  <c r="CC50" i="1" l="1"/>
  <c r="CB50" i="1"/>
  <c r="CA50" i="1"/>
  <c r="BZ50" i="1"/>
  <c r="BY50" i="1"/>
  <c r="BX50" i="1"/>
  <c r="BW50" i="1"/>
  <c r="BV50" i="1"/>
  <c r="BU50" i="1"/>
  <c r="BT50" i="1"/>
  <c r="BS50" i="1"/>
  <c r="BR50" i="1"/>
  <c r="B10" i="1"/>
  <c r="B9" i="1"/>
  <c r="B8" i="1"/>
  <c r="B6" i="1"/>
  <c r="B5" i="1"/>
  <c r="BU8" i="1" l="1"/>
  <c r="BY8" i="1"/>
  <c r="CC8" i="1"/>
  <c r="BS8" i="1"/>
  <c r="BR8" i="1"/>
  <c r="BV8" i="1"/>
  <c r="BZ8" i="1"/>
  <c r="CA8" i="1"/>
  <c r="BT8" i="1"/>
  <c r="BX8" i="1"/>
  <c r="CB8" i="1"/>
  <c r="BW8" i="1"/>
  <c r="CC5" i="1"/>
  <c r="BY5" i="1"/>
  <c r="BU5" i="1"/>
  <c r="BR5" i="1"/>
  <c r="CB5" i="1"/>
  <c r="BX5" i="1"/>
  <c r="BT5" i="1"/>
  <c r="CA5" i="1"/>
  <c r="BS5" i="1"/>
  <c r="BZ5" i="1"/>
  <c r="BV5" i="1"/>
  <c r="BW5" i="1"/>
  <c r="BU9" i="1"/>
  <c r="BY9" i="1"/>
  <c r="CC9" i="1"/>
  <c r="BS9" i="1"/>
  <c r="BR9" i="1"/>
  <c r="BV9" i="1"/>
  <c r="BZ9" i="1"/>
  <c r="CA9" i="1"/>
  <c r="BT9" i="1"/>
  <c r="BX9" i="1"/>
  <c r="CB9" i="1"/>
  <c r="BW9" i="1"/>
  <c r="BU6" i="1"/>
  <c r="BY6" i="1"/>
  <c r="CC6" i="1"/>
  <c r="BR6" i="1"/>
  <c r="BV6" i="1"/>
  <c r="BZ6" i="1"/>
  <c r="BW6" i="1"/>
  <c r="BS6" i="1"/>
  <c r="BT6" i="1"/>
  <c r="BX6" i="1"/>
  <c r="CB6" i="1"/>
  <c r="CA6" i="1"/>
  <c r="BU10" i="1"/>
  <c r="BY10" i="1"/>
  <c r="CC10" i="1"/>
  <c r="BS10" i="1"/>
  <c r="BR10" i="1"/>
  <c r="BV10" i="1"/>
  <c r="BZ10" i="1"/>
  <c r="BW10" i="1"/>
  <c r="BT10" i="1"/>
  <c r="BX10" i="1"/>
  <c r="CB10" i="1"/>
  <c r="CA10" i="1"/>
  <c r="BP50" i="1"/>
  <c r="BP5" i="1" l="1"/>
  <c r="BP9" i="1"/>
  <c r="BP10" i="1"/>
  <c r="BP6" i="1"/>
  <c r="BP8" i="1"/>
</calcChain>
</file>

<file path=xl/sharedStrings.xml><?xml version="1.0" encoding="utf-8"?>
<sst xmlns="http://schemas.openxmlformats.org/spreadsheetml/2006/main" count="481" uniqueCount="107">
  <si>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</si>
  <si>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</si>
  <si>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</si>
  <si>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</si>
  <si>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</si>
  <si>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</si>
  <si>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</si>
  <si>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</si>
  <si>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</si>
  <si>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</si>
  <si>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</si>
  <si>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</si>
  <si>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</si>
  <si>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</si>
  <si>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</si>
  <si>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</si>
  <si>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</si>
  <si>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</si>
  <si>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</si>
  <si>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</si>
  <si>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</si>
  <si>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</si>
  <si>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</si>
  <si>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</si>
  <si>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</si>
  <si>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</si>
  <si>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</si>
  <si>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MD Al Amin</t>
  </si>
  <si>
    <t>Akter Hossain</t>
  </si>
  <si>
    <t>MD Rasel</t>
  </si>
  <si>
    <t>Mohamed Rameez Kariapper</t>
  </si>
  <si>
    <t>Rathnasiri Perera Egodage</t>
  </si>
  <si>
    <t>James Chinnappan</t>
  </si>
  <si>
    <t>FOREIGN JUNIOR STAFFS</t>
  </si>
  <si>
    <t>MAD0246</t>
  </si>
  <si>
    <t>Sharif Uddin</t>
  </si>
  <si>
    <t>MAD0454</t>
  </si>
  <si>
    <t>Mohamed Hidayathulla Abdeen</t>
  </si>
  <si>
    <t>MAD0556</t>
  </si>
  <si>
    <t>GRAPESON EDWARD</t>
  </si>
  <si>
    <t>MAD0598</t>
  </si>
  <si>
    <t>MD Jihad Hossain</t>
  </si>
  <si>
    <t>MAD0600</t>
  </si>
  <si>
    <t>Kabir Hossain</t>
  </si>
  <si>
    <t>MAD0605</t>
  </si>
  <si>
    <t>MD Zahir Mia</t>
  </si>
  <si>
    <t>MAD0607</t>
  </si>
  <si>
    <t>MD MUKUL ALI</t>
  </si>
  <si>
    <t>MAD0621</t>
  </si>
  <si>
    <t>Manuyar Sekh</t>
  </si>
  <si>
    <t>MAD0627</t>
  </si>
  <si>
    <t>Manirul Laskar</t>
  </si>
  <si>
    <t>MAD0637</t>
  </si>
  <si>
    <t>Alisan</t>
  </si>
  <si>
    <t>MAD0654</t>
  </si>
  <si>
    <t>MAD0657</t>
  </si>
  <si>
    <t>Firoj Pawariya</t>
  </si>
  <si>
    <t>MAD0658</t>
  </si>
  <si>
    <t>Javed Alam</t>
  </si>
  <si>
    <t>MAD0671</t>
  </si>
  <si>
    <t>Najare Alam Ansari</t>
  </si>
  <si>
    <t>MAD0685</t>
  </si>
  <si>
    <t>MD ABDUS SAMAD</t>
  </si>
  <si>
    <t>MAD0207</t>
  </si>
  <si>
    <t>Abdul Hafiz</t>
  </si>
  <si>
    <t>MAD0691</t>
  </si>
  <si>
    <t>Sahadat Hossen</t>
  </si>
  <si>
    <t>MAD0692</t>
  </si>
  <si>
    <t>MD Aman Miea</t>
  </si>
  <si>
    <t>MAD0712</t>
  </si>
  <si>
    <t>MD Rumon Ali</t>
  </si>
  <si>
    <t>MAD0722</t>
  </si>
  <si>
    <t>Saddam Hossen</t>
  </si>
  <si>
    <t>Prepared By:</t>
  </si>
  <si>
    <t>Checked By:</t>
  </si>
  <si>
    <t>Approved By</t>
  </si>
  <si>
    <t>MUNESWARI SANDRAPALLI</t>
  </si>
  <si>
    <t>Hussain Mahir</t>
  </si>
  <si>
    <t>Moosa Ahmed</t>
  </si>
  <si>
    <t>HR Executive</t>
  </si>
  <si>
    <t>Office Manager</t>
  </si>
  <si>
    <t>Chairman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</si>
  <si>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</si>
  <si>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</si>
  <si>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</si>
  <si>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</si>
  <si>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</si>
  <si>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</si>
  <si>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</si>
  <si>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</si>
  <si>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</si>
  <si>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</si>
  <si>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</si>
  <si>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 xml:space="preserve"> </t>
  </si>
  <si>
    <t>Pls don’t Remove below data</t>
  </si>
  <si>
    <t xml:space="preserve">Used Leave Totals (Running Year, up to end of this month - Nov 2025) </t>
  </si>
  <si>
    <t>Total</t>
  </si>
  <si>
    <t>MD Imran Ali</t>
  </si>
  <si>
    <t>Attendance for JANUARY 2026 - Hulhumale Foreign  Staff</t>
  </si>
  <si>
    <t>Attendance for  JANUARY 2026 - Hulhumale Junior  Staff</t>
  </si>
  <si>
    <t>MDA0196</t>
  </si>
  <si>
    <t>MAD0745</t>
  </si>
  <si>
    <t>MAD0744</t>
  </si>
  <si>
    <t>Alamgir Hosain</t>
  </si>
  <si>
    <t>Saddam Hosssian</t>
  </si>
  <si>
    <t>SICK</t>
  </si>
  <si>
    <t>JOINING ON 6TH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</si>
</sst>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theme="1"/>
      <name val="Segoe UI"/>
      <family val="2"/>
      <charset val="1"/>
    </font>
    <font>
      <sz val="11"/>
      <color theme="1"/>
      <name val="Segoe U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b/>
      <sz val="12"/>
      <color theme="1"/>
      <name val="Arial Black"/>
      <family val="2"/>
    </font>
    <font>
      <b/>
      <sz val="11"/>
      <color theme="1"/>
      <name val="Segoe UI"/>
      <family val="2"/>
      <charset val="1"/>
    </font>
    <font>
      <b/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2"/>
      <color theme="1"/>
      <name val="Segoe U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Segoe UI"/>
      <family val="2"/>
    </font>
    <font>
      <sz val="8"/>
      <color theme="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9.9"/>
      <color rgb="FF1E293B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2">
    <xf numFmtId="0" fontId="0" fillId="0" borderId="0"/>
    <xf numFmtId="0" fontId="11" fillId="0" borderId="0"/>
  </cellStyleXfs>
  <cellXfs count="117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14" fillId="7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8" fillId="8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20" fontId="0" fillId="4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0" fontId="0" fillId="4" borderId="2" xfId="0" applyNumberFormat="1" applyFill="1" applyBorder="1" applyAlignment="1">
      <alignment horizontal="center" vertical="center"/>
    </xf>
    <xf numFmtId="20" fontId="1" fillId="4" borderId="2" xfId="0" applyNumberFormat="1" applyFont="1" applyFill="1" applyBorder="1" applyAlignment="1">
      <alignment horizontal="center" vertical="center"/>
    </xf>
    <xf numFmtId="20" fontId="16" fillId="4" borderId="2" xfId="0" applyNumberFormat="1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20" fontId="0" fillId="4" borderId="2" xfId="0" applyNumberFormat="1" applyFill="1" applyBorder="1" applyAlignment="1">
      <alignment horizontal="center" vertical="center" wrapText="1"/>
    </xf>
    <xf numFmtId="20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20" fontId="18" fillId="4" borderId="2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23" fillId="0" borderId="0" xfId="0" applyFont="1"/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2" fillId="0" borderId="0" xfId="0" applyFont="1"/>
    <xf numFmtId="164" fontId="20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 wrapText="1"/>
    </xf>
    <xf numFmtId="164" fontId="25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64" fontId="20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0" fillId="0" borderId="0" xfId="0" applyFont="1"/>
    <xf numFmtId="0" fontId="22" fillId="0" borderId="0" xfId="0" applyFont="1" applyAlignment="1">
      <alignment vertical="center"/>
    </xf>
    <xf numFmtId="0" fontId="26" fillId="0" borderId="0" xfId="0" applyFont="1"/>
    <xf numFmtId="164" fontId="22" fillId="0" borderId="0" xfId="0" applyNumberFormat="1" applyFont="1" applyAlignment="1">
      <alignment horizontal="center" vertical="center"/>
    </xf>
    <xf numFmtId="0" fontId="27" fillId="10" borderId="0" xfId="0" applyFont="1" applyFill="1" applyAlignment="1">
      <alignment vertical="center"/>
    </xf>
    <xf numFmtId="0" fontId="27" fillId="1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7" fillId="11" borderId="0" xfId="0" applyFont="1" applyFill="1" applyAlignment="1">
      <alignment vertical="center"/>
    </xf>
    <xf numFmtId="0" fontId="27" fillId="11" borderId="0" xfId="0" applyFont="1" applyFill="1" applyAlignment="1">
      <alignment horizontal="left" vertical="center"/>
    </xf>
    <xf numFmtId="0" fontId="23" fillId="11" borderId="0" xfId="0" applyFont="1" applyFill="1"/>
    <xf numFmtId="0" fontId="28" fillId="0" borderId="0" xfId="0" applyFont="1" applyAlignment="1">
      <alignment vertical="center"/>
    </xf>
    <xf numFmtId="49" fontId="27" fillId="11" borderId="0" xfId="0" applyNumberFormat="1" applyFont="1" applyFill="1" applyAlignment="1">
      <alignment vertical="center"/>
    </xf>
    <xf numFmtId="49" fontId="27" fillId="11" borderId="0" xfId="0" applyNumberFormat="1" applyFont="1" applyFill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15" fontId="7" fillId="3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5" fontId="1" fillId="3" borderId="4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15" fontId="1" fillId="4" borderId="8" xfId="0" applyNumberFormat="1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" fontId="8" fillId="4" borderId="8" xfId="0" applyNumberFormat="1" applyFont="1" applyFill="1" applyBorder="1" applyAlignment="1">
      <alignment horizontal="center" vertical="center"/>
    </xf>
    <xf numFmtId="20" fontId="0" fillId="4" borderId="8" xfId="0" applyNumberFormat="1" applyFill="1" applyBorder="1" applyAlignment="1">
      <alignment horizontal="center" vertical="center"/>
    </xf>
    <xf numFmtId="0" fontId="10" fillId="0" borderId="3" xfId="1" applyFont="1" applyBorder="1" applyAlignment="1">
      <alignment horizontal="left" vertical="center" wrapText="1"/>
    </xf>
    <xf numFmtId="20" fontId="0" fillId="4" borderId="4" xfId="0" applyNumberForma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" fontId="8" fillId="8" borderId="4" xfId="0" applyNumberFormat="1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20" fontId="1" fillId="12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2" fillId="13" borderId="7" xfId="0" applyFont="1" applyFill="1" applyBorder="1" applyAlignment="1">
      <alignment horizontal="center" vertical="center"/>
    </xf>
    <xf numFmtId="0" fontId="12" fillId="13" borderId="9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21" fillId="14" borderId="4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20" fontId="31" fillId="4" borderId="2" xfId="0" applyNumberFormat="1" applyFont="1" applyFill="1" applyBorder="1" applyAlignment="1">
      <alignment horizontal="center" vertical="center" wrapText="1"/>
    </xf>
    <xf numFmtId="0" fontId="31" fillId="4" borderId="2" xfId="0" applyFont="1" applyFill="1" applyBorder="1" applyAlignment="1">
      <alignment horizontal="center" vertical="center" wrapText="1"/>
    </xf>
    <xf numFmtId="1" fontId="31" fillId="4" borderId="2" xfId="0" applyNumberFormat="1" applyFont="1" applyFill="1" applyBorder="1" applyAlignment="1">
      <alignment horizontal="center" vertical="center" wrapText="1"/>
    </xf>
    <xf numFmtId="20" fontId="32" fillId="12" borderId="2" xfId="0" applyNumberFormat="1" applyFont="1" applyFill="1" applyBorder="1" applyAlignment="1">
      <alignment horizontal="center" vertical="center" wrapText="1"/>
    </xf>
    <xf numFmtId="1" fontId="32" fillId="12" borderId="2" xfId="0" applyNumberFormat="1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 wrapText="1"/>
    </xf>
    <xf numFmtId="0" fontId="33" fillId="4" borderId="11" xfId="0" applyFont="1" applyFill="1" applyBorder="1" applyAlignment="1">
      <alignment horizontal="center" vertical="center" wrapText="1"/>
    </xf>
    <xf numFmtId="0" fontId="33" fillId="4" borderId="12" xfId="0" applyFont="1" applyFill="1" applyBorder="1" applyAlignment="1">
      <alignment horizontal="center" vertical="center" wrapText="1"/>
    </xf>
    <xf numFmtId="15" fontId="7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0" fillId="9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F39DB161-B07E-461D-8D78-25E91806D304}"/>
  </cellStyles>
  <dxfs count="28"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go\MANGO%20SHARE\HR&amp;Admin\0.%20ATTENDANCE\2025\10%20October%202025\Sep%20%202025%20-_Hulhumale%20Foreig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lhumale Staffs_ Sep 2025"/>
      <sheetName val="Food (1-15 Sep"/>
      <sheetName val="Food (16-30 Sep)"/>
    </sheetNames>
    <sheetDataSet>
      <sheetData sheetId="0">
        <row r="5">
          <cell r="B5" t="str">
            <v>MAD0244</v>
          </cell>
        </row>
        <row r="6">
          <cell r="B6" t="str">
            <v>MAD0226</v>
          </cell>
        </row>
        <row r="8">
          <cell r="B8" t="str">
            <v>MAD0457</v>
          </cell>
        </row>
        <row r="9">
          <cell r="B9" t="str">
            <v>MAD0569</v>
          </cell>
        </row>
        <row r="11">
          <cell r="B11" t="str">
            <v>MAD0699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E187-7A0C-4228-9444-8A342039E6A5}">
  <sheetPr>
    <pageSetUpPr fitToPage="1"/>
  </sheetPr>
  <dimension ref="A1:CS51"/>
  <sheetViews>
    <sheetView tabSelected="1" workbookViewId="0">
      <pane xSplit="3" ySplit="4" topLeftCell="D26" activePane="bottomRight" state="frozen"/>
      <selection pane="topRight" activeCell="D1" sqref="D1"/>
      <selection pane="bottomLeft" activeCell="A5" sqref="A5"/>
      <selection pane="bottomRight" activeCell="Q35" sqref="Q35"/>
    </sheetView>
  </sheetViews>
  <sheetFormatPr defaultRowHeight="15" x14ac:dyDescent="0.25"/>
  <cols>
    <col min="1" max="1" width="5" customWidth="1"/>
    <col min="2" max="2" width="10.85546875" style="22" customWidth="1"/>
    <col min="3" max="3" width="27.28515625" customWidth="1"/>
    <col min="4" max="33" width="6.42578125" customWidth="1"/>
    <col min="34" max="34" width="5.28515625" customWidth="1"/>
    <col min="35" max="35" width="5" customWidth="1"/>
    <col min="36" max="67" width="6.42578125" customWidth="1"/>
    <col min="68" max="81" width="5.140625" customWidth="1"/>
    <col min="82" max="82" width="20" customWidth="1"/>
    <col min="87" max="96" width="7.140625" customWidth="1"/>
  </cols>
  <sheetData>
    <row r="1" spans="1:97" ht="24" customHeight="1" x14ac:dyDescent="0.25">
      <c r="A1" s="109" t="s">
        <v>98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0"/>
      <c r="AH1" s="69"/>
      <c r="AI1" s="111" t="s">
        <v>98</v>
      </c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</row>
    <row r="2" spans="1:97" ht="18.75" x14ac:dyDescent="0.25">
      <c r="A2" s="112" t="s">
        <v>0</v>
      </c>
      <c r="B2" s="112"/>
      <c r="C2" s="112"/>
      <c r="D2" s="105" t="s">
        <v>2</v>
      </c>
      <c r="E2" s="105"/>
      <c r="F2" s="105" t="s">
        <v>3</v>
      </c>
      <c r="G2" s="105"/>
      <c r="H2" s="105" t="s">
        <v>4</v>
      </c>
      <c r="I2" s="105"/>
      <c r="J2" s="105" t="s">
        <v>5</v>
      </c>
      <c r="K2" s="105"/>
      <c r="L2" s="105" t="s">
        <v>6</v>
      </c>
      <c r="M2" s="105"/>
      <c r="N2" s="105" t="s">
        <v>7</v>
      </c>
      <c r="O2" s="105"/>
      <c r="P2" s="105" t="s">
        <v>1</v>
      </c>
      <c r="Q2" s="105"/>
      <c r="R2" s="105" t="s">
        <v>2</v>
      </c>
      <c r="S2" s="105"/>
      <c r="T2" s="105" t="s">
        <v>3</v>
      </c>
      <c r="U2" s="105"/>
      <c r="V2" s="105" t="s">
        <v>4</v>
      </c>
      <c r="W2" s="105"/>
      <c r="X2" s="105" t="s">
        <v>5</v>
      </c>
      <c r="Y2" s="105"/>
      <c r="Z2" s="105" t="s">
        <v>6</v>
      </c>
      <c r="AA2" s="105"/>
      <c r="AB2" s="105" t="s">
        <v>7</v>
      </c>
      <c r="AC2" s="105"/>
      <c r="AD2" s="105" t="s">
        <v>1</v>
      </c>
      <c r="AE2" s="105"/>
      <c r="AF2" s="105" t="s">
        <v>2</v>
      </c>
      <c r="AG2" s="105"/>
      <c r="AH2" s="70"/>
      <c r="AI2" s="35"/>
      <c r="AJ2" s="105" t="s">
        <v>3</v>
      </c>
      <c r="AK2" s="105"/>
      <c r="AL2" s="105" t="s">
        <v>4</v>
      </c>
      <c r="AM2" s="105"/>
      <c r="AN2" s="105" t="s">
        <v>5</v>
      </c>
      <c r="AO2" s="105"/>
      <c r="AP2" s="105" t="s">
        <v>6</v>
      </c>
      <c r="AQ2" s="105"/>
      <c r="AR2" s="105" t="s">
        <v>7</v>
      </c>
      <c r="AS2" s="105"/>
      <c r="AT2" s="105" t="s">
        <v>1</v>
      </c>
      <c r="AU2" s="105"/>
      <c r="AV2" s="105" t="s">
        <v>2</v>
      </c>
      <c r="AW2" s="105"/>
      <c r="AX2" s="105" t="s">
        <v>3</v>
      </c>
      <c r="AY2" s="105"/>
      <c r="AZ2" s="105" t="s">
        <v>4</v>
      </c>
      <c r="BA2" s="105"/>
      <c r="BB2" s="105" t="s">
        <v>5</v>
      </c>
      <c r="BC2" s="105"/>
      <c r="BD2" s="105" t="s">
        <v>6</v>
      </c>
      <c r="BE2" s="105"/>
      <c r="BF2" s="105" t="s">
        <v>7</v>
      </c>
      <c r="BG2" s="105"/>
      <c r="BH2" s="105" t="s">
        <v>1</v>
      </c>
      <c r="BI2" s="105"/>
      <c r="BJ2" s="105" t="s">
        <v>2</v>
      </c>
      <c r="BK2" s="105"/>
      <c r="BL2" s="105" t="s">
        <v>3</v>
      </c>
      <c r="BM2" s="105"/>
      <c r="BN2" s="105" t="s">
        <v>4</v>
      </c>
      <c r="BO2" s="105"/>
      <c r="BP2" s="106" t="s">
        <v>8</v>
      </c>
      <c r="BQ2" s="106" t="s">
        <v>9</v>
      </c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I2" s="115" t="s">
        <v>94</v>
      </c>
      <c r="CJ2" s="115"/>
      <c r="CK2" s="115"/>
      <c r="CL2" s="115"/>
      <c r="CM2" s="115"/>
      <c r="CN2" s="115"/>
      <c r="CO2" s="115"/>
      <c r="CP2" s="115"/>
      <c r="CQ2" s="115"/>
      <c r="CR2" s="115"/>
      <c r="CS2" s="21"/>
    </row>
    <row r="3" spans="1:97" ht="18.75" x14ac:dyDescent="0.25">
      <c r="A3" s="112"/>
      <c r="B3" s="112"/>
      <c r="C3" s="112"/>
      <c r="D3" s="104">
        <v>46023</v>
      </c>
      <c r="E3" s="104"/>
      <c r="F3" s="104">
        <v>46024</v>
      </c>
      <c r="G3" s="104"/>
      <c r="H3" s="104">
        <v>46025</v>
      </c>
      <c r="I3" s="104"/>
      <c r="J3" s="104">
        <v>46026</v>
      </c>
      <c r="K3" s="104"/>
      <c r="L3" s="104">
        <v>46027</v>
      </c>
      <c r="M3" s="104"/>
      <c r="N3" s="104">
        <v>46028</v>
      </c>
      <c r="O3" s="104"/>
      <c r="P3" s="104">
        <v>46029</v>
      </c>
      <c r="Q3" s="104"/>
      <c r="R3" s="104">
        <v>46030</v>
      </c>
      <c r="S3" s="104"/>
      <c r="T3" s="104">
        <v>46031</v>
      </c>
      <c r="U3" s="104"/>
      <c r="V3" s="104">
        <v>46032</v>
      </c>
      <c r="W3" s="104"/>
      <c r="X3" s="104">
        <v>46033</v>
      </c>
      <c r="Y3" s="104"/>
      <c r="Z3" s="104">
        <v>46034</v>
      </c>
      <c r="AA3" s="104"/>
      <c r="AB3" s="104">
        <v>46035</v>
      </c>
      <c r="AC3" s="104"/>
      <c r="AD3" s="104">
        <v>46036</v>
      </c>
      <c r="AE3" s="104"/>
      <c r="AF3" s="104">
        <v>46037</v>
      </c>
      <c r="AG3" s="104"/>
      <c r="AH3" s="71"/>
      <c r="AI3" s="66"/>
      <c r="AJ3" s="104">
        <v>46038</v>
      </c>
      <c r="AK3" s="104"/>
      <c r="AL3" s="104">
        <v>46039</v>
      </c>
      <c r="AM3" s="104"/>
      <c r="AN3" s="104">
        <v>46040</v>
      </c>
      <c r="AO3" s="104"/>
      <c r="AP3" s="104">
        <v>46041</v>
      </c>
      <c r="AQ3" s="104"/>
      <c r="AR3" s="104">
        <v>46042</v>
      </c>
      <c r="AS3" s="104"/>
      <c r="AT3" s="104">
        <v>46043</v>
      </c>
      <c r="AU3" s="104"/>
      <c r="AV3" s="104">
        <v>46044</v>
      </c>
      <c r="AW3" s="104"/>
      <c r="AX3" s="104">
        <v>46045</v>
      </c>
      <c r="AY3" s="104"/>
      <c r="AZ3" s="104">
        <v>46046</v>
      </c>
      <c r="BA3" s="104"/>
      <c r="BB3" s="104">
        <v>46047</v>
      </c>
      <c r="BC3" s="104"/>
      <c r="BD3" s="104">
        <v>46048</v>
      </c>
      <c r="BE3" s="104"/>
      <c r="BF3" s="104">
        <v>46049</v>
      </c>
      <c r="BG3" s="104"/>
      <c r="BH3" s="104">
        <v>46050</v>
      </c>
      <c r="BI3" s="104"/>
      <c r="BJ3" s="104">
        <v>46051</v>
      </c>
      <c r="BK3" s="104"/>
      <c r="BL3" s="104">
        <v>46052</v>
      </c>
      <c r="BM3" s="104"/>
      <c r="BN3" s="104">
        <v>46053</v>
      </c>
      <c r="BO3" s="104"/>
      <c r="BP3" s="106"/>
      <c r="BQ3" s="106"/>
      <c r="BR3" s="2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4"/>
      <c r="CI3" s="85" t="s">
        <v>95</v>
      </c>
      <c r="CJ3" s="85"/>
      <c r="CK3" s="85"/>
      <c r="CL3" s="85"/>
      <c r="CM3" s="85"/>
      <c r="CN3" s="85"/>
      <c r="CO3" s="85"/>
      <c r="CP3" s="85"/>
      <c r="CQ3" s="85"/>
      <c r="CR3" s="85"/>
      <c r="CS3" s="21"/>
    </row>
    <row r="4" spans="1:97" ht="18.75" customHeight="1" x14ac:dyDescent="0.25">
      <c r="A4" s="5" t="s">
        <v>10</v>
      </c>
      <c r="B4" s="5" t="s">
        <v>11</v>
      </c>
      <c r="C4" s="5" t="s">
        <v>12</v>
      </c>
      <c r="D4" s="81" t="s">
        <v>13</v>
      </c>
      <c r="E4" s="81" t="s">
        <v>14</v>
      </c>
      <c r="F4" s="81" t="s">
        <v>13</v>
      </c>
      <c r="G4" s="81" t="s">
        <v>14</v>
      </c>
      <c r="H4" s="81" t="s">
        <v>13</v>
      </c>
      <c r="I4" s="81" t="s">
        <v>14</v>
      </c>
      <c r="J4" s="81" t="s">
        <v>13</v>
      </c>
      <c r="K4" s="81" t="s">
        <v>14</v>
      </c>
      <c r="L4" s="81" t="s">
        <v>13</v>
      </c>
      <c r="M4" s="81" t="s">
        <v>14</v>
      </c>
      <c r="N4" s="81" t="s">
        <v>13</v>
      </c>
      <c r="O4" s="81" t="s">
        <v>14</v>
      </c>
      <c r="P4" s="13" t="s">
        <v>13</v>
      </c>
      <c r="Q4" s="13" t="s">
        <v>14</v>
      </c>
      <c r="R4" s="13" t="s">
        <v>13</v>
      </c>
      <c r="S4" s="13" t="s">
        <v>14</v>
      </c>
      <c r="T4" s="13" t="s">
        <v>13</v>
      </c>
      <c r="U4" s="13" t="s">
        <v>14</v>
      </c>
      <c r="V4" s="13" t="s">
        <v>13</v>
      </c>
      <c r="W4" s="13" t="s">
        <v>14</v>
      </c>
      <c r="X4" s="13" t="s">
        <v>13</v>
      </c>
      <c r="Y4" s="13" t="s">
        <v>14</v>
      </c>
      <c r="Z4" s="13" t="s">
        <v>13</v>
      </c>
      <c r="AA4" s="13" t="s">
        <v>14</v>
      </c>
      <c r="AB4" s="13" t="s">
        <v>13</v>
      </c>
      <c r="AC4" s="13" t="s">
        <v>14</v>
      </c>
      <c r="AD4" s="13" t="s">
        <v>13</v>
      </c>
      <c r="AE4" s="13" t="s">
        <v>14</v>
      </c>
      <c r="AF4" s="13" t="s">
        <v>13</v>
      </c>
      <c r="AG4" s="1" t="s">
        <v>14</v>
      </c>
      <c r="AH4" s="70"/>
      <c r="AI4" s="35"/>
      <c r="AJ4" s="13" t="s">
        <v>13</v>
      </c>
      <c r="AK4" s="13" t="s">
        <v>14</v>
      </c>
      <c r="AL4" s="13" t="s">
        <v>13</v>
      </c>
      <c r="AM4" s="13" t="s">
        <v>14</v>
      </c>
      <c r="AN4" s="13" t="s">
        <v>13</v>
      </c>
      <c r="AO4" s="13" t="s">
        <v>14</v>
      </c>
      <c r="AP4" s="13" t="s">
        <v>13</v>
      </c>
      <c r="AQ4" s="13" t="s">
        <v>14</v>
      </c>
      <c r="AR4" s="13" t="s">
        <v>13</v>
      </c>
      <c r="AS4" s="13" t="s">
        <v>14</v>
      </c>
      <c r="AT4" s="13" t="s">
        <v>13</v>
      </c>
      <c r="AU4" s="13" t="s">
        <v>14</v>
      </c>
      <c r="AV4" s="13" t="s">
        <v>13</v>
      </c>
      <c r="AW4" s="13" t="s">
        <v>14</v>
      </c>
      <c r="AX4" s="13" t="s">
        <v>13</v>
      </c>
      <c r="AY4" s="13" t="s">
        <v>14</v>
      </c>
      <c r="AZ4" s="13" t="s">
        <v>13</v>
      </c>
      <c r="BA4" s="13" t="s">
        <v>14</v>
      </c>
      <c r="BB4" s="13" t="s">
        <v>13</v>
      </c>
      <c r="BC4" s="13" t="s">
        <v>14</v>
      </c>
      <c r="BD4" s="13" t="s">
        <v>13</v>
      </c>
      <c r="BE4" s="13" t="s">
        <v>14</v>
      </c>
      <c r="BF4" s="13" t="s">
        <v>13</v>
      </c>
      <c r="BG4" s="13" t="s">
        <v>14</v>
      </c>
      <c r="BH4" s="13" t="s">
        <v>13</v>
      </c>
      <c r="BI4" s="13" t="s">
        <v>14</v>
      </c>
      <c r="BJ4" s="13" t="s">
        <v>13</v>
      </c>
      <c r="BK4" s="13" t="s">
        <v>14</v>
      </c>
      <c r="BL4" s="13" t="s">
        <v>13</v>
      </c>
      <c r="BM4" s="13" t="s">
        <v>14</v>
      </c>
      <c r="BN4" s="13" t="s">
        <v>13</v>
      </c>
      <c r="BO4" s="13" t="s">
        <v>14</v>
      </c>
      <c r="BP4" s="106"/>
      <c r="BQ4" s="106"/>
      <c r="BR4" s="6"/>
      <c r="BS4" s="65" t="s">
        <v>15</v>
      </c>
      <c r="BT4" s="65" t="s">
        <v>16</v>
      </c>
      <c r="BU4" s="65" t="s">
        <v>17</v>
      </c>
      <c r="BV4" s="65" t="s">
        <v>18</v>
      </c>
      <c r="BW4" s="65" t="s">
        <v>19</v>
      </c>
      <c r="BX4" s="65" t="s">
        <v>20</v>
      </c>
      <c r="BY4" s="65" t="s">
        <v>21</v>
      </c>
      <c r="BZ4" s="65" t="s">
        <v>22</v>
      </c>
      <c r="CA4" s="65" t="s">
        <v>23</v>
      </c>
      <c r="CB4" s="65" t="s">
        <v>24</v>
      </c>
      <c r="CC4" s="65" t="s">
        <v>25</v>
      </c>
      <c r="CD4" s="7" t="s">
        <v>26</v>
      </c>
      <c r="CI4" s="86" t="s">
        <v>16</v>
      </c>
      <c r="CJ4" s="87" t="s">
        <v>17</v>
      </c>
      <c r="CK4" s="87" t="s">
        <v>18</v>
      </c>
      <c r="CL4" s="87" t="s">
        <v>19</v>
      </c>
      <c r="CM4" s="87" t="s">
        <v>20</v>
      </c>
      <c r="CN4" s="87" t="s">
        <v>21</v>
      </c>
      <c r="CO4" s="87" t="s">
        <v>22</v>
      </c>
      <c r="CP4" s="87" t="s">
        <v>23</v>
      </c>
      <c r="CQ4" s="87" t="s">
        <v>24</v>
      </c>
      <c r="CR4" s="87" t="s">
        <v>25</v>
      </c>
      <c r="CS4" s="88" t="s">
        <v>96</v>
      </c>
    </row>
    <row r="5" spans="1:97" ht="22.5" customHeight="1" x14ac:dyDescent="0.25">
      <c r="A5" s="8">
        <v>1</v>
      </c>
      <c r="B5" s="9" t="str">
        <f>'[1]Hulhumale Staffs_ Sep 2025'!B5</f>
        <v>MAD0244</v>
      </c>
      <c r="C5" s="79" t="s">
        <v>27</v>
      </c>
      <c r="D5" s="96">
        <v>0.33680555555555558</v>
      </c>
      <c r="E5" s="97">
        <v>1</v>
      </c>
      <c r="F5" s="99">
        <v>0.77777777777777779</v>
      </c>
      <c r="G5" s="101">
        <v>1</v>
      </c>
      <c r="H5" s="96">
        <v>0.3354166666666667</v>
      </c>
      <c r="I5" s="97">
        <v>1</v>
      </c>
      <c r="J5" s="96">
        <v>0.33263888888888887</v>
      </c>
      <c r="K5" s="97">
        <v>1</v>
      </c>
      <c r="L5" s="96">
        <v>0.35833333333333334</v>
      </c>
      <c r="M5" s="97">
        <v>1</v>
      </c>
      <c r="N5" s="96">
        <v>0.35555555555555557</v>
      </c>
      <c r="O5" s="97">
        <v>1</v>
      </c>
      <c r="P5" s="96">
        <v>0.35694444444444445</v>
      </c>
      <c r="Q5" s="97">
        <v>1</v>
      </c>
      <c r="R5" s="96">
        <v>0.29930555555555555</v>
      </c>
      <c r="S5" s="97">
        <v>1</v>
      </c>
      <c r="T5" s="99">
        <v>0.57430555555555551</v>
      </c>
      <c r="U5" s="101">
        <v>1</v>
      </c>
      <c r="V5" s="96">
        <v>0.34722222222222227</v>
      </c>
      <c r="W5" s="97">
        <v>1</v>
      </c>
      <c r="X5" s="96">
        <v>0.35694444444444445</v>
      </c>
      <c r="Y5" s="97">
        <v>1</v>
      </c>
      <c r="Z5" s="96">
        <v>0.35555555555555557</v>
      </c>
      <c r="AA5" s="96">
        <v>0.35625000000000001</v>
      </c>
      <c r="AB5" s="96">
        <v>0.35902777777777778</v>
      </c>
      <c r="AC5" s="96">
        <v>0.35902777777777778</v>
      </c>
      <c r="AD5" s="96">
        <v>0.35972222222222222</v>
      </c>
      <c r="AE5" s="97">
        <v>1</v>
      </c>
      <c r="AF5" s="96">
        <v>0.3576388888888889</v>
      </c>
      <c r="AG5" s="96">
        <v>0.95347222222222217</v>
      </c>
      <c r="AH5" s="70"/>
      <c r="AI5" s="67">
        <v>1</v>
      </c>
      <c r="AJ5" s="99">
        <v>0.54791666666666672</v>
      </c>
      <c r="AK5" s="99">
        <v>0.54791666666666672</v>
      </c>
      <c r="AL5" s="96">
        <v>0.35694444444444445</v>
      </c>
      <c r="AM5" s="97">
        <v>1</v>
      </c>
      <c r="AN5" s="96">
        <v>0.35694444444444445</v>
      </c>
      <c r="AO5" s="97">
        <v>1</v>
      </c>
      <c r="AP5" s="96">
        <v>0.35833333333333334</v>
      </c>
      <c r="AQ5" s="97">
        <v>1</v>
      </c>
      <c r="AR5" s="96">
        <v>0.3576388888888889</v>
      </c>
      <c r="AS5" s="97">
        <v>1</v>
      </c>
      <c r="AT5" s="96">
        <v>0.35902777777777778</v>
      </c>
      <c r="AU5" s="97">
        <v>1</v>
      </c>
      <c r="AV5" s="96">
        <v>0.3576388888888889</v>
      </c>
      <c r="AW5" s="97">
        <v>1</v>
      </c>
      <c r="AX5" s="99" t="s">
        <v>15</v>
      </c>
      <c r="AY5" s="99" t="s">
        <v>15</v>
      </c>
      <c r="AZ5" s="96">
        <v>0.3576388888888889</v>
      </c>
      <c r="BA5" s="97">
        <v>1</v>
      </c>
      <c r="BB5" s="96">
        <v>0.36041666666666666</v>
      </c>
      <c r="BC5" s="96">
        <v>0.36041666666666666</v>
      </c>
      <c r="BD5" s="96">
        <v>0.3576388888888889</v>
      </c>
      <c r="BE5" s="97">
        <v>1</v>
      </c>
      <c r="BF5" s="96">
        <v>0.35902777777777778</v>
      </c>
      <c r="BG5" s="97">
        <v>1</v>
      </c>
      <c r="BH5" s="96">
        <v>0.35694444444444445</v>
      </c>
      <c r="BI5" s="97">
        <v>1</v>
      </c>
      <c r="BJ5" s="96">
        <v>0.35625000000000001</v>
      </c>
      <c r="BK5" s="97">
        <v>1</v>
      </c>
      <c r="BL5" s="99">
        <v>0.59166666666666667</v>
      </c>
      <c r="BM5" s="101">
        <v>1</v>
      </c>
      <c r="BN5" s="96">
        <v>0.35625000000000001</v>
      </c>
      <c r="BO5" s="97">
        <v>1</v>
      </c>
      <c r="BP5" s="82">
        <f>BR5+BS5+BT5+BU5+BZ5+BX5+BY5+CC5</f>
        <v>31</v>
      </c>
      <c r="BQ5" s="83">
        <v>4</v>
      </c>
      <c r="BR5" s="17">
        <f>COUNT(B5:AG5)/2+COUNT(AJ5:BO5)/2</f>
        <v>30</v>
      </c>
      <c r="BS5" s="18">
        <f t="shared" ref="BS5" si="0">COUNTIF(B5:BO5,"OFF")/2</f>
        <v>1</v>
      </c>
      <c r="BT5" s="18">
        <f t="shared" ref="BT5" si="1">COUNTIF(B5:BO5,"MC")/2</f>
        <v>0</v>
      </c>
      <c r="BU5" s="18">
        <f t="shared" ref="BU5" si="2">COUNTIF(B5:BO5,"EL")/2</f>
        <v>0</v>
      </c>
      <c r="BV5" s="18">
        <f t="shared" ref="BV5" si="3">COUNTIF(B5:BO5,"AL")/2</f>
        <v>0</v>
      </c>
      <c r="BW5" s="18">
        <f t="shared" ref="BW5" si="4">COUNTIF(B5:BO5,"SUS")/2</f>
        <v>0</v>
      </c>
      <c r="BX5" s="18">
        <f t="shared" ref="BX5" si="5">COUNTIF(B5:BO5,"FL")/2</f>
        <v>0</v>
      </c>
      <c r="BY5" s="18">
        <f t="shared" ref="BY5" si="6">COUNTIF(B5:BO5,"SICK")/2</f>
        <v>0</v>
      </c>
      <c r="BZ5" s="18">
        <f t="shared" ref="BZ5" si="7">COUNTIF(B5:BO5,"HD")/2</f>
        <v>0</v>
      </c>
      <c r="CA5" s="18">
        <f t="shared" ref="CA5" si="8">COUNTIF(B5:BO5,"AB")/2</f>
        <v>0</v>
      </c>
      <c r="CB5" s="18">
        <f t="shared" ref="CB5" si="9">COUNTIF(B5:BO5,"NL")/2</f>
        <v>0</v>
      </c>
      <c r="CC5" s="18">
        <f t="shared" ref="CC5" si="10">COUNTIF(B5:BO5,"SP")/2</f>
        <v>0</v>
      </c>
      <c r="CD5" s="19"/>
      <c r="CI5" s="91">
        <v>0</v>
      </c>
      <c r="CJ5" s="91">
        <v>0</v>
      </c>
      <c r="CK5" s="91">
        <v>0</v>
      </c>
      <c r="CL5" s="91">
        <v>0</v>
      </c>
      <c r="CM5" s="91">
        <v>0</v>
      </c>
      <c r="CN5" s="91">
        <v>0</v>
      </c>
      <c r="CO5" s="91">
        <v>0</v>
      </c>
      <c r="CP5" s="91">
        <v>0</v>
      </c>
      <c r="CQ5" s="91">
        <v>0</v>
      </c>
      <c r="CR5" s="91">
        <v>0</v>
      </c>
      <c r="CS5" s="93">
        <f t="shared" ref="CS5:CS9" si="11">SUM(CI5:CR5)</f>
        <v>0</v>
      </c>
    </row>
    <row r="6" spans="1:97" ht="22.5" customHeight="1" x14ac:dyDescent="0.25">
      <c r="A6" s="8">
        <v>2</v>
      </c>
      <c r="B6" s="9" t="str">
        <f>'[1]Hulhumale Staffs_ Sep 2025'!B6</f>
        <v>MAD0226</v>
      </c>
      <c r="C6" s="79" t="s">
        <v>28</v>
      </c>
      <c r="D6" s="96">
        <v>0.33263888888888887</v>
      </c>
      <c r="E6" s="96">
        <v>0.99444444444444446</v>
      </c>
      <c r="F6" s="99">
        <v>0.55625000000000002</v>
      </c>
      <c r="G6" s="99">
        <v>0.97430555555555554</v>
      </c>
      <c r="H6" s="96">
        <v>0.3347222222222222</v>
      </c>
      <c r="I6" s="96">
        <v>0.97152777777777777</v>
      </c>
      <c r="J6" s="96">
        <v>0.3347222222222222</v>
      </c>
      <c r="K6" s="96">
        <v>0.97569444444444453</v>
      </c>
      <c r="L6" s="96">
        <v>0.33333333333333331</v>
      </c>
      <c r="M6" s="96">
        <v>0.9770833333333333</v>
      </c>
      <c r="N6" s="96">
        <v>0.3347222222222222</v>
      </c>
      <c r="O6" s="96">
        <v>0.96388888888888891</v>
      </c>
      <c r="P6" s="96">
        <v>0.3347222222222222</v>
      </c>
      <c r="Q6" s="96">
        <v>0.3347222222222222</v>
      </c>
      <c r="R6" s="96">
        <v>0.33124999999999999</v>
      </c>
      <c r="S6" s="96">
        <v>0.9902777777777777</v>
      </c>
      <c r="T6" s="101">
        <v>1</v>
      </c>
      <c r="U6" s="99">
        <v>0.96666666666666667</v>
      </c>
      <c r="V6" s="96">
        <v>0.33402777777777781</v>
      </c>
      <c r="W6" s="96">
        <v>0.9770833333333333</v>
      </c>
      <c r="X6" s="96">
        <v>0.3347222222222222</v>
      </c>
      <c r="Y6" s="96">
        <v>0.95694444444444438</v>
      </c>
      <c r="Z6" s="96">
        <v>0.33333333333333331</v>
      </c>
      <c r="AA6" s="96">
        <v>0.95694444444444438</v>
      </c>
      <c r="AB6" s="96">
        <v>0.33263888888888887</v>
      </c>
      <c r="AC6" s="96">
        <v>0.96388888888888891</v>
      </c>
      <c r="AD6" s="96">
        <v>0.33611111111111108</v>
      </c>
      <c r="AE6" s="96">
        <v>0.95833333333333337</v>
      </c>
      <c r="AF6" s="96">
        <v>0.33333333333333331</v>
      </c>
      <c r="AG6" s="96">
        <v>0.9868055555555556</v>
      </c>
      <c r="AH6" s="70"/>
      <c r="AI6" s="67">
        <v>2</v>
      </c>
      <c r="AJ6" s="99">
        <v>0.56111111111111112</v>
      </c>
      <c r="AK6" s="99">
        <v>0.9604166666666667</v>
      </c>
      <c r="AL6" s="96">
        <v>0.97569444444444453</v>
      </c>
      <c r="AM6" s="96">
        <v>0.97569444444444453</v>
      </c>
      <c r="AN6" s="96">
        <v>0.33263888888888887</v>
      </c>
      <c r="AO6" s="96">
        <v>0.95624999999999993</v>
      </c>
      <c r="AP6" s="96">
        <v>0.33124999999999999</v>
      </c>
      <c r="AQ6" s="96">
        <v>0.97152777777777777</v>
      </c>
      <c r="AR6" s="96">
        <v>0.33333333333333331</v>
      </c>
      <c r="AS6" s="97">
        <v>1</v>
      </c>
      <c r="AT6" s="96">
        <v>0.3347222222222222</v>
      </c>
      <c r="AU6" s="96">
        <v>0.96319444444444446</v>
      </c>
      <c r="AV6" s="96">
        <v>0.33055555555555555</v>
      </c>
      <c r="AW6" s="96">
        <v>0.99861111111111101</v>
      </c>
      <c r="AX6" s="101">
        <v>1</v>
      </c>
      <c r="AY6" s="99">
        <v>0.96597222222222223</v>
      </c>
      <c r="AZ6" s="96">
        <v>0.33194444444444443</v>
      </c>
      <c r="BA6" s="96">
        <v>0.97916666666666663</v>
      </c>
      <c r="BB6" s="96">
        <v>0.33263888888888887</v>
      </c>
      <c r="BC6" s="96">
        <v>0.95763888888888893</v>
      </c>
      <c r="BD6" s="96">
        <v>0.33194444444444443</v>
      </c>
      <c r="BE6" s="96">
        <v>0.95833333333333337</v>
      </c>
      <c r="BF6" s="96">
        <v>0.33333333333333331</v>
      </c>
      <c r="BG6" s="96">
        <v>0.9604166666666667</v>
      </c>
      <c r="BH6" s="96">
        <v>0.33402777777777781</v>
      </c>
      <c r="BI6" s="96">
        <v>0.9604166666666667</v>
      </c>
      <c r="BJ6" s="96">
        <v>0.33333333333333331</v>
      </c>
      <c r="BK6" s="96">
        <v>0.99375000000000002</v>
      </c>
      <c r="BL6" s="99">
        <v>0.55833333333333335</v>
      </c>
      <c r="BM6" s="99">
        <v>0.97222222222222221</v>
      </c>
      <c r="BN6" s="96">
        <v>0.33263888888888887</v>
      </c>
      <c r="BO6" s="97">
        <v>1</v>
      </c>
      <c r="BP6" s="82">
        <f t="shared" ref="BP6:BP10" si="12">BR6+BS6+BT6+BU6+BZ6+BX6+BY6+CC6+BV6</f>
        <v>31</v>
      </c>
      <c r="BQ6" s="83">
        <v>5</v>
      </c>
      <c r="BR6" s="17">
        <f t="shared" ref="BR6:BR10" si="13">COUNT(B6:AG6)/2+COUNT(AJ6:BO6)/2</f>
        <v>31</v>
      </c>
      <c r="BS6" s="18">
        <f t="shared" ref="BS6:BS10" si="14">COUNTIF(B6:BO6,"OFF")/2</f>
        <v>0</v>
      </c>
      <c r="BT6" s="18">
        <f t="shared" ref="BT6:BT10" si="15">COUNTIF(B6:BO6,"MC")/2</f>
        <v>0</v>
      </c>
      <c r="BU6" s="18">
        <f t="shared" ref="BU6:BU10" si="16">COUNTIF(B6:BO6,"EL")/2</f>
        <v>0</v>
      </c>
      <c r="BV6" s="18">
        <f t="shared" ref="BV6:BV10" si="17">COUNTIF(B6:BO6,"AL")/2</f>
        <v>0</v>
      </c>
      <c r="BW6" s="18">
        <f t="shared" ref="BW6:BW10" si="18">COUNTIF(B6:BO6,"SUS")/2</f>
        <v>0</v>
      </c>
      <c r="BX6" s="18">
        <f t="shared" ref="BX6:BX10" si="19">COUNTIF(B6:BO6,"FL")/2</f>
        <v>0</v>
      </c>
      <c r="BY6" s="18">
        <f t="shared" ref="BY6:BY10" si="20">COUNTIF(B6:BO6,"SICK")/2</f>
        <v>0</v>
      </c>
      <c r="BZ6" s="18">
        <f t="shared" ref="BZ6:BZ10" si="21">COUNTIF(B6:BO6,"HD")/2</f>
        <v>0</v>
      </c>
      <c r="CA6" s="18">
        <f t="shared" ref="CA6:CA10" si="22">COUNTIF(B6:BO6,"AB")/2</f>
        <v>0</v>
      </c>
      <c r="CB6" s="18">
        <f t="shared" ref="CB6:CB10" si="23">COUNTIF(B6:BO6,"NL")/2</f>
        <v>0</v>
      </c>
      <c r="CC6" s="18">
        <f t="shared" ref="CC6:CC10" si="24">COUNTIF(B6:BO6,"SP")/2</f>
        <v>0</v>
      </c>
      <c r="CD6" s="19"/>
      <c r="CI6" s="90">
        <v>0</v>
      </c>
      <c r="CJ6" s="90">
        <v>0</v>
      </c>
      <c r="CK6" s="90">
        <v>0</v>
      </c>
      <c r="CL6" s="90">
        <v>0</v>
      </c>
      <c r="CM6" s="90">
        <v>0</v>
      </c>
      <c r="CN6" s="90">
        <v>0</v>
      </c>
      <c r="CO6" s="90">
        <v>0</v>
      </c>
      <c r="CP6" s="90">
        <v>0</v>
      </c>
      <c r="CQ6" s="90">
        <v>0</v>
      </c>
      <c r="CR6" s="90">
        <v>0</v>
      </c>
      <c r="CS6" s="94">
        <f t="shared" si="11"/>
        <v>0</v>
      </c>
    </row>
    <row r="7" spans="1:97" ht="22.5" customHeight="1" x14ac:dyDescent="0.25">
      <c r="A7" s="8">
        <v>3</v>
      </c>
      <c r="B7" s="9" t="s">
        <v>100</v>
      </c>
      <c r="C7" s="79" t="s">
        <v>29</v>
      </c>
      <c r="D7" s="97" t="s">
        <v>18</v>
      </c>
      <c r="E7" s="97" t="s">
        <v>18</v>
      </c>
      <c r="F7" s="101" t="s">
        <v>18</v>
      </c>
      <c r="G7" s="101" t="s">
        <v>18</v>
      </c>
      <c r="H7" s="97" t="s">
        <v>18</v>
      </c>
      <c r="I7" s="97" t="s">
        <v>18</v>
      </c>
      <c r="J7" s="97" t="s">
        <v>18</v>
      </c>
      <c r="K7" s="97" t="s">
        <v>18</v>
      </c>
      <c r="L7" s="97" t="s">
        <v>18</v>
      </c>
      <c r="M7" s="97" t="s">
        <v>18</v>
      </c>
      <c r="N7" s="97" t="s">
        <v>18</v>
      </c>
      <c r="O7" s="97" t="s">
        <v>18</v>
      </c>
      <c r="P7" s="96" t="s">
        <v>18</v>
      </c>
      <c r="Q7" s="96" t="s">
        <v>18</v>
      </c>
      <c r="R7" s="96" t="s">
        <v>18</v>
      </c>
      <c r="S7" s="96" t="s">
        <v>18</v>
      </c>
      <c r="T7" s="99" t="s">
        <v>18</v>
      </c>
      <c r="U7" s="99" t="s">
        <v>18</v>
      </c>
      <c r="V7" s="96">
        <v>0.42152777777777778</v>
      </c>
      <c r="W7" s="96">
        <v>0.9770833333333333</v>
      </c>
      <c r="X7" s="96">
        <v>0.3347222222222222</v>
      </c>
      <c r="Y7" s="96">
        <v>0.95208333333333339</v>
      </c>
      <c r="Z7" s="96">
        <v>0.33402777777777781</v>
      </c>
      <c r="AA7" s="97">
        <v>1</v>
      </c>
      <c r="AB7" s="96">
        <v>0.33333333333333331</v>
      </c>
      <c r="AC7" s="97">
        <v>1</v>
      </c>
      <c r="AD7" s="96">
        <v>0.33611111111111108</v>
      </c>
      <c r="AE7" s="96">
        <v>0.95972222222222225</v>
      </c>
      <c r="AF7" s="96">
        <v>0.33333333333333331</v>
      </c>
      <c r="AG7" s="96">
        <v>0.98541666666666661</v>
      </c>
      <c r="AH7" s="70"/>
      <c r="AI7" s="67">
        <v>3</v>
      </c>
      <c r="AJ7" s="99">
        <v>0.56319444444444444</v>
      </c>
      <c r="AK7" s="101">
        <v>1</v>
      </c>
      <c r="AL7" s="96">
        <v>0.97569444444444453</v>
      </c>
      <c r="AM7" s="97">
        <v>1</v>
      </c>
      <c r="AN7" s="96">
        <v>0.33333333333333331</v>
      </c>
      <c r="AO7" s="96">
        <v>0.95624999999999993</v>
      </c>
      <c r="AP7" s="96">
        <v>0.33194444444444443</v>
      </c>
      <c r="AQ7" s="96">
        <v>0.96944444444444444</v>
      </c>
      <c r="AR7" s="96">
        <v>0.33333333333333331</v>
      </c>
      <c r="AS7" s="97">
        <v>1</v>
      </c>
      <c r="AT7" s="96">
        <v>0.33402777777777781</v>
      </c>
      <c r="AU7" s="96">
        <v>0.96319444444444446</v>
      </c>
      <c r="AV7" s="96">
        <v>0.33055555555555555</v>
      </c>
      <c r="AW7" s="96">
        <v>0.99861111111111101</v>
      </c>
      <c r="AX7" s="99" t="s">
        <v>15</v>
      </c>
      <c r="AY7" s="99" t="s">
        <v>15</v>
      </c>
      <c r="AZ7" s="96">
        <v>0.33194444444444443</v>
      </c>
      <c r="BA7" s="96">
        <v>0.97430555555555554</v>
      </c>
      <c r="BB7" s="96">
        <v>0.33263888888888887</v>
      </c>
      <c r="BC7" s="96">
        <v>0.95624999999999993</v>
      </c>
      <c r="BD7" s="96">
        <v>0.33194444444444443</v>
      </c>
      <c r="BE7" s="96">
        <v>0.9604166666666667</v>
      </c>
      <c r="BF7" s="96">
        <v>0.33402777777777781</v>
      </c>
      <c r="BG7" s="96">
        <v>0.96180555555555547</v>
      </c>
      <c r="BH7" s="96">
        <v>0.33333333333333331</v>
      </c>
      <c r="BI7" s="96">
        <v>0.96250000000000002</v>
      </c>
      <c r="BJ7" s="96">
        <v>0.33333333333333331</v>
      </c>
      <c r="BK7" s="96">
        <v>0.9916666666666667</v>
      </c>
      <c r="BL7" s="99">
        <v>0.56180555555555556</v>
      </c>
      <c r="BM7" s="99">
        <v>0.97152777777777777</v>
      </c>
      <c r="BN7" s="96">
        <v>0.33263888888888887</v>
      </c>
      <c r="BO7" s="97">
        <v>1</v>
      </c>
      <c r="BP7" s="82">
        <f t="shared" si="12"/>
        <v>31</v>
      </c>
      <c r="BQ7" s="83">
        <v>4</v>
      </c>
      <c r="BR7" s="17">
        <f t="shared" si="13"/>
        <v>21</v>
      </c>
      <c r="BS7" s="18">
        <f t="shared" si="14"/>
        <v>1</v>
      </c>
      <c r="BT7" s="18">
        <f t="shared" si="15"/>
        <v>0</v>
      </c>
      <c r="BU7" s="18">
        <f t="shared" si="16"/>
        <v>0</v>
      </c>
      <c r="BV7" s="18">
        <f t="shared" si="17"/>
        <v>9</v>
      </c>
      <c r="BW7" s="18">
        <f t="shared" si="18"/>
        <v>0</v>
      </c>
      <c r="BX7" s="18">
        <f t="shared" si="19"/>
        <v>0</v>
      </c>
      <c r="BY7" s="18">
        <f t="shared" si="20"/>
        <v>0</v>
      </c>
      <c r="BZ7" s="18">
        <f t="shared" si="21"/>
        <v>0</v>
      </c>
      <c r="CA7" s="18">
        <f t="shared" si="22"/>
        <v>0</v>
      </c>
      <c r="CB7" s="18">
        <f t="shared" si="23"/>
        <v>0</v>
      </c>
      <c r="CC7" s="18">
        <f t="shared" si="24"/>
        <v>0</v>
      </c>
      <c r="CD7" s="3"/>
      <c r="CI7" s="91">
        <v>0</v>
      </c>
      <c r="CJ7" s="91">
        <v>0</v>
      </c>
      <c r="CK7" s="91">
        <v>60</v>
      </c>
      <c r="CL7" s="91">
        <v>0</v>
      </c>
      <c r="CM7" s="91">
        <v>0</v>
      </c>
      <c r="CN7" s="91">
        <v>0</v>
      </c>
      <c r="CO7" s="91">
        <v>0</v>
      </c>
      <c r="CP7" s="91">
        <v>0</v>
      </c>
      <c r="CQ7" s="91">
        <v>0</v>
      </c>
      <c r="CR7" s="91">
        <v>0</v>
      </c>
      <c r="CS7" s="93">
        <f t="shared" si="11"/>
        <v>60</v>
      </c>
    </row>
    <row r="8" spans="1:97" ht="22.5" customHeight="1" x14ac:dyDescent="0.25">
      <c r="A8" s="8">
        <v>4</v>
      </c>
      <c r="B8" s="9" t="str">
        <f>'[1]Hulhumale Staffs_ Sep 2025'!B8</f>
        <v>MAD0457</v>
      </c>
      <c r="C8" s="79" t="s">
        <v>30</v>
      </c>
      <c r="D8" s="96">
        <v>0.34027777777777773</v>
      </c>
      <c r="E8" s="96">
        <v>0.93819444444444444</v>
      </c>
      <c r="F8" s="99">
        <v>0.30833333333333335</v>
      </c>
      <c r="G8" s="99">
        <v>0.94930555555555562</v>
      </c>
      <c r="H8" s="96">
        <v>0.34027777777777773</v>
      </c>
      <c r="I8" s="96">
        <v>0.97083333333333333</v>
      </c>
      <c r="J8" s="96">
        <v>0.3430555555555555</v>
      </c>
      <c r="K8" s="96">
        <v>0.90625</v>
      </c>
      <c r="L8" s="96">
        <v>0.38472222222222219</v>
      </c>
      <c r="M8" s="96">
        <v>1.4583333333333332E-2</v>
      </c>
      <c r="N8" s="96">
        <v>0.34097222222222223</v>
      </c>
      <c r="O8" s="96">
        <v>0.90763888888888899</v>
      </c>
      <c r="P8" s="96">
        <v>0.34236111111111112</v>
      </c>
      <c r="Q8" s="96">
        <v>0.91319444444444453</v>
      </c>
      <c r="R8" s="96">
        <v>0.28263888888888888</v>
      </c>
      <c r="S8" s="96">
        <v>6.5972222222222224E-2</v>
      </c>
      <c r="T8" s="99">
        <v>0.36805555555555558</v>
      </c>
      <c r="U8" s="99">
        <v>0.8618055555555556</v>
      </c>
      <c r="V8" s="96">
        <v>0.35000000000000003</v>
      </c>
      <c r="W8" s="96">
        <v>0.89722222222222225</v>
      </c>
      <c r="X8" s="96">
        <v>0.34652777777777777</v>
      </c>
      <c r="Y8" s="96">
        <v>0.10208333333333335</v>
      </c>
      <c r="Z8" s="96">
        <v>0.34375</v>
      </c>
      <c r="AA8" s="96">
        <v>0.90625</v>
      </c>
      <c r="AB8" s="96">
        <v>0.35347222222222219</v>
      </c>
      <c r="AC8" s="96">
        <v>0.9916666666666667</v>
      </c>
      <c r="AD8" s="96">
        <v>0.34930555555555554</v>
      </c>
      <c r="AE8" s="97">
        <v>1</v>
      </c>
      <c r="AF8" s="96">
        <v>0.34791666666666665</v>
      </c>
      <c r="AG8" s="96">
        <v>0.96180555555555547</v>
      </c>
      <c r="AH8" s="70"/>
      <c r="AI8" s="67">
        <v>4</v>
      </c>
      <c r="AJ8" s="99">
        <v>0.54861111111111105</v>
      </c>
      <c r="AK8" s="99">
        <v>0.92152777777777783</v>
      </c>
      <c r="AL8" s="96">
        <v>0.3527777777777778</v>
      </c>
      <c r="AM8" s="96">
        <v>0.89166666666666661</v>
      </c>
      <c r="AN8" s="96">
        <v>0.3527777777777778</v>
      </c>
      <c r="AO8" s="96">
        <v>0.95347222222222217</v>
      </c>
      <c r="AP8" s="96">
        <v>0.35347222222222219</v>
      </c>
      <c r="AQ8" s="96">
        <v>0.9159722222222223</v>
      </c>
      <c r="AR8" s="96">
        <v>0.3354166666666667</v>
      </c>
      <c r="AS8" s="96">
        <v>0.89166666666666661</v>
      </c>
      <c r="AT8" s="96">
        <v>0.28750000000000003</v>
      </c>
      <c r="AU8" s="96">
        <v>3.888888888888889E-2</v>
      </c>
      <c r="AV8" s="96">
        <v>0.34652777777777777</v>
      </c>
      <c r="AW8" s="96">
        <v>0.10555555555555556</v>
      </c>
      <c r="AX8" s="99">
        <v>0.5493055555555556</v>
      </c>
      <c r="AY8" s="99">
        <v>0.9159722222222223</v>
      </c>
      <c r="AZ8" s="96">
        <v>0.35138888888888892</v>
      </c>
      <c r="BA8" s="96">
        <v>0.92986111111111114</v>
      </c>
      <c r="BB8" s="96">
        <v>0.34513888888888888</v>
      </c>
      <c r="BC8" s="96">
        <v>0.19444444444444445</v>
      </c>
      <c r="BD8" s="96">
        <v>0.47430555555555554</v>
      </c>
      <c r="BE8" s="96">
        <v>0.96180555555555547</v>
      </c>
      <c r="BF8" s="96">
        <v>0.3756944444444445</v>
      </c>
      <c r="BG8" s="96">
        <v>0.89166666666666661</v>
      </c>
      <c r="BH8" s="96">
        <v>0.35347222222222219</v>
      </c>
      <c r="BI8" s="96">
        <v>0.8930555555555556</v>
      </c>
      <c r="BJ8" s="96">
        <v>0.3520833333333333</v>
      </c>
      <c r="BK8" s="96">
        <v>0.93333333333333324</v>
      </c>
      <c r="BL8" s="99">
        <v>0.34930555555555554</v>
      </c>
      <c r="BM8" s="99">
        <v>0.5854166666666667</v>
      </c>
      <c r="BN8" s="96">
        <v>0.35138888888888892</v>
      </c>
      <c r="BO8" s="96">
        <v>0.96180555555555547</v>
      </c>
      <c r="BP8" s="82">
        <f t="shared" si="12"/>
        <v>31</v>
      </c>
      <c r="BQ8" s="83">
        <v>5</v>
      </c>
      <c r="BR8" s="17">
        <f t="shared" si="13"/>
        <v>31</v>
      </c>
      <c r="BS8" s="18">
        <f t="shared" si="14"/>
        <v>0</v>
      </c>
      <c r="BT8" s="18">
        <f t="shared" si="15"/>
        <v>0</v>
      </c>
      <c r="BU8" s="18">
        <f t="shared" si="16"/>
        <v>0</v>
      </c>
      <c r="BV8" s="18">
        <f t="shared" si="17"/>
        <v>0</v>
      </c>
      <c r="BW8" s="18">
        <f t="shared" si="18"/>
        <v>0</v>
      </c>
      <c r="BX8" s="18">
        <f t="shared" si="19"/>
        <v>0</v>
      </c>
      <c r="BY8" s="18">
        <f t="shared" si="20"/>
        <v>0</v>
      </c>
      <c r="BZ8" s="18">
        <f t="shared" si="21"/>
        <v>0</v>
      </c>
      <c r="CA8" s="18">
        <f t="shared" si="22"/>
        <v>0</v>
      </c>
      <c r="CB8" s="18">
        <f t="shared" si="23"/>
        <v>0</v>
      </c>
      <c r="CC8" s="18">
        <f t="shared" si="24"/>
        <v>0</v>
      </c>
      <c r="CD8" s="19"/>
      <c r="CI8" s="90">
        <v>0</v>
      </c>
      <c r="CJ8" s="90">
        <v>0</v>
      </c>
      <c r="CK8" s="90">
        <v>0</v>
      </c>
      <c r="CL8" s="90">
        <v>0</v>
      </c>
      <c r="CM8" s="90">
        <v>0</v>
      </c>
      <c r="CN8" s="90">
        <v>0</v>
      </c>
      <c r="CO8" s="90">
        <v>0</v>
      </c>
      <c r="CP8" s="90">
        <v>0</v>
      </c>
      <c r="CQ8" s="90">
        <v>0</v>
      </c>
      <c r="CR8" s="90">
        <v>0</v>
      </c>
      <c r="CS8" s="94">
        <f t="shared" si="11"/>
        <v>0</v>
      </c>
    </row>
    <row r="9" spans="1:97" ht="22.5" customHeight="1" x14ac:dyDescent="0.25">
      <c r="A9" s="8">
        <v>5</v>
      </c>
      <c r="B9" s="9" t="str">
        <f>'[1]Hulhumale Staffs_ Sep 2025'!B9</f>
        <v>MAD0569</v>
      </c>
      <c r="C9" s="79" t="s">
        <v>31</v>
      </c>
      <c r="D9" s="96">
        <v>0.33263888888888887</v>
      </c>
      <c r="E9" s="97">
        <v>1</v>
      </c>
      <c r="F9" s="99">
        <v>0.30069444444444443</v>
      </c>
      <c r="G9" s="99">
        <v>0.60138888888888886</v>
      </c>
      <c r="H9" s="96">
        <v>0.2722222222222222</v>
      </c>
      <c r="I9" s="96">
        <v>0.86875000000000002</v>
      </c>
      <c r="J9" s="96">
        <v>0.26180555555555557</v>
      </c>
      <c r="K9" s="96">
        <v>0.89374999999999993</v>
      </c>
      <c r="L9" s="96">
        <v>0.27916666666666667</v>
      </c>
      <c r="M9" s="96">
        <v>0.89236111111111116</v>
      </c>
      <c r="N9" s="96">
        <v>0.26874999999999999</v>
      </c>
      <c r="O9" s="96">
        <v>0.88958333333333339</v>
      </c>
      <c r="P9" s="96">
        <v>0.29444444444444445</v>
      </c>
      <c r="Q9" s="96">
        <v>0.8208333333333333</v>
      </c>
      <c r="R9" s="96">
        <v>0.22152777777777777</v>
      </c>
      <c r="S9" s="96">
        <v>0.8930555555555556</v>
      </c>
      <c r="T9" s="99">
        <v>0.30208333333333331</v>
      </c>
      <c r="U9" s="99">
        <v>0.88541666666666663</v>
      </c>
      <c r="V9" s="96">
        <v>0.30972222222222223</v>
      </c>
      <c r="W9" s="96">
        <v>0.87847222222222221</v>
      </c>
      <c r="X9" s="96">
        <v>0.32708333333333334</v>
      </c>
      <c r="Y9" s="96">
        <v>0.92847222222222225</v>
      </c>
      <c r="Z9" s="96">
        <v>0.33194444444444443</v>
      </c>
      <c r="AA9" s="96">
        <v>0.89097222222222217</v>
      </c>
      <c r="AB9" s="96">
        <v>0.33680555555555558</v>
      </c>
      <c r="AC9" s="96">
        <v>0.87013888888888891</v>
      </c>
      <c r="AD9" s="96">
        <v>0.3298611111111111</v>
      </c>
      <c r="AE9" s="96">
        <v>0.88611111111111107</v>
      </c>
      <c r="AF9" s="96">
        <v>0.34583333333333338</v>
      </c>
      <c r="AG9" s="96">
        <v>0.875</v>
      </c>
      <c r="AH9" s="70"/>
      <c r="AI9" s="67">
        <v>5</v>
      </c>
      <c r="AJ9" s="99">
        <v>0.3</v>
      </c>
      <c r="AK9" s="99">
        <v>0.5805555555555556</v>
      </c>
      <c r="AL9" s="96">
        <v>0.33194444444444443</v>
      </c>
      <c r="AM9" s="96">
        <v>0.89930555555555547</v>
      </c>
      <c r="AN9" s="96">
        <v>0.33819444444444446</v>
      </c>
      <c r="AO9" s="96">
        <v>0.8881944444444444</v>
      </c>
      <c r="AP9" s="96">
        <v>0.32569444444444445</v>
      </c>
      <c r="AQ9" s="96">
        <v>0.86458333333333337</v>
      </c>
      <c r="AR9" s="96">
        <v>0.32430555555555557</v>
      </c>
      <c r="AS9" s="96">
        <v>0.87361111111111101</v>
      </c>
      <c r="AT9" s="96">
        <v>0.33680555555555558</v>
      </c>
      <c r="AU9" s="96">
        <v>0.90069444444444446</v>
      </c>
      <c r="AV9" s="96">
        <v>0.3347222222222222</v>
      </c>
      <c r="AW9" s="96">
        <v>0.91388888888888886</v>
      </c>
      <c r="AX9" s="99">
        <v>0.31388888888888888</v>
      </c>
      <c r="AY9" s="99">
        <v>0.58263888888888882</v>
      </c>
      <c r="AZ9" s="96">
        <v>0.33958333333333335</v>
      </c>
      <c r="BA9" s="96">
        <v>0.87708333333333333</v>
      </c>
      <c r="BB9" s="96">
        <v>0.29652777777777778</v>
      </c>
      <c r="BC9" s="96">
        <v>0.875</v>
      </c>
      <c r="BD9" s="96">
        <v>0.34097222222222223</v>
      </c>
      <c r="BE9" s="96">
        <v>0.90138888888888891</v>
      </c>
      <c r="BF9" s="96">
        <v>0.34236111111111112</v>
      </c>
      <c r="BG9" s="96">
        <v>0.8847222222222223</v>
      </c>
      <c r="BH9" s="96">
        <v>0.3354166666666667</v>
      </c>
      <c r="BI9" s="96">
        <v>0.875</v>
      </c>
      <c r="BJ9" s="96">
        <v>0.33263888888888887</v>
      </c>
      <c r="BK9" s="96">
        <v>0.91527777777777775</v>
      </c>
      <c r="BL9" s="99">
        <v>0.57430555555555551</v>
      </c>
      <c r="BM9" s="99">
        <v>0.89166666666666661</v>
      </c>
      <c r="BN9" s="96">
        <v>0.33124999999999999</v>
      </c>
      <c r="BO9" s="96">
        <v>0.88263888888888886</v>
      </c>
      <c r="BP9" s="82">
        <f t="shared" si="12"/>
        <v>31</v>
      </c>
      <c r="BQ9" s="83">
        <v>5</v>
      </c>
      <c r="BR9" s="17">
        <f t="shared" si="13"/>
        <v>31</v>
      </c>
      <c r="BS9" s="18">
        <f t="shared" si="14"/>
        <v>0</v>
      </c>
      <c r="BT9" s="18">
        <f t="shared" si="15"/>
        <v>0</v>
      </c>
      <c r="BU9" s="18">
        <f t="shared" si="16"/>
        <v>0</v>
      </c>
      <c r="BV9" s="18">
        <f t="shared" si="17"/>
        <v>0</v>
      </c>
      <c r="BW9" s="18">
        <f t="shared" si="18"/>
        <v>0</v>
      </c>
      <c r="BX9" s="18">
        <f t="shared" si="19"/>
        <v>0</v>
      </c>
      <c r="BY9" s="18">
        <f t="shared" si="20"/>
        <v>0</v>
      </c>
      <c r="BZ9" s="18">
        <f t="shared" si="21"/>
        <v>0</v>
      </c>
      <c r="CA9" s="18">
        <f t="shared" si="22"/>
        <v>0</v>
      </c>
      <c r="CB9" s="18">
        <f t="shared" si="23"/>
        <v>0</v>
      </c>
      <c r="CC9" s="18">
        <f t="shared" si="24"/>
        <v>0</v>
      </c>
      <c r="CD9" s="19"/>
      <c r="CI9" s="91">
        <v>0</v>
      </c>
      <c r="CJ9" s="91">
        <v>0</v>
      </c>
      <c r="CK9" s="91">
        <v>0</v>
      </c>
      <c r="CL9" s="91">
        <v>0</v>
      </c>
      <c r="CM9" s="91">
        <v>0</v>
      </c>
      <c r="CN9" s="91">
        <v>0</v>
      </c>
      <c r="CO9" s="91">
        <v>0</v>
      </c>
      <c r="CP9" s="91">
        <v>0</v>
      </c>
      <c r="CQ9" s="91">
        <v>0</v>
      </c>
      <c r="CR9" s="91">
        <v>0</v>
      </c>
      <c r="CS9" s="93">
        <f t="shared" si="11"/>
        <v>0</v>
      </c>
    </row>
    <row r="10" spans="1:97" ht="22.5" customHeight="1" x14ac:dyDescent="0.25">
      <c r="A10" s="8">
        <v>6</v>
      </c>
      <c r="B10" s="9" t="str">
        <f>'[1]Hulhumale Staffs_ Sep 2025'!B11</f>
        <v>MAD0699</v>
      </c>
      <c r="C10" s="79" t="s">
        <v>32</v>
      </c>
      <c r="D10" s="96">
        <v>0.32569444444444445</v>
      </c>
      <c r="E10" s="96">
        <v>0.91180555555555554</v>
      </c>
      <c r="F10" s="99">
        <v>0.55555555555555558</v>
      </c>
      <c r="G10" s="99">
        <v>0.55625000000000002</v>
      </c>
      <c r="H10" s="96">
        <v>0.32777777777777778</v>
      </c>
      <c r="I10" s="96">
        <v>0.32777777777777778</v>
      </c>
      <c r="J10" s="96">
        <v>0.32569444444444445</v>
      </c>
      <c r="K10" s="96">
        <v>0.9604166666666667</v>
      </c>
      <c r="L10" s="96">
        <v>0.34583333333333338</v>
      </c>
      <c r="M10" s="96">
        <v>1.9444444444444445E-2</v>
      </c>
      <c r="N10" s="96">
        <v>0.34236111111111112</v>
      </c>
      <c r="O10" s="96">
        <v>0.99444444444444446</v>
      </c>
      <c r="P10" s="96">
        <v>0.34652777777777777</v>
      </c>
      <c r="Q10" s="96">
        <v>0.9159722222222223</v>
      </c>
      <c r="R10" s="96">
        <v>0.28888888888888892</v>
      </c>
      <c r="S10" s="97">
        <v>1</v>
      </c>
      <c r="T10" s="99">
        <v>0.58402777777777781</v>
      </c>
      <c r="U10" s="99">
        <v>0.88263888888888886</v>
      </c>
      <c r="V10" s="96">
        <v>0.34652777777777777</v>
      </c>
      <c r="W10" s="96">
        <v>0.9506944444444444</v>
      </c>
      <c r="X10" s="96">
        <v>0.34097222222222223</v>
      </c>
      <c r="Y10" s="96">
        <v>0.97361111111111109</v>
      </c>
      <c r="Z10" s="96">
        <v>0.3520833333333333</v>
      </c>
      <c r="AA10" s="97">
        <v>1</v>
      </c>
      <c r="AB10" s="96">
        <v>0.34861111111111115</v>
      </c>
      <c r="AC10" s="96">
        <v>0.93125000000000002</v>
      </c>
      <c r="AD10" s="96">
        <v>0.34722222222222227</v>
      </c>
      <c r="AE10" s="97">
        <v>1</v>
      </c>
      <c r="AF10" s="96">
        <v>0.34583333333333338</v>
      </c>
      <c r="AG10" s="97">
        <v>1</v>
      </c>
      <c r="AH10" s="70"/>
      <c r="AI10" s="67">
        <v>6</v>
      </c>
      <c r="AJ10" s="99" t="s">
        <v>15</v>
      </c>
      <c r="AK10" s="99" t="s">
        <v>15</v>
      </c>
      <c r="AL10" s="96">
        <v>0.34791666666666665</v>
      </c>
      <c r="AM10" s="97">
        <v>1</v>
      </c>
      <c r="AN10" s="96">
        <v>0.34791666666666665</v>
      </c>
      <c r="AO10" s="96">
        <v>0.9819444444444444</v>
      </c>
      <c r="AP10" s="96">
        <v>0.3444444444444445</v>
      </c>
      <c r="AQ10" s="96">
        <v>0.94374999999999998</v>
      </c>
      <c r="AR10" s="96">
        <v>0.34791666666666665</v>
      </c>
      <c r="AS10" s="97">
        <v>1</v>
      </c>
      <c r="AT10" s="96">
        <v>0.34097222222222223</v>
      </c>
      <c r="AU10" s="96">
        <v>0.94791666666666663</v>
      </c>
      <c r="AV10" s="96">
        <v>0.3444444444444445</v>
      </c>
      <c r="AW10" s="97">
        <v>1</v>
      </c>
      <c r="AX10" s="99">
        <v>0.5854166666666667</v>
      </c>
      <c r="AY10" s="99">
        <v>0.93541666666666667</v>
      </c>
      <c r="AZ10" s="96">
        <v>0.34861111111111115</v>
      </c>
      <c r="BA10" s="96">
        <v>0.94236111111111109</v>
      </c>
      <c r="BB10" s="96">
        <v>0.34722222222222227</v>
      </c>
      <c r="BC10" s="97">
        <v>1</v>
      </c>
      <c r="BD10" s="96">
        <v>0.34861111111111115</v>
      </c>
      <c r="BE10" s="96">
        <v>0.97916666666666663</v>
      </c>
      <c r="BF10" s="96">
        <v>0.34861111111111115</v>
      </c>
      <c r="BG10" s="97">
        <v>1</v>
      </c>
      <c r="BH10" s="96">
        <v>0.34861111111111115</v>
      </c>
      <c r="BI10" s="97">
        <v>1</v>
      </c>
      <c r="BJ10" s="96">
        <v>0.34791666666666665</v>
      </c>
      <c r="BK10" s="97">
        <v>1</v>
      </c>
      <c r="BL10" s="99" t="s">
        <v>15</v>
      </c>
      <c r="BM10" s="99" t="s">
        <v>15</v>
      </c>
      <c r="BN10" s="96">
        <v>0.34791666666666665</v>
      </c>
      <c r="BO10" s="96">
        <v>0.97222222222222221</v>
      </c>
      <c r="BP10" s="82">
        <f t="shared" si="12"/>
        <v>31</v>
      </c>
      <c r="BQ10" s="83">
        <v>3</v>
      </c>
      <c r="BR10" s="17">
        <f t="shared" si="13"/>
        <v>29</v>
      </c>
      <c r="BS10" s="18">
        <f t="shared" si="14"/>
        <v>2</v>
      </c>
      <c r="BT10" s="18">
        <f t="shared" si="15"/>
        <v>0</v>
      </c>
      <c r="BU10" s="18">
        <f t="shared" si="16"/>
        <v>0</v>
      </c>
      <c r="BV10" s="18">
        <f t="shared" si="17"/>
        <v>0</v>
      </c>
      <c r="BW10" s="18">
        <f t="shared" si="18"/>
        <v>0</v>
      </c>
      <c r="BX10" s="18">
        <f t="shared" si="19"/>
        <v>0</v>
      </c>
      <c r="BY10" s="18">
        <f t="shared" si="20"/>
        <v>0</v>
      </c>
      <c r="BZ10" s="18">
        <f t="shared" si="21"/>
        <v>0</v>
      </c>
      <c r="CA10" s="18">
        <f t="shared" si="22"/>
        <v>0</v>
      </c>
      <c r="CB10" s="18">
        <f t="shared" si="23"/>
        <v>0</v>
      </c>
      <c r="CC10" s="18">
        <f t="shared" si="24"/>
        <v>0</v>
      </c>
      <c r="CD10" s="19"/>
      <c r="CI10" s="90">
        <v>0</v>
      </c>
      <c r="CJ10" s="90">
        <v>0</v>
      </c>
      <c r="CK10" s="90">
        <v>0</v>
      </c>
      <c r="CL10" s="90">
        <v>0</v>
      </c>
      <c r="CM10" s="90">
        <v>0</v>
      </c>
      <c r="CN10" s="90">
        <v>2</v>
      </c>
      <c r="CO10" s="90">
        <v>0</v>
      </c>
      <c r="CP10" s="90">
        <v>0</v>
      </c>
      <c r="CQ10" s="90">
        <v>0</v>
      </c>
      <c r="CR10" s="90">
        <v>0</v>
      </c>
      <c r="CS10" s="94">
        <f t="shared" ref="CS10" si="25">SUM(CI10:CR10)</f>
        <v>2</v>
      </c>
    </row>
    <row r="11" spans="1:97" x14ac:dyDescent="0.25">
      <c r="A11" s="10"/>
      <c r="B11" s="2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71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N11" s="10"/>
      <c r="BO11" s="10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</row>
    <row r="12" spans="1:97" x14ac:dyDescent="0.25">
      <c r="A12" s="10"/>
      <c r="B12" s="21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72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N12" s="10"/>
      <c r="BO12" s="10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</row>
    <row r="13" spans="1:97" ht="24" customHeight="1" x14ac:dyDescent="0.25">
      <c r="A13" s="107" t="s">
        <v>99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73"/>
      <c r="AI13" s="107" t="s">
        <v>99</v>
      </c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  <c r="BU13" s="107"/>
      <c r="BV13" s="107"/>
      <c r="BW13" s="107"/>
      <c r="BX13" s="107"/>
      <c r="BY13" s="107"/>
      <c r="BZ13" s="107"/>
      <c r="CA13" s="107"/>
      <c r="CB13" s="107"/>
      <c r="CC13" s="107"/>
      <c r="CD13" s="107"/>
    </row>
    <row r="14" spans="1:97" ht="18.75" x14ac:dyDescent="0.25">
      <c r="A14" s="108" t="s">
        <v>33</v>
      </c>
      <c r="B14" s="108"/>
      <c r="C14" s="108"/>
      <c r="D14" s="105" t="s">
        <v>2</v>
      </c>
      <c r="E14" s="105"/>
      <c r="F14" s="105" t="s">
        <v>3</v>
      </c>
      <c r="G14" s="105"/>
      <c r="H14" s="105" t="s">
        <v>4</v>
      </c>
      <c r="I14" s="105"/>
      <c r="J14" s="105" t="s">
        <v>5</v>
      </c>
      <c r="K14" s="105"/>
      <c r="L14" s="105" t="s">
        <v>6</v>
      </c>
      <c r="M14" s="105"/>
      <c r="N14" s="105" t="s">
        <v>7</v>
      </c>
      <c r="O14" s="105"/>
      <c r="P14" s="105" t="s">
        <v>1</v>
      </c>
      <c r="Q14" s="105"/>
      <c r="R14" s="105" t="s">
        <v>2</v>
      </c>
      <c r="S14" s="105"/>
      <c r="T14" s="105" t="s">
        <v>3</v>
      </c>
      <c r="U14" s="105"/>
      <c r="V14" s="105" t="s">
        <v>4</v>
      </c>
      <c r="W14" s="105"/>
      <c r="X14" s="105" t="s">
        <v>5</v>
      </c>
      <c r="Y14" s="105"/>
      <c r="Z14" s="105" t="s">
        <v>6</v>
      </c>
      <c r="AA14" s="105"/>
      <c r="AB14" s="105" t="s">
        <v>7</v>
      </c>
      <c r="AC14" s="105"/>
      <c r="AD14" s="105" t="s">
        <v>1</v>
      </c>
      <c r="AE14" s="105"/>
      <c r="AF14" s="105" t="s">
        <v>2</v>
      </c>
      <c r="AG14" s="105"/>
      <c r="AH14" s="74"/>
      <c r="AI14" s="35"/>
      <c r="AJ14" s="105" t="s">
        <v>3</v>
      </c>
      <c r="AK14" s="105"/>
      <c r="AL14" s="105" t="s">
        <v>4</v>
      </c>
      <c r="AM14" s="105"/>
      <c r="AN14" s="105" t="s">
        <v>5</v>
      </c>
      <c r="AO14" s="105"/>
      <c r="AP14" s="105" t="s">
        <v>6</v>
      </c>
      <c r="AQ14" s="105"/>
      <c r="AR14" s="105" t="s">
        <v>7</v>
      </c>
      <c r="AS14" s="105"/>
      <c r="AT14" s="105" t="s">
        <v>1</v>
      </c>
      <c r="AU14" s="105"/>
      <c r="AV14" s="105" t="s">
        <v>2</v>
      </c>
      <c r="AW14" s="105"/>
      <c r="AX14" s="105" t="s">
        <v>3</v>
      </c>
      <c r="AY14" s="105"/>
      <c r="AZ14" s="105" t="s">
        <v>4</v>
      </c>
      <c r="BA14" s="105"/>
      <c r="BB14" s="105" t="s">
        <v>5</v>
      </c>
      <c r="BC14" s="105"/>
      <c r="BD14" s="105" t="s">
        <v>6</v>
      </c>
      <c r="BE14" s="105"/>
      <c r="BF14" s="105" t="s">
        <v>7</v>
      </c>
      <c r="BG14" s="105"/>
      <c r="BH14" s="105" t="s">
        <v>1</v>
      </c>
      <c r="BI14" s="105"/>
      <c r="BJ14" s="105" t="s">
        <v>2</v>
      </c>
      <c r="BK14" s="105"/>
      <c r="BL14" s="105" t="s">
        <v>3</v>
      </c>
      <c r="BM14" s="105"/>
      <c r="BN14" s="105" t="s">
        <v>4</v>
      </c>
      <c r="BO14" s="105"/>
      <c r="BP14" s="106" t="s">
        <v>8</v>
      </c>
      <c r="BQ14" s="106" t="s">
        <v>9</v>
      </c>
      <c r="BR14" s="15"/>
      <c r="BS14" s="15"/>
      <c r="BT14" s="15"/>
      <c r="BU14" s="15"/>
      <c r="BV14" s="15"/>
      <c r="BW14" s="15"/>
      <c r="BX14" s="15"/>
      <c r="BY14" s="15"/>
      <c r="BZ14" s="33"/>
      <c r="CA14" s="33"/>
      <c r="CB14" s="15"/>
      <c r="CC14" s="34"/>
      <c r="CD14" s="34"/>
      <c r="CI14" s="115" t="s">
        <v>94</v>
      </c>
      <c r="CJ14" s="115"/>
      <c r="CK14" s="115"/>
      <c r="CL14" s="115"/>
      <c r="CM14" s="115"/>
      <c r="CN14" s="115"/>
      <c r="CO14" s="115"/>
      <c r="CP14" s="115"/>
      <c r="CQ14" s="115"/>
      <c r="CR14" s="115"/>
      <c r="CS14" s="21"/>
    </row>
    <row r="15" spans="1:97" ht="18.75" x14ac:dyDescent="0.25">
      <c r="A15" s="108"/>
      <c r="B15" s="108"/>
      <c r="C15" s="108"/>
      <c r="D15" s="104">
        <v>46023</v>
      </c>
      <c r="E15" s="104"/>
      <c r="F15" s="104">
        <v>46024</v>
      </c>
      <c r="G15" s="104"/>
      <c r="H15" s="104">
        <v>46025</v>
      </c>
      <c r="I15" s="104"/>
      <c r="J15" s="104">
        <v>46026</v>
      </c>
      <c r="K15" s="104"/>
      <c r="L15" s="104">
        <v>46027</v>
      </c>
      <c r="M15" s="104"/>
      <c r="N15" s="104">
        <v>46028</v>
      </c>
      <c r="O15" s="104"/>
      <c r="P15" s="104">
        <v>46029</v>
      </c>
      <c r="Q15" s="104"/>
      <c r="R15" s="104">
        <v>46030</v>
      </c>
      <c r="S15" s="104"/>
      <c r="T15" s="104">
        <v>46031</v>
      </c>
      <c r="U15" s="104"/>
      <c r="V15" s="104">
        <v>46032</v>
      </c>
      <c r="W15" s="104"/>
      <c r="X15" s="104">
        <v>46033</v>
      </c>
      <c r="Y15" s="104"/>
      <c r="Z15" s="104">
        <v>46034</v>
      </c>
      <c r="AA15" s="104"/>
      <c r="AB15" s="104">
        <v>46035</v>
      </c>
      <c r="AC15" s="104"/>
      <c r="AD15" s="104">
        <v>46036</v>
      </c>
      <c r="AE15" s="104"/>
      <c r="AF15" s="104">
        <v>46037</v>
      </c>
      <c r="AG15" s="104"/>
      <c r="AH15" s="74"/>
      <c r="AI15" s="68"/>
      <c r="AJ15" s="104">
        <v>46038</v>
      </c>
      <c r="AK15" s="104"/>
      <c r="AL15" s="104">
        <v>46039</v>
      </c>
      <c r="AM15" s="104"/>
      <c r="AN15" s="104">
        <v>46040</v>
      </c>
      <c r="AO15" s="104"/>
      <c r="AP15" s="104">
        <v>46041</v>
      </c>
      <c r="AQ15" s="104"/>
      <c r="AR15" s="104">
        <v>46042</v>
      </c>
      <c r="AS15" s="104"/>
      <c r="AT15" s="104">
        <v>46043</v>
      </c>
      <c r="AU15" s="104"/>
      <c r="AV15" s="104">
        <v>46044</v>
      </c>
      <c r="AW15" s="104"/>
      <c r="AX15" s="104">
        <v>46045</v>
      </c>
      <c r="AY15" s="104"/>
      <c r="AZ15" s="104">
        <v>46046</v>
      </c>
      <c r="BA15" s="104"/>
      <c r="BB15" s="104">
        <v>46047</v>
      </c>
      <c r="BC15" s="104"/>
      <c r="BD15" s="104">
        <v>46048</v>
      </c>
      <c r="BE15" s="104"/>
      <c r="BF15" s="104">
        <v>46049</v>
      </c>
      <c r="BG15" s="104"/>
      <c r="BH15" s="104">
        <v>46050</v>
      </c>
      <c r="BI15" s="104"/>
      <c r="BJ15" s="104">
        <v>46051</v>
      </c>
      <c r="BK15" s="104"/>
      <c r="BL15" s="104">
        <v>46052</v>
      </c>
      <c r="BM15" s="104"/>
      <c r="BN15" s="104">
        <v>46053</v>
      </c>
      <c r="BO15" s="104"/>
      <c r="BP15" s="106"/>
      <c r="BQ15" s="106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I15" s="85" t="s">
        <v>95</v>
      </c>
      <c r="CJ15" s="85"/>
      <c r="CK15" s="85"/>
      <c r="CL15" s="85"/>
      <c r="CM15" s="85"/>
      <c r="CN15" s="85"/>
      <c r="CO15" s="85"/>
      <c r="CP15" s="85"/>
      <c r="CQ15" s="85"/>
      <c r="CR15" s="85"/>
      <c r="CS15" s="21"/>
    </row>
    <row r="16" spans="1:97" ht="18.75" customHeight="1" x14ac:dyDescent="0.25">
      <c r="A16" s="5" t="s">
        <v>10</v>
      </c>
      <c r="B16" s="5" t="s">
        <v>11</v>
      </c>
      <c r="C16" s="5" t="s">
        <v>12</v>
      </c>
      <c r="D16" s="81" t="s">
        <v>13</v>
      </c>
      <c r="E16" s="81" t="s">
        <v>14</v>
      </c>
      <c r="F16" s="81" t="s">
        <v>13</v>
      </c>
      <c r="G16" s="81" t="s">
        <v>14</v>
      </c>
      <c r="H16" s="81" t="s">
        <v>13</v>
      </c>
      <c r="I16" s="81" t="s">
        <v>14</v>
      </c>
      <c r="J16" s="81" t="s">
        <v>13</v>
      </c>
      <c r="K16" s="81" t="s">
        <v>14</v>
      </c>
      <c r="L16" s="81" t="s">
        <v>13</v>
      </c>
      <c r="M16" s="81" t="s">
        <v>14</v>
      </c>
      <c r="N16" s="13" t="s">
        <v>13</v>
      </c>
      <c r="O16" s="13" t="s">
        <v>14</v>
      </c>
      <c r="P16" s="13" t="s">
        <v>13</v>
      </c>
      <c r="Q16" s="13" t="s">
        <v>14</v>
      </c>
      <c r="R16" s="13" t="s">
        <v>13</v>
      </c>
      <c r="S16" s="13" t="s">
        <v>14</v>
      </c>
      <c r="T16" s="13" t="s">
        <v>13</v>
      </c>
      <c r="U16" s="13" t="s">
        <v>14</v>
      </c>
      <c r="V16" s="13" t="s">
        <v>13</v>
      </c>
      <c r="W16" s="13" t="s">
        <v>14</v>
      </c>
      <c r="X16" s="13" t="s">
        <v>13</v>
      </c>
      <c r="Y16" s="13" t="s">
        <v>14</v>
      </c>
      <c r="Z16" s="13" t="s">
        <v>13</v>
      </c>
      <c r="AA16" s="13" t="s">
        <v>14</v>
      </c>
      <c r="AB16" s="13" t="s">
        <v>13</v>
      </c>
      <c r="AC16" s="13" t="s">
        <v>14</v>
      </c>
      <c r="AD16" s="13" t="s">
        <v>13</v>
      </c>
      <c r="AE16" s="13" t="s">
        <v>14</v>
      </c>
      <c r="AF16" s="13" t="s">
        <v>13</v>
      </c>
      <c r="AG16" s="1" t="s">
        <v>14</v>
      </c>
      <c r="AH16" s="75"/>
      <c r="AI16" s="35"/>
      <c r="AJ16" s="13" t="s">
        <v>13</v>
      </c>
      <c r="AK16" s="13" t="s">
        <v>14</v>
      </c>
      <c r="AL16" s="13" t="s">
        <v>13</v>
      </c>
      <c r="AM16" s="13" t="s">
        <v>14</v>
      </c>
      <c r="AN16" s="13" t="s">
        <v>13</v>
      </c>
      <c r="AO16" s="13" t="s">
        <v>14</v>
      </c>
      <c r="AP16" s="13" t="s">
        <v>13</v>
      </c>
      <c r="AQ16" s="13" t="s">
        <v>14</v>
      </c>
      <c r="AR16" s="13" t="s">
        <v>13</v>
      </c>
      <c r="AS16" s="13" t="s">
        <v>14</v>
      </c>
      <c r="AT16" s="13" t="s">
        <v>13</v>
      </c>
      <c r="AU16" s="13" t="s">
        <v>14</v>
      </c>
      <c r="AV16" s="13" t="s">
        <v>13</v>
      </c>
      <c r="AW16" s="13" t="s">
        <v>14</v>
      </c>
      <c r="AX16" s="13" t="s">
        <v>13</v>
      </c>
      <c r="AY16" s="13" t="s">
        <v>14</v>
      </c>
      <c r="AZ16" s="13" t="s">
        <v>13</v>
      </c>
      <c r="BA16" s="13" t="s">
        <v>14</v>
      </c>
      <c r="BB16" s="13" t="s">
        <v>13</v>
      </c>
      <c r="BC16" s="13" t="s">
        <v>14</v>
      </c>
      <c r="BD16" s="13" t="s">
        <v>13</v>
      </c>
      <c r="BE16" s="13" t="s">
        <v>14</v>
      </c>
      <c r="BF16" s="13" t="s">
        <v>13</v>
      </c>
      <c r="BG16" s="13" t="s">
        <v>14</v>
      </c>
      <c r="BH16" s="13" t="s">
        <v>13</v>
      </c>
      <c r="BI16" s="13" t="s">
        <v>14</v>
      </c>
      <c r="BJ16" s="13" t="s">
        <v>13</v>
      </c>
      <c r="BK16" s="13" t="s">
        <v>14</v>
      </c>
      <c r="BL16" s="13" t="s">
        <v>13</v>
      </c>
      <c r="BM16" s="13" t="s">
        <v>14</v>
      </c>
      <c r="BN16" s="13" t="s">
        <v>13</v>
      </c>
      <c r="BO16" s="13" t="s">
        <v>14</v>
      </c>
      <c r="BP16" s="106"/>
      <c r="BQ16" s="106"/>
      <c r="BR16" s="14"/>
      <c r="BS16" s="65" t="s">
        <v>15</v>
      </c>
      <c r="BT16" s="65" t="s">
        <v>16</v>
      </c>
      <c r="BU16" s="65" t="s">
        <v>17</v>
      </c>
      <c r="BV16" s="65" t="s">
        <v>18</v>
      </c>
      <c r="BW16" s="65" t="s">
        <v>19</v>
      </c>
      <c r="BX16" s="65" t="s">
        <v>20</v>
      </c>
      <c r="BY16" s="65" t="s">
        <v>21</v>
      </c>
      <c r="BZ16" s="65" t="s">
        <v>22</v>
      </c>
      <c r="CA16" s="65" t="s">
        <v>23</v>
      </c>
      <c r="CB16" s="65" t="s">
        <v>24</v>
      </c>
      <c r="CC16" s="65" t="s">
        <v>25</v>
      </c>
      <c r="CD16" s="15" t="s">
        <v>26</v>
      </c>
      <c r="CI16" s="95" t="s">
        <v>16</v>
      </c>
      <c r="CJ16" s="95" t="s">
        <v>17</v>
      </c>
      <c r="CK16" s="95" t="s">
        <v>18</v>
      </c>
      <c r="CL16" s="95" t="s">
        <v>19</v>
      </c>
      <c r="CM16" s="95" t="s">
        <v>20</v>
      </c>
      <c r="CN16" s="95" t="s">
        <v>21</v>
      </c>
      <c r="CO16" s="95" t="s">
        <v>22</v>
      </c>
      <c r="CP16" s="95" t="s">
        <v>23</v>
      </c>
      <c r="CQ16" s="95" t="s">
        <v>24</v>
      </c>
      <c r="CR16" s="95" t="s">
        <v>25</v>
      </c>
      <c r="CS16" s="95" t="s">
        <v>96</v>
      </c>
    </row>
    <row r="17" spans="1:97" ht="22.5" customHeight="1" x14ac:dyDescent="0.25">
      <c r="A17" s="8">
        <v>7</v>
      </c>
      <c r="B17" s="9" t="s">
        <v>34</v>
      </c>
      <c r="C17" s="79" t="s">
        <v>35</v>
      </c>
      <c r="D17" s="96">
        <v>0.33680555555555558</v>
      </c>
      <c r="E17" s="97">
        <v>1</v>
      </c>
      <c r="F17" s="99">
        <v>0.55902777777777779</v>
      </c>
      <c r="G17" s="101">
        <v>1</v>
      </c>
      <c r="H17" s="96">
        <v>0.3354166666666667</v>
      </c>
      <c r="I17" s="97">
        <v>1</v>
      </c>
      <c r="J17" s="96">
        <v>0.33749999999999997</v>
      </c>
      <c r="K17" s="97">
        <v>1</v>
      </c>
      <c r="L17" s="96">
        <v>0.35972222222222222</v>
      </c>
      <c r="M17" s="97">
        <v>1</v>
      </c>
      <c r="N17" s="96">
        <v>0.35833333333333334</v>
      </c>
      <c r="O17" s="97">
        <v>1</v>
      </c>
      <c r="P17" s="96">
        <v>0.3520833333333333</v>
      </c>
      <c r="Q17" s="97">
        <v>1</v>
      </c>
      <c r="R17" s="96">
        <v>0.29583333333333334</v>
      </c>
      <c r="S17" s="97">
        <v>1</v>
      </c>
      <c r="T17" s="99" t="s">
        <v>15</v>
      </c>
      <c r="U17" s="99" t="s">
        <v>15</v>
      </c>
      <c r="V17" s="96">
        <v>0.3520833333333333</v>
      </c>
      <c r="W17" s="97">
        <v>1</v>
      </c>
      <c r="X17" s="96">
        <v>0.34861111111111115</v>
      </c>
      <c r="Y17" s="97">
        <v>1</v>
      </c>
      <c r="Z17" s="96">
        <v>0.35625000000000001</v>
      </c>
      <c r="AA17" s="97">
        <v>1</v>
      </c>
      <c r="AB17" s="96">
        <v>0.35347222222222219</v>
      </c>
      <c r="AC17" s="97">
        <v>1</v>
      </c>
      <c r="AD17" s="96">
        <v>0.34861111111111115</v>
      </c>
      <c r="AE17" s="97">
        <v>1</v>
      </c>
      <c r="AF17" s="96">
        <v>0.3520833333333333</v>
      </c>
      <c r="AG17" s="97">
        <v>1</v>
      </c>
      <c r="AH17" s="74"/>
      <c r="AI17" s="67">
        <v>7</v>
      </c>
      <c r="AJ17" s="99">
        <v>0.57916666666666672</v>
      </c>
      <c r="AK17" s="101">
        <v>1</v>
      </c>
      <c r="AL17" s="96">
        <v>0.34652777777777777</v>
      </c>
      <c r="AM17" s="97">
        <v>1</v>
      </c>
      <c r="AN17" s="96">
        <v>0.35555555555555557</v>
      </c>
      <c r="AO17" s="97">
        <v>1</v>
      </c>
      <c r="AP17" s="96">
        <v>0.3527777777777778</v>
      </c>
      <c r="AQ17" s="97">
        <v>1</v>
      </c>
      <c r="AR17" s="96">
        <v>0.34930555555555554</v>
      </c>
      <c r="AS17" s="97">
        <v>1</v>
      </c>
      <c r="AT17" s="96">
        <v>0.35000000000000003</v>
      </c>
      <c r="AU17" s="97">
        <v>1</v>
      </c>
      <c r="AV17" s="96">
        <v>0.35486111111111113</v>
      </c>
      <c r="AW17" s="97">
        <v>1</v>
      </c>
      <c r="AX17" s="99" t="s">
        <v>15</v>
      </c>
      <c r="AY17" s="99" t="s">
        <v>15</v>
      </c>
      <c r="AZ17" s="96">
        <v>0.35069444444444442</v>
      </c>
      <c r="BA17" s="97">
        <v>1</v>
      </c>
      <c r="BB17" s="96">
        <v>0.35347222222222219</v>
      </c>
      <c r="BC17" s="97">
        <v>1</v>
      </c>
      <c r="BD17" s="96">
        <v>0.35416666666666669</v>
      </c>
      <c r="BE17" s="97">
        <v>1</v>
      </c>
      <c r="BF17" s="96">
        <v>0.35416666666666669</v>
      </c>
      <c r="BG17" s="97">
        <v>1</v>
      </c>
      <c r="BH17" s="96">
        <v>0.34930555555555554</v>
      </c>
      <c r="BI17" s="97">
        <v>1</v>
      </c>
      <c r="BJ17" s="96">
        <v>0.34791666666666665</v>
      </c>
      <c r="BK17" s="97">
        <v>1</v>
      </c>
      <c r="BL17" s="99">
        <v>0.59444444444444444</v>
      </c>
      <c r="BM17" s="101">
        <v>1</v>
      </c>
      <c r="BN17" s="96">
        <v>0.35138888888888892</v>
      </c>
      <c r="BO17" s="97">
        <v>1</v>
      </c>
      <c r="BP17" s="82">
        <f>BR17+BS17+BT17+BU17+BZ17+BX17+BY17+CC17</f>
        <v>31</v>
      </c>
      <c r="BQ17" s="83">
        <v>3</v>
      </c>
      <c r="BR17" s="17">
        <f>COUNT(B17:AG17)/2+COUNT(AJ17:BO17)/2</f>
        <v>29</v>
      </c>
      <c r="BS17" s="18">
        <f t="shared" ref="BS17" si="26">COUNTIF(B17:BO17,"OFF")/2</f>
        <v>2</v>
      </c>
      <c r="BT17" s="18">
        <f t="shared" ref="BT17" si="27">COUNTIF(B17:BO17,"MC")/2</f>
        <v>0</v>
      </c>
      <c r="BU17" s="18">
        <f t="shared" ref="BU17" si="28">COUNTIF(B17:BO17,"EL")/2</f>
        <v>0</v>
      </c>
      <c r="BV17" s="18">
        <f t="shared" ref="BV17" si="29">COUNTIF(B17:BO17,"AL")/2</f>
        <v>0</v>
      </c>
      <c r="BW17" s="18">
        <f t="shared" ref="BW17" si="30">COUNTIF(B17:BO17,"SUS")/2</f>
        <v>0</v>
      </c>
      <c r="BX17" s="18">
        <f t="shared" ref="BX17" si="31">COUNTIF(B17:BO17,"FL")/2</f>
        <v>0</v>
      </c>
      <c r="BY17" s="18">
        <f t="shared" ref="BY17" si="32">COUNTIF(B17:BO17,"SICK")/2</f>
        <v>0</v>
      </c>
      <c r="BZ17" s="18">
        <f t="shared" ref="BZ17" si="33">COUNTIF(B17:BO17,"HD")/2</f>
        <v>0</v>
      </c>
      <c r="CA17" s="18">
        <f t="shared" ref="CA17" si="34">COUNTIF(B17:BO17,"AB")/2</f>
        <v>0</v>
      </c>
      <c r="CB17" s="18">
        <f t="shared" ref="CB17" si="35">COUNTIF(B17:BO17,"NL")/2</f>
        <v>0</v>
      </c>
      <c r="CC17" s="18">
        <f t="shared" ref="CC17" si="36">COUNTIF(B17:BO17,"SP")/2</f>
        <v>0</v>
      </c>
      <c r="CD17" s="19"/>
      <c r="CI17" s="91">
        <v>0</v>
      </c>
      <c r="CJ17" s="91">
        <v>0</v>
      </c>
      <c r="CK17" s="91">
        <v>0</v>
      </c>
      <c r="CL17" s="91">
        <v>0</v>
      </c>
      <c r="CM17" s="91">
        <v>0</v>
      </c>
      <c r="CN17" s="91">
        <v>1</v>
      </c>
      <c r="CO17" s="92">
        <v>0</v>
      </c>
      <c r="CP17" s="92">
        <v>0</v>
      </c>
      <c r="CQ17" s="92">
        <v>0</v>
      </c>
      <c r="CR17" s="92">
        <v>0</v>
      </c>
      <c r="CS17" s="93">
        <f t="shared" ref="CS17:CS18" si="37">SUM(CI17:CR17)</f>
        <v>1</v>
      </c>
    </row>
    <row r="18" spans="1:97" ht="22.5" customHeight="1" x14ac:dyDescent="0.25">
      <c r="A18" s="8">
        <v>8</v>
      </c>
      <c r="B18" s="9" t="s">
        <v>36</v>
      </c>
      <c r="C18" s="79" t="s">
        <v>37</v>
      </c>
      <c r="D18" s="96">
        <v>0.3527777777777778</v>
      </c>
      <c r="E18" s="96">
        <v>0.9472222222222223</v>
      </c>
      <c r="F18" s="99">
        <v>0.5756944444444444</v>
      </c>
      <c r="G18" s="99">
        <v>0.92638888888888893</v>
      </c>
      <c r="H18" s="96">
        <v>0.34930555555555554</v>
      </c>
      <c r="I18" s="96">
        <v>0.94305555555555554</v>
      </c>
      <c r="J18" s="96">
        <v>0.35138888888888892</v>
      </c>
      <c r="K18" s="96">
        <v>0.92569444444444438</v>
      </c>
      <c r="L18" s="96">
        <v>0.35069444444444442</v>
      </c>
      <c r="M18" s="96">
        <v>0.92291666666666661</v>
      </c>
      <c r="N18" s="96">
        <v>0.35347222222222219</v>
      </c>
      <c r="O18" s="96">
        <v>0.9194444444444444</v>
      </c>
      <c r="P18" s="96">
        <v>0.35555555555555557</v>
      </c>
      <c r="Q18" s="96">
        <v>0.93055555555555547</v>
      </c>
      <c r="R18" s="96">
        <v>0.34583333333333338</v>
      </c>
      <c r="S18" s="96">
        <v>0.94513888888888886</v>
      </c>
      <c r="T18" s="99" t="s">
        <v>15</v>
      </c>
      <c r="U18" s="99" t="s">
        <v>15</v>
      </c>
      <c r="V18" s="96">
        <v>0.3520833333333333</v>
      </c>
      <c r="W18" s="96">
        <v>0.94305555555555554</v>
      </c>
      <c r="X18" s="96">
        <v>0.35000000000000003</v>
      </c>
      <c r="Y18" s="96">
        <v>0.92291666666666661</v>
      </c>
      <c r="Z18" s="96">
        <v>0.35000000000000003</v>
      </c>
      <c r="AA18" s="96">
        <v>0.92499999999999993</v>
      </c>
      <c r="AB18" s="96">
        <v>0.34791666666666665</v>
      </c>
      <c r="AC18" s="96">
        <v>0.9243055555555556</v>
      </c>
      <c r="AD18" s="96">
        <v>0.35000000000000003</v>
      </c>
      <c r="AE18" s="96">
        <v>0.9243055555555556</v>
      </c>
      <c r="AF18" s="96">
        <v>0.34722222222222227</v>
      </c>
      <c r="AG18" s="96">
        <v>0.94652777777777775</v>
      </c>
      <c r="AH18" s="76"/>
      <c r="AI18" s="67">
        <v>8</v>
      </c>
      <c r="AJ18" s="99">
        <v>0.57847222222222217</v>
      </c>
      <c r="AK18" s="99">
        <v>0.92847222222222225</v>
      </c>
      <c r="AL18" s="96">
        <v>0.34861111111111115</v>
      </c>
      <c r="AM18" s="96">
        <v>0.94097222222222221</v>
      </c>
      <c r="AN18" s="96">
        <v>0.34861111111111115</v>
      </c>
      <c r="AO18" s="96">
        <v>0.92083333333333339</v>
      </c>
      <c r="AP18" s="96">
        <v>0.34791666666666665</v>
      </c>
      <c r="AQ18" s="96">
        <v>0.92361111111111116</v>
      </c>
      <c r="AR18" s="96">
        <v>0.34930555555555554</v>
      </c>
      <c r="AS18" s="96">
        <v>0.92152777777777783</v>
      </c>
      <c r="AT18" s="96">
        <v>0.35069444444444442</v>
      </c>
      <c r="AU18" s="96">
        <v>0.9277777777777777</v>
      </c>
      <c r="AV18" s="96">
        <v>0.34652777777777777</v>
      </c>
      <c r="AW18" s="96">
        <v>0.94374999999999998</v>
      </c>
      <c r="AX18" s="99" t="s">
        <v>15</v>
      </c>
      <c r="AY18" s="99" t="s">
        <v>15</v>
      </c>
      <c r="AZ18" s="96">
        <v>0.34722222222222227</v>
      </c>
      <c r="BA18" s="96">
        <v>0.94097222222222221</v>
      </c>
      <c r="BB18" s="96">
        <v>0.34652777777777777</v>
      </c>
      <c r="BC18" s="96">
        <v>0.92083333333333339</v>
      </c>
      <c r="BD18" s="96">
        <v>0.35000000000000003</v>
      </c>
      <c r="BE18" s="96">
        <v>0.9243055555555556</v>
      </c>
      <c r="BF18" s="96">
        <v>0.35000000000000003</v>
      </c>
      <c r="BG18" s="96">
        <v>0.92291666666666661</v>
      </c>
      <c r="BH18" s="96">
        <v>0.34930555555555554</v>
      </c>
      <c r="BI18" s="96">
        <v>0.92083333333333339</v>
      </c>
      <c r="BJ18" s="96">
        <v>0.34930555555555554</v>
      </c>
      <c r="BK18" s="96">
        <v>0.9458333333333333</v>
      </c>
      <c r="BL18" s="99">
        <v>0.57777777777777783</v>
      </c>
      <c r="BM18" s="99">
        <v>0.93333333333333324</v>
      </c>
      <c r="BN18" s="96">
        <v>0.34791666666666665</v>
      </c>
      <c r="BO18" s="96">
        <v>0.9819444444444444</v>
      </c>
      <c r="BP18" s="82">
        <f t="shared" ref="BP18:BP33" si="38">BR18+BS18+BT18+BU18+BZ18+BX18+BY18+CC18</f>
        <v>31</v>
      </c>
      <c r="BQ18" s="83">
        <v>3</v>
      </c>
      <c r="BR18" s="17">
        <f t="shared" ref="BR18:BR36" si="39">COUNT(B18:AG18)/2+COUNT(AJ18:BO18)/2</f>
        <v>29</v>
      </c>
      <c r="BS18" s="18">
        <f t="shared" ref="BS18:BS36" si="40">COUNTIF(B18:BO18,"OFF")/2</f>
        <v>2</v>
      </c>
      <c r="BT18" s="18">
        <f t="shared" ref="BT18:BT36" si="41">COUNTIF(B18:BO18,"MC")/2</f>
        <v>0</v>
      </c>
      <c r="BU18" s="18">
        <f t="shared" ref="BU18:BU36" si="42">COUNTIF(B18:BO18,"EL")/2</f>
        <v>0</v>
      </c>
      <c r="BV18" s="18">
        <f t="shared" ref="BV18:BV36" si="43">COUNTIF(B18:BO18,"AL")/2</f>
        <v>0</v>
      </c>
      <c r="BW18" s="18">
        <f t="shared" ref="BW18:BW36" si="44">COUNTIF(B18:BO18,"SUS")/2</f>
        <v>0</v>
      </c>
      <c r="BX18" s="18">
        <f t="shared" ref="BX18:BX36" si="45">COUNTIF(B18:BO18,"FL")/2</f>
        <v>0</v>
      </c>
      <c r="BY18" s="18">
        <f t="shared" ref="BY18:BY36" si="46">COUNTIF(B18:BO18,"SICK")/2</f>
        <v>0</v>
      </c>
      <c r="BZ18" s="18">
        <f t="shared" ref="BZ18:BZ36" si="47">COUNTIF(B18:BO18,"HD")/2</f>
        <v>0</v>
      </c>
      <c r="CA18" s="18">
        <f t="shared" ref="CA18:CA36" si="48">COUNTIF(B18:BO18,"AB")/2</f>
        <v>0</v>
      </c>
      <c r="CB18" s="18">
        <f t="shared" ref="CB18:CB36" si="49">COUNTIF(B18:BO18,"NL")/2</f>
        <v>0</v>
      </c>
      <c r="CC18" s="18">
        <f t="shared" ref="CC18:CC36" si="50">COUNTIF(B18:BO18,"SP")/2</f>
        <v>0</v>
      </c>
      <c r="CD18" s="19"/>
      <c r="CI18" s="90">
        <v>0</v>
      </c>
      <c r="CJ18" s="90">
        <v>0</v>
      </c>
      <c r="CK18" s="90">
        <v>20</v>
      </c>
      <c r="CL18" s="89">
        <v>0</v>
      </c>
      <c r="CM18" s="89">
        <v>0</v>
      </c>
      <c r="CN18" s="89">
        <v>0</v>
      </c>
      <c r="CO18" s="89">
        <v>0</v>
      </c>
      <c r="CP18" s="89">
        <v>0</v>
      </c>
      <c r="CQ18" s="89">
        <v>0</v>
      </c>
      <c r="CR18" s="89">
        <v>0</v>
      </c>
      <c r="CS18" s="94">
        <f t="shared" si="37"/>
        <v>20</v>
      </c>
    </row>
    <row r="19" spans="1:97" ht="22.5" customHeight="1" x14ac:dyDescent="0.25">
      <c r="A19" s="8">
        <v>9</v>
      </c>
      <c r="B19" s="9" t="s">
        <v>40</v>
      </c>
      <c r="C19" s="79" t="s">
        <v>41</v>
      </c>
      <c r="D19" s="96">
        <v>0.35555555555555557</v>
      </c>
      <c r="E19" s="96">
        <v>0.95347222222222217</v>
      </c>
      <c r="F19" s="99" t="s">
        <v>15</v>
      </c>
      <c r="G19" s="99" t="s">
        <v>15</v>
      </c>
      <c r="H19" s="96">
        <v>0.35069444444444442</v>
      </c>
      <c r="I19" s="96">
        <v>0.94097222222222221</v>
      </c>
      <c r="J19" s="96">
        <v>0.35555555555555557</v>
      </c>
      <c r="K19" s="96">
        <v>0.94166666666666676</v>
      </c>
      <c r="L19" s="96" t="s">
        <v>105</v>
      </c>
      <c r="M19" s="96" t="s">
        <v>105</v>
      </c>
      <c r="N19" s="96" t="s">
        <v>23</v>
      </c>
      <c r="O19" s="96" t="s">
        <v>23</v>
      </c>
      <c r="P19" s="96">
        <v>0.38472222222222219</v>
      </c>
      <c r="Q19" s="97">
        <v>1</v>
      </c>
      <c r="R19" s="96">
        <v>0.34583333333333338</v>
      </c>
      <c r="S19" s="97">
        <v>1</v>
      </c>
      <c r="T19" s="99">
        <v>0.57708333333333328</v>
      </c>
      <c r="U19" s="99">
        <v>0.94374999999999998</v>
      </c>
      <c r="V19" s="96">
        <v>0.3520833333333333</v>
      </c>
      <c r="W19" s="96">
        <v>0.94930555555555562</v>
      </c>
      <c r="X19" s="96">
        <v>0.35069444444444442</v>
      </c>
      <c r="Y19" s="96">
        <v>0.93402777777777779</v>
      </c>
      <c r="Z19" s="96">
        <v>0.40486111111111112</v>
      </c>
      <c r="AA19" s="96">
        <v>0.93680555555555556</v>
      </c>
      <c r="AB19" s="96">
        <v>0.35694444444444445</v>
      </c>
      <c r="AC19" s="96">
        <v>0.94027777777777777</v>
      </c>
      <c r="AD19" s="96">
        <v>0.35000000000000003</v>
      </c>
      <c r="AE19" s="97">
        <v>1</v>
      </c>
      <c r="AF19" s="96">
        <v>0.35555555555555557</v>
      </c>
      <c r="AG19" s="97">
        <v>1</v>
      </c>
      <c r="AH19" s="78"/>
      <c r="AI19" s="67">
        <v>9</v>
      </c>
      <c r="AJ19" s="99" t="s">
        <v>15</v>
      </c>
      <c r="AK19" s="99" t="s">
        <v>15</v>
      </c>
      <c r="AL19" s="96">
        <v>0.35069444444444442</v>
      </c>
      <c r="AM19" s="96">
        <v>0.9555555555555556</v>
      </c>
      <c r="AN19" s="96">
        <v>0.35555555555555557</v>
      </c>
      <c r="AO19" s="96">
        <v>0.93819444444444444</v>
      </c>
      <c r="AP19" s="96">
        <v>0.35555555555555557</v>
      </c>
      <c r="AQ19" s="96">
        <v>0.93958333333333333</v>
      </c>
      <c r="AR19" s="96">
        <v>0.35347222222222219</v>
      </c>
      <c r="AS19" s="96">
        <v>0.93680555555555556</v>
      </c>
      <c r="AT19" s="96">
        <v>0.35486111111111113</v>
      </c>
      <c r="AU19" s="96">
        <v>0.94374999999999998</v>
      </c>
      <c r="AV19" s="96">
        <v>0.35486111111111113</v>
      </c>
      <c r="AW19" s="96">
        <v>0.9784722222222223</v>
      </c>
      <c r="AX19" s="99">
        <v>0.58333333333333337</v>
      </c>
      <c r="AY19" s="101">
        <v>1</v>
      </c>
      <c r="AZ19" s="96">
        <v>0.35486111111111113</v>
      </c>
      <c r="BA19" s="96">
        <v>0.95000000000000007</v>
      </c>
      <c r="BB19" s="96">
        <v>0.92013888888888884</v>
      </c>
      <c r="BC19" s="97">
        <v>1</v>
      </c>
      <c r="BD19" s="96">
        <v>0.3576388888888889</v>
      </c>
      <c r="BE19" s="96">
        <v>0.9277777777777777</v>
      </c>
      <c r="BF19" s="96">
        <v>0.35625000000000001</v>
      </c>
      <c r="BG19" s="96">
        <v>0.93958333333333333</v>
      </c>
      <c r="BH19" s="96">
        <v>0.35347222222222219</v>
      </c>
      <c r="BI19" s="96">
        <v>0.92222222222222217</v>
      </c>
      <c r="BJ19" s="96">
        <v>0.3520833333333333</v>
      </c>
      <c r="BK19" s="96">
        <v>0.94166666666666676</v>
      </c>
      <c r="BL19" s="99" t="s">
        <v>15</v>
      </c>
      <c r="BM19" s="99" t="s">
        <v>15</v>
      </c>
      <c r="BN19" s="96">
        <v>0.35625000000000001</v>
      </c>
      <c r="BO19" s="96">
        <v>0.98541666666666661</v>
      </c>
      <c r="BP19" s="82">
        <f t="shared" si="38"/>
        <v>30</v>
      </c>
      <c r="BQ19" s="83">
        <v>2</v>
      </c>
      <c r="BR19" s="17">
        <f t="shared" si="39"/>
        <v>26</v>
      </c>
      <c r="BS19" s="18">
        <f t="shared" si="40"/>
        <v>3</v>
      </c>
      <c r="BT19" s="18">
        <f t="shared" si="41"/>
        <v>0</v>
      </c>
      <c r="BU19" s="18">
        <f t="shared" si="42"/>
        <v>0</v>
      </c>
      <c r="BV19" s="18">
        <f t="shared" si="43"/>
        <v>0</v>
      </c>
      <c r="BW19" s="18">
        <f t="shared" si="44"/>
        <v>0</v>
      </c>
      <c r="BX19" s="18">
        <f t="shared" si="45"/>
        <v>0</v>
      </c>
      <c r="BY19" s="18">
        <f t="shared" si="46"/>
        <v>1</v>
      </c>
      <c r="BZ19" s="18">
        <f t="shared" si="47"/>
        <v>0</v>
      </c>
      <c r="CA19" s="18">
        <f t="shared" si="48"/>
        <v>1</v>
      </c>
      <c r="CB19" s="18">
        <f t="shared" si="49"/>
        <v>0</v>
      </c>
      <c r="CC19" s="18">
        <f t="shared" si="50"/>
        <v>0</v>
      </c>
      <c r="CD19" s="19"/>
      <c r="CI19" s="91">
        <v>0</v>
      </c>
      <c r="CJ19" s="91">
        <v>0</v>
      </c>
      <c r="CK19" s="91">
        <v>0</v>
      </c>
      <c r="CL19" s="91">
        <v>0</v>
      </c>
      <c r="CM19" s="91">
        <v>0</v>
      </c>
      <c r="CN19" s="91">
        <v>6</v>
      </c>
      <c r="CO19" s="92">
        <v>2</v>
      </c>
      <c r="CP19" s="92">
        <v>3</v>
      </c>
      <c r="CQ19" s="92">
        <v>0</v>
      </c>
      <c r="CR19" s="92">
        <v>0</v>
      </c>
      <c r="CS19" s="93">
        <f t="shared" ref="CS19:CS33" si="51">SUM(CI19:CR19)</f>
        <v>11</v>
      </c>
    </row>
    <row r="20" spans="1:97" ht="22.5" customHeight="1" x14ac:dyDescent="0.25">
      <c r="A20" s="8">
        <v>10</v>
      </c>
      <c r="B20" s="9" t="s">
        <v>42</v>
      </c>
      <c r="C20" s="79" t="s">
        <v>43</v>
      </c>
      <c r="D20" s="96">
        <v>0.33263888888888887</v>
      </c>
      <c r="E20" s="96">
        <v>0.81874999999999998</v>
      </c>
      <c r="F20" s="99">
        <v>0.55833333333333335</v>
      </c>
      <c r="G20" s="99">
        <v>0.79375000000000007</v>
      </c>
      <c r="H20" s="96">
        <v>0.33402777777777781</v>
      </c>
      <c r="I20" s="96">
        <v>0.8965277777777777</v>
      </c>
      <c r="J20" s="96">
        <v>0.33124999999999999</v>
      </c>
      <c r="K20" s="96">
        <v>0.90347222222222223</v>
      </c>
      <c r="L20" s="96">
        <v>0.35486111111111113</v>
      </c>
      <c r="M20" s="96">
        <v>9.7222222222222224E-3</v>
      </c>
      <c r="N20" s="96">
        <v>0.39166666666666666</v>
      </c>
      <c r="O20" s="96">
        <v>0.94861111111111107</v>
      </c>
      <c r="P20" s="96">
        <v>0.35486111111111113</v>
      </c>
      <c r="Q20" s="96">
        <v>0.77638888888888891</v>
      </c>
      <c r="R20" s="96">
        <v>0.29583333333333334</v>
      </c>
      <c r="S20" s="96">
        <v>0.84722222222222221</v>
      </c>
      <c r="T20" s="99" t="s">
        <v>15</v>
      </c>
      <c r="U20" s="99" t="s">
        <v>15</v>
      </c>
      <c r="V20" s="96">
        <v>0.3576388888888889</v>
      </c>
      <c r="W20" s="96">
        <v>0.87916666666666676</v>
      </c>
      <c r="X20" s="96">
        <v>0.35138888888888892</v>
      </c>
      <c r="Y20" s="96">
        <v>0.91527777777777775</v>
      </c>
      <c r="Z20" s="96">
        <v>0.35486111111111113</v>
      </c>
      <c r="AA20" s="96">
        <v>0.87013888888888891</v>
      </c>
      <c r="AB20" s="96">
        <v>0.35416666666666669</v>
      </c>
      <c r="AC20" s="96">
        <v>0.81597222222222221</v>
      </c>
      <c r="AD20" s="96">
        <v>0.3527777777777778</v>
      </c>
      <c r="AE20" s="97">
        <v>1</v>
      </c>
      <c r="AF20" s="96">
        <v>0.3576388888888889</v>
      </c>
      <c r="AG20" s="97">
        <v>1</v>
      </c>
      <c r="AH20" s="78"/>
      <c r="AI20" s="67">
        <v>10</v>
      </c>
      <c r="AJ20" s="99">
        <v>0.57847222222222217</v>
      </c>
      <c r="AK20" s="99">
        <v>0.81597222222222221</v>
      </c>
      <c r="AL20" s="96">
        <v>0.35625000000000001</v>
      </c>
      <c r="AM20" s="96">
        <v>0.86597222222222225</v>
      </c>
      <c r="AN20" s="96">
        <v>0.3520833333333333</v>
      </c>
      <c r="AO20" s="96">
        <v>0.85763888888888884</v>
      </c>
      <c r="AP20" s="96">
        <v>0.35486111111111113</v>
      </c>
      <c r="AQ20" s="96">
        <v>0.83124999999999993</v>
      </c>
      <c r="AR20" s="96">
        <v>0.35555555555555557</v>
      </c>
      <c r="AS20" s="96">
        <v>0.85833333333333339</v>
      </c>
      <c r="AT20" s="96">
        <v>0.35416666666666669</v>
      </c>
      <c r="AU20" s="96">
        <v>0.85902777777777783</v>
      </c>
      <c r="AV20" s="96">
        <v>0.35486111111111113</v>
      </c>
      <c r="AW20" s="96">
        <v>0.9159722222222223</v>
      </c>
      <c r="AX20" s="99" t="s">
        <v>15</v>
      </c>
      <c r="AY20" s="99" t="s">
        <v>15</v>
      </c>
      <c r="AZ20" s="96">
        <v>0.3576388888888889</v>
      </c>
      <c r="BA20" s="96">
        <v>0.83888888888888891</v>
      </c>
      <c r="BB20" s="96">
        <v>0.35555555555555557</v>
      </c>
      <c r="BC20" s="96">
        <v>0.87291666666666667</v>
      </c>
      <c r="BD20" s="96">
        <v>0.35486111111111113</v>
      </c>
      <c r="BE20" s="96">
        <v>0.87916666666666676</v>
      </c>
      <c r="BF20" s="96">
        <v>0.3611111111111111</v>
      </c>
      <c r="BG20" s="96">
        <v>0.7993055555555556</v>
      </c>
      <c r="BH20" s="96">
        <v>0.3520833333333333</v>
      </c>
      <c r="BI20" s="96">
        <v>0.86319444444444438</v>
      </c>
      <c r="BJ20" s="96">
        <v>0.35486111111111113</v>
      </c>
      <c r="BK20" s="96">
        <v>0.98819444444444438</v>
      </c>
      <c r="BL20" s="99">
        <v>0.58124999999999993</v>
      </c>
      <c r="BM20" s="101">
        <v>1</v>
      </c>
      <c r="BN20" s="96">
        <v>0.35555555555555557</v>
      </c>
      <c r="BO20" s="96">
        <v>0.87569444444444444</v>
      </c>
      <c r="BP20" s="82">
        <f t="shared" si="38"/>
        <v>31</v>
      </c>
      <c r="BQ20" s="83">
        <v>3</v>
      </c>
      <c r="BR20" s="17">
        <f t="shared" si="39"/>
        <v>29</v>
      </c>
      <c r="BS20" s="18">
        <f t="shared" si="40"/>
        <v>2</v>
      </c>
      <c r="BT20" s="18">
        <f t="shared" si="41"/>
        <v>0</v>
      </c>
      <c r="BU20" s="18">
        <f t="shared" si="42"/>
        <v>0</v>
      </c>
      <c r="BV20" s="18">
        <f t="shared" si="43"/>
        <v>0</v>
      </c>
      <c r="BW20" s="18">
        <f t="shared" si="44"/>
        <v>0</v>
      </c>
      <c r="BX20" s="18">
        <f t="shared" si="45"/>
        <v>0</v>
      </c>
      <c r="BY20" s="18">
        <f t="shared" si="46"/>
        <v>0</v>
      </c>
      <c r="BZ20" s="18">
        <f t="shared" si="47"/>
        <v>0</v>
      </c>
      <c r="CA20" s="18">
        <f t="shared" si="48"/>
        <v>0</v>
      </c>
      <c r="CB20" s="18">
        <f t="shared" si="49"/>
        <v>0</v>
      </c>
      <c r="CC20" s="18">
        <f t="shared" si="50"/>
        <v>0</v>
      </c>
      <c r="CD20" s="19"/>
      <c r="CI20" s="90">
        <v>0</v>
      </c>
      <c r="CJ20" s="90">
        <v>0</v>
      </c>
      <c r="CK20" s="90">
        <v>0</v>
      </c>
      <c r="CL20" s="90">
        <v>0</v>
      </c>
      <c r="CM20" s="90">
        <v>0</v>
      </c>
      <c r="CN20" s="89">
        <v>3</v>
      </c>
      <c r="CO20" s="90">
        <v>0</v>
      </c>
      <c r="CP20" s="90">
        <v>0</v>
      </c>
      <c r="CQ20" s="90">
        <v>0</v>
      </c>
      <c r="CR20" s="90">
        <v>0</v>
      </c>
      <c r="CS20" s="94">
        <f t="shared" si="51"/>
        <v>3</v>
      </c>
    </row>
    <row r="21" spans="1:97" ht="22.5" customHeight="1" x14ac:dyDescent="0.25">
      <c r="A21" s="8">
        <v>11</v>
      </c>
      <c r="B21" s="9" t="s">
        <v>44</v>
      </c>
      <c r="C21" s="79" t="s">
        <v>45</v>
      </c>
      <c r="D21" s="96">
        <v>0.35416666666666669</v>
      </c>
      <c r="E21" s="96">
        <v>0.94374999999999998</v>
      </c>
      <c r="F21" s="99" t="s">
        <v>15</v>
      </c>
      <c r="G21" s="99" t="s">
        <v>15</v>
      </c>
      <c r="H21" s="96">
        <v>0.34930555555555554</v>
      </c>
      <c r="I21" s="96">
        <v>0.94166666666666676</v>
      </c>
      <c r="J21" s="96">
        <v>0.3520833333333333</v>
      </c>
      <c r="K21" s="96">
        <v>0.92499999999999993</v>
      </c>
      <c r="L21" s="96">
        <v>0.92499999999999993</v>
      </c>
      <c r="M21" s="96">
        <v>0.92499999999999993</v>
      </c>
      <c r="N21" s="96">
        <v>0.35347222222222219</v>
      </c>
      <c r="O21" s="96">
        <v>0.92499999999999993</v>
      </c>
      <c r="P21" s="96">
        <v>0.35625000000000001</v>
      </c>
      <c r="Q21" s="96">
        <v>0.93333333333333324</v>
      </c>
      <c r="R21" s="96">
        <v>0.34861111111111115</v>
      </c>
      <c r="S21" s="96">
        <v>0.95486111111111116</v>
      </c>
      <c r="T21" s="99">
        <v>0.57777777777777783</v>
      </c>
      <c r="U21" s="99">
        <v>0.93819444444444444</v>
      </c>
      <c r="V21" s="96">
        <v>0.35347222222222219</v>
      </c>
      <c r="W21" s="96">
        <v>0.94791666666666663</v>
      </c>
      <c r="X21" s="96">
        <v>0.35069444444444442</v>
      </c>
      <c r="Y21" s="96">
        <v>0.92708333333333337</v>
      </c>
      <c r="Z21" s="96">
        <v>0.35069444444444442</v>
      </c>
      <c r="AA21" s="96">
        <v>0.92847222222222225</v>
      </c>
      <c r="AB21" s="96">
        <v>0.34791666666666665</v>
      </c>
      <c r="AC21" s="96">
        <v>0.9277777777777777</v>
      </c>
      <c r="AD21" s="96">
        <v>0.35000000000000003</v>
      </c>
      <c r="AE21" s="96">
        <v>0.93125000000000002</v>
      </c>
      <c r="AF21" s="96">
        <v>0.34861111111111115</v>
      </c>
      <c r="AG21" s="96">
        <v>0.95000000000000007</v>
      </c>
      <c r="AH21" s="78"/>
      <c r="AI21" s="67">
        <v>11</v>
      </c>
      <c r="AJ21" s="99" t="s">
        <v>15</v>
      </c>
      <c r="AK21" s="99" t="s">
        <v>15</v>
      </c>
      <c r="AL21" s="96">
        <v>0.34861111111111115</v>
      </c>
      <c r="AM21" s="96">
        <v>0.94236111111111109</v>
      </c>
      <c r="AN21" s="96">
        <v>0.34930555555555554</v>
      </c>
      <c r="AO21" s="96">
        <v>0.92569444444444438</v>
      </c>
      <c r="AP21" s="96">
        <v>0.34861111111111115</v>
      </c>
      <c r="AQ21" s="96">
        <v>0.92499999999999993</v>
      </c>
      <c r="AR21" s="96">
        <v>0.34930555555555554</v>
      </c>
      <c r="AS21" s="96">
        <v>0.92152777777777783</v>
      </c>
      <c r="AT21" s="96" t="s">
        <v>105</v>
      </c>
      <c r="AU21" s="96" t="s">
        <v>105</v>
      </c>
      <c r="AV21" s="96" t="s">
        <v>105</v>
      </c>
      <c r="AW21" s="96" t="s">
        <v>105</v>
      </c>
      <c r="AX21" s="99">
        <v>0.58333333333333337</v>
      </c>
      <c r="AY21" s="99">
        <v>0.92361111111111116</v>
      </c>
      <c r="AZ21" s="96">
        <v>0.34791666666666665</v>
      </c>
      <c r="BA21" s="96">
        <v>0.94236111111111109</v>
      </c>
      <c r="BB21" s="96">
        <v>0.34722222222222227</v>
      </c>
      <c r="BC21" s="96">
        <v>0.92291666666666661</v>
      </c>
      <c r="BD21" s="96">
        <v>0.35000000000000003</v>
      </c>
      <c r="BE21" s="96">
        <v>0.9291666666666667</v>
      </c>
      <c r="BF21" s="96">
        <v>0.34930555555555554</v>
      </c>
      <c r="BG21" s="96">
        <v>0.92361111111111116</v>
      </c>
      <c r="BH21" s="96">
        <v>0.34930555555555554</v>
      </c>
      <c r="BI21" s="96">
        <v>0.92291666666666661</v>
      </c>
      <c r="BJ21" s="96">
        <v>0.35000000000000003</v>
      </c>
      <c r="BK21" s="96">
        <v>0.94930555555555562</v>
      </c>
      <c r="BL21" s="99" t="s">
        <v>15</v>
      </c>
      <c r="BM21" s="99" t="s">
        <v>15</v>
      </c>
      <c r="BN21" s="96">
        <v>0.34722222222222227</v>
      </c>
      <c r="BO21" s="96">
        <v>0.98263888888888884</v>
      </c>
      <c r="BP21" s="82">
        <f t="shared" si="38"/>
        <v>31</v>
      </c>
      <c r="BQ21" s="83">
        <v>2</v>
      </c>
      <c r="BR21" s="17">
        <f t="shared" si="39"/>
        <v>26</v>
      </c>
      <c r="BS21" s="18">
        <f t="shared" si="40"/>
        <v>3</v>
      </c>
      <c r="BT21" s="18">
        <f t="shared" si="41"/>
        <v>0</v>
      </c>
      <c r="BU21" s="18">
        <f t="shared" si="42"/>
        <v>0</v>
      </c>
      <c r="BV21" s="18">
        <f t="shared" si="43"/>
        <v>0</v>
      </c>
      <c r="BW21" s="18">
        <f t="shared" si="44"/>
        <v>0</v>
      </c>
      <c r="BX21" s="18">
        <f t="shared" si="45"/>
        <v>0</v>
      </c>
      <c r="BY21" s="18">
        <f t="shared" si="46"/>
        <v>2</v>
      </c>
      <c r="BZ21" s="18">
        <f t="shared" si="47"/>
        <v>0</v>
      </c>
      <c r="CA21" s="18">
        <f t="shared" si="48"/>
        <v>0</v>
      </c>
      <c r="CB21" s="18">
        <f t="shared" si="49"/>
        <v>0</v>
      </c>
      <c r="CC21" s="18">
        <f t="shared" si="50"/>
        <v>0</v>
      </c>
      <c r="CD21" s="19"/>
      <c r="CI21" s="91">
        <v>0</v>
      </c>
      <c r="CJ21" s="91">
        <v>0</v>
      </c>
      <c r="CK21" s="91">
        <v>0</v>
      </c>
      <c r="CL21" s="91">
        <v>0</v>
      </c>
      <c r="CM21" s="91">
        <v>0</v>
      </c>
      <c r="CN21" s="91">
        <v>4</v>
      </c>
      <c r="CO21" s="92">
        <v>0</v>
      </c>
      <c r="CP21" s="92">
        <v>0</v>
      </c>
      <c r="CQ21" s="92">
        <v>0</v>
      </c>
      <c r="CR21" s="92">
        <v>0</v>
      </c>
      <c r="CS21" s="93">
        <f t="shared" si="51"/>
        <v>4</v>
      </c>
    </row>
    <row r="22" spans="1:97" ht="22.5" customHeight="1" x14ac:dyDescent="0.25">
      <c r="A22" s="8">
        <v>12</v>
      </c>
      <c r="B22" s="9" t="s">
        <v>46</v>
      </c>
      <c r="C22" s="79" t="s">
        <v>47</v>
      </c>
      <c r="D22" s="96">
        <v>0.35694444444444445</v>
      </c>
      <c r="E22" s="96">
        <v>0.95833333333333337</v>
      </c>
      <c r="F22" s="99" t="s">
        <v>15</v>
      </c>
      <c r="G22" s="99" t="s">
        <v>15</v>
      </c>
      <c r="H22" s="96">
        <v>0.35555555555555557</v>
      </c>
      <c r="I22" s="98">
        <v>1</v>
      </c>
      <c r="J22" s="96">
        <v>0.35833333333333334</v>
      </c>
      <c r="K22" s="96">
        <v>0.93055555555555547</v>
      </c>
      <c r="L22" s="96">
        <v>0.35486111111111113</v>
      </c>
      <c r="M22" s="96">
        <v>0.93472222222222223</v>
      </c>
      <c r="N22" s="96">
        <v>0.35416666666666669</v>
      </c>
      <c r="O22" s="96">
        <v>0.93611111111111101</v>
      </c>
      <c r="P22" s="96">
        <v>0.35416666666666669</v>
      </c>
      <c r="Q22" s="96">
        <v>0.93472222222222223</v>
      </c>
      <c r="R22" s="96">
        <v>0.35069444444444442</v>
      </c>
      <c r="S22" s="96">
        <v>0.95833333333333337</v>
      </c>
      <c r="T22" s="99">
        <v>0.58194444444444449</v>
      </c>
      <c r="U22" s="101">
        <v>1</v>
      </c>
      <c r="V22" s="96">
        <v>0.35486111111111113</v>
      </c>
      <c r="W22" s="96">
        <v>0.94861111111111107</v>
      </c>
      <c r="X22" s="96">
        <v>0.35555555555555557</v>
      </c>
      <c r="Y22" s="96">
        <v>0.92847222222222225</v>
      </c>
      <c r="Z22" s="96">
        <v>0.35416666666666669</v>
      </c>
      <c r="AA22" s="96">
        <v>0.93125000000000002</v>
      </c>
      <c r="AB22" s="96">
        <v>0.35486111111111113</v>
      </c>
      <c r="AC22" s="97">
        <v>1</v>
      </c>
      <c r="AD22" s="96">
        <v>0.35416666666666669</v>
      </c>
      <c r="AE22" s="96">
        <v>0.9277777777777777</v>
      </c>
      <c r="AF22" s="96">
        <v>0.35486111111111113</v>
      </c>
      <c r="AG22" s="96">
        <v>0.9506944444444444</v>
      </c>
      <c r="AH22" s="78"/>
      <c r="AI22" s="67">
        <v>12</v>
      </c>
      <c r="AJ22" s="99" t="s">
        <v>15</v>
      </c>
      <c r="AK22" s="99" t="s">
        <v>15</v>
      </c>
      <c r="AL22" s="96">
        <v>0.35416666666666669</v>
      </c>
      <c r="AM22" s="96">
        <v>0.94930555555555562</v>
      </c>
      <c r="AN22" s="96">
        <v>0.35347222222222219</v>
      </c>
      <c r="AO22" s="96">
        <v>0.92708333333333337</v>
      </c>
      <c r="AP22" s="96">
        <v>0.3527777777777778</v>
      </c>
      <c r="AQ22" s="96">
        <v>0.93333333333333324</v>
      </c>
      <c r="AR22" s="96">
        <v>0.35486111111111113</v>
      </c>
      <c r="AS22" s="96">
        <v>0.92986111111111114</v>
      </c>
      <c r="AT22" s="96">
        <v>0.35416666666666669</v>
      </c>
      <c r="AU22" s="96">
        <v>0.9277777777777777</v>
      </c>
      <c r="AV22" s="96">
        <v>0.3527777777777778</v>
      </c>
      <c r="AW22" s="96">
        <v>0.96180555555555547</v>
      </c>
      <c r="AX22" s="99">
        <v>0.58680555555555558</v>
      </c>
      <c r="AY22" s="101">
        <v>1</v>
      </c>
      <c r="AZ22" s="96">
        <v>0.3527777777777778</v>
      </c>
      <c r="BA22" s="96">
        <v>0.94861111111111107</v>
      </c>
      <c r="BB22" s="96">
        <v>0.3520833333333333</v>
      </c>
      <c r="BC22" s="96">
        <v>0.93472222222222223</v>
      </c>
      <c r="BD22" s="96">
        <v>0.35416666666666669</v>
      </c>
      <c r="BE22" s="96">
        <v>0.93194444444444446</v>
      </c>
      <c r="BF22" s="96">
        <v>0.35486111111111113</v>
      </c>
      <c r="BG22" s="97">
        <v>1</v>
      </c>
      <c r="BH22" s="96">
        <v>0.35347222222222219</v>
      </c>
      <c r="BI22" s="96">
        <v>0.93541666666666667</v>
      </c>
      <c r="BJ22" s="96">
        <v>0.35416666666666669</v>
      </c>
      <c r="BK22" s="96">
        <v>0.95416666666666661</v>
      </c>
      <c r="BL22" s="99" t="s">
        <v>15</v>
      </c>
      <c r="BM22" s="99" t="s">
        <v>15</v>
      </c>
      <c r="BN22" s="96">
        <v>0.35416666666666669</v>
      </c>
      <c r="BO22" s="97">
        <v>1</v>
      </c>
      <c r="BP22" s="82">
        <f t="shared" si="38"/>
        <v>31</v>
      </c>
      <c r="BQ22" s="83">
        <v>2</v>
      </c>
      <c r="BR22" s="17">
        <f t="shared" si="39"/>
        <v>28</v>
      </c>
      <c r="BS22" s="18">
        <f t="shared" si="40"/>
        <v>3</v>
      </c>
      <c r="BT22" s="18">
        <f t="shared" si="41"/>
        <v>0</v>
      </c>
      <c r="BU22" s="18">
        <f t="shared" si="42"/>
        <v>0</v>
      </c>
      <c r="BV22" s="18">
        <f t="shared" si="43"/>
        <v>0</v>
      </c>
      <c r="BW22" s="18">
        <f t="shared" si="44"/>
        <v>0</v>
      </c>
      <c r="BX22" s="18">
        <f t="shared" si="45"/>
        <v>0</v>
      </c>
      <c r="BY22" s="18">
        <f t="shared" si="46"/>
        <v>0</v>
      </c>
      <c r="BZ22" s="18">
        <f t="shared" si="47"/>
        <v>0</v>
      </c>
      <c r="CA22" s="18">
        <f t="shared" si="48"/>
        <v>0</v>
      </c>
      <c r="CB22" s="18">
        <f t="shared" si="49"/>
        <v>0</v>
      </c>
      <c r="CC22" s="18">
        <f t="shared" si="50"/>
        <v>0</v>
      </c>
      <c r="CD22" s="19"/>
      <c r="CI22" s="90">
        <v>0</v>
      </c>
      <c r="CJ22" s="90">
        <v>0</v>
      </c>
      <c r="CK22" s="90">
        <v>0</v>
      </c>
      <c r="CL22" s="90">
        <v>0</v>
      </c>
      <c r="CM22" s="90">
        <v>0</v>
      </c>
      <c r="CN22" s="90">
        <v>0</v>
      </c>
      <c r="CO22" s="90">
        <v>0</v>
      </c>
      <c r="CP22" s="90">
        <v>0</v>
      </c>
      <c r="CQ22" s="90">
        <v>0</v>
      </c>
      <c r="CR22" s="90">
        <v>0</v>
      </c>
      <c r="CS22" s="94">
        <f t="shared" si="51"/>
        <v>0</v>
      </c>
    </row>
    <row r="23" spans="1:97" ht="22.5" customHeight="1" x14ac:dyDescent="0.25">
      <c r="A23" s="8">
        <v>13</v>
      </c>
      <c r="B23" s="9" t="s">
        <v>50</v>
      </c>
      <c r="C23" s="79" t="s">
        <v>51</v>
      </c>
      <c r="D23" s="96">
        <v>0.35347222222222219</v>
      </c>
      <c r="E23" s="96">
        <v>0.9458333333333333</v>
      </c>
      <c r="F23" s="99">
        <v>0.5756944444444444</v>
      </c>
      <c r="G23" s="99">
        <v>0.92847222222222225</v>
      </c>
      <c r="H23" s="96">
        <v>0.34930555555555554</v>
      </c>
      <c r="I23" s="96">
        <v>0.94374999999999998</v>
      </c>
      <c r="J23" s="96">
        <v>0.3520833333333333</v>
      </c>
      <c r="K23" s="96">
        <v>0.92638888888888893</v>
      </c>
      <c r="L23" s="96">
        <v>0.35138888888888892</v>
      </c>
      <c r="M23" s="96">
        <v>0.9243055555555556</v>
      </c>
      <c r="N23" s="96">
        <v>0.35347222222222219</v>
      </c>
      <c r="O23" s="96">
        <v>0.92361111111111116</v>
      </c>
      <c r="P23" s="96">
        <v>0.35555555555555557</v>
      </c>
      <c r="Q23" s="96">
        <v>0.92708333333333337</v>
      </c>
      <c r="R23" s="96">
        <v>0.34652777777777777</v>
      </c>
      <c r="S23" s="96">
        <v>0.94513888888888886</v>
      </c>
      <c r="T23" s="99" t="s">
        <v>15</v>
      </c>
      <c r="U23" s="99" t="s">
        <v>15</v>
      </c>
      <c r="V23" s="96">
        <v>0.3527777777777778</v>
      </c>
      <c r="W23" s="96">
        <v>0.94166666666666676</v>
      </c>
      <c r="X23" s="96">
        <v>0.35000000000000003</v>
      </c>
      <c r="Y23" s="96">
        <v>0.92361111111111116</v>
      </c>
      <c r="Z23" s="96">
        <v>0.35000000000000003</v>
      </c>
      <c r="AA23" s="96">
        <v>0.92569444444444438</v>
      </c>
      <c r="AB23" s="96">
        <v>0.34791666666666665</v>
      </c>
      <c r="AC23" s="96">
        <v>0.9243055555555556</v>
      </c>
      <c r="AD23" s="96">
        <v>0.35000000000000003</v>
      </c>
      <c r="AE23" s="96">
        <v>0.93541666666666667</v>
      </c>
      <c r="AF23" s="96">
        <v>0.34722222222222227</v>
      </c>
      <c r="AG23" s="96">
        <v>0.94791666666666663</v>
      </c>
      <c r="AH23" s="78"/>
      <c r="AI23" s="67">
        <v>13</v>
      </c>
      <c r="AJ23" s="99">
        <v>0.57916666666666672</v>
      </c>
      <c r="AK23" s="99">
        <v>0.92847222222222225</v>
      </c>
      <c r="AL23" s="96">
        <v>0.34930555555555554</v>
      </c>
      <c r="AM23" s="96">
        <v>0.94166666666666676</v>
      </c>
      <c r="AN23" s="96">
        <v>0.35000000000000003</v>
      </c>
      <c r="AO23" s="96">
        <v>0.90902777777777777</v>
      </c>
      <c r="AP23" s="96">
        <v>0.34861111111111115</v>
      </c>
      <c r="AQ23" s="96">
        <v>0.92499999999999993</v>
      </c>
      <c r="AR23" s="96">
        <v>0.55277777777777781</v>
      </c>
      <c r="AS23" s="96">
        <v>0.92222222222222217</v>
      </c>
      <c r="AT23" s="96">
        <v>0.35069444444444442</v>
      </c>
      <c r="AU23" s="96">
        <v>0.92986111111111114</v>
      </c>
      <c r="AV23" s="96">
        <v>0.34652777777777777</v>
      </c>
      <c r="AW23" s="96">
        <v>0.95347222222222217</v>
      </c>
      <c r="AX23" s="99" t="s">
        <v>15</v>
      </c>
      <c r="AY23" s="99" t="s">
        <v>15</v>
      </c>
      <c r="AZ23" s="96">
        <v>0.34791666666666665</v>
      </c>
      <c r="BA23" s="96">
        <v>0.94097222222222221</v>
      </c>
      <c r="BB23" s="96">
        <v>0.34722222222222227</v>
      </c>
      <c r="BC23" s="96">
        <v>0.92083333333333339</v>
      </c>
      <c r="BD23" s="96">
        <v>0.35000000000000003</v>
      </c>
      <c r="BE23" s="96">
        <v>0.92499999999999993</v>
      </c>
      <c r="BF23" s="96">
        <v>0.35000000000000003</v>
      </c>
      <c r="BG23" s="96">
        <v>0.92638888888888893</v>
      </c>
      <c r="BH23" s="96">
        <v>0.34930555555555554</v>
      </c>
      <c r="BI23" s="96">
        <v>0.92222222222222217</v>
      </c>
      <c r="BJ23" s="96">
        <v>0.34930555555555554</v>
      </c>
      <c r="BK23" s="96">
        <v>0.94652777777777775</v>
      </c>
      <c r="BL23" s="99">
        <v>0.57777777777777783</v>
      </c>
      <c r="BM23" s="99">
        <v>0.93402777777777779</v>
      </c>
      <c r="BN23" s="96">
        <v>0.34791666666666665</v>
      </c>
      <c r="BO23" s="96">
        <v>0.98263888888888884</v>
      </c>
      <c r="BP23" s="82">
        <f t="shared" si="38"/>
        <v>31</v>
      </c>
      <c r="BQ23" s="83">
        <v>3</v>
      </c>
      <c r="BR23" s="17">
        <f t="shared" si="39"/>
        <v>29</v>
      </c>
      <c r="BS23" s="18">
        <f t="shared" si="40"/>
        <v>2</v>
      </c>
      <c r="BT23" s="18">
        <f t="shared" si="41"/>
        <v>0</v>
      </c>
      <c r="BU23" s="18">
        <f t="shared" si="42"/>
        <v>0</v>
      </c>
      <c r="BV23" s="18">
        <f t="shared" si="43"/>
        <v>0</v>
      </c>
      <c r="BW23" s="18">
        <f t="shared" si="44"/>
        <v>0</v>
      </c>
      <c r="BX23" s="18">
        <f t="shared" si="45"/>
        <v>0</v>
      </c>
      <c r="BY23" s="18">
        <f t="shared" si="46"/>
        <v>0</v>
      </c>
      <c r="BZ23" s="18">
        <f t="shared" si="47"/>
        <v>0</v>
      </c>
      <c r="CA23" s="18">
        <f t="shared" si="48"/>
        <v>0</v>
      </c>
      <c r="CB23" s="18">
        <f t="shared" si="49"/>
        <v>0</v>
      </c>
      <c r="CC23" s="18">
        <f t="shared" si="50"/>
        <v>0</v>
      </c>
      <c r="CD23" s="19"/>
      <c r="CI23" s="91">
        <v>0</v>
      </c>
      <c r="CJ23" s="91">
        <v>0</v>
      </c>
      <c r="CK23" s="91">
        <v>0</v>
      </c>
      <c r="CL23" s="91">
        <v>0</v>
      </c>
      <c r="CM23" s="91">
        <v>0</v>
      </c>
      <c r="CN23" s="91">
        <v>16</v>
      </c>
      <c r="CO23" s="92">
        <v>0</v>
      </c>
      <c r="CP23" s="92">
        <v>1</v>
      </c>
      <c r="CQ23" s="92">
        <v>0</v>
      </c>
      <c r="CR23" s="92">
        <v>0</v>
      </c>
      <c r="CS23" s="93">
        <f t="shared" si="51"/>
        <v>17</v>
      </c>
    </row>
    <row r="24" spans="1:97" ht="22.5" customHeight="1" x14ac:dyDescent="0.25">
      <c r="A24" s="8">
        <v>14</v>
      </c>
      <c r="B24" s="9" t="s">
        <v>52</v>
      </c>
      <c r="C24" s="79" t="s">
        <v>53</v>
      </c>
      <c r="D24" s="96">
        <v>0.35694444444444445</v>
      </c>
      <c r="E24" s="96">
        <v>0.9590277777777777</v>
      </c>
      <c r="F24" s="99">
        <v>0.5625</v>
      </c>
      <c r="G24" s="99">
        <v>0.9375</v>
      </c>
      <c r="H24" s="96">
        <v>0.35486111111111113</v>
      </c>
      <c r="I24" s="96">
        <v>0.9458333333333333</v>
      </c>
      <c r="J24" s="96">
        <v>0.35486111111111113</v>
      </c>
      <c r="K24" s="96">
        <v>0.93055555555555547</v>
      </c>
      <c r="L24" s="96">
        <v>0.35416666666666669</v>
      </c>
      <c r="M24" s="96">
        <v>9.7222222222222224E-3</v>
      </c>
      <c r="N24" s="96">
        <v>0.57708333333333328</v>
      </c>
      <c r="O24" s="96">
        <v>0.93611111111111101</v>
      </c>
      <c r="P24" s="96">
        <v>0.35416666666666669</v>
      </c>
      <c r="Q24" s="96">
        <v>0.93472222222222223</v>
      </c>
      <c r="R24" s="96">
        <v>0.35069444444444442</v>
      </c>
      <c r="S24" s="96">
        <v>0.93958333333333333</v>
      </c>
      <c r="T24" s="99" t="s">
        <v>15</v>
      </c>
      <c r="U24" s="99" t="s">
        <v>15</v>
      </c>
      <c r="V24" s="96">
        <v>0.34861111111111115</v>
      </c>
      <c r="W24" s="96">
        <v>0.9472222222222223</v>
      </c>
      <c r="X24" s="96">
        <v>0.35486111111111113</v>
      </c>
      <c r="Y24" s="96">
        <v>0.9277777777777777</v>
      </c>
      <c r="Z24" s="96">
        <v>0.35416666666666669</v>
      </c>
      <c r="AA24" s="96">
        <v>0.93194444444444446</v>
      </c>
      <c r="AB24" s="96">
        <v>0.35416666666666669</v>
      </c>
      <c r="AC24" s="96">
        <v>0.93333333333333324</v>
      </c>
      <c r="AD24" s="96">
        <v>0.35416666666666669</v>
      </c>
      <c r="AE24" s="96">
        <v>0.9277777777777777</v>
      </c>
      <c r="AF24" s="96">
        <v>0.35486111111111113</v>
      </c>
      <c r="AG24" s="96">
        <v>0.9506944444444444</v>
      </c>
      <c r="AH24" s="78"/>
      <c r="AI24" s="67">
        <v>14</v>
      </c>
      <c r="AJ24" s="99">
        <v>0.58263888888888882</v>
      </c>
      <c r="AK24" s="99">
        <v>0.92569444444444438</v>
      </c>
      <c r="AL24" s="96">
        <v>0.3444444444444445</v>
      </c>
      <c r="AM24" s="97">
        <v>1</v>
      </c>
      <c r="AN24" s="96">
        <v>0.66527777777777775</v>
      </c>
      <c r="AO24" s="96">
        <v>0.9277777777777777</v>
      </c>
      <c r="AP24" s="96">
        <v>0.33055555555555555</v>
      </c>
      <c r="AQ24" s="97">
        <v>1</v>
      </c>
      <c r="AR24" s="96">
        <v>0.3527777777777778</v>
      </c>
      <c r="AS24" s="96">
        <v>0.93125000000000002</v>
      </c>
      <c r="AT24" s="96">
        <v>0.34583333333333338</v>
      </c>
      <c r="AU24" s="97">
        <v>1</v>
      </c>
      <c r="AV24" s="96">
        <v>0.35347222222222219</v>
      </c>
      <c r="AW24" s="96">
        <v>0.96180555555555547</v>
      </c>
      <c r="AX24" s="99" t="s">
        <v>15</v>
      </c>
      <c r="AY24" s="99" t="s">
        <v>15</v>
      </c>
      <c r="AZ24" s="96">
        <v>0.3527777777777778</v>
      </c>
      <c r="BA24" s="96">
        <v>0.94861111111111107</v>
      </c>
      <c r="BB24" s="96">
        <v>0.3527777777777778</v>
      </c>
      <c r="BC24" s="96">
        <v>0.93472222222222223</v>
      </c>
      <c r="BD24" s="96">
        <v>0.35416666666666669</v>
      </c>
      <c r="BE24" s="96">
        <v>0.9145833333333333</v>
      </c>
      <c r="BF24" s="96">
        <v>0.34791666666666665</v>
      </c>
      <c r="BG24" s="96">
        <v>0.93402777777777779</v>
      </c>
      <c r="BH24" s="96">
        <v>0.35347222222222219</v>
      </c>
      <c r="BI24" s="96">
        <v>0.93541666666666667</v>
      </c>
      <c r="BJ24" s="96">
        <v>0.35416666666666669</v>
      </c>
      <c r="BK24" s="96">
        <v>0.95486111111111116</v>
      </c>
      <c r="BL24" s="99">
        <v>0.58124999999999993</v>
      </c>
      <c r="BM24" s="99">
        <v>0.92638888888888893</v>
      </c>
      <c r="BN24" s="96">
        <v>0.34791666666666665</v>
      </c>
      <c r="BO24" s="96">
        <v>0.98263888888888884</v>
      </c>
      <c r="BP24" s="82">
        <f t="shared" si="38"/>
        <v>31</v>
      </c>
      <c r="BQ24" s="83">
        <v>3</v>
      </c>
      <c r="BR24" s="17">
        <f t="shared" si="39"/>
        <v>29</v>
      </c>
      <c r="BS24" s="18">
        <f t="shared" si="40"/>
        <v>2</v>
      </c>
      <c r="BT24" s="18">
        <f t="shared" si="41"/>
        <v>0</v>
      </c>
      <c r="BU24" s="18">
        <f t="shared" si="42"/>
        <v>0</v>
      </c>
      <c r="BV24" s="18">
        <f t="shared" si="43"/>
        <v>0</v>
      </c>
      <c r="BW24" s="18">
        <f t="shared" si="44"/>
        <v>0</v>
      </c>
      <c r="BX24" s="18">
        <f t="shared" si="45"/>
        <v>0</v>
      </c>
      <c r="BY24" s="18">
        <f t="shared" si="46"/>
        <v>0</v>
      </c>
      <c r="BZ24" s="18">
        <f t="shared" si="47"/>
        <v>0</v>
      </c>
      <c r="CA24" s="18">
        <f t="shared" si="48"/>
        <v>0</v>
      </c>
      <c r="CB24" s="18">
        <f t="shared" si="49"/>
        <v>0</v>
      </c>
      <c r="CC24" s="18">
        <f t="shared" si="50"/>
        <v>0</v>
      </c>
      <c r="CD24" s="19"/>
      <c r="CI24" s="90">
        <v>0</v>
      </c>
      <c r="CJ24" s="90">
        <v>0</v>
      </c>
      <c r="CK24" s="90">
        <v>0</v>
      </c>
      <c r="CL24" s="90">
        <v>0</v>
      </c>
      <c r="CM24" s="90">
        <v>0</v>
      </c>
      <c r="CN24" s="89">
        <v>3</v>
      </c>
      <c r="CO24" s="90">
        <v>0</v>
      </c>
      <c r="CP24" s="90">
        <v>0</v>
      </c>
      <c r="CQ24" s="90">
        <v>0</v>
      </c>
      <c r="CR24" s="90">
        <v>0</v>
      </c>
      <c r="CS24" s="94">
        <f t="shared" si="51"/>
        <v>3</v>
      </c>
    </row>
    <row r="25" spans="1:97" ht="22.5" customHeight="1" x14ac:dyDescent="0.25">
      <c r="A25" s="8">
        <v>15</v>
      </c>
      <c r="B25" s="9" t="s">
        <v>54</v>
      </c>
      <c r="C25" s="79" t="s">
        <v>97</v>
      </c>
      <c r="D25" s="96">
        <v>0.49791666666666662</v>
      </c>
      <c r="E25" s="96">
        <v>0.87430555555555556</v>
      </c>
      <c r="F25" s="99">
        <v>0.31458333333333333</v>
      </c>
      <c r="G25" s="99">
        <v>0.85277777777777775</v>
      </c>
      <c r="H25" s="96">
        <v>0.45763888888888887</v>
      </c>
      <c r="I25" s="96">
        <v>0.85138888888888886</v>
      </c>
      <c r="J25" s="96">
        <v>0.46180555555555558</v>
      </c>
      <c r="K25" s="96">
        <v>0.87569444444444444</v>
      </c>
      <c r="L25" s="96">
        <v>0.4513888888888889</v>
      </c>
      <c r="M25" s="96">
        <v>0.84375</v>
      </c>
      <c r="N25" s="96">
        <v>0.4597222222222222</v>
      </c>
      <c r="O25" s="96">
        <v>0.87361111111111101</v>
      </c>
      <c r="P25" s="96">
        <v>0.50208333333333333</v>
      </c>
      <c r="Q25" s="96">
        <v>0.81736111111111109</v>
      </c>
      <c r="R25" s="96">
        <v>0.31527777777777777</v>
      </c>
      <c r="S25" s="96">
        <v>0.8847222222222223</v>
      </c>
      <c r="T25" s="99">
        <v>0.33333333333333331</v>
      </c>
      <c r="U25" s="99">
        <v>0.85625000000000007</v>
      </c>
      <c r="V25" s="96">
        <v>0.43472222222222223</v>
      </c>
      <c r="W25" s="96">
        <v>0.875</v>
      </c>
      <c r="X25" s="96">
        <v>0.4152777777777778</v>
      </c>
      <c r="Y25" s="96">
        <v>0.87569444444444444</v>
      </c>
      <c r="Z25" s="96">
        <v>0.45833333333333331</v>
      </c>
      <c r="AA25" s="96">
        <v>0.875</v>
      </c>
      <c r="AB25" s="96">
        <v>0.45208333333333334</v>
      </c>
      <c r="AC25" s="96">
        <v>0.8569444444444444</v>
      </c>
      <c r="AD25" s="96">
        <v>0.37847222222222227</v>
      </c>
      <c r="AE25" s="96">
        <v>0.85069444444444453</v>
      </c>
      <c r="AF25" s="96">
        <v>0.375</v>
      </c>
      <c r="AG25" s="96">
        <v>0.9145833333333333</v>
      </c>
      <c r="AH25" s="78"/>
      <c r="AI25" s="67">
        <v>15</v>
      </c>
      <c r="AJ25" s="99">
        <v>0.33124999999999999</v>
      </c>
      <c r="AK25" s="99">
        <v>0.86805555555555547</v>
      </c>
      <c r="AL25" s="96">
        <v>0.43402777777777773</v>
      </c>
      <c r="AM25" s="96">
        <v>0.87222222222222223</v>
      </c>
      <c r="AN25" s="96">
        <v>0.43055555555555558</v>
      </c>
      <c r="AO25" s="96">
        <v>0.87291666666666667</v>
      </c>
      <c r="AP25" s="96">
        <v>0.41736111111111113</v>
      </c>
      <c r="AQ25" s="96">
        <v>0.8569444444444444</v>
      </c>
      <c r="AR25" s="96">
        <v>0.375</v>
      </c>
      <c r="AS25" s="96">
        <v>0.84375</v>
      </c>
      <c r="AT25" s="96">
        <v>0.375</v>
      </c>
      <c r="AU25" s="96">
        <v>0.85972222222222217</v>
      </c>
      <c r="AV25" s="96">
        <v>0.37638888888888888</v>
      </c>
      <c r="AW25" s="96">
        <v>0.86319444444444438</v>
      </c>
      <c r="AX25" s="99">
        <v>0.32777777777777778</v>
      </c>
      <c r="AY25" s="99">
        <v>0.83958333333333324</v>
      </c>
      <c r="AZ25" s="96">
        <v>0.3979166666666667</v>
      </c>
      <c r="BA25" s="96">
        <v>0.86388888888888893</v>
      </c>
      <c r="BB25" s="96">
        <v>0.37916666666666665</v>
      </c>
      <c r="BC25" s="96">
        <v>0.84722222222222221</v>
      </c>
      <c r="BD25" s="96">
        <v>0.41805555555555557</v>
      </c>
      <c r="BE25" s="96">
        <v>0.86111111111111116</v>
      </c>
      <c r="BF25" s="96">
        <v>0.3756944444444445</v>
      </c>
      <c r="BG25" s="96">
        <v>0.87083333333333324</v>
      </c>
      <c r="BH25" s="96">
        <v>0.37708333333333338</v>
      </c>
      <c r="BI25" s="96">
        <v>0.87222222222222223</v>
      </c>
      <c r="BJ25" s="96">
        <v>0.3756944444444445</v>
      </c>
      <c r="BK25" s="97">
        <v>1</v>
      </c>
      <c r="BL25" s="99" t="s">
        <v>15</v>
      </c>
      <c r="BM25" s="99" t="s">
        <v>15</v>
      </c>
      <c r="BN25" s="96">
        <v>0.375</v>
      </c>
      <c r="BO25" s="96">
        <v>0.87222222222222223</v>
      </c>
      <c r="BP25" s="82">
        <f t="shared" si="38"/>
        <v>31</v>
      </c>
      <c r="BQ25" s="83">
        <v>4</v>
      </c>
      <c r="BR25" s="17">
        <f t="shared" si="39"/>
        <v>30</v>
      </c>
      <c r="BS25" s="18">
        <f t="shared" si="40"/>
        <v>1</v>
      </c>
      <c r="BT25" s="18">
        <f t="shared" si="41"/>
        <v>0</v>
      </c>
      <c r="BU25" s="18">
        <f t="shared" si="42"/>
        <v>0</v>
      </c>
      <c r="BV25" s="18">
        <f t="shared" si="43"/>
        <v>0</v>
      </c>
      <c r="BW25" s="18">
        <f t="shared" si="44"/>
        <v>0</v>
      </c>
      <c r="BX25" s="18">
        <f t="shared" si="45"/>
        <v>0</v>
      </c>
      <c r="BY25" s="18">
        <f t="shared" si="46"/>
        <v>0</v>
      </c>
      <c r="BZ25" s="18">
        <f t="shared" si="47"/>
        <v>0</v>
      </c>
      <c r="CA25" s="18">
        <f t="shared" si="48"/>
        <v>0</v>
      </c>
      <c r="CB25" s="18">
        <f t="shared" si="49"/>
        <v>0</v>
      </c>
      <c r="CC25" s="18">
        <f t="shared" si="50"/>
        <v>0</v>
      </c>
      <c r="CD25" s="19"/>
      <c r="CI25" s="91">
        <v>0</v>
      </c>
      <c r="CJ25" s="91">
        <v>0</v>
      </c>
      <c r="CK25" s="91">
        <v>0</v>
      </c>
      <c r="CL25" s="91">
        <v>0</v>
      </c>
      <c r="CM25" s="91">
        <v>0</v>
      </c>
      <c r="CN25" s="91">
        <v>0</v>
      </c>
      <c r="CO25" s="91">
        <v>0</v>
      </c>
      <c r="CP25" s="92">
        <v>1</v>
      </c>
      <c r="CQ25" s="92">
        <v>0</v>
      </c>
      <c r="CR25" s="92">
        <v>0</v>
      </c>
      <c r="CS25" s="93">
        <f t="shared" si="51"/>
        <v>1</v>
      </c>
    </row>
    <row r="26" spans="1:97" ht="22.5" customHeight="1" x14ac:dyDescent="0.25">
      <c r="A26" s="8">
        <v>16</v>
      </c>
      <c r="B26" s="9" t="s">
        <v>55</v>
      </c>
      <c r="C26" s="79" t="s">
        <v>56</v>
      </c>
      <c r="D26" s="96">
        <v>0.3298611111111111</v>
      </c>
      <c r="E26" s="96">
        <v>0.80763888888888891</v>
      </c>
      <c r="F26" s="99">
        <v>0.55833333333333335</v>
      </c>
      <c r="G26" s="99">
        <v>0.78888888888888886</v>
      </c>
      <c r="H26" s="98">
        <v>1</v>
      </c>
      <c r="I26" s="98">
        <v>1</v>
      </c>
      <c r="J26" s="96">
        <v>0.3263888888888889</v>
      </c>
      <c r="K26" s="96">
        <v>0.90277777777777779</v>
      </c>
      <c r="L26" s="96">
        <v>0.34166666666666662</v>
      </c>
      <c r="M26" s="96">
        <v>1.3888888888888888E-2</v>
      </c>
      <c r="N26" s="96">
        <v>0.37222222222222223</v>
      </c>
      <c r="O26" s="96">
        <v>0.84513888888888899</v>
      </c>
      <c r="P26" s="96">
        <v>0.33263888888888887</v>
      </c>
      <c r="Q26" s="96">
        <v>0.7729166666666667</v>
      </c>
      <c r="R26" s="96">
        <v>0.27499999999999997</v>
      </c>
      <c r="S26" s="96">
        <v>0.84166666666666667</v>
      </c>
      <c r="T26" s="99" t="s">
        <v>15</v>
      </c>
      <c r="U26" s="99" t="s">
        <v>15</v>
      </c>
      <c r="V26" s="96">
        <v>0.34861111111111115</v>
      </c>
      <c r="W26" s="97">
        <v>1</v>
      </c>
      <c r="X26" s="96">
        <v>0.3430555555555555</v>
      </c>
      <c r="Y26" s="97">
        <v>1</v>
      </c>
      <c r="Z26" s="96" t="s">
        <v>105</v>
      </c>
      <c r="AA26" s="96" t="s">
        <v>105</v>
      </c>
      <c r="AB26" s="96">
        <v>0.34375</v>
      </c>
      <c r="AC26" s="96">
        <v>0.81597222222222221</v>
      </c>
      <c r="AD26" s="96">
        <v>0.3298611111111111</v>
      </c>
      <c r="AE26" s="97">
        <v>1</v>
      </c>
      <c r="AF26" s="96">
        <v>0.34722222222222227</v>
      </c>
      <c r="AG26" s="97">
        <v>1</v>
      </c>
      <c r="AH26" s="78"/>
      <c r="AI26" s="67">
        <v>16</v>
      </c>
      <c r="AJ26" s="99">
        <v>0.57847222222222217</v>
      </c>
      <c r="AK26" s="99">
        <v>0.80555555555555547</v>
      </c>
      <c r="AL26" s="96">
        <v>0.33611111111111108</v>
      </c>
      <c r="AM26" s="96">
        <v>0.87569444444444444</v>
      </c>
      <c r="AN26" s="96">
        <v>0.33958333333333335</v>
      </c>
      <c r="AO26" s="96">
        <v>0.85625000000000007</v>
      </c>
      <c r="AP26" s="96">
        <v>0.33263888888888887</v>
      </c>
      <c r="AQ26" s="96">
        <v>0.83124999999999993</v>
      </c>
      <c r="AR26" s="96">
        <v>0.3263888888888889</v>
      </c>
      <c r="AS26" s="96">
        <v>0.82916666666666661</v>
      </c>
      <c r="AT26" s="96">
        <v>0.34583333333333338</v>
      </c>
      <c r="AU26" s="96">
        <v>0.85902777777777783</v>
      </c>
      <c r="AV26" s="96">
        <v>0.33749999999999997</v>
      </c>
      <c r="AW26" s="96">
        <v>0.87083333333333324</v>
      </c>
      <c r="AX26" s="99" t="s">
        <v>15</v>
      </c>
      <c r="AY26" s="99" t="s">
        <v>15</v>
      </c>
      <c r="AZ26" s="96">
        <v>0.34097222222222223</v>
      </c>
      <c r="BA26" s="96">
        <v>0.8305555555555556</v>
      </c>
      <c r="BB26" s="96">
        <v>0.33055555555555555</v>
      </c>
      <c r="BC26" s="96">
        <v>0.86944444444444446</v>
      </c>
      <c r="BD26" s="96">
        <v>0.33680555555555558</v>
      </c>
      <c r="BE26" s="96">
        <v>0.87916666666666676</v>
      </c>
      <c r="BF26" s="96">
        <v>0.3430555555555555</v>
      </c>
      <c r="BG26" s="96">
        <v>0.79999999999999993</v>
      </c>
      <c r="BH26" s="96">
        <v>0.33680555555555558</v>
      </c>
      <c r="BI26" s="96">
        <v>0.8534722222222223</v>
      </c>
      <c r="BJ26" s="96">
        <v>0.33333333333333331</v>
      </c>
      <c r="BK26" s="96">
        <v>0.98819444444444438</v>
      </c>
      <c r="BL26" s="99">
        <v>0.57847222222222217</v>
      </c>
      <c r="BM26" s="101">
        <v>1</v>
      </c>
      <c r="BN26" s="96">
        <v>0.33333333333333331</v>
      </c>
      <c r="BO26" s="96">
        <v>0.875</v>
      </c>
      <c r="BP26" s="82">
        <f t="shared" si="38"/>
        <v>31</v>
      </c>
      <c r="BQ26" s="83">
        <v>3</v>
      </c>
      <c r="BR26" s="17">
        <f t="shared" si="39"/>
        <v>28</v>
      </c>
      <c r="BS26" s="18">
        <f t="shared" si="40"/>
        <v>2</v>
      </c>
      <c r="BT26" s="18">
        <f t="shared" si="41"/>
        <v>0</v>
      </c>
      <c r="BU26" s="18">
        <f t="shared" si="42"/>
        <v>0</v>
      </c>
      <c r="BV26" s="18">
        <f t="shared" si="43"/>
        <v>0</v>
      </c>
      <c r="BW26" s="18">
        <f t="shared" si="44"/>
        <v>0</v>
      </c>
      <c r="BX26" s="18">
        <f t="shared" si="45"/>
        <v>0</v>
      </c>
      <c r="BY26" s="18">
        <f t="shared" si="46"/>
        <v>1</v>
      </c>
      <c r="BZ26" s="18">
        <f t="shared" si="47"/>
        <v>0</v>
      </c>
      <c r="CA26" s="18">
        <f t="shared" si="48"/>
        <v>0</v>
      </c>
      <c r="CB26" s="18">
        <f t="shared" si="49"/>
        <v>0</v>
      </c>
      <c r="CC26" s="18">
        <f t="shared" si="50"/>
        <v>0</v>
      </c>
      <c r="CD26" s="19"/>
      <c r="CI26" s="90">
        <v>0</v>
      </c>
      <c r="CJ26" s="90">
        <v>0</v>
      </c>
      <c r="CK26" s="90">
        <v>0</v>
      </c>
      <c r="CL26" s="90">
        <v>0</v>
      </c>
      <c r="CM26" s="90">
        <v>0</v>
      </c>
      <c r="CN26" s="89">
        <v>6</v>
      </c>
      <c r="CO26" s="90">
        <v>0</v>
      </c>
      <c r="CP26" s="89">
        <v>1</v>
      </c>
      <c r="CQ26" s="89">
        <v>0</v>
      </c>
      <c r="CR26" s="89">
        <v>0</v>
      </c>
      <c r="CS26" s="94">
        <f t="shared" si="51"/>
        <v>7</v>
      </c>
    </row>
    <row r="27" spans="1:97" ht="22.5" customHeight="1" x14ac:dyDescent="0.25">
      <c r="A27" s="8">
        <v>17</v>
      </c>
      <c r="B27" s="9" t="s">
        <v>57</v>
      </c>
      <c r="C27" s="79" t="s">
        <v>58</v>
      </c>
      <c r="D27" s="96">
        <v>0.32569444444444445</v>
      </c>
      <c r="E27" s="96">
        <v>0.81805555555555554</v>
      </c>
      <c r="F27" s="99" t="s">
        <v>15</v>
      </c>
      <c r="G27" s="99" t="s">
        <v>15</v>
      </c>
      <c r="H27" s="96">
        <v>0.32222222222222224</v>
      </c>
      <c r="I27" s="96">
        <v>0.89583333333333337</v>
      </c>
      <c r="J27" s="96">
        <v>0.32569444444444445</v>
      </c>
      <c r="K27" s="96">
        <v>0.90347222222222223</v>
      </c>
      <c r="L27" s="96">
        <v>0.3611111111111111</v>
      </c>
      <c r="M27" s="96">
        <v>9.7222222222222224E-3</v>
      </c>
      <c r="N27" s="96">
        <v>0.38819444444444445</v>
      </c>
      <c r="O27" s="96">
        <v>0.95138888888888884</v>
      </c>
      <c r="P27" s="96">
        <v>0.35069444444444442</v>
      </c>
      <c r="Q27" s="96">
        <v>0.77430555555555547</v>
      </c>
      <c r="R27" s="96">
        <v>0.27361111111111108</v>
      </c>
      <c r="S27" s="96">
        <v>0.84236111111111101</v>
      </c>
      <c r="T27" s="99">
        <v>0.58750000000000002</v>
      </c>
      <c r="U27" s="101">
        <v>1</v>
      </c>
      <c r="V27" s="96">
        <v>0.34166666666666662</v>
      </c>
      <c r="W27" s="97">
        <v>1</v>
      </c>
      <c r="X27" s="96">
        <v>0.34583333333333338</v>
      </c>
      <c r="Y27" s="97">
        <v>1</v>
      </c>
      <c r="Z27" s="96">
        <v>0.34930555555555554</v>
      </c>
      <c r="AA27" s="96">
        <v>0.86944444444444446</v>
      </c>
      <c r="AB27" s="96">
        <v>0.3444444444444445</v>
      </c>
      <c r="AC27" s="96">
        <v>0.81666666666666676</v>
      </c>
      <c r="AD27" s="96">
        <v>0.34791666666666665</v>
      </c>
      <c r="AE27" s="97">
        <v>1</v>
      </c>
      <c r="AF27" s="96">
        <v>0.3527777777777778</v>
      </c>
      <c r="AG27" s="97">
        <v>1</v>
      </c>
      <c r="AH27" s="78"/>
      <c r="AI27" s="67">
        <v>17</v>
      </c>
      <c r="AJ27" s="99" t="s">
        <v>15</v>
      </c>
      <c r="AK27" s="99" t="s">
        <v>15</v>
      </c>
      <c r="AL27" s="96">
        <v>0.34236111111111112</v>
      </c>
      <c r="AM27" s="96">
        <v>0.86597222222222225</v>
      </c>
      <c r="AN27" s="96">
        <v>0.34166666666666662</v>
      </c>
      <c r="AO27" s="96">
        <v>0.85763888888888884</v>
      </c>
      <c r="AP27" s="96">
        <v>0.3298611111111111</v>
      </c>
      <c r="AQ27" s="96">
        <v>0.83124999999999993</v>
      </c>
      <c r="AR27" s="96">
        <v>0.35138888888888892</v>
      </c>
      <c r="AS27" s="96">
        <v>0.82986111111111116</v>
      </c>
      <c r="AT27" s="96">
        <v>0.34236111111111112</v>
      </c>
      <c r="AU27" s="96">
        <v>0.85972222222222217</v>
      </c>
      <c r="AV27" s="96">
        <v>0.34236111111111112</v>
      </c>
      <c r="AW27" s="96">
        <v>0.87083333333333324</v>
      </c>
      <c r="AX27" s="99">
        <v>0.5805555555555556</v>
      </c>
      <c r="AY27" s="99">
        <v>0.83333333333333337</v>
      </c>
      <c r="AZ27" s="96">
        <v>0.34027777777777773</v>
      </c>
      <c r="BA27" s="96">
        <v>0.8354166666666667</v>
      </c>
      <c r="BB27" s="96">
        <v>0.33958333333333335</v>
      </c>
      <c r="BC27" s="96">
        <v>0.87013888888888891</v>
      </c>
      <c r="BD27" s="96">
        <v>0.33749999999999997</v>
      </c>
      <c r="BE27" s="96">
        <v>0.87986111111111109</v>
      </c>
      <c r="BF27" s="96">
        <v>0.34236111111111112</v>
      </c>
      <c r="BG27" s="96">
        <v>0.7993055555555556</v>
      </c>
      <c r="BH27" s="96">
        <v>0.33749999999999997</v>
      </c>
      <c r="BI27" s="96">
        <v>0.86319444444444438</v>
      </c>
      <c r="BJ27" s="96">
        <v>0.33680555555555558</v>
      </c>
      <c r="BK27" s="96">
        <v>0.98819444444444438</v>
      </c>
      <c r="BL27" s="99" t="s">
        <v>15</v>
      </c>
      <c r="BM27" s="99" t="s">
        <v>15</v>
      </c>
      <c r="BN27" s="96">
        <v>0.33958333333333335</v>
      </c>
      <c r="BO27" s="96">
        <v>0.87569444444444444</v>
      </c>
      <c r="BP27" s="82">
        <f t="shared" si="38"/>
        <v>31</v>
      </c>
      <c r="BQ27" s="83">
        <v>2</v>
      </c>
      <c r="BR27" s="17">
        <f t="shared" si="39"/>
        <v>28</v>
      </c>
      <c r="BS27" s="18">
        <f t="shared" si="40"/>
        <v>3</v>
      </c>
      <c r="BT27" s="18">
        <f t="shared" si="41"/>
        <v>0</v>
      </c>
      <c r="BU27" s="18">
        <f t="shared" si="42"/>
        <v>0</v>
      </c>
      <c r="BV27" s="18">
        <f t="shared" si="43"/>
        <v>0</v>
      </c>
      <c r="BW27" s="18">
        <f t="shared" si="44"/>
        <v>0</v>
      </c>
      <c r="BX27" s="18">
        <f t="shared" si="45"/>
        <v>0</v>
      </c>
      <c r="BY27" s="18">
        <f t="shared" si="46"/>
        <v>0</v>
      </c>
      <c r="BZ27" s="18">
        <f t="shared" si="47"/>
        <v>0</v>
      </c>
      <c r="CA27" s="18">
        <f t="shared" si="48"/>
        <v>0</v>
      </c>
      <c r="CB27" s="18">
        <f t="shared" si="49"/>
        <v>0</v>
      </c>
      <c r="CC27" s="18">
        <f t="shared" si="50"/>
        <v>0</v>
      </c>
      <c r="CD27" s="19"/>
      <c r="CI27" s="91">
        <v>0</v>
      </c>
      <c r="CJ27" s="91">
        <v>0</v>
      </c>
      <c r="CK27" s="91">
        <v>1</v>
      </c>
      <c r="CL27" s="92">
        <v>0</v>
      </c>
      <c r="CM27" s="92">
        <v>0</v>
      </c>
      <c r="CN27" s="91">
        <v>6</v>
      </c>
      <c r="CO27" s="92">
        <v>0</v>
      </c>
      <c r="CP27" s="92">
        <v>1</v>
      </c>
      <c r="CQ27" s="92">
        <v>0</v>
      </c>
      <c r="CR27" s="92">
        <v>0</v>
      </c>
      <c r="CS27" s="93">
        <f t="shared" si="51"/>
        <v>8</v>
      </c>
    </row>
    <row r="28" spans="1:97" ht="22.5" customHeight="1" x14ac:dyDescent="0.25">
      <c r="A28" s="8">
        <v>18</v>
      </c>
      <c r="B28" s="9" t="s">
        <v>59</v>
      </c>
      <c r="C28" s="79" t="s">
        <v>60</v>
      </c>
      <c r="D28" s="96">
        <v>0.35694444444444445</v>
      </c>
      <c r="E28" s="96">
        <v>0.95972222222222225</v>
      </c>
      <c r="F28" s="99" t="s">
        <v>15</v>
      </c>
      <c r="G28" s="99" t="s">
        <v>15</v>
      </c>
      <c r="H28" s="98">
        <v>1</v>
      </c>
      <c r="I28" s="98">
        <v>1</v>
      </c>
      <c r="J28" s="96">
        <v>0.35555555555555557</v>
      </c>
      <c r="K28" s="98">
        <v>1</v>
      </c>
      <c r="L28" s="96">
        <v>0.35416666666666669</v>
      </c>
      <c r="M28" s="96">
        <v>0.93541666666666667</v>
      </c>
      <c r="N28" s="96">
        <v>0.35416666666666669</v>
      </c>
      <c r="O28" s="96">
        <v>0.93680555555555556</v>
      </c>
      <c r="P28" s="96">
        <v>0.35416666666666669</v>
      </c>
      <c r="Q28" s="97">
        <v>1</v>
      </c>
      <c r="R28" s="96">
        <v>0.35069444444444442</v>
      </c>
      <c r="S28" s="96">
        <v>0.95694444444444438</v>
      </c>
      <c r="T28" s="99">
        <v>0.58124999999999993</v>
      </c>
      <c r="U28" s="99">
        <v>0.93819444444444444</v>
      </c>
      <c r="V28" s="96" t="s">
        <v>105</v>
      </c>
      <c r="W28" s="96" t="s">
        <v>105</v>
      </c>
      <c r="X28" s="96">
        <v>0.35486111111111113</v>
      </c>
      <c r="Y28" s="96">
        <v>0.9277777777777777</v>
      </c>
      <c r="Z28" s="96">
        <v>0.35416666666666669</v>
      </c>
      <c r="AA28" s="96">
        <v>0.93194444444444446</v>
      </c>
      <c r="AB28" s="96">
        <v>0.35486111111111113</v>
      </c>
      <c r="AC28" s="96">
        <v>0.93333333333333324</v>
      </c>
      <c r="AD28" s="96">
        <v>0.35416666666666669</v>
      </c>
      <c r="AE28" s="96">
        <v>0.9277777777777777</v>
      </c>
      <c r="AF28" s="96">
        <v>0.35486111111111113</v>
      </c>
      <c r="AG28" s="96">
        <v>0.95000000000000007</v>
      </c>
      <c r="AH28" s="78"/>
      <c r="AI28" s="67">
        <v>18</v>
      </c>
      <c r="AJ28" s="99" t="s">
        <v>15</v>
      </c>
      <c r="AK28" s="99" t="s">
        <v>15</v>
      </c>
      <c r="AL28" s="96">
        <v>0.35347222222222219</v>
      </c>
      <c r="AM28" s="96">
        <v>0.95000000000000007</v>
      </c>
      <c r="AN28" s="96">
        <v>0.35347222222222219</v>
      </c>
      <c r="AO28" s="96">
        <v>0.9277777777777777</v>
      </c>
      <c r="AP28" s="96">
        <v>0.3527777777777778</v>
      </c>
      <c r="AQ28" s="96">
        <v>0.93402777777777779</v>
      </c>
      <c r="AR28" s="96">
        <v>0.3527777777777778</v>
      </c>
      <c r="AS28" s="97">
        <v>1</v>
      </c>
      <c r="AT28" s="96">
        <v>0.35486111111111113</v>
      </c>
      <c r="AU28" s="96">
        <v>0.92847222222222225</v>
      </c>
      <c r="AV28" s="96">
        <v>0.35347222222222219</v>
      </c>
      <c r="AW28" s="96">
        <v>0.96180555555555547</v>
      </c>
      <c r="AX28" s="99">
        <v>0.58680555555555558</v>
      </c>
      <c r="AY28" s="99">
        <v>0.93472222222222223</v>
      </c>
      <c r="AZ28" s="96">
        <v>0.3527777777777778</v>
      </c>
      <c r="BA28" s="96">
        <v>0.94861111111111107</v>
      </c>
      <c r="BB28" s="96">
        <v>0.3520833333333333</v>
      </c>
      <c r="BC28" s="96">
        <v>0.93402777777777779</v>
      </c>
      <c r="BD28" s="96">
        <v>0.35416666666666669</v>
      </c>
      <c r="BE28" s="96">
        <v>0.93194444444444446</v>
      </c>
      <c r="BF28" s="96">
        <v>0.35486111111111113</v>
      </c>
      <c r="BG28" s="96">
        <v>0.93263888888888891</v>
      </c>
      <c r="BH28" s="96">
        <v>0.35347222222222219</v>
      </c>
      <c r="BI28" s="96">
        <v>0.93541666666666667</v>
      </c>
      <c r="BJ28" s="96">
        <v>0.35486111111111113</v>
      </c>
      <c r="BK28" s="96">
        <v>0.95416666666666661</v>
      </c>
      <c r="BL28" s="99" t="s">
        <v>15</v>
      </c>
      <c r="BM28" s="99" t="s">
        <v>15</v>
      </c>
      <c r="BN28" s="96">
        <v>0.35416666666666669</v>
      </c>
      <c r="BO28" s="96">
        <v>0.98125000000000007</v>
      </c>
      <c r="BP28" s="82">
        <f t="shared" si="38"/>
        <v>31</v>
      </c>
      <c r="BQ28" s="83">
        <v>2</v>
      </c>
      <c r="BR28" s="17">
        <f t="shared" si="39"/>
        <v>27</v>
      </c>
      <c r="BS28" s="18">
        <f t="shared" si="40"/>
        <v>3</v>
      </c>
      <c r="BT28" s="18">
        <f t="shared" si="41"/>
        <v>0</v>
      </c>
      <c r="BU28" s="18">
        <f t="shared" si="42"/>
        <v>0</v>
      </c>
      <c r="BV28" s="18">
        <f t="shared" si="43"/>
        <v>0</v>
      </c>
      <c r="BW28" s="18">
        <f t="shared" si="44"/>
        <v>0</v>
      </c>
      <c r="BX28" s="18">
        <f t="shared" si="45"/>
        <v>0</v>
      </c>
      <c r="BY28" s="18">
        <f t="shared" si="46"/>
        <v>1</v>
      </c>
      <c r="BZ28" s="18">
        <f t="shared" si="47"/>
        <v>0</v>
      </c>
      <c r="CA28" s="18">
        <f t="shared" si="48"/>
        <v>0</v>
      </c>
      <c r="CB28" s="18">
        <f t="shared" si="49"/>
        <v>0</v>
      </c>
      <c r="CC28" s="18">
        <f t="shared" si="50"/>
        <v>0</v>
      </c>
      <c r="CD28" s="19"/>
      <c r="CI28" s="90">
        <v>0</v>
      </c>
      <c r="CJ28" s="90">
        <v>0</v>
      </c>
      <c r="CK28" s="90">
        <v>0</v>
      </c>
      <c r="CL28" s="90">
        <v>0</v>
      </c>
      <c r="CM28" s="90">
        <v>0</v>
      </c>
      <c r="CN28" s="89">
        <v>6</v>
      </c>
      <c r="CO28" s="90">
        <v>0</v>
      </c>
      <c r="CP28" s="89">
        <v>1</v>
      </c>
      <c r="CQ28" s="89">
        <v>0</v>
      </c>
      <c r="CR28" s="89">
        <v>0</v>
      </c>
      <c r="CS28" s="94">
        <f t="shared" si="51"/>
        <v>7</v>
      </c>
    </row>
    <row r="29" spans="1:97" ht="22.5" customHeight="1" x14ac:dyDescent="0.25">
      <c r="A29" s="8">
        <v>19</v>
      </c>
      <c r="B29" s="9" t="s">
        <v>61</v>
      </c>
      <c r="C29" s="79" t="s">
        <v>62</v>
      </c>
      <c r="D29" s="96">
        <v>0.35694444444444445</v>
      </c>
      <c r="E29" s="96">
        <v>0.9590277777777777</v>
      </c>
      <c r="F29" s="99" t="s">
        <v>15</v>
      </c>
      <c r="G29" s="99" t="s">
        <v>15</v>
      </c>
      <c r="H29" s="96">
        <v>0.35486111111111113</v>
      </c>
      <c r="I29" s="96">
        <v>0.94652777777777775</v>
      </c>
      <c r="J29" s="96">
        <v>0.35486111111111113</v>
      </c>
      <c r="K29" s="96">
        <v>0.93055555555555547</v>
      </c>
      <c r="L29" s="96">
        <v>0.35416666666666669</v>
      </c>
      <c r="M29" s="96">
        <v>0.93541666666666667</v>
      </c>
      <c r="N29" s="96" t="s">
        <v>105</v>
      </c>
      <c r="O29" s="96" t="s">
        <v>105</v>
      </c>
      <c r="P29" s="96">
        <v>0.35347222222222219</v>
      </c>
      <c r="Q29" s="96">
        <v>0.93541666666666667</v>
      </c>
      <c r="R29" s="96">
        <v>0.35069444444444442</v>
      </c>
      <c r="S29" s="96">
        <v>0.95833333333333337</v>
      </c>
      <c r="T29" s="99">
        <v>0.58124999999999993</v>
      </c>
      <c r="U29" s="99">
        <v>0.93819444444444444</v>
      </c>
      <c r="V29" s="96">
        <v>0.35486111111111113</v>
      </c>
      <c r="W29" s="96">
        <v>0.94930555555555562</v>
      </c>
      <c r="X29" s="96">
        <v>0.35486111111111113</v>
      </c>
      <c r="Y29" s="96">
        <v>0.9277777777777777</v>
      </c>
      <c r="Z29" s="96">
        <v>0.35416666666666669</v>
      </c>
      <c r="AA29" s="96">
        <v>0.93194444444444446</v>
      </c>
      <c r="AB29" s="96">
        <v>0.35416666666666669</v>
      </c>
      <c r="AC29" s="96">
        <v>0.93263888888888891</v>
      </c>
      <c r="AD29" s="96">
        <v>0.35416666666666669</v>
      </c>
      <c r="AE29" s="96">
        <v>0.9277777777777777</v>
      </c>
      <c r="AF29" s="96">
        <v>0.35486111111111113</v>
      </c>
      <c r="AG29" s="96">
        <v>0.9506944444444444</v>
      </c>
      <c r="AH29" s="78"/>
      <c r="AI29" s="67">
        <v>19</v>
      </c>
      <c r="AJ29" s="99" t="s">
        <v>15</v>
      </c>
      <c r="AK29" s="99" t="s">
        <v>15</v>
      </c>
      <c r="AL29" s="96">
        <v>0.35347222222222219</v>
      </c>
      <c r="AM29" s="96">
        <v>0.94930555555555562</v>
      </c>
      <c r="AN29" s="96">
        <v>0.35347222222222219</v>
      </c>
      <c r="AO29" s="96">
        <v>0.92708333333333337</v>
      </c>
      <c r="AP29" s="96">
        <v>0.3527777777777778</v>
      </c>
      <c r="AQ29" s="96">
        <v>0.93402777777777779</v>
      </c>
      <c r="AR29" s="96">
        <v>0.3527777777777778</v>
      </c>
      <c r="AS29" s="96">
        <v>0.92986111111111114</v>
      </c>
      <c r="AT29" s="96">
        <v>0.35416666666666669</v>
      </c>
      <c r="AU29" s="96">
        <v>0.92847222222222225</v>
      </c>
      <c r="AV29" s="96">
        <v>0.3527777777777778</v>
      </c>
      <c r="AW29" s="96">
        <v>0.96180555555555547</v>
      </c>
      <c r="AX29" s="99">
        <v>0.58680555555555558</v>
      </c>
      <c r="AY29" s="99">
        <v>0.93472222222222223</v>
      </c>
      <c r="AZ29" s="96">
        <v>0.3520833333333333</v>
      </c>
      <c r="BA29" s="96">
        <v>0.94861111111111107</v>
      </c>
      <c r="BB29" s="96">
        <v>0.3520833333333333</v>
      </c>
      <c r="BC29" s="96">
        <v>0.93472222222222223</v>
      </c>
      <c r="BD29" s="96">
        <v>0.35416666666666669</v>
      </c>
      <c r="BE29" s="96">
        <v>0.93125000000000002</v>
      </c>
      <c r="BF29" s="96">
        <v>0.35486111111111113</v>
      </c>
      <c r="BG29" s="96">
        <v>0.93263888888888891</v>
      </c>
      <c r="BH29" s="96">
        <v>0.35347222222222219</v>
      </c>
      <c r="BI29" s="96">
        <v>0.93611111111111101</v>
      </c>
      <c r="BJ29" s="96">
        <v>0.35416666666666669</v>
      </c>
      <c r="BK29" s="96">
        <v>0.95486111111111116</v>
      </c>
      <c r="BL29" s="99" t="s">
        <v>15</v>
      </c>
      <c r="BM29" s="99" t="s">
        <v>15</v>
      </c>
      <c r="BN29" s="96">
        <v>0.35347222222222219</v>
      </c>
      <c r="BO29" s="96">
        <v>0.97916666666666663</v>
      </c>
      <c r="BP29" s="82">
        <f t="shared" si="38"/>
        <v>31</v>
      </c>
      <c r="BQ29" s="83">
        <v>2</v>
      </c>
      <c r="BR29" s="17">
        <f t="shared" si="39"/>
        <v>27</v>
      </c>
      <c r="BS29" s="18">
        <f t="shared" si="40"/>
        <v>3</v>
      </c>
      <c r="BT29" s="18">
        <f t="shared" si="41"/>
        <v>0</v>
      </c>
      <c r="BU29" s="18">
        <f t="shared" si="42"/>
        <v>0</v>
      </c>
      <c r="BV29" s="18">
        <f t="shared" si="43"/>
        <v>0</v>
      </c>
      <c r="BW29" s="18">
        <f t="shared" si="44"/>
        <v>0</v>
      </c>
      <c r="BX29" s="18">
        <f t="shared" si="45"/>
        <v>0</v>
      </c>
      <c r="BY29" s="18">
        <f t="shared" si="46"/>
        <v>1</v>
      </c>
      <c r="BZ29" s="18">
        <f t="shared" si="47"/>
        <v>0</v>
      </c>
      <c r="CA29" s="18">
        <f t="shared" si="48"/>
        <v>0</v>
      </c>
      <c r="CB29" s="18">
        <f t="shared" si="49"/>
        <v>0</v>
      </c>
      <c r="CC29" s="18">
        <f t="shared" si="50"/>
        <v>0</v>
      </c>
      <c r="CD29" s="19"/>
      <c r="CI29" s="91">
        <v>0</v>
      </c>
      <c r="CJ29" s="91">
        <v>0</v>
      </c>
      <c r="CK29" s="91">
        <v>0</v>
      </c>
      <c r="CL29" s="91">
        <v>0</v>
      </c>
      <c r="CM29" s="91">
        <v>0</v>
      </c>
      <c r="CN29" s="91">
        <v>2</v>
      </c>
      <c r="CO29" s="92">
        <v>0</v>
      </c>
      <c r="CP29" s="92">
        <v>0</v>
      </c>
      <c r="CQ29" s="92">
        <v>0</v>
      </c>
      <c r="CR29" s="92">
        <v>0</v>
      </c>
      <c r="CS29" s="93">
        <f t="shared" si="51"/>
        <v>2</v>
      </c>
    </row>
    <row r="30" spans="1:97" ht="22.5" customHeight="1" x14ac:dyDescent="0.25">
      <c r="A30" s="8">
        <v>20</v>
      </c>
      <c r="B30" s="9" t="s">
        <v>63</v>
      </c>
      <c r="C30" s="79" t="s">
        <v>64</v>
      </c>
      <c r="D30" s="96">
        <v>0.33263888888888887</v>
      </c>
      <c r="E30" s="96">
        <v>0.33263888888888887</v>
      </c>
      <c r="F30" s="99" t="s">
        <v>15</v>
      </c>
      <c r="G30" s="99" t="s">
        <v>15</v>
      </c>
      <c r="H30" s="96">
        <v>0.3298611111111111</v>
      </c>
      <c r="I30" s="96">
        <v>0.89722222222222225</v>
      </c>
      <c r="J30" s="96">
        <v>0.33263888888888887</v>
      </c>
      <c r="K30" s="96">
        <v>0.90347222222222223</v>
      </c>
      <c r="L30" s="96">
        <v>0.34652777777777777</v>
      </c>
      <c r="M30" s="96">
        <v>9.7222222222222224E-3</v>
      </c>
      <c r="N30" s="96">
        <v>0.39999999999999997</v>
      </c>
      <c r="O30" s="96">
        <v>0.94791666666666663</v>
      </c>
      <c r="P30" s="96">
        <v>0.37361111111111112</v>
      </c>
      <c r="Q30" s="96">
        <v>0.77430555555555547</v>
      </c>
      <c r="R30" s="96">
        <v>0.29166666666666669</v>
      </c>
      <c r="S30" s="96">
        <v>0.84513888888888899</v>
      </c>
      <c r="T30" s="99">
        <v>0.5805555555555556</v>
      </c>
      <c r="U30" s="99">
        <v>0.58124999999999993</v>
      </c>
      <c r="V30" s="96">
        <v>0.34861111111111115</v>
      </c>
      <c r="W30" s="96">
        <v>0.88124999999999998</v>
      </c>
      <c r="X30" s="96">
        <v>0.35416666666666669</v>
      </c>
      <c r="Y30" s="96">
        <v>0.9159722222222223</v>
      </c>
      <c r="Z30" s="96">
        <v>0.35694444444444445</v>
      </c>
      <c r="AA30" s="96">
        <v>0.86944444444444446</v>
      </c>
      <c r="AB30" s="96">
        <v>0.35347222222222219</v>
      </c>
      <c r="AC30" s="96">
        <v>0.81597222222222221</v>
      </c>
      <c r="AD30" s="96">
        <v>0.35138888888888892</v>
      </c>
      <c r="AE30" s="96">
        <v>0.35138888888888892</v>
      </c>
      <c r="AF30" s="96">
        <v>0.34930555555555554</v>
      </c>
      <c r="AG30" s="96">
        <v>0.83680555555555547</v>
      </c>
      <c r="AH30" s="78"/>
      <c r="AI30" s="67">
        <v>20</v>
      </c>
      <c r="AJ30" s="99" t="s">
        <v>15</v>
      </c>
      <c r="AK30" s="99" t="s">
        <v>15</v>
      </c>
      <c r="AL30" s="96">
        <v>0.35069444444444442</v>
      </c>
      <c r="AM30" s="96">
        <v>0.86597222222222225</v>
      </c>
      <c r="AN30" s="96">
        <v>0.35416666666666669</v>
      </c>
      <c r="AO30" s="96">
        <v>0.85625000000000007</v>
      </c>
      <c r="AP30" s="96">
        <v>0.3527777777777778</v>
      </c>
      <c r="AQ30" s="96">
        <v>0.83124999999999993</v>
      </c>
      <c r="AR30" s="96">
        <v>0.35000000000000003</v>
      </c>
      <c r="AS30" s="96">
        <v>0.8340277777777777</v>
      </c>
      <c r="AT30" s="96">
        <v>0.33819444444444446</v>
      </c>
      <c r="AU30" s="96">
        <v>0.88541666666666663</v>
      </c>
      <c r="AV30" s="96">
        <v>0.3520833333333333</v>
      </c>
      <c r="AW30" s="96">
        <v>0.9159722222222223</v>
      </c>
      <c r="AX30" s="99">
        <v>0.58194444444444449</v>
      </c>
      <c r="AY30" s="99">
        <v>0.83333333333333337</v>
      </c>
      <c r="AZ30" s="96">
        <v>0.3520833333333333</v>
      </c>
      <c r="BA30" s="96">
        <v>0.8354166666666667</v>
      </c>
      <c r="BB30" s="96">
        <v>0.35347222222222219</v>
      </c>
      <c r="BC30" s="96">
        <v>0.87013888888888891</v>
      </c>
      <c r="BD30" s="96">
        <v>0.35000000000000003</v>
      </c>
      <c r="BE30" s="96">
        <v>0.88055555555555554</v>
      </c>
      <c r="BF30" s="96">
        <v>0.34583333333333338</v>
      </c>
      <c r="BG30" s="96">
        <v>0.80069444444444438</v>
      </c>
      <c r="BH30" s="96">
        <v>0.34583333333333338</v>
      </c>
      <c r="BI30" s="96">
        <v>0.86319444444444438</v>
      </c>
      <c r="BJ30" s="96">
        <v>0.35069444444444442</v>
      </c>
      <c r="BK30" s="96">
        <v>0.98819444444444438</v>
      </c>
      <c r="BL30" s="99" t="s">
        <v>15</v>
      </c>
      <c r="BM30" s="99" t="s">
        <v>15</v>
      </c>
      <c r="BN30" s="96">
        <v>0.35069444444444442</v>
      </c>
      <c r="BO30" s="96">
        <v>0.87569444444444444</v>
      </c>
      <c r="BP30" s="82">
        <f t="shared" si="38"/>
        <v>31</v>
      </c>
      <c r="BQ30" s="83">
        <v>2</v>
      </c>
      <c r="BR30" s="17">
        <f t="shared" si="39"/>
        <v>28</v>
      </c>
      <c r="BS30" s="18">
        <f t="shared" si="40"/>
        <v>3</v>
      </c>
      <c r="BT30" s="18">
        <f t="shared" si="41"/>
        <v>0</v>
      </c>
      <c r="BU30" s="18">
        <f t="shared" si="42"/>
        <v>0</v>
      </c>
      <c r="BV30" s="18">
        <f t="shared" si="43"/>
        <v>0</v>
      </c>
      <c r="BW30" s="18">
        <f t="shared" si="44"/>
        <v>0</v>
      </c>
      <c r="BX30" s="18">
        <f t="shared" si="45"/>
        <v>0</v>
      </c>
      <c r="BY30" s="18">
        <f t="shared" si="46"/>
        <v>0</v>
      </c>
      <c r="BZ30" s="18">
        <f t="shared" si="47"/>
        <v>0</v>
      </c>
      <c r="CA30" s="18">
        <f t="shared" si="48"/>
        <v>0</v>
      </c>
      <c r="CB30" s="18">
        <f t="shared" si="49"/>
        <v>0</v>
      </c>
      <c r="CC30" s="18">
        <f t="shared" si="50"/>
        <v>0</v>
      </c>
      <c r="CD30" s="19"/>
      <c r="CI30" s="90">
        <v>0</v>
      </c>
      <c r="CJ30" s="90">
        <v>0</v>
      </c>
      <c r="CK30" s="90">
        <v>0</v>
      </c>
      <c r="CL30" s="90">
        <v>0</v>
      </c>
      <c r="CM30" s="90">
        <v>0</v>
      </c>
      <c r="CN30" s="90">
        <v>0</v>
      </c>
      <c r="CO30" s="90">
        <v>0</v>
      </c>
      <c r="CP30" s="90">
        <v>0</v>
      </c>
      <c r="CQ30" s="90">
        <v>0</v>
      </c>
      <c r="CR30" s="90">
        <v>0</v>
      </c>
      <c r="CS30" s="94">
        <f t="shared" si="51"/>
        <v>0</v>
      </c>
    </row>
    <row r="31" spans="1:97" ht="22.5" customHeight="1" x14ac:dyDescent="0.25">
      <c r="A31" s="8">
        <v>21</v>
      </c>
      <c r="B31" s="9" t="s">
        <v>65</v>
      </c>
      <c r="C31" s="79" t="s">
        <v>66</v>
      </c>
      <c r="D31" s="96">
        <v>0.3263888888888889</v>
      </c>
      <c r="E31" s="96">
        <v>0.81805555555555554</v>
      </c>
      <c r="F31" s="99">
        <v>0.55833333333333335</v>
      </c>
      <c r="G31" s="100">
        <v>1</v>
      </c>
      <c r="H31" s="96">
        <v>0.32847222222222222</v>
      </c>
      <c r="I31" s="96">
        <v>0.89583333333333337</v>
      </c>
      <c r="J31" s="96">
        <v>0.33958333333333335</v>
      </c>
      <c r="K31" s="96">
        <v>0.90277777777777779</v>
      </c>
      <c r="L31" s="96">
        <v>0.35347222222222219</v>
      </c>
      <c r="M31" s="96">
        <v>9.7222222222222224E-3</v>
      </c>
      <c r="N31" s="96">
        <v>0.39166666666666666</v>
      </c>
      <c r="O31" s="96">
        <v>0.94791666666666663</v>
      </c>
      <c r="P31" s="96">
        <v>0.34236111111111112</v>
      </c>
      <c r="Q31" s="96">
        <v>0.77361111111111114</v>
      </c>
      <c r="R31" s="96">
        <v>0.27569444444444446</v>
      </c>
      <c r="S31" s="96">
        <v>0.84305555555555556</v>
      </c>
      <c r="T31" s="99" t="s">
        <v>15</v>
      </c>
      <c r="U31" s="99" t="s">
        <v>15</v>
      </c>
      <c r="V31" s="96">
        <v>0.34930555555555554</v>
      </c>
      <c r="W31" s="96">
        <v>0.87916666666666676</v>
      </c>
      <c r="X31" s="96">
        <v>0.34861111111111115</v>
      </c>
      <c r="Y31" s="96">
        <v>0.9145833333333333</v>
      </c>
      <c r="Z31" s="96">
        <v>0.34930555555555554</v>
      </c>
      <c r="AA31" s="96">
        <v>0.87013888888888891</v>
      </c>
      <c r="AB31" s="96">
        <v>0.3444444444444445</v>
      </c>
      <c r="AC31" s="96">
        <v>0.81666666666666676</v>
      </c>
      <c r="AD31" s="96">
        <v>0.34861111111111115</v>
      </c>
      <c r="AE31" s="96">
        <v>0.7909722222222223</v>
      </c>
      <c r="AF31" s="96">
        <v>0.34652777777777777</v>
      </c>
      <c r="AG31" s="97">
        <v>1</v>
      </c>
      <c r="AH31" s="78"/>
      <c r="AI31" s="67">
        <v>21</v>
      </c>
      <c r="AJ31" s="99">
        <v>0.58263888888888882</v>
      </c>
      <c r="AK31" s="99">
        <v>0.80763888888888891</v>
      </c>
      <c r="AL31" s="96">
        <v>0.34236111111111112</v>
      </c>
      <c r="AM31" s="96">
        <v>0.8652777777777777</v>
      </c>
      <c r="AN31" s="96">
        <v>0.34583333333333338</v>
      </c>
      <c r="AO31" s="96">
        <v>0.85763888888888884</v>
      </c>
      <c r="AP31" s="96">
        <v>0.34583333333333338</v>
      </c>
      <c r="AQ31" s="96">
        <v>0.83124999999999993</v>
      </c>
      <c r="AR31" s="96">
        <v>0.33402777777777781</v>
      </c>
      <c r="AS31" s="96">
        <v>0.82986111111111116</v>
      </c>
      <c r="AT31" s="96">
        <v>0.35000000000000003</v>
      </c>
      <c r="AU31" s="96">
        <v>0.85972222222222217</v>
      </c>
      <c r="AV31" s="96">
        <v>0.35000000000000003</v>
      </c>
      <c r="AW31" s="96">
        <v>0.91527777777777775</v>
      </c>
      <c r="AX31" s="99" t="s">
        <v>15</v>
      </c>
      <c r="AY31" s="99" t="s">
        <v>15</v>
      </c>
      <c r="AZ31" s="96">
        <v>0.34861111111111115</v>
      </c>
      <c r="BA31" s="96">
        <v>0.83333333333333337</v>
      </c>
      <c r="BB31" s="96">
        <v>0.34930555555555554</v>
      </c>
      <c r="BC31" s="96">
        <v>0.87013888888888891</v>
      </c>
      <c r="BD31" s="96">
        <v>0.35000000000000003</v>
      </c>
      <c r="BE31" s="96">
        <v>0.87916666666666676</v>
      </c>
      <c r="BF31" s="96">
        <v>0.35069444444444442</v>
      </c>
      <c r="BG31" s="96">
        <v>0.79999999999999993</v>
      </c>
      <c r="BH31" s="96">
        <v>0.34236111111111112</v>
      </c>
      <c r="BI31" s="96">
        <v>0.86319444444444438</v>
      </c>
      <c r="BJ31" s="96">
        <v>0.3527777777777778</v>
      </c>
      <c r="BK31" s="96">
        <v>0.98819444444444438</v>
      </c>
      <c r="BL31" s="99">
        <v>0.5805555555555556</v>
      </c>
      <c r="BM31" s="101">
        <v>1</v>
      </c>
      <c r="BN31" s="96">
        <v>0.34861111111111115</v>
      </c>
      <c r="BO31" s="96">
        <v>0.87569444444444444</v>
      </c>
      <c r="BP31" s="82">
        <f t="shared" si="38"/>
        <v>31</v>
      </c>
      <c r="BQ31" s="83">
        <v>3</v>
      </c>
      <c r="BR31" s="17">
        <f t="shared" si="39"/>
        <v>29</v>
      </c>
      <c r="BS31" s="18">
        <f t="shared" si="40"/>
        <v>2</v>
      </c>
      <c r="BT31" s="18">
        <f t="shared" si="41"/>
        <v>0</v>
      </c>
      <c r="BU31" s="18">
        <f t="shared" si="42"/>
        <v>0</v>
      </c>
      <c r="BV31" s="18">
        <f t="shared" si="43"/>
        <v>0</v>
      </c>
      <c r="BW31" s="18">
        <f t="shared" si="44"/>
        <v>0</v>
      </c>
      <c r="BX31" s="18">
        <f t="shared" si="45"/>
        <v>0</v>
      </c>
      <c r="BY31" s="18">
        <f t="shared" si="46"/>
        <v>0</v>
      </c>
      <c r="BZ31" s="18">
        <f t="shared" si="47"/>
        <v>0</v>
      </c>
      <c r="CA31" s="18">
        <f t="shared" si="48"/>
        <v>0</v>
      </c>
      <c r="CB31" s="18">
        <f t="shared" si="49"/>
        <v>0</v>
      </c>
      <c r="CC31" s="18">
        <f t="shared" si="50"/>
        <v>0</v>
      </c>
      <c r="CD31" s="19"/>
      <c r="CI31" s="91">
        <v>0</v>
      </c>
      <c r="CJ31" s="91">
        <v>0</v>
      </c>
      <c r="CK31" s="91">
        <v>0</v>
      </c>
      <c r="CL31" s="91">
        <v>0</v>
      </c>
      <c r="CM31" s="91">
        <v>0</v>
      </c>
      <c r="CN31" s="91">
        <v>6</v>
      </c>
      <c r="CO31" s="92">
        <v>0</v>
      </c>
      <c r="CP31" s="92">
        <v>0</v>
      </c>
      <c r="CQ31" s="92">
        <v>0</v>
      </c>
      <c r="CR31" s="92">
        <v>0</v>
      </c>
      <c r="CS31" s="93">
        <f t="shared" si="51"/>
        <v>6</v>
      </c>
    </row>
    <row r="32" spans="1:97" ht="22.5" customHeight="1" x14ac:dyDescent="0.25">
      <c r="A32" s="8">
        <v>22</v>
      </c>
      <c r="B32" s="9" t="s">
        <v>67</v>
      </c>
      <c r="C32" s="79" t="s">
        <v>68</v>
      </c>
      <c r="D32" s="96">
        <v>0.35694444444444445</v>
      </c>
      <c r="E32" s="96">
        <v>0.9590277777777777</v>
      </c>
      <c r="F32" s="99">
        <v>0.57986111111111105</v>
      </c>
      <c r="G32" s="99">
        <v>0.9375</v>
      </c>
      <c r="H32" s="96">
        <v>0.35486111111111113</v>
      </c>
      <c r="I32" s="96">
        <v>0.94652777777777775</v>
      </c>
      <c r="J32" s="96">
        <v>0.35555555555555557</v>
      </c>
      <c r="K32" s="96">
        <v>0.93263888888888891</v>
      </c>
      <c r="L32" s="96">
        <v>0.35486111111111113</v>
      </c>
      <c r="M32" s="96">
        <v>0.93541666666666667</v>
      </c>
      <c r="N32" s="96">
        <v>0.35416666666666669</v>
      </c>
      <c r="O32" s="96">
        <v>0.93611111111111101</v>
      </c>
      <c r="P32" s="96">
        <v>0.35416666666666669</v>
      </c>
      <c r="Q32" s="96">
        <v>0.93541666666666667</v>
      </c>
      <c r="R32" s="96">
        <v>0.35069444444444442</v>
      </c>
      <c r="S32" s="96">
        <v>0.95694444444444438</v>
      </c>
      <c r="T32" s="99" t="s">
        <v>15</v>
      </c>
      <c r="U32" s="99" t="s">
        <v>15</v>
      </c>
      <c r="V32" s="96">
        <v>0.35486111111111113</v>
      </c>
      <c r="W32" s="96">
        <v>0.94652777777777775</v>
      </c>
      <c r="X32" s="96">
        <v>0.35486111111111113</v>
      </c>
      <c r="Y32" s="96">
        <v>0.9277777777777777</v>
      </c>
      <c r="Z32" s="96">
        <v>0.35486111111111113</v>
      </c>
      <c r="AA32" s="96">
        <v>0.93194444444444446</v>
      </c>
      <c r="AB32" s="96">
        <v>0.35486111111111113</v>
      </c>
      <c r="AC32" s="96">
        <v>0.93333333333333324</v>
      </c>
      <c r="AD32" s="96">
        <v>0.35416666666666669</v>
      </c>
      <c r="AE32" s="96">
        <v>0.9277777777777777</v>
      </c>
      <c r="AF32" s="96">
        <v>0.35486111111111113</v>
      </c>
      <c r="AG32" s="96">
        <v>0.9506944444444444</v>
      </c>
      <c r="AH32" s="78"/>
      <c r="AI32" s="67">
        <v>22</v>
      </c>
      <c r="AJ32" s="99">
        <v>0.58263888888888882</v>
      </c>
      <c r="AK32" s="99">
        <v>0.9291666666666667</v>
      </c>
      <c r="AL32" s="96">
        <v>0.35416666666666669</v>
      </c>
      <c r="AM32" s="96">
        <v>0.95000000000000007</v>
      </c>
      <c r="AN32" s="96">
        <v>0.35347222222222219</v>
      </c>
      <c r="AO32" s="96">
        <v>0.9277777777777777</v>
      </c>
      <c r="AP32" s="96">
        <v>0.3527777777777778</v>
      </c>
      <c r="AQ32" s="96">
        <v>0.93402777777777779</v>
      </c>
      <c r="AR32" s="96">
        <v>0.3527777777777778</v>
      </c>
      <c r="AS32" s="96">
        <v>0.93055555555555547</v>
      </c>
      <c r="AT32" s="96">
        <v>0.35486111111111113</v>
      </c>
      <c r="AU32" s="96">
        <v>0.92847222222222225</v>
      </c>
      <c r="AV32" s="96">
        <v>0.3527777777777778</v>
      </c>
      <c r="AW32" s="96">
        <v>0.96250000000000002</v>
      </c>
      <c r="AX32" s="99" t="s">
        <v>15</v>
      </c>
      <c r="AY32" s="99" t="s">
        <v>15</v>
      </c>
      <c r="AZ32" s="96">
        <v>0.3527777777777778</v>
      </c>
      <c r="BA32" s="97">
        <v>1</v>
      </c>
      <c r="BB32" s="96">
        <v>0.3520833333333333</v>
      </c>
      <c r="BC32" s="96">
        <v>0.93472222222222223</v>
      </c>
      <c r="BD32" s="96">
        <v>0.35416666666666669</v>
      </c>
      <c r="BE32" s="96">
        <v>0.93194444444444446</v>
      </c>
      <c r="BF32" s="96">
        <v>0.35486111111111113</v>
      </c>
      <c r="BG32" s="96">
        <v>0.93263888888888891</v>
      </c>
      <c r="BH32" s="96">
        <v>0.35347222222222219</v>
      </c>
      <c r="BI32" s="96">
        <v>0.93541666666666667</v>
      </c>
      <c r="BJ32" s="96">
        <v>0.35486111111111113</v>
      </c>
      <c r="BK32" s="96">
        <v>0.95486111111111116</v>
      </c>
      <c r="BL32" s="99">
        <v>0.58124999999999993</v>
      </c>
      <c r="BM32" s="99">
        <v>0.92847222222222225</v>
      </c>
      <c r="BN32" s="96">
        <v>0.35416666666666669</v>
      </c>
      <c r="BO32" s="96">
        <v>0.9784722222222223</v>
      </c>
      <c r="BP32" s="82">
        <f t="shared" si="38"/>
        <v>31</v>
      </c>
      <c r="BQ32" s="83">
        <v>3</v>
      </c>
      <c r="BR32" s="17">
        <f t="shared" si="39"/>
        <v>29</v>
      </c>
      <c r="BS32" s="18">
        <f t="shared" si="40"/>
        <v>2</v>
      </c>
      <c r="BT32" s="18">
        <f t="shared" si="41"/>
        <v>0</v>
      </c>
      <c r="BU32" s="18">
        <f t="shared" si="42"/>
        <v>0</v>
      </c>
      <c r="BV32" s="18">
        <f t="shared" si="43"/>
        <v>0</v>
      </c>
      <c r="BW32" s="18">
        <f t="shared" si="44"/>
        <v>0</v>
      </c>
      <c r="BX32" s="18">
        <f t="shared" si="45"/>
        <v>0</v>
      </c>
      <c r="BY32" s="18">
        <f t="shared" si="46"/>
        <v>0</v>
      </c>
      <c r="BZ32" s="18">
        <f t="shared" si="47"/>
        <v>0</v>
      </c>
      <c r="CA32" s="18">
        <f t="shared" si="48"/>
        <v>0</v>
      </c>
      <c r="CB32" s="18">
        <f t="shared" si="49"/>
        <v>0</v>
      </c>
      <c r="CC32" s="18">
        <f t="shared" si="50"/>
        <v>0</v>
      </c>
      <c r="CD32" s="19"/>
      <c r="CI32" s="90">
        <v>0</v>
      </c>
      <c r="CJ32" s="90">
        <v>0</v>
      </c>
      <c r="CK32" s="90">
        <v>0</v>
      </c>
      <c r="CL32" s="90">
        <v>0</v>
      </c>
      <c r="CM32" s="90">
        <v>0</v>
      </c>
      <c r="CN32" s="90">
        <v>0</v>
      </c>
      <c r="CO32" s="90">
        <v>0</v>
      </c>
      <c r="CP32" s="90">
        <v>0</v>
      </c>
      <c r="CQ32" s="90">
        <v>0</v>
      </c>
      <c r="CR32" s="90">
        <v>0</v>
      </c>
      <c r="CS32" s="94">
        <f t="shared" si="51"/>
        <v>0</v>
      </c>
    </row>
    <row r="33" spans="1:97" ht="22.5" customHeight="1" x14ac:dyDescent="0.25">
      <c r="A33" s="8">
        <v>23</v>
      </c>
      <c r="B33" s="9" t="s">
        <v>69</v>
      </c>
      <c r="C33" s="79" t="s">
        <v>70</v>
      </c>
      <c r="D33" s="96">
        <v>0.3527777777777778</v>
      </c>
      <c r="E33" s="96">
        <v>0.9555555555555556</v>
      </c>
      <c r="F33" s="99">
        <v>0.5756944444444444</v>
      </c>
      <c r="G33" s="99">
        <v>0.93263888888888891</v>
      </c>
      <c r="H33" s="96">
        <v>0.35069444444444442</v>
      </c>
      <c r="I33" s="96">
        <v>0.95277777777777783</v>
      </c>
      <c r="J33" s="96">
        <v>0.3520833333333333</v>
      </c>
      <c r="K33" s="96">
        <v>0.9375</v>
      </c>
      <c r="L33" s="96">
        <v>0.35069444444444442</v>
      </c>
      <c r="M33" s="96">
        <v>0.94027777777777777</v>
      </c>
      <c r="N33" s="96">
        <v>0.35555555555555557</v>
      </c>
      <c r="O33" s="96">
        <v>0.94166666666666676</v>
      </c>
      <c r="P33" s="96">
        <v>0.38472222222222219</v>
      </c>
      <c r="Q33" s="96">
        <v>0.94027777777777777</v>
      </c>
      <c r="R33" s="96">
        <v>0.34583333333333338</v>
      </c>
      <c r="S33" s="96">
        <v>0.96180555555555547</v>
      </c>
      <c r="T33" s="99">
        <v>0.57847222222222217</v>
      </c>
      <c r="U33" s="99">
        <v>0.96666666666666667</v>
      </c>
      <c r="V33" s="96">
        <v>0.3520833333333333</v>
      </c>
      <c r="W33" s="96">
        <v>0.95416666666666661</v>
      </c>
      <c r="X33" s="96">
        <v>0.35138888888888892</v>
      </c>
      <c r="Y33" s="96">
        <v>0.93263888888888891</v>
      </c>
      <c r="Z33" s="96">
        <v>0.3576388888888889</v>
      </c>
      <c r="AA33" s="96">
        <v>0.93680555555555556</v>
      </c>
      <c r="AB33" s="96">
        <v>0.35694444444444445</v>
      </c>
      <c r="AC33" s="96">
        <v>0.94236111111111109</v>
      </c>
      <c r="AD33" s="96">
        <v>0.55486111111111114</v>
      </c>
      <c r="AE33" s="96">
        <v>0.94097222222222221</v>
      </c>
      <c r="AF33" s="96">
        <v>0.35486111111111113</v>
      </c>
      <c r="AG33" s="96">
        <v>0.9555555555555556</v>
      </c>
      <c r="AH33" s="78"/>
      <c r="AI33" s="67">
        <v>23</v>
      </c>
      <c r="AJ33" s="99" t="s">
        <v>15</v>
      </c>
      <c r="AK33" s="99" t="s">
        <v>15</v>
      </c>
      <c r="AL33" s="96">
        <v>0.35069444444444442</v>
      </c>
      <c r="AM33" s="96">
        <v>0.9555555555555556</v>
      </c>
      <c r="AN33" s="96">
        <v>0.35486111111111113</v>
      </c>
      <c r="AO33" s="96">
        <v>0.9375</v>
      </c>
      <c r="AP33" s="96">
        <v>0.35625000000000001</v>
      </c>
      <c r="AQ33" s="96">
        <v>0.93958333333333333</v>
      </c>
      <c r="AR33" s="96">
        <v>0.35416666666666669</v>
      </c>
      <c r="AS33" s="97">
        <v>1</v>
      </c>
      <c r="AT33" s="96">
        <v>0.35486111111111113</v>
      </c>
      <c r="AU33" s="97">
        <v>1</v>
      </c>
      <c r="AV33" s="96">
        <v>0.35486111111111113</v>
      </c>
      <c r="AW33" s="96">
        <v>0.9784722222222223</v>
      </c>
      <c r="AX33" s="99">
        <v>0.58819444444444446</v>
      </c>
      <c r="AY33" s="99">
        <v>0.94027777777777777</v>
      </c>
      <c r="AZ33" s="96">
        <v>0.35486111111111113</v>
      </c>
      <c r="BA33" s="96">
        <v>0.95000000000000007</v>
      </c>
      <c r="BB33" s="96">
        <v>0.35833333333333334</v>
      </c>
      <c r="BC33" s="97">
        <v>1</v>
      </c>
      <c r="BD33" s="96">
        <v>0.3576388888888889</v>
      </c>
      <c r="BE33" s="97">
        <v>1</v>
      </c>
      <c r="BF33" s="96">
        <v>0.35625000000000001</v>
      </c>
      <c r="BG33" s="96">
        <v>0.94027777777777777</v>
      </c>
      <c r="BH33" s="96">
        <v>0.35416666666666669</v>
      </c>
      <c r="BI33" s="97">
        <v>1</v>
      </c>
      <c r="BJ33" s="96">
        <v>0.3527777777777778</v>
      </c>
      <c r="BK33" s="97">
        <v>1</v>
      </c>
      <c r="BL33" s="99" t="s">
        <v>15</v>
      </c>
      <c r="BM33" s="99" t="s">
        <v>15</v>
      </c>
      <c r="BN33" s="96">
        <v>0.35625000000000001</v>
      </c>
      <c r="BO33" s="97">
        <v>1</v>
      </c>
      <c r="BP33" s="82">
        <f t="shared" si="38"/>
        <v>31</v>
      </c>
      <c r="BQ33" s="83">
        <v>3</v>
      </c>
      <c r="BR33" s="17">
        <f t="shared" si="39"/>
        <v>29</v>
      </c>
      <c r="BS33" s="18">
        <f t="shared" si="40"/>
        <v>2</v>
      </c>
      <c r="BT33" s="18">
        <f t="shared" si="41"/>
        <v>0</v>
      </c>
      <c r="BU33" s="18">
        <f t="shared" si="42"/>
        <v>0</v>
      </c>
      <c r="BV33" s="18">
        <f t="shared" si="43"/>
        <v>0</v>
      </c>
      <c r="BW33" s="18">
        <f t="shared" si="44"/>
        <v>0</v>
      </c>
      <c r="BX33" s="18">
        <f t="shared" si="45"/>
        <v>0</v>
      </c>
      <c r="BY33" s="18">
        <f t="shared" si="46"/>
        <v>0</v>
      </c>
      <c r="BZ33" s="18">
        <f t="shared" si="47"/>
        <v>0</v>
      </c>
      <c r="CA33" s="18">
        <f t="shared" si="48"/>
        <v>0</v>
      </c>
      <c r="CB33" s="18">
        <f t="shared" si="49"/>
        <v>0</v>
      </c>
      <c r="CC33" s="18">
        <f t="shared" si="50"/>
        <v>0</v>
      </c>
      <c r="CD33" s="19"/>
      <c r="CI33" s="91">
        <v>0</v>
      </c>
      <c r="CJ33" s="91">
        <v>0</v>
      </c>
      <c r="CK33" s="91">
        <v>0</v>
      </c>
      <c r="CL33" s="91">
        <v>0</v>
      </c>
      <c r="CM33" s="91">
        <v>0</v>
      </c>
      <c r="CN33" s="91">
        <v>2</v>
      </c>
      <c r="CO33" s="92">
        <v>0</v>
      </c>
      <c r="CP33" s="92">
        <v>0</v>
      </c>
      <c r="CQ33" s="92">
        <v>0</v>
      </c>
      <c r="CR33" s="92">
        <v>0</v>
      </c>
      <c r="CS33" s="93">
        <f t="shared" si="51"/>
        <v>2</v>
      </c>
    </row>
    <row r="34" spans="1:97" ht="22.5" customHeight="1" x14ac:dyDescent="0.25">
      <c r="A34" s="8">
        <v>24</v>
      </c>
      <c r="B34" s="9" t="s">
        <v>71</v>
      </c>
      <c r="C34" s="79" t="s">
        <v>72</v>
      </c>
      <c r="D34" s="96">
        <v>0.35694444444444445</v>
      </c>
      <c r="E34" s="96">
        <v>0.9590277777777777</v>
      </c>
      <c r="F34" s="99" t="s">
        <v>15</v>
      </c>
      <c r="G34" s="99" t="s">
        <v>15</v>
      </c>
      <c r="H34" s="96">
        <v>0.35486111111111113</v>
      </c>
      <c r="I34" s="96">
        <v>0.94652777777777775</v>
      </c>
      <c r="J34" s="96">
        <v>0.35555555555555557</v>
      </c>
      <c r="K34" s="96">
        <v>0.93194444444444446</v>
      </c>
      <c r="L34" s="96">
        <v>0.35486111111111113</v>
      </c>
      <c r="M34" s="96">
        <v>0.93541666666666667</v>
      </c>
      <c r="N34" s="96">
        <v>0.35486111111111113</v>
      </c>
      <c r="O34" s="96">
        <v>0.93611111111111101</v>
      </c>
      <c r="P34" s="96">
        <v>0.35416666666666669</v>
      </c>
      <c r="Q34" s="96">
        <v>0.93472222222222223</v>
      </c>
      <c r="R34" s="96">
        <v>0.35069444444444442</v>
      </c>
      <c r="S34" s="96">
        <v>0.95694444444444438</v>
      </c>
      <c r="T34" s="99">
        <v>0.58124999999999993</v>
      </c>
      <c r="U34" s="99">
        <v>0.93819444444444444</v>
      </c>
      <c r="V34" s="96">
        <v>0.35486111111111113</v>
      </c>
      <c r="W34" s="96">
        <v>0.94930555555555562</v>
      </c>
      <c r="X34" s="96">
        <v>0.35486111111111113</v>
      </c>
      <c r="Y34" s="96">
        <v>0.9277777777777777</v>
      </c>
      <c r="Z34" s="96">
        <v>0.35416666666666669</v>
      </c>
      <c r="AA34" s="96">
        <v>0.93194444444444446</v>
      </c>
      <c r="AB34" s="96">
        <v>0.35486111111111113</v>
      </c>
      <c r="AC34" s="96">
        <v>0.93263888888888891</v>
      </c>
      <c r="AD34" s="96">
        <v>0.35416666666666669</v>
      </c>
      <c r="AE34" s="96">
        <v>0.92847222222222225</v>
      </c>
      <c r="AF34" s="96">
        <v>0.35486111111111113</v>
      </c>
      <c r="AG34" s="96">
        <v>0.9506944444444444</v>
      </c>
      <c r="AH34" s="78"/>
      <c r="AI34" s="67">
        <v>24</v>
      </c>
      <c r="AJ34" s="99" t="s">
        <v>15</v>
      </c>
      <c r="AK34" s="99" t="s">
        <v>15</v>
      </c>
      <c r="AL34" s="96">
        <v>0.35347222222222219</v>
      </c>
      <c r="AM34" s="96">
        <v>0.95000000000000007</v>
      </c>
      <c r="AN34" s="96">
        <v>0.35347222222222219</v>
      </c>
      <c r="AO34" s="96">
        <v>0.9277777777777777</v>
      </c>
      <c r="AP34" s="96">
        <v>0.3527777777777778</v>
      </c>
      <c r="AQ34" s="96">
        <v>0.93402777777777779</v>
      </c>
      <c r="AR34" s="96">
        <v>0.3527777777777778</v>
      </c>
      <c r="AS34" s="96">
        <v>0.93055555555555547</v>
      </c>
      <c r="AT34" s="96">
        <v>0.35486111111111113</v>
      </c>
      <c r="AU34" s="96">
        <v>0.9277777777777777</v>
      </c>
      <c r="AV34" s="96">
        <v>0.35347222222222219</v>
      </c>
      <c r="AW34" s="96">
        <v>0.96250000000000002</v>
      </c>
      <c r="AX34" s="99">
        <v>0.58680555555555558</v>
      </c>
      <c r="AY34" s="99">
        <v>0.93402777777777779</v>
      </c>
      <c r="AZ34" s="96" t="s">
        <v>105</v>
      </c>
      <c r="BA34" s="96" t="s">
        <v>105</v>
      </c>
      <c r="BB34" s="96">
        <v>0.3520833333333333</v>
      </c>
      <c r="BC34" s="96">
        <v>0.93472222222222223</v>
      </c>
      <c r="BD34" s="96">
        <v>0.35416666666666669</v>
      </c>
      <c r="BE34" s="96">
        <v>0.93194444444444446</v>
      </c>
      <c r="BF34" s="96">
        <v>0.35486111111111113</v>
      </c>
      <c r="BG34" s="96">
        <v>0.93333333333333324</v>
      </c>
      <c r="BH34" s="96">
        <v>0.35347222222222219</v>
      </c>
      <c r="BI34" s="96">
        <v>0.93541666666666667</v>
      </c>
      <c r="BJ34" s="96">
        <v>0.35486111111111113</v>
      </c>
      <c r="BK34" s="96">
        <v>0.95486111111111116</v>
      </c>
      <c r="BL34" s="99" t="s">
        <v>15</v>
      </c>
      <c r="BM34" s="99" t="s">
        <v>15</v>
      </c>
      <c r="BN34" s="96">
        <v>0.35416666666666669</v>
      </c>
      <c r="BO34" s="96">
        <v>0.97777777777777775</v>
      </c>
      <c r="BP34" s="82">
        <f>BR34+BS34+BT34+BU34+BZ34+BX34+BY34+CC34</f>
        <v>31</v>
      </c>
      <c r="BQ34" s="83">
        <v>2</v>
      </c>
      <c r="BR34" s="17">
        <f t="shared" si="39"/>
        <v>27</v>
      </c>
      <c r="BS34" s="18">
        <f t="shared" si="40"/>
        <v>3</v>
      </c>
      <c r="BT34" s="18">
        <f t="shared" si="41"/>
        <v>0</v>
      </c>
      <c r="BU34" s="18">
        <f t="shared" si="42"/>
        <v>0</v>
      </c>
      <c r="BV34" s="18">
        <f t="shared" si="43"/>
        <v>0</v>
      </c>
      <c r="BW34" s="18">
        <f t="shared" si="44"/>
        <v>0</v>
      </c>
      <c r="BX34" s="18">
        <f t="shared" si="45"/>
        <v>0</v>
      </c>
      <c r="BY34" s="18">
        <f t="shared" si="46"/>
        <v>1</v>
      </c>
      <c r="BZ34" s="18">
        <f t="shared" si="47"/>
        <v>0</v>
      </c>
      <c r="CA34" s="18">
        <f t="shared" si="48"/>
        <v>0</v>
      </c>
      <c r="CB34" s="18">
        <f t="shared" si="49"/>
        <v>0</v>
      </c>
      <c r="CC34" s="18">
        <f t="shared" si="50"/>
        <v>0</v>
      </c>
      <c r="CD34" s="19"/>
      <c r="CI34" s="90">
        <v>0</v>
      </c>
      <c r="CJ34" s="90">
        <v>0</v>
      </c>
      <c r="CK34" s="90">
        <v>0</v>
      </c>
      <c r="CL34" s="90">
        <v>0</v>
      </c>
      <c r="CM34" s="90">
        <v>0</v>
      </c>
      <c r="CN34" s="89">
        <v>3</v>
      </c>
      <c r="CO34" s="90">
        <v>0</v>
      </c>
      <c r="CP34" s="90">
        <v>0</v>
      </c>
      <c r="CQ34" s="90">
        <v>0</v>
      </c>
      <c r="CR34" s="90">
        <v>0</v>
      </c>
      <c r="CS34" s="94">
        <f>SUM(CI34:CR34)</f>
        <v>3</v>
      </c>
    </row>
    <row r="35" spans="1:97" ht="22.5" customHeight="1" x14ac:dyDescent="0.25">
      <c r="A35" s="8">
        <v>25</v>
      </c>
      <c r="B35" s="9" t="s">
        <v>102</v>
      </c>
      <c r="C35" s="79" t="s">
        <v>103</v>
      </c>
      <c r="D35" s="113" t="s">
        <v>106</v>
      </c>
      <c r="E35" s="113"/>
      <c r="F35" s="113"/>
      <c r="G35" s="113"/>
      <c r="H35" s="113"/>
      <c r="I35" s="113"/>
      <c r="J35" s="113"/>
      <c r="K35" s="113"/>
      <c r="L35" s="113"/>
      <c r="M35" s="114"/>
      <c r="N35" s="98">
        <v>1</v>
      </c>
      <c r="O35" s="98">
        <v>1</v>
      </c>
      <c r="P35" s="96">
        <v>0.60486111111111118</v>
      </c>
      <c r="Q35" s="97">
        <v>1</v>
      </c>
      <c r="R35" s="96">
        <v>0.47152777777777777</v>
      </c>
      <c r="S35" s="96">
        <v>0.84305555555555556</v>
      </c>
      <c r="T35" s="99">
        <v>0.5854166666666667</v>
      </c>
      <c r="U35" s="99">
        <v>0.84375</v>
      </c>
      <c r="V35" s="96">
        <v>0.35069444444444442</v>
      </c>
      <c r="W35" s="96">
        <v>0.87986111111111109</v>
      </c>
      <c r="X35" s="96">
        <v>0.35069444444444442</v>
      </c>
      <c r="Y35" s="96">
        <v>0.9159722222222223</v>
      </c>
      <c r="Z35" s="96">
        <v>0.35000000000000003</v>
      </c>
      <c r="AA35" s="96">
        <v>0.87013888888888891</v>
      </c>
      <c r="AB35" s="96">
        <v>0.35138888888888892</v>
      </c>
      <c r="AC35" s="96">
        <v>0.81736111111111109</v>
      </c>
      <c r="AD35" s="96">
        <v>0.34861111111111115</v>
      </c>
      <c r="AE35" s="97">
        <v>1</v>
      </c>
      <c r="AF35" s="96">
        <v>0.34583333333333338</v>
      </c>
      <c r="AG35" s="97">
        <v>1</v>
      </c>
      <c r="AH35" s="78"/>
      <c r="AI35" s="67">
        <v>25</v>
      </c>
      <c r="AJ35" s="99" t="s">
        <v>15</v>
      </c>
      <c r="AK35" s="99" t="s">
        <v>15</v>
      </c>
      <c r="AL35" s="96">
        <v>0.34375</v>
      </c>
      <c r="AM35" s="96">
        <v>0.86597222222222225</v>
      </c>
      <c r="AN35" s="96">
        <v>0.34930555555555554</v>
      </c>
      <c r="AO35" s="96">
        <v>0.85763888888888884</v>
      </c>
      <c r="AP35" s="96">
        <v>0.34375</v>
      </c>
      <c r="AQ35" s="96">
        <v>0.83124999999999993</v>
      </c>
      <c r="AR35" s="96">
        <v>0.34930555555555554</v>
      </c>
      <c r="AS35" s="96">
        <v>0.82986111111111116</v>
      </c>
      <c r="AT35" s="96">
        <v>0.34930555555555554</v>
      </c>
      <c r="AU35" s="96">
        <v>0.85972222222222217</v>
      </c>
      <c r="AV35" s="96">
        <v>0.33888888888888885</v>
      </c>
      <c r="AW35" s="96">
        <v>0.91527777777777775</v>
      </c>
      <c r="AX35" s="99">
        <v>0.57986111111111105</v>
      </c>
      <c r="AY35" s="99">
        <v>0.83333333333333337</v>
      </c>
      <c r="AZ35" s="96">
        <v>0.34652777777777777</v>
      </c>
      <c r="BA35" s="96">
        <v>0.8354166666666667</v>
      </c>
      <c r="BB35" s="96">
        <v>0.34652777777777777</v>
      </c>
      <c r="BC35" s="96">
        <v>0.87083333333333324</v>
      </c>
      <c r="BD35" s="96">
        <v>0.35347222222222219</v>
      </c>
      <c r="BE35" s="96">
        <v>0.87916666666666676</v>
      </c>
      <c r="BF35" s="96">
        <v>0.34236111111111112</v>
      </c>
      <c r="BG35" s="96">
        <v>0.79999999999999993</v>
      </c>
      <c r="BH35" s="96">
        <v>0.34375</v>
      </c>
      <c r="BI35" s="96">
        <v>0.86041666666666661</v>
      </c>
      <c r="BJ35" s="96">
        <v>0.33888888888888885</v>
      </c>
      <c r="BK35" s="96">
        <v>0.98819444444444438</v>
      </c>
      <c r="BL35" s="99" t="s">
        <v>15</v>
      </c>
      <c r="BM35" s="99" t="s">
        <v>15</v>
      </c>
      <c r="BN35" s="96">
        <v>0.3444444444444445</v>
      </c>
      <c r="BO35" s="96">
        <v>0.87638888888888899</v>
      </c>
      <c r="BP35" s="82">
        <f t="shared" ref="BP35:BP36" si="52">BR35+BS35+BT35+BU35+BZ35+BX35+BY35+CC35</f>
        <v>26</v>
      </c>
      <c r="BQ35" s="83">
        <v>2</v>
      </c>
      <c r="BR35" s="17">
        <f t="shared" si="39"/>
        <v>24</v>
      </c>
      <c r="BS35" s="18">
        <f t="shared" si="40"/>
        <v>2</v>
      </c>
      <c r="BT35" s="18">
        <f t="shared" si="41"/>
        <v>0</v>
      </c>
      <c r="BU35" s="18">
        <f t="shared" si="42"/>
        <v>0</v>
      </c>
      <c r="BV35" s="18">
        <f t="shared" si="43"/>
        <v>0</v>
      </c>
      <c r="BW35" s="18">
        <f t="shared" si="44"/>
        <v>0</v>
      </c>
      <c r="BX35" s="18">
        <f t="shared" si="45"/>
        <v>0</v>
      </c>
      <c r="BY35" s="18">
        <f t="shared" si="46"/>
        <v>0</v>
      </c>
      <c r="BZ35" s="18">
        <f t="shared" si="47"/>
        <v>0</v>
      </c>
      <c r="CA35" s="18">
        <f t="shared" si="48"/>
        <v>0</v>
      </c>
      <c r="CB35" s="18">
        <f t="shared" si="49"/>
        <v>0</v>
      </c>
      <c r="CC35" s="18">
        <f t="shared" si="50"/>
        <v>0</v>
      </c>
      <c r="CD35" s="19"/>
      <c r="CI35" s="91">
        <v>0</v>
      </c>
      <c r="CJ35" s="91">
        <v>0</v>
      </c>
      <c r="CK35" s="91">
        <v>0</v>
      </c>
      <c r="CL35" s="91">
        <v>0</v>
      </c>
      <c r="CM35" s="91">
        <v>0</v>
      </c>
      <c r="CN35" s="91">
        <v>0</v>
      </c>
      <c r="CO35" s="92">
        <v>0</v>
      </c>
      <c r="CP35" s="92">
        <v>0</v>
      </c>
      <c r="CQ35" s="92">
        <v>0</v>
      </c>
      <c r="CR35" s="92">
        <v>0</v>
      </c>
      <c r="CS35" s="93">
        <f t="shared" ref="CS35" si="53">SUM(CI35:CR35)</f>
        <v>0</v>
      </c>
    </row>
    <row r="36" spans="1:97" ht="22.5" customHeight="1" x14ac:dyDescent="0.25">
      <c r="A36" s="8">
        <v>26</v>
      </c>
      <c r="B36" s="9" t="s">
        <v>101</v>
      </c>
      <c r="C36" s="79" t="s">
        <v>104</v>
      </c>
      <c r="D36" s="113" t="s">
        <v>106</v>
      </c>
      <c r="E36" s="113"/>
      <c r="F36" s="113"/>
      <c r="G36" s="113"/>
      <c r="H36" s="113"/>
      <c r="I36" s="113"/>
      <c r="J36" s="113"/>
      <c r="K36" s="113"/>
      <c r="L36" s="113"/>
      <c r="M36" s="114"/>
      <c r="N36" s="98">
        <v>1</v>
      </c>
      <c r="O36" s="98">
        <v>1</v>
      </c>
      <c r="P36" s="97">
        <v>1</v>
      </c>
      <c r="Q36" s="97">
        <v>1</v>
      </c>
      <c r="R36" s="96">
        <v>0.34861111111111115</v>
      </c>
      <c r="S36" s="96">
        <v>0.95486111111111116</v>
      </c>
      <c r="T36" s="99">
        <v>0.57847222222222217</v>
      </c>
      <c r="U36" s="99">
        <v>0.93541666666666667</v>
      </c>
      <c r="V36" s="96">
        <v>0.3527777777777778</v>
      </c>
      <c r="W36" s="96">
        <v>0.94861111111111107</v>
      </c>
      <c r="X36" s="96">
        <v>0.35138888888888892</v>
      </c>
      <c r="Y36" s="96">
        <v>0.9277777777777777</v>
      </c>
      <c r="Z36" s="96">
        <v>0.35069444444444442</v>
      </c>
      <c r="AA36" s="96">
        <v>0.92847222222222225</v>
      </c>
      <c r="AB36" s="96">
        <v>0.34791666666666665</v>
      </c>
      <c r="AC36" s="96">
        <v>0.9277777777777777</v>
      </c>
      <c r="AD36" s="96">
        <v>0.35069444444444442</v>
      </c>
      <c r="AE36" s="96">
        <v>0.9291666666666667</v>
      </c>
      <c r="AF36" s="96">
        <v>0.35000000000000003</v>
      </c>
      <c r="AG36" s="96">
        <v>0.94930555555555562</v>
      </c>
      <c r="AH36" s="78"/>
      <c r="AI36" s="67">
        <v>26</v>
      </c>
      <c r="AJ36" s="99" t="s">
        <v>15</v>
      </c>
      <c r="AK36" s="99" t="s">
        <v>15</v>
      </c>
      <c r="AL36" s="96">
        <v>0.34861111111111115</v>
      </c>
      <c r="AM36" s="96">
        <v>0.94236111111111109</v>
      </c>
      <c r="AN36" s="96">
        <v>0.34930555555555554</v>
      </c>
      <c r="AO36" s="96">
        <v>0.92638888888888893</v>
      </c>
      <c r="AP36" s="96">
        <v>0.34791666666666665</v>
      </c>
      <c r="AQ36" s="96">
        <v>0.92569444444444438</v>
      </c>
      <c r="AR36" s="96">
        <v>0.34930555555555554</v>
      </c>
      <c r="AS36" s="96">
        <v>0.92222222222222217</v>
      </c>
      <c r="AT36" s="96">
        <v>0.35069444444444442</v>
      </c>
      <c r="AU36" s="96">
        <v>0.92986111111111114</v>
      </c>
      <c r="AV36" s="96">
        <v>0.34652777777777777</v>
      </c>
      <c r="AW36" s="96">
        <v>0.94305555555555554</v>
      </c>
      <c r="AX36" s="101">
        <v>1</v>
      </c>
      <c r="AY36" s="99">
        <v>0.9243055555555556</v>
      </c>
      <c r="AZ36" s="96">
        <v>0.34791666666666665</v>
      </c>
      <c r="BA36" s="96">
        <v>0.94166666666666676</v>
      </c>
      <c r="BB36" s="96">
        <v>0.34722222222222227</v>
      </c>
      <c r="BC36" s="96">
        <v>0.92152777777777783</v>
      </c>
      <c r="BD36" s="96">
        <v>0.35069444444444442</v>
      </c>
      <c r="BE36" s="96">
        <v>0.9291666666666667</v>
      </c>
      <c r="BF36" s="96">
        <v>0.35000000000000003</v>
      </c>
      <c r="BG36" s="96">
        <v>0.92361111111111116</v>
      </c>
      <c r="BH36" s="96">
        <v>0.35000000000000003</v>
      </c>
      <c r="BI36" s="96">
        <v>0.92083333333333339</v>
      </c>
      <c r="BJ36" s="96">
        <v>0.35000000000000003</v>
      </c>
      <c r="BK36" s="96">
        <v>0.94930555555555562</v>
      </c>
      <c r="BL36" s="99" t="s">
        <v>15</v>
      </c>
      <c r="BM36" s="99" t="s">
        <v>15</v>
      </c>
      <c r="BN36" s="96">
        <v>0.34791666666666665</v>
      </c>
      <c r="BO36" s="96">
        <v>0.9819444444444444</v>
      </c>
      <c r="BP36" s="82">
        <f t="shared" si="52"/>
        <v>26</v>
      </c>
      <c r="BQ36" s="83">
        <v>2</v>
      </c>
      <c r="BR36" s="17">
        <f t="shared" si="39"/>
        <v>24</v>
      </c>
      <c r="BS36" s="18">
        <f t="shared" si="40"/>
        <v>2</v>
      </c>
      <c r="BT36" s="18">
        <f t="shared" si="41"/>
        <v>0</v>
      </c>
      <c r="BU36" s="18">
        <f t="shared" si="42"/>
        <v>0</v>
      </c>
      <c r="BV36" s="18">
        <f t="shared" si="43"/>
        <v>0</v>
      </c>
      <c r="BW36" s="18">
        <f t="shared" si="44"/>
        <v>0</v>
      </c>
      <c r="BX36" s="18">
        <f t="shared" si="45"/>
        <v>0</v>
      </c>
      <c r="BY36" s="18">
        <f t="shared" si="46"/>
        <v>0</v>
      </c>
      <c r="BZ36" s="18">
        <f t="shared" si="47"/>
        <v>0</v>
      </c>
      <c r="CA36" s="18">
        <f t="shared" si="48"/>
        <v>0</v>
      </c>
      <c r="CB36" s="18">
        <f t="shared" si="49"/>
        <v>0</v>
      </c>
      <c r="CC36" s="18">
        <f t="shared" si="50"/>
        <v>0</v>
      </c>
      <c r="CD36" s="19"/>
      <c r="CI36" s="90">
        <v>0</v>
      </c>
      <c r="CJ36" s="90">
        <v>0</v>
      </c>
      <c r="CK36" s="90">
        <v>0</v>
      </c>
      <c r="CL36" s="90">
        <v>0</v>
      </c>
      <c r="CM36" s="90">
        <v>0</v>
      </c>
      <c r="CN36" s="90">
        <v>0</v>
      </c>
      <c r="CO36" s="90">
        <v>0</v>
      </c>
      <c r="CP36" s="90">
        <v>0</v>
      </c>
      <c r="CQ36" s="90">
        <v>0</v>
      </c>
      <c r="CR36" s="90">
        <v>0</v>
      </c>
      <c r="CS36" s="94">
        <f>SUM(CI36:CR36)</f>
        <v>0</v>
      </c>
    </row>
    <row r="37" spans="1:97" ht="15.75" thickBot="1" x14ac:dyDescent="0.3">
      <c r="AJ37" s="103"/>
    </row>
    <row r="38" spans="1:97" ht="15.75" thickBot="1" x14ac:dyDescent="0.3">
      <c r="AJ38" s="102"/>
    </row>
    <row r="39" spans="1:97" x14ac:dyDescent="0.25">
      <c r="BR39" s="55" t="s">
        <v>82</v>
      </c>
      <c r="BS39" s="56"/>
      <c r="BT39" s="56"/>
      <c r="BU39" s="57" t="s">
        <v>15</v>
      </c>
      <c r="BV39" s="58"/>
      <c r="BW39" s="59" t="s">
        <v>83</v>
      </c>
      <c r="BX39" s="60"/>
      <c r="BY39" s="60"/>
      <c r="BZ39" s="61"/>
      <c r="CA39" s="62" t="s">
        <v>21</v>
      </c>
    </row>
    <row r="40" spans="1:97" x14ac:dyDescent="0.25">
      <c r="BR40" s="55" t="s">
        <v>84</v>
      </c>
      <c r="BS40" s="56"/>
      <c r="BT40" s="56"/>
      <c r="BU40" s="57" t="s">
        <v>16</v>
      </c>
      <c r="BV40" s="58"/>
      <c r="BW40" s="63" t="s">
        <v>85</v>
      </c>
      <c r="BX40" s="64"/>
      <c r="BY40" s="64"/>
      <c r="BZ40" s="61"/>
      <c r="CA40" s="62" t="s">
        <v>22</v>
      </c>
    </row>
    <row r="41" spans="1:97" ht="15.75" x14ac:dyDescent="0.25">
      <c r="E41" s="41"/>
      <c r="F41" s="42" t="s">
        <v>73</v>
      </c>
      <c r="G41" s="36"/>
      <c r="H41" s="42"/>
      <c r="I41" s="38"/>
      <c r="J41" s="38"/>
      <c r="K41" s="39"/>
      <c r="L41" s="40"/>
      <c r="M41" s="40"/>
      <c r="N41" s="43" t="s">
        <v>74</v>
      </c>
      <c r="O41" s="43"/>
      <c r="P41" s="39"/>
      <c r="Q41" s="39"/>
      <c r="R41" s="39"/>
      <c r="S41" s="39"/>
      <c r="T41" s="39" t="s">
        <v>93</v>
      </c>
      <c r="U41" s="39"/>
      <c r="V41" s="39"/>
      <c r="W41" s="39"/>
      <c r="X41" s="43" t="s">
        <v>75</v>
      </c>
      <c r="Y41" s="39"/>
      <c r="AH41" t="s">
        <v>93</v>
      </c>
      <c r="BR41" s="55" t="s">
        <v>86</v>
      </c>
      <c r="BS41" s="56"/>
      <c r="BT41" s="56"/>
      <c r="BU41" s="57" t="s">
        <v>17</v>
      </c>
      <c r="BV41" s="58"/>
      <c r="BW41" s="63" t="s">
        <v>87</v>
      </c>
      <c r="BX41" s="64"/>
      <c r="BY41" s="64"/>
      <c r="BZ41" s="61"/>
      <c r="CA41" s="62" t="s">
        <v>23</v>
      </c>
    </row>
    <row r="42" spans="1:97" ht="17.25" x14ac:dyDescent="0.25">
      <c r="E42" s="44"/>
      <c r="F42" s="38"/>
      <c r="G42" s="38"/>
      <c r="H42" s="38"/>
      <c r="I42" s="38"/>
      <c r="J42" s="38"/>
      <c r="K42" s="38"/>
      <c r="L42" s="45"/>
      <c r="M42" s="45"/>
      <c r="N42" s="45"/>
      <c r="O42" s="38"/>
      <c r="P42" s="38"/>
      <c r="Q42" s="38"/>
      <c r="R42" s="46"/>
      <c r="S42" s="46"/>
      <c r="T42" s="46"/>
      <c r="U42" s="46"/>
      <c r="V42" s="46"/>
      <c r="W42" s="46"/>
      <c r="X42" s="47"/>
      <c r="Y42" s="47"/>
      <c r="BR42" s="55" t="s">
        <v>88</v>
      </c>
      <c r="BS42" s="56"/>
      <c r="BT42" s="56"/>
      <c r="BU42" s="57" t="s">
        <v>18</v>
      </c>
      <c r="BV42" s="58"/>
      <c r="BW42" s="59" t="s">
        <v>89</v>
      </c>
      <c r="BX42" s="60"/>
      <c r="BY42" s="60"/>
      <c r="BZ42" s="61"/>
      <c r="CA42" s="62" t="s">
        <v>24</v>
      </c>
    </row>
    <row r="43" spans="1:97" ht="17.25" x14ac:dyDescent="0.25">
      <c r="E43" s="44"/>
      <c r="F43" s="48"/>
      <c r="G43" s="38"/>
      <c r="H43" s="48"/>
      <c r="I43" s="38"/>
      <c r="J43" s="38"/>
      <c r="K43" s="48" t="s">
        <v>93</v>
      </c>
      <c r="L43" s="49"/>
      <c r="M43" s="49"/>
      <c r="N43" s="45"/>
      <c r="O43" s="38"/>
      <c r="P43" s="48"/>
      <c r="Q43" s="48"/>
      <c r="R43" s="39"/>
      <c r="S43" s="38"/>
      <c r="T43" s="38"/>
      <c r="U43" s="38"/>
      <c r="V43" s="38"/>
      <c r="W43" s="38"/>
      <c r="X43" s="50"/>
      <c r="Y43" s="50"/>
      <c r="AV43" t="s">
        <v>93</v>
      </c>
      <c r="BR43" s="55" t="s">
        <v>90</v>
      </c>
      <c r="BS43" s="56"/>
      <c r="BT43" s="56"/>
      <c r="BU43" s="57" t="s">
        <v>19</v>
      </c>
      <c r="BV43" s="58"/>
      <c r="BW43" s="59" t="s">
        <v>91</v>
      </c>
      <c r="BX43" s="60"/>
      <c r="BY43" s="60"/>
      <c r="BZ43" s="61"/>
      <c r="CA43" s="62" t="s">
        <v>25</v>
      </c>
    </row>
    <row r="44" spans="1:97" ht="17.25" x14ac:dyDescent="0.25">
      <c r="E44" s="51"/>
      <c r="F44" s="48"/>
      <c r="G44" s="38"/>
      <c r="H44" s="48"/>
      <c r="I44" s="38"/>
      <c r="J44" s="38"/>
      <c r="K44" s="48"/>
      <c r="L44" s="49"/>
      <c r="M44" s="49"/>
      <c r="N44" s="45"/>
      <c r="O44" s="39"/>
      <c r="P44" s="48"/>
      <c r="Q44" s="48"/>
      <c r="R44" s="39"/>
      <c r="S44" s="38"/>
      <c r="T44" s="38"/>
      <c r="U44" s="38"/>
      <c r="V44" s="38"/>
      <c r="W44" s="38"/>
      <c r="X44" s="50"/>
      <c r="Y44" s="50"/>
      <c r="BR44" s="55" t="s">
        <v>92</v>
      </c>
      <c r="BS44" s="56"/>
      <c r="BT44" s="56"/>
      <c r="BU44" s="57" t="s">
        <v>20</v>
      </c>
      <c r="BV44" s="58"/>
      <c r="BW44" s="58"/>
      <c r="BX44" s="58"/>
      <c r="BY44" s="58"/>
      <c r="BZ44" s="58"/>
      <c r="CA44" s="58"/>
    </row>
    <row r="45" spans="1:97" ht="17.25" x14ac:dyDescent="0.25">
      <c r="E45" s="52" t="s">
        <v>76</v>
      </c>
      <c r="F45" s="53"/>
      <c r="G45" s="41"/>
      <c r="H45" s="52"/>
      <c r="I45" s="38"/>
      <c r="J45" s="38"/>
      <c r="K45" s="48"/>
      <c r="L45" s="45"/>
      <c r="M45" s="49"/>
      <c r="N45" s="36" t="s">
        <v>77</v>
      </c>
      <c r="O45" s="38"/>
      <c r="P45" s="48"/>
      <c r="Q45" s="39"/>
      <c r="R45" s="38"/>
      <c r="S45" s="38"/>
      <c r="T45" s="38"/>
      <c r="U45" s="38"/>
      <c r="V45" s="38"/>
      <c r="W45" s="38"/>
      <c r="X45" s="36" t="s">
        <v>78</v>
      </c>
      <c r="Y45" s="50"/>
      <c r="BR45" s="58"/>
      <c r="BS45" s="58"/>
      <c r="BT45" s="58"/>
      <c r="BU45" s="58"/>
      <c r="BV45" s="58"/>
      <c r="BW45" s="58"/>
      <c r="BX45" s="58"/>
      <c r="BY45" s="58"/>
      <c r="BZ45" s="58"/>
      <c r="CA45" s="58"/>
    </row>
    <row r="46" spans="1:97" ht="17.25" x14ac:dyDescent="0.25">
      <c r="E46" s="52"/>
      <c r="F46" s="52" t="s">
        <v>79</v>
      </c>
      <c r="G46" s="51"/>
      <c r="H46" s="51"/>
      <c r="I46" s="38"/>
      <c r="J46" s="38"/>
      <c r="K46" s="36"/>
      <c r="L46" s="54"/>
      <c r="M46" s="54"/>
      <c r="N46" s="36" t="s">
        <v>80</v>
      </c>
      <c r="O46" s="36"/>
      <c r="P46" s="36"/>
      <c r="Q46" s="39"/>
      <c r="R46" s="36"/>
      <c r="S46" s="38"/>
      <c r="T46" s="38"/>
      <c r="U46" s="38"/>
      <c r="V46" s="38"/>
      <c r="W46" s="38"/>
      <c r="X46" s="36" t="s">
        <v>81</v>
      </c>
      <c r="Y46" s="50"/>
    </row>
    <row r="47" spans="1:97" ht="15.75" x14ac:dyDescent="0.25">
      <c r="J47" s="37"/>
      <c r="M47" s="38"/>
    </row>
    <row r="50" spans="1:82" ht="22.5" customHeight="1" x14ac:dyDescent="0.25">
      <c r="A50" s="8">
        <v>8</v>
      </c>
      <c r="B50" s="9" t="s">
        <v>38</v>
      </c>
      <c r="C50" s="79" t="s">
        <v>39</v>
      </c>
      <c r="D50" s="28">
        <v>0.37152777777777773</v>
      </c>
      <c r="E50" s="28">
        <v>0.78333333333333333</v>
      </c>
      <c r="F50" s="23" t="s">
        <v>18</v>
      </c>
      <c r="G50" s="23"/>
      <c r="H50" s="23"/>
      <c r="I50" s="23"/>
      <c r="J50" s="23"/>
      <c r="K50" s="23"/>
      <c r="L50" s="23"/>
      <c r="M50" s="23"/>
      <c r="N50" s="80"/>
      <c r="O50" s="23"/>
      <c r="P50" s="23"/>
      <c r="Q50" s="23"/>
      <c r="R50" s="23"/>
      <c r="S50" s="23"/>
      <c r="T50" s="23"/>
      <c r="U50" s="23"/>
      <c r="V50" s="24"/>
      <c r="W50" s="31"/>
      <c r="X50" s="23"/>
      <c r="Y50" s="23"/>
      <c r="Z50" s="23"/>
      <c r="AA50" s="23"/>
      <c r="AB50" s="23"/>
      <c r="AC50" s="23"/>
      <c r="AD50" s="23"/>
      <c r="AE50" s="23"/>
      <c r="AF50" s="23"/>
      <c r="AG50" s="20"/>
      <c r="AH50" s="77"/>
      <c r="AI50" s="67">
        <v>8</v>
      </c>
      <c r="AJ50" s="25"/>
      <c r="AK50" s="25"/>
      <c r="AL50" s="26"/>
      <c r="AM50" s="26"/>
      <c r="AN50" s="25"/>
      <c r="AO50" s="25"/>
      <c r="AP50" s="25"/>
      <c r="AQ50" s="27"/>
      <c r="AR50" s="25"/>
      <c r="AS50" s="25"/>
      <c r="AT50" s="28"/>
      <c r="AU50" s="28"/>
      <c r="AV50" s="28"/>
      <c r="AW50" s="28"/>
      <c r="AX50" s="28"/>
      <c r="AY50" s="28"/>
      <c r="AZ50" s="29"/>
      <c r="BA50" s="29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16">
        <f>BR50+BS50+BT50+BU50+BZ50+BX50+BY50+CC50+BV50</f>
        <v>1.5</v>
      </c>
      <c r="BQ50" s="16"/>
      <c r="BR50" s="17">
        <f>COUNT(D50:AG50)/2+COUNT(AJ50:BO50)/2</f>
        <v>1</v>
      </c>
      <c r="BS50" s="18">
        <f>COUNTIF(D50:BO50,"OFF")/2</f>
        <v>0</v>
      </c>
      <c r="BT50" s="18">
        <f>COUNTIF(D50:BO50,"MC")/2</f>
        <v>0</v>
      </c>
      <c r="BU50" s="18">
        <f>COUNTIF(D50:BO50,"EL")/2</f>
        <v>0</v>
      </c>
      <c r="BV50" s="18">
        <f>COUNTIF(D50:BO50,"AL")/2</f>
        <v>0.5</v>
      </c>
      <c r="BW50" s="18">
        <f>COUNTIF(D50:BO50,"SUS")/2</f>
        <v>0</v>
      </c>
      <c r="BX50" s="18">
        <f>COUNTIF(D50:BO50,"FL")/2</f>
        <v>0</v>
      </c>
      <c r="BY50" s="18">
        <f>COUNTIF(D50:BO50,"SICK")/2</f>
        <v>0</v>
      </c>
      <c r="BZ50" s="18">
        <f>COUNTIF(D50:BO50,"HD")/2</f>
        <v>0</v>
      </c>
      <c r="CA50" s="18">
        <f>COUNTIF(D50:BO50,"AB")/2</f>
        <v>0</v>
      </c>
      <c r="CB50" s="18">
        <f>COUNTIF(D50:BO50,"NL")/2</f>
        <v>0</v>
      </c>
      <c r="CC50" s="18">
        <f>COUNTIF(D50:BO50,"SP")/2</f>
        <v>0</v>
      </c>
      <c r="CD50" s="19"/>
    </row>
    <row r="51" spans="1:82" ht="22.5" customHeight="1" x14ac:dyDescent="0.25">
      <c r="A51" s="8">
        <v>13</v>
      </c>
      <c r="B51" s="9" t="s">
        <v>48</v>
      </c>
      <c r="C51" s="79" t="s">
        <v>49</v>
      </c>
      <c r="D51" s="28">
        <v>0.3611111111111111</v>
      </c>
      <c r="E51" s="28">
        <v>0.87222222222222223</v>
      </c>
      <c r="F51" s="28">
        <v>0.35972222222222222</v>
      </c>
      <c r="G51" s="28">
        <v>0.91041666666666676</v>
      </c>
      <c r="H51" s="28">
        <v>0.3743055555555555</v>
      </c>
      <c r="I51" s="28">
        <v>0.86111111111111116</v>
      </c>
      <c r="J51" s="28">
        <v>0.3527777777777778</v>
      </c>
      <c r="K51" s="28">
        <v>0.84375</v>
      </c>
      <c r="L51" s="28">
        <v>0.3520833333333333</v>
      </c>
      <c r="M51" s="28">
        <v>0.84513888888888899</v>
      </c>
      <c r="N51" s="28">
        <v>0.33402777777777781</v>
      </c>
      <c r="O51" s="28">
        <v>0.80902777777777779</v>
      </c>
      <c r="P51" s="84" t="s">
        <v>15</v>
      </c>
      <c r="Q51" s="84" t="s">
        <v>15</v>
      </c>
      <c r="R51" s="28">
        <v>0.32916666666666666</v>
      </c>
      <c r="S51" s="28">
        <v>0.89930555555555547</v>
      </c>
      <c r="T51" s="28">
        <v>0.3298611111111111</v>
      </c>
      <c r="U51" s="28">
        <v>0.87152777777777779</v>
      </c>
      <c r="V51" s="28">
        <v>0.34930555555555554</v>
      </c>
      <c r="W51" s="28">
        <v>0.87430555555555556</v>
      </c>
      <c r="X51" s="28">
        <v>0.32916666666666666</v>
      </c>
      <c r="Y51" s="28">
        <v>0.88124999999999998</v>
      </c>
      <c r="Z51" s="28">
        <v>0.3347222222222222</v>
      </c>
      <c r="AA51" s="28">
        <v>0.91319444444444453</v>
      </c>
      <c r="AB51" s="28">
        <v>0.3347222222222222</v>
      </c>
      <c r="AC51" s="28">
        <v>0.80972222222222223</v>
      </c>
      <c r="AD51" s="28" t="s">
        <v>15</v>
      </c>
      <c r="AE51" s="28" t="s">
        <v>15</v>
      </c>
      <c r="AF51" s="23"/>
      <c r="AG51" s="20"/>
      <c r="AH51" s="78"/>
      <c r="AI51" s="67">
        <v>14</v>
      </c>
      <c r="AJ51" s="25"/>
      <c r="AK51" s="25"/>
      <c r="AL51" s="32"/>
      <c r="AM51" s="32"/>
      <c r="AN51" s="25"/>
      <c r="AO51" s="25"/>
      <c r="AP51" s="25"/>
      <c r="AQ51" s="25"/>
      <c r="AR51" s="25"/>
      <c r="AS51" s="25"/>
      <c r="AT51" s="28"/>
      <c r="AU51" s="28"/>
      <c r="AV51" s="28"/>
      <c r="AW51" s="28"/>
      <c r="AX51" s="28"/>
      <c r="AY51" s="28"/>
      <c r="AZ51" s="30"/>
      <c r="BA51" s="30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82">
        <f>BR51+BS51+BT51+BU51+BZ51+BX51+BY51+CC51</f>
        <v>14</v>
      </c>
      <c r="BQ51" s="83"/>
      <c r="BR51" s="17">
        <f>COUNT(B51:AG51)/2+COUNT(AJ51:BO51)/2</f>
        <v>12</v>
      </c>
      <c r="BS51" s="18">
        <f>COUNTIF(B51:BO51,"OFF")/2</f>
        <v>2</v>
      </c>
      <c r="BT51" s="18">
        <f>COUNTIF(B51:BO51,"MC")/2</f>
        <v>0</v>
      </c>
      <c r="BU51" s="18">
        <f>COUNTIF(B51:BO51,"EL")/2</f>
        <v>0</v>
      </c>
      <c r="BV51" s="18">
        <f>COUNTIF(B51:BO51,"AL")/2</f>
        <v>0</v>
      </c>
      <c r="BW51" s="18">
        <f>COUNTIF(B51:BO51,"SUS")/2</f>
        <v>0</v>
      </c>
      <c r="BX51" s="18">
        <f>COUNTIF(B51:BO51,"FL")/2</f>
        <v>0</v>
      </c>
      <c r="BY51" s="18">
        <f>COUNTIF(B51:BO51,"SICK")/2</f>
        <v>0</v>
      </c>
      <c r="BZ51" s="18">
        <f>COUNTIF(B51:BO51,"HD")/2</f>
        <v>0</v>
      </c>
      <c r="CA51" s="18">
        <f>COUNTIF(B51:BO51,"AB")/2</f>
        <v>0</v>
      </c>
      <c r="CB51" s="18">
        <f>COUNTIF(B51:BO51,"NL")/2</f>
        <v>0</v>
      </c>
      <c r="CC51" s="18">
        <f>COUNTIF(B51:BO51,"SP")/2</f>
        <v>0</v>
      </c>
      <c r="CD51" s="19"/>
    </row>
  </sheetData>
  <autoFilter ref="CI4:CS4" xr:uid="{4DEAE187-7A0C-4228-9444-8A342039E6A5}"/>
  <mergeCells count="139">
    <mergeCell ref="BF2:BG2"/>
    <mergeCell ref="BH2:BI2"/>
    <mergeCell ref="BJ2:BK2"/>
    <mergeCell ref="AR2:AS2"/>
    <mergeCell ref="AT2:AU2"/>
    <mergeCell ref="AV2:AW2"/>
    <mergeCell ref="D35:M35"/>
    <mergeCell ref="D36:M36"/>
    <mergeCell ref="CI2:CR2"/>
    <mergeCell ref="CI14:CR14"/>
    <mergeCell ref="AB2:AC2"/>
    <mergeCell ref="BP2:BP4"/>
    <mergeCell ref="BQ2:BQ4"/>
    <mergeCell ref="BR2:CD2"/>
    <mergeCell ref="D3:E3"/>
    <mergeCell ref="F3:G3"/>
    <mergeCell ref="X3:Y3"/>
    <mergeCell ref="Z3:AA3"/>
    <mergeCell ref="AB3:AC3"/>
    <mergeCell ref="BD3:BE3"/>
    <mergeCell ref="BF3:BG3"/>
    <mergeCell ref="BH3:BI3"/>
    <mergeCell ref="BB2:BC2"/>
    <mergeCell ref="AD2:AE2"/>
    <mergeCell ref="AF2:AG2"/>
    <mergeCell ref="AJ2:AK2"/>
    <mergeCell ref="BD2:BE2"/>
    <mergeCell ref="D15:E15"/>
    <mergeCell ref="F15:G15"/>
    <mergeCell ref="H15:I15"/>
    <mergeCell ref="BQ14:BQ16"/>
    <mergeCell ref="L15:M15"/>
    <mergeCell ref="A1:AG1"/>
    <mergeCell ref="AI1:CD1"/>
    <mergeCell ref="A2:C3"/>
    <mergeCell ref="D2:E2"/>
    <mergeCell ref="F2:G2"/>
    <mergeCell ref="H2:I2"/>
    <mergeCell ref="J2:K2"/>
    <mergeCell ref="L2:M2"/>
    <mergeCell ref="N2:O2"/>
    <mergeCell ref="P2:Q2"/>
    <mergeCell ref="AL2:AM2"/>
    <mergeCell ref="AN2:AO2"/>
    <mergeCell ref="AP2:AQ2"/>
    <mergeCell ref="R2:S2"/>
    <mergeCell ref="T2:U2"/>
    <mergeCell ref="V2:W2"/>
    <mergeCell ref="X2:Y2"/>
    <mergeCell ref="Z2:AA2"/>
    <mergeCell ref="BN2:BO2"/>
    <mergeCell ref="AD15:AE15"/>
    <mergeCell ref="BF15:BG15"/>
    <mergeCell ref="BH15:BI15"/>
    <mergeCell ref="AZ2:BA2"/>
    <mergeCell ref="A14:C15"/>
    <mergeCell ref="D14:E14"/>
    <mergeCell ref="F14:G14"/>
    <mergeCell ref="H14:I14"/>
    <mergeCell ref="J14:K14"/>
    <mergeCell ref="L14:M14"/>
    <mergeCell ref="N14:O14"/>
    <mergeCell ref="P14:Q14"/>
    <mergeCell ref="AL14:AM14"/>
    <mergeCell ref="R14:S14"/>
    <mergeCell ref="T14:U14"/>
    <mergeCell ref="V14:W14"/>
    <mergeCell ref="X14:Y14"/>
    <mergeCell ref="Z14:AA14"/>
    <mergeCell ref="AB14:AC14"/>
    <mergeCell ref="T15:U15"/>
    <mergeCell ref="V15:W15"/>
    <mergeCell ref="X15:Y15"/>
    <mergeCell ref="Z15:AA15"/>
    <mergeCell ref="AB15:AC15"/>
    <mergeCell ref="N15:O15"/>
    <mergeCell ref="BN3:BO3"/>
    <mergeCell ref="P15:Q15"/>
    <mergeCell ref="BJ15:BK15"/>
    <mergeCell ref="A13:AG13"/>
    <mergeCell ref="AI13:CD13"/>
    <mergeCell ref="J15:K15"/>
    <mergeCell ref="R15:S15"/>
    <mergeCell ref="BD14:BE14"/>
    <mergeCell ref="BF14:BG14"/>
    <mergeCell ref="BH14:BI14"/>
    <mergeCell ref="BJ14:BK14"/>
    <mergeCell ref="BN14:BO14"/>
    <mergeCell ref="AR14:AS14"/>
    <mergeCell ref="AT14:AU14"/>
    <mergeCell ref="AV14:AW14"/>
    <mergeCell ref="AX14:AY14"/>
    <mergeCell ref="BN15:BO15"/>
    <mergeCell ref="AZ14:BA14"/>
    <mergeCell ref="BB14:BC14"/>
    <mergeCell ref="AD14:AE14"/>
    <mergeCell ref="AF14:AG14"/>
    <mergeCell ref="AJ14:AK14"/>
    <mergeCell ref="AF15:AG15"/>
    <mergeCell ref="BP14:BP16"/>
    <mergeCell ref="AJ15:AK15"/>
    <mergeCell ref="AL15:AM15"/>
    <mergeCell ref="AN15:AO15"/>
    <mergeCell ref="AP15:AQ15"/>
    <mergeCell ref="AR15:AS15"/>
    <mergeCell ref="BL14:BM14"/>
    <mergeCell ref="BL15:BM15"/>
    <mergeCell ref="AT15:AU15"/>
    <mergeCell ref="AV15:AW15"/>
    <mergeCell ref="AX15:AY15"/>
    <mergeCell ref="AZ15:BA15"/>
    <mergeCell ref="BB15:BC15"/>
    <mergeCell ref="BD15:BE15"/>
    <mergeCell ref="AN14:AO14"/>
    <mergeCell ref="AP14:AQ14"/>
    <mergeCell ref="H3:I3"/>
    <mergeCell ref="J3:K3"/>
    <mergeCell ref="BL2:BM2"/>
    <mergeCell ref="BL3:BM3"/>
    <mergeCell ref="AX2:AY2"/>
    <mergeCell ref="AF3:AG3"/>
    <mergeCell ref="AJ3:AK3"/>
    <mergeCell ref="AL3:AM3"/>
    <mergeCell ref="AN3:AO3"/>
    <mergeCell ref="AP3:AQ3"/>
    <mergeCell ref="R3:S3"/>
    <mergeCell ref="T3:U3"/>
    <mergeCell ref="V3:W3"/>
    <mergeCell ref="AR3:AS3"/>
    <mergeCell ref="AV3:AW3"/>
    <mergeCell ref="AX3:AY3"/>
    <mergeCell ref="AZ3:BA3"/>
    <mergeCell ref="BB3:BC3"/>
    <mergeCell ref="BJ3:BK3"/>
    <mergeCell ref="AT3:AU3"/>
    <mergeCell ref="L3:M3"/>
    <mergeCell ref="N3:O3"/>
    <mergeCell ref="P3:Q3"/>
    <mergeCell ref="AD3:AE3"/>
  </mergeCells>
  <phoneticPr fontId="19" type="noConversion"/>
  <conditionalFormatting sqref="A2 BQ17:BQ36 BQ51">
    <cfRule type="cellIs" dxfId="27" priority="935" operator="equal">
      <formula>";"</formula>
    </cfRule>
  </conditionalFormatting>
  <conditionalFormatting sqref="A14">
    <cfRule type="cellIs" dxfId="26" priority="934" stopIfTrue="1" operator="equal">
      <formula>";"</formula>
    </cfRule>
  </conditionalFormatting>
  <conditionalFormatting sqref="D18:O34">
    <cfRule type="containsText" dxfId="25" priority="456" operator="containsText" text="AL">
      <formula>NOT(ISERROR(SEARCH("AL",D18)))</formula>
    </cfRule>
  </conditionalFormatting>
  <conditionalFormatting sqref="D17:S17">
    <cfRule type="containsText" dxfId="24" priority="405" operator="containsText" text="AL">
      <formula>NOT(ISERROR(SEARCH("AL",D17)))</formula>
    </cfRule>
  </conditionalFormatting>
  <conditionalFormatting sqref="D17:AG34">
    <cfRule type="containsText" dxfId="23" priority="283" operator="containsText" text="AB">
      <formula>NOT(ISERROR(SEARCH("AB",D17)))</formula>
    </cfRule>
    <cfRule type="containsText" dxfId="22" priority="284" operator="containsText" text="SICK">
      <formula>NOT(ISERROR(SEARCH("SICK",D17)))</formula>
    </cfRule>
  </conditionalFormatting>
  <conditionalFormatting sqref="D5:BO10">
    <cfRule type="containsText" dxfId="21" priority="13" operator="containsText" text="AB">
      <formula>NOT(ISERROR(SEARCH("AB",D5)))</formula>
    </cfRule>
    <cfRule type="containsText" dxfId="20" priority="14" operator="containsText" text="SICK">
      <formula>NOT(ISERROR(SEARCH("SICK",D5)))</formula>
    </cfRule>
    <cfRule type="containsText" dxfId="19" priority="15" operator="containsText" text="AL">
      <formula>NOT(ISERROR(SEARCH("AL",D5)))</formula>
    </cfRule>
  </conditionalFormatting>
  <conditionalFormatting sqref="D51:BO51">
    <cfRule type="containsText" dxfId="18" priority="491" stopIfTrue="1" operator="containsText" text="NL">
      <formula>NOT(ISERROR(SEARCH("NL",D51)))</formula>
    </cfRule>
    <cfRule type="containsText" dxfId="17" priority="492" stopIfTrue="1" operator="containsText" text="EL">
      <formula>NOT(ISERROR(SEARCH("EL",D51)))</formula>
    </cfRule>
    <cfRule type="containsText" dxfId="16" priority="493" stopIfTrue="1" operator="containsText" text="SP">
      <formula>NOT(ISERROR(SEARCH("SP",D51)))</formula>
    </cfRule>
    <cfRule type="containsText" dxfId="15" priority="494" stopIfTrue="1" operator="containsText" text="SICK">
      <formula>NOT(ISERROR(SEARCH("SICK",D51)))</formula>
    </cfRule>
  </conditionalFormatting>
  <conditionalFormatting sqref="N35:AG36">
    <cfRule type="containsText" dxfId="14" priority="277" operator="containsText" text="AB">
      <formula>NOT(ISERROR(SEARCH("AB",N35)))</formula>
    </cfRule>
    <cfRule type="containsText" dxfId="13" priority="278" operator="containsText" text="SICK">
      <formula>NOT(ISERROR(SEARCH("SICK",N35)))</formula>
    </cfRule>
    <cfRule type="containsText" dxfId="12" priority="279" operator="containsText" text="AL">
      <formula>NOT(ISERROR(SEARCH("AL",N35)))</formula>
    </cfRule>
  </conditionalFormatting>
  <conditionalFormatting sqref="P18:S18">
    <cfRule type="containsText" dxfId="11" priority="411" operator="containsText" text="AL">
      <formula>NOT(ISERROR(SEARCH("AL",P18)))</formula>
    </cfRule>
  </conditionalFormatting>
  <conditionalFormatting sqref="P19:AG34">
    <cfRule type="containsText" dxfId="10" priority="285" operator="containsText" text="AL">
      <formula>NOT(ISERROR(SEARCH("AL",P19)))</formula>
    </cfRule>
  </conditionalFormatting>
  <conditionalFormatting sqref="T17:AG18">
    <cfRule type="containsText" dxfId="9" priority="318" operator="containsText" text="AL">
      <formula>NOT(ISERROR(SEARCH("AL",T17)))</formula>
    </cfRule>
  </conditionalFormatting>
  <conditionalFormatting sqref="AH5:AI10 AH17:AI36">
    <cfRule type="containsText" dxfId="8" priority="527" stopIfTrue="1" operator="containsText" text="NL">
      <formula>NOT(ISERROR(SEARCH("NL",AH5)))</formula>
    </cfRule>
    <cfRule type="containsText" dxfId="7" priority="528" stopIfTrue="1" operator="containsText" text="EL">
      <formula>NOT(ISERROR(SEARCH("EL",AH5)))</formula>
    </cfRule>
    <cfRule type="containsText" dxfId="6" priority="529" stopIfTrue="1" operator="containsText" text="SP">
      <formula>NOT(ISERROR(SEARCH("SP",AH5)))</formula>
    </cfRule>
    <cfRule type="containsText" dxfId="5" priority="530" stopIfTrue="1" operator="containsText" text="SICK">
      <formula>NOT(ISERROR(SEARCH("SICK",AH5)))</formula>
    </cfRule>
  </conditionalFormatting>
  <conditionalFormatting sqref="AH5:AI10 AH18:AI36">
    <cfRule type="containsText" dxfId="4" priority="485" operator="containsText" text="SICK">
      <formula>NOT(ISERROR(SEARCH("SICK",AH5)))</formula>
    </cfRule>
  </conditionalFormatting>
  <conditionalFormatting sqref="AH17:BO36">
    <cfRule type="containsText" dxfId="3" priority="1" operator="containsText" text="AB">
      <formula>NOT(ISERROR(SEARCH("AB",AH17)))</formula>
    </cfRule>
    <cfRule type="containsText" dxfId="2" priority="2" operator="containsText" text="SICK">
      <formula>NOT(ISERROR(SEARCH("SICK",AH17)))</formula>
    </cfRule>
    <cfRule type="containsText" dxfId="1" priority="3" operator="containsText" text="AL">
      <formula>NOT(ISERROR(SEARCH("AL",AH17)))</formula>
    </cfRule>
  </conditionalFormatting>
  <conditionalFormatting sqref="BQ5:BQ10">
    <cfRule type="cellIs" dxfId="0" priority="924" operator="equal">
      <formula>";"</formula>
    </cfRule>
  </conditionalFormatting>
  <pageMargins left="0.7" right="0.7" top="0.75" bottom="0.75" header="0.3" footer="0.3"/>
  <pageSetup paperSize="9" scale="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2026-01-04T06:23:40Z</cp:lastPrinted>
  <dcterms:created xsi:type="dcterms:W3CDTF">2025-11-05T07:56:06Z</dcterms:created>
  <dcterms:modified xsi:type="dcterms:W3CDTF">2026-10-30T08:45:33Z</dcterms:modified>
</cp:coreProperties>
</file>