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pril\"/>
    </mc:Choice>
  </mc:AlternateContent>
  <xr:revisionPtr revIDLastSave="0" documentId="13_ncr:1_{28E9CCBA-8E57-48EE-AD7C-2F7DE6FF1EA1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Print_Area" localSheetId="0">MASTER!$A$1:$CC$34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23" i="1" l="1"/>
  <c r="BQ24" i="1"/>
  <c r="CP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CP26" i="1"/>
  <c r="BR24" i="1"/>
  <c r="BQ7" i="1"/>
  <c r="BQ6" i="1"/>
  <c r="BR6" i="1"/>
  <c r="BS6" i="1"/>
  <c r="BT6" i="1"/>
  <c r="BU6" i="1"/>
  <c r="BV6" i="1"/>
  <c r="BW6" i="1"/>
  <c r="BX6" i="1"/>
  <c r="BY6" i="1"/>
  <c r="BZ6" i="1"/>
  <c r="CA6" i="1"/>
  <c r="CB6" i="1"/>
  <c r="BR7" i="1"/>
  <c r="BS7" i="1"/>
  <c r="BT7" i="1"/>
  <c r="BU7" i="1"/>
  <c r="BV7" i="1"/>
  <c r="BW7" i="1"/>
  <c r="BX7" i="1"/>
  <c r="BY7" i="1"/>
  <c r="BZ7" i="1"/>
  <c r="CA7" i="1"/>
  <c r="CB7" i="1"/>
  <c r="BQ8" i="1"/>
  <c r="BR8" i="1"/>
  <c r="BS8" i="1"/>
  <c r="BT8" i="1"/>
  <c r="BU8" i="1"/>
  <c r="BV8" i="1"/>
  <c r="BW8" i="1"/>
  <c r="BX8" i="1"/>
  <c r="BY8" i="1"/>
  <c r="BZ8" i="1"/>
  <c r="CA8" i="1"/>
  <c r="CB8" i="1"/>
  <c r="BQ9" i="1"/>
  <c r="BR9" i="1"/>
  <c r="BS9" i="1"/>
  <c r="BT9" i="1"/>
  <c r="BU9" i="1"/>
  <c r="BV9" i="1"/>
  <c r="BW9" i="1"/>
  <c r="BX9" i="1"/>
  <c r="BY9" i="1"/>
  <c r="BZ9" i="1"/>
  <c r="CA9" i="1"/>
  <c r="CB9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BR23" i="1"/>
  <c r="BS23" i="1"/>
  <c r="BT23" i="1"/>
  <c r="BU23" i="1"/>
  <c r="BV23" i="1"/>
  <c r="BW23" i="1"/>
  <c r="BX23" i="1"/>
  <c r="BY23" i="1"/>
  <c r="BZ23" i="1"/>
  <c r="CA23" i="1"/>
  <c r="CB23" i="1"/>
  <c r="BS24" i="1"/>
  <c r="BT24" i="1"/>
  <c r="BU24" i="1"/>
  <c r="BV24" i="1"/>
  <c r="BW24" i="1"/>
  <c r="BX24" i="1"/>
  <c r="BY24" i="1"/>
  <c r="BZ24" i="1"/>
  <c r="CA24" i="1"/>
  <c r="CB24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BO21" i="1" l="1"/>
  <c r="BO6" i="1"/>
  <c r="BO19" i="1"/>
  <c r="BO15" i="1"/>
  <c r="BO11" i="1"/>
  <c r="BO24" i="1"/>
  <c r="BO16" i="1"/>
  <c r="BO12" i="1"/>
  <c r="BO22" i="1"/>
  <c r="BO18" i="1"/>
  <c r="BO17" i="1"/>
  <c r="BO14" i="1"/>
  <c r="BO13" i="1"/>
  <c r="BO10" i="1"/>
  <c r="BO9" i="1"/>
  <c r="BO7" i="1"/>
  <c r="BO20" i="1"/>
  <c r="BO23" i="1"/>
  <c r="BO26" i="1"/>
  <c r="BO25" i="1"/>
  <c r="BO50" i="1"/>
  <c r="BO8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CP6" i="1"/>
  <c r="CP5" i="1"/>
  <c r="BQ5" i="1" l="1"/>
  <c r="CB5" i="1" l="1"/>
  <c r="CA5" i="1"/>
  <c r="BZ5" i="1"/>
  <c r="BY5" i="1"/>
  <c r="BX5" i="1"/>
  <c r="BW5" i="1"/>
  <c r="BV5" i="1"/>
  <c r="BU5" i="1"/>
  <c r="BT5" i="1"/>
  <c r="BS5" i="1"/>
  <c r="BR5" i="1"/>
  <c r="BO5" i="1" l="1"/>
  <c r="CP49" i="1" l="1"/>
</calcChain>
</file>

<file path=xl/sharedStrings.xml><?xml version="1.0" encoding="utf-8"?>
<sst xmlns="http://schemas.openxmlformats.org/spreadsheetml/2006/main" count="381" uniqueCount="100">
  <si>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</si>
  <si>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</si>
  <si>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</si>
  <si>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</si>
  <si>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</si>
  <si>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</si>
  <si>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</si>
  <si>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</si>
  <si>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</si>
  <si>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</si>
  <si>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</si>
  <si>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</si>
  <si>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</si>
  <si>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</si>
  <si>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</si>
  <si>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</si>
  <si>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</si>
  <si>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</si>
  <si>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</si>
  <si>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</si>
  <si>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</si>
  <si>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</si>
  <si>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</si>
  <si>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</si>
  <si>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</si>
  <si>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</si>
  <si>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</si>
  <si>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</si>
  <si>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</si>
  <si>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</si>
  <si>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</si>
  <si>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</si>
  <si>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</si>
  <si>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MAD0393</t>
  </si>
  <si>
    <t>Mariyam Hameedha</t>
  </si>
  <si>
    <t>MAD0523</t>
  </si>
  <si>
    <t>Aishath Naeema</t>
  </si>
  <si>
    <t>MAD0449</t>
  </si>
  <si>
    <t>Hassan Sameer</t>
  </si>
  <si>
    <t>MAD0536</t>
  </si>
  <si>
    <t>Nuzuhath Abbas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</si>
  <si>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</si>
  <si>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</si>
  <si>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</si>
  <si>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</si>
  <si>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</si>
  <si>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</si>
  <si>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</si>
  <si>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</si>
  <si>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</si>
  <si>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</si>
  <si>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</si>
  <si>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</si>
  <si>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</si>
  <si>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</si>
  <si>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</si>
  <si>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</si>
  <si>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</si>
  <si>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</si>
  <si>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</si>
  <si>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</si>
  <si>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</si>
  <si>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</si>
  <si>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</si>
  <si>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</si>
  <si>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</si>
  <si>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</si>
  <si>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</si>
  <si>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</si>
  <si>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</si>
  <si>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</si>
  <si>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</si>
  <si>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</si>
  <si>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</si>
  <si>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</si>
  <si>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</si>
  <si>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</si>
  <si>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</si>
  <si>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</si>
  <si>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 xml:space="preserve">Moosa Ahmed </t>
  </si>
  <si>
    <t xml:space="preserve"> </t>
  </si>
  <si>
    <t>Suspended</t>
  </si>
  <si>
    <t>Special Leave</t>
  </si>
  <si>
    <t>HR Executive</t>
  </si>
  <si>
    <t>Office Manager</t>
  </si>
  <si>
    <t>Chairman</t>
  </si>
  <si>
    <t>Family Leave</t>
  </si>
  <si>
    <t>MAD0730</t>
  </si>
  <si>
    <t>Shezaa Ahmed Quraish</t>
  </si>
  <si>
    <t>Pls don’t Remove below data</t>
  </si>
  <si>
    <t>Total</t>
  </si>
  <si>
    <t>MAD0732</t>
  </si>
  <si>
    <t>Fathmath Nuha</t>
  </si>
  <si>
    <t>MAD0753</t>
  </si>
  <si>
    <t>Ziyad Moosa</t>
  </si>
  <si>
    <t>DOJ</t>
  </si>
  <si>
    <t>Attendance  -  APRIL 2026 -Male Local Staffs</t>
  </si>
  <si>
    <t>SICK</t>
  </si>
  <si>
    <t>Attendance  - APRIL 2026 -Male Local Staffs</t>
  </si>
  <si>
    <t xml:space="preserve">Used Leave Totals (Running Year, up to end of this month -APRIL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</si>
</sst>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sz val="10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name val="Arial"/>
      <family val="2"/>
    </font>
    <font>
      <sz val="11"/>
      <name val="Arial"/>
      <family val="2"/>
    </font>
    <font>
      <b/>
      <sz val="9.9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1" fontId="9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49" fontId="11" fillId="8" borderId="0" xfId="0" applyNumberFormat="1" applyFont="1" applyFill="1" applyAlignment="1">
      <alignment vertical="center"/>
    </xf>
    <xf numFmtId="49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8" borderId="0" xfId="0" applyFont="1" applyFill="1"/>
    <xf numFmtId="0" fontId="6" fillId="3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20" fontId="12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1" fontId="18" fillId="6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0" fillId="6" borderId="0" xfId="0" applyFill="1"/>
    <xf numFmtId="0" fontId="10" fillId="6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20" fontId="24" fillId="6" borderId="8" xfId="0" applyNumberFormat="1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20" fontId="25" fillId="9" borderId="8" xfId="0" applyNumberFormat="1" applyFont="1" applyFill="1" applyBorder="1" applyAlignment="1">
      <alignment horizontal="center" vertical="center" wrapText="1"/>
    </xf>
    <xf numFmtId="1" fontId="27" fillId="6" borderId="8" xfId="0" applyNumberFormat="1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20" fontId="26" fillId="6" borderId="8" xfId="0" applyNumberFormat="1" applyFont="1" applyFill="1" applyBorder="1" applyAlignment="1">
      <alignment horizontal="center" vertical="center" wrapText="1"/>
    </xf>
    <xf numFmtId="20" fontId="28" fillId="9" borderId="8" xfId="0" applyNumberFormat="1" applyFont="1" applyFill="1" applyBorder="1" applyAlignment="1">
      <alignment horizontal="center" vertical="center" wrapText="1"/>
    </xf>
    <xf numFmtId="166" fontId="9" fillId="4" borderId="12" xfId="0" applyNumberFormat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29" fillId="0" borderId="9" xfId="0" applyNumberFormat="1" applyFont="1" applyBorder="1" applyAlignment="1">
      <alignment horizontal="center" vertical="center"/>
    </xf>
    <xf numFmtId="166" fontId="29" fillId="0" borderId="4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166" fontId="29" fillId="0" borderId="1" xfId="0" applyNumberFormat="1" applyFont="1" applyBorder="1" applyAlignment="1">
      <alignment horizontal="center" vertical="center"/>
    </xf>
    <xf numFmtId="20" fontId="25" fillId="9" borderId="13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" fontId="21" fillId="0" borderId="8" xfId="0" applyNumberFormat="1" applyFont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20" fontId="24" fillId="0" borderId="8" xfId="0" applyNumberFormat="1" applyFont="1" applyBorder="1" applyAlignment="1">
      <alignment horizontal="center" vertical="center" wrapText="1"/>
    </xf>
    <xf numFmtId="20" fontId="25" fillId="0" borderId="8" xfId="0" applyNumberFormat="1" applyFont="1" applyBorder="1" applyAlignment="1">
      <alignment horizontal="center" vertical="center" wrapText="1"/>
    </xf>
    <xf numFmtId="20" fontId="31" fillId="0" borderId="8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</cellXfs>
  <cellStyles count="1">
    <cellStyle name="Normal" xfId="0" builtinId="0"/>
  </cellStyles>
  <dxfs count="10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6E8B-7E5C-428F-AAF0-8F10E6713D94}" name="Table1" displayName="Table1" ref="CF4:CP26" totalsRowShown="0" headerRowDxfId="99" dataDxfId="97" headerRowBorderDxfId="98" tableBorderDxfId="96" totalsRowBorderDxfId="95">
  <autoFilter ref="CF4:CP26" xr:uid="{A80F6E8B-7E5C-428F-AAF0-8F10E6713D94}"/>
  <tableColumns count="11">
    <tableColumn id="1" xr3:uid="{6586E15F-C2DD-4486-A747-E3871445E7D8}" name="MC" dataDxfId="94"/>
    <tableColumn id="2" xr3:uid="{6119AEBA-2882-4A29-8B65-3CE5F50E5A35}" name="EL" dataDxfId="93"/>
    <tableColumn id="3" xr3:uid="{A4B933EF-91BB-467A-B3E2-F8748BFB0C0C}" name="AL" dataDxfId="92"/>
    <tableColumn id="4" xr3:uid="{7D2607E7-643A-4BE8-8DCF-5C28EB77BB0E}" name="SUS" dataDxfId="91"/>
    <tableColumn id="5" xr3:uid="{E23768CA-A8DD-45F9-ACBE-0E9686100AD3}" name="FL" dataDxfId="90"/>
    <tableColumn id="6" xr3:uid="{D5503395-DEA9-41D3-9732-722A5784A8F4}" name="S" dataDxfId="89"/>
    <tableColumn id="7" xr3:uid="{A9413DCE-6612-4B99-93F6-5211956ECD22}" name="HD" dataDxfId="88"/>
    <tableColumn id="8" xr3:uid="{2FC526AB-6D64-4BCF-B522-816D2118C5C0}" name="AB" dataDxfId="87"/>
    <tableColumn id="9" xr3:uid="{FF68A61F-F40D-49D4-927C-F64709C8B027}" name="NL" dataDxfId="86"/>
    <tableColumn id="10" xr3:uid="{93843698-215B-41CD-BE9E-5B86DD643899}" name="SP" dataDxfId="85"/>
    <tableColumn id="11" xr3:uid="{556FE1F1-725C-4D3F-887C-F87A4339643C}" name="Total" dataDxfId="84">
      <calculatedColumnFormula>SUM(CF5:CO5)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1:CR50"/>
  <sheetViews>
    <sheetView tabSelected="1" zoomScaleNormal="100" workbookViewId="0">
      <pane xSplit="3" ySplit="4" topLeftCell="BU14" activePane="bottomRight" state="frozen"/>
      <selection pane="topRight" activeCell="D1" sqref="D1"/>
      <selection pane="bottomLeft" activeCell="A5" sqref="A5"/>
      <selection pane="bottomRight" activeCell="CK21" sqref="CK21"/>
    </sheetView>
  </sheetViews>
  <sheetFormatPr defaultRowHeight="15.75" x14ac:dyDescent="0.25"/>
  <cols>
    <col min="1" max="1" width="5.5703125" customWidth="1"/>
    <col min="2" max="2" width="13.85546875" customWidth="1"/>
    <col min="3" max="3" width="24.7109375" customWidth="1"/>
    <col min="4" max="4" width="15.28515625" style="80" customWidth="1"/>
    <col min="5" max="34" width="7.42578125" customWidth="1"/>
    <col min="35" max="35" width="4.28515625" customWidth="1"/>
    <col min="36" max="36" width="5.5703125" customWidth="1"/>
    <col min="37" max="66" width="6.85546875" customWidth="1"/>
    <col min="67" max="68" width="5.140625" customWidth="1"/>
    <col min="69" max="75" width="5.28515625" customWidth="1"/>
    <col min="76" max="76" width="6.85546875" customWidth="1"/>
    <col min="77" max="80" width="5.28515625" customWidth="1"/>
    <col min="81" max="81" width="31.28515625" customWidth="1"/>
    <col min="84" max="93" width="7.5703125" style="13" customWidth="1"/>
    <col min="94" max="94" width="7.5703125" style="20" customWidth="1"/>
  </cols>
  <sheetData>
    <row r="1" spans="1:94" ht="30.75" customHeight="1" thickBot="1" x14ac:dyDescent="0.3">
      <c r="A1" s="115" t="s">
        <v>96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6"/>
      <c r="AI1" s="87"/>
      <c r="AJ1" s="117" t="s">
        <v>98</v>
      </c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</row>
    <row r="2" spans="1:94" ht="21.75" customHeight="1" thickBot="1" x14ac:dyDescent="0.3">
      <c r="A2" s="95" t="s">
        <v>0</v>
      </c>
      <c r="B2" s="96"/>
      <c r="C2" s="96"/>
      <c r="D2" s="97"/>
      <c r="E2" s="104" t="s">
        <v>1</v>
      </c>
      <c r="F2" s="105"/>
      <c r="G2" s="104" t="s">
        <v>2</v>
      </c>
      <c r="H2" s="105"/>
      <c r="I2" s="104" t="s">
        <v>3</v>
      </c>
      <c r="J2" s="105"/>
      <c r="K2" s="104" t="s">
        <v>4</v>
      </c>
      <c r="L2" s="105"/>
      <c r="M2" s="104" t="s">
        <v>5</v>
      </c>
      <c r="N2" s="105"/>
      <c r="O2" s="104" t="s">
        <v>6</v>
      </c>
      <c r="P2" s="105"/>
      <c r="Q2" s="104" t="s">
        <v>7</v>
      </c>
      <c r="R2" s="105"/>
      <c r="S2" s="104" t="s">
        <v>1</v>
      </c>
      <c r="T2" s="105"/>
      <c r="U2" s="104" t="s">
        <v>2</v>
      </c>
      <c r="V2" s="105"/>
      <c r="W2" s="104" t="s">
        <v>3</v>
      </c>
      <c r="X2" s="105"/>
      <c r="Y2" s="104" t="s">
        <v>4</v>
      </c>
      <c r="Z2" s="105"/>
      <c r="AA2" s="104" t="s">
        <v>5</v>
      </c>
      <c r="AB2" s="105"/>
      <c r="AC2" s="104" t="s">
        <v>6</v>
      </c>
      <c r="AD2" s="105"/>
      <c r="AE2" s="104" t="s">
        <v>7</v>
      </c>
      <c r="AF2" s="105"/>
      <c r="AG2" s="104" t="s">
        <v>1</v>
      </c>
      <c r="AH2" s="105"/>
      <c r="AI2" s="87"/>
      <c r="AJ2" s="118" t="s">
        <v>8</v>
      </c>
      <c r="AK2" s="104" t="s">
        <v>2</v>
      </c>
      <c r="AL2" s="105"/>
      <c r="AM2" s="104" t="s">
        <v>3</v>
      </c>
      <c r="AN2" s="105"/>
      <c r="AO2" s="104" t="s">
        <v>4</v>
      </c>
      <c r="AP2" s="105"/>
      <c r="AQ2" s="104" t="s">
        <v>5</v>
      </c>
      <c r="AR2" s="105"/>
      <c r="AS2" s="104" t="s">
        <v>6</v>
      </c>
      <c r="AT2" s="105"/>
      <c r="AU2" s="104" t="s">
        <v>7</v>
      </c>
      <c r="AV2" s="105"/>
      <c r="AW2" s="104" t="s">
        <v>1</v>
      </c>
      <c r="AX2" s="105"/>
      <c r="AY2" s="104" t="s">
        <v>2</v>
      </c>
      <c r="AZ2" s="105"/>
      <c r="BA2" s="104" t="s">
        <v>3</v>
      </c>
      <c r="BB2" s="105"/>
      <c r="BC2" s="104" t="s">
        <v>4</v>
      </c>
      <c r="BD2" s="105"/>
      <c r="BE2" s="104" t="s">
        <v>5</v>
      </c>
      <c r="BF2" s="105"/>
      <c r="BG2" s="104" t="s">
        <v>6</v>
      </c>
      <c r="BH2" s="105"/>
      <c r="BI2" s="104" t="s">
        <v>7</v>
      </c>
      <c r="BJ2" s="105"/>
      <c r="BK2" s="104" t="s">
        <v>1</v>
      </c>
      <c r="BL2" s="105"/>
      <c r="BM2" s="104" t="s">
        <v>2</v>
      </c>
      <c r="BN2" s="105"/>
      <c r="BO2" s="111" t="s">
        <v>53</v>
      </c>
      <c r="BP2" s="106" t="s">
        <v>54</v>
      </c>
      <c r="BQ2" s="108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10"/>
      <c r="CF2" s="101" t="s">
        <v>89</v>
      </c>
      <c r="CG2" s="101"/>
      <c r="CH2" s="101"/>
      <c r="CI2" s="101"/>
      <c r="CJ2" s="101"/>
      <c r="CK2" s="101"/>
      <c r="CL2" s="101"/>
      <c r="CM2" s="101"/>
      <c r="CN2" s="101"/>
      <c r="CO2" s="101"/>
    </row>
    <row r="3" spans="1:94" ht="21.75" customHeight="1" x14ac:dyDescent="0.25">
      <c r="A3" s="98"/>
      <c r="B3" s="99"/>
      <c r="C3" s="99"/>
      <c r="D3" s="100"/>
      <c r="E3" s="113">
        <v>46113</v>
      </c>
      <c r="F3" s="114"/>
      <c r="G3" s="113">
        <v>46114</v>
      </c>
      <c r="H3" s="114"/>
      <c r="I3" s="113">
        <v>46115</v>
      </c>
      <c r="J3" s="114"/>
      <c r="K3" s="113">
        <v>46116</v>
      </c>
      <c r="L3" s="114"/>
      <c r="M3" s="113">
        <v>46117</v>
      </c>
      <c r="N3" s="114"/>
      <c r="O3" s="113">
        <v>46118</v>
      </c>
      <c r="P3" s="114"/>
      <c r="Q3" s="113">
        <v>46119</v>
      </c>
      <c r="R3" s="114"/>
      <c r="S3" s="113">
        <v>46120</v>
      </c>
      <c r="T3" s="114"/>
      <c r="U3" s="113">
        <v>46121</v>
      </c>
      <c r="V3" s="114"/>
      <c r="W3" s="113">
        <v>46122</v>
      </c>
      <c r="X3" s="114"/>
      <c r="Y3" s="113">
        <v>46123</v>
      </c>
      <c r="Z3" s="114"/>
      <c r="AA3" s="113">
        <v>46124</v>
      </c>
      <c r="AB3" s="114"/>
      <c r="AC3" s="113">
        <v>46125</v>
      </c>
      <c r="AD3" s="114"/>
      <c r="AE3" s="113">
        <v>46126</v>
      </c>
      <c r="AF3" s="114"/>
      <c r="AG3" s="113">
        <v>46127</v>
      </c>
      <c r="AH3" s="114"/>
      <c r="AI3" s="87"/>
      <c r="AJ3" s="119"/>
      <c r="AK3" s="102">
        <v>46128</v>
      </c>
      <c r="AL3" s="103"/>
      <c r="AM3" s="102">
        <v>46129</v>
      </c>
      <c r="AN3" s="103"/>
      <c r="AO3" s="102">
        <v>46130</v>
      </c>
      <c r="AP3" s="103"/>
      <c r="AQ3" s="102">
        <v>46131</v>
      </c>
      <c r="AR3" s="103"/>
      <c r="AS3" s="102">
        <v>46132</v>
      </c>
      <c r="AT3" s="103"/>
      <c r="AU3" s="102">
        <v>46133</v>
      </c>
      <c r="AV3" s="103"/>
      <c r="AW3" s="102">
        <v>46134</v>
      </c>
      <c r="AX3" s="103"/>
      <c r="AY3" s="102">
        <v>46135</v>
      </c>
      <c r="AZ3" s="103"/>
      <c r="BA3" s="102">
        <v>46136</v>
      </c>
      <c r="BB3" s="103"/>
      <c r="BC3" s="102">
        <v>46137</v>
      </c>
      <c r="BD3" s="103"/>
      <c r="BE3" s="102">
        <v>46138</v>
      </c>
      <c r="BF3" s="103"/>
      <c r="BG3" s="102">
        <v>46139</v>
      </c>
      <c r="BH3" s="103"/>
      <c r="BI3" s="102">
        <v>46140</v>
      </c>
      <c r="BJ3" s="103"/>
      <c r="BK3" s="102">
        <v>46141</v>
      </c>
      <c r="BL3" s="103"/>
      <c r="BM3" s="102">
        <v>46142</v>
      </c>
      <c r="BN3" s="103"/>
      <c r="BO3" s="112"/>
      <c r="BP3" s="107"/>
      <c r="BQ3" s="4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5"/>
      <c r="CF3" s="94" t="s">
        <v>99</v>
      </c>
      <c r="CG3" s="94"/>
      <c r="CH3" s="94"/>
      <c r="CI3" s="94"/>
      <c r="CJ3" s="94"/>
      <c r="CK3" s="94"/>
      <c r="CL3" s="94"/>
      <c r="CM3" s="94"/>
      <c r="CN3" s="94"/>
      <c r="CO3" s="94"/>
      <c r="CP3" s="94"/>
    </row>
    <row r="4" spans="1:94" ht="25.5" customHeight="1" x14ac:dyDescent="0.25">
      <c r="A4" s="6" t="s">
        <v>8</v>
      </c>
      <c r="B4" s="6" t="s">
        <v>9</v>
      </c>
      <c r="C4" s="32" t="s">
        <v>10</v>
      </c>
      <c r="D4" s="77" t="s">
        <v>95</v>
      </c>
      <c r="E4" s="1" t="s">
        <v>11</v>
      </c>
      <c r="F4" s="2" t="s">
        <v>12</v>
      </c>
      <c r="G4" s="1" t="s">
        <v>11</v>
      </c>
      <c r="H4" s="2" t="s">
        <v>12</v>
      </c>
      <c r="I4" s="1" t="s">
        <v>11</v>
      </c>
      <c r="J4" s="2" t="s">
        <v>12</v>
      </c>
      <c r="K4" s="1" t="s">
        <v>11</v>
      </c>
      <c r="L4" s="2" t="s">
        <v>12</v>
      </c>
      <c r="M4" s="1" t="s">
        <v>11</v>
      </c>
      <c r="N4" s="2" t="s">
        <v>12</v>
      </c>
      <c r="O4" s="1" t="s">
        <v>11</v>
      </c>
      <c r="P4" s="2" t="s">
        <v>12</v>
      </c>
      <c r="Q4" s="1" t="s">
        <v>11</v>
      </c>
      <c r="R4" s="2" t="s">
        <v>12</v>
      </c>
      <c r="S4" s="1" t="s">
        <v>11</v>
      </c>
      <c r="T4" s="2" t="s">
        <v>12</v>
      </c>
      <c r="U4" s="1" t="s">
        <v>11</v>
      </c>
      <c r="V4" s="2" t="s">
        <v>12</v>
      </c>
      <c r="W4" s="1" t="s">
        <v>11</v>
      </c>
      <c r="X4" s="2" t="s">
        <v>12</v>
      </c>
      <c r="Y4" s="1" t="s">
        <v>11</v>
      </c>
      <c r="Z4" s="2" t="s">
        <v>12</v>
      </c>
      <c r="AA4" s="1" t="s">
        <v>11</v>
      </c>
      <c r="AB4" s="2" t="s">
        <v>12</v>
      </c>
      <c r="AC4" s="1" t="s">
        <v>11</v>
      </c>
      <c r="AD4" s="2" t="s">
        <v>12</v>
      </c>
      <c r="AE4" s="8" t="s">
        <v>11</v>
      </c>
      <c r="AF4" s="9" t="s">
        <v>12</v>
      </c>
      <c r="AG4" s="8" t="s">
        <v>11</v>
      </c>
      <c r="AH4" s="31" t="s">
        <v>12</v>
      </c>
      <c r="AI4" s="87"/>
      <c r="AJ4" s="119"/>
      <c r="AK4" s="8" t="s">
        <v>11</v>
      </c>
      <c r="AL4" s="9" t="s">
        <v>12</v>
      </c>
      <c r="AM4" s="8" t="s">
        <v>11</v>
      </c>
      <c r="AN4" s="9" t="s">
        <v>12</v>
      </c>
      <c r="AO4" s="8" t="s">
        <v>11</v>
      </c>
      <c r="AP4" s="9" t="s">
        <v>12</v>
      </c>
      <c r="AQ4" s="8" t="s">
        <v>11</v>
      </c>
      <c r="AR4" s="9" t="s">
        <v>12</v>
      </c>
      <c r="AS4" s="8" t="s">
        <v>11</v>
      </c>
      <c r="AT4" s="9" t="s">
        <v>12</v>
      </c>
      <c r="AU4" s="8" t="s">
        <v>11</v>
      </c>
      <c r="AV4" s="9" t="s">
        <v>12</v>
      </c>
      <c r="AW4" s="8" t="s">
        <v>11</v>
      </c>
      <c r="AX4" s="9" t="s">
        <v>12</v>
      </c>
      <c r="AY4" s="8" t="s">
        <v>11</v>
      </c>
      <c r="AZ4" s="9" t="s">
        <v>12</v>
      </c>
      <c r="BA4" s="8" t="s">
        <v>11</v>
      </c>
      <c r="BB4" s="9" t="s">
        <v>12</v>
      </c>
      <c r="BC4" s="8" t="s">
        <v>11</v>
      </c>
      <c r="BD4" s="9" t="s">
        <v>12</v>
      </c>
      <c r="BE4" s="8" t="s">
        <v>11</v>
      </c>
      <c r="BF4" s="9" t="s">
        <v>12</v>
      </c>
      <c r="BG4" s="8" t="s">
        <v>11</v>
      </c>
      <c r="BH4" s="9" t="s">
        <v>12</v>
      </c>
      <c r="BI4" s="8" t="s">
        <v>11</v>
      </c>
      <c r="BJ4" s="9" t="s">
        <v>12</v>
      </c>
      <c r="BK4" s="8" t="s">
        <v>11</v>
      </c>
      <c r="BL4" s="9" t="s">
        <v>12</v>
      </c>
      <c r="BM4" s="8" t="s">
        <v>11</v>
      </c>
      <c r="BN4" s="9" t="s">
        <v>12</v>
      </c>
      <c r="BO4" s="112"/>
      <c r="BP4" s="107"/>
      <c r="BQ4" s="10"/>
      <c r="BR4" s="89" t="s">
        <v>55</v>
      </c>
      <c r="BS4" s="91" t="s">
        <v>56</v>
      </c>
      <c r="BT4" s="88" t="s">
        <v>57</v>
      </c>
      <c r="BU4" s="91" t="s">
        <v>58</v>
      </c>
      <c r="BV4" s="88" t="s">
        <v>59</v>
      </c>
      <c r="BW4" s="91" t="s">
        <v>60</v>
      </c>
      <c r="BX4" s="93" t="s">
        <v>97</v>
      </c>
      <c r="BY4" s="11" t="s">
        <v>62</v>
      </c>
      <c r="BZ4" s="88" t="s">
        <v>63</v>
      </c>
      <c r="CA4" s="88" t="s">
        <v>64</v>
      </c>
      <c r="CB4" s="88" t="s">
        <v>65</v>
      </c>
      <c r="CC4" s="12" t="s">
        <v>66</v>
      </c>
      <c r="CF4" s="46" t="s">
        <v>56</v>
      </c>
      <c r="CG4" s="47" t="s">
        <v>57</v>
      </c>
      <c r="CH4" s="47" t="s">
        <v>58</v>
      </c>
      <c r="CI4" s="47" t="s">
        <v>59</v>
      </c>
      <c r="CJ4" s="47" t="s">
        <v>60</v>
      </c>
      <c r="CK4" s="47" t="s">
        <v>61</v>
      </c>
      <c r="CL4" s="47" t="s">
        <v>62</v>
      </c>
      <c r="CM4" s="47" t="s">
        <v>63</v>
      </c>
      <c r="CN4" s="47" t="s">
        <v>64</v>
      </c>
      <c r="CO4" s="47" t="s">
        <v>65</v>
      </c>
      <c r="CP4" s="48" t="s">
        <v>90</v>
      </c>
    </row>
    <row r="5" spans="1:94" ht="24" customHeight="1" x14ac:dyDescent="0.25">
      <c r="A5" s="33">
        <v>1</v>
      </c>
      <c r="B5" s="34" t="s">
        <v>13</v>
      </c>
      <c r="C5" s="35" t="s">
        <v>14</v>
      </c>
      <c r="D5" s="78"/>
      <c r="E5" s="88">
        <v>1</v>
      </c>
      <c r="F5" s="88">
        <v>1</v>
      </c>
      <c r="G5" s="88">
        <v>1</v>
      </c>
      <c r="H5" s="88">
        <v>1</v>
      </c>
      <c r="I5" s="89" t="s">
        <v>55</v>
      </c>
      <c r="J5" s="89" t="s">
        <v>55</v>
      </c>
      <c r="K5" s="88">
        <v>1</v>
      </c>
      <c r="L5" s="88">
        <v>1</v>
      </c>
      <c r="M5" s="88">
        <v>1</v>
      </c>
      <c r="N5" s="88">
        <v>1</v>
      </c>
      <c r="O5" s="90">
        <v>1</v>
      </c>
      <c r="P5" s="88">
        <v>1</v>
      </c>
      <c r="Q5" s="88">
        <v>1</v>
      </c>
      <c r="R5" s="88">
        <v>1</v>
      </c>
      <c r="S5" s="88">
        <v>1</v>
      </c>
      <c r="T5" s="88">
        <v>1</v>
      </c>
      <c r="U5" s="88">
        <v>1</v>
      </c>
      <c r="V5" s="88">
        <v>1</v>
      </c>
      <c r="W5" s="89" t="s">
        <v>55</v>
      </c>
      <c r="X5" s="89" t="s">
        <v>55</v>
      </c>
      <c r="Y5" s="88">
        <v>1</v>
      </c>
      <c r="Z5" s="88">
        <v>1</v>
      </c>
      <c r="AA5" s="88">
        <v>1</v>
      </c>
      <c r="AB5" s="88">
        <v>1</v>
      </c>
      <c r="AC5" s="88">
        <v>1</v>
      </c>
      <c r="AD5" s="88">
        <v>1</v>
      </c>
      <c r="AE5" s="88">
        <v>1</v>
      </c>
      <c r="AF5" s="88">
        <v>1</v>
      </c>
      <c r="AG5" s="88">
        <v>1</v>
      </c>
      <c r="AH5" s="88">
        <v>1</v>
      </c>
      <c r="AI5" s="87"/>
      <c r="AJ5" s="33">
        <v>1</v>
      </c>
      <c r="AK5" s="88">
        <v>1</v>
      </c>
      <c r="AL5" s="88">
        <v>1</v>
      </c>
      <c r="AM5" s="89" t="s">
        <v>55</v>
      </c>
      <c r="AN5" s="89" t="s">
        <v>55</v>
      </c>
      <c r="AO5" s="88">
        <v>1</v>
      </c>
      <c r="AP5" s="88">
        <v>1</v>
      </c>
      <c r="AQ5" s="88">
        <v>1</v>
      </c>
      <c r="AR5" s="88">
        <v>1</v>
      </c>
      <c r="AS5" s="88">
        <v>1</v>
      </c>
      <c r="AT5" s="88">
        <v>1</v>
      </c>
      <c r="AU5" s="88">
        <v>1</v>
      </c>
      <c r="AV5" s="88">
        <v>1</v>
      </c>
      <c r="AW5" s="88">
        <v>1</v>
      </c>
      <c r="AX5" s="88">
        <v>1</v>
      </c>
      <c r="AY5" s="88">
        <v>1</v>
      </c>
      <c r="AZ5" s="88">
        <v>1</v>
      </c>
      <c r="BA5" s="89" t="s">
        <v>55</v>
      </c>
      <c r="BB5" s="89" t="s">
        <v>55</v>
      </c>
      <c r="BC5" s="88">
        <v>1</v>
      </c>
      <c r="BD5" s="88">
        <v>1</v>
      </c>
      <c r="BE5" s="88">
        <v>1</v>
      </c>
      <c r="BF5" s="88">
        <v>1</v>
      </c>
      <c r="BG5" s="88">
        <v>1</v>
      </c>
      <c r="BH5" s="88">
        <v>1</v>
      </c>
      <c r="BI5" s="88">
        <v>1</v>
      </c>
      <c r="BJ5" s="88">
        <v>1</v>
      </c>
      <c r="BK5" s="88">
        <v>1</v>
      </c>
      <c r="BL5" s="88">
        <v>1</v>
      </c>
      <c r="BM5" s="88">
        <v>1</v>
      </c>
      <c r="BN5" s="88">
        <v>1</v>
      </c>
      <c r="BO5" s="7">
        <f>BQ5+BR5+BS5+BX5+BV5+CA5+BU5</f>
        <v>30</v>
      </c>
      <c r="BP5" s="64">
        <v>0</v>
      </c>
      <c r="BQ5" s="38">
        <f t="shared" ref="BQ5:BQ26" si="0">COUNT(E5:AH5)/2+COUNT(AK5:BN5)/2</f>
        <v>26</v>
      </c>
      <c r="BR5" s="39">
        <f t="shared" ref="BR5:BR26" si="1">COUNTIF(E5:BN5,"OFF")/2</f>
        <v>4</v>
      </c>
      <c r="BS5" s="39">
        <f t="shared" ref="BS5:BS26" si="2">COUNTIF(E5:BN5,"MC")/2</f>
        <v>0</v>
      </c>
      <c r="BT5" s="39">
        <f t="shared" ref="BT5:BT26" si="3">COUNTIF(E5:BN5,"EL")/2</f>
        <v>0</v>
      </c>
      <c r="BU5" s="39">
        <f t="shared" ref="BU5:BU26" si="4">COUNTIF(E5:BN5,"AL")/2</f>
        <v>0</v>
      </c>
      <c r="BV5" s="39">
        <f t="shared" ref="BV5:BV26" si="5">COUNTIF(E5:BN5,"SUS")/2</f>
        <v>0</v>
      </c>
      <c r="BW5" s="39">
        <f t="shared" ref="BW5:BW26" si="6">COUNTIF(E5:BN5,"FL")/2</f>
        <v>0</v>
      </c>
      <c r="BX5" s="39">
        <f t="shared" ref="BX5:BX26" si="7">COUNTIF(E5:BN5,"SICK")/2</f>
        <v>0</v>
      </c>
      <c r="BY5" s="39">
        <f t="shared" ref="BY5:BY26" si="8">COUNTIF(E5:BN5,"HD")/2</f>
        <v>0</v>
      </c>
      <c r="BZ5" s="39">
        <f t="shared" ref="BZ5:BZ26" si="9">COUNTIF(E5:BN5,"AB")/2</f>
        <v>0</v>
      </c>
      <c r="CA5" s="39">
        <f t="shared" ref="CA5:CA26" si="10">COUNTIF(E5:BN5,"NL")/2</f>
        <v>0</v>
      </c>
      <c r="CB5" s="39">
        <f t="shared" ref="CB5:CB26" si="11">COUNTIF(E5:BN5,"SP")/2</f>
        <v>0</v>
      </c>
      <c r="CC5" s="40"/>
      <c r="CF5" s="37">
        <v>0</v>
      </c>
      <c r="CG5" s="33">
        <v>0</v>
      </c>
      <c r="CH5" s="33">
        <v>0</v>
      </c>
      <c r="CI5" s="33">
        <v>0</v>
      </c>
      <c r="CJ5" s="33">
        <v>0</v>
      </c>
      <c r="CK5" s="33">
        <v>0</v>
      </c>
      <c r="CL5" s="33">
        <v>0</v>
      </c>
      <c r="CM5" s="33">
        <v>0</v>
      </c>
      <c r="CN5" s="33">
        <v>0</v>
      </c>
      <c r="CO5" s="33">
        <v>0</v>
      </c>
      <c r="CP5" s="45">
        <f t="shared" ref="CP5:CP24" si="12">SUM(CF5:CO5)</f>
        <v>0</v>
      </c>
    </row>
    <row r="6" spans="1:94" ht="24" customHeight="1" x14ac:dyDescent="0.25">
      <c r="A6" s="33">
        <v>2</v>
      </c>
      <c r="B6" s="34" t="s">
        <v>15</v>
      </c>
      <c r="C6" s="35" t="s">
        <v>16</v>
      </c>
      <c r="D6" s="79"/>
      <c r="E6" s="88">
        <v>1</v>
      </c>
      <c r="F6" s="88">
        <v>1</v>
      </c>
      <c r="G6" s="88">
        <v>1</v>
      </c>
      <c r="H6" s="88">
        <v>1</v>
      </c>
      <c r="I6" s="89" t="s">
        <v>55</v>
      </c>
      <c r="J6" s="89" t="s">
        <v>55</v>
      </c>
      <c r="K6" s="88">
        <v>1</v>
      </c>
      <c r="L6" s="88">
        <v>1</v>
      </c>
      <c r="M6" s="88">
        <v>1</v>
      </c>
      <c r="N6" s="88">
        <v>1</v>
      </c>
      <c r="O6" s="90">
        <v>1</v>
      </c>
      <c r="P6" s="88">
        <v>1</v>
      </c>
      <c r="Q6" s="88">
        <v>1</v>
      </c>
      <c r="R6" s="88">
        <v>1</v>
      </c>
      <c r="S6" s="88">
        <v>1</v>
      </c>
      <c r="T6" s="88">
        <v>1</v>
      </c>
      <c r="U6" s="88">
        <v>1</v>
      </c>
      <c r="V6" s="88">
        <v>1</v>
      </c>
      <c r="W6" s="89" t="s">
        <v>55</v>
      </c>
      <c r="X6" s="89" t="s">
        <v>55</v>
      </c>
      <c r="Y6" s="88">
        <v>1</v>
      </c>
      <c r="Z6" s="88">
        <v>1</v>
      </c>
      <c r="AA6" s="88">
        <v>1</v>
      </c>
      <c r="AB6" s="88">
        <v>1</v>
      </c>
      <c r="AC6" s="88">
        <v>1</v>
      </c>
      <c r="AD6" s="88">
        <v>1</v>
      </c>
      <c r="AE6" s="88">
        <v>1</v>
      </c>
      <c r="AF6" s="88">
        <v>1</v>
      </c>
      <c r="AG6" s="88">
        <v>1</v>
      </c>
      <c r="AH6" s="88">
        <v>1</v>
      </c>
      <c r="AI6" s="87"/>
      <c r="AJ6" s="33">
        <v>2</v>
      </c>
      <c r="AK6" s="88">
        <v>1</v>
      </c>
      <c r="AL6" s="88">
        <v>1</v>
      </c>
      <c r="AM6" s="89" t="s">
        <v>55</v>
      </c>
      <c r="AN6" s="89" t="s">
        <v>55</v>
      </c>
      <c r="AO6" s="88">
        <v>1</v>
      </c>
      <c r="AP6" s="88">
        <v>1</v>
      </c>
      <c r="AQ6" s="88">
        <v>1</v>
      </c>
      <c r="AR6" s="88">
        <v>1</v>
      </c>
      <c r="AS6" s="88">
        <v>1</v>
      </c>
      <c r="AT6" s="88">
        <v>1</v>
      </c>
      <c r="AU6" s="88">
        <v>1</v>
      </c>
      <c r="AV6" s="88">
        <v>1</v>
      </c>
      <c r="AW6" s="88">
        <v>1</v>
      </c>
      <c r="AX6" s="88">
        <v>1</v>
      </c>
      <c r="AY6" s="88">
        <v>1</v>
      </c>
      <c r="AZ6" s="88">
        <v>1</v>
      </c>
      <c r="BA6" s="89" t="s">
        <v>55</v>
      </c>
      <c r="BB6" s="89" t="s">
        <v>55</v>
      </c>
      <c r="BC6" s="88">
        <v>1</v>
      </c>
      <c r="BD6" s="88">
        <v>1</v>
      </c>
      <c r="BE6" s="88">
        <v>1</v>
      </c>
      <c r="BF6" s="88">
        <v>1</v>
      </c>
      <c r="BG6" s="88">
        <v>1</v>
      </c>
      <c r="BH6" s="88">
        <v>1</v>
      </c>
      <c r="BI6" s="88">
        <v>1</v>
      </c>
      <c r="BJ6" s="88">
        <v>1</v>
      </c>
      <c r="BK6" s="88">
        <v>1</v>
      </c>
      <c r="BL6" s="88">
        <v>1</v>
      </c>
      <c r="BM6" s="88">
        <v>1</v>
      </c>
      <c r="BN6" s="88">
        <v>1</v>
      </c>
      <c r="BO6" s="7">
        <f t="shared" ref="BO6:BO7" si="13">BQ6+BR6+BS6+BX6+BV6+CA6+BU6</f>
        <v>30</v>
      </c>
      <c r="BP6" s="64">
        <v>0</v>
      </c>
      <c r="BQ6" s="38">
        <f t="shared" si="0"/>
        <v>26</v>
      </c>
      <c r="BR6" s="39">
        <f t="shared" si="1"/>
        <v>4</v>
      </c>
      <c r="BS6" s="39">
        <f t="shared" si="2"/>
        <v>0</v>
      </c>
      <c r="BT6" s="39">
        <f t="shared" si="3"/>
        <v>0</v>
      </c>
      <c r="BU6" s="39">
        <f t="shared" si="4"/>
        <v>0</v>
      </c>
      <c r="BV6" s="39">
        <f t="shared" si="5"/>
        <v>0</v>
      </c>
      <c r="BW6" s="39">
        <f t="shared" si="6"/>
        <v>0</v>
      </c>
      <c r="BX6" s="39">
        <f t="shared" si="7"/>
        <v>0</v>
      </c>
      <c r="BY6" s="39">
        <f t="shared" si="8"/>
        <v>0</v>
      </c>
      <c r="BZ6" s="39">
        <f t="shared" si="9"/>
        <v>0</v>
      </c>
      <c r="CA6" s="39">
        <f t="shared" si="10"/>
        <v>0</v>
      </c>
      <c r="CB6" s="39">
        <f t="shared" si="11"/>
        <v>0</v>
      </c>
      <c r="CC6" s="40"/>
      <c r="CF6" s="37">
        <v>0</v>
      </c>
      <c r="CG6" s="33">
        <v>0</v>
      </c>
      <c r="CH6" s="33">
        <v>0</v>
      </c>
      <c r="CI6" s="33">
        <v>0</v>
      </c>
      <c r="CJ6" s="33">
        <v>0</v>
      </c>
      <c r="CK6" s="33">
        <v>0</v>
      </c>
      <c r="CL6" s="33">
        <v>0</v>
      </c>
      <c r="CM6" s="33">
        <v>0</v>
      </c>
      <c r="CN6" s="33">
        <v>0</v>
      </c>
      <c r="CO6" s="33">
        <v>0</v>
      </c>
      <c r="CP6" s="45">
        <f t="shared" si="12"/>
        <v>0</v>
      </c>
    </row>
    <row r="7" spans="1:94" ht="24" customHeight="1" x14ac:dyDescent="0.25">
      <c r="A7" s="33">
        <v>3</v>
      </c>
      <c r="B7" s="39" t="s">
        <v>17</v>
      </c>
      <c r="C7" s="35" t="s">
        <v>18</v>
      </c>
      <c r="D7" s="82">
        <v>35548</v>
      </c>
      <c r="E7" s="91">
        <v>0.32847222222222222</v>
      </c>
      <c r="F7" s="88">
        <v>1</v>
      </c>
      <c r="G7" s="91">
        <v>0.3298611111111111</v>
      </c>
      <c r="H7" s="88">
        <v>1</v>
      </c>
      <c r="I7" s="92">
        <v>0.55625000000000002</v>
      </c>
      <c r="J7" s="89">
        <v>1</v>
      </c>
      <c r="K7" s="91">
        <v>0.31875000000000003</v>
      </c>
      <c r="L7" s="88">
        <v>1</v>
      </c>
      <c r="M7" s="91">
        <v>0.32916666666666666</v>
      </c>
      <c r="N7" s="91">
        <v>0.55208333333333337</v>
      </c>
      <c r="O7" s="91">
        <v>0.32777777777777778</v>
      </c>
      <c r="P7" s="88">
        <v>1</v>
      </c>
      <c r="Q7" s="91">
        <v>0.32916666666666666</v>
      </c>
      <c r="R7" s="88">
        <v>1</v>
      </c>
      <c r="S7" s="91">
        <v>0.32361111111111113</v>
      </c>
      <c r="T7" s="88">
        <v>1</v>
      </c>
      <c r="U7" s="91">
        <v>0.32847222222222222</v>
      </c>
      <c r="V7" s="91">
        <v>8.3333333333333332E-3</v>
      </c>
      <c r="W7" s="89">
        <v>1</v>
      </c>
      <c r="X7" s="89">
        <v>1</v>
      </c>
      <c r="Y7" s="91">
        <v>0.32777777777777778</v>
      </c>
      <c r="Z7" s="88">
        <v>1</v>
      </c>
      <c r="AA7" s="91">
        <v>0.31944444444444448</v>
      </c>
      <c r="AB7" s="88">
        <v>1</v>
      </c>
      <c r="AC7" s="91">
        <v>0.32916666666666666</v>
      </c>
      <c r="AD7" s="88">
        <v>1</v>
      </c>
      <c r="AE7" s="91">
        <v>0.3263888888888889</v>
      </c>
      <c r="AF7" s="88">
        <v>1</v>
      </c>
      <c r="AG7" s="91">
        <v>0.3263888888888889</v>
      </c>
      <c r="AH7" s="88">
        <v>1</v>
      </c>
      <c r="AI7" s="87"/>
      <c r="AJ7" s="33">
        <v>3</v>
      </c>
      <c r="AK7" s="91">
        <v>0.33402777777777781</v>
      </c>
      <c r="AL7" s="91">
        <v>0.72569444444444453</v>
      </c>
      <c r="AM7" s="92">
        <v>0.55763888888888891</v>
      </c>
      <c r="AN7" s="89">
        <v>1</v>
      </c>
      <c r="AO7" s="91">
        <v>0.32916666666666666</v>
      </c>
      <c r="AP7" s="88">
        <v>1</v>
      </c>
      <c r="AQ7" s="91">
        <v>0.32708333333333334</v>
      </c>
      <c r="AR7" s="88">
        <v>1</v>
      </c>
      <c r="AS7" s="91">
        <v>0.3263888888888889</v>
      </c>
      <c r="AT7" s="91">
        <v>0.3263888888888889</v>
      </c>
      <c r="AU7" s="91">
        <v>0.33055555555555555</v>
      </c>
      <c r="AV7" s="88">
        <v>1</v>
      </c>
      <c r="AW7" s="91">
        <v>0.32708333333333334</v>
      </c>
      <c r="AX7" s="88">
        <v>1</v>
      </c>
      <c r="AY7" s="91">
        <v>0.32847222222222222</v>
      </c>
      <c r="AZ7" s="91">
        <v>0.70833333333333337</v>
      </c>
      <c r="BA7" s="92">
        <v>0.55694444444444446</v>
      </c>
      <c r="BB7" s="89">
        <v>1</v>
      </c>
      <c r="BC7" s="91">
        <v>0.71111111111111114</v>
      </c>
      <c r="BD7" s="88">
        <v>1</v>
      </c>
      <c r="BE7" s="91">
        <v>0.33055555555555555</v>
      </c>
      <c r="BF7" s="88">
        <v>1</v>
      </c>
      <c r="BG7" s="91">
        <v>0.33194444444444443</v>
      </c>
      <c r="BH7" s="88">
        <v>1</v>
      </c>
      <c r="BI7" s="91">
        <v>0.33263888888888887</v>
      </c>
      <c r="BJ7" s="88">
        <v>1</v>
      </c>
      <c r="BK7" s="91">
        <v>0.33333333333333331</v>
      </c>
      <c r="BL7" s="88">
        <v>1</v>
      </c>
      <c r="BM7" s="91">
        <v>0.32847222222222222</v>
      </c>
      <c r="BN7" s="88">
        <v>1</v>
      </c>
      <c r="BO7" s="7">
        <f t="shared" si="13"/>
        <v>30</v>
      </c>
      <c r="BP7" s="64">
        <v>4</v>
      </c>
      <c r="BQ7" s="38">
        <f t="shared" si="0"/>
        <v>30</v>
      </c>
      <c r="BR7" s="39">
        <f t="shared" si="1"/>
        <v>0</v>
      </c>
      <c r="BS7" s="39">
        <f t="shared" si="2"/>
        <v>0</v>
      </c>
      <c r="BT7" s="39">
        <f t="shared" si="3"/>
        <v>0</v>
      </c>
      <c r="BU7" s="39">
        <f t="shared" si="4"/>
        <v>0</v>
      </c>
      <c r="BV7" s="39">
        <f t="shared" si="5"/>
        <v>0</v>
      </c>
      <c r="BW7" s="39">
        <f t="shared" si="6"/>
        <v>0</v>
      </c>
      <c r="BX7" s="39">
        <f t="shared" si="7"/>
        <v>0</v>
      </c>
      <c r="BY7" s="39">
        <f t="shared" si="8"/>
        <v>0</v>
      </c>
      <c r="BZ7" s="39">
        <f t="shared" si="9"/>
        <v>0</v>
      </c>
      <c r="CA7" s="39">
        <f t="shared" si="10"/>
        <v>0</v>
      </c>
      <c r="CB7" s="39">
        <f t="shared" si="11"/>
        <v>0</v>
      </c>
      <c r="CC7" s="40"/>
      <c r="CF7" s="37">
        <v>0</v>
      </c>
      <c r="CG7" s="33">
        <v>0</v>
      </c>
      <c r="CH7" s="33">
        <v>13</v>
      </c>
      <c r="CI7" s="33">
        <v>0</v>
      </c>
      <c r="CJ7" s="33">
        <v>0</v>
      </c>
      <c r="CK7" s="33">
        <v>0</v>
      </c>
      <c r="CL7" s="33">
        <v>0</v>
      </c>
      <c r="CM7" s="33">
        <v>0</v>
      </c>
      <c r="CN7" s="33">
        <v>0</v>
      </c>
      <c r="CO7" s="33">
        <v>0</v>
      </c>
      <c r="CP7" s="44">
        <f t="shared" si="12"/>
        <v>13</v>
      </c>
    </row>
    <row r="8" spans="1:94" ht="24" customHeight="1" x14ac:dyDescent="0.25">
      <c r="A8" s="33">
        <v>4</v>
      </c>
      <c r="B8" s="39" t="s">
        <v>19</v>
      </c>
      <c r="C8" s="35" t="s">
        <v>20</v>
      </c>
      <c r="D8" s="83">
        <v>43952</v>
      </c>
      <c r="E8" s="88">
        <v>1</v>
      </c>
      <c r="F8" s="88">
        <v>1</v>
      </c>
      <c r="G8" s="88">
        <v>1</v>
      </c>
      <c r="H8" s="88">
        <v>1</v>
      </c>
      <c r="I8" s="89" t="s">
        <v>55</v>
      </c>
      <c r="J8" s="89" t="s">
        <v>55</v>
      </c>
      <c r="K8" s="88">
        <v>1</v>
      </c>
      <c r="L8" s="88">
        <v>1</v>
      </c>
      <c r="M8" s="88">
        <v>1</v>
      </c>
      <c r="N8" s="88">
        <v>1</v>
      </c>
      <c r="O8" s="90">
        <v>1</v>
      </c>
      <c r="P8" s="88">
        <v>1</v>
      </c>
      <c r="Q8" s="88">
        <v>1</v>
      </c>
      <c r="R8" s="88">
        <v>1</v>
      </c>
      <c r="S8" s="88">
        <v>1</v>
      </c>
      <c r="T8" s="88">
        <v>1</v>
      </c>
      <c r="U8" s="88">
        <v>1</v>
      </c>
      <c r="V8" s="88">
        <v>1</v>
      </c>
      <c r="W8" s="89" t="s">
        <v>55</v>
      </c>
      <c r="X8" s="89" t="s">
        <v>55</v>
      </c>
      <c r="Y8" s="88">
        <v>1</v>
      </c>
      <c r="Z8" s="88">
        <v>1</v>
      </c>
      <c r="AA8" s="88">
        <v>1</v>
      </c>
      <c r="AB8" s="88">
        <v>1</v>
      </c>
      <c r="AC8" s="88">
        <v>1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I8" s="87"/>
      <c r="AJ8" s="33">
        <v>4</v>
      </c>
      <c r="AK8" s="88">
        <v>1</v>
      </c>
      <c r="AL8" s="88">
        <v>1</v>
      </c>
      <c r="AM8" s="89" t="s">
        <v>55</v>
      </c>
      <c r="AN8" s="89" t="s">
        <v>55</v>
      </c>
      <c r="AO8" s="88">
        <v>1</v>
      </c>
      <c r="AP8" s="88">
        <v>1</v>
      </c>
      <c r="AQ8" s="88">
        <v>1</v>
      </c>
      <c r="AR8" s="88">
        <v>1</v>
      </c>
      <c r="AS8" s="88">
        <v>1</v>
      </c>
      <c r="AT8" s="88">
        <v>1</v>
      </c>
      <c r="AU8" s="88">
        <v>1</v>
      </c>
      <c r="AV8" s="88">
        <v>1</v>
      </c>
      <c r="AW8" s="88">
        <v>1</v>
      </c>
      <c r="AX8" s="88">
        <v>1</v>
      </c>
      <c r="AY8" s="88">
        <v>1</v>
      </c>
      <c r="AZ8" s="88">
        <v>1</v>
      </c>
      <c r="BA8" s="89" t="s">
        <v>55</v>
      </c>
      <c r="BB8" s="89" t="s">
        <v>55</v>
      </c>
      <c r="BC8" s="88">
        <v>1</v>
      </c>
      <c r="BD8" s="88">
        <v>1</v>
      </c>
      <c r="BE8" s="88">
        <v>1</v>
      </c>
      <c r="BF8" s="88">
        <v>1</v>
      </c>
      <c r="BG8" s="88">
        <v>1</v>
      </c>
      <c r="BH8" s="88">
        <v>1</v>
      </c>
      <c r="BI8" s="88">
        <v>1</v>
      </c>
      <c r="BJ8" s="88">
        <v>1</v>
      </c>
      <c r="BK8" s="88">
        <v>1</v>
      </c>
      <c r="BL8" s="88">
        <v>1</v>
      </c>
      <c r="BM8" s="88">
        <v>1</v>
      </c>
      <c r="BN8" s="88">
        <v>1</v>
      </c>
      <c r="BO8" s="7">
        <f>BQ8+BR8+BS8+BX8+BV8+CA8+BU8+BW8</f>
        <v>30</v>
      </c>
      <c r="BP8" s="64">
        <v>0</v>
      </c>
      <c r="BQ8" s="38">
        <f t="shared" si="0"/>
        <v>26</v>
      </c>
      <c r="BR8" s="39">
        <f t="shared" si="1"/>
        <v>4</v>
      </c>
      <c r="BS8" s="39">
        <f t="shared" si="2"/>
        <v>0</v>
      </c>
      <c r="BT8" s="39">
        <f t="shared" si="3"/>
        <v>0</v>
      </c>
      <c r="BU8" s="39">
        <f t="shared" si="4"/>
        <v>0</v>
      </c>
      <c r="BV8" s="39">
        <f t="shared" si="5"/>
        <v>0</v>
      </c>
      <c r="BW8" s="39">
        <f t="shared" si="6"/>
        <v>0</v>
      </c>
      <c r="BX8" s="39">
        <f t="shared" si="7"/>
        <v>0</v>
      </c>
      <c r="BY8" s="39">
        <f t="shared" si="8"/>
        <v>0</v>
      </c>
      <c r="BZ8" s="39">
        <f t="shared" si="9"/>
        <v>0</v>
      </c>
      <c r="CA8" s="39">
        <f t="shared" si="10"/>
        <v>0</v>
      </c>
      <c r="CB8" s="39">
        <f t="shared" si="11"/>
        <v>0</v>
      </c>
      <c r="CC8" s="40"/>
      <c r="CF8" s="37">
        <v>0</v>
      </c>
      <c r="CG8" s="33">
        <v>0</v>
      </c>
      <c r="CH8" s="33">
        <v>33</v>
      </c>
      <c r="CI8" s="33">
        <v>0</v>
      </c>
      <c r="CJ8" s="33">
        <v>0</v>
      </c>
      <c r="CK8" s="33">
        <v>0</v>
      </c>
      <c r="CL8" s="33">
        <v>0</v>
      </c>
      <c r="CM8" s="33">
        <v>0</v>
      </c>
      <c r="CN8" s="33">
        <v>0</v>
      </c>
      <c r="CO8" s="33">
        <v>0</v>
      </c>
      <c r="CP8" s="44">
        <f t="shared" si="12"/>
        <v>33</v>
      </c>
    </row>
    <row r="9" spans="1:94" ht="24" customHeight="1" x14ac:dyDescent="0.25">
      <c r="A9" s="33">
        <v>5</v>
      </c>
      <c r="B9" s="41" t="s">
        <v>21</v>
      </c>
      <c r="C9" s="42" t="s">
        <v>22</v>
      </c>
      <c r="D9" s="84">
        <v>45600</v>
      </c>
      <c r="E9" s="88">
        <v>1</v>
      </c>
      <c r="F9" s="88">
        <v>1</v>
      </c>
      <c r="G9" s="88">
        <v>1</v>
      </c>
      <c r="H9" s="88">
        <v>1</v>
      </c>
      <c r="I9" s="89" t="s">
        <v>55</v>
      </c>
      <c r="J9" s="89" t="s">
        <v>55</v>
      </c>
      <c r="K9" s="88">
        <v>1</v>
      </c>
      <c r="L9" s="88">
        <v>1</v>
      </c>
      <c r="M9" s="88">
        <v>1</v>
      </c>
      <c r="N9" s="88">
        <v>1</v>
      </c>
      <c r="O9" s="90">
        <v>1</v>
      </c>
      <c r="P9" s="88">
        <v>1</v>
      </c>
      <c r="Q9" s="88">
        <v>1</v>
      </c>
      <c r="R9" s="88">
        <v>1</v>
      </c>
      <c r="S9" s="88">
        <v>1</v>
      </c>
      <c r="T9" s="88">
        <v>1</v>
      </c>
      <c r="U9" s="88">
        <v>1</v>
      </c>
      <c r="V9" s="88">
        <v>1</v>
      </c>
      <c r="W9" s="89" t="s">
        <v>55</v>
      </c>
      <c r="X9" s="89" t="s">
        <v>55</v>
      </c>
      <c r="Y9" s="88">
        <v>1</v>
      </c>
      <c r="Z9" s="88">
        <v>1</v>
      </c>
      <c r="AA9" s="88">
        <v>1</v>
      </c>
      <c r="AB9" s="88">
        <v>1</v>
      </c>
      <c r="AC9" s="88">
        <v>1</v>
      </c>
      <c r="AD9" s="88">
        <v>1</v>
      </c>
      <c r="AE9" s="88">
        <v>1</v>
      </c>
      <c r="AF9" s="88">
        <v>1</v>
      </c>
      <c r="AG9" s="88">
        <v>1</v>
      </c>
      <c r="AH9" s="88">
        <v>1</v>
      </c>
      <c r="AI9" s="87"/>
      <c r="AJ9" s="33">
        <v>5</v>
      </c>
      <c r="AK9" s="88">
        <v>1</v>
      </c>
      <c r="AL9" s="88">
        <v>1</v>
      </c>
      <c r="AM9" s="89" t="s">
        <v>55</v>
      </c>
      <c r="AN9" s="89" t="s">
        <v>55</v>
      </c>
      <c r="AO9" s="88">
        <v>1</v>
      </c>
      <c r="AP9" s="88">
        <v>1</v>
      </c>
      <c r="AQ9" s="88">
        <v>1</v>
      </c>
      <c r="AR9" s="88">
        <v>1</v>
      </c>
      <c r="AS9" s="88">
        <v>1</v>
      </c>
      <c r="AT9" s="88">
        <v>1</v>
      </c>
      <c r="AU9" s="88">
        <v>1</v>
      </c>
      <c r="AV9" s="88">
        <v>1</v>
      </c>
      <c r="AW9" s="88">
        <v>1</v>
      </c>
      <c r="AX9" s="88">
        <v>1</v>
      </c>
      <c r="AY9" s="88">
        <v>1</v>
      </c>
      <c r="AZ9" s="88">
        <v>1</v>
      </c>
      <c r="BA9" s="89" t="s">
        <v>55</v>
      </c>
      <c r="BB9" s="89" t="s">
        <v>55</v>
      </c>
      <c r="BC9" s="88">
        <v>1</v>
      </c>
      <c r="BD9" s="88">
        <v>1</v>
      </c>
      <c r="BE9" s="88">
        <v>1</v>
      </c>
      <c r="BF9" s="88">
        <v>1</v>
      </c>
      <c r="BG9" s="88">
        <v>1</v>
      </c>
      <c r="BH9" s="88">
        <v>1</v>
      </c>
      <c r="BI9" s="88">
        <v>1</v>
      </c>
      <c r="BJ9" s="88">
        <v>1</v>
      </c>
      <c r="BK9" s="88">
        <v>1</v>
      </c>
      <c r="BL9" s="88">
        <v>1</v>
      </c>
      <c r="BM9" s="88">
        <v>1</v>
      </c>
      <c r="BN9" s="88">
        <v>1</v>
      </c>
      <c r="BO9" s="7">
        <f t="shared" ref="BO9:BO26" si="14">BQ9+BR9+BS9+BX9+BV9+CA9+BU9+BW9</f>
        <v>30</v>
      </c>
      <c r="BP9" s="64">
        <v>0</v>
      </c>
      <c r="BQ9" s="38">
        <f t="shared" si="0"/>
        <v>26</v>
      </c>
      <c r="BR9" s="39">
        <f t="shared" si="1"/>
        <v>4</v>
      </c>
      <c r="BS9" s="39">
        <f t="shared" si="2"/>
        <v>0</v>
      </c>
      <c r="BT9" s="39">
        <f t="shared" si="3"/>
        <v>0</v>
      </c>
      <c r="BU9" s="39">
        <f t="shared" si="4"/>
        <v>0</v>
      </c>
      <c r="BV9" s="39">
        <f t="shared" si="5"/>
        <v>0</v>
      </c>
      <c r="BW9" s="39">
        <f t="shared" si="6"/>
        <v>0</v>
      </c>
      <c r="BX9" s="39">
        <f t="shared" si="7"/>
        <v>0</v>
      </c>
      <c r="BY9" s="39">
        <f t="shared" si="8"/>
        <v>0</v>
      </c>
      <c r="BZ9" s="39">
        <f t="shared" si="9"/>
        <v>0</v>
      </c>
      <c r="CA9" s="39">
        <f t="shared" si="10"/>
        <v>0</v>
      </c>
      <c r="CB9" s="39">
        <f t="shared" si="11"/>
        <v>0</v>
      </c>
      <c r="CC9" s="40" t="s">
        <v>80</v>
      </c>
      <c r="CF9" s="37">
        <v>0</v>
      </c>
      <c r="CG9" s="33">
        <v>0</v>
      </c>
      <c r="CH9" s="33">
        <v>0</v>
      </c>
      <c r="CI9" s="33">
        <v>0</v>
      </c>
      <c r="CJ9" s="33">
        <v>0</v>
      </c>
      <c r="CK9" s="33">
        <v>0</v>
      </c>
      <c r="CL9" s="33">
        <v>0</v>
      </c>
      <c r="CM9" s="33">
        <v>0</v>
      </c>
      <c r="CN9" s="33">
        <v>0</v>
      </c>
      <c r="CO9" s="33">
        <v>0</v>
      </c>
      <c r="CP9" s="44">
        <f t="shared" si="12"/>
        <v>0</v>
      </c>
    </row>
    <row r="10" spans="1:94" ht="24" customHeight="1" x14ac:dyDescent="0.25">
      <c r="A10" s="33">
        <v>6</v>
      </c>
      <c r="B10" s="39" t="s">
        <v>23</v>
      </c>
      <c r="C10" s="35" t="s">
        <v>24</v>
      </c>
      <c r="D10" s="82">
        <v>41326</v>
      </c>
      <c r="E10" s="91">
        <v>0.41944444444444445</v>
      </c>
      <c r="F10" s="91">
        <v>0.78333333333333333</v>
      </c>
      <c r="G10" s="91">
        <v>0.40208333333333335</v>
      </c>
      <c r="H10" s="91">
        <v>0.7597222222222223</v>
      </c>
      <c r="I10" s="89" t="s">
        <v>55</v>
      </c>
      <c r="J10" s="89" t="s">
        <v>55</v>
      </c>
      <c r="K10" s="91">
        <v>0.41944444444444445</v>
      </c>
      <c r="L10" s="91">
        <v>0.76874999999999993</v>
      </c>
      <c r="M10" s="91">
        <v>0.46458333333333335</v>
      </c>
      <c r="N10" s="91">
        <v>0.72777777777777775</v>
      </c>
      <c r="O10" s="91">
        <v>0.44722222222222219</v>
      </c>
      <c r="P10" s="91">
        <v>0.74583333333333324</v>
      </c>
      <c r="Q10" s="91">
        <v>0.40277777777777773</v>
      </c>
      <c r="R10" s="91">
        <v>0.69027777777777777</v>
      </c>
      <c r="S10" s="91">
        <v>0.39027777777777778</v>
      </c>
      <c r="T10" s="91">
        <v>0.73541666666666661</v>
      </c>
      <c r="U10" s="91">
        <v>0.3979166666666667</v>
      </c>
      <c r="V10" s="91">
        <v>0.73611111111111116</v>
      </c>
      <c r="W10" s="89" t="s">
        <v>55</v>
      </c>
      <c r="X10" s="89" t="s">
        <v>55</v>
      </c>
      <c r="Y10" s="91">
        <v>0.4465277777777778</v>
      </c>
      <c r="Z10" s="91">
        <v>0.73541666666666661</v>
      </c>
      <c r="AA10" s="91">
        <v>0.4145833333333333</v>
      </c>
      <c r="AB10" s="91">
        <v>0.7583333333333333</v>
      </c>
      <c r="AC10" s="91">
        <v>0.38680555555555557</v>
      </c>
      <c r="AD10" s="91">
        <v>0.73125000000000007</v>
      </c>
      <c r="AE10" s="91">
        <v>0.39583333333333331</v>
      </c>
      <c r="AF10" s="91">
        <v>0.71458333333333324</v>
      </c>
      <c r="AG10" s="91">
        <v>0.3923611111111111</v>
      </c>
      <c r="AH10" s="91">
        <v>0.70972222222222225</v>
      </c>
      <c r="AI10" s="87"/>
      <c r="AJ10" s="33">
        <v>6</v>
      </c>
      <c r="AK10" s="91">
        <v>0.38125000000000003</v>
      </c>
      <c r="AL10" s="91">
        <v>0.72499999999999998</v>
      </c>
      <c r="AM10" s="89" t="s">
        <v>55</v>
      </c>
      <c r="AN10" s="89" t="s">
        <v>55</v>
      </c>
      <c r="AO10" s="91">
        <v>0.4770833333333333</v>
      </c>
      <c r="AP10" s="91">
        <v>0.72152777777777777</v>
      </c>
      <c r="AQ10" s="91">
        <v>0.3979166666666667</v>
      </c>
      <c r="AR10" s="91">
        <v>0.71666666666666667</v>
      </c>
      <c r="AS10" s="91">
        <v>0.39583333333333331</v>
      </c>
      <c r="AT10" s="91">
        <v>0.71319444444444446</v>
      </c>
      <c r="AU10" s="91">
        <v>0.39999999999999997</v>
      </c>
      <c r="AV10" s="91">
        <v>0.74930555555555556</v>
      </c>
      <c r="AW10" s="91">
        <v>0.39166666666666666</v>
      </c>
      <c r="AX10" s="91">
        <v>0.73402777777777783</v>
      </c>
      <c r="AY10" s="91">
        <v>0.37777777777777777</v>
      </c>
      <c r="AZ10" s="91">
        <v>0.70208333333333339</v>
      </c>
      <c r="BA10" s="89" t="s">
        <v>55</v>
      </c>
      <c r="BB10" s="89" t="s">
        <v>55</v>
      </c>
      <c r="BC10" s="91">
        <v>0.47638888888888892</v>
      </c>
      <c r="BD10" s="91">
        <v>0.71736111111111101</v>
      </c>
      <c r="BE10" s="91">
        <v>0.39583333333333331</v>
      </c>
      <c r="BF10" s="91">
        <v>0.71319444444444446</v>
      </c>
      <c r="BG10" s="91">
        <v>0.37361111111111112</v>
      </c>
      <c r="BH10" s="91">
        <v>0.6430555555555556</v>
      </c>
      <c r="BI10" s="91">
        <v>0.39861111111111108</v>
      </c>
      <c r="BJ10" s="91">
        <v>0.73055555555555562</v>
      </c>
      <c r="BK10" s="91">
        <v>0.3972222222222222</v>
      </c>
      <c r="BL10" s="91">
        <v>0.69861111111111107</v>
      </c>
      <c r="BM10" s="91">
        <v>0.40902777777777777</v>
      </c>
      <c r="BN10" s="91">
        <v>0.71458333333333324</v>
      </c>
      <c r="BO10" s="7">
        <f t="shared" si="14"/>
        <v>30</v>
      </c>
      <c r="BP10" s="64">
        <v>0</v>
      </c>
      <c r="BQ10" s="38">
        <f t="shared" si="0"/>
        <v>26</v>
      </c>
      <c r="BR10" s="39">
        <f t="shared" si="1"/>
        <v>4</v>
      </c>
      <c r="BS10" s="39">
        <f t="shared" si="2"/>
        <v>0</v>
      </c>
      <c r="BT10" s="39">
        <f t="shared" si="3"/>
        <v>0</v>
      </c>
      <c r="BU10" s="39">
        <f t="shared" si="4"/>
        <v>0</v>
      </c>
      <c r="BV10" s="39">
        <f t="shared" si="5"/>
        <v>0</v>
      </c>
      <c r="BW10" s="39">
        <f t="shared" si="6"/>
        <v>0</v>
      </c>
      <c r="BX10" s="39">
        <f t="shared" si="7"/>
        <v>0</v>
      </c>
      <c r="BY10" s="39">
        <f t="shared" si="8"/>
        <v>0</v>
      </c>
      <c r="BZ10" s="39">
        <f t="shared" si="9"/>
        <v>0</v>
      </c>
      <c r="CA10" s="39">
        <f t="shared" si="10"/>
        <v>0</v>
      </c>
      <c r="CB10" s="39">
        <f t="shared" si="11"/>
        <v>0</v>
      </c>
      <c r="CC10" s="40"/>
      <c r="CF10" s="37">
        <v>0</v>
      </c>
      <c r="CG10" s="33">
        <v>0</v>
      </c>
      <c r="CH10" s="33">
        <v>18</v>
      </c>
      <c r="CI10" s="33">
        <v>0</v>
      </c>
      <c r="CJ10" s="33">
        <v>0</v>
      </c>
      <c r="CK10" s="33">
        <v>8</v>
      </c>
      <c r="CL10" s="33">
        <v>0</v>
      </c>
      <c r="CM10" s="33">
        <v>0</v>
      </c>
      <c r="CN10" s="33">
        <v>0</v>
      </c>
      <c r="CO10" s="33">
        <v>6</v>
      </c>
      <c r="CP10" s="44">
        <f t="shared" si="12"/>
        <v>32</v>
      </c>
    </row>
    <row r="11" spans="1:94" ht="24" customHeight="1" x14ac:dyDescent="0.25">
      <c r="A11" s="33">
        <v>7</v>
      </c>
      <c r="B11" s="39" t="s">
        <v>25</v>
      </c>
      <c r="C11" s="35" t="s">
        <v>26</v>
      </c>
      <c r="D11" s="82">
        <v>43591</v>
      </c>
      <c r="E11" s="91">
        <v>0.37361111111111112</v>
      </c>
      <c r="F11" s="91">
        <v>0.63055555555555554</v>
      </c>
      <c r="G11" s="91">
        <v>0.38125000000000003</v>
      </c>
      <c r="H11" s="91">
        <v>1.3888888888888888E-2</v>
      </c>
      <c r="I11" s="92">
        <v>0.58958333333333335</v>
      </c>
      <c r="J11" s="92">
        <v>0.98958333333333337</v>
      </c>
      <c r="K11" s="91">
        <v>0.3756944444444445</v>
      </c>
      <c r="L11" s="91">
        <v>5.5555555555555558E-3</v>
      </c>
      <c r="M11" s="91">
        <v>0.3888888888888889</v>
      </c>
      <c r="N11" s="91">
        <v>0.99305555555555547</v>
      </c>
      <c r="O11" s="91">
        <v>0.38680555555555557</v>
      </c>
      <c r="P11" s="91">
        <v>0.99722222222222223</v>
      </c>
      <c r="Q11" s="91">
        <v>0.38819444444444445</v>
      </c>
      <c r="R11" s="91">
        <v>0.59305555555555556</v>
      </c>
      <c r="S11" s="91">
        <v>0.36458333333333331</v>
      </c>
      <c r="T11" s="91">
        <v>0.99791666666666667</v>
      </c>
      <c r="U11" s="91">
        <v>0.38263888888888892</v>
      </c>
      <c r="V11" s="91">
        <v>2.6388888888888889E-2</v>
      </c>
      <c r="W11" s="92">
        <v>0.58958333333333335</v>
      </c>
      <c r="X11" s="92">
        <v>0.73333333333333339</v>
      </c>
      <c r="Y11" s="91" t="s">
        <v>97</v>
      </c>
      <c r="Z11" s="91" t="s">
        <v>97</v>
      </c>
      <c r="AA11" s="91">
        <v>0.38958333333333334</v>
      </c>
      <c r="AB11" s="91">
        <v>6.2499999999999995E-3</v>
      </c>
      <c r="AC11" s="91">
        <v>0.42569444444444443</v>
      </c>
      <c r="AD11" s="91">
        <v>0.99375000000000002</v>
      </c>
      <c r="AE11" s="91" t="s">
        <v>97</v>
      </c>
      <c r="AF11" s="91" t="s">
        <v>97</v>
      </c>
      <c r="AG11" s="91">
        <v>0.43124999999999997</v>
      </c>
      <c r="AH11" s="91">
        <v>0.76388888888888884</v>
      </c>
      <c r="AI11" s="87"/>
      <c r="AJ11" s="33">
        <v>7</v>
      </c>
      <c r="AK11" s="91">
        <v>0.39374999999999999</v>
      </c>
      <c r="AL11" s="91">
        <v>0.58611111111111114</v>
      </c>
      <c r="AM11" s="89" t="s">
        <v>55</v>
      </c>
      <c r="AN11" s="89" t="s">
        <v>55</v>
      </c>
      <c r="AO11" s="91">
        <v>0.3979166666666667</v>
      </c>
      <c r="AP11" s="91">
        <v>4.8611111111111112E-3</v>
      </c>
      <c r="AQ11" s="91">
        <v>0.4368055555555555</v>
      </c>
      <c r="AR11" s="91">
        <v>0.63611111111111118</v>
      </c>
      <c r="AS11" s="91">
        <v>0.41944444444444445</v>
      </c>
      <c r="AT11" s="88">
        <v>1</v>
      </c>
      <c r="AU11" s="91">
        <v>0.3923611111111111</v>
      </c>
      <c r="AV11" s="91">
        <v>6.9444444444444441E-3</v>
      </c>
      <c r="AW11" s="91">
        <v>0.41111111111111115</v>
      </c>
      <c r="AX11" s="91">
        <v>0.99444444444444446</v>
      </c>
      <c r="AY11" s="91">
        <v>0.38750000000000001</v>
      </c>
      <c r="AZ11" s="91">
        <v>0.67569444444444438</v>
      </c>
      <c r="BA11" s="92">
        <v>0.59444444444444444</v>
      </c>
      <c r="BB11" s="89">
        <v>1</v>
      </c>
      <c r="BC11" s="91">
        <v>0.38611111111111113</v>
      </c>
      <c r="BD11" s="91">
        <v>2.7777777777777779E-3</v>
      </c>
      <c r="BE11" s="91">
        <v>0.42777777777777781</v>
      </c>
      <c r="BF11" s="91">
        <v>0.9868055555555556</v>
      </c>
      <c r="BG11" s="91">
        <v>0.37847222222222227</v>
      </c>
      <c r="BH11" s="91">
        <v>0.98611111111111116</v>
      </c>
      <c r="BI11" s="91">
        <v>0.37916666666666665</v>
      </c>
      <c r="BJ11" s="91">
        <v>0.99236111111111114</v>
      </c>
      <c r="BK11" s="91">
        <v>0.37777777777777777</v>
      </c>
      <c r="BL11" s="91">
        <v>0.99305555555555547</v>
      </c>
      <c r="BM11" s="91">
        <v>0.3840277777777778</v>
      </c>
      <c r="BN11" s="88">
        <v>1</v>
      </c>
      <c r="BO11" s="7">
        <f t="shared" si="14"/>
        <v>30</v>
      </c>
      <c r="BP11" s="64">
        <v>3</v>
      </c>
      <c r="BQ11" s="38">
        <f>COUNT(E11:AH11)/2+COUNT(AK11:BN11)/2</f>
        <v>27</v>
      </c>
      <c r="BR11" s="39">
        <f t="shared" si="1"/>
        <v>1</v>
      </c>
      <c r="BS11" s="39">
        <f t="shared" si="2"/>
        <v>0</v>
      </c>
      <c r="BT11" s="39">
        <f t="shared" si="3"/>
        <v>0</v>
      </c>
      <c r="BU11" s="39">
        <f t="shared" si="4"/>
        <v>0</v>
      </c>
      <c r="BV11" s="39">
        <f t="shared" si="5"/>
        <v>0</v>
      </c>
      <c r="BW11" s="39">
        <f t="shared" si="6"/>
        <v>0</v>
      </c>
      <c r="BX11" s="39">
        <f t="shared" si="7"/>
        <v>2</v>
      </c>
      <c r="BY11" s="39">
        <f t="shared" si="8"/>
        <v>0</v>
      </c>
      <c r="BZ11" s="39">
        <f t="shared" si="9"/>
        <v>0</v>
      </c>
      <c r="CA11" s="39">
        <f t="shared" si="10"/>
        <v>0</v>
      </c>
      <c r="CB11" s="39">
        <f t="shared" si="11"/>
        <v>0</v>
      </c>
      <c r="CC11" s="40" t="s">
        <v>80</v>
      </c>
      <c r="CF11" s="37">
        <v>0</v>
      </c>
      <c r="CG11" s="33">
        <v>0</v>
      </c>
      <c r="CH11" s="33">
        <v>27</v>
      </c>
      <c r="CI11" s="33">
        <v>0</v>
      </c>
      <c r="CJ11" s="33">
        <v>0</v>
      </c>
      <c r="CK11" s="33">
        <v>7</v>
      </c>
      <c r="CL11" s="33">
        <v>0</v>
      </c>
      <c r="CM11" s="33">
        <v>0</v>
      </c>
      <c r="CN11" s="33">
        <v>0</v>
      </c>
      <c r="CO11" s="33">
        <v>0</v>
      </c>
      <c r="CP11" s="44">
        <f t="shared" si="12"/>
        <v>34</v>
      </c>
    </row>
    <row r="12" spans="1:94" ht="24" customHeight="1" x14ac:dyDescent="0.25">
      <c r="A12" s="33">
        <v>8</v>
      </c>
      <c r="B12" s="39" t="s">
        <v>27</v>
      </c>
      <c r="C12" s="35" t="s">
        <v>28</v>
      </c>
      <c r="D12" s="82">
        <v>44531</v>
      </c>
      <c r="E12" s="88">
        <v>1</v>
      </c>
      <c r="F12" s="88">
        <v>1</v>
      </c>
      <c r="G12" s="88">
        <v>1</v>
      </c>
      <c r="H12" s="88">
        <v>1</v>
      </c>
      <c r="I12" s="89" t="s">
        <v>55</v>
      </c>
      <c r="J12" s="89" t="s">
        <v>55</v>
      </c>
      <c r="K12" s="88">
        <v>1</v>
      </c>
      <c r="L12" s="88">
        <v>1</v>
      </c>
      <c r="M12" s="88">
        <v>1</v>
      </c>
      <c r="N12" s="88">
        <v>1</v>
      </c>
      <c r="O12" s="90">
        <v>1</v>
      </c>
      <c r="P12" s="88">
        <v>1</v>
      </c>
      <c r="Q12" s="88">
        <v>1</v>
      </c>
      <c r="R12" s="88">
        <v>1</v>
      </c>
      <c r="S12" s="88">
        <v>1</v>
      </c>
      <c r="T12" s="88">
        <v>1</v>
      </c>
      <c r="U12" s="88">
        <v>1</v>
      </c>
      <c r="V12" s="88">
        <v>1</v>
      </c>
      <c r="W12" s="89" t="s">
        <v>55</v>
      </c>
      <c r="X12" s="89" t="s">
        <v>55</v>
      </c>
      <c r="Y12" s="88">
        <v>1</v>
      </c>
      <c r="Z12" s="88">
        <v>1</v>
      </c>
      <c r="AA12" s="88">
        <v>1</v>
      </c>
      <c r="AB12" s="88">
        <v>1</v>
      </c>
      <c r="AC12" s="88">
        <v>1</v>
      </c>
      <c r="AD12" s="88">
        <v>1</v>
      </c>
      <c r="AE12" s="88">
        <v>1</v>
      </c>
      <c r="AF12" s="88">
        <v>1</v>
      </c>
      <c r="AG12" s="88">
        <v>1</v>
      </c>
      <c r="AH12" s="88">
        <v>1</v>
      </c>
      <c r="AI12" s="87"/>
      <c r="AJ12" s="33">
        <v>8</v>
      </c>
      <c r="AK12" s="88">
        <v>1</v>
      </c>
      <c r="AL12" s="88">
        <v>1</v>
      </c>
      <c r="AM12" s="89" t="s">
        <v>55</v>
      </c>
      <c r="AN12" s="89" t="s">
        <v>55</v>
      </c>
      <c r="AO12" s="88">
        <v>1</v>
      </c>
      <c r="AP12" s="88">
        <v>1</v>
      </c>
      <c r="AQ12" s="88">
        <v>1</v>
      </c>
      <c r="AR12" s="88">
        <v>1</v>
      </c>
      <c r="AS12" s="88">
        <v>1</v>
      </c>
      <c r="AT12" s="88">
        <v>1</v>
      </c>
      <c r="AU12" s="88">
        <v>1</v>
      </c>
      <c r="AV12" s="88">
        <v>1</v>
      </c>
      <c r="AW12" s="88">
        <v>1</v>
      </c>
      <c r="AX12" s="88">
        <v>1</v>
      </c>
      <c r="AY12" s="88">
        <v>1</v>
      </c>
      <c r="AZ12" s="88">
        <v>1</v>
      </c>
      <c r="BA12" s="89" t="s">
        <v>55</v>
      </c>
      <c r="BB12" s="89" t="s">
        <v>55</v>
      </c>
      <c r="BC12" s="88">
        <v>1</v>
      </c>
      <c r="BD12" s="88">
        <v>1</v>
      </c>
      <c r="BE12" s="88">
        <v>1</v>
      </c>
      <c r="BF12" s="88">
        <v>1</v>
      </c>
      <c r="BG12" s="88">
        <v>1</v>
      </c>
      <c r="BH12" s="88">
        <v>1</v>
      </c>
      <c r="BI12" s="88">
        <v>1</v>
      </c>
      <c r="BJ12" s="88">
        <v>1</v>
      </c>
      <c r="BK12" s="88">
        <v>1</v>
      </c>
      <c r="BL12" s="88">
        <v>1</v>
      </c>
      <c r="BM12" s="88">
        <v>1</v>
      </c>
      <c r="BN12" s="88">
        <v>1</v>
      </c>
      <c r="BO12" s="7">
        <f t="shared" si="14"/>
        <v>30</v>
      </c>
      <c r="BP12" s="64">
        <v>0</v>
      </c>
      <c r="BQ12" s="38">
        <f t="shared" si="0"/>
        <v>26</v>
      </c>
      <c r="BR12" s="39">
        <f t="shared" si="1"/>
        <v>4</v>
      </c>
      <c r="BS12" s="39">
        <f t="shared" si="2"/>
        <v>0</v>
      </c>
      <c r="BT12" s="39">
        <f t="shared" si="3"/>
        <v>0</v>
      </c>
      <c r="BU12" s="39">
        <f t="shared" si="4"/>
        <v>0</v>
      </c>
      <c r="BV12" s="39">
        <f t="shared" si="5"/>
        <v>0</v>
      </c>
      <c r="BW12" s="39">
        <f t="shared" si="6"/>
        <v>0</v>
      </c>
      <c r="BX12" s="39">
        <f t="shared" si="7"/>
        <v>0</v>
      </c>
      <c r="BY12" s="39">
        <f t="shared" si="8"/>
        <v>0</v>
      </c>
      <c r="BZ12" s="39">
        <f t="shared" si="9"/>
        <v>0</v>
      </c>
      <c r="CA12" s="39">
        <f t="shared" si="10"/>
        <v>0</v>
      </c>
      <c r="CB12" s="39">
        <f t="shared" si="11"/>
        <v>0</v>
      </c>
      <c r="CC12" s="40"/>
      <c r="CF12" s="37">
        <v>0</v>
      </c>
      <c r="CG12" s="33">
        <v>0</v>
      </c>
      <c r="CH12" s="33">
        <v>17</v>
      </c>
      <c r="CI12" s="33">
        <v>0</v>
      </c>
      <c r="CJ12" s="33">
        <v>0</v>
      </c>
      <c r="CK12" s="33">
        <v>0</v>
      </c>
      <c r="CL12" s="33">
        <v>0</v>
      </c>
      <c r="CM12" s="33">
        <v>0</v>
      </c>
      <c r="CN12" s="33">
        <v>0</v>
      </c>
      <c r="CO12" s="33">
        <v>0</v>
      </c>
      <c r="CP12" s="44">
        <f t="shared" si="12"/>
        <v>17</v>
      </c>
    </row>
    <row r="13" spans="1:94" ht="24" customHeight="1" x14ac:dyDescent="0.25">
      <c r="A13" s="33">
        <v>9</v>
      </c>
      <c r="B13" s="39" t="s">
        <v>29</v>
      </c>
      <c r="C13" s="35" t="s">
        <v>30</v>
      </c>
      <c r="D13" s="82">
        <v>43542</v>
      </c>
      <c r="E13" s="91">
        <v>0.34583333333333338</v>
      </c>
      <c r="F13" s="91">
        <v>0.96250000000000002</v>
      </c>
      <c r="G13" s="91">
        <v>0.34652777777777777</v>
      </c>
      <c r="H13" s="91">
        <v>0.97916666666666663</v>
      </c>
      <c r="I13" s="92">
        <v>0.57222222222222219</v>
      </c>
      <c r="J13" s="92">
        <v>0.95347222222222217</v>
      </c>
      <c r="K13" s="91">
        <v>0.34236111111111112</v>
      </c>
      <c r="L13" s="91">
        <v>0.97152777777777777</v>
      </c>
      <c r="M13" s="91">
        <v>0.3444444444444445</v>
      </c>
      <c r="N13" s="91">
        <v>0.95624999999999993</v>
      </c>
      <c r="O13" s="91">
        <v>0.34722222222222227</v>
      </c>
      <c r="P13" s="91">
        <v>0.95347222222222217</v>
      </c>
      <c r="Q13" s="91">
        <v>0.34583333333333338</v>
      </c>
      <c r="R13" s="91">
        <v>0.9590277777777777</v>
      </c>
      <c r="S13" s="91">
        <v>0.34513888888888888</v>
      </c>
      <c r="T13" s="91">
        <v>0.95763888888888893</v>
      </c>
      <c r="U13" s="91">
        <v>0.34513888888888888</v>
      </c>
      <c r="V13" s="91">
        <v>0.99930555555555556</v>
      </c>
      <c r="W13" s="89" t="s">
        <v>55</v>
      </c>
      <c r="X13" s="89" t="s">
        <v>55</v>
      </c>
      <c r="Y13" s="91">
        <v>0.34583333333333338</v>
      </c>
      <c r="Z13" s="91">
        <v>0.96736111111111101</v>
      </c>
      <c r="AA13" s="91">
        <v>0.34583333333333338</v>
      </c>
      <c r="AB13" s="91">
        <v>0.95624999999999993</v>
      </c>
      <c r="AC13" s="91">
        <v>0.34652777777777777</v>
      </c>
      <c r="AD13" s="91">
        <v>0.94930555555555562</v>
      </c>
      <c r="AE13" s="91">
        <v>0.34375</v>
      </c>
      <c r="AF13" s="91">
        <v>0.95833333333333337</v>
      </c>
      <c r="AG13" s="91">
        <v>0.34375</v>
      </c>
      <c r="AH13" s="91">
        <v>0.96388888888888891</v>
      </c>
      <c r="AI13" s="87"/>
      <c r="AJ13" s="33">
        <v>9</v>
      </c>
      <c r="AK13" s="91">
        <v>0.34375</v>
      </c>
      <c r="AL13" s="91">
        <v>0.99236111111111114</v>
      </c>
      <c r="AM13" s="92">
        <v>0.95694444444444438</v>
      </c>
      <c r="AN13" s="89">
        <v>1</v>
      </c>
      <c r="AO13" s="91">
        <v>0.34236111111111112</v>
      </c>
      <c r="AP13" s="91">
        <v>0.97986111111111107</v>
      </c>
      <c r="AQ13" s="91">
        <v>0.34652777777777777</v>
      </c>
      <c r="AR13" s="91">
        <v>0.95347222222222217</v>
      </c>
      <c r="AS13" s="91">
        <v>0.34791666666666665</v>
      </c>
      <c r="AT13" s="91">
        <v>0.95486111111111116</v>
      </c>
      <c r="AU13" s="91">
        <v>0.34513888888888888</v>
      </c>
      <c r="AV13" s="91">
        <v>0.95763888888888893</v>
      </c>
      <c r="AW13" s="91">
        <v>0.34583333333333338</v>
      </c>
      <c r="AX13" s="91">
        <v>0.9555555555555556</v>
      </c>
      <c r="AY13" s="91">
        <v>0.34583333333333338</v>
      </c>
      <c r="AZ13" s="91">
        <v>0.97499999999999998</v>
      </c>
      <c r="BA13" s="89" t="s">
        <v>55</v>
      </c>
      <c r="BB13" s="89" t="s">
        <v>55</v>
      </c>
      <c r="BC13" s="91">
        <v>0.34027777777777773</v>
      </c>
      <c r="BD13" s="91">
        <v>0.97291666666666676</v>
      </c>
      <c r="BE13" s="91">
        <v>0.3430555555555555</v>
      </c>
      <c r="BF13" s="91">
        <v>0.95486111111111116</v>
      </c>
      <c r="BG13" s="91">
        <v>0.34513888888888888</v>
      </c>
      <c r="BH13" s="91">
        <v>0.95347222222222217</v>
      </c>
      <c r="BI13" s="91">
        <v>0.34513888888888888</v>
      </c>
      <c r="BJ13" s="88">
        <v>1</v>
      </c>
      <c r="BK13" s="91">
        <v>0.34513888888888888</v>
      </c>
      <c r="BL13" s="91">
        <v>0.95277777777777783</v>
      </c>
      <c r="BM13" s="91">
        <v>0.34652777777777777</v>
      </c>
      <c r="BN13" s="91">
        <v>0.97777777777777775</v>
      </c>
      <c r="BO13" s="7">
        <f t="shared" si="14"/>
        <v>30</v>
      </c>
      <c r="BP13" s="64">
        <v>2</v>
      </c>
      <c r="BQ13" s="38">
        <f t="shared" si="0"/>
        <v>28</v>
      </c>
      <c r="BR13" s="39">
        <f t="shared" si="1"/>
        <v>2</v>
      </c>
      <c r="BS13" s="39">
        <f t="shared" si="2"/>
        <v>0</v>
      </c>
      <c r="BT13" s="39">
        <f t="shared" si="3"/>
        <v>0</v>
      </c>
      <c r="BU13" s="39">
        <f t="shared" si="4"/>
        <v>0</v>
      </c>
      <c r="BV13" s="39">
        <f t="shared" si="5"/>
        <v>0</v>
      </c>
      <c r="BW13" s="39">
        <f t="shared" si="6"/>
        <v>0</v>
      </c>
      <c r="BX13" s="39">
        <f t="shared" si="7"/>
        <v>0</v>
      </c>
      <c r="BY13" s="39">
        <f t="shared" si="8"/>
        <v>0</v>
      </c>
      <c r="BZ13" s="39">
        <f t="shared" si="9"/>
        <v>0</v>
      </c>
      <c r="CA13" s="39">
        <f t="shared" si="10"/>
        <v>0</v>
      </c>
      <c r="CB13" s="39">
        <f t="shared" si="11"/>
        <v>0</v>
      </c>
      <c r="CC13" s="40" t="s">
        <v>80</v>
      </c>
      <c r="CF13" s="37">
        <v>0</v>
      </c>
      <c r="CG13" s="33">
        <v>0</v>
      </c>
      <c r="CH13" s="33">
        <v>20</v>
      </c>
      <c r="CI13" s="33">
        <v>0</v>
      </c>
      <c r="CJ13" s="33">
        <v>0</v>
      </c>
      <c r="CK13" s="33">
        <v>2</v>
      </c>
      <c r="CL13" s="33">
        <v>0</v>
      </c>
      <c r="CM13" s="33">
        <v>0</v>
      </c>
      <c r="CN13" s="33">
        <v>0</v>
      </c>
      <c r="CO13" s="33">
        <v>0</v>
      </c>
      <c r="CP13" s="44">
        <f t="shared" si="12"/>
        <v>22</v>
      </c>
    </row>
    <row r="14" spans="1:94" ht="24" customHeight="1" x14ac:dyDescent="0.25">
      <c r="A14" s="33">
        <v>10</v>
      </c>
      <c r="B14" s="39" t="s">
        <v>31</v>
      </c>
      <c r="C14" s="35" t="s">
        <v>32</v>
      </c>
      <c r="D14" s="82">
        <v>41888</v>
      </c>
      <c r="E14" s="91" t="s">
        <v>97</v>
      </c>
      <c r="F14" s="91" t="s">
        <v>97</v>
      </c>
      <c r="G14" s="91">
        <v>0.3576388888888889</v>
      </c>
      <c r="H14" s="91">
        <v>0.64652777777777781</v>
      </c>
      <c r="I14" s="89" t="s">
        <v>55</v>
      </c>
      <c r="J14" s="89" t="s">
        <v>55</v>
      </c>
      <c r="K14" s="91">
        <v>0.66805555555555562</v>
      </c>
      <c r="L14" s="91">
        <v>0.96666666666666667</v>
      </c>
      <c r="M14" s="91">
        <v>0.6479166666666667</v>
      </c>
      <c r="N14" s="91">
        <v>0.94861111111111107</v>
      </c>
      <c r="O14" s="91">
        <v>0.6479166666666667</v>
      </c>
      <c r="P14" s="91">
        <v>0.94930555555555562</v>
      </c>
      <c r="Q14" s="91">
        <v>0.64166666666666672</v>
      </c>
      <c r="R14" s="91">
        <v>0.94791666666666663</v>
      </c>
      <c r="S14" s="91">
        <v>0.64583333333333337</v>
      </c>
      <c r="T14" s="91">
        <v>0.9472222222222223</v>
      </c>
      <c r="U14" s="91">
        <v>0.64930555555555558</v>
      </c>
      <c r="V14" s="91">
        <v>0.96666666666666667</v>
      </c>
      <c r="W14" s="92">
        <v>0.58680555555555558</v>
      </c>
      <c r="X14" s="92">
        <v>0.94791666666666663</v>
      </c>
      <c r="Y14" s="91">
        <v>0.37291666666666662</v>
      </c>
      <c r="Z14" s="91">
        <v>0.54722222222222217</v>
      </c>
      <c r="AA14" s="91">
        <v>0.35486111111111113</v>
      </c>
      <c r="AB14" s="91">
        <v>0.64722222222222225</v>
      </c>
      <c r="AC14" s="91" t="s">
        <v>97</v>
      </c>
      <c r="AD14" s="91" t="s">
        <v>97</v>
      </c>
      <c r="AE14" s="91">
        <v>0.35972222222222222</v>
      </c>
      <c r="AF14" s="91">
        <v>0.65</v>
      </c>
      <c r="AG14" s="91">
        <v>0.3576388888888889</v>
      </c>
      <c r="AH14" s="91">
        <v>0.65</v>
      </c>
      <c r="AI14" s="87"/>
      <c r="AJ14" s="33">
        <v>10</v>
      </c>
      <c r="AK14" s="91">
        <v>0.36736111111111108</v>
      </c>
      <c r="AL14" s="91">
        <v>0.64722222222222225</v>
      </c>
      <c r="AM14" s="89" t="s">
        <v>55</v>
      </c>
      <c r="AN14" s="89" t="s">
        <v>55</v>
      </c>
      <c r="AO14" s="91">
        <v>0.64583333333333337</v>
      </c>
      <c r="AP14" s="91">
        <v>0.97083333333333333</v>
      </c>
      <c r="AQ14" s="91">
        <v>0.64722222222222225</v>
      </c>
      <c r="AR14" s="91">
        <v>0.9458333333333333</v>
      </c>
      <c r="AS14" s="91">
        <v>0.64930555555555558</v>
      </c>
      <c r="AT14" s="91">
        <v>0.94930555555555562</v>
      </c>
      <c r="AU14" s="91" t="s">
        <v>97</v>
      </c>
      <c r="AV14" s="91" t="s">
        <v>97</v>
      </c>
      <c r="AW14" s="91">
        <v>0.64374999999999993</v>
      </c>
      <c r="AX14" s="91">
        <v>0.9472222222222223</v>
      </c>
      <c r="AY14" s="91">
        <v>0.64444444444444449</v>
      </c>
      <c r="AZ14" s="91">
        <v>0.96736111111111101</v>
      </c>
      <c r="BA14" s="92">
        <v>0.58263888888888882</v>
      </c>
      <c r="BB14" s="92">
        <v>0.94791666666666663</v>
      </c>
      <c r="BC14" s="91">
        <v>0.35625000000000001</v>
      </c>
      <c r="BD14" s="91">
        <v>0.64722222222222225</v>
      </c>
      <c r="BE14" s="91">
        <v>0.35902777777777778</v>
      </c>
      <c r="BF14" s="91">
        <v>0.64930555555555558</v>
      </c>
      <c r="BG14" s="91">
        <v>0.35625000000000001</v>
      </c>
      <c r="BH14" s="91">
        <v>0.65486111111111112</v>
      </c>
      <c r="BI14" s="91">
        <v>0.35416666666666669</v>
      </c>
      <c r="BJ14" s="91">
        <v>0.65</v>
      </c>
      <c r="BK14" s="91" t="s">
        <v>56</v>
      </c>
      <c r="BL14" s="91" t="s">
        <v>56</v>
      </c>
      <c r="BM14" s="91" t="s">
        <v>56</v>
      </c>
      <c r="BN14" s="91" t="s">
        <v>56</v>
      </c>
      <c r="BO14" s="7">
        <f t="shared" si="14"/>
        <v>30</v>
      </c>
      <c r="BP14" s="64">
        <v>2</v>
      </c>
      <c r="BQ14" s="38">
        <f>COUNT(E14:AH14)/2+COUNT(AK14:BN14)/2</f>
        <v>23</v>
      </c>
      <c r="BR14" s="39">
        <f>COUNTIF(E14:BN14,"OFF")/2</f>
        <v>2</v>
      </c>
      <c r="BS14" s="39">
        <f>COUNTIF(E14:BN14,"MC")/2</f>
        <v>2</v>
      </c>
      <c r="BT14" s="39">
        <f>COUNTIF(E14:BN14,"EL")/2</f>
        <v>0</v>
      </c>
      <c r="BU14" s="39">
        <f>COUNTIF(E14:BN14,"AL")/2</f>
        <v>0</v>
      </c>
      <c r="BV14" s="39">
        <f>COUNTIF(E14:BN14,"SUS")/2</f>
        <v>0</v>
      </c>
      <c r="BW14" s="39">
        <f>COUNTIF(E14:BN14,"FL")/2</f>
        <v>0</v>
      </c>
      <c r="BX14" s="39">
        <f>COUNTIF(E14:BN14,"SICK")/2</f>
        <v>3</v>
      </c>
      <c r="BY14" s="39">
        <f>COUNTIF(E14:BN14,"HD")/2</f>
        <v>0</v>
      </c>
      <c r="BZ14" s="39">
        <f>COUNTIF(E14:BN14,"AB")/2</f>
        <v>0</v>
      </c>
      <c r="CA14" s="39">
        <f>COUNTIF(E14:BN14,"NL")/2</f>
        <v>0</v>
      </c>
      <c r="CB14" s="39">
        <f>COUNTIF(E14:BN14,"SP")/2</f>
        <v>0</v>
      </c>
      <c r="CC14" s="40"/>
      <c r="CF14" s="37">
        <v>4</v>
      </c>
      <c r="CG14" s="33">
        <v>1</v>
      </c>
      <c r="CH14" s="65">
        <v>30</v>
      </c>
      <c r="CI14" s="33">
        <v>0</v>
      </c>
      <c r="CJ14" s="33">
        <v>0</v>
      </c>
      <c r="CK14" s="33">
        <v>11</v>
      </c>
      <c r="CL14" s="33">
        <v>0</v>
      </c>
      <c r="CM14" s="33">
        <v>1</v>
      </c>
      <c r="CN14" s="33">
        <v>30</v>
      </c>
      <c r="CO14" s="33">
        <v>0</v>
      </c>
      <c r="CP14" s="44">
        <f t="shared" si="12"/>
        <v>77</v>
      </c>
    </row>
    <row r="15" spans="1:94" ht="24" customHeight="1" x14ac:dyDescent="0.25">
      <c r="A15" s="33">
        <v>11</v>
      </c>
      <c r="B15" s="39" t="s">
        <v>33</v>
      </c>
      <c r="C15" s="35" t="s">
        <v>34</v>
      </c>
      <c r="D15" s="82">
        <v>44513</v>
      </c>
      <c r="E15" s="91">
        <v>0.35347222222222219</v>
      </c>
      <c r="F15" s="91">
        <v>0.96944444444444444</v>
      </c>
      <c r="G15" s="91">
        <v>0.3527777777777778</v>
      </c>
      <c r="H15" s="91">
        <v>0.98402777777777783</v>
      </c>
      <c r="I15" s="92">
        <v>0.58402777777777781</v>
      </c>
      <c r="J15" s="92">
        <v>0.95833333333333337</v>
      </c>
      <c r="K15" s="91">
        <v>0.35347222222222219</v>
      </c>
      <c r="L15" s="91">
        <v>0.97638888888888886</v>
      </c>
      <c r="M15" s="91">
        <v>0.35347222222222219</v>
      </c>
      <c r="N15" s="91">
        <v>0.96319444444444446</v>
      </c>
      <c r="O15" s="91" t="s">
        <v>56</v>
      </c>
      <c r="P15" s="91" t="s">
        <v>56</v>
      </c>
      <c r="Q15" s="91">
        <v>0.35416666666666669</v>
      </c>
      <c r="R15" s="91">
        <v>0.97083333333333333</v>
      </c>
      <c r="S15" s="91">
        <v>0.35486111111111113</v>
      </c>
      <c r="T15" s="91">
        <v>0.95833333333333337</v>
      </c>
      <c r="U15" s="91">
        <v>0.3520833333333333</v>
      </c>
      <c r="V15" s="91">
        <v>0.98402777777777783</v>
      </c>
      <c r="W15" s="89" t="s">
        <v>55</v>
      </c>
      <c r="X15" s="89" t="s">
        <v>55</v>
      </c>
      <c r="Y15" s="91">
        <v>0.3527777777777778</v>
      </c>
      <c r="Z15" s="91">
        <v>0.97986111111111107</v>
      </c>
      <c r="AA15" s="91">
        <v>0.35416666666666669</v>
      </c>
      <c r="AB15" s="91">
        <v>0.96319444444444446</v>
      </c>
      <c r="AC15" s="91">
        <v>0.3527777777777778</v>
      </c>
      <c r="AD15" s="91">
        <v>0.95972222222222225</v>
      </c>
      <c r="AE15" s="91">
        <v>0.3527777777777778</v>
      </c>
      <c r="AF15" s="91">
        <v>0.96319444444444446</v>
      </c>
      <c r="AG15" s="91">
        <v>0.3527777777777778</v>
      </c>
      <c r="AH15" s="91">
        <v>0.96458333333333324</v>
      </c>
      <c r="AI15" s="87"/>
      <c r="AJ15" s="33">
        <v>11</v>
      </c>
      <c r="AK15" s="91">
        <v>0.35625000000000001</v>
      </c>
      <c r="AL15" s="91">
        <v>0.99583333333333324</v>
      </c>
      <c r="AM15" s="89" t="s">
        <v>55</v>
      </c>
      <c r="AN15" s="89" t="s">
        <v>55</v>
      </c>
      <c r="AO15" s="91">
        <v>0.35486111111111113</v>
      </c>
      <c r="AP15" s="91">
        <v>0.97986111111111107</v>
      </c>
      <c r="AQ15" s="91">
        <v>0.3527777777777778</v>
      </c>
      <c r="AR15" s="91">
        <v>0.96944444444444444</v>
      </c>
      <c r="AS15" s="91">
        <v>0.35347222222222219</v>
      </c>
      <c r="AT15" s="91">
        <v>0.96250000000000002</v>
      </c>
      <c r="AU15" s="91">
        <v>0.3576388888888889</v>
      </c>
      <c r="AV15" s="91">
        <v>0.96250000000000002</v>
      </c>
      <c r="AW15" s="91">
        <v>0.35486111111111113</v>
      </c>
      <c r="AX15" s="91">
        <v>0.95972222222222225</v>
      </c>
      <c r="AY15" s="91">
        <v>0.3527777777777778</v>
      </c>
      <c r="AZ15" s="91">
        <v>0.98055555555555562</v>
      </c>
      <c r="BA15" s="92">
        <v>0.5805555555555556</v>
      </c>
      <c r="BB15" s="92">
        <v>0.96944444444444444</v>
      </c>
      <c r="BC15" s="91">
        <v>0.3527777777777778</v>
      </c>
      <c r="BD15" s="91">
        <v>0.9770833333333333</v>
      </c>
      <c r="BE15" s="91">
        <v>0.35138888888888892</v>
      </c>
      <c r="BF15" s="91">
        <v>0.96111111111111114</v>
      </c>
      <c r="BG15" s="91">
        <v>0.35486111111111113</v>
      </c>
      <c r="BH15" s="91">
        <v>0.96388888888888891</v>
      </c>
      <c r="BI15" s="91" t="s">
        <v>56</v>
      </c>
      <c r="BJ15" s="91" t="s">
        <v>56</v>
      </c>
      <c r="BK15" s="91">
        <v>0.35625000000000001</v>
      </c>
      <c r="BL15" s="91">
        <v>0.95972222222222225</v>
      </c>
      <c r="BM15" s="91">
        <v>0.35555555555555557</v>
      </c>
      <c r="BN15" s="91">
        <v>0.99305555555555547</v>
      </c>
      <c r="BO15" s="7">
        <f t="shared" si="14"/>
        <v>30</v>
      </c>
      <c r="BP15" s="64">
        <v>2</v>
      </c>
      <c r="BQ15" s="38">
        <f>COUNT(E15:AH15)/2+COUNT(AK15:BN15)/2</f>
        <v>26</v>
      </c>
      <c r="BR15" s="39">
        <f>COUNTIF(E15:BN15,"OFF")/2</f>
        <v>2</v>
      </c>
      <c r="BS15" s="39">
        <f>COUNTIF(E15:BN15,"MC")/2</f>
        <v>2</v>
      </c>
      <c r="BT15" s="39">
        <f>COUNTIF(E15:BN15,"EL")/2</f>
        <v>0</v>
      </c>
      <c r="BU15" s="39">
        <f>COUNTIF(E15:BN15,"AL")/2</f>
        <v>0</v>
      </c>
      <c r="BV15" s="39">
        <f>COUNTIF(E15:BN15,"SUS")/2</f>
        <v>0</v>
      </c>
      <c r="BW15" s="39">
        <f>COUNTIF(E15:BN15,"FL")/2</f>
        <v>0</v>
      </c>
      <c r="BX15" s="39">
        <f>COUNTIF(E15:BN15,"SICK")/2</f>
        <v>0</v>
      </c>
      <c r="BY15" s="39">
        <f>COUNTIF(E15:BN15,"HD")/2</f>
        <v>0</v>
      </c>
      <c r="BZ15" s="39">
        <f>COUNTIF(E15:BN15,"AB")/2</f>
        <v>0</v>
      </c>
      <c r="CA15" s="39">
        <f>COUNTIF(E15:BN15,"NL")/2</f>
        <v>0</v>
      </c>
      <c r="CB15" s="39">
        <f>COUNTIF(E15:BN15,"SP")/2</f>
        <v>0</v>
      </c>
      <c r="CC15" s="40" t="s">
        <v>80</v>
      </c>
      <c r="CF15" s="37">
        <v>2</v>
      </c>
      <c r="CG15" s="33">
        <v>0</v>
      </c>
      <c r="CH15" s="33">
        <v>0</v>
      </c>
      <c r="CI15" s="33">
        <v>0</v>
      </c>
      <c r="CJ15" s="33">
        <v>0</v>
      </c>
      <c r="CK15" s="33">
        <v>0</v>
      </c>
      <c r="CL15" s="33">
        <v>0</v>
      </c>
      <c r="CM15" s="33">
        <v>0</v>
      </c>
      <c r="CN15" s="33">
        <v>0</v>
      </c>
      <c r="CO15" s="33">
        <v>0</v>
      </c>
      <c r="CP15" s="44">
        <f t="shared" si="12"/>
        <v>2</v>
      </c>
    </row>
    <row r="16" spans="1:94" ht="24" customHeight="1" x14ac:dyDescent="0.25">
      <c r="A16" s="33">
        <v>12</v>
      </c>
      <c r="B16" s="39" t="s">
        <v>35</v>
      </c>
      <c r="C16" s="35" t="s">
        <v>36</v>
      </c>
      <c r="D16" s="82"/>
      <c r="E16" s="91">
        <v>0.63402777777777775</v>
      </c>
      <c r="F16" s="91">
        <v>0.95000000000000007</v>
      </c>
      <c r="G16" s="91">
        <v>0.35486111111111113</v>
      </c>
      <c r="H16" s="91">
        <v>0.64583333333333337</v>
      </c>
      <c r="I16" s="89" t="s">
        <v>55</v>
      </c>
      <c r="J16" s="89" t="s">
        <v>55</v>
      </c>
      <c r="K16" s="91">
        <v>0.36944444444444446</v>
      </c>
      <c r="L16" s="91">
        <v>0.65069444444444446</v>
      </c>
      <c r="M16" s="91">
        <v>0.35486111111111113</v>
      </c>
      <c r="N16" s="91">
        <v>0.64930555555555558</v>
      </c>
      <c r="O16" s="91">
        <v>0.95138888888888884</v>
      </c>
      <c r="P16" s="88">
        <v>1</v>
      </c>
      <c r="Q16" s="91">
        <v>0.9472222222222223</v>
      </c>
      <c r="R16" s="88">
        <v>1</v>
      </c>
      <c r="S16" s="91">
        <v>0.62916666666666665</v>
      </c>
      <c r="T16" s="91">
        <v>0.9458333333333333</v>
      </c>
      <c r="U16" s="91">
        <v>0.62986111111111109</v>
      </c>
      <c r="V16" s="91">
        <v>0.96180555555555547</v>
      </c>
      <c r="W16" s="92">
        <v>0.57638888888888895</v>
      </c>
      <c r="X16" s="92">
        <v>0.94305555555555554</v>
      </c>
      <c r="Y16" s="91">
        <v>0.3520833333333333</v>
      </c>
      <c r="Z16" s="88">
        <v>1</v>
      </c>
      <c r="AA16" s="91">
        <v>0.63124999999999998</v>
      </c>
      <c r="AB16" s="91">
        <v>0.94791666666666663</v>
      </c>
      <c r="AC16" s="91">
        <v>0.64236111111111105</v>
      </c>
      <c r="AD16" s="91">
        <v>0.94374999999999998</v>
      </c>
      <c r="AE16" s="91">
        <v>0.63611111111111118</v>
      </c>
      <c r="AF16" s="91">
        <v>0.94652777777777775</v>
      </c>
      <c r="AG16" s="91">
        <v>0.62986111111111109</v>
      </c>
      <c r="AH16" s="91">
        <v>0.94791666666666663</v>
      </c>
      <c r="AI16" s="87"/>
      <c r="AJ16" s="33">
        <v>12</v>
      </c>
      <c r="AK16" s="91">
        <v>0.62986111111111109</v>
      </c>
      <c r="AL16" s="91">
        <v>0.96736111111111101</v>
      </c>
      <c r="AM16" s="89" t="s">
        <v>55</v>
      </c>
      <c r="AN16" s="89" t="s">
        <v>55</v>
      </c>
      <c r="AO16" s="91">
        <v>0.34791666666666665</v>
      </c>
      <c r="AP16" s="91">
        <v>0.64930555555555558</v>
      </c>
      <c r="AQ16" s="91">
        <v>0.64236111111111105</v>
      </c>
      <c r="AR16" s="91">
        <v>0.94791666666666663</v>
      </c>
      <c r="AS16" s="91">
        <v>0.62847222222222221</v>
      </c>
      <c r="AT16" s="91">
        <v>0.94791666666666663</v>
      </c>
      <c r="AU16" s="91">
        <v>0.63402777777777775</v>
      </c>
      <c r="AV16" s="91">
        <v>0.94166666666666676</v>
      </c>
      <c r="AW16" s="91">
        <v>0.65069444444444446</v>
      </c>
      <c r="AX16" s="91">
        <v>0.95000000000000007</v>
      </c>
      <c r="AY16" s="91">
        <v>0.62013888888888891</v>
      </c>
      <c r="AZ16" s="91">
        <v>0.97152777777777777</v>
      </c>
      <c r="BA16" s="92">
        <v>0.57847222222222217</v>
      </c>
      <c r="BB16" s="92">
        <v>0.95624999999999993</v>
      </c>
      <c r="BC16" s="91">
        <v>0.63888888888888895</v>
      </c>
      <c r="BD16" s="91">
        <v>0.96180555555555547</v>
      </c>
      <c r="BE16" s="91">
        <v>0.63055555555555554</v>
      </c>
      <c r="BF16" s="91">
        <v>0.95000000000000007</v>
      </c>
      <c r="BG16" s="91">
        <v>0.9458333333333333</v>
      </c>
      <c r="BH16" s="88">
        <v>1</v>
      </c>
      <c r="BI16" s="91">
        <v>0.63541666666666663</v>
      </c>
      <c r="BJ16" s="91">
        <v>0.9472222222222223</v>
      </c>
      <c r="BK16" s="91" t="s">
        <v>60</v>
      </c>
      <c r="BL16" s="91" t="s">
        <v>60</v>
      </c>
      <c r="BM16" s="91">
        <v>0.35138888888888892</v>
      </c>
      <c r="BN16" s="91">
        <v>0.65625</v>
      </c>
      <c r="BO16" s="7">
        <f t="shared" si="14"/>
        <v>30</v>
      </c>
      <c r="BP16" s="64">
        <v>2</v>
      </c>
      <c r="BQ16" s="38">
        <f>COUNT(E16:AH16)/2+COUNT(AK16:BN16)/2</f>
        <v>27</v>
      </c>
      <c r="BR16" s="39">
        <f>COUNTIF(E16:BN16,"OFF")/2</f>
        <v>2</v>
      </c>
      <c r="BS16" s="39">
        <f>COUNTIF(E16:BN16,"MC")/2</f>
        <v>0</v>
      </c>
      <c r="BT16" s="39">
        <f>COUNTIF(E16:BN16,"EL")/2</f>
        <v>0</v>
      </c>
      <c r="BU16" s="39">
        <f>COUNTIF(E16:BN16,"AL")/2</f>
        <v>0</v>
      </c>
      <c r="BV16" s="39">
        <f>COUNTIF(E16:BN16,"SUS")/2</f>
        <v>0</v>
      </c>
      <c r="BW16" s="39">
        <f>COUNTIF(E16:BN16,"FL")/2</f>
        <v>1</v>
      </c>
      <c r="BX16" s="39">
        <f>COUNTIF(E16:BN16,"SICK")/2</f>
        <v>0</v>
      </c>
      <c r="BY16" s="39">
        <f>COUNTIF(E16:BN16,"HD")/2</f>
        <v>0</v>
      </c>
      <c r="BZ16" s="39">
        <f>COUNTIF(E16:BN16,"AB")/2</f>
        <v>0</v>
      </c>
      <c r="CA16" s="39">
        <f>COUNTIF(E16:BN16,"NL")/2</f>
        <v>0</v>
      </c>
      <c r="CB16" s="39">
        <f>COUNTIF(E16:BN16,"SP")/2</f>
        <v>0</v>
      </c>
      <c r="CC16" s="40"/>
      <c r="CF16" s="37">
        <v>0</v>
      </c>
      <c r="CG16" s="33">
        <v>0</v>
      </c>
      <c r="CH16" s="33">
        <v>0</v>
      </c>
      <c r="CI16" s="33">
        <v>0</v>
      </c>
      <c r="CJ16" s="33">
        <v>1</v>
      </c>
      <c r="CK16" s="33">
        <v>2</v>
      </c>
      <c r="CL16" s="33">
        <v>0</v>
      </c>
      <c r="CM16" s="33">
        <v>0</v>
      </c>
      <c r="CN16" s="33">
        <v>0</v>
      </c>
      <c r="CO16" s="33">
        <v>0</v>
      </c>
      <c r="CP16" s="44">
        <f t="shared" si="12"/>
        <v>3</v>
      </c>
    </row>
    <row r="17" spans="1:96" ht="24" customHeight="1" x14ac:dyDescent="0.25">
      <c r="A17" s="33">
        <v>13</v>
      </c>
      <c r="B17" s="39" t="s">
        <v>37</v>
      </c>
      <c r="C17" s="35" t="s">
        <v>38</v>
      </c>
      <c r="D17" s="82">
        <v>44791</v>
      </c>
      <c r="E17" s="91">
        <v>0.3444444444444445</v>
      </c>
      <c r="F17" s="91">
        <v>0.88541666666666663</v>
      </c>
      <c r="G17" s="91">
        <v>0.34930555555555554</v>
      </c>
      <c r="H17" s="88">
        <v>1</v>
      </c>
      <c r="I17" s="92">
        <v>0.58819444444444446</v>
      </c>
      <c r="J17" s="92">
        <v>0.89166666666666661</v>
      </c>
      <c r="K17" s="91">
        <v>0.33680555555555558</v>
      </c>
      <c r="L17" s="91">
        <v>0.88194444444444453</v>
      </c>
      <c r="M17" s="91">
        <v>0.37361111111111112</v>
      </c>
      <c r="N17" s="88">
        <v>1</v>
      </c>
      <c r="O17" s="91">
        <v>0.34861111111111115</v>
      </c>
      <c r="P17" s="88">
        <v>1</v>
      </c>
      <c r="Q17" s="91">
        <v>0.34583333333333338</v>
      </c>
      <c r="R17" s="88">
        <v>1</v>
      </c>
      <c r="S17" s="91">
        <v>0.34027777777777773</v>
      </c>
      <c r="T17" s="88">
        <v>1</v>
      </c>
      <c r="U17" s="91">
        <v>0.34583333333333338</v>
      </c>
      <c r="V17" s="88">
        <v>1</v>
      </c>
      <c r="W17" s="89" t="s">
        <v>55</v>
      </c>
      <c r="X17" s="89" t="s">
        <v>55</v>
      </c>
      <c r="Y17" s="91">
        <v>0.3430555555555555</v>
      </c>
      <c r="Z17" s="91">
        <v>0.88541666666666663</v>
      </c>
      <c r="AA17" s="91">
        <v>0.3520833333333333</v>
      </c>
      <c r="AB17" s="91">
        <v>0.92152777777777783</v>
      </c>
      <c r="AC17" s="91">
        <v>0.47430555555555554</v>
      </c>
      <c r="AD17" s="91">
        <v>0.8979166666666667</v>
      </c>
      <c r="AE17" s="91">
        <v>0.88194444444444453</v>
      </c>
      <c r="AF17" s="88">
        <v>1</v>
      </c>
      <c r="AG17" s="91">
        <v>0.34513888888888888</v>
      </c>
      <c r="AH17" s="88">
        <v>1</v>
      </c>
      <c r="AI17" s="87"/>
      <c r="AJ17" s="33">
        <v>13</v>
      </c>
      <c r="AK17" s="91">
        <v>0.4055555555555555</v>
      </c>
      <c r="AL17" s="88">
        <v>1</v>
      </c>
      <c r="AM17" s="92">
        <v>0.68541666666666667</v>
      </c>
      <c r="AN17" s="92">
        <v>0.9</v>
      </c>
      <c r="AO17" s="91">
        <v>0.36249999999999999</v>
      </c>
      <c r="AP17" s="88">
        <v>1</v>
      </c>
      <c r="AQ17" s="91">
        <v>0.33888888888888885</v>
      </c>
      <c r="AR17" s="91">
        <v>0.88124999999999998</v>
      </c>
      <c r="AS17" s="91">
        <v>0.34166666666666662</v>
      </c>
      <c r="AT17" s="91">
        <v>0.90138888888888891</v>
      </c>
      <c r="AU17" s="91">
        <v>0.3444444444444445</v>
      </c>
      <c r="AV17" s="91">
        <v>0.88402777777777775</v>
      </c>
      <c r="AW17" s="91">
        <v>0.40138888888888885</v>
      </c>
      <c r="AX17" s="88">
        <v>1</v>
      </c>
      <c r="AY17" s="91">
        <v>0.33124999999999999</v>
      </c>
      <c r="AZ17" s="88">
        <v>1</v>
      </c>
      <c r="BA17" s="89" t="s">
        <v>55</v>
      </c>
      <c r="BB17" s="89" t="s">
        <v>55</v>
      </c>
      <c r="BC17" s="88">
        <v>1</v>
      </c>
      <c r="BD17" s="88">
        <v>1</v>
      </c>
      <c r="BE17" s="88">
        <v>1</v>
      </c>
      <c r="BF17" s="88">
        <v>1</v>
      </c>
      <c r="BG17" s="91">
        <v>0.34583333333333338</v>
      </c>
      <c r="BH17" s="91">
        <v>0.86319444444444438</v>
      </c>
      <c r="BI17" s="91">
        <v>0.3354166666666667</v>
      </c>
      <c r="BJ17" s="88">
        <v>1</v>
      </c>
      <c r="BK17" s="91">
        <v>0.3354166666666667</v>
      </c>
      <c r="BL17" s="88">
        <v>1</v>
      </c>
      <c r="BM17" s="91">
        <v>0.34861111111111115</v>
      </c>
      <c r="BN17" s="88">
        <v>1</v>
      </c>
      <c r="BO17" s="7">
        <f t="shared" si="14"/>
        <v>30</v>
      </c>
      <c r="BP17" s="64">
        <v>2</v>
      </c>
      <c r="BQ17" s="38">
        <f>COUNT(E17:AH17)/2+COUNT(AK17:BN17)/2</f>
        <v>28</v>
      </c>
      <c r="BR17" s="39">
        <f>COUNTIF(E17:BN17,"OFF")/2</f>
        <v>2</v>
      </c>
      <c r="BS17" s="39">
        <f>COUNTIF(E17:BN17,"MC")/2</f>
        <v>0</v>
      </c>
      <c r="BT17" s="39">
        <f>COUNTIF(E17:BN17,"EL")/2</f>
        <v>0</v>
      </c>
      <c r="BU17" s="39">
        <f>COUNTIF(E17:BN17,"AL")/2</f>
        <v>0</v>
      </c>
      <c r="BV17" s="39">
        <f>COUNTIF(E17:BN17,"SUS")/2</f>
        <v>0</v>
      </c>
      <c r="BW17" s="39">
        <f>COUNTIF(E17:BN17,"FL")/2</f>
        <v>0</v>
      </c>
      <c r="BX17" s="39">
        <f>COUNTIF(E17:BN17,"SICK")/2</f>
        <v>0</v>
      </c>
      <c r="BY17" s="39">
        <f>COUNTIF(E17:BN17,"HD")/2</f>
        <v>0</v>
      </c>
      <c r="BZ17" s="39">
        <f>COUNTIF(E17:BN17,"AB")/2</f>
        <v>0</v>
      </c>
      <c r="CA17" s="39">
        <f>COUNTIF(E17:BN17,"NL")/2</f>
        <v>0</v>
      </c>
      <c r="CB17" s="39">
        <f>COUNTIF(E17:BN17,"SP")/2</f>
        <v>0</v>
      </c>
      <c r="CC17" s="40" t="s">
        <v>80</v>
      </c>
      <c r="CF17" s="37">
        <v>0</v>
      </c>
      <c r="CG17" s="33">
        <v>0</v>
      </c>
      <c r="CH17" s="33">
        <v>0</v>
      </c>
      <c r="CI17" s="33">
        <v>0</v>
      </c>
      <c r="CJ17" s="33">
        <v>0</v>
      </c>
      <c r="CK17" s="33">
        <v>0</v>
      </c>
      <c r="CL17" s="33">
        <v>0</v>
      </c>
      <c r="CM17" s="33">
        <v>0</v>
      </c>
      <c r="CN17" s="33">
        <v>0</v>
      </c>
      <c r="CO17" s="33">
        <v>0</v>
      </c>
      <c r="CP17" s="44">
        <f t="shared" si="12"/>
        <v>0</v>
      </c>
    </row>
    <row r="18" spans="1:96" ht="24" customHeight="1" x14ac:dyDescent="0.25">
      <c r="A18" s="33">
        <v>14</v>
      </c>
      <c r="B18" s="39" t="s">
        <v>41</v>
      </c>
      <c r="C18" s="35" t="s">
        <v>42</v>
      </c>
      <c r="D18" s="85">
        <v>45292</v>
      </c>
      <c r="E18" s="88">
        <v>1</v>
      </c>
      <c r="F18" s="88">
        <v>1</v>
      </c>
      <c r="G18" s="88">
        <v>1</v>
      </c>
      <c r="H18" s="88">
        <v>1</v>
      </c>
      <c r="I18" s="89" t="s">
        <v>55</v>
      </c>
      <c r="J18" s="89" t="s">
        <v>55</v>
      </c>
      <c r="K18" s="88">
        <v>1</v>
      </c>
      <c r="L18" s="88">
        <v>1</v>
      </c>
      <c r="M18" s="88">
        <v>1</v>
      </c>
      <c r="N18" s="88">
        <v>1</v>
      </c>
      <c r="O18" s="90">
        <v>1</v>
      </c>
      <c r="P18" s="88">
        <v>1</v>
      </c>
      <c r="Q18" s="88">
        <v>1</v>
      </c>
      <c r="R18" s="88">
        <v>1</v>
      </c>
      <c r="S18" s="88">
        <v>1</v>
      </c>
      <c r="T18" s="88">
        <v>1</v>
      </c>
      <c r="U18" s="88">
        <v>1</v>
      </c>
      <c r="V18" s="88">
        <v>1</v>
      </c>
      <c r="W18" s="89" t="s">
        <v>55</v>
      </c>
      <c r="X18" s="89" t="s">
        <v>55</v>
      </c>
      <c r="Y18" s="88">
        <v>1</v>
      </c>
      <c r="Z18" s="88">
        <v>1</v>
      </c>
      <c r="AA18" s="88">
        <v>1</v>
      </c>
      <c r="AB18" s="88">
        <v>1</v>
      </c>
      <c r="AC18" s="88">
        <v>1</v>
      </c>
      <c r="AD18" s="88">
        <v>1</v>
      </c>
      <c r="AE18" s="88">
        <v>1</v>
      </c>
      <c r="AF18" s="88">
        <v>1</v>
      </c>
      <c r="AG18" s="88">
        <v>1</v>
      </c>
      <c r="AH18" s="88">
        <v>1</v>
      </c>
      <c r="AI18" s="87"/>
      <c r="AJ18" s="33">
        <v>14</v>
      </c>
      <c r="AK18" s="88">
        <v>1</v>
      </c>
      <c r="AL18" s="88">
        <v>1</v>
      </c>
      <c r="AM18" s="89" t="s">
        <v>55</v>
      </c>
      <c r="AN18" s="89" t="s">
        <v>55</v>
      </c>
      <c r="AO18" s="88">
        <v>1</v>
      </c>
      <c r="AP18" s="88">
        <v>1</v>
      </c>
      <c r="AQ18" s="88">
        <v>1</v>
      </c>
      <c r="AR18" s="88">
        <v>1</v>
      </c>
      <c r="AS18" s="88">
        <v>1</v>
      </c>
      <c r="AT18" s="88">
        <v>1</v>
      </c>
      <c r="AU18" s="88">
        <v>1</v>
      </c>
      <c r="AV18" s="88">
        <v>1</v>
      </c>
      <c r="AW18" s="88">
        <v>1</v>
      </c>
      <c r="AX18" s="88">
        <v>1</v>
      </c>
      <c r="AY18" s="88">
        <v>1</v>
      </c>
      <c r="AZ18" s="88">
        <v>1</v>
      </c>
      <c r="BA18" s="89" t="s">
        <v>55</v>
      </c>
      <c r="BB18" s="89" t="s">
        <v>55</v>
      </c>
      <c r="BC18" s="88">
        <v>1</v>
      </c>
      <c r="BD18" s="88">
        <v>1</v>
      </c>
      <c r="BE18" s="88">
        <v>1</v>
      </c>
      <c r="BF18" s="88">
        <v>1</v>
      </c>
      <c r="BG18" s="88">
        <v>1</v>
      </c>
      <c r="BH18" s="88">
        <v>1</v>
      </c>
      <c r="BI18" s="88">
        <v>1</v>
      </c>
      <c r="BJ18" s="88">
        <v>1</v>
      </c>
      <c r="BK18" s="88">
        <v>1</v>
      </c>
      <c r="BL18" s="88">
        <v>1</v>
      </c>
      <c r="BM18" s="88">
        <v>1</v>
      </c>
      <c r="BN18" s="88">
        <v>1</v>
      </c>
      <c r="BO18" s="7">
        <f t="shared" si="14"/>
        <v>30</v>
      </c>
      <c r="BP18" s="64">
        <v>0</v>
      </c>
      <c r="BQ18" s="38">
        <f t="shared" si="0"/>
        <v>26</v>
      </c>
      <c r="BR18" s="39">
        <f t="shared" si="1"/>
        <v>4</v>
      </c>
      <c r="BS18" s="39">
        <f t="shared" si="2"/>
        <v>0</v>
      </c>
      <c r="BT18" s="39">
        <f t="shared" si="3"/>
        <v>0</v>
      </c>
      <c r="BU18" s="39">
        <f t="shared" si="4"/>
        <v>0</v>
      </c>
      <c r="BV18" s="39">
        <f t="shared" si="5"/>
        <v>0</v>
      </c>
      <c r="BW18" s="39">
        <f t="shared" si="6"/>
        <v>0</v>
      </c>
      <c r="BX18" s="39">
        <f t="shared" si="7"/>
        <v>0</v>
      </c>
      <c r="BY18" s="39">
        <f t="shared" si="8"/>
        <v>0</v>
      </c>
      <c r="BZ18" s="39">
        <f t="shared" si="9"/>
        <v>0</v>
      </c>
      <c r="CA18" s="39">
        <f t="shared" si="10"/>
        <v>0</v>
      </c>
      <c r="CB18" s="39">
        <f t="shared" si="11"/>
        <v>0</v>
      </c>
      <c r="CC18" s="40"/>
      <c r="CF18" s="37">
        <v>0</v>
      </c>
      <c r="CG18" s="33">
        <v>0</v>
      </c>
      <c r="CH18" s="33">
        <v>0</v>
      </c>
      <c r="CI18" s="33">
        <v>0</v>
      </c>
      <c r="CJ18" s="33">
        <v>0</v>
      </c>
      <c r="CK18" s="33">
        <v>0</v>
      </c>
      <c r="CL18" s="33">
        <v>0</v>
      </c>
      <c r="CM18" s="33">
        <v>0</v>
      </c>
      <c r="CN18" s="33">
        <v>0</v>
      </c>
      <c r="CO18" s="33">
        <v>0</v>
      </c>
      <c r="CP18" s="44">
        <f t="shared" si="12"/>
        <v>0</v>
      </c>
    </row>
    <row r="19" spans="1:96" ht="24" customHeight="1" x14ac:dyDescent="0.25">
      <c r="A19" s="33">
        <v>15</v>
      </c>
      <c r="B19" s="39" t="s">
        <v>43</v>
      </c>
      <c r="C19" s="35" t="s">
        <v>44</v>
      </c>
      <c r="D19" s="82">
        <v>45491</v>
      </c>
      <c r="E19" s="91">
        <v>0.35416666666666669</v>
      </c>
      <c r="F19" s="88">
        <v>1</v>
      </c>
      <c r="G19" s="91">
        <v>0.64513888888888882</v>
      </c>
      <c r="H19" s="91">
        <v>0.64583333333333337</v>
      </c>
      <c r="I19" s="92">
        <v>0.57777777777777783</v>
      </c>
      <c r="J19" s="89">
        <v>1</v>
      </c>
      <c r="K19" s="91">
        <v>0.65069444444444446</v>
      </c>
      <c r="L19" s="88">
        <v>1</v>
      </c>
      <c r="M19" s="91">
        <v>0.64583333333333337</v>
      </c>
      <c r="N19" s="88">
        <v>1</v>
      </c>
      <c r="O19" s="91">
        <v>0.35347222222222219</v>
      </c>
      <c r="P19" s="88">
        <v>1</v>
      </c>
      <c r="Q19" s="88" t="s">
        <v>63</v>
      </c>
      <c r="R19" s="88" t="s">
        <v>63</v>
      </c>
      <c r="S19" s="91">
        <v>0.35416666666666669</v>
      </c>
      <c r="T19" s="88">
        <v>1</v>
      </c>
      <c r="U19" s="91">
        <v>0.3527777777777778</v>
      </c>
      <c r="V19" s="88">
        <v>1</v>
      </c>
      <c r="W19" s="89" t="s">
        <v>55</v>
      </c>
      <c r="X19" s="89" t="s">
        <v>55</v>
      </c>
      <c r="Y19" s="91">
        <v>0.64513888888888882</v>
      </c>
      <c r="Z19" s="91">
        <v>0.97291666666666676</v>
      </c>
      <c r="AA19" s="91">
        <v>0.3520833333333333</v>
      </c>
      <c r="AB19" s="91">
        <v>0.3527777777777778</v>
      </c>
      <c r="AC19" s="91">
        <v>0.35347222222222219</v>
      </c>
      <c r="AD19" s="88">
        <v>1</v>
      </c>
      <c r="AE19" s="91">
        <v>0.35416666666666669</v>
      </c>
      <c r="AF19" s="88">
        <v>1</v>
      </c>
      <c r="AG19" s="91">
        <v>0.45694444444444443</v>
      </c>
      <c r="AH19" s="88">
        <v>1</v>
      </c>
      <c r="AI19" s="87"/>
      <c r="AJ19" s="33">
        <v>15</v>
      </c>
      <c r="AK19" s="91">
        <v>0.35486111111111113</v>
      </c>
      <c r="AL19" s="91">
        <v>0.35555555555555557</v>
      </c>
      <c r="AM19" s="92">
        <v>0.57986111111111105</v>
      </c>
      <c r="AN19" s="92">
        <v>0.58124999999999993</v>
      </c>
      <c r="AO19" s="91">
        <v>0.64444444444444449</v>
      </c>
      <c r="AP19" s="88">
        <v>1</v>
      </c>
      <c r="AQ19" s="91" t="s">
        <v>58</v>
      </c>
      <c r="AR19" s="91" t="s">
        <v>58</v>
      </c>
      <c r="AS19" s="91" t="s">
        <v>58</v>
      </c>
      <c r="AT19" s="91" t="s">
        <v>58</v>
      </c>
      <c r="AU19" s="91" t="s">
        <v>58</v>
      </c>
      <c r="AV19" s="91" t="s">
        <v>58</v>
      </c>
      <c r="AW19" s="91" t="s">
        <v>58</v>
      </c>
      <c r="AX19" s="91" t="s">
        <v>58</v>
      </c>
      <c r="AY19" s="91" t="s">
        <v>58</v>
      </c>
      <c r="AZ19" s="91" t="s">
        <v>58</v>
      </c>
      <c r="BA19" s="92" t="s">
        <v>58</v>
      </c>
      <c r="BB19" s="92" t="s">
        <v>58</v>
      </c>
      <c r="BC19" s="91" t="s">
        <v>58</v>
      </c>
      <c r="BD19" s="91" t="s">
        <v>58</v>
      </c>
      <c r="BE19" s="91" t="s">
        <v>58</v>
      </c>
      <c r="BF19" s="91" t="s">
        <v>58</v>
      </c>
      <c r="BG19" s="91" t="s">
        <v>58</v>
      </c>
      <c r="BH19" s="91" t="s">
        <v>58</v>
      </c>
      <c r="BI19" s="91" t="s">
        <v>58</v>
      </c>
      <c r="BJ19" s="91" t="s">
        <v>58</v>
      </c>
      <c r="BK19" s="91" t="s">
        <v>58</v>
      </c>
      <c r="BL19" s="91" t="s">
        <v>58</v>
      </c>
      <c r="BM19" s="91" t="s">
        <v>58</v>
      </c>
      <c r="BN19" s="91" t="s">
        <v>58</v>
      </c>
      <c r="BO19" s="7">
        <f t="shared" si="14"/>
        <v>29</v>
      </c>
      <c r="BP19" s="64">
        <v>2</v>
      </c>
      <c r="BQ19" s="38">
        <f t="shared" si="0"/>
        <v>16</v>
      </c>
      <c r="BR19" s="39">
        <f t="shared" si="1"/>
        <v>1</v>
      </c>
      <c r="BS19" s="39">
        <f t="shared" si="2"/>
        <v>0</v>
      </c>
      <c r="BT19" s="39">
        <f t="shared" si="3"/>
        <v>0</v>
      </c>
      <c r="BU19" s="39">
        <f t="shared" si="4"/>
        <v>12</v>
      </c>
      <c r="BV19" s="39">
        <f t="shared" si="5"/>
        <v>0</v>
      </c>
      <c r="BW19" s="39">
        <f t="shared" si="6"/>
        <v>0</v>
      </c>
      <c r="BX19" s="39">
        <f t="shared" si="7"/>
        <v>0</v>
      </c>
      <c r="BY19" s="39">
        <f t="shared" si="8"/>
        <v>0</v>
      </c>
      <c r="BZ19" s="39">
        <f t="shared" si="9"/>
        <v>1</v>
      </c>
      <c r="CA19" s="39">
        <f t="shared" si="10"/>
        <v>0</v>
      </c>
      <c r="CB19" s="39">
        <f t="shared" si="11"/>
        <v>0</v>
      </c>
      <c r="CC19" s="40"/>
      <c r="CF19" s="37">
        <v>0</v>
      </c>
      <c r="CG19" s="33">
        <v>11</v>
      </c>
      <c r="CH19" s="33">
        <v>18</v>
      </c>
      <c r="CI19" s="33">
        <v>0</v>
      </c>
      <c r="CJ19" s="33">
        <v>0</v>
      </c>
      <c r="CK19" s="33">
        <v>5</v>
      </c>
      <c r="CL19" s="33">
        <v>0</v>
      </c>
      <c r="CM19" s="33">
        <v>2</v>
      </c>
      <c r="CN19" s="33">
        <v>0</v>
      </c>
      <c r="CO19" s="33">
        <v>0</v>
      </c>
      <c r="CP19" s="44">
        <f t="shared" si="12"/>
        <v>36</v>
      </c>
    </row>
    <row r="20" spans="1:96" ht="24" customHeight="1" x14ac:dyDescent="0.25">
      <c r="A20" s="33">
        <v>16</v>
      </c>
      <c r="B20" s="39" t="s">
        <v>45</v>
      </c>
      <c r="C20" s="35" t="s">
        <v>46</v>
      </c>
      <c r="D20" s="82">
        <v>45509</v>
      </c>
      <c r="E20" s="91">
        <v>0.64374999999999993</v>
      </c>
      <c r="F20" s="91">
        <v>0.95000000000000007</v>
      </c>
      <c r="G20" s="91">
        <v>0.6430555555555556</v>
      </c>
      <c r="H20" s="91">
        <v>0.96875</v>
      </c>
      <c r="I20" s="92">
        <v>0.58611111111111114</v>
      </c>
      <c r="J20" s="92">
        <v>0.9472222222222223</v>
      </c>
      <c r="K20" s="91">
        <v>0.35694444444444445</v>
      </c>
      <c r="L20" s="91">
        <v>0.65347222222222223</v>
      </c>
      <c r="M20" s="91">
        <v>0.3576388888888889</v>
      </c>
      <c r="N20" s="91">
        <v>0.64930555555555558</v>
      </c>
      <c r="O20" s="91">
        <v>0.35625000000000001</v>
      </c>
      <c r="P20" s="91">
        <v>0.6479166666666667</v>
      </c>
      <c r="Q20" s="91">
        <v>0.35694444444444445</v>
      </c>
      <c r="R20" s="91">
        <v>0.64722222222222225</v>
      </c>
      <c r="S20" s="91">
        <v>0.35694444444444445</v>
      </c>
      <c r="T20" s="91">
        <v>0.64583333333333337</v>
      </c>
      <c r="U20" s="91">
        <v>0.35833333333333334</v>
      </c>
      <c r="V20" s="88">
        <v>1</v>
      </c>
      <c r="W20" s="89" t="s">
        <v>55</v>
      </c>
      <c r="X20" s="89" t="s">
        <v>55</v>
      </c>
      <c r="Y20" s="91">
        <v>0.6479166666666667</v>
      </c>
      <c r="Z20" s="91">
        <v>0.96666666666666667</v>
      </c>
      <c r="AA20" s="91">
        <v>0.64444444444444449</v>
      </c>
      <c r="AB20" s="91">
        <v>0.94652777777777775</v>
      </c>
      <c r="AC20" s="91">
        <v>0.6430555555555556</v>
      </c>
      <c r="AD20" s="91">
        <v>0.9458333333333333</v>
      </c>
      <c r="AE20" s="91">
        <v>0.64583333333333337</v>
      </c>
      <c r="AF20" s="91">
        <v>0.9472222222222223</v>
      </c>
      <c r="AG20" s="91">
        <v>0.64930555555555558</v>
      </c>
      <c r="AH20" s="91">
        <v>0.94652777777777775</v>
      </c>
      <c r="AI20" s="87"/>
      <c r="AJ20" s="33">
        <v>16</v>
      </c>
      <c r="AK20" s="91">
        <v>0.64652777777777781</v>
      </c>
      <c r="AL20" s="91">
        <v>0.96944444444444444</v>
      </c>
      <c r="AM20" s="92">
        <v>0.58333333333333337</v>
      </c>
      <c r="AN20" s="92">
        <v>0.94236111111111109</v>
      </c>
      <c r="AO20" s="91">
        <v>0.3527777777777778</v>
      </c>
      <c r="AP20" s="91">
        <v>0.64722222222222225</v>
      </c>
      <c r="AQ20" s="91" t="s">
        <v>56</v>
      </c>
      <c r="AR20" s="91" t="s">
        <v>56</v>
      </c>
      <c r="AS20" s="91">
        <v>0.35416666666666669</v>
      </c>
      <c r="AT20" s="91">
        <v>0.6479166666666667</v>
      </c>
      <c r="AU20" s="91">
        <v>0.38680555555555557</v>
      </c>
      <c r="AV20" s="91">
        <v>0.6479166666666667</v>
      </c>
      <c r="AW20" s="91">
        <v>0.35347222222222219</v>
      </c>
      <c r="AX20" s="91">
        <v>0.64583333333333337</v>
      </c>
      <c r="AY20" s="91">
        <v>0.35347222222222219</v>
      </c>
      <c r="AZ20" s="91">
        <v>0.64722222222222225</v>
      </c>
      <c r="BA20" s="89" t="s">
        <v>55</v>
      </c>
      <c r="BB20" s="89" t="s">
        <v>55</v>
      </c>
      <c r="BC20" s="91">
        <v>0.64236111111111105</v>
      </c>
      <c r="BD20" s="91">
        <v>0.96805555555555556</v>
      </c>
      <c r="BE20" s="91">
        <v>0.64861111111111114</v>
      </c>
      <c r="BF20" s="91">
        <v>0.9458333333333333</v>
      </c>
      <c r="BG20" s="91">
        <v>0.64861111111111114</v>
      </c>
      <c r="BH20" s="91">
        <v>0.95000000000000007</v>
      </c>
      <c r="BI20" s="91" t="s">
        <v>97</v>
      </c>
      <c r="BJ20" s="91" t="s">
        <v>97</v>
      </c>
      <c r="BK20" s="91">
        <v>0.64374999999999993</v>
      </c>
      <c r="BL20" s="91">
        <v>0.94652777777777775</v>
      </c>
      <c r="BM20" s="91">
        <v>0.64722222222222225</v>
      </c>
      <c r="BN20" s="91">
        <v>0.93125000000000002</v>
      </c>
      <c r="BO20" s="7">
        <f t="shared" si="14"/>
        <v>30</v>
      </c>
      <c r="BP20" s="64">
        <v>2</v>
      </c>
      <c r="BQ20" s="38">
        <f>COUNT(E20:AH20)/2+COUNT(AK20:BN20)/2</f>
        <v>26</v>
      </c>
      <c r="BR20" s="39">
        <f>COUNTIF(E20:BN20,"OFF")/2</f>
        <v>2</v>
      </c>
      <c r="BS20" s="39">
        <f>COUNTIF(E20:BN20,"MC")/2</f>
        <v>1</v>
      </c>
      <c r="BT20" s="39">
        <f>COUNTIF(E20:BN20,"EL")/2</f>
        <v>0</v>
      </c>
      <c r="BU20" s="39">
        <f>COUNTIF(E20:BN20,"AL")/2</f>
        <v>0</v>
      </c>
      <c r="BV20" s="39">
        <f>COUNTIF(E20:BN20,"SUS")/2</f>
        <v>0</v>
      </c>
      <c r="BW20" s="39">
        <f>COUNTIF(E20:BN20,"FL")/2</f>
        <v>0</v>
      </c>
      <c r="BX20" s="39">
        <f>COUNTIF(E20:BN20,"SICK")/2</f>
        <v>1</v>
      </c>
      <c r="BY20" s="39">
        <f>COUNTIF(E20:BN20,"HD")/2</f>
        <v>0</v>
      </c>
      <c r="BZ20" s="39">
        <f>COUNTIF(E20:BN20,"AB")/2</f>
        <v>0</v>
      </c>
      <c r="CA20" s="39">
        <f>COUNTIF(E20:BN20,"NL")/2</f>
        <v>0</v>
      </c>
      <c r="CB20" s="39">
        <f>COUNTIF(E20:BN20,"SP")/2</f>
        <v>0</v>
      </c>
      <c r="CC20" s="40"/>
      <c r="CF20" s="37">
        <v>1</v>
      </c>
      <c r="CG20" s="33">
        <v>0</v>
      </c>
      <c r="CH20" s="33">
        <v>0</v>
      </c>
      <c r="CI20" s="33">
        <v>0</v>
      </c>
      <c r="CJ20" s="33">
        <v>0</v>
      </c>
      <c r="CK20" s="33">
        <v>11</v>
      </c>
      <c r="CL20" s="33">
        <v>0</v>
      </c>
      <c r="CM20" s="33">
        <v>3</v>
      </c>
      <c r="CN20" s="33">
        <v>0</v>
      </c>
      <c r="CO20" s="33">
        <v>0</v>
      </c>
      <c r="CP20" s="44">
        <f t="shared" si="12"/>
        <v>15</v>
      </c>
    </row>
    <row r="21" spans="1:96" ht="24" customHeight="1" x14ac:dyDescent="0.25">
      <c r="A21" s="33">
        <v>17</v>
      </c>
      <c r="B21" s="43" t="s">
        <v>47</v>
      </c>
      <c r="C21" s="35" t="s">
        <v>48</v>
      </c>
      <c r="D21" s="82">
        <v>45566</v>
      </c>
      <c r="E21" s="91">
        <v>0.36944444444444446</v>
      </c>
      <c r="F21" s="88">
        <v>1</v>
      </c>
      <c r="G21" s="91">
        <v>0.37083333333333335</v>
      </c>
      <c r="H21" s="91">
        <v>0.78749999999999998</v>
      </c>
      <c r="I21" s="92">
        <v>0.59027777777777779</v>
      </c>
      <c r="J21" s="89">
        <v>1</v>
      </c>
      <c r="K21" s="91">
        <v>0.37083333333333335</v>
      </c>
      <c r="L21" s="91">
        <v>0.72777777777777775</v>
      </c>
      <c r="M21" s="91">
        <v>0.375</v>
      </c>
      <c r="N21" s="88">
        <v>1</v>
      </c>
      <c r="O21" s="91">
        <v>0.37291666666666662</v>
      </c>
      <c r="P21" s="88">
        <v>1</v>
      </c>
      <c r="Q21" s="91">
        <v>0.37291666666666662</v>
      </c>
      <c r="R21" s="91">
        <v>0.82361111111111107</v>
      </c>
      <c r="S21" s="91">
        <v>0.37083333333333335</v>
      </c>
      <c r="T21" s="91">
        <v>0.87569444444444444</v>
      </c>
      <c r="U21" s="91">
        <v>0.37013888888888885</v>
      </c>
      <c r="V21" s="91">
        <v>0.86597222222222225</v>
      </c>
      <c r="W21" s="89" t="s">
        <v>55</v>
      </c>
      <c r="X21" s="89" t="s">
        <v>55</v>
      </c>
      <c r="Y21" s="91">
        <v>0.37708333333333338</v>
      </c>
      <c r="Z21" s="91">
        <v>0.72916666666666663</v>
      </c>
      <c r="AA21" s="91">
        <v>0.37777777777777777</v>
      </c>
      <c r="AB21" s="91">
        <v>0.72499999999999998</v>
      </c>
      <c r="AC21" s="91">
        <v>0.37291666666666662</v>
      </c>
      <c r="AD21" s="91">
        <v>0.73611111111111116</v>
      </c>
      <c r="AE21" s="91">
        <v>0.3743055555555555</v>
      </c>
      <c r="AF21" s="91">
        <v>0.73749999999999993</v>
      </c>
      <c r="AG21" s="91">
        <v>0.36874999999999997</v>
      </c>
      <c r="AH21" s="91">
        <v>0.88750000000000007</v>
      </c>
      <c r="AI21" s="87"/>
      <c r="AJ21" s="33">
        <v>17</v>
      </c>
      <c r="AK21" s="91">
        <v>0.39583333333333331</v>
      </c>
      <c r="AL21" s="88">
        <v>1</v>
      </c>
      <c r="AM21" s="92">
        <v>0.56527777777777777</v>
      </c>
      <c r="AN21" s="92">
        <v>0.69097222222222221</v>
      </c>
      <c r="AO21" s="91">
        <v>0.52430555555555558</v>
      </c>
      <c r="AP21" s="88">
        <v>1</v>
      </c>
      <c r="AQ21" s="91">
        <v>0.37638888888888888</v>
      </c>
      <c r="AR21" s="91">
        <v>0.70972222222222225</v>
      </c>
      <c r="AS21" s="91">
        <v>0.4069444444444445</v>
      </c>
      <c r="AT21" s="91">
        <v>0.80902777777777779</v>
      </c>
      <c r="AU21" s="91" t="s">
        <v>97</v>
      </c>
      <c r="AV21" s="91" t="s">
        <v>97</v>
      </c>
      <c r="AW21" s="91">
        <v>0.38055555555555554</v>
      </c>
      <c r="AX21" s="91">
        <v>0.8979166666666667</v>
      </c>
      <c r="AY21" s="91">
        <v>0.3743055555555555</v>
      </c>
      <c r="AZ21" s="88">
        <v>1</v>
      </c>
      <c r="BA21" s="89" t="s">
        <v>55</v>
      </c>
      <c r="BB21" s="89" t="s">
        <v>55</v>
      </c>
      <c r="BC21" s="91">
        <v>0.3756944444444445</v>
      </c>
      <c r="BD21" s="91">
        <v>0.71388888888888891</v>
      </c>
      <c r="BE21" s="91">
        <v>0.3756944444444445</v>
      </c>
      <c r="BF21" s="88">
        <v>1</v>
      </c>
      <c r="BG21" s="91">
        <v>0.37152777777777773</v>
      </c>
      <c r="BH21" s="91">
        <v>0.8256944444444444</v>
      </c>
      <c r="BI21" s="91">
        <v>0.36874999999999997</v>
      </c>
      <c r="BJ21" s="91">
        <v>0.7597222222222223</v>
      </c>
      <c r="BK21" s="91">
        <v>0.39027777777777778</v>
      </c>
      <c r="BL21" s="91">
        <v>0.72083333333333333</v>
      </c>
      <c r="BM21" s="91">
        <v>0.37013888888888885</v>
      </c>
      <c r="BN21" s="88">
        <v>1</v>
      </c>
      <c r="BO21" s="7">
        <f t="shared" si="14"/>
        <v>30</v>
      </c>
      <c r="BP21" s="64">
        <v>2</v>
      </c>
      <c r="BQ21" s="38">
        <f>COUNT(E21:AH21)/2+COUNT(AK21:BN21)/2</f>
        <v>27</v>
      </c>
      <c r="BR21" s="39">
        <f>COUNTIF(E21:BN21,"OFF")/2</f>
        <v>2</v>
      </c>
      <c r="BS21" s="39">
        <f>COUNTIF(E21:BN21,"MC")/2</f>
        <v>0</v>
      </c>
      <c r="BT21" s="39">
        <f>COUNTIF(E21:BN21,"EL")/2</f>
        <v>0</v>
      </c>
      <c r="BU21" s="39">
        <f>COUNTIF(E21:BN21,"AL")/2</f>
        <v>0</v>
      </c>
      <c r="BV21" s="39">
        <f>COUNTIF(E21:BN21,"SUS")/2</f>
        <v>0</v>
      </c>
      <c r="BW21" s="39">
        <f>COUNTIF(E21:BN21,"FL")/2</f>
        <v>0</v>
      </c>
      <c r="BX21" s="39">
        <f>COUNTIF(E21:BN21,"SICK")/2</f>
        <v>1</v>
      </c>
      <c r="BY21" s="39">
        <f>COUNTIF(E21:BN21,"HD")/2</f>
        <v>0</v>
      </c>
      <c r="BZ21" s="39">
        <f>COUNTIF(E21:BN21,"AB")/2</f>
        <v>0</v>
      </c>
      <c r="CA21" s="39">
        <f>COUNTIF(E21:BN21,"NL")/2</f>
        <v>0</v>
      </c>
      <c r="CB21" s="39">
        <f>COUNTIF(E21:BN21,"SP")/2</f>
        <v>0</v>
      </c>
      <c r="CC21" s="40"/>
      <c r="CF21" s="37">
        <v>0</v>
      </c>
      <c r="CG21" s="33">
        <v>0</v>
      </c>
      <c r="CH21" s="33">
        <v>30</v>
      </c>
      <c r="CI21" s="33">
        <v>0</v>
      </c>
      <c r="CJ21" s="33">
        <v>0</v>
      </c>
      <c r="CK21" s="33">
        <v>3</v>
      </c>
      <c r="CL21" s="33">
        <v>0</v>
      </c>
      <c r="CM21" s="33">
        <v>0</v>
      </c>
      <c r="CN21" s="33">
        <v>0</v>
      </c>
      <c r="CO21" s="33">
        <v>0</v>
      </c>
      <c r="CP21" s="44">
        <f t="shared" si="12"/>
        <v>33</v>
      </c>
    </row>
    <row r="22" spans="1:96" ht="24" customHeight="1" x14ac:dyDescent="0.25">
      <c r="A22" s="33">
        <v>18</v>
      </c>
      <c r="B22" s="43" t="s">
        <v>49</v>
      </c>
      <c r="C22" s="35" t="s">
        <v>50</v>
      </c>
      <c r="D22" s="82">
        <v>45785</v>
      </c>
      <c r="E22" s="91">
        <v>0.3756944444444445</v>
      </c>
      <c r="F22" s="88">
        <v>1</v>
      </c>
      <c r="G22" s="91">
        <v>0.37083333333333335</v>
      </c>
      <c r="H22" s="88">
        <v>1</v>
      </c>
      <c r="I22" s="89" t="s">
        <v>55</v>
      </c>
      <c r="J22" s="89" t="s">
        <v>55</v>
      </c>
      <c r="K22" s="91">
        <v>0.3979166666666667</v>
      </c>
      <c r="L22" s="88">
        <v>1</v>
      </c>
      <c r="M22" s="91">
        <v>0.3888888888888889</v>
      </c>
      <c r="N22" s="88">
        <v>1</v>
      </c>
      <c r="O22" s="91">
        <v>0.375</v>
      </c>
      <c r="P22" s="91">
        <v>0.95624999999999993</v>
      </c>
      <c r="Q22" s="88">
        <v>1</v>
      </c>
      <c r="R22" s="88">
        <v>1</v>
      </c>
      <c r="S22" s="91">
        <v>0.90902777777777777</v>
      </c>
      <c r="T22" s="91">
        <v>0.90902777777777777</v>
      </c>
      <c r="U22" s="88">
        <v>1</v>
      </c>
      <c r="V22" s="88">
        <v>1</v>
      </c>
      <c r="W22" s="92">
        <v>0.59583333333333333</v>
      </c>
      <c r="X22" s="92">
        <v>0.59583333333333333</v>
      </c>
      <c r="Y22" s="88">
        <v>1</v>
      </c>
      <c r="Z22" s="91">
        <v>0.88888888888888884</v>
      </c>
      <c r="AA22" s="88">
        <v>1</v>
      </c>
      <c r="AB22" s="88">
        <v>1</v>
      </c>
      <c r="AC22" s="91">
        <v>0.35486111111111113</v>
      </c>
      <c r="AD22" s="88">
        <v>1</v>
      </c>
      <c r="AE22" s="91">
        <v>0.38541666666666669</v>
      </c>
      <c r="AF22" s="88">
        <v>1</v>
      </c>
      <c r="AG22" s="88">
        <v>1</v>
      </c>
      <c r="AH22" s="91">
        <v>0.8569444444444444</v>
      </c>
      <c r="AI22" s="87"/>
      <c r="AJ22" s="33">
        <v>18</v>
      </c>
      <c r="AK22" s="91">
        <v>0.85902777777777783</v>
      </c>
      <c r="AL22" s="88">
        <v>1</v>
      </c>
      <c r="AM22" s="89" t="s">
        <v>55</v>
      </c>
      <c r="AN22" s="89" t="s">
        <v>55</v>
      </c>
      <c r="AO22" s="91">
        <v>0.35000000000000003</v>
      </c>
      <c r="AP22" s="91">
        <v>0.88402777777777775</v>
      </c>
      <c r="AQ22" s="91">
        <v>0.9243055555555556</v>
      </c>
      <c r="AR22" s="91">
        <v>0.9243055555555556</v>
      </c>
      <c r="AS22" s="91">
        <v>0.36041666666666666</v>
      </c>
      <c r="AT22" s="91">
        <v>1.9444444444444445E-2</v>
      </c>
      <c r="AU22" s="91">
        <v>0.38611111111111113</v>
      </c>
      <c r="AV22" s="91">
        <v>0.92083333333333339</v>
      </c>
      <c r="AW22" s="91">
        <v>0.3833333333333333</v>
      </c>
      <c r="AX22" s="91">
        <v>0.87986111111111109</v>
      </c>
      <c r="AY22" s="91">
        <v>0.34236111111111112</v>
      </c>
      <c r="AZ22" s="88">
        <v>1</v>
      </c>
      <c r="BA22" s="92">
        <v>0.64097222222222217</v>
      </c>
      <c r="BB22" s="89">
        <v>1</v>
      </c>
      <c r="BC22" s="91">
        <v>0.36388888888888887</v>
      </c>
      <c r="BD22" s="91">
        <v>0.87013888888888891</v>
      </c>
      <c r="BE22" s="91">
        <v>0.37222222222222223</v>
      </c>
      <c r="BF22" s="88">
        <v>1</v>
      </c>
      <c r="BG22" s="91">
        <v>0.37083333333333335</v>
      </c>
      <c r="BH22" s="88">
        <v>1</v>
      </c>
      <c r="BI22" s="91">
        <v>0.3923611111111111</v>
      </c>
      <c r="BJ22" s="88">
        <v>1</v>
      </c>
      <c r="BK22" s="91">
        <v>0.87152777777777779</v>
      </c>
      <c r="BL22" s="88">
        <v>1</v>
      </c>
      <c r="BM22" s="91">
        <v>0.37361111111111112</v>
      </c>
      <c r="BN22" s="91">
        <v>0.90138888888888891</v>
      </c>
      <c r="BO22" s="7">
        <f t="shared" si="14"/>
        <v>30</v>
      </c>
      <c r="BP22" s="64">
        <v>2</v>
      </c>
      <c r="BQ22" s="38">
        <f>COUNT(E22:AH22)/2+COUNT(AK22:BN22)/2</f>
        <v>28</v>
      </c>
      <c r="BR22" s="39">
        <f>COUNTIF(E22:BN22,"OFF")/2</f>
        <v>2</v>
      </c>
      <c r="BS22" s="39">
        <f>COUNTIF(E22:BN22,"MC")/2</f>
        <v>0</v>
      </c>
      <c r="BT22" s="39">
        <f>COUNTIF(E22:BN22,"EL")/2</f>
        <v>0</v>
      </c>
      <c r="BU22" s="39">
        <f>COUNTIF(E22:BN22,"AL")/2</f>
        <v>0</v>
      </c>
      <c r="BV22" s="39">
        <f>COUNTIF(E22:BN22,"SUS")/2</f>
        <v>0</v>
      </c>
      <c r="BW22" s="39">
        <f>COUNTIF(E22:BN22,"FL")/2</f>
        <v>0</v>
      </c>
      <c r="BX22" s="39">
        <f>COUNTIF(E22:BN22,"SICK")/2</f>
        <v>0</v>
      </c>
      <c r="BY22" s="39">
        <f>COUNTIF(E22:BN22,"HD")/2</f>
        <v>0</v>
      </c>
      <c r="BZ22" s="39">
        <f>COUNTIF(E22:BN22,"AB")/2</f>
        <v>0</v>
      </c>
      <c r="CA22" s="39">
        <f>COUNTIF(E22:BN22,"NL")/2</f>
        <v>0</v>
      </c>
      <c r="CB22" s="39">
        <f>COUNTIF(E22:BN22,"SP")/2</f>
        <v>0</v>
      </c>
      <c r="CC22" s="40"/>
      <c r="CF22" s="37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  <c r="CM22" s="33">
        <v>0</v>
      </c>
      <c r="CN22" s="33">
        <v>0</v>
      </c>
      <c r="CO22" s="33">
        <v>0</v>
      </c>
      <c r="CP22" s="44">
        <f t="shared" si="12"/>
        <v>0</v>
      </c>
    </row>
    <row r="23" spans="1:96" ht="24" customHeight="1" x14ac:dyDescent="0.25">
      <c r="A23" s="33">
        <v>19</v>
      </c>
      <c r="B23" s="43" t="s">
        <v>51</v>
      </c>
      <c r="C23" s="35" t="s">
        <v>52</v>
      </c>
      <c r="D23" s="82">
        <v>45826</v>
      </c>
      <c r="E23" s="91">
        <v>0.32777777777777778</v>
      </c>
      <c r="F23" s="91">
        <v>2.8472222222222222E-2</v>
      </c>
      <c r="G23" s="91">
        <v>0.30624999999999997</v>
      </c>
      <c r="H23" s="91">
        <v>4.1666666666666664E-2</v>
      </c>
      <c r="I23" s="92">
        <v>0.39166666666666666</v>
      </c>
      <c r="J23" s="92">
        <v>4.1666666666666664E-2</v>
      </c>
      <c r="K23" s="91">
        <v>0.30763888888888891</v>
      </c>
      <c r="L23" s="88">
        <v>1</v>
      </c>
      <c r="M23" s="91">
        <v>0.99583333333333324</v>
      </c>
      <c r="N23" s="88">
        <v>1</v>
      </c>
      <c r="O23" s="91">
        <v>0.3430555555555555</v>
      </c>
      <c r="P23" s="91">
        <v>2.361111111111111E-2</v>
      </c>
      <c r="Q23" s="91">
        <v>0.30486111111111108</v>
      </c>
      <c r="R23" s="91">
        <v>0.99097222222222225</v>
      </c>
      <c r="S23" s="91">
        <v>0.30416666666666664</v>
      </c>
      <c r="T23" s="91">
        <v>0.99791666666666667</v>
      </c>
      <c r="U23" s="91">
        <v>0.30486111111111108</v>
      </c>
      <c r="V23" s="91">
        <v>2.6388888888888889E-2</v>
      </c>
      <c r="W23" s="92">
        <v>0.3611111111111111</v>
      </c>
      <c r="X23" s="92">
        <v>0.5708333333333333</v>
      </c>
      <c r="Y23" s="91">
        <v>0.32361111111111113</v>
      </c>
      <c r="Z23" s="91">
        <v>9.7222222222222224E-3</v>
      </c>
      <c r="AA23" s="91">
        <v>0.33611111111111108</v>
      </c>
      <c r="AB23" s="91">
        <v>3.125E-2</v>
      </c>
      <c r="AC23" s="91">
        <v>0.31388888888888888</v>
      </c>
      <c r="AD23" s="91">
        <v>0.99930555555555556</v>
      </c>
      <c r="AE23" s="91">
        <v>0.36041666666666666</v>
      </c>
      <c r="AF23" s="91">
        <v>0.99236111111111114</v>
      </c>
      <c r="AG23" s="91">
        <v>0.31736111111111115</v>
      </c>
      <c r="AH23" s="91">
        <v>0.99375000000000002</v>
      </c>
      <c r="AI23" s="87"/>
      <c r="AJ23" s="33">
        <v>19</v>
      </c>
      <c r="AK23" s="91">
        <v>0.29722222222222222</v>
      </c>
      <c r="AL23" s="91">
        <v>2.013888888888889E-2</v>
      </c>
      <c r="AM23" s="92">
        <v>0.58888888888888891</v>
      </c>
      <c r="AN23" s="89">
        <v>1</v>
      </c>
      <c r="AO23" s="91">
        <v>0.34097222222222223</v>
      </c>
      <c r="AP23" s="88">
        <v>1</v>
      </c>
      <c r="AQ23" s="91">
        <v>0.32847222222222222</v>
      </c>
      <c r="AR23" s="91">
        <v>0.99791666666666667</v>
      </c>
      <c r="AS23" s="91">
        <v>0.29722222222222222</v>
      </c>
      <c r="AT23" s="91">
        <v>0.5180555555555556</v>
      </c>
      <c r="AU23" s="91">
        <v>0.30416666666666664</v>
      </c>
      <c r="AV23" s="91">
        <v>7.6388888888888886E-3</v>
      </c>
      <c r="AW23" s="91">
        <v>0.2986111111111111</v>
      </c>
      <c r="AX23" s="91">
        <v>0.99375000000000002</v>
      </c>
      <c r="AY23" s="91">
        <v>0.30277777777777776</v>
      </c>
      <c r="AZ23" s="91">
        <v>1.1111111111111112E-2</v>
      </c>
      <c r="BA23" s="92">
        <v>0.58194444444444449</v>
      </c>
      <c r="BB23" s="92">
        <v>0.99444444444444446</v>
      </c>
      <c r="BC23" s="91">
        <v>0.36319444444444443</v>
      </c>
      <c r="BD23" s="91">
        <v>0.59236111111111112</v>
      </c>
      <c r="BE23" s="91">
        <v>0.30902777777777779</v>
      </c>
      <c r="BF23" s="88">
        <v>1</v>
      </c>
      <c r="BG23" s="91">
        <v>0.3444444444444445</v>
      </c>
      <c r="BH23" s="88">
        <v>1</v>
      </c>
      <c r="BI23" s="91">
        <v>0.31875000000000003</v>
      </c>
      <c r="BJ23" s="88">
        <v>1</v>
      </c>
      <c r="BK23" s="91" t="s">
        <v>97</v>
      </c>
      <c r="BL23" s="91" t="s">
        <v>97</v>
      </c>
      <c r="BM23" s="91">
        <v>0.3215277777777778</v>
      </c>
      <c r="BN23" s="88">
        <v>1</v>
      </c>
      <c r="BO23" s="7">
        <f t="shared" si="14"/>
        <v>30</v>
      </c>
      <c r="BP23" s="64">
        <v>4</v>
      </c>
      <c r="BQ23" s="38">
        <f t="shared" ref="BQ23:BQ24" si="15">COUNT(E23:AH23)/2+COUNT(AK23:BN23)/2</f>
        <v>29</v>
      </c>
      <c r="BR23" s="39">
        <f t="shared" si="1"/>
        <v>0</v>
      </c>
      <c r="BS23" s="39">
        <f t="shared" si="2"/>
        <v>0</v>
      </c>
      <c r="BT23" s="39">
        <f t="shared" si="3"/>
        <v>0</v>
      </c>
      <c r="BU23" s="39">
        <f t="shared" si="4"/>
        <v>0</v>
      </c>
      <c r="BV23" s="39">
        <f t="shared" si="5"/>
        <v>0</v>
      </c>
      <c r="BW23" s="39">
        <f t="shared" si="6"/>
        <v>0</v>
      </c>
      <c r="BX23" s="39">
        <f t="shared" si="7"/>
        <v>1</v>
      </c>
      <c r="BY23" s="39">
        <f t="shared" si="8"/>
        <v>0</v>
      </c>
      <c r="BZ23" s="39">
        <f t="shared" si="9"/>
        <v>0</v>
      </c>
      <c r="CA23" s="39">
        <f t="shared" si="10"/>
        <v>0</v>
      </c>
      <c r="CB23" s="39">
        <f t="shared" si="11"/>
        <v>0</v>
      </c>
      <c r="CC23" s="40"/>
      <c r="CF23" s="37">
        <v>0</v>
      </c>
      <c r="CG23" s="33">
        <v>0</v>
      </c>
      <c r="CH23" s="33">
        <v>0</v>
      </c>
      <c r="CI23" s="33">
        <v>0</v>
      </c>
      <c r="CJ23" s="33">
        <v>10</v>
      </c>
      <c r="CK23" s="33">
        <v>2</v>
      </c>
      <c r="CL23" s="33">
        <v>0</v>
      </c>
      <c r="CM23" s="33">
        <v>0</v>
      </c>
      <c r="CN23" s="33">
        <v>0</v>
      </c>
      <c r="CO23" s="33">
        <v>0</v>
      </c>
      <c r="CP23" s="44">
        <f t="shared" si="12"/>
        <v>12</v>
      </c>
    </row>
    <row r="24" spans="1:96" ht="24" customHeight="1" x14ac:dyDescent="0.25">
      <c r="A24" s="33">
        <v>20</v>
      </c>
      <c r="B24" s="43" t="s">
        <v>87</v>
      </c>
      <c r="C24" s="35" t="s">
        <v>88</v>
      </c>
      <c r="D24" s="82">
        <v>45985</v>
      </c>
      <c r="E24" s="91">
        <v>0.37708333333333338</v>
      </c>
      <c r="F24" s="91">
        <v>0.72013888888888899</v>
      </c>
      <c r="G24" s="91">
        <v>0.37777777777777777</v>
      </c>
      <c r="H24" s="91">
        <v>0.71666666666666667</v>
      </c>
      <c r="I24" s="89" t="s">
        <v>55</v>
      </c>
      <c r="J24" s="89" t="s">
        <v>55</v>
      </c>
      <c r="K24" s="91" t="s">
        <v>60</v>
      </c>
      <c r="L24" s="91" t="s">
        <v>60</v>
      </c>
      <c r="M24" s="91" t="s">
        <v>60</v>
      </c>
      <c r="N24" s="91" t="s">
        <v>60</v>
      </c>
      <c r="O24" s="91" t="s">
        <v>60</v>
      </c>
      <c r="P24" s="91" t="s">
        <v>60</v>
      </c>
      <c r="Q24" s="91">
        <v>0.3756944444444445</v>
      </c>
      <c r="R24" s="91">
        <v>0.71111111111111114</v>
      </c>
      <c r="S24" s="91" t="s">
        <v>60</v>
      </c>
      <c r="T24" s="91" t="s">
        <v>60</v>
      </c>
      <c r="U24" s="91">
        <v>0.37361111111111112</v>
      </c>
      <c r="V24" s="91">
        <v>0.69097222222222221</v>
      </c>
      <c r="W24" s="89" t="s">
        <v>55</v>
      </c>
      <c r="X24" s="89" t="s">
        <v>55</v>
      </c>
      <c r="Y24" s="91">
        <v>0.37916666666666665</v>
      </c>
      <c r="Z24" s="91">
        <v>0.7104166666666667</v>
      </c>
      <c r="AA24" s="91">
        <v>0.37916666666666665</v>
      </c>
      <c r="AB24" s="91">
        <v>0.7104166666666667</v>
      </c>
      <c r="AC24" s="91">
        <v>0.37847222222222227</v>
      </c>
      <c r="AD24" s="91">
        <v>0.72152777777777777</v>
      </c>
      <c r="AE24" s="91">
        <v>0.3756944444444445</v>
      </c>
      <c r="AF24" s="91">
        <v>0.7104166666666667</v>
      </c>
      <c r="AG24" s="91">
        <v>0.38055555555555554</v>
      </c>
      <c r="AH24" s="91">
        <v>0.7104166666666667</v>
      </c>
      <c r="AI24" s="87"/>
      <c r="AJ24" s="33">
        <v>20</v>
      </c>
      <c r="AK24" s="91">
        <v>0.37847222222222227</v>
      </c>
      <c r="AL24" s="91">
        <v>0.71736111111111101</v>
      </c>
      <c r="AM24" s="89" t="s">
        <v>55</v>
      </c>
      <c r="AN24" s="89" t="s">
        <v>55</v>
      </c>
      <c r="AO24" s="91">
        <v>0.3756944444444445</v>
      </c>
      <c r="AP24" s="91">
        <v>0.71527777777777779</v>
      </c>
      <c r="AQ24" s="91">
        <v>0.38611111111111113</v>
      </c>
      <c r="AR24" s="91">
        <v>0.70972222222222225</v>
      </c>
      <c r="AS24" s="91">
        <v>0.37847222222222227</v>
      </c>
      <c r="AT24" s="91">
        <v>0.59722222222222221</v>
      </c>
      <c r="AU24" s="91">
        <v>0.38680555555555557</v>
      </c>
      <c r="AV24" s="91">
        <v>0.71944444444444444</v>
      </c>
      <c r="AW24" s="91">
        <v>0.37361111111111112</v>
      </c>
      <c r="AX24" s="91">
        <v>0.71805555555555556</v>
      </c>
      <c r="AY24" s="91">
        <v>0.38472222222222219</v>
      </c>
      <c r="AZ24" s="91">
        <v>0.72152777777777777</v>
      </c>
      <c r="BA24" s="89" t="s">
        <v>55</v>
      </c>
      <c r="BB24" s="89" t="s">
        <v>55</v>
      </c>
      <c r="BC24" s="91">
        <v>0.3833333333333333</v>
      </c>
      <c r="BD24" s="91">
        <v>0.71666666666666667</v>
      </c>
      <c r="BE24" s="91">
        <v>0.39999999999999997</v>
      </c>
      <c r="BF24" s="91">
        <v>0.66041666666666665</v>
      </c>
      <c r="BG24" s="91">
        <v>0.38819444444444445</v>
      </c>
      <c r="BH24" s="91">
        <v>0.71180555555555547</v>
      </c>
      <c r="BI24" s="91">
        <v>0.37361111111111112</v>
      </c>
      <c r="BJ24" s="91">
        <v>0.60138888888888886</v>
      </c>
      <c r="BK24" s="91">
        <v>0.38472222222222219</v>
      </c>
      <c r="BL24" s="88">
        <v>1</v>
      </c>
      <c r="BM24" s="91">
        <v>0.38472222222222219</v>
      </c>
      <c r="BN24" s="91">
        <v>0.69861111111111107</v>
      </c>
      <c r="BO24" s="7">
        <f t="shared" si="14"/>
        <v>30</v>
      </c>
      <c r="BP24" s="64">
        <v>0</v>
      </c>
      <c r="BQ24" s="38">
        <f t="shared" si="15"/>
        <v>22</v>
      </c>
      <c r="BR24" s="39">
        <f t="shared" si="1"/>
        <v>4</v>
      </c>
      <c r="BS24" s="39">
        <f t="shared" si="2"/>
        <v>0</v>
      </c>
      <c r="BT24" s="39">
        <f t="shared" si="3"/>
        <v>0</v>
      </c>
      <c r="BU24" s="39">
        <f t="shared" si="4"/>
        <v>0</v>
      </c>
      <c r="BV24" s="39">
        <f t="shared" si="5"/>
        <v>0</v>
      </c>
      <c r="BW24" s="39">
        <f t="shared" si="6"/>
        <v>4</v>
      </c>
      <c r="BX24" s="39">
        <f t="shared" si="7"/>
        <v>0</v>
      </c>
      <c r="BY24" s="39">
        <f t="shared" si="8"/>
        <v>0</v>
      </c>
      <c r="BZ24" s="39">
        <f t="shared" si="9"/>
        <v>0</v>
      </c>
      <c r="CA24" s="39">
        <f t="shared" si="10"/>
        <v>0</v>
      </c>
      <c r="CB24" s="39">
        <f t="shared" si="11"/>
        <v>0</v>
      </c>
      <c r="CC24" s="40"/>
      <c r="CF24" s="66">
        <v>0</v>
      </c>
      <c r="CG24" s="67">
        <v>0</v>
      </c>
      <c r="CH24" s="67">
        <v>0</v>
      </c>
      <c r="CI24" s="67">
        <v>0</v>
      </c>
      <c r="CJ24" s="67">
        <v>4</v>
      </c>
      <c r="CK24" s="67">
        <v>0</v>
      </c>
      <c r="CL24" s="67">
        <v>0</v>
      </c>
      <c r="CM24" s="67">
        <v>0</v>
      </c>
      <c r="CN24" s="67">
        <v>0</v>
      </c>
      <c r="CO24" s="67">
        <v>0</v>
      </c>
      <c r="CP24" s="49">
        <f t="shared" si="12"/>
        <v>4</v>
      </c>
    </row>
    <row r="25" spans="1:96" s="62" customFormat="1" ht="24" customHeight="1" x14ac:dyDescent="0.25">
      <c r="A25" s="33">
        <v>21</v>
      </c>
      <c r="B25" s="43" t="s">
        <v>91</v>
      </c>
      <c r="C25" s="35" t="s">
        <v>92</v>
      </c>
      <c r="D25" s="82">
        <v>45999</v>
      </c>
      <c r="E25" s="91" t="s">
        <v>97</v>
      </c>
      <c r="F25" s="91" t="s">
        <v>97</v>
      </c>
      <c r="G25" s="91">
        <v>0.3576388888888889</v>
      </c>
      <c r="H25" s="91">
        <v>0.64722222222222225</v>
      </c>
      <c r="I25" s="92">
        <v>0.58333333333333337</v>
      </c>
      <c r="J25" s="92">
        <v>0.95624999999999993</v>
      </c>
      <c r="K25" s="91">
        <v>0.35833333333333334</v>
      </c>
      <c r="L25" s="91">
        <v>0.65625</v>
      </c>
      <c r="M25" s="91">
        <v>0.35972222222222222</v>
      </c>
      <c r="N25" s="91">
        <v>0.64722222222222225</v>
      </c>
      <c r="O25" s="91">
        <v>0.35833333333333334</v>
      </c>
      <c r="P25" s="91">
        <v>0.64861111111111114</v>
      </c>
      <c r="Q25" s="91">
        <v>0.3576388888888889</v>
      </c>
      <c r="R25" s="91">
        <v>0.64861111111111114</v>
      </c>
      <c r="S25" s="91">
        <v>0.35694444444444445</v>
      </c>
      <c r="T25" s="91">
        <v>0.65208333333333335</v>
      </c>
      <c r="U25" s="91">
        <v>0.36041666666666666</v>
      </c>
      <c r="V25" s="91">
        <v>0.65486111111111112</v>
      </c>
      <c r="W25" s="89" t="s">
        <v>55</v>
      </c>
      <c r="X25" s="89" t="s">
        <v>55</v>
      </c>
      <c r="Y25" s="91">
        <v>0.3611111111111111</v>
      </c>
      <c r="Z25" s="91">
        <v>0.6479166666666667</v>
      </c>
      <c r="AA25" s="91">
        <v>0.3611111111111111</v>
      </c>
      <c r="AB25" s="91">
        <v>0.6479166666666667</v>
      </c>
      <c r="AC25" s="91">
        <v>0.36041666666666666</v>
      </c>
      <c r="AD25" s="91">
        <v>0.65</v>
      </c>
      <c r="AE25" s="91">
        <v>0.35902777777777778</v>
      </c>
      <c r="AF25" s="88">
        <v>1</v>
      </c>
      <c r="AG25" s="91">
        <v>0.3576388888888889</v>
      </c>
      <c r="AH25" s="91">
        <v>0.64583333333333337</v>
      </c>
      <c r="AI25" s="87"/>
      <c r="AJ25" s="33">
        <v>21</v>
      </c>
      <c r="AK25" s="91">
        <v>0.35694444444444445</v>
      </c>
      <c r="AL25" s="91">
        <v>0.64861111111111114</v>
      </c>
      <c r="AM25" s="92">
        <v>0.5854166666666667</v>
      </c>
      <c r="AN25" s="92">
        <v>0.95972222222222225</v>
      </c>
      <c r="AO25" s="91">
        <v>0.35972222222222222</v>
      </c>
      <c r="AP25" s="91">
        <v>0.65555555555555556</v>
      </c>
      <c r="AQ25" s="91">
        <v>0.36249999999999999</v>
      </c>
      <c r="AR25" s="91">
        <v>0.65555555555555556</v>
      </c>
      <c r="AS25" s="91">
        <v>0.35833333333333334</v>
      </c>
      <c r="AT25" s="91">
        <v>0.65277777777777779</v>
      </c>
      <c r="AU25" s="91">
        <v>0.36041666666666666</v>
      </c>
      <c r="AV25" s="88">
        <v>1</v>
      </c>
      <c r="AW25" s="91">
        <v>0.35972222222222222</v>
      </c>
      <c r="AX25" s="91">
        <v>0.64722222222222225</v>
      </c>
      <c r="AY25" s="91">
        <v>0.36180555555555555</v>
      </c>
      <c r="AZ25" s="91">
        <v>0.65</v>
      </c>
      <c r="BA25" s="89" t="s">
        <v>55</v>
      </c>
      <c r="BB25" s="89" t="s">
        <v>55</v>
      </c>
      <c r="BC25" s="91">
        <v>0.3611111111111111</v>
      </c>
      <c r="BD25" s="91">
        <v>0.64930555555555558</v>
      </c>
      <c r="BE25" s="91">
        <v>0.35694444444444445</v>
      </c>
      <c r="BF25" s="91">
        <v>0.64930555555555558</v>
      </c>
      <c r="BG25" s="91">
        <v>0.36319444444444443</v>
      </c>
      <c r="BH25" s="91">
        <v>0.66388888888888886</v>
      </c>
      <c r="BI25" s="91">
        <v>0.3576388888888889</v>
      </c>
      <c r="BJ25" s="88">
        <v>1</v>
      </c>
      <c r="BK25" s="91">
        <v>0.35902777777777778</v>
      </c>
      <c r="BL25" s="91">
        <v>0.65069444444444446</v>
      </c>
      <c r="BM25" s="91">
        <v>0.35625000000000001</v>
      </c>
      <c r="BN25" s="91">
        <v>0.66319444444444442</v>
      </c>
      <c r="BO25" s="7">
        <f t="shared" si="14"/>
        <v>30</v>
      </c>
      <c r="BP25" s="64">
        <v>2</v>
      </c>
      <c r="BQ25" s="38">
        <f>COUNT(E25:AH25)/2+COUNT(AK25:BN25)/2</f>
        <v>27</v>
      </c>
      <c r="BR25" s="39">
        <f t="shared" si="1"/>
        <v>2</v>
      </c>
      <c r="BS25" s="39">
        <f t="shared" si="2"/>
        <v>0</v>
      </c>
      <c r="BT25" s="39">
        <f t="shared" si="3"/>
        <v>0</v>
      </c>
      <c r="BU25" s="39">
        <f t="shared" si="4"/>
        <v>0</v>
      </c>
      <c r="BV25" s="39">
        <f t="shared" si="5"/>
        <v>0</v>
      </c>
      <c r="BW25" s="39">
        <f t="shared" si="6"/>
        <v>0</v>
      </c>
      <c r="BX25" s="39">
        <f t="shared" si="7"/>
        <v>1</v>
      </c>
      <c r="BY25" s="39">
        <f t="shared" si="8"/>
        <v>0</v>
      </c>
      <c r="BZ25" s="39">
        <f t="shared" si="9"/>
        <v>0</v>
      </c>
      <c r="CA25" s="39">
        <f t="shared" si="10"/>
        <v>0</v>
      </c>
      <c r="CB25" s="39">
        <f t="shared" si="11"/>
        <v>0</v>
      </c>
      <c r="CC25" s="40"/>
      <c r="CF25" s="66">
        <v>0</v>
      </c>
      <c r="CG25" s="67">
        <v>0</v>
      </c>
      <c r="CH25" s="67">
        <v>0</v>
      </c>
      <c r="CI25" s="67">
        <v>0</v>
      </c>
      <c r="CJ25" s="67">
        <v>0</v>
      </c>
      <c r="CK25" s="67">
        <v>2</v>
      </c>
      <c r="CL25" s="67">
        <v>0</v>
      </c>
      <c r="CM25" s="67">
        <v>1</v>
      </c>
      <c r="CN25" s="67">
        <v>0</v>
      </c>
      <c r="CO25" s="67">
        <v>0</v>
      </c>
      <c r="CP25" s="49">
        <f t="shared" ref="CP25:CP26" si="16">SUM(CF25:CO25)</f>
        <v>3</v>
      </c>
    </row>
    <row r="26" spans="1:96" s="69" customFormat="1" ht="24" customHeight="1" x14ac:dyDescent="0.25">
      <c r="A26" s="33">
        <v>22</v>
      </c>
      <c r="B26" s="43" t="s">
        <v>93</v>
      </c>
      <c r="C26" s="35" t="s">
        <v>94</v>
      </c>
      <c r="D26" s="82">
        <v>46061</v>
      </c>
      <c r="E26" s="91">
        <v>0.37638888888888888</v>
      </c>
      <c r="F26" s="91">
        <v>0.97083333333333333</v>
      </c>
      <c r="G26" s="91">
        <v>0.37291666666666662</v>
      </c>
      <c r="H26" s="91">
        <v>0.97430555555555554</v>
      </c>
      <c r="I26" s="89" t="s">
        <v>55</v>
      </c>
      <c r="J26" s="89" t="s">
        <v>55</v>
      </c>
      <c r="K26" s="91">
        <v>0.35486111111111113</v>
      </c>
      <c r="L26" s="91">
        <v>0.93888888888888899</v>
      </c>
      <c r="M26" s="91">
        <v>0.37291666666666662</v>
      </c>
      <c r="N26" s="91">
        <v>0.94166666666666676</v>
      </c>
      <c r="O26" s="91">
        <v>0.57013888888888886</v>
      </c>
      <c r="P26" s="91">
        <v>0.9277777777777777</v>
      </c>
      <c r="Q26" s="91">
        <v>0.37361111111111112</v>
      </c>
      <c r="R26" s="91">
        <v>0.94513888888888886</v>
      </c>
      <c r="S26" s="91">
        <v>0.3756944444444445</v>
      </c>
      <c r="T26" s="91">
        <v>0.97499999999999998</v>
      </c>
      <c r="U26" s="91">
        <v>0.37152777777777773</v>
      </c>
      <c r="V26" s="91">
        <v>0.93472222222222223</v>
      </c>
      <c r="W26" s="92">
        <v>0.58680555555555558</v>
      </c>
      <c r="X26" s="92">
        <v>0.79236111111111107</v>
      </c>
      <c r="Y26" s="91">
        <v>0.37361111111111112</v>
      </c>
      <c r="Z26" s="91">
        <v>0.97291666666666676</v>
      </c>
      <c r="AA26" s="91">
        <v>0.36874999999999997</v>
      </c>
      <c r="AB26" s="91">
        <v>0.94097222222222221</v>
      </c>
      <c r="AC26" s="91">
        <v>0.36180555555555555</v>
      </c>
      <c r="AD26" s="91">
        <v>0.9590277777777777</v>
      </c>
      <c r="AE26" s="91">
        <v>0.58888888888888891</v>
      </c>
      <c r="AF26" s="91">
        <v>0.9458333333333333</v>
      </c>
      <c r="AG26" s="91">
        <v>0.37152777777777773</v>
      </c>
      <c r="AH26" s="91">
        <v>0.95486111111111116</v>
      </c>
      <c r="AI26" s="87"/>
      <c r="AJ26" s="33">
        <v>22</v>
      </c>
      <c r="AK26" s="91">
        <v>0.36736111111111108</v>
      </c>
      <c r="AL26" s="91">
        <v>0.9770833333333333</v>
      </c>
      <c r="AM26" s="92">
        <v>0.59027777777777779</v>
      </c>
      <c r="AN26" s="92">
        <v>0.78125</v>
      </c>
      <c r="AO26" s="91">
        <v>0.37291666666666662</v>
      </c>
      <c r="AP26" s="91">
        <v>0.93055555555555547</v>
      </c>
      <c r="AQ26" s="91">
        <v>0.38750000000000001</v>
      </c>
      <c r="AR26" s="91">
        <v>0.96388888888888891</v>
      </c>
      <c r="AS26" s="91">
        <v>0.36388888888888887</v>
      </c>
      <c r="AT26" s="91">
        <v>0.96111111111111114</v>
      </c>
      <c r="AU26" s="91">
        <v>0.3659722222222222</v>
      </c>
      <c r="AV26" s="91">
        <v>0.9770833333333333</v>
      </c>
      <c r="AW26" s="91">
        <v>0.35555555555555557</v>
      </c>
      <c r="AX26" s="91">
        <v>0.93888888888888899</v>
      </c>
      <c r="AY26" s="91">
        <v>0.35555555555555557</v>
      </c>
      <c r="AZ26" s="91">
        <v>0.97083333333333333</v>
      </c>
      <c r="BA26" s="92">
        <v>0.59097222222222223</v>
      </c>
      <c r="BB26" s="89">
        <v>1</v>
      </c>
      <c r="BC26" s="91">
        <v>0.36944444444444446</v>
      </c>
      <c r="BD26" s="91">
        <v>0.96319444444444446</v>
      </c>
      <c r="BE26" s="91">
        <v>0.35833333333333334</v>
      </c>
      <c r="BF26" s="91">
        <v>0.94097222222222221</v>
      </c>
      <c r="BG26" s="91">
        <v>0.36180555555555555</v>
      </c>
      <c r="BH26" s="91">
        <v>0.61597222222222225</v>
      </c>
      <c r="BI26" s="91">
        <v>0.36180555555555555</v>
      </c>
      <c r="BJ26" s="91">
        <v>0.94374999999999998</v>
      </c>
      <c r="BK26" s="91">
        <v>0.36874999999999997</v>
      </c>
      <c r="BL26" s="91">
        <v>0.97430555555555554</v>
      </c>
      <c r="BM26" s="91" t="s">
        <v>60</v>
      </c>
      <c r="BN26" s="91" t="s">
        <v>60</v>
      </c>
      <c r="BO26" s="7">
        <f t="shared" si="14"/>
        <v>30</v>
      </c>
      <c r="BP26" s="64">
        <v>3</v>
      </c>
      <c r="BQ26" s="38">
        <f t="shared" si="0"/>
        <v>28</v>
      </c>
      <c r="BR26" s="39">
        <f t="shared" si="1"/>
        <v>1</v>
      </c>
      <c r="BS26" s="39">
        <f t="shared" si="2"/>
        <v>0</v>
      </c>
      <c r="BT26" s="39">
        <f t="shared" si="3"/>
        <v>0</v>
      </c>
      <c r="BU26" s="39">
        <f t="shared" si="4"/>
        <v>0</v>
      </c>
      <c r="BV26" s="39">
        <f t="shared" si="5"/>
        <v>0</v>
      </c>
      <c r="BW26" s="39">
        <f t="shared" si="6"/>
        <v>1</v>
      </c>
      <c r="BX26" s="39">
        <f t="shared" si="7"/>
        <v>0</v>
      </c>
      <c r="BY26" s="39">
        <f t="shared" si="8"/>
        <v>0</v>
      </c>
      <c r="BZ26" s="39">
        <f t="shared" si="9"/>
        <v>0</v>
      </c>
      <c r="CA26" s="39">
        <f t="shared" si="10"/>
        <v>0</v>
      </c>
      <c r="CB26" s="39">
        <f t="shared" si="11"/>
        <v>0</v>
      </c>
      <c r="CC26" s="40"/>
      <c r="CD26" s="62"/>
      <c r="CE26" s="62"/>
      <c r="CF26" s="66">
        <v>0</v>
      </c>
      <c r="CG26" s="67">
        <v>0</v>
      </c>
      <c r="CH26" s="67">
        <v>0</v>
      </c>
      <c r="CI26" s="67">
        <v>0</v>
      </c>
      <c r="CJ26" s="67">
        <v>1</v>
      </c>
      <c r="CK26" s="67">
        <v>0</v>
      </c>
      <c r="CL26" s="67">
        <v>0</v>
      </c>
      <c r="CM26" s="67">
        <v>0</v>
      </c>
      <c r="CN26" s="67">
        <v>0</v>
      </c>
      <c r="CO26" s="67">
        <v>0</v>
      </c>
      <c r="CP26" s="49">
        <f t="shared" si="16"/>
        <v>1</v>
      </c>
      <c r="CQ26" s="62"/>
      <c r="CR26" s="62"/>
    </row>
    <row r="27" spans="1:96" x14ac:dyDescent="0.25">
      <c r="CD27" s="62"/>
      <c r="CE27" s="62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63"/>
    </row>
    <row r="28" spans="1:96" s="62" customFormat="1" ht="27.75" customHeight="1" x14ac:dyDescent="0.25">
      <c r="A28" s="55"/>
      <c r="B28" s="50"/>
      <c r="C28" s="51"/>
      <c r="D28" s="81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5"/>
      <c r="AB28" s="55"/>
      <c r="AC28" s="52"/>
      <c r="AD28" s="52"/>
      <c r="AE28" s="53"/>
      <c r="AF28" s="53"/>
      <c r="AG28" s="53"/>
      <c r="AH28" s="53"/>
      <c r="AI28" s="56"/>
      <c r="AJ28" s="55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/>
      <c r="AV28" s="54"/>
      <c r="AW28" s="54"/>
      <c r="AX28" s="54"/>
      <c r="AY28" s="54"/>
      <c r="AZ28" s="54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7"/>
      <c r="BP28" s="58"/>
      <c r="BQ28" s="59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1"/>
      <c r="CD28"/>
      <c r="CE28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20"/>
      <c r="CQ28"/>
      <c r="CR28"/>
    </row>
    <row r="29" spans="1:96" ht="17.25" x14ac:dyDescent="0.3">
      <c r="F29" s="13"/>
      <c r="G29" s="13"/>
      <c r="H29" s="14" t="s">
        <v>67</v>
      </c>
      <c r="I29" s="14"/>
      <c r="J29" s="14"/>
      <c r="K29" s="13"/>
      <c r="L29" s="13"/>
      <c r="M29" s="15"/>
      <c r="Q29" s="16"/>
      <c r="R29" s="14" t="s">
        <v>68</v>
      </c>
      <c r="S29" s="13"/>
      <c r="T29" s="13"/>
      <c r="X29" s="17"/>
      <c r="Y29" s="13"/>
      <c r="Z29" s="13"/>
      <c r="AA29" s="14" t="s">
        <v>69</v>
      </c>
      <c r="AB29" s="17"/>
      <c r="AC29" s="17"/>
      <c r="AD29" s="13"/>
      <c r="AE29" s="13"/>
      <c r="AF29" s="13"/>
      <c r="AG29" s="13"/>
      <c r="AR29" s="13"/>
      <c r="AS29" s="13"/>
      <c r="BQ29" s="30" t="s">
        <v>70</v>
      </c>
      <c r="BR29" s="22"/>
      <c r="BS29" s="18"/>
      <c r="BT29" s="18"/>
      <c r="BU29" s="19" t="s">
        <v>55</v>
      </c>
      <c r="BV29" s="20"/>
      <c r="BW29" s="21" t="s">
        <v>71</v>
      </c>
      <c r="BX29" s="22"/>
      <c r="BY29" s="22"/>
      <c r="BZ29" s="13"/>
      <c r="CA29" s="23" t="s">
        <v>61</v>
      </c>
      <c r="CC29" t="s">
        <v>80</v>
      </c>
    </row>
    <row r="30" spans="1:96" ht="17.25" x14ac:dyDescent="0.3">
      <c r="F30" s="13"/>
      <c r="G30" s="13"/>
      <c r="H30" s="13"/>
      <c r="I30" s="13"/>
      <c r="J30" s="13"/>
      <c r="K30" s="13"/>
      <c r="L30" s="13"/>
      <c r="M30" s="13"/>
      <c r="Q30" s="13"/>
      <c r="R30" s="13"/>
      <c r="S30" s="13"/>
      <c r="T30" s="13"/>
      <c r="X30" s="17"/>
      <c r="Y30" s="13"/>
      <c r="Z30" s="13"/>
      <c r="AA30" s="13"/>
      <c r="AB30" s="13"/>
      <c r="AC30" s="17"/>
      <c r="AD30" s="13"/>
      <c r="AE30" s="13"/>
      <c r="AF30" s="13"/>
      <c r="AG30" s="13"/>
      <c r="AR30" s="13"/>
      <c r="AS30" s="13"/>
      <c r="BQ30" s="30" t="s">
        <v>72</v>
      </c>
      <c r="BR30" s="22"/>
      <c r="BS30" s="18"/>
      <c r="BT30" s="18"/>
      <c r="BU30" s="19" t="s">
        <v>56</v>
      </c>
      <c r="BV30" s="20"/>
      <c r="BW30" s="24" t="s">
        <v>73</v>
      </c>
      <c r="BX30" s="25"/>
      <c r="BY30" s="25"/>
      <c r="BZ30" s="13"/>
      <c r="CA30" s="23" t="s">
        <v>62</v>
      </c>
    </row>
    <row r="31" spans="1:96" ht="17.25" x14ac:dyDescent="0.3">
      <c r="F31" s="13"/>
      <c r="G31" s="13"/>
      <c r="H31" s="13"/>
      <c r="I31" s="13"/>
      <c r="J31" s="13"/>
      <c r="K31" s="13"/>
      <c r="L31" s="13"/>
      <c r="M31" s="13"/>
      <c r="Q31" s="13"/>
      <c r="R31" s="13"/>
      <c r="S31" s="13"/>
      <c r="T31" s="13"/>
      <c r="X31" s="17"/>
      <c r="Y31" s="13"/>
      <c r="Z31" s="13"/>
      <c r="AA31" s="13"/>
      <c r="AB31" s="13"/>
      <c r="AC31" s="17"/>
      <c r="AD31" s="13"/>
      <c r="AE31" s="13"/>
      <c r="AF31" s="13"/>
      <c r="AG31" s="13"/>
      <c r="AR31" s="13"/>
      <c r="AS31" s="13"/>
      <c r="BQ31" s="30" t="s">
        <v>74</v>
      </c>
      <c r="BR31" s="22"/>
      <c r="BS31" s="18"/>
      <c r="BT31" s="18"/>
      <c r="BU31" s="19" t="s">
        <v>57</v>
      </c>
      <c r="BV31" s="20"/>
      <c r="BW31" s="24" t="s">
        <v>75</v>
      </c>
      <c r="BX31" s="25"/>
      <c r="BY31" s="25"/>
      <c r="BZ31" s="13"/>
      <c r="CA31" s="23" t="s">
        <v>63</v>
      </c>
    </row>
    <row r="32" spans="1:96" ht="17.25" x14ac:dyDescent="0.3">
      <c r="F32" s="13"/>
      <c r="G32" s="13"/>
      <c r="H32" s="26"/>
      <c r="I32" s="27"/>
      <c r="J32" s="26"/>
      <c r="K32" s="13"/>
      <c r="L32" s="13"/>
      <c r="M32" s="28"/>
      <c r="Q32" s="16"/>
      <c r="R32" s="13"/>
      <c r="S32" s="27"/>
      <c r="T32" s="13"/>
      <c r="X32" s="13"/>
      <c r="Y32" s="13"/>
      <c r="Z32" s="27"/>
      <c r="AA32" s="13"/>
      <c r="AB32" s="27"/>
      <c r="AC32" s="13"/>
      <c r="AD32" s="13"/>
      <c r="AE32" s="13"/>
      <c r="AF32" s="13"/>
      <c r="AG32" s="13"/>
      <c r="AR32" s="13"/>
      <c r="AS32" s="13"/>
      <c r="BQ32" s="30" t="s">
        <v>76</v>
      </c>
      <c r="BR32" s="22"/>
      <c r="BS32" s="18"/>
      <c r="BT32" s="18"/>
      <c r="BU32" s="19" t="s">
        <v>58</v>
      </c>
      <c r="BV32" s="20"/>
      <c r="BW32" s="21" t="s">
        <v>77</v>
      </c>
      <c r="BX32" s="22"/>
      <c r="BY32" s="22"/>
      <c r="BZ32" s="13"/>
      <c r="CA32" s="23" t="s">
        <v>64</v>
      </c>
    </row>
    <row r="33" spans="6:79" ht="17.25" x14ac:dyDescent="0.3">
      <c r="F33" s="13"/>
      <c r="G33" s="13"/>
      <c r="H33" s="29" t="s">
        <v>78</v>
      </c>
      <c r="I33" s="29"/>
      <c r="J33" s="27"/>
      <c r="K33" s="13"/>
      <c r="L33" s="13"/>
      <c r="M33" s="16"/>
      <c r="Q33" s="16"/>
      <c r="R33" s="29" t="s">
        <v>26</v>
      </c>
      <c r="S33" s="26"/>
      <c r="T33" s="13"/>
      <c r="X33" s="13"/>
      <c r="Y33" s="13" t="s">
        <v>80</v>
      </c>
      <c r="Z33" s="26"/>
      <c r="AA33" s="29" t="s">
        <v>79</v>
      </c>
      <c r="AB33" s="26"/>
      <c r="AC33" s="13"/>
      <c r="AD33" s="13"/>
      <c r="AE33" s="13"/>
      <c r="AF33" s="13"/>
      <c r="AG33" s="13"/>
      <c r="AR33" s="13"/>
      <c r="AS33" s="13"/>
      <c r="BQ33" s="30" t="s">
        <v>81</v>
      </c>
      <c r="BR33" s="22"/>
      <c r="BS33" s="18"/>
      <c r="BT33" s="18"/>
      <c r="BU33" s="19" t="s">
        <v>59</v>
      </c>
      <c r="BV33" s="20"/>
      <c r="BW33" s="21" t="s">
        <v>82</v>
      </c>
      <c r="BX33" s="22"/>
      <c r="BY33" s="22"/>
      <c r="BZ33" s="13"/>
      <c r="CA33" s="23" t="s">
        <v>65</v>
      </c>
    </row>
    <row r="34" spans="6:79" ht="17.25" x14ac:dyDescent="0.3">
      <c r="F34" s="13"/>
      <c r="G34" s="13"/>
      <c r="H34" s="29" t="s">
        <v>83</v>
      </c>
      <c r="I34" s="29"/>
      <c r="J34" s="29"/>
      <c r="K34" s="13"/>
      <c r="L34" s="13"/>
      <c r="M34" s="28"/>
      <c r="Q34" s="16"/>
      <c r="R34" s="29" t="s">
        <v>84</v>
      </c>
      <c r="S34" s="29"/>
      <c r="T34" s="13"/>
      <c r="X34" s="13"/>
      <c r="Y34" s="13"/>
      <c r="Z34" s="27"/>
      <c r="AA34" s="29" t="s">
        <v>85</v>
      </c>
      <c r="AB34" s="29"/>
      <c r="AC34" s="13"/>
      <c r="AD34" s="13"/>
      <c r="AE34" s="13"/>
      <c r="AF34" s="13"/>
      <c r="AG34" s="13"/>
      <c r="AR34" s="13"/>
      <c r="AS34" s="13"/>
      <c r="BQ34" s="30" t="s">
        <v>86</v>
      </c>
      <c r="BR34" s="22"/>
      <c r="BS34" s="18"/>
      <c r="BT34" s="18"/>
      <c r="BU34" s="19" t="s">
        <v>60</v>
      </c>
      <c r="BV34" s="20"/>
      <c r="BW34" s="20"/>
      <c r="BX34" s="20"/>
      <c r="BY34" s="20"/>
      <c r="BZ34" s="20"/>
      <c r="CA34" s="20"/>
    </row>
    <row r="35" spans="6:79" ht="17.25" x14ac:dyDescent="0.25">
      <c r="F35" s="27"/>
      <c r="G35" s="26"/>
      <c r="H35" s="27"/>
      <c r="I35" s="27"/>
      <c r="J35" s="27"/>
      <c r="K35" s="27"/>
      <c r="L35" s="28"/>
      <c r="M35" s="28"/>
      <c r="Q35" s="16"/>
      <c r="R35" s="13"/>
      <c r="S35" s="13"/>
      <c r="T35" s="27"/>
      <c r="X35" s="13"/>
      <c r="Y35" s="20"/>
      <c r="Z35" s="27"/>
      <c r="AA35" s="13"/>
      <c r="AB35" s="13"/>
      <c r="AC35" s="13"/>
      <c r="AD35" s="20"/>
      <c r="AE35" s="20"/>
      <c r="AF35" s="20"/>
      <c r="AG35" s="20"/>
      <c r="AH35" s="20"/>
      <c r="AI35" s="20"/>
      <c r="AJ35" s="13"/>
      <c r="AK35" s="29"/>
      <c r="AL35" s="29"/>
      <c r="AM35" s="13"/>
      <c r="AN35" s="13"/>
      <c r="AO35" s="13"/>
      <c r="AP35" s="13"/>
      <c r="AQ35" s="13"/>
      <c r="AR35" s="13"/>
      <c r="AS35" s="13"/>
    </row>
    <row r="36" spans="6:79" x14ac:dyDescent="0.25">
      <c r="F36" s="13"/>
      <c r="G36" s="13"/>
      <c r="H36" s="13"/>
      <c r="I36" s="13"/>
      <c r="J36" s="13"/>
      <c r="K36" s="13"/>
      <c r="L36" s="13"/>
      <c r="M36" s="13"/>
      <c r="Q36" s="13"/>
      <c r="R36" s="13"/>
      <c r="S36" s="13"/>
      <c r="T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6:79" x14ac:dyDescent="0.25"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40" spans="6:79" ht="21.75" customHeight="1" x14ac:dyDescent="0.25"/>
    <row r="49" spans="1:96" x14ac:dyDescent="0.25">
      <c r="CF49" s="37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1</v>
      </c>
      <c r="CL49" s="33">
        <v>0</v>
      </c>
      <c r="CM49" s="33">
        <v>1</v>
      </c>
      <c r="CN49" s="33">
        <v>0</v>
      </c>
      <c r="CO49" s="33">
        <v>0</v>
      </c>
      <c r="CP49" s="44">
        <f>SUM(CF49:CO49)</f>
        <v>2</v>
      </c>
      <c r="CQ49" s="62"/>
      <c r="CR49" s="62"/>
    </row>
    <row r="50" spans="1:96" ht="24.75" customHeight="1" x14ac:dyDescent="0.25">
      <c r="A50" s="33">
        <v>14</v>
      </c>
      <c r="B50" s="39" t="s">
        <v>39</v>
      </c>
      <c r="C50" s="35" t="s">
        <v>40</v>
      </c>
      <c r="D50" s="82">
        <v>45156</v>
      </c>
      <c r="E50" s="70"/>
      <c r="F50" s="70"/>
      <c r="G50" s="70"/>
      <c r="H50" s="70"/>
      <c r="I50" s="72"/>
      <c r="J50" s="72"/>
      <c r="K50" s="70"/>
      <c r="L50" s="70"/>
      <c r="M50" s="70"/>
      <c r="N50" s="70"/>
      <c r="O50" s="86"/>
      <c r="P50" s="72"/>
      <c r="Q50" s="71"/>
      <c r="R50" s="71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2"/>
      <c r="AD50" s="72"/>
      <c r="AE50" s="70"/>
      <c r="AF50" s="70"/>
      <c r="AG50" s="70"/>
      <c r="AH50" s="70"/>
      <c r="AJ50" s="36">
        <v>14</v>
      </c>
      <c r="AK50" s="70"/>
      <c r="AL50" s="70"/>
      <c r="AM50" s="70"/>
      <c r="AN50" s="70"/>
      <c r="AO50" s="70"/>
      <c r="AP50" s="70"/>
      <c r="AQ50" s="70"/>
      <c r="AR50" s="70"/>
      <c r="AS50" s="68"/>
      <c r="AT50" s="74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6"/>
      <c r="BH50" s="76"/>
      <c r="BI50" s="75"/>
      <c r="BJ50" s="75"/>
      <c r="BK50" s="75"/>
      <c r="BL50" s="73"/>
      <c r="BM50" s="70"/>
      <c r="BN50" s="70"/>
      <c r="BO50" s="7">
        <f t="shared" ref="BO50" si="17">BQ50+BR50+BS50+BX50+BV50+CA50</f>
        <v>0</v>
      </c>
      <c r="BP50" s="64"/>
      <c r="BQ50" s="38">
        <f t="shared" ref="BQ50" si="18">COUNT(E50:AH50)/2+COUNT(AK50:BN50)/2</f>
        <v>0</v>
      </c>
      <c r="BR50" s="39">
        <f t="shared" ref="BR50" si="19">COUNTIF(E50:BN50,"OFF")/2</f>
        <v>0</v>
      </c>
      <c r="BS50" s="39">
        <f t="shared" ref="BS50" si="20">COUNTIF(E50:BN50,"MC")/2</f>
        <v>0</v>
      </c>
      <c r="BT50" s="39">
        <f t="shared" ref="BT50" si="21">COUNTIF(E50:BN50,"EL")/2</f>
        <v>0</v>
      </c>
      <c r="BU50" s="39">
        <f t="shared" ref="BU50" si="22">COUNTIF(E50:BN50,"AL")/2</f>
        <v>0</v>
      </c>
      <c r="BV50" s="39">
        <f t="shared" ref="BV50" si="23">COUNTIF(E50:BN50,"SUS")/2</f>
        <v>0</v>
      </c>
      <c r="BW50" s="39">
        <f t="shared" ref="BW50" si="24">COUNTIF(E50:BN50,"FL")/2</f>
        <v>0</v>
      </c>
      <c r="BX50" s="39">
        <f t="shared" ref="BX50" si="25">COUNTIF(E50:BN50,"SICK")/2</f>
        <v>0</v>
      </c>
      <c r="BY50" s="39">
        <f t="shared" ref="BY50" si="26">COUNTIF(E50:BN50,"HD")/2</f>
        <v>0</v>
      </c>
      <c r="BZ50" s="39">
        <f t="shared" ref="BZ50" si="27">COUNTIF(E50:BN50,"AB")/2</f>
        <v>0</v>
      </c>
      <c r="CA50" s="39">
        <f t="shared" ref="CA50" si="28">COUNTIF(E50:BN50,"NL")/2</f>
        <v>0</v>
      </c>
      <c r="CB50" s="39">
        <f t="shared" ref="CB50" si="29">COUNTIF(E50:BN50,"SP")/2</f>
        <v>0</v>
      </c>
      <c r="CC50" s="40"/>
      <c r="CF50" s="37">
        <v>3</v>
      </c>
      <c r="CG50" s="33">
        <v>0</v>
      </c>
      <c r="CH50" s="33">
        <v>19</v>
      </c>
      <c r="CI50" s="33">
        <v>0</v>
      </c>
      <c r="CJ50" s="33">
        <v>4</v>
      </c>
      <c r="CK50" s="33">
        <v>4</v>
      </c>
      <c r="CL50" s="33">
        <v>0</v>
      </c>
      <c r="CM50" s="33">
        <v>4</v>
      </c>
      <c r="CN50" s="33">
        <v>0</v>
      </c>
      <c r="CO50" s="33">
        <v>0</v>
      </c>
      <c r="CP50" s="44">
        <f t="shared" ref="CP50" si="30">SUM(CF50:CO50)</f>
        <v>34</v>
      </c>
    </row>
  </sheetData>
  <mergeCells count="69">
    <mergeCell ref="K3:L3"/>
    <mergeCell ref="M2:N2"/>
    <mergeCell ref="O2:P2"/>
    <mergeCell ref="Q2:R2"/>
    <mergeCell ref="K2:L2"/>
    <mergeCell ref="M3:N3"/>
    <mergeCell ref="O3:P3"/>
    <mergeCell ref="Q3:R3"/>
    <mergeCell ref="AJ1:CC1"/>
    <mergeCell ref="AJ2:AJ4"/>
    <mergeCell ref="AO3:AP3"/>
    <mergeCell ref="AQ3:AR3"/>
    <mergeCell ref="AE2:AF2"/>
    <mergeCell ref="AA2:AB2"/>
    <mergeCell ref="AC2:AD2"/>
    <mergeCell ref="AC3:AD3"/>
    <mergeCell ref="W2:X2"/>
    <mergeCell ref="Y2:Z2"/>
    <mergeCell ref="AE3:AF3"/>
    <mergeCell ref="AG2:AH2"/>
    <mergeCell ref="U2:V2"/>
    <mergeCell ref="AA3:AB3"/>
    <mergeCell ref="AK3:AL3"/>
    <mergeCell ref="A1:AH1"/>
    <mergeCell ref="E2:F2"/>
    <mergeCell ref="G2:H2"/>
    <mergeCell ref="S2:T2"/>
    <mergeCell ref="S3:T3"/>
    <mergeCell ref="I2:J2"/>
    <mergeCell ref="E3:F3"/>
    <mergeCell ref="G3:H3"/>
    <mergeCell ref="W3:X3"/>
    <mergeCell ref="Y3:Z3"/>
    <mergeCell ref="AG3:AH3"/>
    <mergeCell ref="I3:J3"/>
    <mergeCell ref="U3:V3"/>
    <mergeCell ref="BC2:BD2"/>
    <mergeCell ref="BE2:BF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E3:BF3"/>
    <mergeCell ref="AS3:AT3"/>
    <mergeCell ref="AU3:AV3"/>
    <mergeCell ref="AW3:AX3"/>
    <mergeCell ref="AY3:AZ3"/>
    <mergeCell ref="BA3:BB3"/>
    <mergeCell ref="CF3:CP3"/>
    <mergeCell ref="A2:D3"/>
    <mergeCell ref="CF2:CO2"/>
    <mergeCell ref="BG3:BH3"/>
    <mergeCell ref="BG2:BH2"/>
    <mergeCell ref="BP2:BP4"/>
    <mergeCell ref="BQ2:CC2"/>
    <mergeCell ref="BM3:BN3"/>
    <mergeCell ref="BK3:BL3"/>
    <mergeCell ref="BI3:BJ3"/>
    <mergeCell ref="BM2:BN2"/>
    <mergeCell ref="BK2:BL2"/>
    <mergeCell ref="BI2:BJ2"/>
    <mergeCell ref="BO2:BO4"/>
    <mergeCell ref="BC3:BD3"/>
    <mergeCell ref="AM3:AN3"/>
  </mergeCells>
  <phoneticPr fontId="7" type="noConversion"/>
  <conditionalFormatting sqref="B4">
    <cfRule type="duplicateValues" dxfId="83" priority="10449"/>
  </conditionalFormatting>
  <conditionalFormatting sqref="B5">
    <cfRule type="duplicateValues" dxfId="82" priority="10431"/>
  </conditionalFormatting>
  <conditionalFormatting sqref="B6:B7">
    <cfRule type="duplicateValues" dxfId="81" priority="10437"/>
  </conditionalFormatting>
  <conditionalFormatting sqref="B8">
    <cfRule type="duplicateValues" dxfId="80" priority="10436"/>
  </conditionalFormatting>
  <conditionalFormatting sqref="B10:B17">
    <cfRule type="duplicateValues" dxfId="79" priority="12690"/>
  </conditionalFormatting>
  <conditionalFormatting sqref="B18">
    <cfRule type="duplicateValues" dxfId="78" priority="10438"/>
    <cfRule type="duplicateValues" dxfId="77" priority="10434"/>
  </conditionalFormatting>
  <conditionalFormatting sqref="B19">
    <cfRule type="duplicateValues" dxfId="76" priority="10439"/>
  </conditionalFormatting>
  <conditionalFormatting sqref="B19:B20">
    <cfRule type="duplicateValues" dxfId="75" priority="10432"/>
  </conditionalFormatting>
  <conditionalFormatting sqref="B50">
    <cfRule type="duplicateValues" dxfId="74" priority="373"/>
    <cfRule type="duplicateValues" dxfId="73" priority="372"/>
  </conditionalFormatting>
  <conditionalFormatting sqref="B5:D7">
    <cfRule type="containsText" dxfId="72" priority="10430" operator="containsText" text="AB">
      <formula>NOT(ISERROR(SEARCH("AB",B5)))</formula>
    </cfRule>
  </conditionalFormatting>
  <conditionalFormatting sqref="B8:D8 B10:D17 B18:B20 C18:D26 C28:D28 B50:D50">
    <cfRule type="containsText" dxfId="71" priority="10429" operator="containsText" text="ABST">
      <formula>NOT(ISERROR(SEARCH("ABST",B8)))</formula>
    </cfRule>
  </conditionalFormatting>
  <conditionalFormatting sqref="C26:D26">
    <cfRule type="duplicateValues" dxfId="70" priority="12759"/>
  </conditionalFormatting>
  <conditionalFormatting sqref="C28:D28 C5:D25">
    <cfRule type="duplicateValues" dxfId="69" priority="12761"/>
  </conditionalFormatting>
  <conditionalFormatting sqref="C50:D50">
    <cfRule type="duplicateValues" dxfId="68" priority="12765"/>
  </conditionalFormatting>
  <conditionalFormatting sqref="E28 AK28:AT28 AV28:BN28">
    <cfRule type="containsText" dxfId="67" priority="9863" operator="containsText" text="AL">
      <formula>NOT(ISERROR(SEARCH("AL",E28)))</formula>
    </cfRule>
    <cfRule type="containsText" dxfId="66" priority="9865" operator="containsText" text="NL">
      <formula>NOT(ISERROR(SEARCH("NL",E28)))</formula>
    </cfRule>
    <cfRule type="containsText" dxfId="65" priority="9864" operator="containsText" text="SICK">
      <formula>NOT(ISERROR(SEARCH("SICK",E28)))</formula>
    </cfRule>
    <cfRule type="containsText" dxfId="64" priority="9862" operator="containsText" text="AB">
      <formula>NOT(ISERROR(SEARCH("AB",E28)))</formula>
    </cfRule>
  </conditionalFormatting>
  <conditionalFormatting sqref="E4:AH4">
    <cfRule type="dataBar" priority="10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ontainsText" dxfId="63" priority="10448" operator="containsText" text="S">
      <formula>NOT(ISERROR(SEARCH("S",#REF!)))</formula>
    </cfRule>
    <cfRule type="containsText" dxfId="62" priority="10447" operator="containsText" text="HD">
      <formula>NOT(ISERROR(SEARCH("HD",#REF!)))</formula>
    </cfRule>
    <cfRule type="containsText" dxfId="61" priority="10446" operator="containsText" text="AB">
      <formula>NOT(ISERROR(SEARCH("AB",#REF!)))</formula>
    </cfRule>
    <cfRule type="expression" priority="10444">
      <formula>AND(ISNUMBER($Z2), ISNUMBER($AA2))</formula>
    </cfRule>
    <cfRule type="cellIs" dxfId="60" priority="10442" operator="equal">
      <formula>"OFF"</formula>
    </cfRule>
    <cfRule type="cellIs" dxfId="59" priority="10440" operator="equal">
      <formula>"Sick"</formula>
    </cfRule>
    <cfRule type="cellIs" dxfId="58" priority="10441" operator="equal">
      <formula>"AB"</formula>
    </cfRule>
  </conditionalFormatting>
  <conditionalFormatting sqref="E50:AH50">
    <cfRule type="containsText" dxfId="57" priority="357" stopIfTrue="1" operator="containsText" text="SICK">
      <formula>NOT(ISERROR(SEARCH("SICK",E50)))</formula>
    </cfRule>
    <cfRule type="containsText" dxfId="56" priority="360" operator="containsText" text="AB">
      <formula>NOT(ISERROR(SEARCH("AB",E50)))</formula>
    </cfRule>
    <cfRule type="containsText" dxfId="55" priority="361" operator="containsText" text="SICK">
      <formula>NOT(ISERROR(SEARCH("SICK",E50)))</formula>
    </cfRule>
  </conditionalFormatting>
  <conditionalFormatting sqref="E5:BN26">
    <cfRule type="containsText" dxfId="54" priority="105" operator="containsText" text="EL">
      <formula>NOT(ISERROR(SEARCH("EL",E5)))</formula>
    </cfRule>
    <cfRule type="containsText" dxfId="53" priority="109" operator="containsText" text="MC">
      <formula>NOT(ISERROR(SEARCH("MC",E5)))</formula>
    </cfRule>
    <cfRule type="containsText" dxfId="52" priority="110" operator="containsText" text="OFF">
      <formula>NOT(ISERROR(SEARCH("OFF",E5)))</formula>
    </cfRule>
    <cfRule type="containsText" dxfId="51" priority="106" operator="containsText" text="AB">
      <formula>NOT(ISERROR(SEARCH("AB",E5)))</formula>
    </cfRule>
    <cfRule type="containsText" dxfId="50" priority="107" operator="containsText" text="Sick">
      <formula>NOT(ISERROR(SEARCH("Sick",E5)))</formula>
    </cfRule>
    <cfRule type="containsText" dxfId="49" priority="104" operator="containsText" text="SUS">
      <formula>NOT(ISERROR(SEARCH("SUS",E5)))</formula>
    </cfRule>
    <cfRule type="containsText" dxfId="48" priority="108" operator="containsText" text="AL">
      <formula>NOT(ISERROR(SEARCH("AL",E5)))</formula>
    </cfRule>
    <cfRule type="containsText" dxfId="47" priority="103" operator="containsText" text="FL">
      <formula>NOT(ISERROR(SEARCH("FL",E5)))</formula>
    </cfRule>
    <cfRule type="containsText" dxfId="46" priority="102" operator="containsText" text="NL">
      <formula>NOT(ISERROR(SEARCH("NL",E5)))</formula>
    </cfRule>
    <cfRule type="containsText" dxfId="45" priority="101" operator="containsText" text="SP">
      <formula>NOT(ISERROR(SEARCH("SP",E5)))</formula>
    </cfRule>
  </conditionalFormatting>
  <conditionalFormatting sqref="W28:AH28">
    <cfRule type="containsText" dxfId="44" priority="9519" operator="containsText" text="SICK">
      <formula>NOT(ISERROR(SEARCH("SICK",W28)))</formula>
    </cfRule>
    <cfRule type="containsText" dxfId="43" priority="9520" operator="containsText" text="NL">
      <formula>NOT(ISERROR(SEARCH("NL",W28)))</formula>
    </cfRule>
    <cfRule type="containsText" dxfId="42" priority="9517" operator="containsText" text="AB">
      <formula>NOT(ISERROR(SEARCH("AB",W28)))</formula>
    </cfRule>
    <cfRule type="containsText" dxfId="41" priority="9518" operator="containsText" text="AL">
      <formula>NOT(ISERROR(SEARCH("AL",W28)))</formula>
    </cfRule>
  </conditionalFormatting>
  <conditionalFormatting sqref="AA28:AB28">
    <cfRule type="containsText" dxfId="40" priority="9559" stopIfTrue="1" operator="containsText" text="SICK">
      <formula>NOT(ISERROR(SEARCH("SICK",AA28)))</formula>
    </cfRule>
    <cfRule type="containsText" dxfId="39" priority="9557" stopIfTrue="1" operator="containsText" text="AL">
      <formula>NOT(ISERROR(SEARCH("AL",AA28)))</formula>
    </cfRule>
    <cfRule type="containsText" dxfId="38" priority="9558" stopIfTrue="1" operator="containsText" text="SP">
      <formula>NOT(ISERROR(SEARCH("SP",AA28)))</formula>
    </cfRule>
  </conditionalFormatting>
  <conditionalFormatting sqref="AJ50">
    <cfRule type="containsText" dxfId="37" priority="369" operator="containsText" text="AB">
      <formula>NOT(ISERROR(SEARCH("AB",AJ50)))</formula>
    </cfRule>
    <cfRule type="containsText" dxfId="36" priority="370" operator="containsText" text="SICK">
      <formula>NOT(ISERROR(SEARCH("SICK",AJ50)))</formula>
    </cfRule>
    <cfRule type="containsText" priority="367" operator="containsText" text="FL">
      <formula>NOT(ISERROR(SEARCH("FL",AJ50)))</formula>
    </cfRule>
    <cfRule type="containsText" dxfId="35" priority="366" stopIfTrue="1" operator="containsText" text="FL">
      <formula>NOT(ISERROR(SEARCH("FL",AJ50)))</formula>
    </cfRule>
    <cfRule type="containsText" dxfId="34" priority="368" operator="containsText" text="AL">
      <formula>NOT(ISERROR(SEARCH("AL",AJ50)))</formula>
    </cfRule>
  </conditionalFormatting>
  <conditionalFormatting sqref="AJ50:AT50">
    <cfRule type="containsText" dxfId="33" priority="362" operator="containsText" text="AB">
      <formula>NOT(ISERROR(SEARCH("AB",AJ50)))</formula>
    </cfRule>
    <cfRule type="containsText" dxfId="32" priority="363" operator="containsText" text="SICK">
      <formula>NOT(ISERROR(SEARCH("SICK",AJ50)))</formula>
    </cfRule>
  </conditionalFormatting>
  <conditionalFormatting sqref="AK4:AL4">
    <cfRule type="dataBar" priority="10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4:BN4">
    <cfRule type="containsText" dxfId="31" priority="10411" operator="containsText" text="AB">
      <formula>NOT(ISERROR(SEARCH("AB",#REF!)))</formula>
    </cfRule>
    <cfRule type="expression" priority="10406">
      <formula>AND(ISNUMBER($Z2), ISNUMBER($AA2))</formula>
    </cfRule>
    <cfRule type="cellIs" dxfId="30" priority="10408" operator="equal">
      <formula>"Sick"</formula>
    </cfRule>
    <cfRule type="cellIs" dxfId="29" priority="10409" operator="equal">
      <formula>"AB"</formula>
    </cfRule>
    <cfRule type="cellIs" dxfId="28" priority="10410" operator="equal">
      <formula>"OFF"</formula>
    </cfRule>
    <cfRule type="containsText" dxfId="27" priority="10412" operator="containsText" text="HD">
      <formula>NOT(ISERROR(SEARCH("HD",#REF!)))</formula>
    </cfRule>
    <cfRule type="containsText" dxfId="26" priority="10413" operator="containsText" text="S">
      <formula>NOT(ISERROR(SEARCH("S",#REF!)))</formula>
    </cfRule>
  </conditionalFormatting>
  <conditionalFormatting sqref="AM4:AN4">
    <cfRule type="dataBar" priority="10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O4:AP4">
    <cfRule type="dataBar" priority="10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Q4:AR4">
    <cfRule type="dataBar" priority="10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S4:AT4">
    <cfRule type="dataBar" priority="10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U4:AV4">
    <cfRule type="dataBar" priority="10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W4:AX4">
    <cfRule type="dataBar" priority="10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Y4:AZ4">
    <cfRule type="dataBar" priority="10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BA4:BB4">
    <cfRule type="dataBar" priority="10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28:BN28">
    <cfRule type="containsText" dxfId="25" priority="10403" stopIfTrue="1" operator="containsText" text="SP">
      <formula>NOT(ISERROR(SEARCH("SP",BA28)))</formula>
    </cfRule>
    <cfRule type="containsText" dxfId="24" priority="10404" stopIfTrue="1" operator="containsText" text="SICK">
      <formula>NOT(ISERROR(SEARCH("SICK",BA28)))</formula>
    </cfRule>
    <cfRule type="containsText" dxfId="23" priority="10402" stopIfTrue="1" operator="containsText" text="AL">
      <formula>NOT(ISERROR(SEARCH("AL",BA28)))</formula>
    </cfRule>
  </conditionalFormatting>
  <conditionalFormatting sqref="BC4:BD4">
    <cfRule type="dataBar" priority="10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E4:BF4">
    <cfRule type="dataBar" priority="10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G4:BN4">
    <cfRule type="dataBar" priority="12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L50:BN50">
    <cfRule type="containsText" dxfId="22" priority="358" operator="containsText" text="AB">
      <formula>NOT(ISERROR(SEARCH("AB",BL50)))</formula>
    </cfRule>
    <cfRule type="containsText" dxfId="21" priority="359" operator="containsText" text="SICK">
      <formula>NOT(ISERROR(SEARCH("SICK",BL50)))</formula>
    </cfRule>
  </conditionalFormatting>
  <conditionalFormatting sqref="BP28">
    <cfRule type="cellIs" dxfId="20" priority="10401" operator="equal">
      <formula>";"</formula>
    </cfRule>
  </conditionalFormatting>
  <conditionalFormatting sqref="BR4:BX4">
    <cfRule type="containsText" dxfId="19" priority="10" operator="containsText" text="OFF">
      <formula>NOT(ISERROR(SEARCH("OFF",BR4)))</formula>
    </cfRule>
    <cfRule type="containsText" dxfId="18" priority="1" operator="containsText" text="SP">
      <formula>NOT(ISERROR(SEARCH("SP",BR4)))</formula>
    </cfRule>
    <cfRule type="containsText" dxfId="17" priority="9" operator="containsText" text="MC">
      <formula>NOT(ISERROR(SEARCH("MC",BR4)))</formula>
    </cfRule>
    <cfRule type="containsText" dxfId="16" priority="7" operator="containsText" text="Sick">
      <formula>NOT(ISERROR(SEARCH("Sick",BR4)))</formula>
    </cfRule>
    <cfRule type="containsText" dxfId="15" priority="6" operator="containsText" text="AB">
      <formula>NOT(ISERROR(SEARCH("AB",BR4)))</formula>
    </cfRule>
    <cfRule type="containsText" dxfId="14" priority="5" operator="containsText" text="EL">
      <formula>NOT(ISERROR(SEARCH("EL",BR4)))</formula>
    </cfRule>
    <cfRule type="containsText" dxfId="13" priority="4" operator="containsText" text="SUS">
      <formula>NOT(ISERROR(SEARCH("SUS",BR4)))</formula>
    </cfRule>
    <cfRule type="containsText" dxfId="12" priority="8" operator="containsText" text="AL">
      <formula>NOT(ISERROR(SEARCH("AL",BR4)))</formula>
    </cfRule>
    <cfRule type="containsText" dxfId="11" priority="2" operator="containsText" text="NL">
      <formula>NOT(ISERROR(SEARCH("NL",BR4)))</formula>
    </cfRule>
    <cfRule type="containsText" dxfId="10" priority="3" operator="containsText" text="FL">
      <formula>NOT(ISERROR(SEARCH("FL",BR4)))</formula>
    </cfRule>
  </conditionalFormatting>
  <conditionalFormatting sqref="BZ4:CB4">
    <cfRule type="containsText" dxfId="9" priority="30" operator="containsText" text="OFF">
      <formula>NOT(ISERROR(SEARCH("OFF",BZ4)))</formula>
    </cfRule>
    <cfRule type="containsText" dxfId="8" priority="29" operator="containsText" text="MC">
      <formula>NOT(ISERROR(SEARCH("MC",BZ4)))</formula>
    </cfRule>
    <cfRule type="containsText" dxfId="7" priority="28" operator="containsText" text="AL">
      <formula>NOT(ISERROR(SEARCH("AL",BZ4)))</formula>
    </cfRule>
    <cfRule type="containsText" dxfId="6" priority="27" operator="containsText" text="Sick">
      <formula>NOT(ISERROR(SEARCH("Sick",BZ4)))</formula>
    </cfRule>
    <cfRule type="containsText" dxfId="5" priority="26" operator="containsText" text="AB">
      <formula>NOT(ISERROR(SEARCH("AB",BZ4)))</formula>
    </cfRule>
    <cfRule type="containsText" dxfId="4" priority="25" operator="containsText" text="EL">
      <formula>NOT(ISERROR(SEARCH("EL",BZ4)))</formula>
    </cfRule>
    <cfRule type="containsText" dxfId="3" priority="24" operator="containsText" text="SUS">
      <formula>NOT(ISERROR(SEARCH("SUS",BZ4)))</formula>
    </cfRule>
    <cfRule type="containsText" dxfId="2" priority="22" operator="containsText" text="NL">
      <formula>NOT(ISERROR(SEARCH("NL",BZ4)))</formula>
    </cfRule>
    <cfRule type="containsText" dxfId="1" priority="21" operator="containsText" text="SP">
      <formula>NOT(ISERROR(SEARCH("SP",BZ4)))</formula>
    </cfRule>
    <cfRule type="containsText" dxfId="0" priority="23" operator="containsText" text="FL">
      <formula>NOT(ISERROR(SEARCH("FL",BZ4)))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E4:AH4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AK4:AL4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AM4:AN4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AO4:AP4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AQ4:AR4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AS4:AT4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AU4:AV4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AY4:AZ4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BA4:BB4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BC4:BD4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BE4:BF4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BG4:BN4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2026-04-16T07:14:12Z</cp:lastPrinted>
  <dcterms:created xsi:type="dcterms:W3CDTF">2025-11-01T09:49:58Z</dcterms:created>
  <dcterms:modified xsi:type="dcterms:W3CDTF">2026-10-30T09:13:47Z</dcterms:modified>
</cp:coreProperties>
</file>