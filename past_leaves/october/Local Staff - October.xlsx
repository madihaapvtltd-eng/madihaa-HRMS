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october\"/>
    </mc:Choice>
  </mc:AlternateContent>
  <xr:revisionPtr revIDLastSave="0" documentId="13_ncr:1_{6D840FC0-44D5-4484-B58E-24D0684F98C1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_FilterDatabase" localSheetId="0" hidden="1">MASTER!$A$1:$CT$28</definedName>
    <definedName name="_xlnm.Print_Area" localSheetId="0">MASTER!$A$2:$CE$39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7" i="1" l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6" i="1"/>
  <c r="BT17" i="1"/>
  <c r="BU17" i="1"/>
  <c r="BV17" i="1"/>
  <c r="BW17" i="1"/>
  <c r="BX17" i="1"/>
  <c r="BY17" i="1"/>
  <c r="BZ17" i="1"/>
  <c r="CA17" i="1"/>
  <c r="CB17" i="1"/>
  <c r="CC17" i="1"/>
  <c r="CD17" i="1"/>
  <c r="BT18" i="1"/>
  <c r="BU18" i="1"/>
  <c r="BV18" i="1"/>
  <c r="BW18" i="1"/>
  <c r="BX18" i="1"/>
  <c r="BY18" i="1"/>
  <c r="BZ18" i="1"/>
  <c r="CA18" i="1"/>
  <c r="CB18" i="1"/>
  <c r="CC18" i="1"/>
  <c r="CD18" i="1"/>
  <c r="BT19" i="1"/>
  <c r="BU19" i="1"/>
  <c r="BV19" i="1"/>
  <c r="BW19" i="1"/>
  <c r="BX19" i="1"/>
  <c r="BY19" i="1"/>
  <c r="BZ19" i="1"/>
  <c r="CA19" i="1"/>
  <c r="CB19" i="1"/>
  <c r="CC19" i="1"/>
  <c r="CD19" i="1"/>
  <c r="BT20" i="1"/>
  <c r="BU20" i="1"/>
  <c r="BV20" i="1"/>
  <c r="BW20" i="1"/>
  <c r="BX20" i="1"/>
  <c r="BY20" i="1"/>
  <c r="BZ20" i="1"/>
  <c r="CA20" i="1"/>
  <c r="CB20" i="1"/>
  <c r="CC20" i="1"/>
  <c r="CD20" i="1"/>
  <c r="BT21" i="1"/>
  <c r="BU21" i="1"/>
  <c r="BV21" i="1"/>
  <c r="BW21" i="1"/>
  <c r="BX21" i="1"/>
  <c r="BY21" i="1"/>
  <c r="BZ21" i="1"/>
  <c r="CA21" i="1"/>
  <c r="CB21" i="1"/>
  <c r="CC21" i="1"/>
  <c r="CD21" i="1"/>
  <c r="BT22" i="1"/>
  <c r="BU22" i="1"/>
  <c r="BV22" i="1"/>
  <c r="BW22" i="1"/>
  <c r="BX22" i="1"/>
  <c r="BY22" i="1"/>
  <c r="BZ22" i="1"/>
  <c r="CA22" i="1"/>
  <c r="CB22" i="1"/>
  <c r="CC22" i="1"/>
  <c r="CD22" i="1"/>
  <c r="BT23" i="1"/>
  <c r="BU23" i="1"/>
  <c r="BV23" i="1"/>
  <c r="BW23" i="1"/>
  <c r="BX23" i="1"/>
  <c r="BY23" i="1"/>
  <c r="BZ23" i="1"/>
  <c r="CA23" i="1"/>
  <c r="CB23" i="1"/>
  <c r="CC23" i="1"/>
  <c r="CD23" i="1"/>
  <c r="BT24" i="1"/>
  <c r="BU24" i="1"/>
  <c r="BV24" i="1"/>
  <c r="BW24" i="1"/>
  <c r="BX24" i="1"/>
  <c r="BY24" i="1"/>
  <c r="BZ24" i="1"/>
  <c r="CA24" i="1"/>
  <c r="CB24" i="1"/>
  <c r="CC24" i="1"/>
  <c r="CD24" i="1"/>
  <c r="BT25" i="1"/>
  <c r="BU25" i="1"/>
  <c r="BV25" i="1"/>
  <c r="BW25" i="1"/>
  <c r="BX25" i="1"/>
  <c r="BY25" i="1"/>
  <c r="BZ25" i="1"/>
  <c r="CA25" i="1"/>
  <c r="CB25" i="1"/>
  <c r="CC25" i="1"/>
  <c r="CD25" i="1"/>
  <c r="BT26" i="1"/>
  <c r="BU26" i="1"/>
  <c r="BV26" i="1"/>
  <c r="BW26" i="1"/>
  <c r="BX26" i="1"/>
  <c r="BY26" i="1"/>
  <c r="BZ26" i="1"/>
  <c r="CA26" i="1"/>
  <c r="CB26" i="1"/>
  <c r="CC26" i="1"/>
  <c r="CD26" i="1"/>
  <c r="BT27" i="1"/>
  <c r="BU27" i="1"/>
  <c r="BV27" i="1"/>
  <c r="BW27" i="1"/>
  <c r="BX27" i="1"/>
  <c r="BY27" i="1"/>
  <c r="BZ27" i="1"/>
  <c r="CA27" i="1"/>
  <c r="CB27" i="1"/>
  <c r="CC27" i="1"/>
  <c r="CD27" i="1"/>
  <c r="BT28" i="1"/>
  <c r="BU28" i="1"/>
  <c r="BV28" i="1"/>
  <c r="BW28" i="1"/>
  <c r="BX28" i="1"/>
  <c r="BY28" i="1"/>
  <c r="BZ28" i="1"/>
  <c r="CA28" i="1"/>
  <c r="CB28" i="1"/>
  <c r="CC28" i="1"/>
  <c r="CD28" i="1"/>
  <c r="BT29" i="1"/>
  <c r="BU29" i="1"/>
  <c r="BV29" i="1"/>
  <c r="BW29" i="1"/>
  <c r="BX29" i="1"/>
  <c r="BY29" i="1"/>
  <c r="BZ29" i="1"/>
  <c r="CA29" i="1"/>
  <c r="CB29" i="1"/>
  <c r="CC29" i="1"/>
  <c r="CD29" i="1"/>
  <c r="BT30" i="1"/>
  <c r="BU30" i="1"/>
  <c r="BV30" i="1"/>
  <c r="BW30" i="1"/>
  <c r="BX30" i="1"/>
  <c r="BY30" i="1"/>
  <c r="BZ30" i="1"/>
  <c r="CA30" i="1"/>
  <c r="CB30" i="1"/>
  <c r="CC30" i="1"/>
  <c r="CD30" i="1"/>
  <c r="BT31" i="1"/>
  <c r="BU31" i="1"/>
  <c r="BV31" i="1"/>
  <c r="BW31" i="1"/>
  <c r="BX31" i="1"/>
  <c r="BY31" i="1"/>
  <c r="BZ31" i="1"/>
  <c r="CA31" i="1"/>
  <c r="CB31" i="1"/>
  <c r="CC31" i="1"/>
  <c r="CD31" i="1"/>
  <c r="BT32" i="1"/>
  <c r="BU32" i="1"/>
  <c r="BV32" i="1"/>
  <c r="BW32" i="1"/>
  <c r="BX32" i="1"/>
  <c r="BY32" i="1"/>
  <c r="BZ32" i="1"/>
  <c r="CA32" i="1"/>
  <c r="CB32" i="1"/>
  <c r="CC32" i="1"/>
  <c r="CD32" i="1"/>
  <c r="BT33" i="1"/>
  <c r="BU33" i="1"/>
  <c r="BV33" i="1"/>
  <c r="BW33" i="1"/>
  <c r="BX33" i="1"/>
  <c r="BY33" i="1"/>
  <c r="BZ33" i="1"/>
  <c r="CA33" i="1"/>
  <c r="CB33" i="1"/>
  <c r="CC33" i="1"/>
  <c r="CD33" i="1"/>
  <c r="CR33" i="1"/>
  <c r="BQ33" i="1" l="1"/>
  <c r="BT7" i="1"/>
  <c r="BU7" i="1"/>
  <c r="BV7" i="1"/>
  <c r="BW7" i="1"/>
  <c r="BX7" i="1"/>
  <c r="BY7" i="1"/>
  <c r="BZ7" i="1"/>
  <c r="CA7" i="1"/>
  <c r="CB7" i="1"/>
  <c r="CC7" i="1"/>
  <c r="CD7" i="1"/>
  <c r="BT8" i="1"/>
  <c r="BU8" i="1"/>
  <c r="BV8" i="1"/>
  <c r="BW8" i="1"/>
  <c r="BX8" i="1"/>
  <c r="BY8" i="1"/>
  <c r="BZ8" i="1"/>
  <c r="CA8" i="1"/>
  <c r="CB8" i="1"/>
  <c r="CC8" i="1"/>
  <c r="CD8" i="1"/>
  <c r="BT9" i="1"/>
  <c r="BU9" i="1"/>
  <c r="BV9" i="1"/>
  <c r="BW9" i="1"/>
  <c r="BX9" i="1"/>
  <c r="BY9" i="1"/>
  <c r="BZ9" i="1"/>
  <c r="CA9" i="1"/>
  <c r="CB9" i="1"/>
  <c r="CC9" i="1"/>
  <c r="CD9" i="1"/>
  <c r="BT10" i="1"/>
  <c r="BU10" i="1"/>
  <c r="BV10" i="1"/>
  <c r="BW10" i="1"/>
  <c r="BX10" i="1"/>
  <c r="BY10" i="1"/>
  <c r="BZ10" i="1"/>
  <c r="CA10" i="1"/>
  <c r="CB10" i="1"/>
  <c r="CC10" i="1"/>
  <c r="CD10" i="1"/>
  <c r="BT11" i="1"/>
  <c r="BU11" i="1"/>
  <c r="BV11" i="1"/>
  <c r="BW11" i="1"/>
  <c r="BX11" i="1"/>
  <c r="BY11" i="1"/>
  <c r="BZ11" i="1"/>
  <c r="CA11" i="1"/>
  <c r="CB11" i="1"/>
  <c r="CC11" i="1"/>
  <c r="CD11" i="1"/>
  <c r="BT12" i="1"/>
  <c r="BU12" i="1"/>
  <c r="BV12" i="1"/>
  <c r="BW12" i="1"/>
  <c r="BX12" i="1"/>
  <c r="BY12" i="1"/>
  <c r="BZ12" i="1"/>
  <c r="CA12" i="1"/>
  <c r="CB12" i="1"/>
  <c r="CC12" i="1"/>
  <c r="CD12" i="1"/>
  <c r="BT13" i="1"/>
  <c r="BU13" i="1"/>
  <c r="BV13" i="1"/>
  <c r="BW13" i="1"/>
  <c r="BX13" i="1"/>
  <c r="BY13" i="1"/>
  <c r="BZ13" i="1"/>
  <c r="CA13" i="1"/>
  <c r="CB13" i="1"/>
  <c r="CC13" i="1"/>
  <c r="CD13" i="1"/>
  <c r="BT14" i="1"/>
  <c r="BU14" i="1"/>
  <c r="BV14" i="1"/>
  <c r="BW14" i="1"/>
  <c r="BX14" i="1"/>
  <c r="BY14" i="1"/>
  <c r="BZ14" i="1"/>
  <c r="CA14" i="1"/>
  <c r="CB14" i="1"/>
  <c r="CC14" i="1"/>
  <c r="CD14" i="1"/>
  <c r="BT15" i="1"/>
  <c r="BU15" i="1"/>
  <c r="BV15" i="1"/>
  <c r="BW15" i="1"/>
  <c r="BX15" i="1"/>
  <c r="BY15" i="1"/>
  <c r="BZ15" i="1"/>
  <c r="CA15" i="1"/>
  <c r="CB15" i="1"/>
  <c r="CC15" i="1"/>
  <c r="CD15" i="1"/>
  <c r="BT16" i="1"/>
  <c r="BU16" i="1"/>
  <c r="BV16" i="1"/>
  <c r="BW16" i="1"/>
  <c r="BX16" i="1"/>
  <c r="BY16" i="1"/>
  <c r="BZ16" i="1"/>
  <c r="CA16" i="1"/>
  <c r="CB16" i="1"/>
  <c r="CC16" i="1"/>
  <c r="CD16" i="1"/>
  <c r="CR32" i="1"/>
  <c r="BQ12" i="1" l="1"/>
  <c r="BQ9" i="1"/>
  <c r="BQ8" i="1"/>
  <c r="BQ7" i="1"/>
  <c r="BQ11" i="1"/>
  <c r="BQ10" i="1"/>
  <c r="BQ23" i="1"/>
  <c r="BQ22" i="1"/>
  <c r="BQ30" i="1"/>
  <c r="BQ13" i="1"/>
  <c r="BQ26" i="1"/>
  <c r="BQ18" i="1"/>
  <c r="BQ24" i="1"/>
  <c r="BQ29" i="1"/>
  <c r="BQ28" i="1"/>
  <c r="BQ27" i="1"/>
  <c r="BQ25" i="1"/>
  <c r="BQ21" i="1"/>
  <c r="BQ20" i="1"/>
  <c r="BQ19" i="1"/>
  <c r="BQ17" i="1"/>
  <c r="BQ16" i="1"/>
  <c r="BQ15" i="1"/>
  <c r="BQ31" i="1"/>
  <c r="BQ32" i="1"/>
  <c r="BQ14" i="1"/>
  <c r="CR30" i="1" l="1"/>
  <c r="CR31" i="1"/>
  <c r="CR29" i="1" l="1"/>
  <c r="CR28" i="1" l="1"/>
  <c r="CR27" i="1" l="1"/>
  <c r="CR12" i="1" l="1"/>
  <c r="CR25" i="1"/>
  <c r="CR26" i="1"/>
  <c r="CR49" i="1" l="1"/>
  <c r="CR24" i="1" l="1"/>
  <c r="CR23" i="1"/>
  <c r="CR22" i="1"/>
  <c r="CR21" i="1"/>
  <c r="CR20" i="1"/>
  <c r="CR11" i="1"/>
  <c r="CR19" i="1"/>
  <c r="CR18" i="1"/>
  <c r="CR17" i="1"/>
  <c r="CR16" i="1"/>
  <c r="CR10" i="1"/>
  <c r="CR15" i="1"/>
  <c r="CR13" i="1"/>
  <c r="CR9" i="1"/>
  <c r="CR8" i="1"/>
  <c r="CR14" i="1"/>
  <c r="CR7" i="1"/>
  <c r="CR6" i="1"/>
  <c r="CD6" i="1" l="1"/>
  <c r="CC6" i="1"/>
  <c r="CB6" i="1"/>
  <c r="CA6" i="1"/>
  <c r="BZ6" i="1"/>
  <c r="BY6" i="1"/>
  <c r="BX6" i="1"/>
  <c r="BW6" i="1"/>
  <c r="BV6" i="1"/>
  <c r="BU6" i="1"/>
  <c r="BT6" i="1"/>
  <c r="BQ6" i="1" l="1"/>
  <c r="CR48" i="1" l="1"/>
</calcChain>
</file>

<file path=xl/sharedStrings.xml><?xml version="1.0" encoding="utf-8"?>
<sst xmlns="http://schemas.openxmlformats.org/spreadsheetml/2006/main" count="419" uniqueCount="107">
  <si>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</si>
  <si>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</si>
  <si>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</si>
  <si>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</si>
  <si>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</si>
  <si>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</si>
  <si>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</si>
  <si>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</si>
  <si>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</si>
  <si>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</si>
  <si>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</si>
  <si>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</si>
  <si>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</si>
  <si>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</si>
  <si>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</si>
  <si>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</si>
  <si>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</si>
  <si>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</si>
  <si>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</si>
  <si>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</si>
  <si>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</si>
  <si>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</si>
  <si>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</si>
  <si>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</si>
  <si>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</si>
  <si>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</si>
  <si>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</si>
  <si>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</si>
  <si>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</si>
  <si>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</si>
  <si>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</si>
  <si>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MAD0393</t>
  </si>
  <si>
    <t>Mariyam Hameedha</t>
  </si>
  <si>
    <t>MAD0523</t>
  </si>
  <si>
    <t>Aishath Naeema</t>
  </si>
  <si>
    <t>MAD0449</t>
  </si>
  <si>
    <t>Hassan Sameer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</si>
  <si>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</si>
  <si>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</si>
  <si>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</si>
  <si>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</si>
  <si>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</si>
  <si>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</si>
  <si>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</si>
  <si>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</si>
  <si>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</si>
  <si>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</si>
  <si>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</si>
  <si>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</si>
  <si>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</si>
  <si>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</si>
  <si>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</si>
  <si>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</si>
  <si>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</si>
  <si>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</si>
  <si>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</si>
  <si>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</si>
  <si>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</si>
  <si>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</si>
  <si>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</si>
  <si>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</si>
  <si>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</si>
  <si>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</si>
  <si>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</si>
  <si>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</si>
  <si>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</si>
  <si>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</si>
  <si>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</si>
  <si>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</si>
  <si>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</si>
  <si>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</si>
  <si>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</si>
  <si>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Moosa Ahmed </t>
  </si>
  <si>
    <t xml:space="preserve"> </t>
  </si>
  <si>
    <t>HR Executive</t>
  </si>
  <si>
    <t>Office Manager</t>
  </si>
  <si>
    <t>Chairman</t>
  </si>
  <si>
    <t>Pls don’t Remove below data</t>
  </si>
  <si>
    <t>Total</t>
  </si>
  <si>
    <t>MAD0732</t>
  </si>
  <si>
    <t>Fathmath Nuha</t>
  </si>
  <si>
    <t>DOJ</t>
  </si>
  <si>
    <t>SICK</t>
  </si>
  <si>
    <t>MAD0768</t>
  </si>
  <si>
    <t>Aishath Suhama</t>
  </si>
  <si>
    <t>MAD0770</t>
  </si>
  <si>
    <t>Zainab Ahmed Marzoog</t>
  </si>
  <si>
    <t xml:space="preserve">Used Leave Totals (Running Year, up to end of this month -JUNE 2026) </t>
  </si>
  <si>
    <t>MAD0771</t>
  </si>
  <si>
    <t>Saamila Ibrahim</t>
  </si>
  <si>
    <t>MDA0687</t>
  </si>
  <si>
    <t>Ibrahim Riyaz</t>
  </si>
  <si>
    <t>MDA0780</t>
  </si>
  <si>
    <t>Leela Ibrahim</t>
  </si>
  <si>
    <t>Lila Ibrahim</t>
  </si>
  <si>
    <t>-</t>
  </si>
  <si>
    <t>Ismail Shareef</t>
  </si>
  <si>
    <t>MDA0784</t>
  </si>
  <si>
    <t>MDA0783</t>
  </si>
  <si>
    <t>Fathmath Inaya</t>
  </si>
  <si>
    <t>MDA0786</t>
  </si>
  <si>
    <t>Aiminath Hassan Didi</t>
  </si>
  <si>
    <t>ATTENDANCE  -  SEPTEMBER 2026 -Male Local Staffs</t>
  </si>
  <si>
    <t>MDA0787</t>
  </si>
  <si>
    <t>Ahmed Rifath</t>
  </si>
  <si>
    <t>ATTENDANCE  -  OCTOBER 2026 -Male Local Staffs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</si>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</sst>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yy;@"/>
  </numFmts>
  <fonts count="31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b/>
      <u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Segoe UI"/>
      <family val="2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1" fontId="8" fillId="7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20" fontId="14" fillId="0" borderId="0" xfId="0" applyNumberFormat="1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20" fontId="11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/>
    <xf numFmtId="1" fontId="17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8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6" fontId="8" fillId="4" borderId="12" xfId="0" applyNumberFormat="1" applyFont="1" applyFill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0" fillId="0" borderId="14" xfId="0" applyBorder="1"/>
    <xf numFmtId="1" fontId="20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20" fontId="23" fillId="0" borderId="8" xfId="0" applyNumberFormat="1" applyFont="1" applyBorder="1" applyAlignment="1">
      <alignment horizontal="center" vertical="center" wrapText="1"/>
    </xf>
    <xf numFmtId="20" fontId="25" fillId="0" borderId="8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0" fillId="9" borderId="8" xfId="0" applyNumberFormat="1" applyFill="1" applyBorder="1" applyAlignment="1">
      <alignment horizontal="center" vertical="center"/>
    </xf>
    <xf numFmtId="22" fontId="22" fillId="0" borderId="0" xfId="0" applyNumberFormat="1" applyFont="1" applyAlignment="1">
      <alignment horizontal="left" vertical="top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0" fillId="8" borderId="0" xfId="0" applyNumberFormat="1" applyFill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 wrapText="1"/>
    </xf>
    <xf numFmtId="166" fontId="0" fillId="0" borderId="9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1" fillId="6" borderId="9" xfId="0" applyFont="1" applyFill="1" applyBorder="1" applyAlignment="1">
      <alignment horizontal="left" vertical="center"/>
    </xf>
    <xf numFmtId="0" fontId="14" fillId="6" borderId="9" xfId="0" applyFont="1" applyFill="1" applyBorder="1" applyAlignment="1">
      <alignment horizontal="left" vertical="center" wrapText="1"/>
    </xf>
    <xf numFmtId="0" fontId="19" fillId="6" borderId="9" xfId="0" applyFont="1" applyFill="1" applyBorder="1" applyAlignment="1">
      <alignment horizontal="left" vertical="center" wrapText="1"/>
    </xf>
    <xf numFmtId="165" fontId="0" fillId="11" borderId="8" xfId="0" applyNumberFormat="1" applyFill="1" applyBorder="1" applyAlignment="1">
      <alignment horizontal="center" vertical="center"/>
    </xf>
    <xf numFmtId="165" fontId="0" fillId="12" borderId="8" xfId="0" applyNumberFormat="1" applyFill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165" fontId="27" fillId="0" borderId="8" xfId="0" applyNumberFormat="1" applyFont="1" applyBorder="1" applyAlignment="1">
      <alignment horizontal="center" vertical="center"/>
    </xf>
    <xf numFmtId="165" fontId="27" fillId="0" borderId="8" xfId="0" applyNumberFormat="1" applyFont="1" applyBorder="1" applyAlignment="1">
      <alignment horizontal="center" vertical="center" wrapText="1"/>
    </xf>
    <xf numFmtId="165" fontId="20" fillId="0" borderId="8" xfId="0" applyNumberFormat="1" applyFont="1" applyBorder="1" applyAlignment="1">
      <alignment horizontal="center" vertical="center" wrapText="1"/>
    </xf>
    <xf numFmtId="165" fontId="20" fillId="0" borderId="8" xfId="0" applyNumberFormat="1" applyFont="1" applyBorder="1" applyAlignment="1">
      <alignment horizontal="center" vertical="center"/>
    </xf>
    <xf numFmtId="165" fontId="28" fillId="0" borderId="8" xfId="0" applyNumberFormat="1" applyFont="1" applyBorder="1" applyAlignment="1">
      <alignment horizontal="center" vertical="center" wrapText="1"/>
    </xf>
    <xf numFmtId="165" fontId="29" fillId="0" borderId="24" xfId="0" applyNumberFormat="1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/>
    </xf>
    <xf numFmtId="165" fontId="29" fillId="0" borderId="8" xfId="0" applyNumberFormat="1" applyFont="1" applyBorder="1" applyAlignment="1">
      <alignment horizontal="center" vertical="center"/>
    </xf>
    <xf numFmtId="165" fontId="29" fillId="0" borderId="8" xfId="0" applyNumberFormat="1" applyFont="1" applyBorder="1" applyAlignment="1">
      <alignment horizontal="center" vertical="center" wrapText="1"/>
    </xf>
    <xf numFmtId="165" fontId="11" fillId="0" borderId="8" xfId="0" applyNumberFormat="1" applyFont="1" applyBorder="1" applyAlignment="1">
      <alignment horizontal="center" vertical="center"/>
    </xf>
    <xf numFmtId="165" fontId="0" fillId="0" borderId="8" xfId="0" applyNumberFormat="1" applyBorder="1" applyAlignment="1">
      <alignment vertical="center"/>
    </xf>
    <xf numFmtId="1" fontId="30" fillId="6" borderId="8" xfId="0" applyNumberFormat="1" applyFont="1" applyFill="1" applyBorder="1" applyAlignment="1">
      <alignment horizontal="center" vertical="center" wrapText="1"/>
    </xf>
    <xf numFmtId="165" fontId="0" fillId="2" borderId="8" xfId="0" applyNumberFormat="1" applyFill="1" applyBorder="1" applyAlignment="1">
      <alignment vertical="center"/>
    </xf>
    <xf numFmtId="165" fontId="0" fillId="2" borderId="8" xfId="0" applyNumberFormat="1" applyFill="1" applyBorder="1" applyAlignment="1">
      <alignment horizontal="center" vertical="center"/>
    </xf>
    <xf numFmtId="165" fontId="29" fillId="2" borderId="24" xfId="0" applyNumberFormat="1" applyFont="1" applyFill="1" applyBorder="1" applyAlignment="1">
      <alignment horizontal="center" vertical="center" wrapText="1"/>
    </xf>
    <xf numFmtId="165" fontId="27" fillId="2" borderId="8" xfId="0" applyNumberFormat="1" applyFont="1" applyFill="1" applyBorder="1" applyAlignment="1">
      <alignment horizontal="center" vertical="center"/>
    </xf>
    <xf numFmtId="165" fontId="0" fillId="13" borderId="8" xfId="0" applyNumberForma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5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1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549"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2:CT50"/>
  <sheetViews>
    <sheetView tabSelected="1" zoomScale="75" zoomScaleNormal="75" workbookViewId="0">
      <pane xSplit="3" ySplit="5" topLeftCell="E6" activePane="bottomRight" state="frozen"/>
      <selection pane="topRight" activeCell="D1" sqref="D1"/>
      <selection pane="bottomLeft" activeCell="A5" sqref="A5"/>
      <selection pane="bottomRight" activeCell="M27" sqref="M27"/>
    </sheetView>
  </sheetViews>
  <sheetFormatPr defaultRowHeight="15.75" x14ac:dyDescent="0.25"/>
  <cols>
    <col min="1" max="1" width="5.5703125" customWidth="1"/>
    <col min="2" max="2" width="13.85546875" customWidth="1"/>
    <col min="3" max="3" width="27.5703125" customWidth="1"/>
    <col min="4" max="4" width="20.42578125" style="59" hidden="1" customWidth="1"/>
    <col min="5" max="34" width="7.42578125" customWidth="1"/>
    <col min="35" max="35" width="4.28515625" customWidth="1"/>
    <col min="36" max="36" width="5.5703125" customWidth="1"/>
    <col min="37" max="65" width="6.85546875" customWidth="1"/>
    <col min="66" max="68" width="7.7109375" customWidth="1"/>
    <col min="69" max="70" width="5.140625" customWidth="1"/>
    <col min="71" max="73" width="5.28515625" customWidth="1"/>
    <col min="74" max="74" width="6.28515625" customWidth="1"/>
    <col min="75" max="77" width="5.28515625" customWidth="1"/>
    <col min="78" max="78" width="5.7109375" customWidth="1"/>
    <col min="79" max="82" width="5.28515625" customWidth="1"/>
    <col min="83" max="83" width="31.28515625" customWidth="1"/>
    <col min="86" max="95" width="7.5703125" style="13" customWidth="1"/>
    <col min="96" max="96" width="7.5703125" style="20" customWidth="1"/>
  </cols>
  <sheetData>
    <row r="2" spans="1:96" ht="30.75" customHeight="1" thickBot="1" x14ac:dyDescent="0.3">
      <c r="A2" s="120" t="s">
        <v>105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1"/>
      <c r="AI2" s="61"/>
      <c r="AJ2" s="122" t="s">
        <v>102</v>
      </c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BY2" s="120"/>
      <c r="BZ2" s="120"/>
      <c r="CA2" s="120"/>
      <c r="CB2" s="120"/>
      <c r="CC2" s="120"/>
      <c r="CD2" s="120"/>
      <c r="CE2" s="120"/>
    </row>
    <row r="3" spans="1:96" ht="21.75" customHeight="1" thickBot="1" x14ac:dyDescent="0.3">
      <c r="A3" s="126" t="s">
        <v>0</v>
      </c>
      <c r="B3" s="127"/>
      <c r="C3" s="127"/>
      <c r="D3" s="128"/>
      <c r="E3" s="110" t="s">
        <v>2</v>
      </c>
      <c r="F3" s="111"/>
      <c r="G3" s="110" t="s">
        <v>3</v>
      </c>
      <c r="H3" s="111"/>
      <c r="I3" s="110" t="s">
        <v>4</v>
      </c>
      <c r="J3" s="111"/>
      <c r="K3" s="110" t="s">
        <v>5</v>
      </c>
      <c r="L3" s="111"/>
      <c r="M3" s="110" t="s">
        <v>6</v>
      </c>
      <c r="N3" s="111"/>
      <c r="O3" s="110" t="s">
        <v>7</v>
      </c>
      <c r="P3" s="111"/>
      <c r="Q3" s="110" t="s">
        <v>1</v>
      </c>
      <c r="R3" s="111"/>
      <c r="S3" s="110" t="s">
        <v>2</v>
      </c>
      <c r="T3" s="111"/>
      <c r="U3" s="110" t="s">
        <v>3</v>
      </c>
      <c r="V3" s="111"/>
      <c r="W3" s="110" t="s">
        <v>4</v>
      </c>
      <c r="X3" s="111"/>
      <c r="Y3" s="110" t="s">
        <v>5</v>
      </c>
      <c r="Z3" s="111"/>
      <c r="AA3" s="110" t="s">
        <v>6</v>
      </c>
      <c r="AB3" s="111"/>
      <c r="AC3" s="110" t="s">
        <v>7</v>
      </c>
      <c r="AD3" s="111"/>
      <c r="AE3" s="110" t="s">
        <v>1</v>
      </c>
      <c r="AF3" s="111"/>
      <c r="AG3" s="110" t="s">
        <v>2</v>
      </c>
      <c r="AH3" s="111"/>
      <c r="AI3" s="61"/>
      <c r="AJ3" s="123" t="s">
        <v>8</v>
      </c>
      <c r="AK3" s="110" t="s">
        <v>3</v>
      </c>
      <c r="AL3" s="111"/>
      <c r="AM3" s="110" t="s">
        <v>4</v>
      </c>
      <c r="AN3" s="111"/>
      <c r="AO3" s="110" t="s">
        <v>5</v>
      </c>
      <c r="AP3" s="111"/>
      <c r="AQ3" s="110" t="s">
        <v>6</v>
      </c>
      <c r="AR3" s="111"/>
      <c r="AS3" s="110" t="s">
        <v>7</v>
      </c>
      <c r="AT3" s="111"/>
      <c r="AU3" s="110" t="s">
        <v>1</v>
      </c>
      <c r="AV3" s="111"/>
      <c r="AW3" s="110" t="s">
        <v>2</v>
      </c>
      <c r="AX3" s="111"/>
      <c r="AY3" s="110" t="s">
        <v>3</v>
      </c>
      <c r="AZ3" s="111"/>
      <c r="BA3" s="110" t="s">
        <v>4</v>
      </c>
      <c r="BB3" s="111"/>
      <c r="BC3" s="110" t="s">
        <v>5</v>
      </c>
      <c r="BD3" s="111"/>
      <c r="BE3" s="110" t="s">
        <v>6</v>
      </c>
      <c r="BF3" s="111"/>
      <c r="BG3" s="110" t="s">
        <v>7</v>
      </c>
      <c r="BH3" s="111"/>
      <c r="BI3" s="110" t="s">
        <v>1</v>
      </c>
      <c r="BJ3" s="111"/>
      <c r="BK3" s="110" t="s">
        <v>2</v>
      </c>
      <c r="BL3" s="111"/>
      <c r="BM3" s="110" t="s">
        <v>3</v>
      </c>
      <c r="BN3" s="111"/>
      <c r="BO3" s="110" t="s">
        <v>4</v>
      </c>
      <c r="BP3" s="111"/>
      <c r="BQ3" s="133" t="s">
        <v>49</v>
      </c>
      <c r="BR3" s="131" t="s">
        <v>50</v>
      </c>
      <c r="BS3" s="112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4"/>
      <c r="CH3" s="130" t="s">
        <v>77</v>
      </c>
      <c r="CI3" s="130"/>
      <c r="CJ3" s="130"/>
      <c r="CK3" s="130"/>
      <c r="CL3" s="130"/>
      <c r="CM3" s="130"/>
      <c r="CN3" s="130"/>
      <c r="CO3" s="130"/>
      <c r="CP3" s="130"/>
      <c r="CQ3" s="130"/>
    </row>
    <row r="4" spans="1:96" ht="21.75" customHeight="1" x14ac:dyDescent="0.25">
      <c r="A4" s="108"/>
      <c r="B4" s="109"/>
      <c r="C4" s="109"/>
      <c r="D4" s="129"/>
      <c r="E4" s="117">
        <v>46296</v>
      </c>
      <c r="F4" s="118"/>
      <c r="G4" s="117">
        <v>46297</v>
      </c>
      <c r="H4" s="118"/>
      <c r="I4" s="117">
        <v>46298</v>
      </c>
      <c r="J4" s="118"/>
      <c r="K4" s="117">
        <v>46299</v>
      </c>
      <c r="L4" s="118"/>
      <c r="M4" s="117">
        <v>46300</v>
      </c>
      <c r="N4" s="118"/>
      <c r="O4" s="117">
        <v>46301</v>
      </c>
      <c r="P4" s="118"/>
      <c r="Q4" s="117">
        <v>46302</v>
      </c>
      <c r="R4" s="118"/>
      <c r="S4" s="117">
        <v>46303</v>
      </c>
      <c r="T4" s="118"/>
      <c r="U4" s="117">
        <v>46304</v>
      </c>
      <c r="V4" s="118"/>
      <c r="W4" s="117">
        <v>46305</v>
      </c>
      <c r="X4" s="118"/>
      <c r="Y4" s="117">
        <v>46306</v>
      </c>
      <c r="Z4" s="118"/>
      <c r="AA4" s="117">
        <v>46307</v>
      </c>
      <c r="AB4" s="118"/>
      <c r="AC4" s="117">
        <v>46308</v>
      </c>
      <c r="AD4" s="118"/>
      <c r="AE4" s="117">
        <v>46309</v>
      </c>
      <c r="AF4" s="118"/>
      <c r="AG4" s="117">
        <v>46310</v>
      </c>
      <c r="AH4" s="118"/>
      <c r="AI4" s="61"/>
      <c r="AJ4" s="124"/>
      <c r="AK4" s="115">
        <v>46311</v>
      </c>
      <c r="AL4" s="116"/>
      <c r="AM4" s="115">
        <v>46312</v>
      </c>
      <c r="AN4" s="116"/>
      <c r="AO4" s="115">
        <v>46313</v>
      </c>
      <c r="AP4" s="116"/>
      <c r="AQ4" s="115">
        <v>46314</v>
      </c>
      <c r="AR4" s="116"/>
      <c r="AS4" s="115">
        <v>46315</v>
      </c>
      <c r="AT4" s="116"/>
      <c r="AU4" s="115">
        <v>46316</v>
      </c>
      <c r="AV4" s="116"/>
      <c r="AW4" s="115">
        <v>46317</v>
      </c>
      <c r="AX4" s="116"/>
      <c r="AY4" s="115">
        <v>46318</v>
      </c>
      <c r="AZ4" s="116"/>
      <c r="BA4" s="115">
        <v>46319</v>
      </c>
      <c r="BB4" s="116"/>
      <c r="BC4" s="115">
        <v>46320</v>
      </c>
      <c r="BD4" s="116"/>
      <c r="BE4" s="115">
        <v>46321</v>
      </c>
      <c r="BF4" s="116"/>
      <c r="BG4" s="115">
        <v>46322</v>
      </c>
      <c r="BH4" s="116"/>
      <c r="BI4" s="115">
        <v>46323</v>
      </c>
      <c r="BJ4" s="116"/>
      <c r="BK4" s="115">
        <v>46324</v>
      </c>
      <c r="BL4" s="116"/>
      <c r="BM4" s="115">
        <v>46325</v>
      </c>
      <c r="BN4" s="116"/>
      <c r="BO4" s="115">
        <v>46326</v>
      </c>
      <c r="BP4" s="116"/>
      <c r="BQ4" s="134"/>
      <c r="BR4" s="132"/>
      <c r="BS4" s="4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5"/>
      <c r="CH4" s="125" t="s">
        <v>87</v>
      </c>
      <c r="CI4" s="125"/>
      <c r="CJ4" s="125"/>
      <c r="CK4" s="125"/>
      <c r="CL4" s="125"/>
      <c r="CM4" s="125"/>
      <c r="CN4" s="125"/>
      <c r="CO4" s="125"/>
      <c r="CP4" s="125"/>
      <c r="CQ4" s="125"/>
      <c r="CR4" s="125"/>
    </row>
    <row r="5" spans="1:96" ht="25.5" customHeight="1" x14ac:dyDescent="0.25">
      <c r="A5" s="6" t="s">
        <v>8</v>
      </c>
      <c r="B5" s="6" t="s">
        <v>9</v>
      </c>
      <c r="C5" s="28" t="s">
        <v>10</v>
      </c>
      <c r="D5" s="56" t="s">
        <v>81</v>
      </c>
      <c r="E5" s="1" t="s">
        <v>11</v>
      </c>
      <c r="F5" s="2" t="s">
        <v>12</v>
      </c>
      <c r="G5" s="1" t="s">
        <v>11</v>
      </c>
      <c r="H5" s="2" t="s">
        <v>12</v>
      </c>
      <c r="I5" s="1" t="s">
        <v>11</v>
      </c>
      <c r="J5" s="2" t="s">
        <v>12</v>
      </c>
      <c r="K5" s="1" t="s">
        <v>11</v>
      </c>
      <c r="L5" s="2" t="s">
        <v>12</v>
      </c>
      <c r="M5" s="1" t="s">
        <v>11</v>
      </c>
      <c r="N5" s="2" t="s">
        <v>12</v>
      </c>
      <c r="O5" s="1" t="s">
        <v>11</v>
      </c>
      <c r="P5" s="2" t="s">
        <v>12</v>
      </c>
      <c r="Q5" s="1" t="s">
        <v>11</v>
      </c>
      <c r="R5" s="2" t="s">
        <v>12</v>
      </c>
      <c r="S5" s="1" t="s">
        <v>11</v>
      </c>
      <c r="T5" s="2" t="s">
        <v>12</v>
      </c>
      <c r="U5" s="1" t="s">
        <v>11</v>
      </c>
      <c r="V5" s="2" t="s">
        <v>12</v>
      </c>
      <c r="W5" s="1" t="s">
        <v>11</v>
      </c>
      <c r="X5" s="2" t="s">
        <v>12</v>
      </c>
      <c r="Y5" s="1" t="s">
        <v>11</v>
      </c>
      <c r="Z5" s="2" t="s">
        <v>12</v>
      </c>
      <c r="AA5" s="1" t="s">
        <v>11</v>
      </c>
      <c r="AB5" s="2" t="s">
        <v>12</v>
      </c>
      <c r="AC5" s="1" t="s">
        <v>11</v>
      </c>
      <c r="AD5" s="2" t="s">
        <v>12</v>
      </c>
      <c r="AE5" s="8" t="s">
        <v>11</v>
      </c>
      <c r="AF5" s="9" t="s">
        <v>12</v>
      </c>
      <c r="AG5" s="8" t="s">
        <v>11</v>
      </c>
      <c r="AH5" s="26" t="s">
        <v>12</v>
      </c>
      <c r="AI5" s="61"/>
      <c r="AJ5" s="124"/>
      <c r="AK5" s="8" t="s">
        <v>11</v>
      </c>
      <c r="AL5" s="9" t="s">
        <v>12</v>
      </c>
      <c r="AM5" s="8" t="s">
        <v>11</v>
      </c>
      <c r="AN5" s="9" t="s">
        <v>12</v>
      </c>
      <c r="AO5" s="8" t="s">
        <v>11</v>
      </c>
      <c r="AP5" s="9" t="s">
        <v>12</v>
      </c>
      <c r="AQ5" s="8" t="s">
        <v>11</v>
      </c>
      <c r="AR5" s="9" t="s">
        <v>12</v>
      </c>
      <c r="AS5" s="8" t="s">
        <v>11</v>
      </c>
      <c r="AT5" s="9" t="s">
        <v>12</v>
      </c>
      <c r="AU5" s="8" t="s">
        <v>11</v>
      </c>
      <c r="AV5" s="9" t="s">
        <v>12</v>
      </c>
      <c r="AW5" s="8" t="s">
        <v>11</v>
      </c>
      <c r="AX5" s="9" t="s">
        <v>12</v>
      </c>
      <c r="AY5" s="8" t="s">
        <v>11</v>
      </c>
      <c r="AZ5" s="9" t="s">
        <v>12</v>
      </c>
      <c r="BA5" s="8" t="s">
        <v>11</v>
      </c>
      <c r="BB5" s="9" t="s">
        <v>12</v>
      </c>
      <c r="BC5" s="8" t="s">
        <v>11</v>
      </c>
      <c r="BD5" s="9" t="s">
        <v>12</v>
      </c>
      <c r="BE5" s="8" t="s">
        <v>11</v>
      </c>
      <c r="BF5" s="9" t="s">
        <v>12</v>
      </c>
      <c r="BG5" s="8" t="s">
        <v>11</v>
      </c>
      <c r="BH5" s="9" t="s">
        <v>12</v>
      </c>
      <c r="BI5" s="8" t="s">
        <v>11</v>
      </c>
      <c r="BJ5" s="9" t="s">
        <v>12</v>
      </c>
      <c r="BK5" s="8" t="s">
        <v>11</v>
      </c>
      <c r="BL5" s="9" t="s">
        <v>12</v>
      </c>
      <c r="BM5" s="8" t="s">
        <v>11</v>
      </c>
      <c r="BN5" s="9" t="s">
        <v>12</v>
      </c>
      <c r="BO5" s="8" t="s">
        <v>11</v>
      </c>
      <c r="BP5" s="9" t="s">
        <v>12</v>
      </c>
      <c r="BQ5" s="134"/>
      <c r="BR5" s="132"/>
      <c r="BS5" s="10"/>
      <c r="BT5" s="63" t="s">
        <v>51</v>
      </c>
      <c r="BU5" s="64" t="s">
        <v>52</v>
      </c>
      <c r="BV5" s="62" t="s">
        <v>53</v>
      </c>
      <c r="BW5" s="64" t="s">
        <v>54</v>
      </c>
      <c r="BX5" s="62" t="s">
        <v>55</v>
      </c>
      <c r="BY5" s="64" t="s">
        <v>56</v>
      </c>
      <c r="BZ5" s="65" t="s">
        <v>82</v>
      </c>
      <c r="CA5" s="11" t="s">
        <v>58</v>
      </c>
      <c r="CB5" s="62" t="s">
        <v>59</v>
      </c>
      <c r="CC5" s="62" t="s">
        <v>60</v>
      </c>
      <c r="CD5" s="62" t="s">
        <v>61</v>
      </c>
      <c r="CE5" s="12" t="s">
        <v>62</v>
      </c>
      <c r="CH5" s="40" t="s">
        <v>52</v>
      </c>
      <c r="CI5" s="41" t="s">
        <v>53</v>
      </c>
      <c r="CJ5" s="41" t="s">
        <v>54</v>
      </c>
      <c r="CK5" s="41" t="s">
        <v>55</v>
      </c>
      <c r="CL5" s="41" t="s">
        <v>56</v>
      </c>
      <c r="CM5" s="41" t="s">
        <v>57</v>
      </c>
      <c r="CN5" s="41" t="s">
        <v>58</v>
      </c>
      <c r="CO5" s="41" t="s">
        <v>59</v>
      </c>
      <c r="CP5" s="41" t="s">
        <v>60</v>
      </c>
      <c r="CQ5" s="41" t="s">
        <v>61</v>
      </c>
      <c r="CR5" s="42" t="s">
        <v>78</v>
      </c>
    </row>
    <row r="6" spans="1:96" s="20" customFormat="1" ht="24" customHeight="1" x14ac:dyDescent="0.25">
      <c r="A6" s="29">
        <v>1</v>
      </c>
      <c r="B6" s="30" t="s">
        <v>13</v>
      </c>
      <c r="C6" s="31" t="s">
        <v>14</v>
      </c>
      <c r="D6" s="57"/>
      <c r="E6" s="63">
        <v>1</v>
      </c>
      <c r="F6" s="63">
        <v>1</v>
      </c>
      <c r="G6" s="63" t="s">
        <v>51</v>
      </c>
      <c r="H6" s="63" t="s">
        <v>51</v>
      </c>
      <c r="I6" s="63">
        <v>1</v>
      </c>
      <c r="J6" s="63">
        <v>1</v>
      </c>
      <c r="K6" s="63">
        <v>1</v>
      </c>
      <c r="L6" s="63">
        <v>1</v>
      </c>
      <c r="M6" s="63">
        <v>1</v>
      </c>
      <c r="N6" s="63">
        <v>1</v>
      </c>
      <c r="O6" s="63">
        <v>1</v>
      </c>
      <c r="P6" s="63">
        <v>1</v>
      </c>
      <c r="Q6" s="63">
        <v>1</v>
      </c>
      <c r="R6" s="63">
        <v>1</v>
      </c>
      <c r="S6" s="63">
        <v>1</v>
      </c>
      <c r="T6" s="63">
        <v>1</v>
      </c>
      <c r="U6" s="63" t="s">
        <v>51</v>
      </c>
      <c r="V6" s="63" t="s">
        <v>51</v>
      </c>
      <c r="W6" s="63">
        <v>1</v>
      </c>
      <c r="X6" s="63">
        <v>1</v>
      </c>
      <c r="Y6" s="63">
        <v>1</v>
      </c>
      <c r="Z6" s="63">
        <v>1</v>
      </c>
      <c r="AA6" s="63">
        <v>1</v>
      </c>
      <c r="AB6" s="63">
        <v>1</v>
      </c>
      <c r="AC6" s="63">
        <v>1</v>
      </c>
      <c r="AD6" s="63">
        <v>1</v>
      </c>
      <c r="AE6" s="63">
        <v>1</v>
      </c>
      <c r="AF6" s="63">
        <v>1</v>
      </c>
      <c r="AG6" s="63">
        <v>1</v>
      </c>
      <c r="AH6" s="63">
        <v>1</v>
      </c>
      <c r="AI6" s="70"/>
      <c r="AJ6" s="29">
        <v>1</v>
      </c>
      <c r="AK6" s="63" t="s">
        <v>51</v>
      </c>
      <c r="AL6" s="63" t="s">
        <v>51</v>
      </c>
      <c r="AM6" s="63">
        <v>1</v>
      </c>
      <c r="AN6" s="63">
        <v>1</v>
      </c>
      <c r="AO6" s="63">
        <v>1</v>
      </c>
      <c r="AP6" s="63">
        <v>1</v>
      </c>
      <c r="AQ6" s="63">
        <v>1</v>
      </c>
      <c r="AR6" s="63">
        <v>1</v>
      </c>
      <c r="AS6" s="63">
        <v>1</v>
      </c>
      <c r="AT6" s="63">
        <v>1</v>
      </c>
      <c r="AU6" s="63">
        <v>1</v>
      </c>
      <c r="AV6" s="63">
        <v>1</v>
      </c>
      <c r="AW6" s="63">
        <v>1</v>
      </c>
      <c r="AX6" s="63">
        <v>1</v>
      </c>
      <c r="AY6" s="63" t="s">
        <v>51</v>
      </c>
      <c r="AZ6" s="63" t="s">
        <v>51</v>
      </c>
      <c r="BA6" s="63">
        <v>1</v>
      </c>
      <c r="BB6" s="63">
        <v>1</v>
      </c>
      <c r="BC6" s="63">
        <v>1</v>
      </c>
      <c r="BD6" s="63">
        <v>1</v>
      </c>
      <c r="BE6" s="63">
        <v>1</v>
      </c>
      <c r="BF6" s="63">
        <v>1</v>
      </c>
      <c r="BG6" s="63">
        <v>1</v>
      </c>
      <c r="BH6" s="63">
        <v>1</v>
      </c>
      <c r="BI6" s="63">
        <v>1</v>
      </c>
      <c r="BJ6" s="63">
        <v>1</v>
      </c>
      <c r="BK6" s="63">
        <v>1</v>
      </c>
      <c r="BL6" s="63">
        <v>1</v>
      </c>
      <c r="BM6" s="63" t="s">
        <v>51</v>
      </c>
      <c r="BN6" s="63" t="s">
        <v>51</v>
      </c>
      <c r="BO6" s="63">
        <v>1</v>
      </c>
      <c r="BP6" s="63">
        <v>1</v>
      </c>
      <c r="BQ6" s="7">
        <f t="shared" ref="BQ6:BQ31" si="0">BS6+BT6+BU6+BZ6+BW6+BY6+BX6</f>
        <v>31</v>
      </c>
      <c r="BR6" s="53">
        <v>0</v>
      </c>
      <c r="BS6" s="33">
        <f>COUNT(E6:AH6)/2+COUNT(AK6:BP6)/2</f>
        <v>26</v>
      </c>
      <c r="BT6" s="34">
        <f t="shared" ref="BT6:BT9" si="1">COUNTIF(E6:BN6,"OFF")/2</f>
        <v>5</v>
      </c>
      <c r="BU6" s="34">
        <f t="shared" ref="BU6:BU9" si="2">COUNTIF(E6:BN6,"MC")/2</f>
        <v>0</v>
      </c>
      <c r="BV6" s="34">
        <f t="shared" ref="BV6:BV8" si="3">COUNTIF(E6:BN6,"EL")/2</f>
        <v>0</v>
      </c>
      <c r="BW6" s="34">
        <f t="shared" ref="BW6:BW9" si="4">COUNTIF(E6:BN6,"AL")/2</f>
        <v>0</v>
      </c>
      <c r="BX6" s="34">
        <f t="shared" ref="BX6:BX10" si="5">COUNTIF(E6:BN6,"SUS")/2</f>
        <v>0</v>
      </c>
      <c r="BY6" s="34">
        <f t="shared" ref="BY6:BY10" si="6">COUNTIF(E6:BN6,"FL")/2</f>
        <v>0</v>
      </c>
      <c r="BZ6" s="34">
        <f t="shared" ref="BZ6:BZ9" si="7">COUNTIF(E6:BN6,"SICK")/2</f>
        <v>0</v>
      </c>
      <c r="CA6" s="34">
        <f t="shared" ref="CA6:CA10" si="8">COUNTIF(E6:BN6,"HD")/2</f>
        <v>0</v>
      </c>
      <c r="CB6" s="34">
        <f t="shared" ref="CB6:CB10" si="9">COUNTIF(E6:BN6,"AB")/2</f>
        <v>0</v>
      </c>
      <c r="CC6" s="34">
        <f t="shared" ref="CC6:CC10" si="10">COUNTIF(E6:BN6,"NL")/2</f>
        <v>0</v>
      </c>
      <c r="CD6" s="34">
        <f t="shared" ref="CD6:CD10" si="11">COUNTIF(E6:BN6,"SP")/2</f>
        <v>0</v>
      </c>
      <c r="CE6" s="35"/>
      <c r="CH6" s="32">
        <v>0</v>
      </c>
      <c r="CI6" s="29">
        <v>0</v>
      </c>
      <c r="CJ6" s="29">
        <v>0</v>
      </c>
      <c r="CK6" s="29">
        <v>0</v>
      </c>
      <c r="CL6" s="29">
        <v>0</v>
      </c>
      <c r="CM6" s="29">
        <v>0</v>
      </c>
      <c r="CN6" s="29">
        <v>0</v>
      </c>
      <c r="CO6" s="29">
        <v>0</v>
      </c>
      <c r="CP6" s="29">
        <v>0</v>
      </c>
      <c r="CQ6" s="29">
        <v>0</v>
      </c>
      <c r="CR6" s="39">
        <f t="shared" ref="CR6:CR25" si="12">SUM(CH6:CQ6)</f>
        <v>0</v>
      </c>
    </row>
    <row r="7" spans="1:96" s="20" customFormat="1" ht="24" customHeight="1" x14ac:dyDescent="0.25">
      <c r="A7" s="29">
        <v>2</v>
      </c>
      <c r="B7" s="30" t="s">
        <v>15</v>
      </c>
      <c r="C7" s="31" t="s">
        <v>16</v>
      </c>
      <c r="D7" s="58"/>
      <c r="E7" s="66">
        <v>1</v>
      </c>
      <c r="F7" s="66">
        <v>1</v>
      </c>
      <c r="G7" s="63" t="s">
        <v>51</v>
      </c>
      <c r="H7" s="63" t="s">
        <v>51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  <c r="O7" s="66">
        <v>1</v>
      </c>
      <c r="P7" s="66">
        <v>1</v>
      </c>
      <c r="Q7" s="66">
        <v>1</v>
      </c>
      <c r="R7" s="66">
        <v>1</v>
      </c>
      <c r="S7" s="66">
        <v>1</v>
      </c>
      <c r="T7" s="66">
        <v>1</v>
      </c>
      <c r="U7" s="63" t="s">
        <v>51</v>
      </c>
      <c r="V7" s="63" t="s">
        <v>51</v>
      </c>
      <c r="W7" s="66">
        <v>1</v>
      </c>
      <c r="X7" s="66">
        <v>1</v>
      </c>
      <c r="Y7" s="66">
        <v>1</v>
      </c>
      <c r="Z7" s="66">
        <v>1</v>
      </c>
      <c r="AA7" s="66">
        <v>1</v>
      </c>
      <c r="AB7" s="63">
        <v>1</v>
      </c>
      <c r="AC7" s="63">
        <v>1</v>
      </c>
      <c r="AD7" s="63">
        <v>1</v>
      </c>
      <c r="AE7" s="63">
        <v>1</v>
      </c>
      <c r="AF7" s="63">
        <v>1</v>
      </c>
      <c r="AG7" s="63">
        <v>1</v>
      </c>
      <c r="AH7" s="63">
        <v>1</v>
      </c>
      <c r="AI7" s="70"/>
      <c r="AJ7" s="29">
        <v>2</v>
      </c>
      <c r="AK7" s="63" t="s">
        <v>51</v>
      </c>
      <c r="AL7" s="63" t="s">
        <v>51</v>
      </c>
      <c r="AM7" s="63">
        <v>1</v>
      </c>
      <c r="AN7" s="63">
        <v>1</v>
      </c>
      <c r="AO7" s="63">
        <v>1</v>
      </c>
      <c r="AP7" s="63">
        <v>1</v>
      </c>
      <c r="AQ7" s="63">
        <v>1</v>
      </c>
      <c r="AR7" s="63">
        <v>1</v>
      </c>
      <c r="AS7" s="63">
        <v>1</v>
      </c>
      <c r="AT7" s="63">
        <v>1</v>
      </c>
      <c r="AU7" s="63">
        <v>1</v>
      </c>
      <c r="AV7" s="63">
        <v>1</v>
      </c>
      <c r="AW7" s="63">
        <v>1</v>
      </c>
      <c r="AX7" s="63">
        <v>1</v>
      </c>
      <c r="AY7" s="63" t="s">
        <v>51</v>
      </c>
      <c r="AZ7" s="63" t="s">
        <v>51</v>
      </c>
      <c r="BA7" s="63">
        <v>1</v>
      </c>
      <c r="BB7" s="63">
        <v>1</v>
      </c>
      <c r="BC7" s="63">
        <v>1</v>
      </c>
      <c r="BD7" s="63">
        <v>1</v>
      </c>
      <c r="BE7" s="63">
        <v>1</v>
      </c>
      <c r="BF7" s="63">
        <v>1</v>
      </c>
      <c r="BG7" s="63">
        <v>1</v>
      </c>
      <c r="BH7" s="63">
        <v>1</v>
      </c>
      <c r="BI7" s="63">
        <v>1</v>
      </c>
      <c r="BJ7" s="63">
        <v>1</v>
      </c>
      <c r="BK7" s="63">
        <v>1</v>
      </c>
      <c r="BL7" s="63">
        <v>1</v>
      </c>
      <c r="BM7" s="63" t="s">
        <v>51</v>
      </c>
      <c r="BN7" s="63" t="s">
        <v>51</v>
      </c>
      <c r="BO7" s="63">
        <v>1</v>
      </c>
      <c r="BP7" s="63">
        <v>1</v>
      </c>
      <c r="BQ7" s="7">
        <f t="shared" si="0"/>
        <v>31</v>
      </c>
      <c r="BR7" s="53">
        <v>0</v>
      </c>
      <c r="BS7" s="33">
        <f t="shared" ref="BS7:BS33" si="13">COUNT(E7:AH7)/2+COUNT(AK7:BP7)/2</f>
        <v>26</v>
      </c>
      <c r="BT7" s="34">
        <f t="shared" si="1"/>
        <v>5</v>
      </c>
      <c r="BU7" s="34">
        <f t="shared" si="2"/>
        <v>0</v>
      </c>
      <c r="BV7" s="34">
        <f t="shared" si="3"/>
        <v>0</v>
      </c>
      <c r="BW7" s="34">
        <f t="shared" si="4"/>
        <v>0</v>
      </c>
      <c r="BX7" s="34">
        <f t="shared" si="5"/>
        <v>0</v>
      </c>
      <c r="BY7" s="34">
        <f t="shared" si="6"/>
        <v>0</v>
      </c>
      <c r="BZ7" s="34">
        <f t="shared" si="7"/>
        <v>0</v>
      </c>
      <c r="CA7" s="34">
        <f t="shared" si="8"/>
        <v>0</v>
      </c>
      <c r="CB7" s="34">
        <f t="shared" si="9"/>
        <v>0</v>
      </c>
      <c r="CC7" s="34">
        <f t="shared" si="10"/>
        <v>0</v>
      </c>
      <c r="CD7" s="34">
        <f t="shared" si="11"/>
        <v>0</v>
      </c>
      <c r="CE7" s="35"/>
      <c r="CH7" s="32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39">
        <f t="shared" si="12"/>
        <v>0</v>
      </c>
    </row>
    <row r="8" spans="1:96" s="20" customFormat="1" ht="24" customHeight="1" x14ac:dyDescent="0.25">
      <c r="A8" s="29">
        <v>3</v>
      </c>
      <c r="B8" s="34" t="s">
        <v>19</v>
      </c>
      <c r="C8" s="83" t="s">
        <v>20</v>
      </c>
      <c r="D8" s="79">
        <v>43952</v>
      </c>
      <c r="E8" s="67">
        <v>1</v>
      </c>
      <c r="F8" s="67">
        <v>1</v>
      </c>
      <c r="G8" s="63" t="s">
        <v>51</v>
      </c>
      <c r="H8" s="63" t="s">
        <v>51</v>
      </c>
      <c r="I8" s="67">
        <v>1</v>
      </c>
      <c r="J8" s="67">
        <v>1</v>
      </c>
      <c r="K8" s="67">
        <v>1</v>
      </c>
      <c r="L8" s="67">
        <v>1</v>
      </c>
      <c r="M8" s="67">
        <v>1</v>
      </c>
      <c r="N8" s="67">
        <v>1</v>
      </c>
      <c r="O8" s="67">
        <v>1</v>
      </c>
      <c r="P8" s="67">
        <v>1</v>
      </c>
      <c r="Q8" s="67">
        <v>1</v>
      </c>
      <c r="R8" s="67">
        <v>1</v>
      </c>
      <c r="S8" s="67">
        <v>1</v>
      </c>
      <c r="T8" s="67">
        <v>1</v>
      </c>
      <c r="U8" s="63" t="s">
        <v>51</v>
      </c>
      <c r="V8" s="63" t="s">
        <v>51</v>
      </c>
      <c r="W8" s="67">
        <v>1</v>
      </c>
      <c r="X8" s="67">
        <v>1</v>
      </c>
      <c r="Y8" s="67">
        <v>1</v>
      </c>
      <c r="Z8" s="67">
        <v>1</v>
      </c>
      <c r="AA8" s="67">
        <v>1</v>
      </c>
      <c r="AB8" s="63">
        <v>1</v>
      </c>
      <c r="AC8" s="63">
        <v>1</v>
      </c>
      <c r="AD8" s="63">
        <v>1</v>
      </c>
      <c r="AE8" s="63">
        <v>1</v>
      </c>
      <c r="AF8" s="63">
        <v>1</v>
      </c>
      <c r="AG8" s="63">
        <v>1</v>
      </c>
      <c r="AH8" s="63">
        <v>1</v>
      </c>
      <c r="AI8" s="70"/>
      <c r="AJ8" s="29">
        <v>3</v>
      </c>
      <c r="AK8" s="63" t="s">
        <v>51</v>
      </c>
      <c r="AL8" s="63" t="s">
        <v>51</v>
      </c>
      <c r="AM8" s="63">
        <v>1</v>
      </c>
      <c r="AN8" s="63">
        <v>1</v>
      </c>
      <c r="AO8" s="63">
        <v>1</v>
      </c>
      <c r="AP8" s="63">
        <v>1</v>
      </c>
      <c r="AQ8" s="63">
        <v>1</v>
      </c>
      <c r="AR8" s="63">
        <v>1</v>
      </c>
      <c r="AS8" s="63">
        <v>1</v>
      </c>
      <c r="AT8" s="63">
        <v>1</v>
      </c>
      <c r="AU8" s="63">
        <v>1</v>
      </c>
      <c r="AV8" s="63">
        <v>1</v>
      </c>
      <c r="AW8" s="63">
        <v>1</v>
      </c>
      <c r="AX8" s="63">
        <v>1</v>
      </c>
      <c r="AY8" s="63" t="s">
        <v>51</v>
      </c>
      <c r="AZ8" s="63" t="s">
        <v>51</v>
      </c>
      <c r="BA8" s="63">
        <v>1</v>
      </c>
      <c r="BB8" s="63">
        <v>1</v>
      </c>
      <c r="BC8" s="63">
        <v>1</v>
      </c>
      <c r="BD8" s="63">
        <v>1</v>
      </c>
      <c r="BE8" s="63">
        <v>1</v>
      </c>
      <c r="BF8" s="63">
        <v>1</v>
      </c>
      <c r="BG8" s="63">
        <v>1</v>
      </c>
      <c r="BH8" s="63">
        <v>1</v>
      </c>
      <c r="BI8" s="63">
        <v>1</v>
      </c>
      <c r="BJ8" s="63">
        <v>1</v>
      </c>
      <c r="BK8" s="63">
        <v>1</v>
      </c>
      <c r="BL8" s="63">
        <v>1</v>
      </c>
      <c r="BM8" s="63" t="s">
        <v>51</v>
      </c>
      <c r="BN8" s="63" t="s">
        <v>51</v>
      </c>
      <c r="BO8" s="63">
        <v>1</v>
      </c>
      <c r="BP8" s="63">
        <v>1</v>
      </c>
      <c r="BQ8" s="7">
        <f t="shared" si="0"/>
        <v>31</v>
      </c>
      <c r="BR8" s="53">
        <v>0</v>
      </c>
      <c r="BS8" s="33">
        <f t="shared" si="13"/>
        <v>26</v>
      </c>
      <c r="BT8" s="34">
        <f t="shared" si="1"/>
        <v>5</v>
      </c>
      <c r="BU8" s="34">
        <f t="shared" si="2"/>
        <v>0</v>
      </c>
      <c r="BV8" s="34">
        <f t="shared" si="3"/>
        <v>0</v>
      </c>
      <c r="BW8" s="34">
        <f t="shared" si="4"/>
        <v>0</v>
      </c>
      <c r="BX8" s="34">
        <f t="shared" si="5"/>
        <v>0</v>
      </c>
      <c r="BY8" s="34">
        <f t="shared" si="6"/>
        <v>0</v>
      </c>
      <c r="BZ8" s="34">
        <f t="shared" si="7"/>
        <v>0</v>
      </c>
      <c r="CA8" s="34">
        <f t="shared" si="8"/>
        <v>0</v>
      </c>
      <c r="CB8" s="34">
        <f t="shared" si="9"/>
        <v>0</v>
      </c>
      <c r="CC8" s="34">
        <f t="shared" si="10"/>
        <v>0</v>
      </c>
      <c r="CD8" s="34">
        <f t="shared" si="11"/>
        <v>0</v>
      </c>
      <c r="CE8" s="35"/>
      <c r="CH8" s="32">
        <v>0</v>
      </c>
      <c r="CI8" s="29">
        <v>0</v>
      </c>
      <c r="CJ8" s="29">
        <v>33</v>
      </c>
      <c r="CK8" s="29">
        <v>0</v>
      </c>
      <c r="CL8" s="29">
        <v>0</v>
      </c>
      <c r="CM8" s="29">
        <v>0</v>
      </c>
      <c r="CN8" s="29">
        <v>0</v>
      </c>
      <c r="CO8" s="29">
        <v>0</v>
      </c>
      <c r="CP8" s="29">
        <v>0</v>
      </c>
      <c r="CQ8" s="29">
        <v>0</v>
      </c>
      <c r="CR8" s="38">
        <f t="shared" si="12"/>
        <v>33</v>
      </c>
    </row>
    <row r="9" spans="1:96" s="20" customFormat="1" ht="24" customHeight="1" x14ac:dyDescent="0.25">
      <c r="A9" s="29">
        <v>4</v>
      </c>
      <c r="B9" s="36" t="s">
        <v>21</v>
      </c>
      <c r="C9" s="84" t="s">
        <v>22</v>
      </c>
      <c r="D9" s="80">
        <v>45600</v>
      </c>
      <c r="E9" s="63">
        <v>1</v>
      </c>
      <c r="F9" s="63">
        <v>1</v>
      </c>
      <c r="G9" s="63" t="s">
        <v>51</v>
      </c>
      <c r="H9" s="63" t="s">
        <v>51</v>
      </c>
      <c r="I9" s="63">
        <v>1</v>
      </c>
      <c r="J9" s="63">
        <v>1</v>
      </c>
      <c r="K9" s="63">
        <v>1</v>
      </c>
      <c r="L9" s="63">
        <v>1</v>
      </c>
      <c r="M9" s="63">
        <v>1</v>
      </c>
      <c r="N9" s="63">
        <v>1</v>
      </c>
      <c r="O9" s="63">
        <v>1</v>
      </c>
      <c r="P9" s="63">
        <v>1</v>
      </c>
      <c r="Q9" s="63">
        <v>1</v>
      </c>
      <c r="R9" s="63">
        <v>1</v>
      </c>
      <c r="S9" s="63">
        <v>1</v>
      </c>
      <c r="T9" s="63">
        <v>1</v>
      </c>
      <c r="U9" s="63" t="s">
        <v>51</v>
      </c>
      <c r="V9" s="63" t="s">
        <v>51</v>
      </c>
      <c r="W9" s="63">
        <v>1</v>
      </c>
      <c r="X9" s="63">
        <v>1</v>
      </c>
      <c r="Y9" s="63">
        <v>1</v>
      </c>
      <c r="Z9" s="63">
        <v>1</v>
      </c>
      <c r="AA9" s="63">
        <v>1</v>
      </c>
      <c r="AB9" s="63">
        <v>1</v>
      </c>
      <c r="AC9" s="63">
        <v>1</v>
      </c>
      <c r="AD9" s="63">
        <v>1</v>
      </c>
      <c r="AE9" s="63">
        <v>1</v>
      </c>
      <c r="AF9" s="63">
        <v>1</v>
      </c>
      <c r="AG9" s="63">
        <v>1</v>
      </c>
      <c r="AH9" s="63">
        <v>1</v>
      </c>
      <c r="AI9" s="70"/>
      <c r="AJ9" s="29">
        <v>4</v>
      </c>
      <c r="AK9" s="63" t="s">
        <v>51</v>
      </c>
      <c r="AL9" s="63" t="s">
        <v>51</v>
      </c>
      <c r="AM9" s="63">
        <v>1</v>
      </c>
      <c r="AN9" s="63">
        <v>1</v>
      </c>
      <c r="AO9" s="63">
        <v>1</v>
      </c>
      <c r="AP9" s="63">
        <v>1</v>
      </c>
      <c r="AQ9" s="63">
        <v>1</v>
      </c>
      <c r="AR9" s="63">
        <v>1</v>
      </c>
      <c r="AS9" s="63">
        <v>1</v>
      </c>
      <c r="AT9" s="63">
        <v>1</v>
      </c>
      <c r="AU9" s="63">
        <v>1</v>
      </c>
      <c r="AV9" s="63">
        <v>1</v>
      </c>
      <c r="AW9" s="63">
        <v>1</v>
      </c>
      <c r="AX9" s="63">
        <v>1</v>
      </c>
      <c r="AY9" s="63" t="s">
        <v>51</v>
      </c>
      <c r="AZ9" s="63" t="s">
        <v>51</v>
      </c>
      <c r="BA9" s="63">
        <v>1</v>
      </c>
      <c r="BB9" s="63">
        <v>1</v>
      </c>
      <c r="BC9" s="63">
        <v>1</v>
      </c>
      <c r="BD9" s="63">
        <v>1</v>
      </c>
      <c r="BE9" s="63">
        <v>1</v>
      </c>
      <c r="BF9" s="63">
        <v>1</v>
      </c>
      <c r="BG9" s="63">
        <v>1</v>
      </c>
      <c r="BH9" s="63">
        <v>1</v>
      </c>
      <c r="BI9" s="63">
        <v>1</v>
      </c>
      <c r="BJ9" s="63">
        <v>1</v>
      </c>
      <c r="BK9" s="63">
        <v>1</v>
      </c>
      <c r="BL9" s="63">
        <v>1</v>
      </c>
      <c r="BM9" s="63" t="s">
        <v>51</v>
      </c>
      <c r="BN9" s="63" t="s">
        <v>51</v>
      </c>
      <c r="BO9" s="63">
        <v>1</v>
      </c>
      <c r="BP9" s="63">
        <v>1</v>
      </c>
      <c r="BQ9" s="7">
        <f t="shared" si="0"/>
        <v>31</v>
      </c>
      <c r="BR9" s="53">
        <v>0</v>
      </c>
      <c r="BS9" s="33">
        <f t="shared" si="13"/>
        <v>26</v>
      </c>
      <c r="BT9" s="34">
        <f t="shared" si="1"/>
        <v>5</v>
      </c>
      <c r="BU9" s="34">
        <f t="shared" si="2"/>
        <v>0</v>
      </c>
      <c r="BV9" s="34">
        <f>COUNTIF(E9:BP9,"EL")/2</f>
        <v>0</v>
      </c>
      <c r="BW9" s="34">
        <f t="shared" si="4"/>
        <v>0</v>
      </c>
      <c r="BX9" s="34">
        <f t="shared" si="5"/>
        <v>0</v>
      </c>
      <c r="BY9" s="34">
        <f t="shared" si="6"/>
        <v>0</v>
      </c>
      <c r="BZ9" s="34">
        <f t="shared" si="7"/>
        <v>0</v>
      </c>
      <c r="CA9" s="34">
        <f t="shared" si="8"/>
        <v>0</v>
      </c>
      <c r="CB9" s="34">
        <f t="shared" si="9"/>
        <v>0</v>
      </c>
      <c r="CC9" s="34">
        <f t="shared" si="10"/>
        <v>0</v>
      </c>
      <c r="CD9" s="34">
        <f t="shared" si="11"/>
        <v>0</v>
      </c>
      <c r="CE9" s="35" t="s">
        <v>73</v>
      </c>
      <c r="CH9" s="32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38">
        <f t="shared" si="12"/>
        <v>0</v>
      </c>
    </row>
    <row r="10" spans="1:96" s="20" customFormat="1" ht="24" customHeight="1" x14ac:dyDescent="0.25">
      <c r="A10" s="29">
        <v>5</v>
      </c>
      <c r="B10" s="34" t="s">
        <v>27</v>
      </c>
      <c r="C10" s="83" t="s">
        <v>28</v>
      </c>
      <c r="D10" s="81">
        <v>44531</v>
      </c>
      <c r="E10" s="101">
        <v>1</v>
      </c>
      <c r="F10" s="101">
        <v>1</v>
      </c>
      <c r="G10" s="63" t="s">
        <v>51</v>
      </c>
      <c r="H10" s="63" t="s">
        <v>51</v>
      </c>
      <c r="I10" s="101">
        <v>1</v>
      </c>
      <c r="J10" s="101">
        <v>1</v>
      </c>
      <c r="K10" s="101">
        <v>1</v>
      </c>
      <c r="L10" s="101">
        <v>1</v>
      </c>
      <c r="M10" s="101">
        <v>1</v>
      </c>
      <c r="N10" s="101">
        <v>1</v>
      </c>
      <c r="O10" s="101">
        <v>1</v>
      </c>
      <c r="P10" s="101">
        <v>1</v>
      </c>
      <c r="Q10" s="101">
        <v>1</v>
      </c>
      <c r="R10" s="101">
        <v>1</v>
      </c>
      <c r="S10" s="63">
        <v>1</v>
      </c>
      <c r="T10" s="63">
        <v>1</v>
      </c>
      <c r="U10" s="63" t="s">
        <v>51</v>
      </c>
      <c r="V10" s="63" t="s">
        <v>51</v>
      </c>
      <c r="W10" s="63">
        <v>1</v>
      </c>
      <c r="X10" s="63">
        <v>1</v>
      </c>
      <c r="Y10" s="63">
        <v>1</v>
      </c>
      <c r="Z10" s="63">
        <v>1</v>
      </c>
      <c r="AA10" s="63">
        <v>1</v>
      </c>
      <c r="AB10" s="101">
        <v>1</v>
      </c>
      <c r="AC10" s="101">
        <v>1</v>
      </c>
      <c r="AD10" s="101">
        <v>1</v>
      </c>
      <c r="AE10" s="101">
        <v>1</v>
      </c>
      <c r="AF10" s="101">
        <v>1</v>
      </c>
      <c r="AG10" s="101">
        <v>1</v>
      </c>
      <c r="AH10" s="101">
        <v>1</v>
      </c>
      <c r="AI10" s="70"/>
      <c r="AJ10" s="29">
        <v>5</v>
      </c>
      <c r="AK10" s="63" t="s">
        <v>51</v>
      </c>
      <c r="AL10" s="63" t="s">
        <v>51</v>
      </c>
      <c r="AM10" s="63">
        <v>1</v>
      </c>
      <c r="AN10" s="63">
        <v>1</v>
      </c>
      <c r="AO10" s="63">
        <v>1</v>
      </c>
      <c r="AP10" s="63">
        <v>1</v>
      </c>
      <c r="AQ10" s="63">
        <v>1</v>
      </c>
      <c r="AR10" s="63">
        <v>1</v>
      </c>
      <c r="AS10" s="63">
        <v>1</v>
      </c>
      <c r="AT10" s="63">
        <v>1</v>
      </c>
      <c r="AU10" s="63">
        <v>1</v>
      </c>
      <c r="AV10" s="63">
        <v>1</v>
      </c>
      <c r="AW10" s="63">
        <v>1</v>
      </c>
      <c r="AX10" s="63">
        <v>1</v>
      </c>
      <c r="AY10" s="63" t="s">
        <v>51</v>
      </c>
      <c r="AZ10" s="63" t="s">
        <v>51</v>
      </c>
      <c r="BA10" s="63">
        <v>1</v>
      </c>
      <c r="BB10" s="63">
        <v>1</v>
      </c>
      <c r="BC10" s="63">
        <v>1</v>
      </c>
      <c r="BD10" s="63">
        <v>1</v>
      </c>
      <c r="BE10" s="63">
        <v>1</v>
      </c>
      <c r="BF10" s="63">
        <v>1</v>
      </c>
      <c r="BG10" s="63">
        <v>1</v>
      </c>
      <c r="BH10" s="63">
        <v>1</v>
      </c>
      <c r="BI10" s="63">
        <v>1</v>
      </c>
      <c r="BJ10" s="63">
        <v>1</v>
      </c>
      <c r="BK10" s="63">
        <v>1</v>
      </c>
      <c r="BL10" s="63">
        <v>1</v>
      </c>
      <c r="BM10" s="63" t="s">
        <v>51</v>
      </c>
      <c r="BN10" s="63" t="s">
        <v>51</v>
      </c>
      <c r="BO10" s="63">
        <v>1</v>
      </c>
      <c r="BP10" s="63">
        <v>1</v>
      </c>
      <c r="BQ10" s="7">
        <f t="shared" si="0"/>
        <v>31</v>
      </c>
      <c r="BR10" s="53">
        <v>0</v>
      </c>
      <c r="BS10" s="33">
        <f t="shared" si="13"/>
        <v>26</v>
      </c>
      <c r="BT10" s="34">
        <f>COUNTIF(E10:BP10,"OFF")/2</f>
        <v>5</v>
      </c>
      <c r="BU10" s="34">
        <f>COUNTIF(E10:BP10,"MC")/2</f>
        <v>0</v>
      </c>
      <c r="BV10" s="34">
        <f t="shared" ref="BV10" si="14">COUNTIF(E10:BP10,"EL")/2</f>
        <v>0</v>
      </c>
      <c r="BW10" s="34">
        <f>COUNTIF(E10:BP10,"AL")/2</f>
        <v>0</v>
      </c>
      <c r="BX10" s="34">
        <f t="shared" si="5"/>
        <v>0</v>
      </c>
      <c r="BY10" s="34">
        <f t="shared" si="6"/>
        <v>0</v>
      </c>
      <c r="BZ10" s="34">
        <f>COUNTIF(E10:BP10,"SICK")/2</f>
        <v>0</v>
      </c>
      <c r="CA10" s="34">
        <f t="shared" si="8"/>
        <v>0</v>
      </c>
      <c r="CB10" s="34">
        <f t="shared" si="9"/>
        <v>0</v>
      </c>
      <c r="CC10" s="34">
        <f t="shared" si="10"/>
        <v>0</v>
      </c>
      <c r="CD10" s="34">
        <f t="shared" si="11"/>
        <v>0</v>
      </c>
      <c r="CE10" s="35"/>
      <c r="CH10" s="32">
        <v>0</v>
      </c>
      <c r="CI10" s="29">
        <v>0</v>
      </c>
      <c r="CJ10" s="29">
        <v>17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38">
        <f t="shared" si="12"/>
        <v>17</v>
      </c>
    </row>
    <row r="11" spans="1:96" s="20" customFormat="1" ht="24" customHeight="1" x14ac:dyDescent="0.25">
      <c r="A11" s="29">
        <v>6</v>
      </c>
      <c r="B11" s="34" t="s">
        <v>37</v>
      </c>
      <c r="C11" s="31" t="s">
        <v>38</v>
      </c>
      <c r="D11" s="82">
        <v>45292</v>
      </c>
      <c r="E11" s="63">
        <v>1</v>
      </c>
      <c r="F11" s="63">
        <v>1</v>
      </c>
      <c r="G11" s="63" t="s">
        <v>51</v>
      </c>
      <c r="H11" s="63" t="s">
        <v>51</v>
      </c>
      <c r="I11" s="63">
        <v>1</v>
      </c>
      <c r="J11" s="63">
        <v>1</v>
      </c>
      <c r="K11" s="63">
        <v>1</v>
      </c>
      <c r="L11" s="63">
        <v>1</v>
      </c>
      <c r="M11" s="63">
        <v>1</v>
      </c>
      <c r="N11" s="63">
        <v>1</v>
      </c>
      <c r="O11" s="63">
        <v>1</v>
      </c>
      <c r="P11" s="63">
        <v>1</v>
      </c>
      <c r="Q11" s="63">
        <v>1</v>
      </c>
      <c r="R11" s="63">
        <v>1</v>
      </c>
      <c r="S11" s="63">
        <v>1</v>
      </c>
      <c r="T11" s="63">
        <v>1</v>
      </c>
      <c r="U11" s="63" t="s">
        <v>51</v>
      </c>
      <c r="V11" s="63" t="s">
        <v>51</v>
      </c>
      <c r="W11" s="63">
        <v>1</v>
      </c>
      <c r="X11" s="63">
        <v>1</v>
      </c>
      <c r="Y11" s="63">
        <v>1</v>
      </c>
      <c r="Z11" s="63">
        <v>1</v>
      </c>
      <c r="AA11" s="63">
        <v>1</v>
      </c>
      <c r="AB11" s="63">
        <v>1</v>
      </c>
      <c r="AC11" s="63">
        <v>1</v>
      </c>
      <c r="AD11" s="63">
        <v>1</v>
      </c>
      <c r="AE11" s="63">
        <v>1</v>
      </c>
      <c r="AF11" s="63">
        <v>1</v>
      </c>
      <c r="AG11" s="63">
        <v>1</v>
      </c>
      <c r="AH11" s="63">
        <v>1</v>
      </c>
      <c r="AI11" s="70"/>
      <c r="AJ11" s="29">
        <v>6</v>
      </c>
      <c r="AK11" s="63" t="s">
        <v>51</v>
      </c>
      <c r="AL11" s="63" t="s">
        <v>51</v>
      </c>
      <c r="AM11" s="69">
        <v>1</v>
      </c>
      <c r="AN11" s="69">
        <v>1</v>
      </c>
      <c r="AO11" s="69">
        <v>1</v>
      </c>
      <c r="AP11" s="69">
        <v>1</v>
      </c>
      <c r="AQ11" s="69">
        <v>1</v>
      </c>
      <c r="AR11" s="63">
        <v>1</v>
      </c>
      <c r="AS11" s="63">
        <v>1</v>
      </c>
      <c r="AT11" s="63">
        <v>1</v>
      </c>
      <c r="AU11" s="63">
        <v>1</v>
      </c>
      <c r="AV11" s="63">
        <v>1</v>
      </c>
      <c r="AW11" s="63">
        <v>1</v>
      </c>
      <c r="AX11" s="63">
        <v>1</v>
      </c>
      <c r="AY11" s="63" t="s">
        <v>51</v>
      </c>
      <c r="AZ11" s="63" t="s">
        <v>51</v>
      </c>
      <c r="BA11" s="63">
        <v>1</v>
      </c>
      <c r="BB11" s="63">
        <v>1</v>
      </c>
      <c r="BC11" s="63">
        <v>1</v>
      </c>
      <c r="BD11" s="63">
        <v>1</v>
      </c>
      <c r="BE11" s="63">
        <v>1</v>
      </c>
      <c r="BF11" s="69">
        <v>1</v>
      </c>
      <c r="BG11" s="69">
        <v>1</v>
      </c>
      <c r="BH11" s="69">
        <v>1</v>
      </c>
      <c r="BI11" s="69">
        <v>1</v>
      </c>
      <c r="BJ11" s="69">
        <v>1</v>
      </c>
      <c r="BK11" s="69">
        <v>1</v>
      </c>
      <c r="BL11" s="69">
        <v>1</v>
      </c>
      <c r="BM11" s="63" t="s">
        <v>51</v>
      </c>
      <c r="BN11" s="63" t="s">
        <v>51</v>
      </c>
      <c r="BO11" s="69">
        <v>1</v>
      </c>
      <c r="BP11" s="69">
        <v>1</v>
      </c>
      <c r="BQ11" s="7">
        <f t="shared" si="0"/>
        <v>31</v>
      </c>
      <c r="BR11" s="53">
        <v>0</v>
      </c>
      <c r="BS11" s="33">
        <f t="shared" si="13"/>
        <v>26</v>
      </c>
      <c r="BT11" s="34">
        <f t="shared" ref="BT11:BT13" si="15">COUNTIF(E11:BP11,"OFF")/2</f>
        <v>5</v>
      </c>
      <c r="BU11" s="34">
        <f t="shared" ref="BU11:BU13" si="16">COUNTIF(E11:BP11,"MC")/2</f>
        <v>0</v>
      </c>
      <c r="BV11" s="34">
        <f t="shared" ref="BV11:BV13" si="17">COUNTIF(E11:BP11,"EL")/2</f>
        <v>0</v>
      </c>
      <c r="BW11" s="34">
        <f t="shared" ref="BW11:BW13" si="18">COUNTIF(E11:BP11,"AL")/2</f>
        <v>0</v>
      </c>
      <c r="BX11" s="34">
        <f t="shared" ref="BX11:BX13" si="19">COUNTIF(E11:BN11,"SUS")/2</f>
        <v>0</v>
      </c>
      <c r="BY11" s="34">
        <f t="shared" ref="BY11:BY13" si="20">COUNTIF(E11:BN11,"FL")/2</f>
        <v>0</v>
      </c>
      <c r="BZ11" s="34">
        <f t="shared" ref="BZ11:BZ13" si="21">COUNTIF(E11:BP11,"SICK")/2</f>
        <v>0</v>
      </c>
      <c r="CA11" s="34">
        <f t="shared" ref="CA11:CA13" si="22">COUNTIF(E11:BN11,"HD")/2</f>
        <v>0</v>
      </c>
      <c r="CB11" s="34">
        <f t="shared" ref="CB11:CB13" si="23">COUNTIF(E11:BN11,"AB")/2</f>
        <v>0</v>
      </c>
      <c r="CC11" s="34">
        <f t="shared" ref="CC11:CC13" si="24">COUNTIF(E11:BN11,"NL")/2</f>
        <v>0</v>
      </c>
      <c r="CD11" s="34">
        <f t="shared" ref="CD11:CD13" si="25">COUNTIF(E11:BN11,"SP")/2</f>
        <v>0</v>
      </c>
      <c r="CE11" s="35"/>
      <c r="CH11" s="32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38">
        <f>SUM(CH11:CQ11)</f>
        <v>0</v>
      </c>
    </row>
    <row r="12" spans="1:96" s="20" customFormat="1" ht="24" customHeight="1" x14ac:dyDescent="0.25">
      <c r="A12" s="29">
        <v>7</v>
      </c>
      <c r="B12" s="36" t="s">
        <v>85</v>
      </c>
      <c r="C12" s="85" t="s">
        <v>86</v>
      </c>
      <c r="D12" s="80"/>
      <c r="E12" s="63">
        <v>1</v>
      </c>
      <c r="F12" s="63">
        <v>1</v>
      </c>
      <c r="G12" s="63" t="s">
        <v>51</v>
      </c>
      <c r="H12" s="63" t="s">
        <v>51</v>
      </c>
      <c r="I12" s="63">
        <v>1</v>
      </c>
      <c r="J12" s="63">
        <v>1</v>
      </c>
      <c r="K12" s="63">
        <v>1</v>
      </c>
      <c r="L12" s="63">
        <v>1</v>
      </c>
      <c r="M12" s="63">
        <v>1</v>
      </c>
      <c r="N12" s="63">
        <v>1</v>
      </c>
      <c r="O12" s="63">
        <v>1</v>
      </c>
      <c r="P12" s="63">
        <v>1</v>
      </c>
      <c r="Q12" s="63">
        <v>1</v>
      </c>
      <c r="R12" s="63">
        <v>1</v>
      </c>
      <c r="S12" s="63">
        <v>1</v>
      </c>
      <c r="T12" s="101">
        <v>1</v>
      </c>
      <c r="U12" s="63" t="s">
        <v>51</v>
      </c>
      <c r="V12" s="63" t="s">
        <v>51</v>
      </c>
      <c r="W12" s="63">
        <v>1</v>
      </c>
      <c r="X12" s="63">
        <v>1</v>
      </c>
      <c r="Y12" s="63">
        <v>1</v>
      </c>
      <c r="Z12" s="63">
        <v>1</v>
      </c>
      <c r="AA12" s="63">
        <v>1</v>
      </c>
      <c r="AB12" s="63">
        <v>1</v>
      </c>
      <c r="AC12" s="63">
        <v>1</v>
      </c>
      <c r="AD12" s="63">
        <v>1</v>
      </c>
      <c r="AE12" s="63">
        <v>1</v>
      </c>
      <c r="AF12" s="63">
        <v>1</v>
      </c>
      <c r="AG12" s="101">
        <v>1</v>
      </c>
      <c r="AH12" s="101">
        <v>1</v>
      </c>
      <c r="AI12" s="70"/>
      <c r="AJ12" s="29">
        <v>7</v>
      </c>
      <c r="AK12" s="63" t="s">
        <v>51</v>
      </c>
      <c r="AL12" s="63" t="s">
        <v>51</v>
      </c>
      <c r="AM12" s="69">
        <v>1</v>
      </c>
      <c r="AN12" s="69">
        <v>1</v>
      </c>
      <c r="AO12" s="69">
        <v>1</v>
      </c>
      <c r="AP12" s="69">
        <v>1</v>
      </c>
      <c r="AQ12" s="69">
        <v>1</v>
      </c>
      <c r="AR12" s="63">
        <v>1</v>
      </c>
      <c r="AS12" s="63">
        <v>1</v>
      </c>
      <c r="AT12" s="63">
        <v>1</v>
      </c>
      <c r="AU12" s="63">
        <v>1</v>
      </c>
      <c r="AV12" s="63">
        <v>1</v>
      </c>
      <c r="AW12" s="63">
        <v>1</v>
      </c>
      <c r="AX12" s="63">
        <v>1</v>
      </c>
      <c r="AY12" s="63" t="s">
        <v>51</v>
      </c>
      <c r="AZ12" s="63" t="s">
        <v>51</v>
      </c>
      <c r="BA12" s="63">
        <v>1</v>
      </c>
      <c r="BB12" s="63">
        <v>1</v>
      </c>
      <c r="BC12" s="63">
        <v>1</v>
      </c>
      <c r="BD12" s="63">
        <v>1</v>
      </c>
      <c r="BE12" s="63">
        <v>1</v>
      </c>
      <c r="BF12" s="63">
        <v>1</v>
      </c>
      <c r="BG12" s="63">
        <v>1</v>
      </c>
      <c r="BH12" s="63">
        <v>1</v>
      </c>
      <c r="BI12" s="63">
        <v>1</v>
      </c>
      <c r="BJ12" s="63">
        <v>1</v>
      </c>
      <c r="BK12" s="63">
        <v>1</v>
      </c>
      <c r="BL12" s="63">
        <v>1</v>
      </c>
      <c r="BM12" s="63" t="s">
        <v>51</v>
      </c>
      <c r="BN12" s="63" t="s">
        <v>51</v>
      </c>
      <c r="BO12" s="63">
        <v>1</v>
      </c>
      <c r="BP12" s="63">
        <v>1</v>
      </c>
      <c r="BQ12" s="7">
        <f>BS12+BT12+BU12+BZ12+BW12+BY12+BX12</f>
        <v>31</v>
      </c>
      <c r="BR12" s="53">
        <v>0</v>
      </c>
      <c r="BS12" s="33">
        <f t="shared" si="13"/>
        <v>26</v>
      </c>
      <c r="BT12" s="34">
        <f t="shared" si="15"/>
        <v>5</v>
      </c>
      <c r="BU12" s="34">
        <f t="shared" si="16"/>
        <v>0</v>
      </c>
      <c r="BV12" s="34">
        <f t="shared" si="17"/>
        <v>0</v>
      </c>
      <c r="BW12" s="34">
        <f t="shared" si="18"/>
        <v>0</v>
      </c>
      <c r="BX12" s="34">
        <f t="shared" si="19"/>
        <v>0</v>
      </c>
      <c r="BY12" s="34">
        <f t="shared" si="20"/>
        <v>0</v>
      </c>
      <c r="BZ12" s="34">
        <f t="shared" si="21"/>
        <v>0</v>
      </c>
      <c r="CA12" s="34">
        <f t="shared" si="22"/>
        <v>0</v>
      </c>
      <c r="CB12" s="34">
        <f t="shared" si="23"/>
        <v>0</v>
      </c>
      <c r="CC12" s="34">
        <f t="shared" si="24"/>
        <v>0</v>
      </c>
      <c r="CD12" s="34">
        <f t="shared" si="25"/>
        <v>0</v>
      </c>
      <c r="CE12" s="35"/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8">
        <f>SUM(CH12:CQ12)</f>
        <v>0</v>
      </c>
    </row>
    <row r="13" spans="1:96" s="20" customFormat="1" ht="24" customHeight="1" x14ac:dyDescent="0.25">
      <c r="A13" s="29">
        <v>8</v>
      </c>
      <c r="B13" s="34" t="s">
        <v>23</v>
      </c>
      <c r="C13" s="31" t="s">
        <v>24</v>
      </c>
      <c r="D13" s="81">
        <v>41326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0"/>
      <c r="AJ13" s="29">
        <v>8</v>
      </c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 t="s">
        <v>95</v>
      </c>
      <c r="BP13" s="71" t="s">
        <v>95</v>
      </c>
      <c r="BQ13" s="7">
        <f t="shared" si="0"/>
        <v>0</v>
      </c>
      <c r="BR13" s="53">
        <v>0</v>
      </c>
      <c r="BS13" s="33">
        <f t="shared" si="13"/>
        <v>0</v>
      </c>
      <c r="BT13" s="34">
        <f t="shared" si="15"/>
        <v>0</v>
      </c>
      <c r="BU13" s="34">
        <f t="shared" si="16"/>
        <v>0</v>
      </c>
      <c r="BV13" s="34">
        <f t="shared" si="17"/>
        <v>0</v>
      </c>
      <c r="BW13" s="34">
        <f t="shared" si="18"/>
        <v>0</v>
      </c>
      <c r="BX13" s="34">
        <f t="shared" si="19"/>
        <v>0</v>
      </c>
      <c r="BY13" s="34">
        <f t="shared" si="20"/>
        <v>0</v>
      </c>
      <c r="BZ13" s="34">
        <f t="shared" si="21"/>
        <v>0</v>
      </c>
      <c r="CA13" s="34">
        <f t="shared" si="22"/>
        <v>0</v>
      </c>
      <c r="CB13" s="34">
        <f t="shared" si="23"/>
        <v>0</v>
      </c>
      <c r="CC13" s="34">
        <f t="shared" si="24"/>
        <v>0</v>
      </c>
      <c r="CD13" s="34">
        <f t="shared" si="25"/>
        <v>0</v>
      </c>
      <c r="CE13" s="35"/>
      <c r="CH13" s="32">
        <v>0</v>
      </c>
      <c r="CI13" s="29">
        <v>0</v>
      </c>
      <c r="CJ13" s="29">
        <v>18</v>
      </c>
      <c r="CK13" s="29">
        <v>0</v>
      </c>
      <c r="CL13" s="29">
        <v>0</v>
      </c>
      <c r="CM13" s="29">
        <v>8</v>
      </c>
      <c r="CN13" s="29">
        <v>0</v>
      </c>
      <c r="CO13" s="29">
        <v>0</v>
      </c>
      <c r="CP13" s="29">
        <v>0</v>
      </c>
      <c r="CQ13" s="29">
        <v>6</v>
      </c>
      <c r="CR13" s="38">
        <f>SUM(CH13:CQ13)</f>
        <v>32</v>
      </c>
    </row>
    <row r="14" spans="1:96" s="20" customFormat="1" ht="24" customHeight="1" x14ac:dyDescent="0.25">
      <c r="A14" s="29">
        <v>9</v>
      </c>
      <c r="B14" s="34" t="s">
        <v>17</v>
      </c>
      <c r="C14" s="31" t="s">
        <v>18</v>
      </c>
      <c r="D14" s="81">
        <v>35548</v>
      </c>
      <c r="E14" s="88">
        <v>46296.327106481483</v>
      </c>
      <c r="F14" s="88">
        <v>0</v>
      </c>
      <c r="G14" s="88">
        <v>46297.555763888886</v>
      </c>
      <c r="H14" s="88">
        <v>0</v>
      </c>
      <c r="I14" s="88">
        <v>46298.326319444444</v>
      </c>
      <c r="J14" s="88">
        <v>0</v>
      </c>
      <c r="K14" s="88">
        <v>46299.325208333335</v>
      </c>
      <c r="L14" s="88">
        <v>0</v>
      </c>
      <c r="M14" s="88">
        <v>46300.325856481482</v>
      </c>
      <c r="N14" s="88">
        <v>0</v>
      </c>
      <c r="O14" s="88">
        <v>46301.326909722222</v>
      </c>
      <c r="P14" s="88">
        <v>0</v>
      </c>
      <c r="Q14" s="88">
        <v>46302.325601851851</v>
      </c>
      <c r="R14" s="88">
        <v>0</v>
      </c>
      <c r="S14" s="88">
        <v>46303.32912037037</v>
      </c>
      <c r="T14" s="88">
        <v>0</v>
      </c>
      <c r="U14" s="88">
        <v>46304.554236111115</v>
      </c>
      <c r="V14" s="88">
        <v>46304.554236111115</v>
      </c>
      <c r="W14" s="88">
        <v>0</v>
      </c>
      <c r="X14" s="88">
        <v>0</v>
      </c>
      <c r="Y14" s="88">
        <v>46306.326643518521</v>
      </c>
      <c r="Z14" s="88">
        <v>0</v>
      </c>
      <c r="AA14" s="88">
        <v>46307.321319444447</v>
      </c>
      <c r="AB14" s="88">
        <v>0</v>
      </c>
      <c r="AC14" s="88">
        <v>0</v>
      </c>
      <c r="AD14" s="88">
        <v>0</v>
      </c>
      <c r="AE14" s="88">
        <v>46309.324189814812</v>
      </c>
      <c r="AF14" s="88">
        <v>0</v>
      </c>
      <c r="AG14" s="88">
        <v>46310.328645833331</v>
      </c>
      <c r="AH14" s="88">
        <v>0</v>
      </c>
      <c r="AI14" s="78"/>
      <c r="AJ14" s="29">
        <v>9</v>
      </c>
      <c r="AK14" s="88"/>
      <c r="AL14" s="88"/>
      <c r="AM14" s="89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90"/>
      <c r="BM14" s="91"/>
      <c r="BN14" s="90"/>
      <c r="BO14" s="90"/>
      <c r="BP14" s="90"/>
      <c r="BQ14" s="7">
        <f t="shared" si="0"/>
        <v>15</v>
      </c>
      <c r="BR14" s="53"/>
      <c r="BS14" s="33">
        <f t="shared" si="13"/>
        <v>15</v>
      </c>
      <c r="BT14" s="34">
        <f t="shared" ref="BT14:BT16" si="26">COUNTIF(E14:BP14,"OFF")/2</f>
        <v>0</v>
      </c>
      <c r="BU14" s="34">
        <f t="shared" ref="BU14:BU16" si="27">COUNTIF(E14:BP14,"MC")/2</f>
        <v>0</v>
      </c>
      <c r="BV14" s="34">
        <f t="shared" ref="BV14:BV16" si="28">COUNTIF(E14:BP14,"EL")/2</f>
        <v>0</v>
      </c>
      <c r="BW14" s="34">
        <f t="shared" ref="BW14:BW16" si="29">COUNTIF(E14:BP14,"AL")/2</f>
        <v>0</v>
      </c>
      <c r="BX14" s="34">
        <f t="shared" ref="BX14:BX16" si="30">COUNTIF(E14:BN14,"SUS")/2</f>
        <v>0</v>
      </c>
      <c r="BY14" s="34">
        <f t="shared" ref="BY14:BY16" si="31">COUNTIF(E14:BN14,"FL")/2</f>
        <v>0</v>
      </c>
      <c r="BZ14" s="34">
        <f t="shared" ref="BZ14:BZ16" si="32">COUNTIF(E14:BP14,"SICK")/2</f>
        <v>0</v>
      </c>
      <c r="CA14" s="34">
        <f t="shared" ref="CA14:CA16" si="33">COUNTIF(E14:BN14,"HD")/2</f>
        <v>0</v>
      </c>
      <c r="CB14" s="34">
        <f t="shared" ref="CB14:CB16" si="34">COUNTIF(E14:BN14,"AB")/2</f>
        <v>0</v>
      </c>
      <c r="CC14" s="34">
        <f t="shared" ref="CC14:CC16" si="35">COUNTIF(E14:BN14,"NL")/2</f>
        <v>0</v>
      </c>
      <c r="CD14" s="34">
        <f t="shared" ref="CD14:CD16" si="36">COUNTIF(E14:BN14,"SP")/2</f>
        <v>0</v>
      </c>
      <c r="CE14" s="35"/>
      <c r="CH14" s="32">
        <v>0</v>
      </c>
      <c r="CI14" s="29">
        <v>0</v>
      </c>
      <c r="CJ14" s="29">
        <v>13</v>
      </c>
      <c r="CK14" s="29">
        <v>0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29">
        <v>0</v>
      </c>
      <c r="CR14" s="38">
        <f>SUM(CH14:CQ14)</f>
        <v>13</v>
      </c>
    </row>
    <row r="15" spans="1:96" s="20" customFormat="1" ht="24" customHeight="1" x14ac:dyDescent="0.25">
      <c r="A15" s="29">
        <v>10</v>
      </c>
      <c r="B15" s="34" t="s">
        <v>25</v>
      </c>
      <c r="C15" s="31" t="s">
        <v>26</v>
      </c>
      <c r="D15" s="81">
        <v>43591</v>
      </c>
      <c r="E15" s="86" t="s">
        <v>82</v>
      </c>
      <c r="F15" s="86" t="s">
        <v>82</v>
      </c>
      <c r="G15" s="86" t="s">
        <v>82</v>
      </c>
      <c r="H15" s="86" t="s">
        <v>82</v>
      </c>
      <c r="I15" s="86" t="s">
        <v>82</v>
      </c>
      <c r="J15" s="86" t="s">
        <v>82</v>
      </c>
      <c r="K15" s="86" t="s">
        <v>82</v>
      </c>
      <c r="L15" s="86" t="s">
        <v>82</v>
      </c>
      <c r="M15" s="88">
        <v>46300.377500000002</v>
      </c>
      <c r="N15" s="88">
        <v>46300.740914351853</v>
      </c>
      <c r="O15" s="88">
        <v>46301.372175925928</v>
      </c>
      <c r="P15" s="88">
        <v>46301.988009259258</v>
      </c>
      <c r="Q15" s="88">
        <v>46302.374780092592</v>
      </c>
      <c r="R15" s="88">
        <v>0</v>
      </c>
      <c r="S15" s="88">
        <v>46303.371180555558</v>
      </c>
      <c r="T15" s="88">
        <v>0</v>
      </c>
      <c r="U15" s="88">
        <v>0</v>
      </c>
      <c r="V15" s="88">
        <v>46304.982442129629</v>
      </c>
      <c r="W15" s="88">
        <v>46305.41300925926</v>
      </c>
      <c r="X15" s="88">
        <v>0</v>
      </c>
      <c r="Y15" s="88">
        <v>46306.374965277777</v>
      </c>
      <c r="Z15" s="88">
        <v>46306.753136574072</v>
      </c>
      <c r="AA15" s="88">
        <v>46307.371469907404</v>
      </c>
      <c r="AB15" s="88">
        <v>0</v>
      </c>
      <c r="AC15" s="88">
        <v>0</v>
      </c>
      <c r="AD15" s="88">
        <v>46308.747893518521</v>
      </c>
      <c r="AE15" s="88">
        <v>46309.409375000003</v>
      </c>
      <c r="AF15" s="88">
        <v>46309.981817129628</v>
      </c>
      <c r="AG15" s="88">
        <v>46310.374907407408</v>
      </c>
      <c r="AH15" s="88">
        <v>0</v>
      </c>
      <c r="AI15" s="70"/>
      <c r="AJ15" s="29">
        <v>10</v>
      </c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92"/>
      <c r="BM15" s="91"/>
      <c r="BN15" s="91"/>
      <c r="BO15" s="91"/>
      <c r="BP15" s="91"/>
      <c r="BQ15" s="7">
        <f t="shared" si="0"/>
        <v>15</v>
      </c>
      <c r="BR15" s="53"/>
      <c r="BS15" s="33">
        <f t="shared" si="13"/>
        <v>11</v>
      </c>
      <c r="BT15" s="34">
        <f t="shared" si="26"/>
        <v>0</v>
      </c>
      <c r="BU15" s="34">
        <f t="shared" si="27"/>
        <v>0</v>
      </c>
      <c r="BV15" s="34">
        <f t="shared" si="28"/>
        <v>0</v>
      </c>
      <c r="BW15" s="34">
        <f t="shared" si="29"/>
        <v>0</v>
      </c>
      <c r="BX15" s="34">
        <f t="shared" si="30"/>
        <v>0</v>
      </c>
      <c r="BY15" s="34">
        <f t="shared" si="31"/>
        <v>0</v>
      </c>
      <c r="BZ15" s="34">
        <f t="shared" si="32"/>
        <v>4</v>
      </c>
      <c r="CA15" s="34">
        <f t="shared" si="33"/>
        <v>0</v>
      </c>
      <c r="CB15" s="34">
        <f t="shared" si="34"/>
        <v>0</v>
      </c>
      <c r="CC15" s="34">
        <f t="shared" si="35"/>
        <v>0</v>
      </c>
      <c r="CD15" s="34">
        <f t="shared" si="36"/>
        <v>0</v>
      </c>
      <c r="CE15" s="35" t="s">
        <v>73</v>
      </c>
      <c r="CH15" s="32">
        <v>0</v>
      </c>
      <c r="CI15" s="29">
        <v>0</v>
      </c>
      <c r="CJ15" s="29">
        <v>27</v>
      </c>
      <c r="CK15" s="29">
        <v>0</v>
      </c>
      <c r="CL15" s="29">
        <v>0</v>
      </c>
      <c r="CM15" s="29">
        <v>8</v>
      </c>
      <c r="CN15" s="29">
        <v>0</v>
      </c>
      <c r="CO15" s="29">
        <v>0</v>
      </c>
      <c r="CP15" s="29">
        <v>0</v>
      </c>
      <c r="CQ15" s="29">
        <v>0</v>
      </c>
      <c r="CR15" s="38">
        <f>SUM(CH15:CQ15)</f>
        <v>35</v>
      </c>
    </row>
    <row r="16" spans="1:96" s="20" customFormat="1" ht="24" customHeight="1" x14ac:dyDescent="0.25">
      <c r="A16" s="29">
        <v>11</v>
      </c>
      <c r="B16" s="34" t="s">
        <v>29</v>
      </c>
      <c r="C16" s="31" t="s">
        <v>30</v>
      </c>
      <c r="D16" s="81">
        <v>43542</v>
      </c>
      <c r="E16" s="88">
        <v>46296.346203703702</v>
      </c>
      <c r="F16" s="88">
        <v>46296.982824074075</v>
      </c>
      <c r="G16" s="88">
        <v>46297.581099537034</v>
      </c>
      <c r="H16" s="88">
        <v>46297.959814814814</v>
      </c>
      <c r="I16" s="88">
        <v>46298.343356481484</v>
      </c>
      <c r="J16" s="88">
        <v>46298.971736111111</v>
      </c>
      <c r="K16" s="88">
        <v>46299.345231481479</v>
      </c>
      <c r="L16" s="88">
        <v>46299.956793981481</v>
      </c>
      <c r="M16" s="88">
        <v>46300.343923611108</v>
      </c>
      <c r="N16" s="88">
        <v>46300.954247685186</v>
      </c>
      <c r="O16" s="88">
        <v>46301.342731481483</v>
      </c>
      <c r="P16" s="88">
        <v>46301.955601851849</v>
      </c>
      <c r="Q16" s="88">
        <v>46302.342118055552</v>
      </c>
      <c r="R16" s="88">
        <v>46302.955833333333</v>
      </c>
      <c r="S16" s="88">
        <v>46303.342199074075</v>
      </c>
      <c r="T16" s="88">
        <v>46303.972928240742</v>
      </c>
      <c r="U16" s="86" t="s">
        <v>51</v>
      </c>
      <c r="V16" s="86" t="s">
        <v>51</v>
      </c>
      <c r="W16" s="88">
        <v>46305.34306712963</v>
      </c>
      <c r="X16" s="88">
        <v>46305.973483796297</v>
      </c>
      <c r="Y16" s="88">
        <v>46306.341909722221</v>
      </c>
      <c r="Z16" s="88">
        <v>46306.954560185186</v>
      </c>
      <c r="AA16" s="88">
        <v>46307.336122685185</v>
      </c>
      <c r="AB16" s="88">
        <v>46307.957280092596</v>
      </c>
      <c r="AC16" s="88">
        <v>46308.340439814812</v>
      </c>
      <c r="AD16" s="88">
        <v>46308.955393518518</v>
      </c>
      <c r="AE16" s="88">
        <v>46309.34070601852</v>
      </c>
      <c r="AF16" s="88">
        <v>46309.951307870368</v>
      </c>
      <c r="AG16" s="88">
        <v>46310.343576388892</v>
      </c>
      <c r="AH16" s="88">
        <v>46310.981932870367</v>
      </c>
      <c r="AI16" s="70"/>
      <c r="AJ16" s="29">
        <v>11</v>
      </c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63"/>
      <c r="BD16" s="63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7">
        <f t="shared" si="0"/>
        <v>15</v>
      </c>
      <c r="BR16" s="53"/>
      <c r="BS16" s="33">
        <f t="shared" si="13"/>
        <v>14</v>
      </c>
      <c r="BT16" s="34">
        <f t="shared" si="26"/>
        <v>1</v>
      </c>
      <c r="BU16" s="34">
        <f t="shared" si="27"/>
        <v>0</v>
      </c>
      <c r="BV16" s="34">
        <f t="shared" si="28"/>
        <v>0</v>
      </c>
      <c r="BW16" s="34">
        <f t="shared" si="29"/>
        <v>0</v>
      </c>
      <c r="BX16" s="34">
        <f t="shared" si="30"/>
        <v>0</v>
      </c>
      <c r="BY16" s="34">
        <f t="shared" si="31"/>
        <v>0</v>
      </c>
      <c r="BZ16" s="34">
        <f t="shared" si="32"/>
        <v>0</v>
      </c>
      <c r="CA16" s="34">
        <f t="shared" si="33"/>
        <v>0</v>
      </c>
      <c r="CB16" s="34">
        <f t="shared" si="34"/>
        <v>0</v>
      </c>
      <c r="CC16" s="34">
        <f t="shared" si="35"/>
        <v>0</v>
      </c>
      <c r="CD16" s="34">
        <f t="shared" si="36"/>
        <v>0</v>
      </c>
      <c r="CE16" s="35" t="s">
        <v>73</v>
      </c>
      <c r="CH16" s="32">
        <v>0</v>
      </c>
      <c r="CI16" s="29">
        <v>0</v>
      </c>
      <c r="CJ16" s="29">
        <v>20</v>
      </c>
      <c r="CK16" s="29">
        <v>0</v>
      </c>
      <c r="CL16" s="29">
        <v>0</v>
      </c>
      <c r="CM16" s="29">
        <v>2</v>
      </c>
      <c r="CN16" s="29">
        <v>0</v>
      </c>
      <c r="CO16" s="29">
        <v>0</v>
      </c>
      <c r="CP16" s="29">
        <v>0</v>
      </c>
      <c r="CQ16" s="29">
        <v>0</v>
      </c>
      <c r="CR16" s="38">
        <f t="shared" si="12"/>
        <v>22</v>
      </c>
    </row>
    <row r="17" spans="1:96" s="20" customFormat="1" ht="24" customHeight="1" x14ac:dyDescent="0.25">
      <c r="A17" s="29">
        <v>12</v>
      </c>
      <c r="B17" s="34" t="s">
        <v>31</v>
      </c>
      <c r="C17" s="31" t="s">
        <v>32</v>
      </c>
      <c r="D17" s="81">
        <v>44513</v>
      </c>
      <c r="E17" s="88">
        <v>46296.353414351855</v>
      </c>
      <c r="F17" s="88">
        <v>46296.98704861111</v>
      </c>
      <c r="G17" s="86" t="s">
        <v>51</v>
      </c>
      <c r="H17" s="86" t="s">
        <v>51</v>
      </c>
      <c r="I17" s="88">
        <v>46298.354108796295</v>
      </c>
      <c r="J17" s="88">
        <v>46298.97760416667</v>
      </c>
      <c r="K17" s="88">
        <v>46299.353668981479</v>
      </c>
      <c r="L17" s="88">
        <v>46299.962500000001</v>
      </c>
      <c r="M17" s="88">
        <v>46300.353784722225</v>
      </c>
      <c r="N17" s="88">
        <v>46300.961817129632</v>
      </c>
      <c r="O17" s="88">
        <v>0</v>
      </c>
      <c r="P17" s="88">
        <v>46301.959641203706</v>
      </c>
      <c r="Q17" s="88">
        <v>46302.354074074072</v>
      </c>
      <c r="R17" s="88">
        <v>46302.873182870368</v>
      </c>
      <c r="S17" s="88">
        <v>46303.354085648149</v>
      </c>
      <c r="T17" s="88">
        <v>46303.978136574071</v>
      </c>
      <c r="U17" s="88">
        <v>46304.573171296295</v>
      </c>
      <c r="V17" s="88">
        <v>46304.573171296295</v>
      </c>
      <c r="W17" s="88">
        <v>46305.353263888886</v>
      </c>
      <c r="X17" s="88">
        <v>46305.977453703701</v>
      </c>
      <c r="Y17" s="88">
        <v>46306.354212962964</v>
      </c>
      <c r="Z17" s="88">
        <v>46306.959641203706</v>
      </c>
      <c r="AA17" s="88">
        <v>46307.354305555556</v>
      </c>
      <c r="AB17" s="88">
        <v>46307.965104166666</v>
      </c>
      <c r="AC17" s="88">
        <v>46308.354074074072</v>
      </c>
      <c r="AD17" s="88">
        <v>46308.960358796299</v>
      </c>
      <c r="AE17" s="88">
        <v>46309.354629629626</v>
      </c>
      <c r="AF17" s="88">
        <v>46309.961504629631</v>
      </c>
      <c r="AG17" s="88">
        <v>46310.353946759256</v>
      </c>
      <c r="AH17" s="88">
        <v>46310.97142361111</v>
      </c>
      <c r="AI17" s="70"/>
      <c r="AJ17" s="29">
        <v>12</v>
      </c>
      <c r="AK17" s="86" t="s">
        <v>51</v>
      </c>
      <c r="AL17" s="86" t="s">
        <v>51</v>
      </c>
      <c r="AM17" s="88"/>
      <c r="AN17" s="88"/>
      <c r="AO17" s="63"/>
      <c r="AP17" s="63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7">
        <f t="shared" si="0"/>
        <v>16</v>
      </c>
      <c r="BR17" s="53"/>
      <c r="BS17" s="33">
        <f t="shared" si="13"/>
        <v>14</v>
      </c>
      <c r="BT17" s="34">
        <f t="shared" ref="BT17:BT33" si="37">COUNTIF(E17:BP17,"OFF")/2</f>
        <v>2</v>
      </c>
      <c r="BU17" s="34">
        <f t="shared" ref="BU17:BU33" si="38">COUNTIF(E17:BP17,"MC")/2</f>
        <v>0</v>
      </c>
      <c r="BV17" s="34">
        <f t="shared" ref="BV17:BV33" si="39">COUNTIF(E17:BP17,"EL")/2</f>
        <v>0</v>
      </c>
      <c r="BW17" s="34">
        <f t="shared" ref="BW17:BW33" si="40">COUNTIF(E17:BP17,"AL")/2</f>
        <v>0</v>
      </c>
      <c r="BX17" s="34">
        <f t="shared" ref="BX17:BX33" si="41">COUNTIF(E17:BN17,"SUS")/2</f>
        <v>0</v>
      </c>
      <c r="BY17" s="34">
        <f t="shared" ref="BY17:BY33" si="42">COUNTIF(E17:BN17,"FL")/2</f>
        <v>0</v>
      </c>
      <c r="BZ17" s="34">
        <f t="shared" ref="BZ17:BZ33" si="43">COUNTIF(E17:BP17,"SICK")/2</f>
        <v>0</v>
      </c>
      <c r="CA17" s="34">
        <f t="shared" ref="CA17:CA33" si="44">COUNTIF(E17:BN17,"HD")/2</f>
        <v>0</v>
      </c>
      <c r="CB17" s="34">
        <f t="shared" ref="CB17:CB33" si="45">COUNTIF(E17:BN17,"AB")/2</f>
        <v>0</v>
      </c>
      <c r="CC17" s="34">
        <f t="shared" ref="CC17:CC33" si="46">COUNTIF(E17:BN17,"NL")/2</f>
        <v>0</v>
      </c>
      <c r="CD17" s="34">
        <f t="shared" ref="CD17:CD33" si="47">COUNTIF(E17:BN17,"SP")/2</f>
        <v>0</v>
      </c>
      <c r="CE17" s="35" t="s">
        <v>73</v>
      </c>
      <c r="CH17" s="32">
        <v>3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38">
        <f t="shared" si="12"/>
        <v>3</v>
      </c>
    </row>
    <row r="18" spans="1:96" s="20" customFormat="1" ht="24" customHeight="1" x14ac:dyDescent="0.25">
      <c r="A18" s="29">
        <v>13</v>
      </c>
      <c r="B18" s="34" t="s">
        <v>33</v>
      </c>
      <c r="C18" s="31" t="s">
        <v>34</v>
      </c>
      <c r="D18" s="81"/>
      <c r="E18" s="88">
        <v>0</v>
      </c>
      <c r="F18" s="88">
        <v>46296.964918981481</v>
      </c>
      <c r="G18" s="86" t="s">
        <v>51</v>
      </c>
      <c r="H18" s="86" t="s">
        <v>51</v>
      </c>
      <c r="I18" s="88">
        <v>46298.348275462966</v>
      </c>
      <c r="J18" s="88">
        <v>0</v>
      </c>
      <c r="K18" s="88">
        <v>0</v>
      </c>
      <c r="L18" s="88">
        <v>0</v>
      </c>
      <c r="M18" s="88">
        <v>0</v>
      </c>
      <c r="N18" s="88">
        <v>46300.94290509259</v>
      </c>
      <c r="O18" s="88">
        <v>0</v>
      </c>
      <c r="P18" s="88">
        <v>46301.9452662037</v>
      </c>
      <c r="Q18" s="88">
        <v>0</v>
      </c>
      <c r="R18" s="88">
        <v>46302.945381944446</v>
      </c>
      <c r="S18" s="88">
        <v>0</v>
      </c>
      <c r="T18" s="88">
        <v>46303.962141203701</v>
      </c>
      <c r="U18" s="88">
        <v>46304.577222222222</v>
      </c>
      <c r="V18" s="88">
        <v>46304.947395833333</v>
      </c>
      <c r="W18" s="88">
        <v>0</v>
      </c>
      <c r="X18" s="88">
        <v>0</v>
      </c>
      <c r="Y18" s="88">
        <v>0</v>
      </c>
      <c r="Z18" s="88">
        <v>46306.945891203701</v>
      </c>
      <c r="AA18" s="88">
        <v>0</v>
      </c>
      <c r="AB18" s="88">
        <v>46307.95175925926</v>
      </c>
      <c r="AC18" s="88">
        <v>0</v>
      </c>
      <c r="AD18" s="88">
        <v>46308.946400462963</v>
      </c>
      <c r="AE18" s="88">
        <v>0</v>
      </c>
      <c r="AF18" s="88">
        <v>46309.945104166669</v>
      </c>
      <c r="AG18" s="88">
        <v>0</v>
      </c>
      <c r="AH18" s="88">
        <v>46310.967777777776</v>
      </c>
      <c r="AI18" s="70"/>
      <c r="AJ18" s="29">
        <v>13</v>
      </c>
      <c r="AK18" s="86" t="s">
        <v>51</v>
      </c>
      <c r="AL18" s="86" t="s">
        <v>51</v>
      </c>
      <c r="AM18" s="88"/>
      <c r="AN18" s="88"/>
      <c r="AO18" s="63"/>
      <c r="AP18" s="63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93"/>
      <c r="BL18" s="93"/>
      <c r="BM18" s="93"/>
      <c r="BN18" s="93"/>
      <c r="BO18" s="93"/>
      <c r="BP18" s="93"/>
      <c r="BQ18" s="7">
        <f t="shared" si="0"/>
        <v>16</v>
      </c>
      <c r="BR18" s="53"/>
      <c r="BS18" s="33">
        <f t="shared" si="13"/>
        <v>14</v>
      </c>
      <c r="BT18" s="34">
        <f t="shared" si="37"/>
        <v>2</v>
      </c>
      <c r="BU18" s="34">
        <f t="shared" si="38"/>
        <v>0</v>
      </c>
      <c r="BV18" s="34">
        <f t="shared" si="39"/>
        <v>0</v>
      </c>
      <c r="BW18" s="34">
        <f t="shared" si="40"/>
        <v>0</v>
      </c>
      <c r="BX18" s="34">
        <f t="shared" si="41"/>
        <v>0</v>
      </c>
      <c r="BY18" s="34">
        <f t="shared" si="42"/>
        <v>0</v>
      </c>
      <c r="BZ18" s="34">
        <f t="shared" si="43"/>
        <v>0</v>
      </c>
      <c r="CA18" s="34">
        <f t="shared" si="44"/>
        <v>0</v>
      </c>
      <c r="CB18" s="34">
        <f t="shared" si="45"/>
        <v>0</v>
      </c>
      <c r="CC18" s="34">
        <f t="shared" si="46"/>
        <v>0</v>
      </c>
      <c r="CD18" s="34">
        <f t="shared" si="47"/>
        <v>0</v>
      </c>
      <c r="CE18" s="35"/>
      <c r="CH18" s="32">
        <v>0</v>
      </c>
      <c r="CI18" s="29">
        <v>0</v>
      </c>
      <c r="CJ18" s="29">
        <v>0</v>
      </c>
      <c r="CK18" s="29">
        <v>0</v>
      </c>
      <c r="CL18" s="29">
        <v>1</v>
      </c>
      <c r="CM18" s="29">
        <v>4</v>
      </c>
      <c r="CN18" s="29">
        <v>0</v>
      </c>
      <c r="CO18" s="29">
        <v>3</v>
      </c>
      <c r="CP18" s="29">
        <v>0</v>
      </c>
      <c r="CQ18" s="29">
        <v>0</v>
      </c>
      <c r="CR18" s="38">
        <f t="shared" si="12"/>
        <v>8</v>
      </c>
    </row>
    <row r="19" spans="1:96" s="20" customFormat="1" ht="24" customHeight="1" x14ac:dyDescent="0.25">
      <c r="A19" s="29">
        <v>14</v>
      </c>
      <c r="B19" s="34" t="s">
        <v>35</v>
      </c>
      <c r="C19" s="31" t="s">
        <v>36</v>
      </c>
      <c r="D19" s="81">
        <v>44791</v>
      </c>
      <c r="E19" s="88">
        <v>46296.350393518522</v>
      </c>
      <c r="F19" s="88">
        <v>0</v>
      </c>
      <c r="G19" s="88">
        <v>0</v>
      </c>
      <c r="H19" s="88">
        <v>46297.898969907408</v>
      </c>
      <c r="I19" s="88">
        <v>46298.335127314815</v>
      </c>
      <c r="J19" s="88">
        <v>46298.908993055556</v>
      </c>
      <c r="K19" s="88">
        <v>46299.338726851849</v>
      </c>
      <c r="L19" s="88">
        <v>46299.917048611111</v>
      </c>
      <c r="M19" s="88">
        <v>46300.334756944445</v>
      </c>
      <c r="N19" s="88">
        <v>46300.917708333334</v>
      </c>
      <c r="O19" s="88">
        <v>46301.335868055554</v>
      </c>
      <c r="P19" s="88">
        <v>46301.913645833331</v>
      </c>
      <c r="Q19" s="88">
        <v>46302.335451388892</v>
      </c>
      <c r="R19" s="88">
        <v>46302.915706018517</v>
      </c>
      <c r="S19" s="88">
        <v>46303.335150462961</v>
      </c>
      <c r="T19" s="88">
        <v>0</v>
      </c>
      <c r="U19" s="86" t="s">
        <v>51</v>
      </c>
      <c r="V19" s="86" t="s">
        <v>51</v>
      </c>
      <c r="W19" s="88">
        <v>46305.336527777778</v>
      </c>
      <c r="X19" s="88">
        <v>0</v>
      </c>
      <c r="Y19" s="88">
        <v>46306.336273148147</v>
      </c>
      <c r="Z19" s="88">
        <v>46306.907476851855</v>
      </c>
      <c r="AA19" s="88">
        <v>46307.337546296294</v>
      </c>
      <c r="AB19" s="88">
        <v>46307.905729166669</v>
      </c>
      <c r="AC19" s="88">
        <v>46308.336053240739</v>
      </c>
      <c r="AD19" s="88">
        <v>46308.907280092593</v>
      </c>
      <c r="AE19" s="88">
        <v>46309.337476851855</v>
      </c>
      <c r="AF19" s="88">
        <v>46309.901435185187</v>
      </c>
      <c r="AG19" s="88">
        <v>46310.33693287037</v>
      </c>
      <c r="AH19" s="88">
        <v>46310.917511574073</v>
      </c>
      <c r="AI19" s="70"/>
      <c r="AJ19" s="29">
        <v>14</v>
      </c>
      <c r="AK19" s="88"/>
      <c r="AL19" s="88"/>
      <c r="AM19" s="88"/>
      <c r="AN19" s="88"/>
      <c r="AO19" s="63"/>
      <c r="AP19" s="63"/>
      <c r="AQ19" s="88"/>
      <c r="AR19" s="88"/>
      <c r="AS19" s="88"/>
      <c r="AT19" s="88"/>
      <c r="AU19" s="88"/>
      <c r="AV19" s="88"/>
      <c r="AW19" s="88"/>
      <c r="AX19" s="88"/>
      <c r="AY19" s="94"/>
      <c r="AZ19" s="94"/>
      <c r="BA19" s="94"/>
      <c r="BB19" s="94"/>
      <c r="BC19" s="88"/>
      <c r="BD19" s="88"/>
      <c r="BE19" s="88"/>
      <c r="BF19" s="88"/>
      <c r="BG19" s="88"/>
      <c r="BH19" s="88"/>
      <c r="BI19" s="88"/>
      <c r="BJ19" s="88"/>
      <c r="BK19" s="88"/>
      <c r="BL19" s="95"/>
      <c r="BM19" s="96"/>
      <c r="BN19" s="88"/>
      <c r="BO19" s="88"/>
      <c r="BP19" s="88"/>
      <c r="BQ19" s="7">
        <f t="shared" si="0"/>
        <v>15</v>
      </c>
      <c r="BR19" s="53"/>
      <c r="BS19" s="33">
        <f t="shared" si="13"/>
        <v>14</v>
      </c>
      <c r="BT19" s="34">
        <f t="shared" si="37"/>
        <v>1</v>
      </c>
      <c r="BU19" s="34">
        <f t="shared" si="38"/>
        <v>0</v>
      </c>
      <c r="BV19" s="34">
        <f t="shared" si="39"/>
        <v>0</v>
      </c>
      <c r="BW19" s="34">
        <f t="shared" si="40"/>
        <v>0</v>
      </c>
      <c r="BX19" s="34">
        <f t="shared" si="41"/>
        <v>0</v>
      </c>
      <c r="BY19" s="34">
        <f t="shared" si="42"/>
        <v>0</v>
      </c>
      <c r="BZ19" s="34">
        <f t="shared" si="43"/>
        <v>0</v>
      </c>
      <c r="CA19" s="34">
        <f t="shared" si="44"/>
        <v>0</v>
      </c>
      <c r="CB19" s="34">
        <f t="shared" si="45"/>
        <v>0</v>
      </c>
      <c r="CC19" s="34">
        <f t="shared" si="46"/>
        <v>0</v>
      </c>
      <c r="CD19" s="34">
        <f t="shared" si="47"/>
        <v>0</v>
      </c>
      <c r="CE19" s="5"/>
      <c r="CH19" s="32">
        <v>0</v>
      </c>
      <c r="CI19" s="29">
        <v>0</v>
      </c>
      <c r="CJ19" s="29">
        <v>0</v>
      </c>
      <c r="CK19" s="29">
        <v>24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38">
        <f t="shared" si="12"/>
        <v>24</v>
      </c>
    </row>
    <row r="20" spans="1:96" s="20" customFormat="1" ht="24" customHeight="1" x14ac:dyDescent="0.25">
      <c r="A20" s="29">
        <v>15</v>
      </c>
      <c r="B20" s="34" t="s">
        <v>39</v>
      </c>
      <c r="C20" s="31" t="s">
        <v>40</v>
      </c>
      <c r="D20" s="81">
        <v>45491</v>
      </c>
      <c r="E20" s="88">
        <v>46296.355185185188</v>
      </c>
      <c r="F20" s="88">
        <v>0</v>
      </c>
      <c r="G20" s="86" t="s">
        <v>51</v>
      </c>
      <c r="H20" s="86" t="s">
        <v>51</v>
      </c>
      <c r="I20" s="88">
        <v>0</v>
      </c>
      <c r="J20" s="88">
        <v>0</v>
      </c>
      <c r="K20" s="88">
        <v>46299.353819444441</v>
      </c>
      <c r="L20" s="88">
        <v>0</v>
      </c>
      <c r="M20" s="88">
        <v>46300.349780092591</v>
      </c>
      <c r="N20" s="88">
        <v>0</v>
      </c>
      <c r="O20" s="88">
        <v>46301.355057870373</v>
      </c>
      <c r="P20" s="88">
        <v>0</v>
      </c>
      <c r="Q20" s="88">
        <v>46302.354259259257</v>
      </c>
      <c r="R20" s="88">
        <v>0</v>
      </c>
      <c r="S20" s="88">
        <v>46303.355219907404</v>
      </c>
      <c r="T20" s="88">
        <v>0</v>
      </c>
      <c r="U20" s="86" t="s">
        <v>51</v>
      </c>
      <c r="V20" s="86" t="s">
        <v>51</v>
      </c>
      <c r="W20" s="88">
        <v>46305.354027777779</v>
      </c>
      <c r="X20" s="88">
        <v>0</v>
      </c>
      <c r="Y20" s="88">
        <v>46306.354004629633</v>
      </c>
      <c r="Z20" s="88">
        <v>0</v>
      </c>
      <c r="AA20" s="88">
        <v>46307.354108796295</v>
      </c>
      <c r="AB20" s="88">
        <v>0</v>
      </c>
      <c r="AC20" s="88">
        <v>46308.354120370372</v>
      </c>
      <c r="AD20" s="88">
        <v>0</v>
      </c>
      <c r="AE20" s="106" t="s">
        <v>106</v>
      </c>
      <c r="AF20" s="106" t="s">
        <v>106</v>
      </c>
      <c r="AG20" s="88">
        <v>46310.354803240742</v>
      </c>
      <c r="AH20" s="88">
        <v>0</v>
      </c>
      <c r="AI20" s="70"/>
      <c r="AJ20" s="29">
        <v>15</v>
      </c>
      <c r="AK20" s="94"/>
      <c r="AL20" s="94"/>
      <c r="AM20" s="88"/>
      <c r="AN20" s="88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88"/>
      <c r="BC20" s="94"/>
      <c r="BD20" s="94"/>
      <c r="BE20" s="94"/>
      <c r="BF20" s="94"/>
      <c r="BG20" s="94"/>
      <c r="BH20" s="94"/>
      <c r="BI20" s="88"/>
      <c r="BJ20" s="88"/>
      <c r="BK20" s="94"/>
      <c r="BL20" s="95"/>
      <c r="BM20" s="96"/>
      <c r="BN20" s="88"/>
      <c r="BO20" s="88"/>
      <c r="BP20" s="88"/>
      <c r="BQ20" s="7">
        <f t="shared" si="0"/>
        <v>14</v>
      </c>
      <c r="BR20" s="53"/>
      <c r="BS20" s="33">
        <f t="shared" si="13"/>
        <v>12</v>
      </c>
      <c r="BT20" s="34">
        <f t="shared" si="37"/>
        <v>2</v>
      </c>
      <c r="BU20" s="34">
        <f t="shared" si="38"/>
        <v>0</v>
      </c>
      <c r="BV20" s="34">
        <f t="shared" si="39"/>
        <v>0</v>
      </c>
      <c r="BW20" s="34">
        <f t="shared" si="40"/>
        <v>0</v>
      </c>
      <c r="BX20" s="34">
        <f t="shared" si="41"/>
        <v>0</v>
      </c>
      <c r="BY20" s="34">
        <f t="shared" si="42"/>
        <v>0</v>
      </c>
      <c r="BZ20" s="34">
        <f t="shared" si="43"/>
        <v>0</v>
      </c>
      <c r="CA20" s="34">
        <f t="shared" si="44"/>
        <v>0</v>
      </c>
      <c r="CB20" s="34">
        <f t="shared" si="45"/>
        <v>0</v>
      </c>
      <c r="CC20" s="34">
        <f t="shared" si="46"/>
        <v>0</v>
      </c>
      <c r="CD20" s="34">
        <f t="shared" si="47"/>
        <v>0</v>
      </c>
      <c r="CE20" s="35"/>
      <c r="CH20" s="32">
        <v>0</v>
      </c>
      <c r="CI20" s="29">
        <v>11</v>
      </c>
      <c r="CJ20" s="29">
        <v>18</v>
      </c>
      <c r="CK20" s="29">
        <v>0</v>
      </c>
      <c r="CL20" s="29">
        <v>4</v>
      </c>
      <c r="CM20" s="29">
        <v>7</v>
      </c>
      <c r="CN20" s="29">
        <v>0</v>
      </c>
      <c r="CO20" s="29">
        <v>4</v>
      </c>
      <c r="CP20" s="29">
        <v>0</v>
      </c>
      <c r="CQ20" s="29">
        <v>0</v>
      </c>
      <c r="CR20" s="38">
        <f t="shared" si="12"/>
        <v>44</v>
      </c>
    </row>
    <row r="21" spans="1:96" s="20" customFormat="1" ht="24" customHeight="1" x14ac:dyDescent="0.25">
      <c r="A21" s="29">
        <v>16</v>
      </c>
      <c r="B21" s="34" t="s">
        <v>41</v>
      </c>
      <c r="C21" s="31" t="s">
        <v>42</v>
      </c>
      <c r="D21" s="81">
        <v>45509</v>
      </c>
      <c r="E21" s="71" t="s">
        <v>54</v>
      </c>
      <c r="F21" s="71" t="s">
        <v>54</v>
      </c>
      <c r="G21" s="71" t="s">
        <v>54</v>
      </c>
      <c r="H21" s="71" t="s">
        <v>54</v>
      </c>
      <c r="I21" s="71" t="s">
        <v>54</v>
      </c>
      <c r="J21" s="71" t="s">
        <v>54</v>
      </c>
      <c r="K21" s="71" t="s">
        <v>54</v>
      </c>
      <c r="L21" s="71" t="s">
        <v>54</v>
      </c>
      <c r="M21" s="71" t="s">
        <v>54</v>
      </c>
      <c r="N21" s="71" t="s">
        <v>54</v>
      </c>
      <c r="O21" s="71" t="s">
        <v>54</v>
      </c>
      <c r="P21" s="71" t="s">
        <v>54</v>
      </c>
      <c r="Q21" s="71" t="s">
        <v>54</v>
      </c>
      <c r="R21" s="71" t="s">
        <v>54</v>
      </c>
      <c r="S21" s="71" t="s">
        <v>54</v>
      </c>
      <c r="T21" s="71" t="s">
        <v>54</v>
      </c>
      <c r="U21" s="71" t="s">
        <v>54</v>
      </c>
      <c r="V21" s="71" t="s">
        <v>54</v>
      </c>
      <c r="W21" s="71" t="s">
        <v>54</v>
      </c>
      <c r="X21" s="71" t="s">
        <v>54</v>
      </c>
      <c r="Y21" s="71" t="s">
        <v>54</v>
      </c>
      <c r="Z21" s="71" t="s">
        <v>54</v>
      </c>
      <c r="AA21" s="71" t="s">
        <v>54</v>
      </c>
      <c r="AB21" s="71" t="s">
        <v>54</v>
      </c>
      <c r="AC21" s="71" t="s">
        <v>54</v>
      </c>
      <c r="AD21" s="71" t="s">
        <v>54</v>
      </c>
      <c r="AE21" s="71" t="s">
        <v>54</v>
      </c>
      <c r="AF21" s="71" t="s">
        <v>54</v>
      </c>
      <c r="AG21" s="71" t="s">
        <v>54</v>
      </c>
      <c r="AH21" s="71" t="s">
        <v>54</v>
      </c>
      <c r="AI21" s="70"/>
      <c r="AJ21" s="29">
        <v>16</v>
      </c>
      <c r="AK21" s="88"/>
      <c r="AL21" s="88"/>
      <c r="AM21" s="89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7">
        <f t="shared" si="0"/>
        <v>15</v>
      </c>
      <c r="BR21" s="53"/>
      <c r="BS21" s="33">
        <f t="shared" si="13"/>
        <v>0</v>
      </c>
      <c r="BT21" s="34">
        <f t="shared" si="37"/>
        <v>0</v>
      </c>
      <c r="BU21" s="34">
        <f t="shared" si="38"/>
        <v>0</v>
      </c>
      <c r="BV21" s="34">
        <f t="shared" si="39"/>
        <v>0</v>
      </c>
      <c r="BW21" s="34">
        <f t="shared" si="40"/>
        <v>15</v>
      </c>
      <c r="BX21" s="34">
        <f t="shared" si="41"/>
        <v>0</v>
      </c>
      <c r="BY21" s="34">
        <f t="shared" si="42"/>
        <v>0</v>
      </c>
      <c r="BZ21" s="34">
        <f t="shared" si="43"/>
        <v>0</v>
      </c>
      <c r="CA21" s="34">
        <f t="shared" si="44"/>
        <v>0</v>
      </c>
      <c r="CB21" s="34">
        <f t="shared" si="45"/>
        <v>0</v>
      </c>
      <c r="CC21" s="34">
        <f t="shared" si="46"/>
        <v>0</v>
      </c>
      <c r="CD21" s="34">
        <f t="shared" si="47"/>
        <v>0</v>
      </c>
      <c r="CE21" s="35"/>
      <c r="CH21" s="32">
        <v>1</v>
      </c>
      <c r="CI21" s="29">
        <v>0</v>
      </c>
      <c r="CJ21" s="29">
        <v>0</v>
      </c>
      <c r="CK21" s="29">
        <v>0</v>
      </c>
      <c r="CL21" s="29">
        <v>0</v>
      </c>
      <c r="CM21" s="29">
        <v>14</v>
      </c>
      <c r="CN21" s="29">
        <v>0</v>
      </c>
      <c r="CO21" s="29">
        <v>3</v>
      </c>
      <c r="CP21" s="29">
        <v>0</v>
      </c>
      <c r="CQ21" s="29">
        <v>0</v>
      </c>
      <c r="CR21" s="38">
        <f t="shared" si="12"/>
        <v>18</v>
      </c>
    </row>
    <row r="22" spans="1:96" s="20" customFormat="1" ht="24" customHeight="1" x14ac:dyDescent="0.25">
      <c r="A22" s="29">
        <v>17</v>
      </c>
      <c r="B22" s="37" t="s">
        <v>43</v>
      </c>
      <c r="C22" s="31" t="s">
        <v>44</v>
      </c>
      <c r="D22" s="81">
        <v>45566</v>
      </c>
      <c r="E22" s="88">
        <v>46296.374942129631</v>
      </c>
      <c r="F22" s="88">
        <v>0</v>
      </c>
      <c r="G22" s="88">
        <v>46297.584270833337</v>
      </c>
      <c r="H22" s="88">
        <v>0</v>
      </c>
      <c r="I22" s="88">
        <v>46298.388969907406</v>
      </c>
      <c r="J22" s="88">
        <v>0</v>
      </c>
      <c r="K22" s="88">
        <v>46299.369687500002</v>
      </c>
      <c r="L22" s="88">
        <v>46299.838564814818</v>
      </c>
      <c r="M22" s="88">
        <v>0</v>
      </c>
      <c r="N22" s="88">
        <v>0</v>
      </c>
      <c r="O22" s="88">
        <v>46301.373541666668</v>
      </c>
      <c r="P22" s="88">
        <v>46301.725254629629</v>
      </c>
      <c r="Q22" s="88">
        <v>46302.376215277778</v>
      </c>
      <c r="R22" s="88">
        <v>46302.740266203706</v>
      </c>
      <c r="S22" s="86" t="s">
        <v>82</v>
      </c>
      <c r="T22" s="86" t="s">
        <v>82</v>
      </c>
      <c r="U22" s="86" t="s">
        <v>51</v>
      </c>
      <c r="V22" s="86" t="s">
        <v>51</v>
      </c>
      <c r="W22" s="88">
        <v>46305.368391203701</v>
      </c>
      <c r="X22" s="88">
        <v>46305.725312499999</v>
      </c>
      <c r="Y22" s="88">
        <v>46306.380428240744</v>
      </c>
      <c r="Z22" s="88">
        <v>0</v>
      </c>
      <c r="AA22" s="88">
        <v>46307.374236111114</v>
      </c>
      <c r="AB22" s="88">
        <v>0</v>
      </c>
      <c r="AC22" s="88">
        <v>46308.373796296299</v>
      </c>
      <c r="AD22" s="88">
        <v>0</v>
      </c>
      <c r="AE22" s="88">
        <v>46309.374918981484</v>
      </c>
      <c r="AF22" s="88">
        <v>0</v>
      </c>
      <c r="AG22" s="88">
        <v>46310.375300925924</v>
      </c>
      <c r="AH22" s="88">
        <v>0</v>
      </c>
      <c r="AI22" s="70"/>
      <c r="AJ22" s="29">
        <v>17</v>
      </c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63"/>
      <c r="BD22" s="63"/>
      <c r="BE22" s="88"/>
      <c r="BF22" s="88"/>
      <c r="BG22" s="88"/>
      <c r="BH22" s="88"/>
      <c r="BI22" s="88"/>
      <c r="BJ22" s="88"/>
      <c r="BK22" s="88"/>
      <c r="BL22" s="95"/>
      <c r="BM22" s="97"/>
      <c r="BN22" s="88"/>
      <c r="BO22" s="88"/>
      <c r="BP22" s="88"/>
      <c r="BQ22" s="7">
        <f t="shared" si="0"/>
        <v>15</v>
      </c>
      <c r="BR22" s="53"/>
      <c r="BS22" s="33">
        <f t="shared" si="13"/>
        <v>13</v>
      </c>
      <c r="BT22" s="34">
        <f t="shared" si="37"/>
        <v>1</v>
      </c>
      <c r="BU22" s="34">
        <f t="shared" si="38"/>
        <v>0</v>
      </c>
      <c r="BV22" s="34">
        <f t="shared" si="39"/>
        <v>0</v>
      </c>
      <c r="BW22" s="34">
        <f t="shared" si="40"/>
        <v>0</v>
      </c>
      <c r="BX22" s="34">
        <f t="shared" si="41"/>
        <v>0</v>
      </c>
      <c r="BY22" s="34">
        <f t="shared" si="42"/>
        <v>0</v>
      </c>
      <c r="BZ22" s="34">
        <f t="shared" si="43"/>
        <v>1</v>
      </c>
      <c r="CA22" s="34">
        <f t="shared" si="44"/>
        <v>0</v>
      </c>
      <c r="CB22" s="34">
        <f t="shared" si="45"/>
        <v>0</v>
      </c>
      <c r="CC22" s="34">
        <f t="shared" si="46"/>
        <v>0</v>
      </c>
      <c r="CD22" s="34">
        <f t="shared" si="47"/>
        <v>0</v>
      </c>
      <c r="CE22" s="35"/>
      <c r="CH22" s="32">
        <v>0</v>
      </c>
      <c r="CI22" s="29">
        <v>0</v>
      </c>
      <c r="CJ22" s="29">
        <v>30</v>
      </c>
      <c r="CK22" s="29">
        <v>0</v>
      </c>
      <c r="CL22" s="29">
        <v>0</v>
      </c>
      <c r="CM22" s="29">
        <v>5</v>
      </c>
      <c r="CN22" s="29">
        <v>0</v>
      </c>
      <c r="CO22" s="29">
        <v>0</v>
      </c>
      <c r="CP22" s="29">
        <v>0</v>
      </c>
      <c r="CQ22" s="29">
        <v>0</v>
      </c>
      <c r="CR22" s="38">
        <f t="shared" si="12"/>
        <v>35</v>
      </c>
    </row>
    <row r="23" spans="1:96" s="20" customFormat="1" ht="24" customHeight="1" x14ac:dyDescent="0.25">
      <c r="A23" s="29">
        <v>18</v>
      </c>
      <c r="B23" s="37" t="s">
        <v>45</v>
      </c>
      <c r="C23" s="31" t="s">
        <v>46</v>
      </c>
      <c r="D23" s="81">
        <v>45785</v>
      </c>
      <c r="E23" s="88">
        <v>46296.373935185184</v>
      </c>
      <c r="F23" s="88">
        <v>0</v>
      </c>
      <c r="G23" s="88">
        <v>46297.570347222223</v>
      </c>
      <c r="H23" s="88">
        <v>0</v>
      </c>
      <c r="I23" s="88">
        <v>0</v>
      </c>
      <c r="J23" s="88">
        <v>0</v>
      </c>
      <c r="K23" s="88">
        <v>46299.369189814817</v>
      </c>
      <c r="L23" s="88">
        <v>0</v>
      </c>
      <c r="M23" s="88">
        <v>46300.360023148147</v>
      </c>
      <c r="N23" s="88">
        <v>0</v>
      </c>
      <c r="O23" s="88">
        <v>0</v>
      </c>
      <c r="P23" s="88">
        <v>0</v>
      </c>
      <c r="Q23" s="88">
        <v>46302.363749999997</v>
      </c>
      <c r="R23" s="88">
        <v>0</v>
      </c>
      <c r="S23" s="88">
        <v>46303.387395833335</v>
      </c>
      <c r="T23" s="88">
        <v>0</v>
      </c>
      <c r="U23" s="86" t="s">
        <v>51</v>
      </c>
      <c r="V23" s="86" t="s">
        <v>51</v>
      </c>
      <c r="W23" s="88">
        <v>46305.321226851855</v>
      </c>
      <c r="X23" s="88">
        <v>0</v>
      </c>
      <c r="Y23" s="88">
        <v>46306.371377314812</v>
      </c>
      <c r="Z23" s="88">
        <v>0</v>
      </c>
      <c r="AA23" s="88">
        <v>46307.339988425927</v>
      </c>
      <c r="AB23" s="88">
        <v>0</v>
      </c>
      <c r="AC23" s="88">
        <v>46308.336898148147</v>
      </c>
      <c r="AD23" s="88">
        <v>0</v>
      </c>
      <c r="AE23" s="88">
        <v>46309.336782407408</v>
      </c>
      <c r="AF23" s="88">
        <v>0</v>
      </c>
      <c r="AG23" s="88">
        <v>46310.346064814818</v>
      </c>
      <c r="AH23" s="88">
        <v>0</v>
      </c>
      <c r="AI23" s="70"/>
      <c r="AJ23" s="29">
        <v>18</v>
      </c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63"/>
      <c r="BD23" s="63"/>
      <c r="BE23" s="88"/>
      <c r="BF23" s="88"/>
      <c r="BG23" s="88"/>
      <c r="BH23" s="88"/>
      <c r="BI23" s="88"/>
      <c r="BJ23" s="88"/>
      <c r="BK23" s="88"/>
      <c r="BL23" s="95"/>
      <c r="BM23" s="88"/>
      <c r="BN23" s="88"/>
      <c r="BO23" s="88"/>
      <c r="BP23" s="88"/>
      <c r="BQ23" s="7">
        <f>BS23+BT23+BU23+BZ23+BW23+BY23+BX23</f>
        <v>15</v>
      </c>
      <c r="BR23" s="53"/>
      <c r="BS23" s="33">
        <f t="shared" si="13"/>
        <v>14</v>
      </c>
      <c r="BT23" s="34">
        <f t="shared" si="37"/>
        <v>1</v>
      </c>
      <c r="BU23" s="34">
        <f t="shared" si="38"/>
        <v>0</v>
      </c>
      <c r="BV23" s="34">
        <f t="shared" si="39"/>
        <v>0</v>
      </c>
      <c r="BW23" s="34">
        <f t="shared" si="40"/>
        <v>0</v>
      </c>
      <c r="BX23" s="34">
        <f t="shared" si="41"/>
        <v>0</v>
      </c>
      <c r="BY23" s="34">
        <f t="shared" si="42"/>
        <v>0</v>
      </c>
      <c r="BZ23" s="34">
        <f t="shared" si="43"/>
        <v>0</v>
      </c>
      <c r="CA23" s="34">
        <f t="shared" si="44"/>
        <v>0</v>
      </c>
      <c r="CB23" s="34">
        <f t="shared" si="45"/>
        <v>0</v>
      </c>
      <c r="CC23" s="34">
        <f t="shared" si="46"/>
        <v>0</v>
      </c>
      <c r="CD23" s="34">
        <f t="shared" si="47"/>
        <v>0</v>
      </c>
      <c r="CE23" s="35"/>
      <c r="CH23" s="32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38">
        <f t="shared" si="12"/>
        <v>0</v>
      </c>
    </row>
    <row r="24" spans="1:96" s="20" customFormat="1" ht="24" customHeight="1" x14ac:dyDescent="0.25">
      <c r="A24" s="29">
        <v>19</v>
      </c>
      <c r="B24" s="37" t="s">
        <v>47</v>
      </c>
      <c r="C24" s="31" t="s">
        <v>48</v>
      </c>
      <c r="D24" s="81">
        <v>45826</v>
      </c>
      <c r="E24" s="88">
        <v>46296.337534722225</v>
      </c>
      <c r="F24" s="88">
        <v>0</v>
      </c>
      <c r="G24" s="88">
        <v>46297.5780787037</v>
      </c>
      <c r="H24" s="88">
        <v>46297.982199074075</v>
      </c>
      <c r="I24" s="88">
        <v>46298.363657407404</v>
      </c>
      <c r="J24" s="88">
        <v>0</v>
      </c>
      <c r="K24" s="88">
        <v>46299.35056712963</v>
      </c>
      <c r="L24" s="88">
        <v>0</v>
      </c>
      <c r="M24" s="88">
        <v>46300.355555555558</v>
      </c>
      <c r="N24" s="88">
        <v>0</v>
      </c>
      <c r="O24" s="88">
        <v>46301.361388888887</v>
      </c>
      <c r="P24" s="88">
        <v>46301.988310185188</v>
      </c>
      <c r="Q24" s="88">
        <v>46302.337638888886</v>
      </c>
      <c r="R24" s="88">
        <v>0</v>
      </c>
      <c r="S24" s="88">
        <v>46303.324131944442</v>
      </c>
      <c r="T24" s="88">
        <v>0</v>
      </c>
      <c r="U24" s="88">
        <v>46304.586736111109</v>
      </c>
      <c r="V24" s="88">
        <v>0.9868055555555556</v>
      </c>
      <c r="W24" s="88">
        <v>46305.345405092594</v>
      </c>
      <c r="X24" s="88">
        <v>0</v>
      </c>
      <c r="Y24" s="88">
        <v>46306.353796296295</v>
      </c>
      <c r="Z24" s="88">
        <v>0</v>
      </c>
      <c r="AA24" s="88">
        <v>46307.353229166663</v>
      </c>
      <c r="AB24" s="88">
        <v>0</v>
      </c>
      <c r="AC24" s="88">
        <v>46308.353981481479</v>
      </c>
      <c r="AD24" s="88">
        <v>46308.993437500001</v>
      </c>
      <c r="AE24" s="88">
        <v>46309.344155092593</v>
      </c>
      <c r="AF24" s="88">
        <v>46309.982673611114</v>
      </c>
      <c r="AG24" s="88">
        <v>46310.352337962962</v>
      </c>
      <c r="AH24" s="88">
        <v>0</v>
      </c>
      <c r="AI24" s="70"/>
      <c r="AJ24" s="29">
        <v>19</v>
      </c>
      <c r="AK24" s="88"/>
      <c r="AL24" s="88"/>
      <c r="AM24" s="89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98"/>
      <c r="BN24" s="88"/>
      <c r="BO24" s="88"/>
      <c r="BP24" s="88"/>
      <c r="BQ24" s="7">
        <f t="shared" si="0"/>
        <v>15</v>
      </c>
      <c r="BR24" s="53"/>
      <c r="BS24" s="33">
        <f t="shared" si="13"/>
        <v>15</v>
      </c>
      <c r="BT24" s="34">
        <f t="shared" si="37"/>
        <v>0</v>
      </c>
      <c r="BU24" s="34">
        <f t="shared" si="38"/>
        <v>0</v>
      </c>
      <c r="BV24" s="34">
        <f t="shared" si="39"/>
        <v>0</v>
      </c>
      <c r="BW24" s="34">
        <f t="shared" si="40"/>
        <v>0</v>
      </c>
      <c r="BX24" s="34">
        <f t="shared" si="41"/>
        <v>0</v>
      </c>
      <c r="BY24" s="34">
        <f t="shared" si="42"/>
        <v>0</v>
      </c>
      <c r="BZ24" s="34">
        <f t="shared" si="43"/>
        <v>0</v>
      </c>
      <c r="CA24" s="34">
        <f t="shared" si="44"/>
        <v>0</v>
      </c>
      <c r="CB24" s="34">
        <f t="shared" si="45"/>
        <v>0</v>
      </c>
      <c r="CC24" s="34">
        <f t="shared" si="46"/>
        <v>0</v>
      </c>
      <c r="CD24" s="34">
        <f t="shared" si="47"/>
        <v>0</v>
      </c>
      <c r="CE24" s="35"/>
      <c r="CH24" s="32">
        <v>0</v>
      </c>
      <c r="CI24" s="29">
        <v>0</v>
      </c>
      <c r="CJ24" s="29">
        <v>4</v>
      </c>
      <c r="CK24" s="29">
        <v>0</v>
      </c>
      <c r="CL24" s="29">
        <v>10</v>
      </c>
      <c r="CM24" s="29">
        <v>2</v>
      </c>
      <c r="CN24" s="29">
        <v>0</v>
      </c>
      <c r="CO24" s="29">
        <v>0</v>
      </c>
      <c r="CP24" s="29">
        <v>0</v>
      </c>
      <c r="CQ24" s="29">
        <v>0</v>
      </c>
      <c r="CR24" s="38">
        <f t="shared" si="12"/>
        <v>16</v>
      </c>
    </row>
    <row r="25" spans="1:96" s="27" customFormat="1" ht="24" customHeight="1" x14ac:dyDescent="0.25">
      <c r="A25" s="29">
        <v>20</v>
      </c>
      <c r="B25" s="37" t="s">
        <v>79</v>
      </c>
      <c r="C25" s="31" t="s">
        <v>80</v>
      </c>
      <c r="D25" s="81">
        <v>45999</v>
      </c>
      <c r="E25" s="88">
        <v>46296.353217592594</v>
      </c>
      <c r="F25" s="88">
        <v>0</v>
      </c>
      <c r="G25" s="88">
        <v>46297.58284722222</v>
      </c>
      <c r="H25" s="88">
        <v>0</v>
      </c>
      <c r="I25" s="88">
        <v>46298.354687500003</v>
      </c>
      <c r="J25" s="88">
        <v>0</v>
      </c>
      <c r="K25" s="88">
        <v>46299.353333333333</v>
      </c>
      <c r="L25" s="88">
        <v>0</v>
      </c>
      <c r="M25" s="88">
        <v>46300.353483796294</v>
      </c>
      <c r="N25" s="88">
        <v>0</v>
      </c>
      <c r="O25" s="88">
        <v>46301.353530092594</v>
      </c>
      <c r="P25" s="88">
        <v>0</v>
      </c>
      <c r="Q25" s="88">
        <v>46302.353206018517</v>
      </c>
      <c r="R25" s="88">
        <v>0</v>
      </c>
      <c r="S25" s="88">
        <v>46303.352766203701</v>
      </c>
      <c r="T25" s="88">
        <v>0</v>
      </c>
      <c r="U25" s="86" t="s">
        <v>51</v>
      </c>
      <c r="V25" s="86" t="s">
        <v>51</v>
      </c>
      <c r="W25" s="88">
        <v>46305.353078703702</v>
      </c>
      <c r="X25" s="88">
        <v>0</v>
      </c>
      <c r="Y25" s="88">
        <v>46306.35355324074</v>
      </c>
      <c r="Z25" s="88">
        <v>0</v>
      </c>
      <c r="AA25" s="88">
        <v>46307.350914351853</v>
      </c>
      <c r="AB25" s="88">
        <v>0</v>
      </c>
      <c r="AC25" s="88">
        <v>46308.354490740741</v>
      </c>
      <c r="AD25" s="88">
        <v>0</v>
      </c>
      <c r="AE25" s="88">
        <v>46309.353668981479</v>
      </c>
      <c r="AF25" s="88">
        <v>0</v>
      </c>
      <c r="AG25" s="88">
        <v>46310.353784722225</v>
      </c>
      <c r="AH25" s="88">
        <v>0</v>
      </c>
      <c r="AI25" s="70"/>
      <c r="AJ25" s="29">
        <v>20</v>
      </c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63"/>
      <c r="BD25" s="63"/>
      <c r="BE25" s="88"/>
      <c r="BF25" s="88"/>
      <c r="BG25" s="88"/>
      <c r="BH25" s="88"/>
      <c r="BI25" s="88"/>
      <c r="BJ25" s="88"/>
      <c r="BK25" s="88"/>
      <c r="BL25" s="95"/>
      <c r="BM25" s="98"/>
      <c r="BN25" s="88"/>
      <c r="BO25" s="88"/>
      <c r="BP25" s="88"/>
      <c r="BQ25" s="7">
        <f t="shared" si="0"/>
        <v>15</v>
      </c>
      <c r="BR25" s="53"/>
      <c r="BS25" s="33">
        <f t="shared" si="13"/>
        <v>14</v>
      </c>
      <c r="BT25" s="34">
        <f t="shared" si="37"/>
        <v>1</v>
      </c>
      <c r="BU25" s="34">
        <f t="shared" si="38"/>
        <v>0</v>
      </c>
      <c r="BV25" s="34">
        <f t="shared" si="39"/>
        <v>0</v>
      </c>
      <c r="BW25" s="34">
        <f t="shared" si="40"/>
        <v>0</v>
      </c>
      <c r="BX25" s="34">
        <f t="shared" si="41"/>
        <v>0</v>
      </c>
      <c r="BY25" s="34">
        <f t="shared" si="42"/>
        <v>0</v>
      </c>
      <c r="BZ25" s="34">
        <f t="shared" si="43"/>
        <v>0</v>
      </c>
      <c r="CA25" s="34">
        <f t="shared" si="44"/>
        <v>0</v>
      </c>
      <c r="CB25" s="34">
        <f t="shared" si="45"/>
        <v>0</v>
      </c>
      <c r="CC25" s="34">
        <f t="shared" si="46"/>
        <v>0</v>
      </c>
      <c r="CD25" s="34">
        <f t="shared" si="47"/>
        <v>0</v>
      </c>
      <c r="CE25" s="35"/>
      <c r="CH25" s="54">
        <v>0</v>
      </c>
      <c r="CI25" s="55">
        <v>0</v>
      </c>
      <c r="CJ25" s="55">
        <v>0</v>
      </c>
      <c r="CK25" s="55">
        <v>0</v>
      </c>
      <c r="CL25" s="55">
        <v>0</v>
      </c>
      <c r="CM25" s="55">
        <v>2</v>
      </c>
      <c r="CN25" s="55">
        <v>0</v>
      </c>
      <c r="CO25" s="55">
        <v>1</v>
      </c>
      <c r="CP25" s="55">
        <v>0</v>
      </c>
      <c r="CQ25" s="55">
        <v>0</v>
      </c>
      <c r="CR25" s="38">
        <f t="shared" si="12"/>
        <v>3</v>
      </c>
    </row>
    <row r="26" spans="1:96" s="27" customFormat="1" ht="24" customHeight="1" x14ac:dyDescent="0.25">
      <c r="A26" s="29">
        <v>21</v>
      </c>
      <c r="B26" s="37" t="s">
        <v>83</v>
      </c>
      <c r="C26" s="31" t="s">
        <v>84</v>
      </c>
      <c r="D26" s="81">
        <v>46157</v>
      </c>
      <c r="E26" s="88">
        <v>0</v>
      </c>
      <c r="F26" s="88">
        <v>0</v>
      </c>
      <c r="G26" s="88">
        <v>46297.583807870367</v>
      </c>
      <c r="H26" s="88">
        <v>0</v>
      </c>
      <c r="I26" s="88">
        <v>0</v>
      </c>
      <c r="J26" s="88">
        <v>0</v>
      </c>
      <c r="K26" s="71" t="s">
        <v>53</v>
      </c>
      <c r="L26" s="71" t="s">
        <v>53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46302.946655092594</v>
      </c>
      <c r="S26" s="88">
        <v>0</v>
      </c>
      <c r="T26" s="88">
        <v>46303.961967592593</v>
      </c>
      <c r="U26" s="71" t="s">
        <v>53</v>
      </c>
      <c r="V26" s="71" t="s">
        <v>53</v>
      </c>
      <c r="W26" s="71" t="s">
        <v>53</v>
      </c>
      <c r="X26" s="71" t="s">
        <v>53</v>
      </c>
      <c r="Y26" s="71" t="s">
        <v>53</v>
      </c>
      <c r="Z26" s="71" t="s">
        <v>53</v>
      </c>
      <c r="AA26" s="71" t="s">
        <v>53</v>
      </c>
      <c r="AB26" s="71" t="s">
        <v>53</v>
      </c>
      <c r="AC26" s="71" t="s">
        <v>53</v>
      </c>
      <c r="AD26" s="71" t="s">
        <v>53</v>
      </c>
      <c r="AE26" s="71" t="s">
        <v>53</v>
      </c>
      <c r="AF26" s="71" t="s">
        <v>53</v>
      </c>
      <c r="AG26" s="88">
        <v>0</v>
      </c>
      <c r="AH26" s="88">
        <v>46310.967685185184</v>
      </c>
      <c r="AI26" s="70"/>
      <c r="AJ26" s="29">
        <v>21</v>
      </c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63"/>
      <c r="BD26" s="63"/>
      <c r="BE26" s="88"/>
      <c r="BF26" s="88"/>
      <c r="BG26" s="88"/>
      <c r="BH26" s="88"/>
      <c r="BI26" s="88"/>
      <c r="BJ26" s="88"/>
      <c r="BK26" s="88"/>
      <c r="BL26" s="95"/>
      <c r="BM26" s="98"/>
      <c r="BN26" s="88"/>
      <c r="BO26" s="88"/>
      <c r="BP26" s="88"/>
      <c r="BQ26" s="7">
        <f t="shared" si="0"/>
        <v>8</v>
      </c>
      <c r="BR26" s="53"/>
      <c r="BS26" s="33">
        <f t="shared" si="13"/>
        <v>8</v>
      </c>
      <c r="BT26" s="34">
        <f t="shared" si="37"/>
        <v>0</v>
      </c>
      <c r="BU26" s="34">
        <f t="shared" si="38"/>
        <v>0</v>
      </c>
      <c r="BV26" s="34">
        <f t="shared" si="39"/>
        <v>7</v>
      </c>
      <c r="BW26" s="34">
        <f t="shared" si="40"/>
        <v>0</v>
      </c>
      <c r="BX26" s="34">
        <f t="shared" si="41"/>
        <v>0</v>
      </c>
      <c r="BY26" s="34">
        <f t="shared" si="42"/>
        <v>0</v>
      </c>
      <c r="BZ26" s="34">
        <f t="shared" si="43"/>
        <v>0</v>
      </c>
      <c r="CA26" s="34">
        <f t="shared" si="44"/>
        <v>0</v>
      </c>
      <c r="CB26" s="34">
        <f t="shared" si="45"/>
        <v>0</v>
      </c>
      <c r="CC26" s="34">
        <f t="shared" si="46"/>
        <v>0</v>
      </c>
      <c r="CD26" s="34">
        <f t="shared" si="47"/>
        <v>0</v>
      </c>
      <c r="CE26" s="35"/>
      <c r="CH26" s="54">
        <v>0</v>
      </c>
      <c r="CI26" s="55">
        <v>0</v>
      </c>
      <c r="CJ26" s="55">
        <v>0</v>
      </c>
      <c r="CK26" s="55">
        <v>0</v>
      </c>
      <c r="CL26" s="55">
        <v>1</v>
      </c>
      <c r="CM26" s="55">
        <v>1</v>
      </c>
      <c r="CN26" s="55">
        <v>0</v>
      </c>
      <c r="CO26" s="55">
        <v>0</v>
      </c>
      <c r="CP26" s="55">
        <v>0</v>
      </c>
      <c r="CQ26" s="55">
        <v>0</v>
      </c>
      <c r="CR26" s="38">
        <f t="shared" ref="CR26:CR31" si="48">SUM(CH26:CQ26)</f>
        <v>2</v>
      </c>
    </row>
    <row r="27" spans="1:96" s="27" customFormat="1" ht="24" customHeight="1" x14ac:dyDescent="0.25">
      <c r="A27" s="29">
        <v>22</v>
      </c>
      <c r="B27" s="37" t="s">
        <v>88</v>
      </c>
      <c r="C27" s="31" t="s">
        <v>89</v>
      </c>
      <c r="D27" s="81">
        <v>46207</v>
      </c>
      <c r="E27" s="86" t="s">
        <v>82</v>
      </c>
      <c r="F27" s="86" t="s">
        <v>82</v>
      </c>
      <c r="G27" s="86" t="s">
        <v>82</v>
      </c>
      <c r="H27" s="86" t="s">
        <v>82</v>
      </c>
      <c r="I27" s="86" t="s">
        <v>82</v>
      </c>
      <c r="J27" s="86" t="s">
        <v>82</v>
      </c>
      <c r="K27" s="86" t="s">
        <v>82</v>
      </c>
      <c r="L27" s="86" t="s">
        <v>82</v>
      </c>
      <c r="M27" s="88">
        <v>46300.356273148151</v>
      </c>
      <c r="N27" s="88">
        <v>0</v>
      </c>
      <c r="O27" s="88">
        <v>46301.354791666665</v>
      </c>
      <c r="P27" s="88">
        <v>0</v>
      </c>
      <c r="Q27" s="88">
        <v>46302.359456018516</v>
      </c>
      <c r="R27" s="88">
        <v>0</v>
      </c>
      <c r="S27" s="88">
        <v>46303.355856481481</v>
      </c>
      <c r="T27" s="88">
        <v>0</v>
      </c>
      <c r="U27" s="88">
        <v>46304.589456018519</v>
      </c>
      <c r="V27" s="88">
        <v>0.9472222222222223</v>
      </c>
      <c r="W27" s="88">
        <v>0</v>
      </c>
      <c r="X27" s="88">
        <v>46305.973993055559</v>
      </c>
      <c r="Y27" s="88">
        <v>46306.354988425926</v>
      </c>
      <c r="Z27" s="88">
        <v>0</v>
      </c>
      <c r="AA27" s="88">
        <v>46307.360138888886</v>
      </c>
      <c r="AB27" s="88">
        <v>0</v>
      </c>
      <c r="AC27" s="88">
        <v>46308.353518518517</v>
      </c>
      <c r="AD27" s="88">
        <v>0</v>
      </c>
      <c r="AE27" s="88">
        <v>46309.358668981484</v>
      </c>
      <c r="AF27" s="88">
        <v>0</v>
      </c>
      <c r="AG27" s="103" t="s">
        <v>106</v>
      </c>
      <c r="AH27" s="103" t="s">
        <v>106</v>
      </c>
      <c r="AI27" s="70"/>
      <c r="AJ27" s="29">
        <v>22</v>
      </c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63"/>
      <c r="BD27" s="63"/>
      <c r="BE27" s="88"/>
      <c r="BF27" s="88"/>
      <c r="BG27" s="88"/>
      <c r="BH27" s="88"/>
      <c r="BI27" s="88"/>
      <c r="BJ27" s="88"/>
      <c r="BK27" s="88"/>
      <c r="BL27" s="95"/>
      <c r="BM27" s="98"/>
      <c r="BN27" s="88"/>
      <c r="BO27" s="88"/>
      <c r="BP27" s="88"/>
      <c r="BQ27" s="7">
        <f t="shared" si="0"/>
        <v>14</v>
      </c>
      <c r="BR27" s="53"/>
      <c r="BS27" s="33">
        <f t="shared" si="13"/>
        <v>10</v>
      </c>
      <c r="BT27" s="34">
        <f t="shared" si="37"/>
        <v>0</v>
      </c>
      <c r="BU27" s="34">
        <f t="shared" si="38"/>
        <v>0</v>
      </c>
      <c r="BV27" s="34">
        <f t="shared" si="39"/>
        <v>0</v>
      </c>
      <c r="BW27" s="34">
        <f t="shared" si="40"/>
        <v>0</v>
      </c>
      <c r="BX27" s="34">
        <f t="shared" si="41"/>
        <v>0</v>
      </c>
      <c r="BY27" s="34">
        <f t="shared" si="42"/>
        <v>0</v>
      </c>
      <c r="BZ27" s="34">
        <f t="shared" si="43"/>
        <v>4</v>
      </c>
      <c r="CA27" s="34">
        <f t="shared" si="44"/>
        <v>0</v>
      </c>
      <c r="CB27" s="34">
        <f t="shared" si="45"/>
        <v>0</v>
      </c>
      <c r="CC27" s="34">
        <f t="shared" si="46"/>
        <v>0</v>
      </c>
      <c r="CD27" s="34">
        <f t="shared" si="47"/>
        <v>0</v>
      </c>
      <c r="CE27" s="35"/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1</v>
      </c>
      <c r="CN27" s="54">
        <v>0</v>
      </c>
      <c r="CO27" s="54">
        <v>0</v>
      </c>
      <c r="CP27" s="54">
        <v>0</v>
      </c>
      <c r="CQ27" s="54">
        <v>0</v>
      </c>
      <c r="CR27" s="38">
        <f t="shared" si="48"/>
        <v>1</v>
      </c>
    </row>
    <row r="28" spans="1:96" s="27" customFormat="1" ht="24" customHeight="1" x14ac:dyDescent="0.25">
      <c r="A28" s="29">
        <v>23</v>
      </c>
      <c r="B28" s="37" t="s">
        <v>90</v>
      </c>
      <c r="C28" s="31" t="s">
        <v>91</v>
      </c>
      <c r="D28" s="81">
        <v>46211</v>
      </c>
      <c r="E28" s="88">
        <v>46296.345069444447</v>
      </c>
      <c r="F28" s="88">
        <v>46296.994317129633</v>
      </c>
      <c r="G28" s="88">
        <v>46297.578020833331</v>
      </c>
      <c r="H28" s="88">
        <v>46297.958877314813</v>
      </c>
      <c r="I28" s="88">
        <v>46298.349490740744</v>
      </c>
      <c r="J28" s="88">
        <v>46298.996759259258</v>
      </c>
      <c r="K28" s="88">
        <v>46299.351122685184</v>
      </c>
      <c r="L28" s="88">
        <v>46299.929652777777</v>
      </c>
      <c r="M28" s="88">
        <v>46300.337199074071</v>
      </c>
      <c r="N28" s="88">
        <v>0</v>
      </c>
      <c r="O28" s="88">
        <v>46301.345763888887</v>
      </c>
      <c r="P28" s="88">
        <v>0</v>
      </c>
      <c r="Q28" s="88">
        <v>46302.343888888892</v>
      </c>
      <c r="R28" s="88">
        <v>0</v>
      </c>
      <c r="S28" s="88">
        <v>46303.352881944447</v>
      </c>
      <c r="T28" s="88">
        <v>46303.972858796296</v>
      </c>
      <c r="U28" s="86" t="s">
        <v>51</v>
      </c>
      <c r="V28" s="86" t="s">
        <v>51</v>
      </c>
      <c r="W28" s="88">
        <v>46305.334479166668</v>
      </c>
      <c r="X28" s="88">
        <v>46305.976990740739</v>
      </c>
      <c r="Y28" s="88">
        <v>46306.354942129627</v>
      </c>
      <c r="Z28" s="88">
        <v>46306.937337962961</v>
      </c>
      <c r="AA28" s="88">
        <v>46307.350358796299</v>
      </c>
      <c r="AB28" s="88">
        <v>0</v>
      </c>
      <c r="AC28" s="88">
        <v>0</v>
      </c>
      <c r="AD28" s="88">
        <v>46308.984884259262</v>
      </c>
      <c r="AE28" s="88">
        <v>46309.348506944443</v>
      </c>
      <c r="AF28" s="88">
        <v>0</v>
      </c>
      <c r="AG28" s="88">
        <v>46310.346064814818</v>
      </c>
      <c r="AH28" s="88">
        <v>0</v>
      </c>
      <c r="AI28" s="70"/>
      <c r="AJ28" s="29">
        <v>23</v>
      </c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95"/>
      <c r="BM28" s="90"/>
      <c r="BN28" s="88"/>
      <c r="BO28" s="88"/>
      <c r="BP28" s="88"/>
      <c r="BQ28" s="7">
        <f t="shared" si="0"/>
        <v>15</v>
      </c>
      <c r="BR28" s="53"/>
      <c r="BS28" s="33">
        <f t="shared" si="13"/>
        <v>14</v>
      </c>
      <c r="BT28" s="34">
        <f t="shared" si="37"/>
        <v>1</v>
      </c>
      <c r="BU28" s="34">
        <f t="shared" si="38"/>
        <v>0</v>
      </c>
      <c r="BV28" s="34">
        <f t="shared" si="39"/>
        <v>0</v>
      </c>
      <c r="BW28" s="34">
        <f t="shared" si="40"/>
        <v>0</v>
      </c>
      <c r="BX28" s="34">
        <f t="shared" si="41"/>
        <v>0</v>
      </c>
      <c r="BY28" s="34">
        <f t="shared" si="42"/>
        <v>0</v>
      </c>
      <c r="BZ28" s="34">
        <f t="shared" si="43"/>
        <v>0</v>
      </c>
      <c r="CA28" s="34">
        <f t="shared" si="44"/>
        <v>0</v>
      </c>
      <c r="CB28" s="34">
        <f t="shared" si="45"/>
        <v>0</v>
      </c>
      <c r="CC28" s="34">
        <f t="shared" si="46"/>
        <v>0</v>
      </c>
      <c r="CD28" s="34">
        <f t="shared" si="47"/>
        <v>0</v>
      </c>
      <c r="CE28" s="35"/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0</v>
      </c>
      <c r="CN28" s="54">
        <v>0</v>
      </c>
      <c r="CO28" s="54">
        <v>0</v>
      </c>
      <c r="CP28" s="54">
        <v>0</v>
      </c>
      <c r="CQ28" s="54">
        <v>0</v>
      </c>
      <c r="CR28" s="38">
        <f t="shared" si="48"/>
        <v>0</v>
      </c>
    </row>
    <row r="29" spans="1:96" ht="24" customHeight="1" x14ac:dyDescent="0.25">
      <c r="A29" s="29">
        <v>24</v>
      </c>
      <c r="B29" s="37" t="s">
        <v>92</v>
      </c>
      <c r="C29" s="83" t="s">
        <v>93</v>
      </c>
      <c r="D29" s="81">
        <v>46256</v>
      </c>
      <c r="E29" s="88">
        <v>46296.354525462964</v>
      </c>
      <c r="F29" s="88">
        <v>46296.708981481483</v>
      </c>
      <c r="G29" s="88">
        <v>46297.574629629627</v>
      </c>
      <c r="H29" s="88">
        <v>46297.719548611109</v>
      </c>
      <c r="I29" s="87" t="s">
        <v>52</v>
      </c>
      <c r="J29" s="87" t="s">
        <v>52</v>
      </c>
      <c r="K29" s="88">
        <v>46299.392442129632</v>
      </c>
      <c r="L29" s="88">
        <v>0</v>
      </c>
      <c r="M29" s="88">
        <v>46300.354328703703</v>
      </c>
      <c r="N29" s="88">
        <v>46300.731990740744</v>
      </c>
      <c r="O29" s="88">
        <v>46301.356249999997</v>
      </c>
      <c r="P29" s="88">
        <v>46301.714525462965</v>
      </c>
      <c r="Q29" s="88">
        <v>46302.354548611111</v>
      </c>
      <c r="R29" s="88">
        <v>46302.726076388892</v>
      </c>
      <c r="S29" s="88">
        <v>46303.387291666666</v>
      </c>
      <c r="T29" s="88">
        <v>46303.717083333337</v>
      </c>
      <c r="U29" s="86" t="s">
        <v>51</v>
      </c>
      <c r="V29" s="86" t="s">
        <v>51</v>
      </c>
      <c r="W29" s="88">
        <v>46305.358807870369</v>
      </c>
      <c r="X29" s="88">
        <v>46305.712905092594</v>
      </c>
      <c r="Y29" s="86" t="s">
        <v>82</v>
      </c>
      <c r="Z29" s="86" t="s">
        <v>82</v>
      </c>
      <c r="AA29" s="86" t="s">
        <v>82</v>
      </c>
      <c r="AB29" s="86" t="s">
        <v>82</v>
      </c>
      <c r="AC29" s="86" t="s">
        <v>82</v>
      </c>
      <c r="AD29" s="86" t="s">
        <v>82</v>
      </c>
      <c r="AE29" s="88">
        <v>46309.354710648149</v>
      </c>
      <c r="AF29" s="88">
        <v>46309.753252314818</v>
      </c>
      <c r="AG29" s="88">
        <v>46310.353877314818</v>
      </c>
      <c r="AH29" s="88">
        <v>46310.718912037039</v>
      </c>
      <c r="AI29" s="70"/>
      <c r="AJ29" s="29">
        <v>24</v>
      </c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63"/>
      <c r="BD29" s="63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7">
        <f t="shared" si="0"/>
        <v>15</v>
      </c>
      <c r="BR29" s="53"/>
      <c r="BS29" s="33">
        <f t="shared" si="13"/>
        <v>10</v>
      </c>
      <c r="BT29" s="34">
        <f t="shared" si="37"/>
        <v>1</v>
      </c>
      <c r="BU29" s="34">
        <f t="shared" si="38"/>
        <v>1</v>
      </c>
      <c r="BV29" s="34">
        <f t="shared" si="39"/>
        <v>0</v>
      </c>
      <c r="BW29" s="34">
        <f t="shared" si="40"/>
        <v>0</v>
      </c>
      <c r="BX29" s="34">
        <f t="shared" si="41"/>
        <v>0</v>
      </c>
      <c r="BY29" s="34">
        <f t="shared" si="42"/>
        <v>0</v>
      </c>
      <c r="BZ29" s="34">
        <f t="shared" si="43"/>
        <v>3</v>
      </c>
      <c r="CA29" s="34">
        <f t="shared" si="44"/>
        <v>0</v>
      </c>
      <c r="CB29" s="34">
        <f t="shared" si="45"/>
        <v>0</v>
      </c>
      <c r="CC29" s="34">
        <f t="shared" si="46"/>
        <v>0</v>
      </c>
      <c r="CD29" s="34">
        <f t="shared" si="47"/>
        <v>0</v>
      </c>
      <c r="CE29" s="35"/>
      <c r="CF29" s="27"/>
      <c r="CG29" s="27"/>
      <c r="CH29" s="54">
        <v>1</v>
      </c>
      <c r="CI29" s="54">
        <v>0</v>
      </c>
      <c r="CJ29" s="54">
        <v>0</v>
      </c>
      <c r="CK29" s="54">
        <v>0</v>
      </c>
      <c r="CL29" s="54">
        <v>0</v>
      </c>
      <c r="CM29" s="54">
        <v>0</v>
      </c>
      <c r="CN29" s="54">
        <v>0</v>
      </c>
      <c r="CO29" s="54">
        <v>0</v>
      </c>
      <c r="CP29" s="54">
        <v>0</v>
      </c>
      <c r="CQ29" s="54">
        <v>0</v>
      </c>
      <c r="CR29" s="38">
        <f t="shared" si="48"/>
        <v>1</v>
      </c>
    </row>
    <row r="30" spans="1:96" ht="24" customHeight="1" x14ac:dyDescent="0.25">
      <c r="A30" s="29">
        <v>25</v>
      </c>
      <c r="B30" s="37" t="s">
        <v>98</v>
      </c>
      <c r="C30" s="83" t="s">
        <v>99</v>
      </c>
      <c r="D30" s="81">
        <v>46266</v>
      </c>
      <c r="E30" s="88">
        <v>46296.375451388885</v>
      </c>
      <c r="F30" s="88">
        <v>46296.730729166666</v>
      </c>
      <c r="G30" s="86" t="s">
        <v>51</v>
      </c>
      <c r="H30" s="86" t="s">
        <v>51</v>
      </c>
      <c r="I30" s="88">
        <v>46298.415995370371</v>
      </c>
      <c r="J30" s="88">
        <v>46298.745173611111</v>
      </c>
      <c r="K30" s="103" t="s">
        <v>106</v>
      </c>
      <c r="L30" s="103" t="s">
        <v>106</v>
      </c>
      <c r="M30" s="99">
        <v>46300.375949074078</v>
      </c>
      <c r="N30" s="99">
        <v>46300.740046296298</v>
      </c>
      <c r="O30" s="99">
        <v>46301.375428240739</v>
      </c>
      <c r="P30" s="88">
        <v>46301.754687499997</v>
      </c>
      <c r="Q30" s="88">
        <v>46302.376134259262</v>
      </c>
      <c r="R30" s="88">
        <v>46302.73170138889</v>
      </c>
      <c r="S30" s="88">
        <v>46303.376250000001</v>
      </c>
      <c r="T30" s="88">
        <v>46303.728020833332</v>
      </c>
      <c r="U30" s="86" t="s">
        <v>51</v>
      </c>
      <c r="V30" s="86" t="s">
        <v>51</v>
      </c>
      <c r="W30" s="88">
        <v>46305.416886574072</v>
      </c>
      <c r="X30" s="88">
        <v>46305.732928240737</v>
      </c>
      <c r="Y30" s="88">
        <v>46306.37537037037</v>
      </c>
      <c r="Z30" s="88">
        <v>46306.726145833331</v>
      </c>
      <c r="AA30" s="88">
        <v>46307.376967592594</v>
      </c>
      <c r="AB30" s="88">
        <v>46307.728391203702</v>
      </c>
      <c r="AC30" s="86" t="s">
        <v>82</v>
      </c>
      <c r="AD30" s="86" t="s">
        <v>82</v>
      </c>
      <c r="AE30" s="103" t="s">
        <v>106</v>
      </c>
      <c r="AF30" s="103" t="s">
        <v>106</v>
      </c>
      <c r="AG30" s="103" t="s">
        <v>106</v>
      </c>
      <c r="AH30" s="103" t="s">
        <v>106</v>
      </c>
      <c r="AI30" s="70"/>
      <c r="AJ30" s="29">
        <v>25</v>
      </c>
      <c r="AK30" s="86" t="s">
        <v>51</v>
      </c>
      <c r="AL30" s="86" t="s">
        <v>51</v>
      </c>
      <c r="AM30" s="88"/>
      <c r="AN30" s="88"/>
      <c r="AO30" s="63"/>
      <c r="AP30" s="63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63"/>
      <c r="BD30" s="63"/>
      <c r="BE30" s="88"/>
      <c r="BF30" s="88"/>
      <c r="BG30" s="88"/>
      <c r="BH30" s="88"/>
      <c r="BI30" s="88"/>
      <c r="BJ30" s="88"/>
      <c r="BK30" s="88"/>
      <c r="BL30" s="95"/>
      <c r="BM30" s="90"/>
      <c r="BN30" s="88"/>
      <c r="BO30" s="88"/>
      <c r="BP30" s="88"/>
      <c r="BQ30" s="7">
        <f t="shared" si="0"/>
        <v>13</v>
      </c>
      <c r="BR30" s="53"/>
      <c r="BS30" s="33">
        <f t="shared" si="13"/>
        <v>9</v>
      </c>
      <c r="BT30" s="34">
        <f t="shared" si="37"/>
        <v>3</v>
      </c>
      <c r="BU30" s="34">
        <f t="shared" si="38"/>
        <v>0</v>
      </c>
      <c r="BV30" s="34">
        <f t="shared" si="39"/>
        <v>0</v>
      </c>
      <c r="BW30" s="34">
        <f t="shared" si="40"/>
        <v>0</v>
      </c>
      <c r="BX30" s="34">
        <f t="shared" si="41"/>
        <v>0</v>
      </c>
      <c r="BY30" s="34">
        <f t="shared" si="42"/>
        <v>0</v>
      </c>
      <c r="BZ30" s="34">
        <f t="shared" si="43"/>
        <v>1</v>
      </c>
      <c r="CA30" s="34">
        <f t="shared" si="44"/>
        <v>0</v>
      </c>
      <c r="CB30" s="34">
        <f t="shared" si="45"/>
        <v>0</v>
      </c>
      <c r="CC30" s="34">
        <f t="shared" si="46"/>
        <v>0</v>
      </c>
      <c r="CD30" s="34">
        <f t="shared" si="47"/>
        <v>0</v>
      </c>
      <c r="CE30" s="35"/>
      <c r="CF30" s="27"/>
      <c r="CG30" s="27"/>
      <c r="CH30" s="54">
        <v>1</v>
      </c>
      <c r="CI30" s="54">
        <v>0</v>
      </c>
      <c r="CJ30" s="54">
        <v>0</v>
      </c>
      <c r="CK30" s="54">
        <v>0</v>
      </c>
      <c r="CL30" s="54">
        <v>0</v>
      </c>
      <c r="CM30" s="54">
        <v>0</v>
      </c>
      <c r="CN30" s="54">
        <v>0</v>
      </c>
      <c r="CO30" s="54">
        <v>0</v>
      </c>
      <c r="CP30" s="54">
        <v>0</v>
      </c>
      <c r="CQ30" s="54">
        <v>0</v>
      </c>
      <c r="CR30" s="38">
        <f t="shared" si="48"/>
        <v>1</v>
      </c>
    </row>
    <row r="31" spans="1:96" ht="22.5" customHeight="1" x14ac:dyDescent="0.25">
      <c r="A31" s="29">
        <v>26</v>
      </c>
      <c r="B31" s="37" t="s">
        <v>97</v>
      </c>
      <c r="C31" s="83" t="s">
        <v>96</v>
      </c>
      <c r="D31" s="81">
        <v>46271</v>
      </c>
      <c r="E31" s="88">
        <v>46296.342858796299</v>
      </c>
      <c r="F31" s="88">
        <v>46296.974768518521</v>
      </c>
      <c r="G31" s="88" t="s">
        <v>51</v>
      </c>
      <c r="H31" s="88">
        <v>46297.857037037036</v>
      </c>
      <c r="I31" s="88">
        <v>46298.330497685187</v>
      </c>
      <c r="J31" s="88">
        <v>46298.931458333333</v>
      </c>
      <c r="K31" s="86">
        <v>46299.330277777779</v>
      </c>
      <c r="L31" s="86">
        <v>46299.929340277777</v>
      </c>
      <c r="M31" s="88">
        <v>46300.352071759262</v>
      </c>
      <c r="N31" s="88">
        <v>46300.936655092592</v>
      </c>
      <c r="O31" s="88">
        <v>46301.346805555557</v>
      </c>
      <c r="P31" s="88">
        <v>0</v>
      </c>
      <c r="Q31" s="88">
        <v>46302.338240740741</v>
      </c>
      <c r="R31" s="88">
        <v>46302.948611111111</v>
      </c>
      <c r="S31" s="88">
        <v>46303.33866898148</v>
      </c>
      <c r="T31" s="88">
        <v>46303.908819444441</v>
      </c>
      <c r="U31" s="88">
        <v>46304.584548611114</v>
      </c>
      <c r="V31" s="88">
        <v>0.9145833333333333</v>
      </c>
      <c r="W31" s="88">
        <v>46305.346238425926</v>
      </c>
      <c r="X31" s="88">
        <v>0</v>
      </c>
      <c r="Y31" s="88">
        <v>46306.341226851851</v>
      </c>
      <c r="Z31" s="88">
        <v>46306.939016203702</v>
      </c>
      <c r="AA31" s="88">
        <v>46307.346388888887</v>
      </c>
      <c r="AB31" s="88">
        <v>46307.913460648146</v>
      </c>
      <c r="AC31" s="88">
        <v>46308.34306712963</v>
      </c>
      <c r="AD31" s="88">
        <v>46308.920671296299</v>
      </c>
      <c r="AE31" s="88">
        <v>46309.350555555553</v>
      </c>
      <c r="AF31" s="88">
        <v>46309.941030092596</v>
      </c>
      <c r="AG31" s="88">
        <v>46310.34820601852</v>
      </c>
      <c r="AH31" s="88">
        <v>46310.952152777776</v>
      </c>
      <c r="AI31" s="70"/>
      <c r="AJ31" s="29">
        <v>26</v>
      </c>
      <c r="AK31" s="86" t="s">
        <v>51</v>
      </c>
      <c r="AL31" s="86" t="s">
        <v>51</v>
      </c>
      <c r="AM31" s="88"/>
      <c r="AN31" s="88"/>
      <c r="AO31" s="63"/>
      <c r="AP31" s="63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95"/>
      <c r="BM31" s="90"/>
      <c r="BN31" s="88"/>
      <c r="BO31" s="88"/>
      <c r="BP31" s="88"/>
      <c r="BQ31" s="7">
        <f t="shared" si="0"/>
        <v>16</v>
      </c>
      <c r="BR31" s="53"/>
      <c r="BS31" s="33">
        <f t="shared" si="13"/>
        <v>14.5</v>
      </c>
      <c r="BT31" s="34">
        <f t="shared" si="37"/>
        <v>1.5</v>
      </c>
      <c r="BU31" s="34">
        <f t="shared" si="38"/>
        <v>0</v>
      </c>
      <c r="BV31" s="34">
        <f t="shared" si="39"/>
        <v>0</v>
      </c>
      <c r="BW31" s="34">
        <f t="shared" si="40"/>
        <v>0</v>
      </c>
      <c r="BX31" s="34">
        <f t="shared" si="41"/>
        <v>0</v>
      </c>
      <c r="BY31" s="34">
        <f t="shared" si="42"/>
        <v>0</v>
      </c>
      <c r="BZ31" s="34">
        <f t="shared" si="43"/>
        <v>0</v>
      </c>
      <c r="CA31" s="34">
        <f t="shared" si="44"/>
        <v>0</v>
      </c>
      <c r="CB31" s="34">
        <f t="shared" si="45"/>
        <v>0</v>
      </c>
      <c r="CC31" s="34">
        <f t="shared" si="46"/>
        <v>0</v>
      </c>
      <c r="CD31" s="34">
        <f t="shared" si="47"/>
        <v>0</v>
      </c>
      <c r="CE31" s="35"/>
      <c r="CF31" s="27"/>
      <c r="CG31" s="27"/>
      <c r="CH31" s="54">
        <v>1</v>
      </c>
      <c r="CI31" s="54">
        <v>0</v>
      </c>
      <c r="CJ31" s="54">
        <v>0</v>
      </c>
      <c r="CK31" s="54">
        <v>0</v>
      </c>
      <c r="CL31" s="54">
        <v>0</v>
      </c>
      <c r="CM31" s="54">
        <v>0</v>
      </c>
      <c r="CN31" s="54">
        <v>0</v>
      </c>
      <c r="CO31" s="54">
        <v>0</v>
      </c>
      <c r="CP31" s="54">
        <v>0</v>
      </c>
      <c r="CQ31" s="54">
        <v>0</v>
      </c>
      <c r="CR31" s="38">
        <f t="shared" si="48"/>
        <v>1</v>
      </c>
    </row>
    <row r="32" spans="1:96" ht="22.5" customHeight="1" x14ac:dyDescent="0.25">
      <c r="A32" s="29">
        <v>27</v>
      </c>
      <c r="B32" s="37" t="s">
        <v>100</v>
      </c>
      <c r="C32" s="83" t="s">
        <v>101</v>
      </c>
      <c r="D32" s="81">
        <v>46291</v>
      </c>
      <c r="E32" s="88">
        <v>46296.350069444445</v>
      </c>
      <c r="F32" s="88">
        <v>46296.960115740738</v>
      </c>
      <c r="G32" s="88">
        <v>46297.582106481481</v>
      </c>
      <c r="H32" s="88">
        <v>46297.947870370372</v>
      </c>
      <c r="I32" s="88">
        <v>46298.347291666665</v>
      </c>
      <c r="J32" s="88">
        <v>46298.956678240742</v>
      </c>
      <c r="K32" s="88">
        <v>46299.349236111113</v>
      </c>
      <c r="L32" s="88">
        <v>46299.940150462964</v>
      </c>
      <c r="M32" s="88">
        <v>46300.352835648147</v>
      </c>
      <c r="N32" s="88">
        <v>46300.939236111109</v>
      </c>
      <c r="O32" s="86" t="s">
        <v>82</v>
      </c>
      <c r="P32" s="86" t="s">
        <v>82</v>
      </c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70"/>
      <c r="AJ32" s="29">
        <v>27</v>
      </c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  <c r="BF32" s="103"/>
      <c r="BG32" s="103"/>
      <c r="BH32" s="103"/>
      <c r="BI32" s="103"/>
      <c r="BJ32" s="103"/>
      <c r="BK32" s="103"/>
      <c r="BL32" s="104"/>
      <c r="BM32" s="105"/>
      <c r="BN32" s="103"/>
      <c r="BO32" s="103"/>
      <c r="BP32" s="103"/>
      <c r="BQ32" s="7">
        <f t="shared" ref="BQ32" si="49">BS32+BT32+BU32+BZ32+BW32+BY32+BX32</f>
        <v>6</v>
      </c>
      <c r="BR32" s="53"/>
      <c r="BS32" s="33">
        <f t="shared" si="13"/>
        <v>5</v>
      </c>
      <c r="BT32" s="34">
        <f t="shared" si="37"/>
        <v>0</v>
      </c>
      <c r="BU32" s="34">
        <f t="shared" si="38"/>
        <v>0</v>
      </c>
      <c r="BV32" s="34">
        <f t="shared" si="39"/>
        <v>0</v>
      </c>
      <c r="BW32" s="34">
        <f t="shared" si="40"/>
        <v>0</v>
      </c>
      <c r="BX32" s="34">
        <f t="shared" si="41"/>
        <v>0</v>
      </c>
      <c r="BY32" s="34">
        <f t="shared" si="42"/>
        <v>0</v>
      </c>
      <c r="BZ32" s="34">
        <f t="shared" si="43"/>
        <v>1</v>
      </c>
      <c r="CA32" s="34">
        <f t="shared" si="44"/>
        <v>0</v>
      </c>
      <c r="CB32" s="34">
        <f t="shared" si="45"/>
        <v>0</v>
      </c>
      <c r="CC32" s="34">
        <f t="shared" si="46"/>
        <v>0</v>
      </c>
      <c r="CD32" s="34">
        <f t="shared" si="47"/>
        <v>0</v>
      </c>
      <c r="CE32" s="35"/>
      <c r="CF32" s="27"/>
      <c r="CG32" s="27"/>
      <c r="CH32" s="54">
        <v>1</v>
      </c>
      <c r="CI32" s="54">
        <v>0</v>
      </c>
      <c r="CJ32" s="54">
        <v>0</v>
      </c>
      <c r="CK32" s="54">
        <v>0</v>
      </c>
      <c r="CL32" s="54">
        <v>0</v>
      </c>
      <c r="CM32" s="54">
        <v>0</v>
      </c>
      <c r="CN32" s="54">
        <v>0</v>
      </c>
      <c r="CO32" s="54">
        <v>0</v>
      </c>
      <c r="CP32" s="54">
        <v>0</v>
      </c>
      <c r="CQ32" s="54">
        <v>0</v>
      </c>
      <c r="CR32" s="38">
        <f t="shared" ref="CR32" si="50">SUM(CH32:CQ32)</f>
        <v>1</v>
      </c>
    </row>
    <row r="33" spans="1:98" ht="24" customHeight="1" x14ac:dyDescent="0.25">
      <c r="A33" s="29">
        <v>28</v>
      </c>
      <c r="B33" s="37" t="s">
        <v>103</v>
      </c>
      <c r="C33" s="83" t="s">
        <v>104</v>
      </c>
      <c r="D33" s="81">
        <v>46292</v>
      </c>
      <c r="E33" s="88">
        <v>0.375</v>
      </c>
      <c r="F33" s="88">
        <v>0.72916666666666663</v>
      </c>
      <c r="G33" s="86" t="s">
        <v>51</v>
      </c>
      <c r="H33" s="86" t="s">
        <v>51</v>
      </c>
      <c r="I33" s="88">
        <v>0.41666666666666669</v>
      </c>
      <c r="J33" s="88">
        <v>0.20833333333333334</v>
      </c>
      <c r="K33" s="88">
        <v>0.35416666666666669</v>
      </c>
      <c r="L33" s="88">
        <v>46299.738981481481</v>
      </c>
      <c r="M33" s="88">
        <v>46300.374907407408</v>
      </c>
      <c r="N33" s="88">
        <v>46300.729467592595</v>
      </c>
      <c r="O33" s="88">
        <v>46301.374664351853</v>
      </c>
      <c r="P33" s="88">
        <v>46301.729201388887</v>
      </c>
      <c r="Q33" s="88">
        <v>46302.373611111114</v>
      </c>
      <c r="R33" s="88">
        <v>46302.729212962964</v>
      </c>
      <c r="S33" s="88">
        <v>46303.371770833335</v>
      </c>
      <c r="T33" s="88">
        <v>46303.727858796294</v>
      </c>
      <c r="U33" s="86" t="s">
        <v>51</v>
      </c>
      <c r="V33" s="86" t="s">
        <v>51</v>
      </c>
      <c r="W33" s="88">
        <v>46305.417743055557</v>
      </c>
      <c r="X33" s="88">
        <v>46305.729189814818</v>
      </c>
      <c r="Y33" s="88">
        <v>46306.375034722223</v>
      </c>
      <c r="Z33" s="88">
        <v>46306.725810185184</v>
      </c>
      <c r="AA33" s="88">
        <v>46307.376180555555</v>
      </c>
      <c r="AB33" s="88">
        <v>46306.725810185184</v>
      </c>
      <c r="AC33" s="88">
        <v>46308.374085648145</v>
      </c>
      <c r="AD33" s="88">
        <v>46308.728472222225</v>
      </c>
      <c r="AE33" s="88">
        <v>46309.375868055555</v>
      </c>
      <c r="AF33" s="88">
        <v>46309.732974537037</v>
      </c>
      <c r="AG33" s="88">
        <v>46310.373773148145</v>
      </c>
      <c r="AH33" s="88">
        <v>46310.729490740741</v>
      </c>
      <c r="AI33" s="70"/>
      <c r="AJ33" s="29">
        <v>28</v>
      </c>
      <c r="AK33" s="86" t="s">
        <v>51</v>
      </c>
      <c r="AL33" s="86" t="s">
        <v>51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88"/>
      <c r="BF33" s="88"/>
      <c r="BG33" s="88"/>
      <c r="BH33" s="88"/>
      <c r="BI33" s="88"/>
      <c r="BJ33" s="88"/>
      <c r="BK33" s="88"/>
      <c r="BL33" s="95"/>
      <c r="BM33" s="90"/>
      <c r="BN33" s="88"/>
      <c r="BO33" s="88"/>
      <c r="BP33" s="88"/>
      <c r="BQ33" s="7">
        <f t="shared" ref="BQ33" si="51">BS33+BT33+BU33+BZ33+BW33+BY33+BX33</f>
        <v>16</v>
      </c>
      <c r="BR33" s="53"/>
      <c r="BS33" s="33">
        <f t="shared" si="13"/>
        <v>13</v>
      </c>
      <c r="BT33" s="34">
        <f t="shared" si="37"/>
        <v>3</v>
      </c>
      <c r="BU33" s="34">
        <f t="shared" si="38"/>
        <v>0</v>
      </c>
      <c r="BV33" s="34">
        <f t="shared" si="39"/>
        <v>0</v>
      </c>
      <c r="BW33" s="34">
        <f t="shared" si="40"/>
        <v>0</v>
      </c>
      <c r="BX33" s="34">
        <f t="shared" si="41"/>
        <v>0</v>
      </c>
      <c r="BY33" s="34">
        <f t="shared" si="42"/>
        <v>0</v>
      </c>
      <c r="BZ33" s="34">
        <f t="shared" si="43"/>
        <v>0</v>
      </c>
      <c r="CA33" s="34">
        <f t="shared" si="44"/>
        <v>0</v>
      </c>
      <c r="CB33" s="34">
        <f t="shared" si="45"/>
        <v>0</v>
      </c>
      <c r="CC33" s="34">
        <f t="shared" si="46"/>
        <v>0</v>
      </c>
      <c r="CD33" s="34">
        <f t="shared" si="47"/>
        <v>0</v>
      </c>
      <c r="CE33" s="35"/>
      <c r="CF33" s="27"/>
      <c r="CG33" s="27"/>
      <c r="CH33" s="54">
        <v>1</v>
      </c>
      <c r="CI33" s="54">
        <v>0</v>
      </c>
      <c r="CJ33" s="54">
        <v>0</v>
      </c>
      <c r="CK33" s="54">
        <v>0</v>
      </c>
      <c r="CL33" s="54">
        <v>0</v>
      </c>
      <c r="CM33" s="54">
        <v>0</v>
      </c>
      <c r="CN33" s="54">
        <v>0</v>
      </c>
      <c r="CO33" s="54">
        <v>0</v>
      </c>
      <c r="CP33" s="54">
        <v>0</v>
      </c>
      <c r="CQ33" s="54">
        <v>0</v>
      </c>
      <c r="CR33" s="38">
        <f t="shared" ref="CR33" si="52">SUM(CH33:CQ33)</f>
        <v>1</v>
      </c>
    </row>
    <row r="36" spans="1:98" x14ac:dyDescent="0.25"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3" t="s">
        <v>66</v>
      </c>
      <c r="BT36" s="74"/>
      <c r="BU36" s="18"/>
      <c r="BV36" s="18"/>
      <c r="BW36" s="19" t="s">
        <v>51</v>
      </c>
      <c r="BX36" s="20"/>
      <c r="BY36" s="75" t="s">
        <v>67</v>
      </c>
      <c r="BZ36" s="74"/>
      <c r="CA36" s="74"/>
      <c r="CB36" s="13"/>
      <c r="CC36" s="21" t="s">
        <v>57</v>
      </c>
      <c r="CF36" s="52"/>
      <c r="CG36" s="52"/>
    </row>
    <row r="37" spans="1:98" s="52" customFormat="1" ht="27.75" customHeight="1" x14ac:dyDescent="0.25">
      <c r="A37" s="48"/>
      <c r="B37" s="43"/>
      <c r="C37" s="44"/>
      <c r="D37" s="60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8"/>
      <c r="AB37" s="48"/>
      <c r="AC37" s="45"/>
      <c r="AD37" s="45"/>
      <c r="AE37" s="46"/>
      <c r="AF37" s="46"/>
      <c r="AG37" s="46"/>
      <c r="AH37" s="46"/>
      <c r="AI37" s="49"/>
      <c r="AJ37" s="48"/>
      <c r="AK37" s="47"/>
      <c r="AL37" s="47"/>
      <c r="AM37" s="47"/>
      <c r="AN37" s="47" t="s">
        <v>73</v>
      </c>
      <c r="AO37" s="47"/>
      <c r="AP37" s="47"/>
      <c r="AQ37" s="47"/>
      <c r="AR37" s="47"/>
      <c r="AS37" s="47"/>
      <c r="AT37" s="47"/>
      <c r="AU37"/>
      <c r="AV37" s="47"/>
      <c r="AW37" s="47"/>
      <c r="AX37" s="47"/>
      <c r="AY37" s="47"/>
      <c r="AZ37" s="47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50"/>
      <c r="BR37"/>
      <c r="BS37" s="73" t="s">
        <v>68</v>
      </c>
      <c r="BT37" s="74"/>
      <c r="BU37" s="18"/>
      <c r="BV37" s="18"/>
      <c r="BW37" s="19" t="s">
        <v>52</v>
      </c>
      <c r="BX37" s="20"/>
      <c r="BY37" s="76" t="s">
        <v>69</v>
      </c>
      <c r="BZ37" s="77"/>
      <c r="CA37" s="77"/>
      <c r="CB37" s="13"/>
      <c r="CC37" s="21" t="s">
        <v>58</v>
      </c>
      <c r="CD37"/>
      <c r="CE37" s="51"/>
      <c r="CF37"/>
      <c r="CG37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20"/>
      <c r="CS37"/>
      <c r="CT37"/>
    </row>
    <row r="38" spans="1:98" ht="17.25" x14ac:dyDescent="0.25">
      <c r="F38" s="13"/>
      <c r="G38" s="13"/>
      <c r="H38" s="14" t="s">
        <v>63</v>
      </c>
      <c r="I38" s="14"/>
      <c r="J38" s="14"/>
      <c r="K38" s="13"/>
      <c r="L38" s="13"/>
      <c r="M38" s="15"/>
      <c r="P38" s="16"/>
      <c r="Q38" s="14" t="s">
        <v>64</v>
      </c>
      <c r="R38" s="13"/>
      <c r="S38" s="13"/>
      <c r="T38" s="13"/>
      <c r="U38" s="13"/>
      <c r="X38" s="13"/>
      <c r="Y38" s="14" t="s">
        <v>65</v>
      </c>
      <c r="Z38" s="17"/>
      <c r="AA38" s="14"/>
      <c r="AB38" s="17"/>
      <c r="AC38" s="17"/>
      <c r="AD38" s="13"/>
      <c r="AE38" s="13"/>
      <c r="AF38" s="13"/>
      <c r="AG38" s="13"/>
      <c r="AP38" s="13"/>
      <c r="AQ38" s="14" t="s">
        <v>63</v>
      </c>
      <c r="AR38" s="14"/>
      <c r="AS38" s="14"/>
      <c r="AT38" s="13"/>
      <c r="AU38" s="13"/>
      <c r="AV38" s="15"/>
      <c r="AW38" s="119" t="s">
        <v>64</v>
      </c>
      <c r="AX38" s="119"/>
      <c r="AY38" s="119"/>
      <c r="AZ38" s="119"/>
      <c r="BA38" s="119"/>
      <c r="BB38" s="13"/>
      <c r="BC38" s="13"/>
      <c r="BD38" s="13"/>
      <c r="BG38" s="13"/>
      <c r="BH38" s="14" t="s">
        <v>65</v>
      </c>
      <c r="BI38" s="17"/>
      <c r="BS38" s="73" t="s">
        <v>70</v>
      </c>
      <c r="BT38" s="74"/>
      <c r="BU38" s="18"/>
      <c r="BV38" s="18"/>
      <c r="BW38" s="19" t="s">
        <v>53</v>
      </c>
      <c r="BX38" s="20"/>
      <c r="BY38" s="76" t="s">
        <v>71</v>
      </c>
      <c r="BZ38" s="77"/>
      <c r="CA38" s="77"/>
      <c r="CB38" s="13"/>
      <c r="CC38" s="21" t="s">
        <v>59</v>
      </c>
      <c r="CE38" t="s">
        <v>73</v>
      </c>
    </row>
    <row r="39" spans="1:98" ht="18.75" x14ac:dyDescent="0.25">
      <c r="F39" s="68"/>
      <c r="G39" s="13"/>
      <c r="H39" s="13"/>
      <c r="I39" s="13"/>
      <c r="J39" s="13"/>
      <c r="K39" s="13"/>
      <c r="L39" s="13"/>
      <c r="M39" s="13"/>
      <c r="P39" s="13"/>
      <c r="Q39" s="13"/>
      <c r="R39" s="13"/>
      <c r="S39" s="13"/>
      <c r="T39" s="13"/>
      <c r="U39" s="13"/>
      <c r="X39" s="13"/>
      <c r="Y39" s="13"/>
      <c r="Z39" s="13"/>
      <c r="AA39" s="68"/>
      <c r="AB39" s="68"/>
      <c r="AC39" s="13"/>
      <c r="AD39" s="13"/>
      <c r="AE39" s="13"/>
      <c r="AF39" s="13"/>
      <c r="AG39" s="13"/>
      <c r="AP39" s="13"/>
      <c r="AQ39" s="13"/>
      <c r="AR39" s="13"/>
      <c r="AS39" s="13"/>
      <c r="AT39" s="13"/>
      <c r="AU39" s="13"/>
      <c r="AV39" s="13"/>
      <c r="AY39" s="13"/>
      <c r="AZ39" s="13"/>
      <c r="BA39" s="13"/>
      <c r="BB39" s="13"/>
      <c r="BC39" s="13"/>
      <c r="BD39" s="13"/>
      <c r="BG39" s="13"/>
      <c r="BH39" s="13"/>
      <c r="BI39" s="13"/>
    </row>
    <row r="40" spans="1:98" ht="17.25" x14ac:dyDescent="0.25">
      <c r="F40" s="23"/>
      <c r="G40" s="13"/>
      <c r="H40" s="13"/>
      <c r="I40" s="13"/>
      <c r="J40" s="13"/>
      <c r="K40" s="13" t="s">
        <v>73</v>
      </c>
      <c r="L40" s="13"/>
      <c r="M40" s="13"/>
      <c r="P40" s="13"/>
      <c r="Q40" s="13"/>
      <c r="R40" s="13"/>
      <c r="S40" s="13"/>
      <c r="T40" s="13"/>
      <c r="U40" s="13"/>
      <c r="X40" s="13"/>
      <c r="Y40" s="13"/>
      <c r="Z40" s="13"/>
      <c r="AA40" s="13"/>
      <c r="AB40" s="13"/>
      <c r="AC40" s="13"/>
      <c r="AD40" s="20"/>
      <c r="AE40" s="20"/>
      <c r="AF40" s="20"/>
      <c r="AG40" s="20"/>
      <c r="AH40" s="20"/>
      <c r="AI40" s="20"/>
      <c r="AJ40" s="13"/>
      <c r="AK40" s="25"/>
      <c r="AL40" s="25"/>
      <c r="AM40" s="13"/>
      <c r="AN40" s="13"/>
      <c r="AO40" s="13"/>
      <c r="AP40" s="13"/>
      <c r="AQ40" s="13"/>
      <c r="AR40" s="13"/>
      <c r="AS40" s="13"/>
      <c r="AT40" s="13" t="s">
        <v>73</v>
      </c>
      <c r="AU40" s="13"/>
      <c r="AV40" s="13"/>
      <c r="AY40" s="13"/>
      <c r="AZ40" s="13"/>
      <c r="BA40" s="13"/>
      <c r="BB40" s="13"/>
      <c r="BC40" s="13"/>
      <c r="BD40" s="13"/>
      <c r="BG40" s="13"/>
      <c r="BH40" s="13"/>
      <c r="BI40" s="13"/>
    </row>
    <row r="41" spans="1:98" ht="17.25" x14ac:dyDescent="0.25">
      <c r="F41" s="13"/>
      <c r="G41" s="13"/>
      <c r="H41" s="22"/>
      <c r="I41" s="23"/>
      <c r="J41" s="22"/>
      <c r="K41" s="13"/>
      <c r="L41" s="13"/>
      <c r="M41" s="24"/>
      <c r="P41" s="16"/>
      <c r="Q41" s="13"/>
      <c r="R41" s="23"/>
      <c r="S41" s="13"/>
      <c r="T41" s="13"/>
      <c r="U41" s="13"/>
      <c r="X41" s="23"/>
      <c r="Y41" s="13"/>
      <c r="Z41" s="2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22"/>
      <c r="AR41" s="23"/>
      <c r="AS41" s="22"/>
      <c r="AT41" s="13"/>
      <c r="AU41" s="13"/>
      <c r="AV41" s="24"/>
      <c r="AY41" s="16"/>
      <c r="AZ41" s="13"/>
      <c r="BA41" s="23"/>
      <c r="BB41" s="13"/>
      <c r="BC41" s="13"/>
      <c r="BD41" s="13"/>
      <c r="BG41" s="23"/>
      <c r="BH41" s="13"/>
      <c r="BI41" s="23"/>
    </row>
    <row r="42" spans="1:98" ht="17.25" x14ac:dyDescent="0.25">
      <c r="F42" s="13"/>
      <c r="G42" s="107" t="s">
        <v>94</v>
      </c>
      <c r="H42" s="107"/>
      <c r="I42" s="107"/>
      <c r="J42" s="43"/>
      <c r="K42" s="43"/>
      <c r="L42" s="43"/>
      <c r="M42" s="43"/>
      <c r="N42" s="43"/>
      <c r="O42" s="43"/>
      <c r="P42" s="43"/>
      <c r="Q42" s="43" t="s">
        <v>26</v>
      </c>
      <c r="R42" s="43"/>
      <c r="S42" s="43"/>
      <c r="T42" s="43"/>
      <c r="U42" s="43"/>
      <c r="V42" s="43"/>
      <c r="W42" s="43"/>
      <c r="X42" s="43"/>
      <c r="Y42" s="43" t="s">
        <v>72</v>
      </c>
      <c r="Z42" s="4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07" t="s">
        <v>94</v>
      </c>
      <c r="AQ42" s="107"/>
      <c r="AR42" s="107"/>
      <c r="AS42" s="43"/>
      <c r="AT42" s="43"/>
      <c r="AU42" s="43"/>
      <c r="AV42" s="43"/>
      <c r="AW42" s="43"/>
      <c r="AX42" s="43"/>
      <c r="AY42" s="43" t="s">
        <v>26</v>
      </c>
      <c r="AZ42" s="43"/>
      <c r="BA42" s="43"/>
      <c r="BB42" s="43"/>
      <c r="BC42" s="43"/>
      <c r="BD42" s="43"/>
      <c r="BE42" s="43"/>
      <c r="BF42" s="43"/>
      <c r="BG42" s="43"/>
      <c r="BH42" s="43" t="s">
        <v>72</v>
      </c>
      <c r="BI42" s="43"/>
    </row>
    <row r="43" spans="1:98" ht="17.25" x14ac:dyDescent="0.25">
      <c r="G43" s="43"/>
      <c r="H43" s="43" t="s">
        <v>74</v>
      </c>
      <c r="I43" s="43"/>
      <c r="J43" s="43"/>
      <c r="K43" s="43"/>
      <c r="L43" s="43"/>
      <c r="M43" s="43"/>
      <c r="N43" s="43"/>
      <c r="O43" s="43"/>
      <c r="P43" s="43"/>
      <c r="Q43" s="43" t="s">
        <v>75</v>
      </c>
      <c r="R43" s="43"/>
      <c r="S43" s="43"/>
      <c r="T43" s="43"/>
      <c r="U43" s="43"/>
      <c r="V43" s="43"/>
      <c r="W43" s="43"/>
      <c r="X43" s="43"/>
      <c r="Y43" s="43" t="s">
        <v>76</v>
      </c>
      <c r="Z43" s="43"/>
      <c r="AP43" s="43"/>
      <c r="AQ43" s="43" t="s">
        <v>74</v>
      </c>
      <c r="AR43" s="43"/>
      <c r="AS43" s="43"/>
      <c r="AT43" s="43"/>
      <c r="AU43" s="43"/>
      <c r="AV43" s="43"/>
      <c r="AW43" s="43"/>
      <c r="AX43" s="43"/>
      <c r="AY43" s="43" t="s">
        <v>75</v>
      </c>
      <c r="AZ43" s="43"/>
      <c r="BA43" s="43"/>
      <c r="BB43" s="43"/>
      <c r="BC43" s="43"/>
      <c r="BD43" s="43"/>
      <c r="BE43" s="43"/>
      <c r="BF43" s="43"/>
      <c r="BG43" s="43"/>
      <c r="BH43" s="43" t="s">
        <v>76</v>
      </c>
      <c r="BI43" s="43"/>
    </row>
    <row r="45" spans="1:98" ht="21.75" customHeight="1" x14ac:dyDescent="0.25"/>
    <row r="48" spans="1:98" x14ac:dyDescent="0.25">
      <c r="CH48" s="32">
        <v>0</v>
      </c>
      <c r="CI48" s="29">
        <v>0</v>
      </c>
      <c r="CJ48" s="29">
        <v>0</v>
      </c>
      <c r="CK48" s="29">
        <v>0</v>
      </c>
      <c r="CL48" s="29">
        <v>0</v>
      </c>
      <c r="CM48" s="29">
        <v>1</v>
      </c>
      <c r="CN48" s="29">
        <v>0</v>
      </c>
      <c r="CO48" s="29">
        <v>1</v>
      </c>
      <c r="CP48" s="29">
        <v>0</v>
      </c>
      <c r="CQ48" s="29">
        <v>0</v>
      </c>
      <c r="CR48" s="38">
        <f>SUM(CH48:CQ48)</f>
        <v>2</v>
      </c>
    </row>
    <row r="49" spans="86:98" x14ac:dyDescent="0.25">
      <c r="CH49" s="32">
        <v>3</v>
      </c>
      <c r="CI49" s="29">
        <v>0</v>
      </c>
      <c r="CJ49" s="29">
        <v>19</v>
      </c>
      <c r="CK49" s="29">
        <v>0</v>
      </c>
      <c r="CL49" s="29">
        <v>4</v>
      </c>
      <c r="CM49" s="29">
        <v>4</v>
      </c>
      <c r="CN49" s="29">
        <v>0</v>
      </c>
      <c r="CO49" s="29">
        <v>4</v>
      </c>
      <c r="CP49" s="29">
        <v>0</v>
      </c>
      <c r="CQ49" s="29">
        <v>0</v>
      </c>
      <c r="CR49" s="38">
        <f t="shared" ref="CR49" si="53">SUM(CH49:CQ49)</f>
        <v>34</v>
      </c>
    </row>
    <row r="50" spans="86:98" x14ac:dyDescent="0.25">
      <c r="CS50" s="52"/>
      <c r="CT50" s="52"/>
    </row>
  </sheetData>
  <autoFilter ref="A1:CT28" xr:uid="{A5C8E4E3-8F50-4D39-A21D-03A339330479}"/>
  <mergeCells count="74">
    <mergeCell ref="CH4:CR4"/>
    <mergeCell ref="A3:D4"/>
    <mergeCell ref="CH3:CQ3"/>
    <mergeCell ref="BG4:BH4"/>
    <mergeCell ref="BG3:BH3"/>
    <mergeCell ref="BR3:BR5"/>
    <mergeCell ref="BS3:CE3"/>
    <mergeCell ref="BK4:BL4"/>
    <mergeCell ref="BI4:BJ4"/>
    <mergeCell ref="BK3:BL3"/>
    <mergeCell ref="BI3:BJ3"/>
    <mergeCell ref="BQ3:BQ5"/>
    <mergeCell ref="BC4:BD4"/>
    <mergeCell ref="AM4:AN4"/>
    <mergeCell ref="E4:F4"/>
    <mergeCell ref="G4:H4"/>
    <mergeCell ref="AJ2:CE2"/>
    <mergeCell ref="AJ3:AJ5"/>
    <mergeCell ref="AO4:AP4"/>
    <mergeCell ref="AQ4:AR4"/>
    <mergeCell ref="AU3:AV3"/>
    <mergeCell ref="AK3:AL3"/>
    <mergeCell ref="BM4:BN4"/>
    <mergeCell ref="BC3:BD3"/>
    <mergeCell ref="BE3:BF3"/>
    <mergeCell ref="AM3:AN3"/>
    <mergeCell ref="AO3:AP3"/>
    <mergeCell ref="AQ3:AR3"/>
    <mergeCell ref="BA3:BB3"/>
    <mergeCell ref="BE4:BF4"/>
    <mergeCell ref="AS4:AT4"/>
    <mergeCell ref="BA4:BB4"/>
    <mergeCell ref="A2:AH2"/>
    <mergeCell ref="E3:F3"/>
    <mergeCell ref="G3:H3"/>
    <mergeCell ref="S3:T3"/>
    <mergeCell ref="Y3:Z3"/>
    <mergeCell ref="W3:X3"/>
    <mergeCell ref="AG3:AH3"/>
    <mergeCell ref="I3:J3"/>
    <mergeCell ref="U3:V3"/>
    <mergeCell ref="AW3:AX3"/>
    <mergeCell ref="I4:J4"/>
    <mergeCell ref="AE3:AF3"/>
    <mergeCell ref="W4:X4"/>
    <mergeCell ref="Y4:Z4"/>
    <mergeCell ref="AS3:AT3"/>
    <mergeCell ref="S4:T4"/>
    <mergeCell ref="BO3:BP3"/>
    <mergeCell ref="BM3:BN3"/>
    <mergeCell ref="K4:L4"/>
    <mergeCell ref="M3:N3"/>
    <mergeCell ref="O3:P3"/>
    <mergeCell ref="Q3:R3"/>
    <mergeCell ref="K3:L3"/>
    <mergeCell ref="U4:V4"/>
    <mergeCell ref="M4:N4"/>
    <mergeCell ref="O4:P4"/>
    <mergeCell ref="Q4:R4"/>
    <mergeCell ref="AA3:AB3"/>
    <mergeCell ref="AC3:AD3"/>
    <mergeCell ref="AY3:AZ3"/>
    <mergeCell ref="AY4:AZ4"/>
    <mergeCell ref="AA4:AB4"/>
    <mergeCell ref="G42:I42"/>
    <mergeCell ref="BO4:BP4"/>
    <mergeCell ref="AK4:AL4"/>
    <mergeCell ref="AC4:AD4"/>
    <mergeCell ref="AG4:AH4"/>
    <mergeCell ref="AE4:AF4"/>
    <mergeCell ref="AU4:AV4"/>
    <mergeCell ref="AW4:AX4"/>
    <mergeCell ref="AP42:AR42"/>
    <mergeCell ref="AW38:BA38"/>
  </mergeCells>
  <phoneticPr fontId="7" type="noConversion"/>
  <conditionalFormatting sqref="B5">
    <cfRule type="duplicateValues" dxfId="548" priority="15511"/>
  </conditionalFormatting>
  <conditionalFormatting sqref="B6">
    <cfRule type="duplicateValues" dxfId="547" priority="15493"/>
  </conditionalFormatting>
  <conditionalFormatting sqref="B8">
    <cfRule type="duplicateValues" dxfId="546" priority="15498"/>
  </conditionalFormatting>
  <conditionalFormatting sqref="B10 B13 B15:B19">
    <cfRule type="duplicateValues" dxfId="545" priority="18097"/>
  </conditionalFormatting>
  <conditionalFormatting sqref="B11">
    <cfRule type="duplicateValues" dxfId="544" priority="15496"/>
    <cfRule type="duplicateValues" dxfId="543" priority="15500"/>
  </conditionalFormatting>
  <conditionalFormatting sqref="B14 B7">
    <cfRule type="duplicateValues" dxfId="542" priority="17959"/>
  </conditionalFormatting>
  <conditionalFormatting sqref="B20">
    <cfRule type="duplicateValues" dxfId="541" priority="15501"/>
  </conditionalFormatting>
  <conditionalFormatting sqref="B20:B21">
    <cfRule type="duplicateValues" dxfId="540" priority="15494"/>
  </conditionalFormatting>
  <conditionalFormatting sqref="B6:D7 B14:D15">
    <cfRule type="containsText" dxfId="539" priority="15492" operator="containsText" text="AB">
      <formula>NOT(ISERROR(SEARCH("AB",B6)))</formula>
    </cfRule>
  </conditionalFormatting>
  <conditionalFormatting sqref="B8:D8 B10:C19 D10:D29 B20:B21 C20:C29 C30:D33 C37:D37">
    <cfRule type="containsText" dxfId="538" priority="15491" operator="containsText" text="ABST">
      <formula>NOT(ISERROR(SEARCH("ABST",B8)))</formula>
    </cfRule>
  </conditionalFormatting>
  <conditionalFormatting sqref="C1:C1048576">
    <cfRule type="duplicateValues" dxfId="537" priority="18104"/>
  </conditionalFormatting>
  <conditionalFormatting sqref="C12">
    <cfRule type="duplicateValues" dxfId="536" priority="1796"/>
  </conditionalFormatting>
  <conditionalFormatting sqref="C26">
    <cfRule type="duplicateValues" dxfId="535" priority="2998"/>
  </conditionalFormatting>
  <conditionalFormatting sqref="C27">
    <cfRule type="duplicateValues" dxfId="534" priority="18100"/>
  </conditionalFormatting>
  <conditionalFormatting sqref="C28:C33">
    <cfRule type="duplicateValues" dxfId="533" priority="18108"/>
  </conditionalFormatting>
  <conditionalFormatting sqref="C37:D37 C6:C11 C13:C25 D6:D33">
    <cfRule type="duplicateValues" dxfId="532" priority="18101"/>
  </conditionalFormatting>
  <conditionalFormatting sqref="D26:D33">
    <cfRule type="duplicateValues" dxfId="531" priority="18112"/>
  </conditionalFormatting>
  <conditionalFormatting sqref="E37 AK37:AT37 AV37:BP37">
    <cfRule type="containsText" dxfId="530" priority="14924" operator="containsText" text="AB">
      <formula>NOT(ISERROR(SEARCH("AB",E37)))</formula>
    </cfRule>
    <cfRule type="containsText" dxfId="529" priority="14925" operator="containsText" text="AL">
      <formula>NOT(ISERROR(SEARCH("AL",E37)))</formula>
    </cfRule>
    <cfRule type="containsText" dxfId="528" priority="14926" operator="containsText" text="SICK">
      <formula>NOT(ISERROR(SEARCH("SICK",E37)))</formula>
    </cfRule>
    <cfRule type="containsText" dxfId="527" priority="14927" operator="containsText" text="NL">
      <formula>NOT(ISERROR(SEARCH("NL",E37)))</formula>
    </cfRule>
  </conditionalFormatting>
  <conditionalFormatting sqref="E6:F9 I6:T9 W6:AH9">
    <cfRule type="containsText" dxfId="526" priority="1454" operator="containsText" text="SP">
      <formula>NOT(ISERROR(SEARCH("SP",E6)))</formula>
    </cfRule>
    <cfRule type="containsText" dxfId="525" priority="1457" operator="containsText" text="SUS">
      <formula>NOT(ISERROR(SEARCH("SUS",E6)))</formula>
    </cfRule>
    <cfRule type="containsText" dxfId="524" priority="1456" operator="containsText" text="FL">
      <formula>NOT(ISERROR(SEARCH("FL",E6)))</formula>
    </cfRule>
    <cfRule type="containsText" dxfId="523" priority="1455" operator="containsText" text="NL">
      <formula>NOT(ISERROR(SEARCH("NL",E6)))</formula>
    </cfRule>
  </conditionalFormatting>
  <conditionalFormatting sqref="E5:AH5">
    <cfRule type="dataBar" priority="17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expression" priority="17954">
      <formula>AND(ISNUMBER($Z3), ISNUMBER($AA3))</formula>
    </cfRule>
    <cfRule type="cellIs" dxfId="522" priority="17953" operator="equal">
      <formula>"OFF"</formula>
    </cfRule>
    <cfRule type="cellIs" dxfId="521" priority="17952" operator="equal">
      <formula>"AB"</formula>
    </cfRule>
    <cfRule type="cellIs" dxfId="520" priority="17951" operator="equal">
      <formula>"Sick"</formula>
    </cfRule>
    <cfRule type="containsText" dxfId="519" priority="17958" operator="containsText" text="S">
      <formula>NOT(ISERROR(SEARCH("S",#REF!)))</formula>
    </cfRule>
    <cfRule type="containsText" dxfId="518" priority="17957" operator="containsText" text="HD">
      <formula>NOT(ISERROR(SEARCH("HD",#REF!)))</formula>
    </cfRule>
    <cfRule type="containsText" dxfId="517" priority="17956" operator="containsText" text="AB">
      <formula>NOT(ISERROR(SEARCH("AB",#REF!)))</formula>
    </cfRule>
  </conditionalFormatting>
  <conditionalFormatting sqref="G6:H12">
    <cfRule type="containsText" dxfId="516" priority="75" operator="containsText" text="Sick">
      <formula>NOT(ISERROR(SEARCH("Sick",G6)))</formula>
    </cfRule>
    <cfRule type="containsText" dxfId="515" priority="78" operator="containsText" text="OFF">
      <formula>NOT(ISERROR(SEARCH("OFF",G6)))</formula>
    </cfRule>
    <cfRule type="containsText" dxfId="514" priority="77" operator="containsText" text="MC">
      <formula>NOT(ISERROR(SEARCH("MC",G6)))</formula>
    </cfRule>
    <cfRule type="containsText" dxfId="513" priority="74" operator="containsText" text="AB">
      <formula>NOT(ISERROR(SEARCH("AB",G6)))</formula>
    </cfRule>
    <cfRule type="containsText" dxfId="512" priority="76" operator="containsText" text="AL">
      <formula>NOT(ISERROR(SEARCH("AL",G6)))</formula>
    </cfRule>
    <cfRule type="containsText" dxfId="511" priority="65" operator="containsText" text="SP">
      <formula>NOT(ISERROR(SEARCH("SP",G6)))</formula>
    </cfRule>
    <cfRule type="containsText" dxfId="510" priority="66" operator="containsText" text="NL">
      <formula>NOT(ISERROR(SEARCH("NL",G6)))</formula>
    </cfRule>
    <cfRule type="containsText" dxfId="509" priority="67" operator="containsText" text="FL">
      <formula>NOT(ISERROR(SEARCH("FL",G6)))</formula>
    </cfRule>
    <cfRule type="containsText" dxfId="508" priority="68" operator="containsText" text="SUS">
      <formula>NOT(ISERROR(SEARCH("SUS",G6)))</formula>
    </cfRule>
    <cfRule type="containsText" dxfId="507" priority="73" operator="containsText" text="EL">
      <formula>NOT(ISERROR(SEARCH("EL",G6)))</formula>
    </cfRule>
  </conditionalFormatting>
  <conditionalFormatting sqref="I12:N12">
    <cfRule type="containsText" dxfId="506" priority="1550" operator="containsText" text="EL">
      <formula>NOT(ISERROR(SEARCH("EL",I12)))</formula>
    </cfRule>
    <cfRule type="containsText" dxfId="505" priority="1551" operator="containsText" text="AB">
      <formula>NOT(ISERROR(SEARCH("AB",I12)))</formula>
    </cfRule>
    <cfRule type="containsText" dxfId="504" priority="1552" operator="containsText" text="Sick">
      <formula>NOT(ISERROR(SEARCH("Sick",I12)))</formula>
    </cfRule>
    <cfRule type="containsText" dxfId="503" priority="1548" operator="containsText" text="FL">
      <formula>NOT(ISERROR(SEARCH("FL",I12)))</formula>
    </cfRule>
    <cfRule type="containsText" dxfId="502" priority="1547" operator="containsText" text="NL">
      <formula>NOT(ISERROR(SEARCH("NL",I12)))</formula>
    </cfRule>
    <cfRule type="containsText" dxfId="501" priority="1553" operator="containsText" text="AL">
      <formula>NOT(ISERROR(SEARCH("AL",I12)))</formula>
    </cfRule>
    <cfRule type="containsText" dxfId="500" priority="1554" operator="containsText" text="MC">
      <formula>NOT(ISERROR(SEARCH("MC",I12)))</formula>
    </cfRule>
    <cfRule type="containsText" dxfId="499" priority="1555" operator="containsText" text="OFF">
      <formula>NOT(ISERROR(SEARCH("OFF",I12)))</formula>
    </cfRule>
    <cfRule type="containsText" dxfId="498" priority="1546" operator="containsText" text="SP">
      <formula>NOT(ISERROR(SEARCH("SP",I12)))</formula>
    </cfRule>
    <cfRule type="containsText" dxfId="497" priority="1549" operator="containsText" text="SUS">
      <formula>NOT(ISERROR(SEARCH("SUS",I12)))</formula>
    </cfRule>
  </conditionalFormatting>
  <conditionalFormatting sqref="I6:T9 W6:AA9 AG6:AH9 AB8:AF9">
    <cfRule type="containsText" dxfId="496" priority="1459" operator="containsText" text="AB">
      <formula>NOT(ISERROR(SEARCH("AB",I6)))</formula>
    </cfRule>
    <cfRule type="containsText" dxfId="495" priority="1458" operator="containsText" text="EL">
      <formula>NOT(ISERROR(SEARCH("EL",I6)))</formula>
    </cfRule>
  </conditionalFormatting>
  <conditionalFormatting sqref="I6:T9 AG6:AH9 W8:AF9">
    <cfRule type="containsText" dxfId="494" priority="1463" operator="containsText" text="OFF">
      <formula>NOT(ISERROR(SEARCH("OFF",I6)))</formula>
    </cfRule>
    <cfRule type="containsText" dxfId="493" priority="1461" operator="containsText" text="AL">
      <formula>NOT(ISERROR(SEARCH("AL",I6)))</formula>
    </cfRule>
    <cfRule type="containsText" dxfId="492" priority="1460" operator="containsText" text="Sick">
      <formula>NOT(ISERROR(SEARCH("Sick",I6)))</formula>
    </cfRule>
    <cfRule type="containsText" dxfId="491" priority="1462" operator="containsText" text="MC">
      <formula>NOT(ISERROR(SEARCH("MC",I6)))</formula>
    </cfRule>
  </conditionalFormatting>
  <conditionalFormatting sqref="S10:T12 W10:AA12 E11:F12 I11:R12">
    <cfRule type="containsText" dxfId="490" priority="1534" operator="containsText" text="MC">
      <formula>NOT(ISERROR(SEARCH("MC",E10)))</formula>
    </cfRule>
    <cfRule type="containsText" dxfId="489" priority="1535" operator="containsText" text="OFF">
      <formula>NOT(ISERROR(SEARCH("OFF",E10)))</formula>
    </cfRule>
    <cfRule type="containsText" dxfId="488" priority="1533" operator="containsText" text="AL">
      <formula>NOT(ISERROR(SEARCH("AL",E10)))</formula>
    </cfRule>
    <cfRule type="containsText" dxfId="487" priority="1532" operator="containsText" text="Sick">
      <formula>NOT(ISERROR(SEARCH("Sick",E10)))</formula>
    </cfRule>
    <cfRule type="containsText" dxfId="486" priority="1531" operator="containsText" text="AB">
      <formula>NOT(ISERROR(SEARCH("AB",E10)))</formula>
    </cfRule>
    <cfRule type="containsText" dxfId="485" priority="1530" operator="containsText" text="EL">
      <formula>NOT(ISERROR(SEARCH("EL",E10)))</formula>
    </cfRule>
    <cfRule type="containsText" dxfId="484" priority="1529" operator="containsText" text="SUS">
      <formula>NOT(ISERROR(SEARCH("SUS",E10)))</formula>
    </cfRule>
    <cfRule type="containsText" dxfId="483" priority="1528" operator="containsText" text="FL">
      <formula>NOT(ISERROR(SEARCH("FL",E10)))</formula>
    </cfRule>
    <cfRule type="containsText" dxfId="482" priority="1527" operator="containsText" text="NL">
      <formula>NOT(ISERROR(SEARCH("NL",E10)))</formula>
    </cfRule>
  </conditionalFormatting>
  <conditionalFormatting sqref="U6:V12">
    <cfRule type="containsText" dxfId="481" priority="53" operator="containsText" text="FL">
      <formula>NOT(ISERROR(SEARCH("FL",U6)))</formula>
    </cfRule>
    <cfRule type="containsText" dxfId="480" priority="54" operator="containsText" text="SUS">
      <formula>NOT(ISERROR(SEARCH("SUS",U6)))</formula>
    </cfRule>
    <cfRule type="containsText" dxfId="479" priority="59" operator="containsText" text="EL">
      <formula>NOT(ISERROR(SEARCH("EL",U6)))</formula>
    </cfRule>
    <cfRule type="containsText" dxfId="478" priority="60" operator="containsText" text="AB">
      <formula>NOT(ISERROR(SEARCH("AB",U6)))</formula>
    </cfRule>
    <cfRule type="containsText" dxfId="477" priority="61" operator="containsText" text="Sick">
      <formula>NOT(ISERROR(SEARCH("Sick",U6)))</formula>
    </cfRule>
    <cfRule type="containsText" dxfId="476" priority="62" operator="containsText" text="AL">
      <formula>NOT(ISERROR(SEARCH("AL",U6)))</formula>
    </cfRule>
    <cfRule type="containsText" dxfId="475" priority="63" operator="containsText" text="MC">
      <formula>NOT(ISERROR(SEARCH("MC",U6)))</formula>
    </cfRule>
    <cfRule type="containsText" dxfId="474" priority="64" operator="containsText" text="OFF">
      <formula>NOT(ISERROR(SEARCH("OFF",U6)))</formula>
    </cfRule>
    <cfRule type="containsText" dxfId="473" priority="52" operator="containsText" text="NL">
      <formula>NOT(ISERROR(SEARCH("NL",U6)))</formula>
    </cfRule>
    <cfRule type="containsText" dxfId="472" priority="51" operator="containsText" text="SP">
      <formula>NOT(ISERROR(SEARCH("SP",U6)))</formula>
    </cfRule>
  </conditionalFormatting>
  <conditionalFormatting sqref="W10:AA12 S10:T12 E11:F12 I11:R12">
    <cfRule type="containsText" dxfId="471" priority="1526" operator="containsText" text="SP">
      <formula>NOT(ISERROR(SEARCH("SP",E10)))</formula>
    </cfRule>
  </conditionalFormatting>
  <conditionalFormatting sqref="W12:AA12">
    <cfRule type="containsText" dxfId="470" priority="1465" operator="containsText" text="NL">
      <formula>NOT(ISERROR(SEARCH("NL",W12)))</formula>
    </cfRule>
    <cfRule type="containsText" dxfId="469" priority="1466" operator="containsText" text="FL">
      <formula>NOT(ISERROR(SEARCH("FL",W12)))</formula>
    </cfRule>
    <cfRule type="containsText" dxfId="468" priority="1473" operator="containsText" text="OFF">
      <formula>NOT(ISERROR(SEARCH("OFF",W12)))</formula>
    </cfRule>
    <cfRule type="containsText" dxfId="467" priority="1467" operator="containsText" text="SUS">
      <formula>NOT(ISERROR(SEARCH("SUS",W12)))</formula>
    </cfRule>
    <cfRule type="containsText" dxfId="466" priority="1468" operator="containsText" text="EL">
      <formula>NOT(ISERROR(SEARCH("EL",W12)))</formula>
    </cfRule>
    <cfRule type="containsText" dxfId="465" priority="1469" operator="containsText" text="AB">
      <formula>NOT(ISERROR(SEARCH("AB",W12)))</formula>
    </cfRule>
    <cfRule type="containsText" dxfId="464" priority="1472" operator="containsText" text="MC">
      <formula>NOT(ISERROR(SEARCH("MC",W12)))</formula>
    </cfRule>
    <cfRule type="containsText" dxfId="463" priority="1470" operator="containsText" text="Sick">
      <formula>NOT(ISERROR(SEARCH("Sick",W12)))</formula>
    </cfRule>
    <cfRule type="containsText" dxfId="462" priority="1471" operator="containsText" text="AL">
      <formula>NOT(ISERROR(SEARCH("AL",W12)))</formula>
    </cfRule>
    <cfRule type="containsText" dxfId="461" priority="1464" operator="containsText" text="SP">
      <formula>NOT(ISERROR(SEARCH("SP",W12)))</formula>
    </cfRule>
  </conditionalFormatting>
  <conditionalFormatting sqref="W6:AB6 E6:F9">
    <cfRule type="containsText" dxfId="460" priority="1478" operator="containsText" text="EL">
      <formula>NOT(ISERROR(SEARCH("EL",E6)))</formula>
    </cfRule>
    <cfRule type="containsText" dxfId="459" priority="1479" operator="containsText" text="AB">
      <formula>NOT(ISERROR(SEARCH("AB",E6)))</formula>
    </cfRule>
  </conditionalFormatting>
  <conditionalFormatting sqref="W37:AH37">
    <cfRule type="containsText" dxfId="458" priority="14579" operator="containsText" text="AB">
      <formula>NOT(ISERROR(SEARCH("AB",W37)))</formula>
    </cfRule>
    <cfRule type="containsText" dxfId="457" priority="14580" operator="containsText" text="AL">
      <formula>NOT(ISERROR(SEARCH("AL",W37)))</formula>
    </cfRule>
    <cfRule type="containsText" dxfId="456" priority="14582" operator="containsText" text="NL">
      <formula>NOT(ISERROR(SEARCH("NL",W37)))</formula>
    </cfRule>
    <cfRule type="containsText" dxfId="455" priority="14581" operator="containsText" text="SICK">
      <formula>NOT(ISERROR(SEARCH("SICK",W37)))</formula>
    </cfRule>
  </conditionalFormatting>
  <conditionalFormatting sqref="AA37:AB37">
    <cfRule type="containsText" dxfId="454" priority="14619" stopIfTrue="1" operator="containsText" text="AL">
      <formula>NOT(ISERROR(SEARCH("AL",AA37)))</formula>
    </cfRule>
    <cfRule type="containsText" dxfId="453" priority="14621" stopIfTrue="1" operator="containsText" text="SICK">
      <formula>NOT(ISERROR(SEARCH("SICK",AA37)))</formula>
    </cfRule>
    <cfRule type="containsText" dxfId="452" priority="14620" stopIfTrue="1" operator="containsText" text="SP">
      <formula>NOT(ISERROR(SEARCH("SP",AA37)))</formula>
    </cfRule>
  </conditionalFormatting>
  <conditionalFormatting sqref="AB6 W6:AA7 E6:F9">
    <cfRule type="containsText" dxfId="451" priority="1483" operator="containsText" text="OFF">
      <formula>NOT(ISERROR(SEARCH("OFF",E6)))</formula>
    </cfRule>
    <cfRule type="containsText" dxfId="450" priority="1481" operator="containsText" text="AL">
      <formula>NOT(ISERROR(SEARCH("AL",E6)))</formula>
    </cfRule>
    <cfRule type="containsText" dxfId="449" priority="1480" operator="containsText" text="Sick">
      <formula>NOT(ISERROR(SEARCH("Sick",E6)))</formula>
    </cfRule>
    <cfRule type="containsText" dxfId="448" priority="1482" operator="containsText" text="MC">
      <formula>NOT(ISERROR(SEARCH("MC",E6)))</formula>
    </cfRule>
  </conditionalFormatting>
  <conditionalFormatting sqref="AB6:AF7">
    <cfRule type="containsText" dxfId="447" priority="2405" operator="containsText" text="MC">
      <formula>NOT(ISERROR(SEARCH("MC",AB6)))</formula>
    </cfRule>
    <cfRule type="containsText" dxfId="446" priority="2406" operator="containsText" text="OFF">
      <formula>NOT(ISERROR(SEARCH("OFF",AB6)))</formula>
    </cfRule>
    <cfRule type="containsText" dxfId="445" priority="2403" operator="containsText" text="Sick">
      <formula>NOT(ISERROR(SEARCH("Sick",AB6)))</formula>
    </cfRule>
    <cfRule type="containsText" dxfId="444" priority="2402" operator="containsText" text="AB">
      <formula>NOT(ISERROR(SEARCH("AB",AB6)))</formula>
    </cfRule>
    <cfRule type="containsText" dxfId="443" priority="2401" operator="containsText" text="EL">
      <formula>NOT(ISERROR(SEARCH("EL",AB6)))</formula>
    </cfRule>
    <cfRule type="containsText" dxfId="442" priority="2404" operator="containsText" text="AL">
      <formula>NOT(ISERROR(SEARCH("AL",AB6)))</formula>
    </cfRule>
  </conditionalFormatting>
  <conditionalFormatting sqref="AB6:AH7">
    <cfRule type="containsText" dxfId="441" priority="2971" operator="containsText" text="EL">
      <formula>NOT(ISERROR(SEARCH("EL",AB6)))</formula>
    </cfRule>
    <cfRule type="containsText" dxfId="440" priority="2972" operator="containsText" text="AB">
      <formula>NOT(ISERROR(SEARCH("AB",AB6)))</formula>
    </cfRule>
    <cfRule type="containsText" dxfId="439" priority="2975" operator="containsText" text="MC">
      <formula>NOT(ISERROR(SEARCH("MC",AB6)))</formula>
    </cfRule>
    <cfRule type="containsText" dxfId="438" priority="2974" operator="containsText" text="AL">
      <formula>NOT(ISERROR(SEARCH("AL",AB6)))</formula>
    </cfRule>
    <cfRule type="containsText" dxfId="437" priority="2973" operator="containsText" text="Sick">
      <formula>NOT(ISERROR(SEARCH("Sick",AB6)))</formula>
    </cfRule>
    <cfRule type="containsText" dxfId="436" priority="2976" operator="containsText" text="OFF">
      <formula>NOT(ISERROR(SEARCH("OFF",AB6)))</formula>
    </cfRule>
  </conditionalFormatting>
  <conditionalFormatting sqref="AB11:AH12">
    <cfRule type="containsText" dxfId="435" priority="1408" operator="containsText" text="EL">
      <formula>NOT(ISERROR(SEARCH("EL",AB11)))</formula>
    </cfRule>
    <cfRule type="containsText" dxfId="434" priority="1407" operator="containsText" text="SUS">
      <formula>NOT(ISERROR(SEARCH("SUS",AB11)))</formula>
    </cfRule>
    <cfRule type="containsText" dxfId="433" priority="1406" operator="containsText" text="FL">
      <formula>NOT(ISERROR(SEARCH("FL",AB11)))</formula>
    </cfRule>
    <cfRule type="containsText" dxfId="432" priority="1405" operator="containsText" text="NL">
      <formula>NOT(ISERROR(SEARCH("NL",AB11)))</formula>
    </cfRule>
    <cfRule type="containsText" dxfId="431" priority="1409" operator="containsText" text="AB">
      <formula>NOT(ISERROR(SEARCH("AB",AB11)))</formula>
    </cfRule>
    <cfRule type="containsText" dxfId="430" priority="1411" operator="containsText" text="AL">
      <formula>NOT(ISERROR(SEARCH("AL",AB11)))</formula>
    </cfRule>
    <cfRule type="containsText" dxfId="429" priority="1410" operator="containsText" text="Sick">
      <formula>NOT(ISERROR(SEARCH("Sick",AB11)))</formula>
    </cfRule>
    <cfRule type="containsText" dxfId="428" priority="1404" operator="containsText" text="SP">
      <formula>NOT(ISERROR(SEARCH("SP",AB11)))</formula>
    </cfRule>
    <cfRule type="containsText" dxfId="427" priority="1413" operator="containsText" text="OFF">
      <formula>NOT(ISERROR(SEARCH("OFF",AB11)))</formula>
    </cfRule>
    <cfRule type="containsText" dxfId="426" priority="1412" operator="containsText" text="MC">
      <formula>NOT(ISERROR(SEARCH("MC",AB11)))</formula>
    </cfRule>
  </conditionalFormatting>
  <conditionalFormatting sqref="AI6:AJ33 BE11:BF11">
    <cfRule type="containsText" dxfId="425" priority="1587" operator="containsText" text="NL">
      <formula>NOT(ISERROR(SEARCH("NL",AI6)))</formula>
    </cfRule>
    <cfRule type="containsText" dxfId="424" priority="1588" operator="containsText" text="FL">
      <formula>NOT(ISERROR(SEARCH("FL",AI6)))</formula>
    </cfRule>
    <cfRule type="containsText" dxfId="423" priority="1589" operator="containsText" text="SUS">
      <formula>NOT(ISERROR(SEARCH("SUS",AI6)))</formula>
    </cfRule>
    <cfRule type="containsText" dxfId="422" priority="1592" operator="containsText" text="Sick">
      <formula>NOT(ISERROR(SEARCH("Sick",AI6)))</formula>
    </cfRule>
    <cfRule type="containsText" dxfId="421" priority="1593" operator="containsText" text="AL">
      <formula>NOT(ISERROR(SEARCH("AL",AI6)))</formula>
    </cfRule>
    <cfRule type="containsText" dxfId="420" priority="1590" operator="containsText" text="EL">
      <formula>NOT(ISERROR(SEARCH("EL",AI6)))</formula>
    </cfRule>
    <cfRule type="containsText" dxfId="419" priority="1594" operator="containsText" text="MC">
      <formula>NOT(ISERROR(SEARCH("MC",AI6)))</formula>
    </cfRule>
    <cfRule type="containsText" dxfId="418" priority="1591" operator="containsText" text="AB">
      <formula>NOT(ISERROR(SEARCH("AB",AI6)))</formula>
    </cfRule>
    <cfRule type="containsText" dxfId="417" priority="1595" operator="containsText" text="OFF">
      <formula>NOT(ISERROR(SEARCH("OFF",AI6)))</formula>
    </cfRule>
  </conditionalFormatting>
  <conditionalFormatting sqref="AK5:AL5">
    <cfRule type="dataBar" priority="15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6:AL12">
    <cfRule type="containsText" dxfId="416" priority="43" operator="containsText" text="FL">
      <formula>NOT(ISERROR(SEARCH("FL",AK6)))</formula>
    </cfRule>
    <cfRule type="containsText" dxfId="415" priority="44" operator="containsText" text="SUS">
      <formula>NOT(ISERROR(SEARCH("SUS",AK6)))</formula>
    </cfRule>
    <cfRule type="containsText" dxfId="414" priority="45" operator="containsText" text="EL">
      <formula>NOT(ISERROR(SEARCH("EL",AK6)))</formula>
    </cfRule>
    <cfRule type="containsText" dxfId="413" priority="46" operator="containsText" text="AB">
      <formula>NOT(ISERROR(SEARCH("AB",AK6)))</formula>
    </cfRule>
    <cfRule type="containsText" dxfId="412" priority="47" operator="containsText" text="Sick">
      <formula>NOT(ISERROR(SEARCH("Sick",AK6)))</formula>
    </cfRule>
    <cfRule type="containsText" dxfId="411" priority="48" operator="containsText" text="AL">
      <formula>NOT(ISERROR(SEARCH("AL",AK6)))</formula>
    </cfRule>
    <cfRule type="containsText" dxfId="410" priority="49" operator="containsText" text="MC">
      <formula>NOT(ISERROR(SEARCH("MC",AK6)))</formula>
    </cfRule>
    <cfRule type="containsText" dxfId="409" priority="50" operator="containsText" text="OFF">
      <formula>NOT(ISERROR(SEARCH("OFF",AK6)))</formula>
    </cfRule>
    <cfRule type="containsText" dxfId="408" priority="41" operator="containsText" text="SP">
      <formula>NOT(ISERROR(SEARCH("SP",AK6)))</formula>
    </cfRule>
    <cfRule type="containsText" dxfId="407" priority="42" operator="containsText" text="NL">
      <formula>NOT(ISERROR(SEARCH("NL",AK6)))</formula>
    </cfRule>
  </conditionalFormatting>
  <conditionalFormatting sqref="AK6:AQ12">
    <cfRule type="containsText" dxfId="406" priority="358" operator="containsText" text="OFF">
      <formula>NOT(ISERROR(SEARCH("OFF",AK6)))</formula>
    </cfRule>
    <cfRule type="containsText" dxfId="405" priority="345" operator="containsText" text="FL">
      <formula>NOT(ISERROR(SEARCH("FL",AK6)))</formula>
    </cfRule>
    <cfRule type="containsText" dxfId="404" priority="343" operator="containsText" text="SP">
      <formula>NOT(ISERROR(SEARCH("SP",AK6)))</formula>
    </cfRule>
    <cfRule type="containsText" dxfId="403" priority="344" operator="containsText" text="NL">
      <formula>NOT(ISERROR(SEARCH("NL",AK6)))</formula>
    </cfRule>
    <cfRule type="containsText" dxfId="402" priority="346" operator="containsText" text="SUS">
      <formula>NOT(ISERROR(SEARCH("SUS",AK6)))</formula>
    </cfRule>
    <cfRule type="containsText" dxfId="401" priority="353" operator="containsText" text="EL">
      <formula>NOT(ISERROR(SEARCH("EL",AK6)))</formula>
    </cfRule>
    <cfRule type="containsText" dxfId="400" priority="354" operator="containsText" text="AB">
      <formula>NOT(ISERROR(SEARCH("AB",AK6)))</formula>
    </cfRule>
    <cfRule type="containsText" dxfId="399" priority="355" operator="containsText" text="Sick">
      <formula>NOT(ISERROR(SEARCH("Sick",AK6)))</formula>
    </cfRule>
    <cfRule type="containsText" dxfId="398" priority="356" operator="containsText" text="AL">
      <formula>NOT(ISERROR(SEARCH("AL",AK6)))</formula>
    </cfRule>
    <cfRule type="containsText" dxfId="397" priority="357" operator="containsText" text="MC">
      <formula>NOT(ISERROR(SEARCH("MC",AK6)))</formula>
    </cfRule>
  </conditionalFormatting>
  <conditionalFormatting sqref="AK5:BP5">
    <cfRule type="containsText" dxfId="396" priority="15473" operator="containsText" text="AB">
      <formula>NOT(ISERROR(SEARCH("AB",#REF!)))</formula>
    </cfRule>
    <cfRule type="containsText" dxfId="395" priority="15474" operator="containsText" text="HD">
      <formula>NOT(ISERROR(SEARCH("HD",#REF!)))</formula>
    </cfRule>
    <cfRule type="containsText" dxfId="394" priority="15475" operator="containsText" text="S">
      <formula>NOT(ISERROR(SEARCH("S",#REF!)))</formula>
    </cfRule>
    <cfRule type="expression" priority="15468">
      <formula>AND(ISNUMBER($Z3), ISNUMBER($AA3))</formula>
    </cfRule>
    <cfRule type="cellIs" dxfId="393" priority="15470" operator="equal">
      <formula>"Sick"</formula>
    </cfRule>
    <cfRule type="cellIs" dxfId="392" priority="15471" operator="equal">
      <formula>"AB"</formula>
    </cfRule>
    <cfRule type="cellIs" dxfId="391" priority="15472" operator="equal">
      <formula>"OFF"</formula>
    </cfRule>
  </conditionalFormatting>
  <conditionalFormatting sqref="AM5:AN5">
    <cfRule type="dataBar" priority="15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O5:AP5">
    <cfRule type="dataBar" priority="15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O17:AP17">
    <cfRule type="containsText" dxfId="390" priority="303" operator="containsText" text="SP">
      <formula>NOT(ISERROR(SEARCH("SP",AO17)))</formula>
    </cfRule>
    <cfRule type="containsText" dxfId="389" priority="318" operator="containsText" text="OFF">
      <formula>NOT(ISERROR(SEARCH("OFF",AO17)))</formula>
    </cfRule>
    <cfRule type="containsText" dxfId="388" priority="314" operator="containsText" text="AB">
      <formula>NOT(ISERROR(SEARCH("AB",AO17)))</formula>
    </cfRule>
    <cfRule type="containsText" dxfId="387" priority="315" operator="containsText" text="Sick">
      <formula>NOT(ISERROR(SEARCH("Sick",AO17)))</formula>
    </cfRule>
    <cfRule type="containsText" dxfId="386" priority="313" operator="containsText" text="EL">
      <formula>NOT(ISERROR(SEARCH("EL",AO17)))</formula>
    </cfRule>
    <cfRule type="containsText" dxfId="385" priority="312" operator="containsText" text="OFF">
      <formula>NOT(ISERROR(SEARCH("OFF",AO17)))</formula>
    </cfRule>
    <cfRule type="containsText" dxfId="384" priority="311" operator="containsText" text="MC">
      <formula>NOT(ISERROR(SEARCH("MC",AO17)))</formula>
    </cfRule>
    <cfRule type="containsText" dxfId="383" priority="310" operator="containsText" text="AL">
      <formula>NOT(ISERROR(SEARCH("AL",AO17)))</formula>
    </cfRule>
    <cfRule type="containsText" dxfId="382" priority="309" operator="containsText" text="Sick">
      <formula>NOT(ISERROR(SEARCH("Sick",AO17)))</formula>
    </cfRule>
    <cfRule type="containsText" dxfId="381" priority="308" operator="containsText" text="AB">
      <formula>NOT(ISERROR(SEARCH("AB",AO17)))</formula>
    </cfRule>
    <cfRule type="containsText" dxfId="380" priority="307" operator="containsText" text="EL">
      <formula>NOT(ISERROR(SEARCH("EL",AO17)))</formula>
    </cfRule>
    <cfRule type="containsText" dxfId="379" priority="306" operator="containsText" text="SUS">
      <formula>NOT(ISERROR(SEARCH("SUS",AO17)))</formula>
    </cfRule>
    <cfRule type="containsText" dxfId="378" priority="305" operator="containsText" text="FL">
      <formula>NOT(ISERROR(SEARCH("FL",AO17)))</formula>
    </cfRule>
    <cfRule type="containsText" dxfId="377" priority="304" operator="containsText" text="NL">
      <formula>NOT(ISERROR(SEARCH("NL",AO17)))</formula>
    </cfRule>
    <cfRule type="containsText" dxfId="376" priority="316" operator="containsText" text="AL">
      <formula>NOT(ISERROR(SEARCH("AL",AO17)))</formula>
    </cfRule>
    <cfRule type="containsText" dxfId="375" priority="317" operator="containsText" text="MC">
      <formula>NOT(ISERROR(SEARCH("MC",AO17)))</formula>
    </cfRule>
  </conditionalFormatting>
  <conditionalFormatting sqref="AO17:AP18">
    <cfRule type="containsText" dxfId="374" priority="144" operator="containsText" text="NL">
      <formula>NOT(ISERROR(SEARCH("NL",AO17)))</formula>
    </cfRule>
    <cfRule type="containsText" dxfId="373" priority="145" operator="containsText" text="FL">
      <formula>NOT(ISERROR(SEARCH("FL",AO17)))</formula>
    </cfRule>
    <cfRule type="containsText" dxfId="372" priority="146" operator="containsText" text="SUS">
      <formula>NOT(ISERROR(SEARCH("SUS",AO17)))</formula>
    </cfRule>
    <cfRule type="containsText" dxfId="371" priority="143" operator="containsText" text="SP">
      <formula>NOT(ISERROR(SEARCH("SP",AO17)))</formula>
    </cfRule>
  </conditionalFormatting>
  <conditionalFormatting sqref="AO18:AP18">
    <cfRule type="containsText" dxfId="370" priority="153" operator="containsText" text="EL">
      <formula>NOT(ISERROR(SEARCH("EL",AO18)))</formula>
    </cfRule>
    <cfRule type="containsText" dxfId="369" priority="147" operator="containsText" text="EL">
      <formula>NOT(ISERROR(SEARCH("EL",AO18)))</formula>
    </cfRule>
    <cfRule type="containsText" dxfId="368" priority="148" operator="containsText" text="AB">
      <formula>NOT(ISERROR(SEARCH("AB",AO18)))</formula>
    </cfRule>
    <cfRule type="containsText" dxfId="367" priority="149" operator="containsText" text="Sick">
      <formula>NOT(ISERROR(SEARCH("Sick",AO18)))</formula>
    </cfRule>
    <cfRule type="containsText" dxfId="366" priority="150" operator="containsText" text="AL">
      <formula>NOT(ISERROR(SEARCH("AL",AO18)))</formula>
    </cfRule>
    <cfRule type="containsText" dxfId="365" priority="151" operator="containsText" text="MC">
      <formula>NOT(ISERROR(SEARCH("MC",AO18)))</formula>
    </cfRule>
    <cfRule type="containsText" dxfId="364" priority="152" operator="containsText" text="OFF">
      <formula>NOT(ISERROR(SEARCH("OFF",AO18)))</formula>
    </cfRule>
    <cfRule type="containsText" dxfId="363" priority="154" operator="containsText" text="AB">
      <formula>NOT(ISERROR(SEARCH("AB",AO18)))</formula>
    </cfRule>
    <cfRule type="containsText" dxfId="362" priority="155" operator="containsText" text="Sick">
      <formula>NOT(ISERROR(SEARCH("Sick",AO18)))</formula>
    </cfRule>
    <cfRule type="containsText" dxfId="361" priority="156" operator="containsText" text="AL">
      <formula>NOT(ISERROR(SEARCH("AL",AO18)))</formula>
    </cfRule>
    <cfRule type="containsText" dxfId="360" priority="157" operator="containsText" text="MC">
      <formula>NOT(ISERROR(SEARCH("MC",AO18)))</formula>
    </cfRule>
    <cfRule type="containsText" dxfId="359" priority="158" operator="containsText" text="OFF">
      <formula>NOT(ISERROR(SEARCH("OFF",AO18)))</formula>
    </cfRule>
  </conditionalFormatting>
  <conditionalFormatting sqref="AO18:AP19">
    <cfRule type="containsText" dxfId="358" priority="124" operator="containsText" text="NL">
      <formula>NOT(ISERROR(SEARCH("NL",AO18)))</formula>
    </cfRule>
    <cfRule type="containsText" dxfId="357" priority="126" operator="containsText" text="SUS">
      <formula>NOT(ISERROR(SEARCH("SUS",AO18)))</formula>
    </cfRule>
    <cfRule type="containsText" dxfId="356" priority="125" operator="containsText" text="FL">
      <formula>NOT(ISERROR(SEARCH("FL",AO18)))</formula>
    </cfRule>
    <cfRule type="containsText" dxfId="355" priority="123" operator="containsText" text="SP">
      <formula>NOT(ISERROR(SEARCH("SP",AO18)))</formula>
    </cfRule>
  </conditionalFormatting>
  <conditionalFormatting sqref="AO19:AP19">
    <cfRule type="containsText" dxfId="354" priority="119" operator="containsText" text="SP">
      <formula>NOT(ISERROR(SEARCH("SP",AO19)))</formula>
    </cfRule>
    <cfRule type="containsText" dxfId="353" priority="122" operator="containsText" text="SUS">
      <formula>NOT(ISERROR(SEARCH("SUS",AO19)))</formula>
    </cfRule>
    <cfRule type="containsText" dxfId="352" priority="121" operator="containsText" text="FL">
      <formula>NOT(ISERROR(SEARCH("FL",AO19)))</formula>
    </cfRule>
    <cfRule type="containsText" dxfId="351" priority="120" operator="containsText" text="NL">
      <formula>NOT(ISERROR(SEARCH("NL",AO19)))</formula>
    </cfRule>
    <cfRule type="containsText" dxfId="350" priority="138" operator="containsText" text="OFF">
      <formula>NOT(ISERROR(SEARCH("OFF",AO19)))</formula>
    </cfRule>
    <cfRule type="containsText" dxfId="349" priority="131" operator="containsText" text="MC">
      <formula>NOT(ISERROR(SEARCH("MC",AO19)))</formula>
    </cfRule>
    <cfRule type="containsText" dxfId="348" priority="132" operator="containsText" text="OFF">
      <formula>NOT(ISERROR(SEARCH("OFF",AO19)))</formula>
    </cfRule>
    <cfRule type="containsText" dxfId="347" priority="127" operator="containsText" text="EL">
      <formula>NOT(ISERROR(SEARCH("EL",AO19)))</formula>
    </cfRule>
    <cfRule type="containsText" dxfId="346" priority="128" operator="containsText" text="AB">
      <formula>NOT(ISERROR(SEARCH("AB",AO19)))</formula>
    </cfRule>
    <cfRule type="containsText" dxfId="345" priority="129" operator="containsText" text="Sick">
      <formula>NOT(ISERROR(SEARCH("Sick",AO19)))</formula>
    </cfRule>
    <cfRule type="containsText" dxfId="344" priority="130" operator="containsText" text="AL">
      <formula>NOT(ISERROR(SEARCH("AL",AO19)))</formula>
    </cfRule>
    <cfRule type="containsText" dxfId="343" priority="133" operator="containsText" text="EL">
      <formula>NOT(ISERROR(SEARCH("EL",AO19)))</formula>
    </cfRule>
    <cfRule type="containsText" dxfId="342" priority="134" operator="containsText" text="AB">
      <formula>NOT(ISERROR(SEARCH("AB",AO19)))</formula>
    </cfRule>
    <cfRule type="containsText" dxfId="341" priority="135" operator="containsText" text="Sick">
      <formula>NOT(ISERROR(SEARCH("Sick",AO19)))</formula>
    </cfRule>
    <cfRule type="containsText" dxfId="340" priority="136" operator="containsText" text="AL">
      <formula>NOT(ISERROR(SEARCH("AL",AO19)))</formula>
    </cfRule>
    <cfRule type="containsText" dxfId="339" priority="137" operator="containsText" text="MC">
      <formula>NOT(ISERROR(SEARCH("MC",AO19)))</formula>
    </cfRule>
  </conditionalFormatting>
  <conditionalFormatting sqref="AO30:AP30">
    <cfRule type="containsText" dxfId="338" priority="298" operator="containsText" text="OFF">
      <formula>NOT(ISERROR(SEARCH("OFF",AO30)))</formula>
    </cfRule>
    <cfRule type="containsText" dxfId="337" priority="291" operator="containsText" text="MC">
      <formula>NOT(ISERROR(SEARCH("MC",AO30)))</formula>
    </cfRule>
    <cfRule type="containsText" dxfId="336" priority="297" operator="containsText" text="MC">
      <formula>NOT(ISERROR(SEARCH("MC",AO30)))</formula>
    </cfRule>
    <cfRule type="containsText" dxfId="335" priority="290" operator="containsText" text="AL">
      <formula>NOT(ISERROR(SEARCH("AL",AO30)))</formula>
    </cfRule>
    <cfRule type="containsText" dxfId="334" priority="289" operator="containsText" text="Sick">
      <formula>NOT(ISERROR(SEARCH("Sick",AO30)))</formula>
    </cfRule>
    <cfRule type="containsText" dxfId="333" priority="296" operator="containsText" text="AL">
      <formula>NOT(ISERROR(SEARCH("AL",AO30)))</formula>
    </cfRule>
    <cfRule type="containsText" dxfId="332" priority="288" operator="containsText" text="AB">
      <formula>NOT(ISERROR(SEARCH("AB",AO30)))</formula>
    </cfRule>
    <cfRule type="containsText" dxfId="331" priority="286" operator="containsText" text="SUS">
      <formula>NOT(ISERROR(SEARCH("SUS",AO30)))</formula>
    </cfRule>
    <cfRule type="containsText" dxfId="330" priority="295" operator="containsText" text="Sick">
      <formula>NOT(ISERROR(SEARCH("Sick",AO30)))</formula>
    </cfRule>
    <cfRule type="containsText" dxfId="329" priority="285" operator="containsText" text="FL">
      <formula>NOT(ISERROR(SEARCH("FL",AO30)))</formula>
    </cfRule>
    <cfRule type="containsText" dxfId="328" priority="284" operator="containsText" text="NL">
      <formula>NOT(ISERROR(SEARCH("NL",AO30)))</formula>
    </cfRule>
    <cfRule type="containsText" dxfId="327" priority="283" operator="containsText" text="SP">
      <formula>NOT(ISERROR(SEARCH("SP",AO30)))</formula>
    </cfRule>
    <cfRule type="containsText" dxfId="326" priority="287" operator="containsText" text="EL">
      <formula>NOT(ISERROR(SEARCH("EL",AO30)))</formula>
    </cfRule>
    <cfRule type="containsText" dxfId="325" priority="293" operator="containsText" text="EL">
      <formula>NOT(ISERROR(SEARCH("EL",AO30)))</formula>
    </cfRule>
    <cfRule type="containsText" dxfId="324" priority="292" operator="containsText" text="OFF">
      <formula>NOT(ISERROR(SEARCH("OFF",AO30)))</formula>
    </cfRule>
    <cfRule type="containsText" dxfId="323" priority="294" operator="containsText" text="AB">
      <formula>NOT(ISERROR(SEARCH("AB",AO30)))</formula>
    </cfRule>
  </conditionalFormatting>
  <conditionalFormatting sqref="AO30:AP31">
    <cfRule type="containsText" dxfId="322" priority="263" operator="containsText" text="SP">
      <formula>NOT(ISERROR(SEARCH("SP",AO30)))</formula>
    </cfRule>
    <cfRule type="containsText" dxfId="321" priority="266" operator="containsText" text="SUS">
      <formula>NOT(ISERROR(SEARCH("SUS",AO30)))</formula>
    </cfRule>
    <cfRule type="containsText" dxfId="320" priority="264" operator="containsText" text="NL">
      <formula>NOT(ISERROR(SEARCH("NL",AO30)))</formula>
    </cfRule>
    <cfRule type="containsText" dxfId="319" priority="265" operator="containsText" text="FL">
      <formula>NOT(ISERROR(SEARCH("FL",AO30)))</formula>
    </cfRule>
  </conditionalFormatting>
  <conditionalFormatting sqref="AO31:AP31">
    <cfRule type="containsText" dxfId="318" priority="262" operator="containsText" text="SUS">
      <formula>NOT(ISERROR(SEARCH("SUS",AO31)))</formula>
    </cfRule>
    <cfRule type="containsText" dxfId="317" priority="272" operator="containsText" text="OFF">
      <formula>NOT(ISERROR(SEARCH("OFF",AO31)))</formula>
    </cfRule>
    <cfRule type="containsText" dxfId="316" priority="269" operator="containsText" text="Sick">
      <formula>NOT(ISERROR(SEARCH("Sick",AO31)))</formula>
    </cfRule>
    <cfRule type="containsText" dxfId="315" priority="259" operator="containsText" text="SP">
      <formula>NOT(ISERROR(SEARCH("SP",AO31)))</formula>
    </cfRule>
    <cfRule type="containsText" dxfId="314" priority="267" operator="containsText" text="EL">
      <formula>NOT(ISERROR(SEARCH("EL",AO31)))</formula>
    </cfRule>
    <cfRule type="containsText" dxfId="313" priority="268" operator="containsText" text="AB">
      <formula>NOT(ISERROR(SEARCH("AB",AO31)))</formula>
    </cfRule>
    <cfRule type="containsText" dxfId="312" priority="278" operator="containsText" text="OFF">
      <formula>NOT(ISERROR(SEARCH("OFF",AO31)))</formula>
    </cfRule>
    <cfRule type="containsText" dxfId="311" priority="277" operator="containsText" text="MC">
      <formula>NOT(ISERROR(SEARCH("MC",AO31)))</formula>
    </cfRule>
    <cfRule type="containsText" dxfId="310" priority="271" operator="containsText" text="MC">
      <formula>NOT(ISERROR(SEARCH("MC",AO31)))</formula>
    </cfRule>
    <cfRule type="containsText" dxfId="309" priority="276" operator="containsText" text="AL">
      <formula>NOT(ISERROR(SEARCH("AL",AO31)))</formula>
    </cfRule>
    <cfRule type="containsText" dxfId="308" priority="275" operator="containsText" text="Sick">
      <formula>NOT(ISERROR(SEARCH("Sick",AO31)))</formula>
    </cfRule>
    <cfRule type="containsText" dxfId="307" priority="274" operator="containsText" text="AB">
      <formula>NOT(ISERROR(SEARCH("AB",AO31)))</formula>
    </cfRule>
    <cfRule type="containsText" dxfId="306" priority="273" operator="containsText" text="EL">
      <formula>NOT(ISERROR(SEARCH("EL",AO31)))</formula>
    </cfRule>
    <cfRule type="containsText" dxfId="305" priority="260" operator="containsText" text="NL">
      <formula>NOT(ISERROR(SEARCH("NL",AO31)))</formula>
    </cfRule>
    <cfRule type="containsText" dxfId="304" priority="261" operator="containsText" text="FL">
      <formula>NOT(ISERROR(SEARCH("FL",AO31)))</formula>
    </cfRule>
    <cfRule type="containsText" dxfId="303" priority="270" operator="containsText" text="AL">
      <formula>NOT(ISERROR(SEARCH("AL",AO31)))</formula>
    </cfRule>
  </conditionalFormatting>
  <conditionalFormatting sqref="AQ5:AR5">
    <cfRule type="dataBar" priority="15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R6:AV12">
    <cfRule type="containsText" dxfId="302" priority="1104" operator="containsText" text="SP">
      <formula>NOT(ISERROR(SEARCH("SP",AR6)))</formula>
    </cfRule>
    <cfRule type="containsText" dxfId="301" priority="1113" operator="containsText" text="OFF">
      <formula>NOT(ISERROR(SEARCH("OFF",AR6)))</formula>
    </cfRule>
    <cfRule type="containsText" dxfId="300" priority="1112" operator="containsText" text="MC">
      <formula>NOT(ISERROR(SEARCH("MC",AR6)))</formula>
    </cfRule>
    <cfRule type="containsText" dxfId="299" priority="1108" operator="containsText" text="EL">
      <formula>NOT(ISERROR(SEARCH("EL",AR6)))</formula>
    </cfRule>
    <cfRule type="containsText" dxfId="298" priority="1107" operator="containsText" text="SUS">
      <formula>NOT(ISERROR(SEARCH("SUS",AR6)))</formula>
    </cfRule>
    <cfRule type="containsText" dxfId="297" priority="1106" operator="containsText" text="FL">
      <formula>NOT(ISERROR(SEARCH("FL",AR6)))</formula>
    </cfRule>
    <cfRule type="containsText" dxfId="296" priority="1105" operator="containsText" text="NL">
      <formula>NOT(ISERROR(SEARCH("NL",AR6)))</formula>
    </cfRule>
    <cfRule type="containsText" dxfId="295" priority="1111" operator="containsText" text="AL">
      <formula>NOT(ISERROR(SEARCH("AL",AR6)))</formula>
    </cfRule>
    <cfRule type="containsText" dxfId="294" priority="1109" operator="containsText" text="AB">
      <formula>NOT(ISERROR(SEARCH("AB",AR6)))</formula>
    </cfRule>
    <cfRule type="containsText" dxfId="293" priority="1110" operator="containsText" text="Sick">
      <formula>NOT(ISERROR(SEARCH("Sick",AR6)))</formula>
    </cfRule>
  </conditionalFormatting>
  <conditionalFormatting sqref="AR12:AX12 BA12:BE12">
    <cfRule type="containsText" dxfId="292" priority="1012" operator="containsText" text="MC">
      <formula>NOT(ISERROR(SEARCH("MC",AR12)))</formula>
    </cfRule>
    <cfRule type="containsText" dxfId="291" priority="1013" operator="containsText" text="OFF">
      <formula>NOT(ISERROR(SEARCH("OFF",AR12)))</formula>
    </cfRule>
    <cfRule type="containsText" dxfId="290" priority="1007" operator="containsText" text="SUS">
      <formula>NOT(ISERROR(SEARCH("SUS",AR12)))</formula>
    </cfRule>
    <cfRule type="containsText" dxfId="289" priority="1006" operator="containsText" text="FL">
      <formula>NOT(ISERROR(SEARCH("FL",AR12)))</formula>
    </cfRule>
    <cfRule type="containsText" dxfId="288" priority="1010" operator="containsText" text="Sick">
      <formula>NOT(ISERROR(SEARCH("Sick",AR12)))</formula>
    </cfRule>
    <cfRule type="containsText" dxfId="287" priority="1009" operator="containsText" text="AB">
      <formula>NOT(ISERROR(SEARCH("AB",AR12)))</formula>
    </cfRule>
    <cfRule type="containsText" dxfId="286" priority="1008" operator="containsText" text="EL">
      <formula>NOT(ISERROR(SEARCH("EL",AR12)))</formula>
    </cfRule>
    <cfRule type="containsText" dxfId="285" priority="1011" operator="containsText" text="AL">
      <formula>NOT(ISERROR(SEARCH("AL",AR12)))</formula>
    </cfRule>
    <cfRule type="containsText" dxfId="284" priority="1005" operator="containsText" text="NL">
      <formula>NOT(ISERROR(SEARCH("NL",AR12)))</formula>
    </cfRule>
  </conditionalFormatting>
  <conditionalFormatting sqref="AS5:AT5">
    <cfRule type="dataBar" priority="15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S18:BP18">
    <cfRule type="containsText" dxfId="283" priority="386" operator="containsText" text="SUS">
      <formula>NOT(ISERROR(SEARCH("SUS",AS18)))</formula>
    </cfRule>
    <cfRule type="containsText" dxfId="282" priority="384" operator="containsText" text="NL">
      <formula>NOT(ISERROR(SEARCH("NL",AS18)))</formula>
    </cfRule>
    <cfRule type="containsText" dxfId="281" priority="392" operator="containsText" text="OFF">
      <formula>NOT(ISERROR(SEARCH("OFF",AS18)))</formula>
    </cfRule>
    <cfRule type="containsText" dxfId="280" priority="385" operator="containsText" text="FL">
      <formula>NOT(ISERROR(SEARCH("FL",AS18)))</formula>
    </cfRule>
    <cfRule type="containsText" dxfId="279" priority="391" operator="containsText" text="MC">
      <formula>NOT(ISERROR(SEARCH("MC",AS18)))</formula>
    </cfRule>
    <cfRule type="containsText" dxfId="278" priority="390" operator="containsText" text="AL">
      <formula>NOT(ISERROR(SEARCH("AL",AS18)))</formula>
    </cfRule>
    <cfRule type="containsText" dxfId="277" priority="389" operator="containsText" text="Sick">
      <formula>NOT(ISERROR(SEARCH("Sick",AS18)))</formula>
    </cfRule>
    <cfRule type="containsText" dxfId="276" priority="388" operator="containsText" text="AB">
      <formula>NOT(ISERROR(SEARCH("AB",AS18)))</formula>
    </cfRule>
    <cfRule type="containsText" dxfId="275" priority="387" operator="containsText" text="EL">
      <formula>NOT(ISERROR(SEARCH("EL",AS18)))</formula>
    </cfRule>
    <cfRule type="containsText" dxfId="274" priority="383" operator="containsText" text="SP">
      <formula>NOT(ISERROR(SEARCH("SP",AS18)))</formula>
    </cfRule>
  </conditionalFormatting>
  <conditionalFormatting sqref="AU5:AV5">
    <cfRule type="dataBar" priority="15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W5:AX5">
    <cfRule type="dataBar" priority="15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W6:AZ12">
    <cfRule type="containsText" dxfId="273" priority="36" operator="containsText" text="AB">
      <formula>NOT(ISERROR(SEARCH("AB",AW6)))</formula>
    </cfRule>
    <cfRule type="containsText" dxfId="272" priority="26" operator="containsText" text="NL">
      <formula>NOT(ISERROR(SEARCH("NL",AW6)))</formula>
    </cfRule>
    <cfRule type="containsText" dxfId="271" priority="25" operator="containsText" text="SP">
      <formula>NOT(ISERROR(SEARCH("SP",AW6)))</formula>
    </cfRule>
    <cfRule type="containsText" dxfId="270" priority="40" operator="containsText" text="OFF">
      <formula>NOT(ISERROR(SEARCH("OFF",AW6)))</formula>
    </cfRule>
    <cfRule type="containsText" dxfId="269" priority="35" operator="containsText" text="EL">
      <formula>NOT(ISERROR(SEARCH("EL",AW6)))</formula>
    </cfRule>
    <cfRule type="containsText" dxfId="268" priority="38" operator="containsText" text="AL">
      <formula>NOT(ISERROR(SEARCH("AL",AW6)))</formula>
    </cfRule>
    <cfRule type="containsText" dxfId="267" priority="28" operator="containsText" text="SUS">
      <formula>NOT(ISERROR(SEARCH("SUS",AW6)))</formula>
    </cfRule>
    <cfRule type="containsText" dxfId="266" priority="37" operator="containsText" text="Sick">
      <formula>NOT(ISERROR(SEARCH("Sick",AW6)))</formula>
    </cfRule>
    <cfRule type="containsText" dxfId="265" priority="27" operator="containsText" text="FL">
      <formula>NOT(ISERROR(SEARCH("FL",AW6)))</formula>
    </cfRule>
    <cfRule type="containsText" dxfId="264" priority="39" operator="containsText" text="MC">
      <formula>NOT(ISERROR(SEARCH("MC",AW6)))</formula>
    </cfRule>
  </conditionalFormatting>
  <conditionalFormatting sqref="AX20">
    <cfRule type="containsText" dxfId="263" priority="463" operator="containsText" text="AL">
      <formula>NOT(ISERROR(SEARCH("AL",AX20)))</formula>
    </cfRule>
  </conditionalFormatting>
  <conditionalFormatting sqref="AY5:AZ5">
    <cfRule type="dataBar" priority="15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AY6:AZ12">
    <cfRule type="containsText" dxfId="262" priority="31" operator="containsText" text="Sick">
      <formula>NOT(ISERROR(SEARCH("Sick",AY6)))</formula>
    </cfRule>
    <cfRule type="containsText" dxfId="261" priority="30" operator="containsText" text="AB">
      <formula>NOT(ISERROR(SEARCH("AB",AY6)))</formula>
    </cfRule>
    <cfRule type="containsText" dxfId="260" priority="29" operator="containsText" text="EL">
      <formula>NOT(ISERROR(SEARCH("EL",AY6)))</formula>
    </cfRule>
    <cfRule type="containsText" dxfId="259" priority="24" operator="containsText" text="SUS">
      <formula>NOT(ISERROR(SEARCH("SUS",AY6)))</formula>
    </cfRule>
    <cfRule type="containsText" dxfId="258" priority="23" operator="containsText" text="FL">
      <formula>NOT(ISERROR(SEARCH("FL",AY6)))</formula>
    </cfRule>
    <cfRule type="containsText" dxfId="257" priority="22" operator="containsText" text="NL">
      <formula>NOT(ISERROR(SEARCH("NL",AY6)))</formula>
    </cfRule>
    <cfRule type="containsText" dxfId="256" priority="21" operator="containsText" text="SP">
      <formula>NOT(ISERROR(SEARCH("SP",AY6)))</formula>
    </cfRule>
    <cfRule type="containsText" dxfId="255" priority="34" operator="containsText" text="OFF">
      <formula>NOT(ISERROR(SEARCH("OFF",AY6)))</formula>
    </cfRule>
    <cfRule type="containsText" dxfId="254" priority="33" operator="containsText" text="MC">
      <formula>NOT(ISERROR(SEARCH("MC",AY6)))</formula>
    </cfRule>
    <cfRule type="containsText" dxfId="253" priority="32" operator="containsText" text="AL">
      <formula>NOT(ISERROR(SEARCH("AL",AY6)))</formula>
    </cfRule>
  </conditionalFormatting>
  <conditionalFormatting sqref="BA5:BB5">
    <cfRule type="dataBar" priority="15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12:BE12 AR12:AX12">
    <cfRule type="containsText" dxfId="252" priority="1004" operator="containsText" text="SP">
      <formula>NOT(ISERROR(SEARCH("SP",AR12)))</formula>
    </cfRule>
  </conditionalFormatting>
  <conditionalFormatting sqref="BA6:BL12">
    <cfRule type="containsText" dxfId="251" priority="338" operator="containsText" text="OFF">
      <formula>NOT(ISERROR(SEARCH("OFF",BA6)))</formula>
    </cfRule>
    <cfRule type="containsText" dxfId="250" priority="337" operator="containsText" text="MC">
      <formula>NOT(ISERROR(SEARCH("MC",BA6)))</formula>
    </cfRule>
    <cfRule type="containsText" dxfId="249" priority="336" operator="containsText" text="AL">
      <formula>NOT(ISERROR(SEARCH("AL",BA6)))</formula>
    </cfRule>
    <cfRule type="containsText" dxfId="248" priority="335" operator="containsText" text="Sick">
      <formula>NOT(ISERROR(SEARCH("Sick",BA6)))</formula>
    </cfRule>
    <cfRule type="containsText" dxfId="247" priority="334" operator="containsText" text="AB">
      <formula>NOT(ISERROR(SEARCH("AB",BA6)))</formula>
    </cfRule>
    <cfRule type="containsText" dxfId="246" priority="333" operator="containsText" text="EL">
      <formula>NOT(ISERROR(SEARCH("EL",BA6)))</formula>
    </cfRule>
    <cfRule type="containsText" dxfId="245" priority="326" operator="containsText" text="SUS">
      <formula>NOT(ISERROR(SEARCH("SUS",BA6)))</formula>
    </cfRule>
    <cfRule type="containsText" dxfId="244" priority="325" operator="containsText" text="FL">
      <formula>NOT(ISERROR(SEARCH("FL",BA6)))</formula>
    </cfRule>
    <cfRule type="containsText" dxfId="243" priority="324" operator="containsText" text="NL">
      <formula>NOT(ISERROR(SEARCH("NL",BA6)))</formula>
    </cfRule>
    <cfRule type="containsText" dxfId="242" priority="323" operator="containsText" text="SP">
      <formula>NOT(ISERROR(SEARCH("SP",BA6)))</formula>
    </cfRule>
  </conditionalFormatting>
  <conditionalFormatting sqref="BA37:BP37">
    <cfRule type="containsText" dxfId="241" priority="15464" stopIfTrue="1" operator="containsText" text="AL">
      <formula>NOT(ISERROR(SEARCH("AL",BA37)))</formula>
    </cfRule>
    <cfRule type="containsText" dxfId="240" priority="15466" stopIfTrue="1" operator="containsText" text="SICK">
      <formula>NOT(ISERROR(SEARCH("SICK",BA37)))</formula>
    </cfRule>
    <cfRule type="containsText" dxfId="239" priority="15465" stopIfTrue="1" operator="containsText" text="SP">
      <formula>NOT(ISERROR(SEARCH("SP",BA37)))</formula>
    </cfRule>
  </conditionalFormatting>
  <conditionalFormatting sqref="BC5:BD5">
    <cfRule type="dataBar" priority="15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C6:BD12">
    <cfRule type="containsText" dxfId="238" priority="332" operator="containsText" text="OFF">
      <formula>NOT(ISERROR(SEARCH("OFF",BC6)))</formula>
    </cfRule>
    <cfRule type="containsText" dxfId="237" priority="331" operator="containsText" text="MC">
      <formula>NOT(ISERROR(SEARCH("MC",BC6)))</formula>
    </cfRule>
    <cfRule type="containsText" dxfId="236" priority="330" operator="containsText" text="AL">
      <formula>NOT(ISERROR(SEARCH("AL",BC6)))</formula>
    </cfRule>
    <cfRule type="containsText" dxfId="235" priority="328" operator="containsText" text="AB">
      <formula>NOT(ISERROR(SEARCH("AB",BC6)))</formula>
    </cfRule>
    <cfRule type="containsText" dxfId="234" priority="327" operator="containsText" text="EL">
      <formula>NOT(ISERROR(SEARCH("EL",BC6)))</formula>
    </cfRule>
    <cfRule type="containsText" dxfId="233" priority="322" operator="containsText" text="SUS">
      <formula>NOT(ISERROR(SEARCH("SUS",BC6)))</formula>
    </cfRule>
    <cfRule type="containsText" dxfId="232" priority="321" operator="containsText" text="FL">
      <formula>NOT(ISERROR(SEARCH("FL",BC6)))</formula>
    </cfRule>
    <cfRule type="containsText" dxfId="231" priority="320" operator="containsText" text="NL">
      <formula>NOT(ISERROR(SEARCH("NL",BC6)))</formula>
    </cfRule>
    <cfRule type="containsText" dxfId="230" priority="319" operator="containsText" text="SP">
      <formula>NOT(ISERROR(SEARCH("SP",BC6)))</formula>
    </cfRule>
    <cfRule type="containsText" dxfId="229" priority="329" operator="containsText" text="Sick">
      <formula>NOT(ISERROR(SEARCH("Sick",BC6)))</formula>
    </cfRule>
  </conditionalFormatting>
  <conditionalFormatting sqref="BC16:BD16">
    <cfRule type="containsText" dxfId="228" priority="118" operator="containsText" text="OFF">
      <formula>NOT(ISERROR(SEARCH("OFF",BC16)))</formula>
    </cfRule>
    <cfRule type="containsText" dxfId="227" priority="117" operator="containsText" text="MC">
      <formula>NOT(ISERROR(SEARCH("MC",BC16)))</formula>
    </cfRule>
    <cfRule type="containsText" dxfId="226" priority="116" operator="containsText" text="AL">
      <formula>NOT(ISERROR(SEARCH("AL",BC16)))</formula>
    </cfRule>
    <cfRule type="containsText" dxfId="225" priority="114" operator="containsText" text="AB">
      <formula>NOT(ISERROR(SEARCH("AB",BC16)))</formula>
    </cfRule>
    <cfRule type="containsText" dxfId="224" priority="113" operator="containsText" text="EL">
      <formula>NOT(ISERROR(SEARCH("EL",BC16)))</formula>
    </cfRule>
    <cfRule type="containsText" dxfId="223" priority="112" operator="containsText" text="OFF">
      <formula>NOT(ISERROR(SEARCH("OFF",BC16)))</formula>
    </cfRule>
    <cfRule type="containsText" dxfId="222" priority="111" operator="containsText" text="MC">
      <formula>NOT(ISERROR(SEARCH("MC",BC16)))</formula>
    </cfRule>
    <cfRule type="containsText" dxfId="221" priority="110" operator="containsText" text="AL">
      <formula>NOT(ISERROR(SEARCH("AL",BC16)))</formula>
    </cfRule>
    <cfRule type="containsText" dxfId="220" priority="109" operator="containsText" text="Sick">
      <formula>NOT(ISERROR(SEARCH("Sick",BC16)))</formula>
    </cfRule>
    <cfRule type="containsText" dxfId="219" priority="108" operator="containsText" text="AB">
      <formula>NOT(ISERROR(SEARCH("AB",BC16)))</formula>
    </cfRule>
    <cfRule type="containsText" dxfId="218" priority="107" operator="containsText" text="EL">
      <formula>NOT(ISERROR(SEARCH("EL",BC16)))</formula>
    </cfRule>
    <cfRule type="containsText" dxfId="217" priority="106" operator="containsText" text="SUS">
      <formula>NOT(ISERROR(SEARCH("SUS",BC16)))</formula>
    </cfRule>
    <cfRule type="containsText" dxfId="216" priority="105" operator="containsText" text="FL">
      <formula>NOT(ISERROR(SEARCH("FL",BC16)))</formula>
    </cfRule>
    <cfRule type="containsText" dxfId="215" priority="104" operator="containsText" text="NL">
      <formula>NOT(ISERROR(SEARCH("NL",BC16)))</formula>
    </cfRule>
    <cfRule type="containsText" dxfId="214" priority="103" operator="containsText" text="SP">
      <formula>NOT(ISERROR(SEARCH("SP",BC16)))</formula>
    </cfRule>
    <cfRule type="containsText" dxfId="213" priority="101" operator="containsText" text="FL">
      <formula>NOT(ISERROR(SEARCH("FL",BC16)))</formula>
    </cfRule>
    <cfRule type="containsText" dxfId="212" priority="100" operator="containsText" text="NL">
      <formula>NOT(ISERROR(SEARCH("NL",BC16)))</formula>
    </cfRule>
    <cfRule type="containsText" dxfId="211" priority="99" operator="containsText" text="SP">
      <formula>NOT(ISERROR(SEARCH("SP",BC16)))</formula>
    </cfRule>
    <cfRule type="containsText" dxfId="210" priority="102" operator="containsText" text="SUS">
      <formula>NOT(ISERROR(SEARCH("SUS",BC16)))</formula>
    </cfRule>
    <cfRule type="containsText" dxfId="209" priority="115" operator="containsText" text="Sick">
      <formula>NOT(ISERROR(SEARCH("Sick",BC16)))</formula>
    </cfRule>
  </conditionalFormatting>
  <conditionalFormatting sqref="BC22:BD23">
    <cfRule type="containsText" dxfId="208" priority="162" operator="containsText" text="SUS">
      <formula>NOT(ISERROR(SEARCH("SUS",BC22)))</formula>
    </cfRule>
    <cfRule type="containsText" dxfId="207" priority="163" operator="containsText" text="SP">
      <formula>NOT(ISERROR(SEARCH("SP",BC22)))</formula>
    </cfRule>
    <cfRule type="containsText" dxfId="206" priority="160" operator="containsText" text="NL">
      <formula>NOT(ISERROR(SEARCH("NL",BC22)))</formula>
    </cfRule>
    <cfRule type="containsText" dxfId="205" priority="161" operator="containsText" text="FL">
      <formula>NOT(ISERROR(SEARCH("FL",BC22)))</formula>
    </cfRule>
    <cfRule type="containsText" dxfId="204" priority="168" operator="containsText" text="AB">
      <formula>NOT(ISERROR(SEARCH("AB",BC22)))</formula>
    </cfRule>
    <cfRule type="containsText" dxfId="203" priority="159" operator="containsText" text="SP">
      <formula>NOT(ISERROR(SEARCH("SP",BC22)))</formula>
    </cfRule>
    <cfRule type="containsText" dxfId="202" priority="169" operator="containsText" text="Sick">
      <formula>NOT(ISERROR(SEARCH("Sick",BC22)))</formula>
    </cfRule>
    <cfRule type="containsText" dxfId="201" priority="173" operator="containsText" text="EL">
      <formula>NOT(ISERROR(SEARCH("EL",BC22)))</formula>
    </cfRule>
    <cfRule type="containsText" dxfId="200" priority="178" operator="containsText" text="OFF">
      <formula>NOT(ISERROR(SEARCH("OFF",BC22)))</formula>
    </cfRule>
    <cfRule type="containsText" dxfId="199" priority="177" operator="containsText" text="MC">
      <formula>NOT(ISERROR(SEARCH("MC",BC22)))</formula>
    </cfRule>
    <cfRule type="containsText" dxfId="198" priority="176" operator="containsText" text="AL">
      <formula>NOT(ISERROR(SEARCH("AL",BC22)))</formula>
    </cfRule>
    <cfRule type="containsText" dxfId="197" priority="175" operator="containsText" text="Sick">
      <formula>NOT(ISERROR(SEARCH("Sick",BC22)))</formula>
    </cfRule>
    <cfRule type="containsText" dxfId="196" priority="174" operator="containsText" text="AB">
      <formula>NOT(ISERROR(SEARCH("AB",BC22)))</formula>
    </cfRule>
    <cfRule type="containsText" dxfId="195" priority="170" operator="containsText" text="AL">
      <formula>NOT(ISERROR(SEARCH("AL",BC22)))</formula>
    </cfRule>
    <cfRule type="containsText" dxfId="194" priority="171" operator="containsText" text="MC">
      <formula>NOT(ISERROR(SEARCH("MC",BC22)))</formula>
    </cfRule>
    <cfRule type="containsText" dxfId="193" priority="167" operator="containsText" text="EL">
      <formula>NOT(ISERROR(SEARCH("EL",BC22)))</formula>
    </cfRule>
    <cfRule type="containsText" dxfId="192" priority="166" operator="containsText" text="SUS">
      <formula>NOT(ISERROR(SEARCH("SUS",BC22)))</formula>
    </cfRule>
    <cfRule type="containsText" dxfId="191" priority="165" operator="containsText" text="FL">
      <formula>NOT(ISERROR(SEARCH("FL",BC22)))</formula>
    </cfRule>
    <cfRule type="containsText" dxfId="190" priority="164" operator="containsText" text="NL">
      <formula>NOT(ISERROR(SEARCH("NL",BC22)))</formula>
    </cfRule>
    <cfRule type="containsText" dxfId="189" priority="172" operator="containsText" text="OFF">
      <formula>NOT(ISERROR(SEARCH("OFF",BC22)))</formula>
    </cfRule>
  </conditionalFormatting>
  <conditionalFormatting sqref="BC25:BD25">
    <cfRule type="containsText" dxfId="188" priority="198" operator="containsText" text="OFF">
      <formula>NOT(ISERROR(SEARCH("OFF",BC25)))</formula>
    </cfRule>
    <cfRule type="containsText" dxfId="187" priority="194" operator="containsText" text="AB">
      <formula>NOT(ISERROR(SEARCH("AB",BC25)))</formula>
    </cfRule>
    <cfRule type="containsText" dxfId="186" priority="196" operator="containsText" text="AL">
      <formula>NOT(ISERROR(SEARCH("AL",BC25)))</formula>
    </cfRule>
    <cfRule type="containsText" dxfId="185" priority="193" operator="containsText" text="EL">
      <formula>NOT(ISERROR(SEARCH("EL",BC25)))</formula>
    </cfRule>
    <cfRule type="containsText" dxfId="184" priority="187" operator="containsText" text="EL">
      <formula>NOT(ISERROR(SEARCH("EL",BC25)))</formula>
    </cfRule>
    <cfRule type="containsText" dxfId="183" priority="192" operator="containsText" text="OFF">
      <formula>NOT(ISERROR(SEARCH("OFF",BC25)))</formula>
    </cfRule>
    <cfRule type="containsText" dxfId="182" priority="191" operator="containsText" text="MC">
      <formula>NOT(ISERROR(SEARCH("MC",BC25)))</formula>
    </cfRule>
    <cfRule type="containsText" dxfId="181" priority="190" operator="containsText" text="AL">
      <formula>NOT(ISERROR(SEARCH("AL",BC25)))</formula>
    </cfRule>
    <cfRule type="containsText" dxfId="180" priority="189" operator="containsText" text="Sick">
      <formula>NOT(ISERROR(SEARCH("Sick",BC25)))</formula>
    </cfRule>
    <cfRule type="containsText" dxfId="179" priority="188" operator="containsText" text="AB">
      <formula>NOT(ISERROR(SEARCH("AB",BC25)))</formula>
    </cfRule>
    <cfRule type="containsText" dxfId="178" priority="195" operator="containsText" text="Sick">
      <formula>NOT(ISERROR(SEARCH("Sick",BC25)))</formula>
    </cfRule>
    <cfRule type="containsText" dxfId="177" priority="185" operator="containsText" text="FL">
      <formula>NOT(ISERROR(SEARCH("FL",BC25)))</formula>
    </cfRule>
    <cfRule type="containsText" dxfId="176" priority="184" operator="containsText" text="NL">
      <formula>NOT(ISERROR(SEARCH("NL",BC25)))</formula>
    </cfRule>
    <cfRule type="containsText" dxfId="175" priority="183" operator="containsText" text="SP">
      <formula>NOT(ISERROR(SEARCH("SP",BC25)))</formula>
    </cfRule>
    <cfRule type="containsText" dxfId="174" priority="186" operator="containsText" text="SUS">
      <formula>NOT(ISERROR(SEARCH("SUS",BC25)))</formula>
    </cfRule>
    <cfRule type="containsText" dxfId="173" priority="197" operator="containsText" text="MC">
      <formula>NOT(ISERROR(SEARCH("MC",BC25)))</formula>
    </cfRule>
  </conditionalFormatting>
  <conditionalFormatting sqref="BC25:BD27">
    <cfRule type="containsText" dxfId="172" priority="84" operator="containsText" text="NL">
      <formula>NOT(ISERROR(SEARCH("NL",BC25)))</formula>
    </cfRule>
    <cfRule type="containsText" dxfId="171" priority="85" operator="containsText" text="FL">
      <formula>NOT(ISERROR(SEARCH("FL",BC25)))</formula>
    </cfRule>
    <cfRule type="containsText" dxfId="170" priority="86" operator="containsText" text="SUS">
      <formula>NOT(ISERROR(SEARCH("SUS",BC25)))</formula>
    </cfRule>
    <cfRule type="containsText" dxfId="169" priority="83" operator="containsText" text="SP">
      <formula>NOT(ISERROR(SEARCH("SP",BC25)))</formula>
    </cfRule>
  </conditionalFormatting>
  <conditionalFormatting sqref="BC26:BD26">
    <cfRule type="containsText" dxfId="168" priority="98" operator="containsText" text="OFF">
      <formula>NOT(ISERROR(SEARCH("OFF",BC26)))</formula>
    </cfRule>
    <cfRule type="containsText" dxfId="167" priority="79" operator="containsText" text="SP">
      <formula>NOT(ISERROR(SEARCH("SP",BC26)))</formula>
    </cfRule>
    <cfRule type="containsText" dxfId="166" priority="80" operator="containsText" text="NL">
      <formula>NOT(ISERROR(SEARCH("NL",BC26)))</formula>
    </cfRule>
    <cfRule type="containsText" dxfId="165" priority="81" operator="containsText" text="FL">
      <formula>NOT(ISERROR(SEARCH("FL",BC26)))</formula>
    </cfRule>
    <cfRule type="containsText" dxfId="164" priority="82" operator="containsText" text="SUS">
      <formula>NOT(ISERROR(SEARCH("SUS",BC26)))</formula>
    </cfRule>
    <cfRule type="containsText" dxfId="163" priority="87" operator="containsText" text="EL">
      <formula>NOT(ISERROR(SEARCH("EL",BC26)))</formula>
    </cfRule>
    <cfRule type="containsText" dxfId="162" priority="88" operator="containsText" text="AB">
      <formula>NOT(ISERROR(SEARCH("AB",BC26)))</formula>
    </cfRule>
    <cfRule type="containsText" dxfId="161" priority="89" operator="containsText" text="Sick">
      <formula>NOT(ISERROR(SEARCH("Sick",BC26)))</formula>
    </cfRule>
    <cfRule type="containsText" dxfId="160" priority="90" operator="containsText" text="AL">
      <formula>NOT(ISERROR(SEARCH("AL",BC26)))</formula>
    </cfRule>
    <cfRule type="containsText" dxfId="159" priority="91" operator="containsText" text="MC">
      <formula>NOT(ISERROR(SEARCH("MC",BC26)))</formula>
    </cfRule>
    <cfRule type="containsText" dxfId="158" priority="92" operator="containsText" text="OFF">
      <formula>NOT(ISERROR(SEARCH("OFF",BC26)))</formula>
    </cfRule>
    <cfRule type="containsText" dxfId="157" priority="93" operator="containsText" text="EL">
      <formula>NOT(ISERROR(SEARCH("EL",BC26)))</formula>
    </cfRule>
    <cfRule type="containsText" dxfId="156" priority="94" operator="containsText" text="AB">
      <formula>NOT(ISERROR(SEARCH("AB",BC26)))</formula>
    </cfRule>
    <cfRule type="containsText" dxfId="155" priority="95" operator="containsText" text="Sick">
      <formula>NOT(ISERROR(SEARCH("Sick",BC26)))</formula>
    </cfRule>
    <cfRule type="containsText" dxfId="154" priority="96" operator="containsText" text="AL">
      <formula>NOT(ISERROR(SEARCH("AL",BC26)))</formula>
    </cfRule>
    <cfRule type="containsText" dxfId="153" priority="97" operator="containsText" text="MC">
      <formula>NOT(ISERROR(SEARCH("MC",BC26)))</formula>
    </cfRule>
  </conditionalFormatting>
  <conditionalFormatting sqref="BC27:BD27">
    <cfRule type="containsText" dxfId="152" priority="210" operator="containsText" text="AL">
      <formula>NOT(ISERROR(SEARCH("AL",BC27)))</formula>
    </cfRule>
    <cfRule type="containsText" dxfId="151" priority="211" operator="containsText" text="MC">
      <formula>NOT(ISERROR(SEARCH("MC",BC27)))</formula>
    </cfRule>
    <cfRule type="containsText" dxfId="150" priority="212" operator="containsText" text="OFF">
      <formula>NOT(ISERROR(SEARCH("OFF",BC27)))</formula>
    </cfRule>
    <cfRule type="containsText" dxfId="149" priority="206" operator="containsText" text="SUS">
      <formula>NOT(ISERROR(SEARCH("SUS",BC27)))</formula>
    </cfRule>
    <cfRule type="containsText" dxfId="148" priority="214" operator="containsText" text="AB">
      <formula>NOT(ISERROR(SEARCH("AB",BC27)))</formula>
    </cfRule>
    <cfRule type="containsText" dxfId="147" priority="215" operator="containsText" text="Sick">
      <formula>NOT(ISERROR(SEARCH("Sick",BC27)))</formula>
    </cfRule>
    <cfRule type="containsText" dxfId="146" priority="216" operator="containsText" text="AL">
      <formula>NOT(ISERROR(SEARCH("AL",BC27)))</formula>
    </cfRule>
    <cfRule type="containsText" dxfId="145" priority="218" operator="containsText" text="OFF">
      <formula>NOT(ISERROR(SEARCH("OFF",BC27)))</formula>
    </cfRule>
    <cfRule type="containsText" dxfId="144" priority="217" operator="containsText" text="MC">
      <formula>NOT(ISERROR(SEARCH("MC",BC27)))</formula>
    </cfRule>
    <cfRule type="containsText" dxfId="143" priority="207" operator="containsText" text="EL">
      <formula>NOT(ISERROR(SEARCH("EL",BC27)))</formula>
    </cfRule>
    <cfRule type="containsText" dxfId="142" priority="204" operator="containsText" text="NL">
      <formula>NOT(ISERROR(SEARCH("NL",BC27)))</formula>
    </cfRule>
    <cfRule type="containsText" dxfId="141" priority="203" operator="containsText" text="SP">
      <formula>NOT(ISERROR(SEARCH("SP",BC27)))</formula>
    </cfRule>
    <cfRule type="containsText" dxfId="140" priority="205" operator="containsText" text="FL">
      <formula>NOT(ISERROR(SEARCH("FL",BC27)))</formula>
    </cfRule>
    <cfRule type="containsText" dxfId="139" priority="208" operator="containsText" text="AB">
      <formula>NOT(ISERROR(SEARCH("AB",BC27)))</formula>
    </cfRule>
    <cfRule type="containsText" dxfId="138" priority="213" operator="containsText" text="EL">
      <formula>NOT(ISERROR(SEARCH("EL",BC27)))</formula>
    </cfRule>
    <cfRule type="containsText" dxfId="137" priority="209" operator="containsText" text="Sick">
      <formula>NOT(ISERROR(SEARCH("Sick",BC27)))</formula>
    </cfRule>
  </conditionalFormatting>
  <conditionalFormatting sqref="BC29:BD29">
    <cfRule type="containsText" dxfId="136" priority="243" operator="containsText" text="SP">
      <formula>NOT(ISERROR(SEARCH("SP",BC29)))</formula>
    </cfRule>
    <cfRule type="containsText" dxfId="135" priority="247" operator="containsText" text="EL">
      <formula>NOT(ISERROR(SEARCH("EL",BC29)))</formula>
    </cfRule>
    <cfRule type="containsText" dxfId="134" priority="256" operator="containsText" text="AL">
      <formula>NOT(ISERROR(SEARCH("AL",BC29)))</formula>
    </cfRule>
    <cfRule type="containsText" dxfId="133" priority="257" operator="containsText" text="MC">
      <formula>NOT(ISERROR(SEARCH("MC",BC29)))</formula>
    </cfRule>
    <cfRule type="containsText" dxfId="132" priority="251" operator="containsText" text="MC">
      <formula>NOT(ISERROR(SEARCH("MC",BC29)))</formula>
    </cfRule>
    <cfRule type="containsText" dxfId="131" priority="248" operator="containsText" text="AB">
      <formula>NOT(ISERROR(SEARCH("AB",BC29)))</formula>
    </cfRule>
    <cfRule type="containsText" dxfId="130" priority="244" operator="containsText" text="NL">
      <formula>NOT(ISERROR(SEARCH("NL",BC29)))</formula>
    </cfRule>
    <cfRule type="containsText" dxfId="129" priority="250" operator="containsText" text="AL">
      <formula>NOT(ISERROR(SEARCH("AL",BC29)))</formula>
    </cfRule>
    <cfRule type="containsText" dxfId="128" priority="249" operator="containsText" text="Sick">
      <formula>NOT(ISERROR(SEARCH("Sick",BC29)))</formula>
    </cfRule>
    <cfRule type="containsText" dxfId="127" priority="245" operator="containsText" text="FL">
      <formula>NOT(ISERROR(SEARCH("FL",BC29)))</formula>
    </cfRule>
    <cfRule type="containsText" dxfId="126" priority="246" operator="containsText" text="SUS">
      <formula>NOT(ISERROR(SEARCH("SUS",BC29)))</formula>
    </cfRule>
    <cfRule type="containsText" dxfId="125" priority="258" operator="containsText" text="OFF">
      <formula>NOT(ISERROR(SEARCH("OFF",BC29)))</formula>
    </cfRule>
    <cfRule type="containsText" dxfId="124" priority="252" operator="containsText" text="OFF">
      <formula>NOT(ISERROR(SEARCH("OFF",BC29)))</formula>
    </cfRule>
    <cfRule type="containsText" dxfId="123" priority="253" operator="containsText" text="EL">
      <formula>NOT(ISERROR(SEARCH("EL",BC29)))</formula>
    </cfRule>
    <cfRule type="containsText" dxfId="122" priority="254" operator="containsText" text="AB">
      <formula>NOT(ISERROR(SEARCH("AB",BC29)))</formula>
    </cfRule>
    <cfRule type="containsText" dxfId="121" priority="255" operator="containsText" text="Sick">
      <formula>NOT(ISERROR(SEARCH("Sick",BC29)))</formula>
    </cfRule>
  </conditionalFormatting>
  <conditionalFormatting sqref="BC29:BD30">
    <cfRule type="containsText" dxfId="120" priority="223" operator="containsText" text="SP">
      <formula>NOT(ISERROR(SEARCH("SP",BC29)))</formula>
    </cfRule>
    <cfRule type="containsText" dxfId="119" priority="225" operator="containsText" text="FL">
      <formula>NOT(ISERROR(SEARCH("FL",BC29)))</formula>
    </cfRule>
    <cfRule type="containsText" dxfId="118" priority="226" operator="containsText" text="SUS">
      <formula>NOT(ISERROR(SEARCH("SUS",BC29)))</formula>
    </cfRule>
    <cfRule type="containsText" dxfId="117" priority="224" operator="containsText" text="NL">
      <formula>NOT(ISERROR(SEARCH("NL",BC29)))</formula>
    </cfRule>
  </conditionalFormatting>
  <conditionalFormatting sqref="BC30:BD30">
    <cfRule type="containsText" dxfId="116" priority="229" operator="containsText" text="Sick">
      <formula>NOT(ISERROR(SEARCH("Sick",BC30)))</formula>
    </cfRule>
    <cfRule type="containsText" dxfId="115" priority="230" operator="containsText" text="AL">
      <formula>NOT(ISERROR(SEARCH("AL",BC30)))</formula>
    </cfRule>
    <cfRule type="containsText" dxfId="114" priority="231" operator="containsText" text="MC">
      <formula>NOT(ISERROR(SEARCH("MC",BC30)))</formula>
    </cfRule>
    <cfRule type="containsText" dxfId="113" priority="232" operator="containsText" text="OFF">
      <formula>NOT(ISERROR(SEARCH("OFF",BC30)))</formula>
    </cfRule>
    <cfRule type="containsText" dxfId="112" priority="235" operator="containsText" text="Sick">
      <formula>NOT(ISERROR(SEARCH("Sick",BC30)))</formula>
    </cfRule>
    <cfRule type="containsText" dxfId="111" priority="237" operator="containsText" text="MC">
      <formula>NOT(ISERROR(SEARCH("MC",BC30)))</formula>
    </cfRule>
    <cfRule type="containsText" dxfId="110" priority="228" operator="containsText" text="AB">
      <formula>NOT(ISERROR(SEARCH("AB",BC30)))</formula>
    </cfRule>
    <cfRule type="containsText" dxfId="109" priority="220" operator="containsText" text="NL">
      <formula>NOT(ISERROR(SEARCH("NL",BC30)))</formula>
    </cfRule>
    <cfRule type="containsText" dxfId="108" priority="233" operator="containsText" text="EL">
      <formula>NOT(ISERROR(SEARCH("EL",BC30)))</formula>
    </cfRule>
    <cfRule type="containsText" dxfId="107" priority="221" operator="containsText" text="FL">
      <formula>NOT(ISERROR(SEARCH("FL",BC30)))</formula>
    </cfRule>
    <cfRule type="containsText" dxfId="106" priority="227" operator="containsText" text="EL">
      <formula>NOT(ISERROR(SEARCH("EL",BC30)))</formula>
    </cfRule>
    <cfRule type="containsText" dxfId="105" priority="222" operator="containsText" text="SUS">
      <formula>NOT(ISERROR(SEARCH("SUS",BC30)))</formula>
    </cfRule>
    <cfRule type="containsText" dxfId="104" priority="219" operator="containsText" text="SP">
      <formula>NOT(ISERROR(SEARCH("SP",BC30)))</formula>
    </cfRule>
    <cfRule type="containsText" dxfId="103" priority="236" operator="containsText" text="AL">
      <formula>NOT(ISERROR(SEARCH("AL",BC30)))</formula>
    </cfRule>
    <cfRule type="containsText" dxfId="102" priority="234" operator="containsText" text="AB">
      <formula>NOT(ISERROR(SEARCH("AB",BC30)))</formula>
    </cfRule>
    <cfRule type="containsText" dxfId="101" priority="238" operator="containsText" text="OFF">
      <formula>NOT(ISERROR(SEARCH("OFF",BC30)))</formula>
    </cfRule>
  </conditionalFormatting>
  <conditionalFormatting sqref="BE5:BF5">
    <cfRule type="dataBar" priority="15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E11:BF11 AI6:AJ33">
    <cfRule type="containsText" dxfId="100" priority="1586" operator="containsText" text="SP">
      <formula>NOT(ISERROR(SEARCH("SP",AI6)))</formula>
    </cfRule>
  </conditionalFormatting>
  <conditionalFormatting sqref="BE12:BL12 BO12:BP12">
    <cfRule type="containsText" dxfId="99" priority="2094" operator="containsText" text="AL">
      <formula>NOT(ISERROR(SEARCH("AL",BE12)))</formula>
    </cfRule>
    <cfRule type="containsText" dxfId="98" priority="2095" operator="containsText" text="MC">
      <formula>NOT(ISERROR(SEARCH("MC",BE12)))</formula>
    </cfRule>
    <cfRule type="containsText" dxfId="97" priority="2096" operator="containsText" text="OFF">
      <formula>NOT(ISERROR(SEARCH("OFF",BE12)))</formula>
    </cfRule>
    <cfRule type="containsText" dxfId="96" priority="2090" operator="containsText" text="SUS">
      <formula>NOT(ISERROR(SEARCH("SUS",BE12)))</formula>
    </cfRule>
    <cfRule type="containsText" dxfId="95" priority="2087" operator="containsText" text="SP">
      <formula>NOT(ISERROR(SEARCH("SP",BE12)))</formula>
    </cfRule>
    <cfRule type="containsText" dxfId="94" priority="2088" operator="containsText" text="NL">
      <formula>NOT(ISERROR(SEARCH("NL",BE12)))</formula>
    </cfRule>
    <cfRule type="containsText" dxfId="93" priority="2089" operator="containsText" text="FL">
      <formula>NOT(ISERROR(SEARCH("FL",BE12)))</formula>
    </cfRule>
    <cfRule type="containsText" dxfId="92" priority="2091" operator="containsText" text="EL">
      <formula>NOT(ISERROR(SEARCH("EL",BE12)))</formula>
    </cfRule>
    <cfRule type="containsText" dxfId="91" priority="2092" operator="containsText" text="AB">
      <formula>NOT(ISERROR(SEARCH("AB",BE12)))</formula>
    </cfRule>
    <cfRule type="containsText" dxfId="90" priority="2093" operator="containsText" text="Sick">
      <formula>NOT(ISERROR(SEARCH("Sick",BE12)))</formula>
    </cfRule>
  </conditionalFormatting>
  <conditionalFormatting sqref="BG5:BP5">
    <cfRule type="dataBar" priority="17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L14:BL15">
    <cfRule type="containsText" dxfId="89" priority="1636" operator="containsText" text="SP">
      <formula>NOT(ISERROR(SEARCH("SP",BL14)))</formula>
    </cfRule>
    <cfRule type="containsText" dxfId="88" priority="1645" operator="containsText" text="OFF">
      <formula>NOT(ISERROR(SEARCH("OFF",BL14)))</formula>
    </cfRule>
    <cfRule type="containsText" dxfId="87" priority="1644" operator="containsText" text="MC">
      <formula>NOT(ISERROR(SEARCH("MC",BL14)))</formula>
    </cfRule>
    <cfRule type="containsText" dxfId="86" priority="1643" operator="containsText" text="AL">
      <formula>NOT(ISERROR(SEARCH("AL",BL14)))</formula>
    </cfRule>
    <cfRule type="containsText" dxfId="85" priority="1642" operator="containsText" text="Sick">
      <formula>NOT(ISERROR(SEARCH("Sick",BL14)))</formula>
    </cfRule>
    <cfRule type="containsText" dxfId="84" priority="1641" operator="containsText" text="AB">
      <formula>NOT(ISERROR(SEARCH("AB",BL14)))</formula>
    </cfRule>
    <cfRule type="containsText" dxfId="83" priority="1640" operator="containsText" text="EL">
      <formula>NOT(ISERROR(SEARCH("EL",BL14)))</formula>
    </cfRule>
    <cfRule type="containsText" dxfId="82" priority="1639" operator="containsText" text="SUS">
      <formula>NOT(ISERROR(SEARCH("SUS",BL14)))</formula>
    </cfRule>
    <cfRule type="containsText" dxfId="81" priority="1638" operator="containsText" text="FL">
      <formula>NOT(ISERROR(SEARCH("FL",BL14)))</formula>
    </cfRule>
    <cfRule type="containsText" dxfId="80" priority="1637" operator="containsText" text="NL">
      <formula>NOT(ISERROR(SEARCH("NL",BL14)))</formula>
    </cfRule>
  </conditionalFormatting>
  <conditionalFormatting sqref="BL15">
    <cfRule type="containsText" dxfId="79" priority="2081" operator="containsText" text="EL">
      <formula>NOT(ISERROR(SEARCH("EL",BL15)))</formula>
    </cfRule>
    <cfRule type="containsText" dxfId="78" priority="2078" operator="containsText" text="NL">
      <formula>NOT(ISERROR(SEARCH("NL",BL15)))</formula>
    </cfRule>
    <cfRule type="containsText" dxfId="77" priority="2077" operator="containsText" text="SP">
      <formula>NOT(ISERROR(SEARCH("SP",BL15)))</formula>
    </cfRule>
    <cfRule type="containsText" dxfId="76" priority="2082" operator="containsText" text="AB">
      <formula>NOT(ISERROR(SEARCH("AB",BL15)))</formula>
    </cfRule>
    <cfRule type="containsText" dxfId="75" priority="2079" operator="containsText" text="FL">
      <formula>NOT(ISERROR(SEARCH("FL",BL15)))</formula>
    </cfRule>
    <cfRule type="containsText" dxfId="74" priority="2083" operator="containsText" text="Sick">
      <formula>NOT(ISERROR(SEARCH("Sick",BL15)))</formula>
    </cfRule>
    <cfRule type="containsText" dxfId="73" priority="2084" operator="containsText" text="AL">
      <formula>NOT(ISERROR(SEARCH("AL",BL15)))</formula>
    </cfRule>
    <cfRule type="containsText" dxfId="72" priority="2085" operator="containsText" text="MC">
      <formula>NOT(ISERROR(SEARCH("MC",BL15)))</formula>
    </cfRule>
    <cfRule type="containsText" dxfId="71" priority="2086" operator="containsText" text="OFF">
      <formula>NOT(ISERROR(SEARCH("OFF",BL15)))</formula>
    </cfRule>
    <cfRule type="containsText" dxfId="70" priority="2080" operator="containsText" text="SUS">
      <formula>NOT(ISERROR(SEARCH("SUS",BL15)))</formula>
    </cfRule>
  </conditionalFormatting>
  <conditionalFormatting sqref="BL19:BL20">
    <cfRule type="containsText" dxfId="69" priority="1655" operator="containsText" text="OFF">
      <formula>NOT(ISERROR(SEARCH("OFF",BL19)))</formula>
    </cfRule>
    <cfRule type="containsText" dxfId="68" priority="1654" operator="containsText" text="MC">
      <formula>NOT(ISERROR(SEARCH("MC",BL19)))</formula>
    </cfRule>
    <cfRule type="containsText" dxfId="67" priority="1653" operator="containsText" text="AL">
      <formula>NOT(ISERROR(SEARCH("AL",BL19)))</formula>
    </cfRule>
    <cfRule type="containsText" dxfId="66" priority="1652" operator="containsText" text="Sick">
      <formula>NOT(ISERROR(SEARCH("Sick",BL19)))</formula>
    </cfRule>
    <cfRule type="containsText" dxfId="65" priority="1651" operator="containsText" text="AB">
      <formula>NOT(ISERROR(SEARCH("AB",BL19)))</formula>
    </cfRule>
    <cfRule type="containsText" dxfId="64" priority="1650" operator="containsText" text="EL">
      <formula>NOT(ISERROR(SEARCH("EL",BL19)))</formula>
    </cfRule>
    <cfRule type="containsText" dxfId="63" priority="1649" operator="containsText" text="SUS">
      <formula>NOT(ISERROR(SEARCH("SUS",BL19)))</formula>
    </cfRule>
    <cfRule type="containsText" dxfId="62" priority="1648" operator="containsText" text="FL">
      <formula>NOT(ISERROR(SEARCH("FL",BL19)))</formula>
    </cfRule>
    <cfRule type="containsText" dxfId="61" priority="1647" operator="containsText" text="NL">
      <formula>NOT(ISERROR(SEARCH("NL",BL19)))</formula>
    </cfRule>
    <cfRule type="containsText" dxfId="60" priority="1646" operator="containsText" text="SP">
      <formula>NOT(ISERROR(SEARCH("SP",BL19)))</formula>
    </cfRule>
  </conditionalFormatting>
  <conditionalFormatting sqref="BL23">
    <cfRule type="containsText" dxfId="59" priority="1664" operator="containsText" text="MC">
      <formula>NOT(ISERROR(SEARCH("MC",BL23)))</formula>
    </cfRule>
    <cfRule type="containsText" dxfId="58" priority="1665" operator="containsText" text="OFF">
      <formula>NOT(ISERROR(SEARCH("OFF",BL23)))</formula>
    </cfRule>
    <cfRule type="containsText" dxfId="57" priority="1660" operator="containsText" text="EL">
      <formula>NOT(ISERROR(SEARCH("EL",BL23)))</formula>
    </cfRule>
    <cfRule type="containsText" dxfId="56" priority="1656" operator="containsText" text="SP">
      <formula>NOT(ISERROR(SEARCH("SP",BL23)))</formula>
    </cfRule>
    <cfRule type="containsText" dxfId="55" priority="1657" operator="containsText" text="NL">
      <formula>NOT(ISERROR(SEARCH("NL",BL23)))</formula>
    </cfRule>
    <cfRule type="containsText" dxfId="54" priority="1658" operator="containsText" text="FL">
      <formula>NOT(ISERROR(SEARCH("FL",BL23)))</formula>
    </cfRule>
    <cfRule type="containsText" dxfId="53" priority="1659" operator="containsText" text="SUS">
      <formula>NOT(ISERROR(SEARCH("SUS",BL23)))</formula>
    </cfRule>
    <cfRule type="containsText" dxfId="52" priority="1661" operator="containsText" text="AB">
      <formula>NOT(ISERROR(SEARCH("AB",BL23)))</formula>
    </cfRule>
    <cfRule type="containsText" dxfId="51" priority="1662" operator="containsText" text="Sick">
      <formula>NOT(ISERROR(SEARCH("Sick",BL23)))</formula>
    </cfRule>
    <cfRule type="containsText" dxfId="50" priority="1663" operator="containsText" text="AL">
      <formula>NOT(ISERROR(SEARCH("AL",BL23)))</formula>
    </cfRule>
  </conditionalFormatting>
  <conditionalFormatting sqref="BM6:BN12">
    <cfRule type="containsText" dxfId="49" priority="11" operator="containsText" text="Sick">
      <formula>NOT(ISERROR(SEARCH("Sick",BM6)))</formula>
    </cfRule>
    <cfRule type="containsText" dxfId="48" priority="12" operator="containsText" text="AL">
      <formula>NOT(ISERROR(SEARCH("AL",BM6)))</formula>
    </cfRule>
    <cfRule type="containsText" dxfId="47" priority="13" operator="containsText" text="MC">
      <formula>NOT(ISERROR(SEARCH("MC",BM6)))</formula>
    </cfRule>
    <cfRule type="containsText" dxfId="46" priority="14" operator="containsText" text="OFF">
      <formula>NOT(ISERROR(SEARCH("OFF",BM6)))</formula>
    </cfRule>
    <cfRule type="containsText" dxfId="45" priority="3" operator="containsText" text="FL">
      <formula>NOT(ISERROR(SEARCH("FL",BM6)))</formula>
    </cfRule>
    <cfRule type="containsText" dxfId="44" priority="2" operator="containsText" text="NL">
      <formula>NOT(ISERROR(SEARCH("NL",BM6)))</formula>
    </cfRule>
    <cfRule type="containsText" dxfId="43" priority="4" operator="containsText" text="SUS">
      <formula>NOT(ISERROR(SEARCH("SUS",BM6)))</formula>
    </cfRule>
    <cfRule type="containsText" dxfId="42" priority="9" operator="containsText" text="EL">
      <formula>NOT(ISERROR(SEARCH("EL",BM6)))</formula>
    </cfRule>
    <cfRule type="containsText" dxfId="41" priority="10" operator="containsText" text="AB">
      <formula>NOT(ISERROR(SEARCH("AB",BM6)))</formula>
    </cfRule>
    <cfRule type="containsText" dxfId="40" priority="1" operator="containsText" text="SP">
      <formula>NOT(ISERROR(SEARCH("SP",BM6)))</formula>
    </cfRule>
  </conditionalFormatting>
  <conditionalFormatting sqref="BM6:BP12">
    <cfRule type="containsText" dxfId="39" priority="19" operator="containsText" text="MC">
      <formula>NOT(ISERROR(SEARCH("MC",BM6)))</formula>
    </cfRule>
    <cfRule type="containsText" dxfId="38" priority="15" operator="containsText" text="EL">
      <formula>NOT(ISERROR(SEARCH("EL",BM6)))</formula>
    </cfRule>
    <cfRule type="containsText" dxfId="37" priority="16" operator="containsText" text="AB">
      <formula>NOT(ISERROR(SEARCH("AB",BM6)))</formula>
    </cfRule>
    <cfRule type="containsText" dxfId="36" priority="17" operator="containsText" text="Sick">
      <formula>NOT(ISERROR(SEARCH("Sick",BM6)))</formula>
    </cfRule>
    <cfRule type="containsText" dxfId="35" priority="18" operator="containsText" text="AL">
      <formula>NOT(ISERROR(SEARCH("AL",BM6)))</formula>
    </cfRule>
    <cfRule type="containsText" dxfId="34" priority="7" operator="containsText" text="FL">
      <formula>NOT(ISERROR(SEARCH("FL",BM6)))</formula>
    </cfRule>
    <cfRule type="containsText" dxfId="33" priority="5" operator="containsText" text="SP">
      <formula>NOT(ISERROR(SEARCH("SP",BM6)))</formula>
    </cfRule>
    <cfRule type="containsText" dxfId="32" priority="6" operator="containsText" text="NL">
      <formula>NOT(ISERROR(SEARCH("NL",BM6)))</formula>
    </cfRule>
    <cfRule type="containsText" dxfId="31" priority="8" operator="containsText" text="SUS">
      <formula>NOT(ISERROR(SEARCH("SUS",BM6)))</formula>
    </cfRule>
    <cfRule type="containsText" dxfId="30" priority="20" operator="containsText" text="OFF">
      <formula>NOT(ISERROR(SEARCH("OFF",BM6)))</formula>
    </cfRule>
  </conditionalFormatting>
  <conditionalFormatting sqref="BN14:BP15">
    <cfRule type="containsText" dxfId="29" priority="1635" operator="containsText" text="OFF">
      <formula>NOT(ISERROR(SEARCH("OFF",BN14)))</formula>
    </cfRule>
    <cfRule type="containsText" dxfId="28" priority="1634" operator="containsText" text="MC">
      <formula>NOT(ISERROR(SEARCH("MC",BN14)))</formula>
    </cfRule>
    <cfRule type="containsText" dxfId="27" priority="1633" operator="containsText" text="AL">
      <formula>NOT(ISERROR(SEARCH("AL",BN14)))</formula>
    </cfRule>
    <cfRule type="containsText" dxfId="26" priority="1632" operator="containsText" text="Sick">
      <formula>NOT(ISERROR(SEARCH("Sick",BN14)))</formula>
    </cfRule>
    <cfRule type="containsText" dxfId="25" priority="1631" operator="containsText" text="AB">
      <formula>NOT(ISERROR(SEARCH("AB",BN14)))</formula>
    </cfRule>
    <cfRule type="containsText" dxfId="24" priority="1630" operator="containsText" text="EL">
      <formula>NOT(ISERROR(SEARCH("EL",BN14)))</formula>
    </cfRule>
    <cfRule type="containsText" dxfId="23" priority="1629" operator="containsText" text="SUS">
      <formula>NOT(ISERROR(SEARCH("SUS",BN14)))</formula>
    </cfRule>
    <cfRule type="containsText" dxfId="22" priority="1628" operator="containsText" text="FL">
      <formula>NOT(ISERROR(SEARCH("FL",BN14)))</formula>
    </cfRule>
    <cfRule type="containsText" dxfId="21" priority="1627" operator="containsText" text="NL">
      <formula>NOT(ISERROR(SEARCH("NL",BN14)))</formula>
    </cfRule>
    <cfRule type="containsText" dxfId="20" priority="1626" operator="containsText" text="SP">
      <formula>NOT(ISERROR(SEARCH("SP",BN14)))</formula>
    </cfRule>
  </conditionalFormatting>
  <conditionalFormatting sqref="BT5:BZ5">
    <cfRule type="containsText" dxfId="19" priority="5065" operator="containsText" text="FL">
      <formula>NOT(ISERROR(SEARCH("FL",BT5)))</formula>
    </cfRule>
    <cfRule type="containsText" dxfId="18" priority="5066" operator="containsText" text="SUS">
      <formula>NOT(ISERROR(SEARCH("SUS",BT5)))</formula>
    </cfRule>
    <cfRule type="containsText" dxfId="17" priority="5067" operator="containsText" text="EL">
      <formula>NOT(ISERROR(SEARCH("EL",BT5)))</formula>
    </cfRule>
    <cfRule type="containsText" dxfId="16" priority="5068" operator="containsText" text="AB">
      <formula>NOT(ISERROR(SEARCH("AB",BT5)))</formula>
    </cfRule>
    <cfRule type="containsText" dxfId="15" priority="5069" operator="containsText" text="Sick">
      <formula>NOT(ISERROR(SEARCH("Sick",BT5)))</formula>
    </cfRule>
    <cfRule type="containsText" dxfId="14" priority="5063" operator="containsText" text="SP">
      <formula>NOT(ISERROR(SEARCH("SP",BT5)))</formula>
    </cfRule>
    <cfRule type="containsText" dxfId="13" priority="5070" operator="containsText" text="AL">
      <formula>NOT(ISERROR(SEARCH("AL",BT5)))</formula>
    </cfRule>
    <cfRule type="containsText" dxfId="12" priority="5071" operator="containsText" text="MC">
      <formula>NOT(ISERROR(SEARCH("MC",BT5)))</formula>
    </cfRule>
    <cfRule type="containsText" dxfId="11" priority="5072" operator="containsText" text="OFF">
      <formula>NOT(ISERROR(SEARCH("OFF",BT5)))</formula>
    </cfRule>
    <cfRule type="containsText" dxfId="10" priority="5064" operator="containsText" text="NL">
      <formula>NOT(ISERROR(SEARCH("NL",BT5)))</formula>
    </cfRule>
  </conditionalFormatting>
  <conditionalFormatting sqref="CB5:CD5">
    <cfRule type="containsText" dxfId="9" priority="5084" operator="containsText" text="NL">
      <formula>NOT(ISERROR(SEARCH("NL",CB5)))</formula>
    </cfRule>
    <cfRule type="containsText" dxfId="8" priority="5085" operator="containsText" text="FL">
      <formula>NOT(ISERROR(SEARCH("FL",CB5)))</formula>
    </cfRule>
    <cfRule type="containsText" dxfId="7" priority="5086" operator="containsText" text="SUS">
      <formula>NOT(ISERROR(SEARCH("SUS",CB5)))</formula>
    </cfRule>
    <cfRule type="containsText" dxfId="6" priority="5087" operator="containsText" text="EL">
      <formula>NOT(ISERROR(SEARCH("EL",CB5)))</formula>
    </cfRule>
    <cfRule type="containsText" dxfId="5" priority="5088" operator="containsText" text="AB">
      <formula>NOT(ISERROR(SEARCH("AB",CB5)))</formula>
    </cfRule>
    <cfRule type="containsText" dxfId="4" priority="5089" operator="containsText" text="Sick">
      <formula>NOT(ISERROR(SEARCH("Sick",CB5)))</formula>
    </cfRule>
    <cfRule type="containsText" dxfId="3" priority="5083" operator="containsText" text="SP">
      <formula>NOT(ISERROR(SEARCH("SP",CB5)))</formula>
    </cfRule>
    <cfRule type="containsText" dxfId="2" priority="5091" operator="containsText" text="MC">
      <formula>NOT(ISERROR(SEARCH("MC",CB5)))</formula>
    </cfRule>
    <cfRule type="containsText" dxfId="1" priority="5092" operator="containsText" text="OFF">
      <formula>NOT(ISERROR(SEARCH("OFF",CB5)))</formula>
    </cfRule>
    <cfRule type="containsText" dxfId="0" priority="5090" operator="containsText" text="AL">
      <formula>NOT(ISERROR(SEARCH("AL",CB5)))</formula>
    </cfRule>
  </conditionalFormatting>
  <pageMargins left="0.7" right="0.7" top="0.75" bottom="0.75" header="0.3" footer="0.3"/>
  <pageSetup paperSize="9" scale="22" orientation="landscape" r:id="rId1"/>
  <ignoredErrors>
    <ignoredError sqref="BT14:CD15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E5:AH5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AK5:AL5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AM5:AN5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AO5:AP5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AQ5:AR5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AS5:AT5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AU5:AV5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AW5:AX5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AY5:AZ5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BA5:BB5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BC5:BD5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BE5:BF5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BG5:BP5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2026-10-01T05:02:19Z</cp:lastPrinted>
  <dcterms:created xsi:type="dcterms:W3CDTF">2025-11-01T09:49:58Z</dcterms:created>
  <dcterms:modified xsi:type="dcterms:W3CDTF">2026-10-30T10:07:45Z</dcterms:modified>
</cp:coreProperties>
</file>