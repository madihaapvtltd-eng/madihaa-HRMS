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july\"/>
    </mc:Choice>
  </mc:AlternateContent>
  <xr:revisionPtr revIDLastSave="0" documentId="13_ncr:1_{A9BB6E99-1B49-4077-B20A-831C19675437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Print_Area" localSheetId="0">MASTER!$A$1:$CE$37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30" i="1" l="1"/>
  <c r="BS6" i="1"/>
  <c r="BT6" i="1"/>
  <c r="BU6" i="1"/>
  <c r="BV6" i="1"/>
  <c r="BW6" i="1"/>
  <c r="BX6" i="1"/>
  <c r="BY6" i="1"/>
  <c r="BZ6" i="1"/>
  <c r="CA6" i="1"/>
  <c r="CB6" i="1"/>
  <c r="CC6" i="1"/>
  <c r="CD6" i="1"/>
  <c r="BS7" i="1"/>
  <c r="BT7" i="1"/>
  <c r="BU7" i="1"/>
  <c r="BV7" i="1"/>
  <c r="BW7" i="1"/>
  <c r="BX7" i="1"/>
  <c r="BY7" i="1"/>
  <c r="BZ7" i="1"/>
  <c r="CA7" i="1"/>
  <c r="CB7" i="1"/>
  <c r="CC7" i="1"/>
  <c r="CD7" i="1"/>
  <c r="BS8" i="1"/>
  <c r="BT8" i="1"/>
  <c r="BU8" i="1"/>
  <c r="BV8" i="1"/>
  <c r="BW8" i="1"/>
  <c r="BX8" i="1"/>
  <c r="BY8" i="1"/>
  <c r="BZ8" i="1"/>
  <c r="CA8" i="1"/>
  <c r="CB8" i="1"/>
  <c r="CC8" i="1"/>
  <c r="CD8" i="1"/>
  <c r="BS9" i="1"/>
  <c r="BT9" i="1"/>
  <c r="BU9" i="1"/>
  <c r="BV9" i="1"/>
  <c r="BW9" i="1"/>
  <c r="BX9" i="1"/>
  <c r="BY9" i="1"/>
  <c r="BZ9" i="1"/>
  <c r="CA9" i="1"/>
  <c r="CB9" i="1"/>
  <c r="CC9" i="1"/>
  <c r="CD9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D5" i="1"/>
  <c r="CC5" i="1"/>
  <c r="CB5" i="1"/>
  <c r="CA5" i="1"/>
  <c r="BZ5" i="1"/>
  <c r="BY5" i="1"/>
  <c r="BX5" i="1"/>
  <c r="BW5" i="1"/>
  <c r="BV5" i="1"/>
  <c r="BU5" i="1"/>
  <c r="BT5" i="1"/>
  <c r="BQ23" i="1"/>
  <c r="BS5" i="1"/>
  <c r="CR30" i="1" l="1"/>
  <c r="BQ29" i="1" l="1"/>
  <c r="CR29" i="1" l="1"/>
  <c r="BQ10" i="1" l="1"/>
  <c r="CR10" i="1"/>
  <c r="CR27" i="1"/>
  <c r="CR24" i="1"/>
  <c r="CR25" i="1"/>
  <c r="CR26" i="1"/>
  <c r="CR28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BQ28" i="1" l="1"/>
  <c r="BQ12" i="1"/>
  <c r="BQ11" i="1"/>
  <c r="BQ25" i="1"/>
  <c r="BQ24" i="1"/>
  <c r="BQ20" i="1"/>
  <c r="BQ16" i="1"/>
  <c r="BQ13" i="1"/>
  <c r="BQ21" i="1"/>
  <c r="BQ14" i="1"/>
  <c r="BQ19" i="1"/>
  <c r="BQ15" i="1"/>
  <c r="BQ9" i="1"/>
  <c r="BQ27" i="1"/>
  <c r="BQ17" i="1"/>
  <c r="BQ26" i="1"/>
  <c r="BQ22" i="1"/>
  <c r="BQ18" i="1"/>
  <c r="BQ47" i="1"/>
  <c r="BQ8" i="1"/>
  <c r="CR51" i="1"/>
  <c r="BQ6" i="1" l="1"/>
  <c r="BQ7" i="1"/>
  <c r="CR23" i="1"/>
  <c r="CR22" i="1"/>
  <c r="CR21" i="1"/>
  <c r="CR20" i="1"/>
  <c r="CR19" i="1"/>
  <c r="CR18" i="1"/>
  <c r="CR17" i="1"/>
  <c r="CR16" i="1"/>
  <c r="CR15" i="1"/>
  <c r="CR47" i="1"/>
  <c r="CR14" i="1"/>
  <c r="CR13" i="1"/>
  <c r="CR12" i="1"/>
  <c r="CR11" i="1"/>
  <c r="CR9" i="1"/>
  <c r="CR8" i="1"/>
  <c r="CR7" i="1"/>
  <c r="CR6" i="1"/>
  <c r="CR5" i="1"/>
  <c r="BQ5" i="1" l="1"/>
  <c r="CR50" i="1" l="1"/>
</calcChain>
</file>

<file path=xl/sharedStrings.xml><?xml version="1.0" encoding="utf-8"?>
<sst xmlns="http://schemas.openxmlformats.org/spreadsheetml/2006/main" count="501" uniqueCount="105">
  <si>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</si>
  <si>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</si>
  <si>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</si>
  <si>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</si>
  <si>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</si>
  <si>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</si>
  <si>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</si>
  <si>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</si>
  <si>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</si>
  <si>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</si>
  <si>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</si>
  <si>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</si>
  <si>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</si>
  <si>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</si>
  <si>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</si>
  <si>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</si>
  <si>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</si>
  <si>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</si>
  <si>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</si>
  <si>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</si>
  <si>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</si>
  <si>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</si>
  <si>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</si>
  <si>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</si>
  <si>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</si>
  <si>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</si>
  <si>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</si>
  <si>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</si>
  <si>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</si>
  <si>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</si>
  <si>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</si>
  <si>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</si>
  <si>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</si>
  <si>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MAD0393</t>
  </si>
  <si>
    <t>Mariyam Hameedha</t>
  </si>
  <si>
    <t>MAD0523</t>
  </si>
  <si>
    <t>Aishath Naeema</t>
  </si>
  <si>
    <t>MAD0449</t>
  </si>
  <si>
    <t>Hassan Sameer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</si>
  <si>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</si>
  <si>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</si>
  <si>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</si>
  <si>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</si>
  <si>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</si>
  <si>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</si>
  <si>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</si>
  <si>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</si>
  <si>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</si>
  <si>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</si>
  <si>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</si>
  <si>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</si>
  <si>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</si>
  <si>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</si>
  <si>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</si>
  <si>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</si>
  <si>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</si>
  <si>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</si>
  <si>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</si>
  <si>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</si>
  <si>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</si>
  <si>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</si>
  <si>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</si>
  <si>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</si>
  <si>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</si>
  <si>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</si>
  <si>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</si>
  <si>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</si>
  <si>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</si>
  <si>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</si>
  <si>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</si>
  <si>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</si>
  <si>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</si>
  <si>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</si>
  <si>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</si>
  <si>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 </t>
  </si>
  <si>
    <t>HR Executive</t>
  </si>
  <si>
    <t>Office Manager</t>
  </si>
  <si>
    <t>Chairman</t>
  </si>
  <si>
    <t>MAD0730</t>
  </si>
  <si>
    <t>Shezaa Ahmed Quraish</t>
  </si>
  <si>
    <t>Pls don’t Remove below data</t>
  </si>
  <si>
    <t>Total</t>
  </si>
  <si>
    <t>MAD0732</t>
  </si>
  <si>
    <t>Fathmath Nuha</t>
  </si>
  <si>
    <t>MAD0753</t>
  </si>
  <si>
    <t>Ziyad Moosa</t>
  </si>
  <si>
    <t>DOJ</t>
  </si>
  <si>
    <t>SICK</t>
  </si>
  <si>
    <t>MAD0764</t>
  </si>
  <si>
    <t>Ismail Ahmed</t>
  </si>
  <si>
    <t>MAD0768</t>
  </si>
  <si>
    <t>Aishath Suhama</t>
  </si>
  <si>
    <t>MAD0770</t>
  </si>
  <si>
    <t>Zainab Ahmed Marzoog</t>
  </si>
  <si>
    <t xml:space="preserve">Used Leave Totals (Running Year, up to end of this month -JUNE 2026) </t>
  </si>
  <si>
    <t>Attendance  -  JULY 2026 -Male Local Staffs</t>
  </si>
  <si>
    <t>MAD0771</t>
  </si>
  <si>
    <t>Saamila Ibrahim</t>
  </si>
  <si>
    <t>JOINING ON 4TH JULY 2026</t>
  </si>
  <si>
    <t>MDA0687</t>
  </si>
  <si>
    <t>Ibrahim Riyaz</t>
  </si>
  <si>
    <t>JOINING ON 8TH JULY 2026</t>
  </si>
  <si>
    <t>D.O.J - 04th July 2026</t>
  </si>
  <si>
    <t>D.O.J - 08th July 2027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</si>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</sst>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h:mm;@"/>
    <numFmt numFmtId="166" formatCode="[$-409]d\-mmm\-yyyy;@"/>
    <numFmt numFmtId="167" formatCode="&quot;$&quot;#,##0.00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sz val="10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sz val="9.9"/>
      <name val="Arial"/>
      <family val="2"/>
    </font>
    <font>
      <b/>
      <sz val="9.9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1" fontId="9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49" fontId="11" fillId="8" borderId="0" xfId="0" applyNumberFormat="1" applyFont="1" applyFill="1" applyAlignment="1">
      <alignment vertical="center"/>
    </xf>
    <xf numFmtId="49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8" borderId="0" xfId="0" applyFont="1" applyFill="1"/>
    <xf numFmtId="0" fontId="6" fillId="3" borderId="1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20" fontId="12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1" fontId="18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0" fillId="6" borderId="0" xfId="0" applyFill="1"/>
    <xf numFmtId="0" fontId="10" fillId="6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20" fontId="24" fillId="6" borderId="8" xfId="0" applyNumberFormat="1" applyFont="1" applyFill="1" applyBorder="1" applyAlignment="1">
      <alignment horizontal="center" vertical="center" wrapText="1"/>
    </xf>
    <xf numFmtId="166" fontId="9" fillId="4" borderId="12" xfId="0" applyNumberFormat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26" fillId="0" borderId="9" xfId="0" applyNumberFormat="1" applyFont="1" applyBorder="1" applyAlignment="1">
      <alignment horizontal="center" vertical="center"/>
    </xf>
    <xf numFmtId="166" fontId="26" fillId="0" borderId="4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166" fontId="26" fillId="0" borderId="1" xfId="0" applyNumberFormat="1" applyFont="1" applyBorder="1" applyAlignment="1">
      <alignment horizontal="center" vertical="center"/>
    </xf>
    <xf numFmtId="0" fontId="0" fillId="0" borderId="14" xfId="0" applyBorder="1"/>
    <xf numFmtId="1" fontId="20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20" fontId="23" fillId="0" borderId="8" xfId="0" applyNumberFormat="1" applyFont="1" applyBorder="1" applyAlignment="1">
      <alignment horizontal="center" vertical="center" wrapText="1"/>
    </xf>
    <xf numFmtId="20" fontId="28" fillId="0" borderId="8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20" fontId="25" fillId="6" borderId="8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1" fontId="32" fillId="6" borderId="8" xfId="0" applyNumberFormat="1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 wrapText="1"/>
    </xf>
    <xf numFmtId="1" fontId="31" fillId="6" borderId="8" xfId="0" applyNumberFormat="1" applyFont="1" applyFill="1" applyBorder="1" applyAlignment="1">
      <alignment horizontal="center" vertical="center"/>
    </xf>
    <xf numFmtId="0" fontId="25" fillId="6" borderId="8" xfId="0" applyFont="1" applyFill="1" applyBorder="1" applyAlignment="1">
      <alignment horizontal="center" vertical="center" wrapText="1"/>
    </xf>
    <xf numFmtId="20" fontId="24" fillId="6" borderId="13" xfId="0" applyNumberFormat="1" applyFont="1" applyFill="1" applyBorder="1" applyAlignment="1">
      <alignment horizontal="center" vertical="center" wrapText="1"/>
    </xf>
    <xf numFmtId="0" fontId="0" fillId="12" borderId="0" xfId="0" applyFill="1"/>
    <xf numFmtId="1" fontId="24" fillId="6" borderId="8" xfId="0" applyNumberFormat="1" applyFont="1" applyFill="1" applyBorder="1" applyAlignment="1">
      <alignment horizontal="center" vertical="center" wrapText="1"/>
    </xf>
    <xf numFmtId="1" fontId="25" fillId="6" borderId="8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165" fontId="24" fillId="13" borderId="8" xfId="0" applyNumberFormat="1" applyFont="1" applyFill="1" applyBorder="1" applyAlignment="1">
      <alignment horizontal="center" vertical="center" wrapText="1"/>
    </xf>
    <xf numFmtId="165" fontId="32" fillId="13" borderId="8" xfId="0" applyNumberFormat="1" applyFont="1" applyFill="1" applyBorder="1" applyAlignment="1">
      <alignment horizontal="center" vertical="center"/>
    </xf>
    <xf numFmtId="165" fontId="22" fillId="0" borderId="8" xfId="0" applyNumberFormat="1" applyFont="1" applyBorder="1" applyAlignment="1">
      <alignment horizontal="center" vertical="center" wrapText="1"/>
    </xf>
    <xf numFmtId="165" fontId="22" fillId="13" borderId="8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165" fontId="0" fillId="13" borderId="8" xfId="0" applyNumberFormat="1" applyFill="1" applyBorder="1" applyAlignment="1">
      <alignment horizontal="center" vertical="center"/>
    </xf>
    <xf numFmtId="165" fontId="30" fillId="0" borderId="8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65" fontId="22" fillId="0" borderId="8" xfId="0" applyNumberFormat="1" applyFont="1" applyBorder="1" applyAlignment="1">
      <alignment horizontal="center" vertical="center"/>
    </xf>
    <xf numFmtId="165" fontId="33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5" fillId="0" borderId="9" xfId="0" applyFont="1" applyBorder="1" applyAlignment="1">
      <alignment horizontal="left" vertical="center" wrapText="1"/>
    </xf>
    <xf numFmtId="1" fontId="9" fillId="7" borderId="8" xfId="0" applyNumberFormat="1" applyFont="1" applyFill="1" applyBorder="1" applyAlignment="1">
      <alignment horizontal="center" vertical="center"/>
    </xf>
    <xf numFmtId="165" fontId="0" fillId="9" borderId="8" xfId="0" applyNumberFormat="1" applyFill="1" applyBorder="1" applyAlignment="1">
      <alignment horizontal="center" vertical="center"/>
    </xf>
    <xf numFmtId="167" fontId="0" fillId="14" borderId="8" xfId="0" applyNumberFormat="1" applyFill="1" applyBorder="1" applyAlignment="1">
      <alignment horizontal="center" vertical="center"/>
    </xf>
    <xf numFmtId="3" fontId="22" fillId="0" borderId="8" xfId="0" applyNumberFormat="1" applyFont="1" applyBorder="1" applyAlignment="1">
      <alignment horizontal="center" vertical="center" wrapText="1"/>
    </xf>
    <xf numFmtId="165" fontId="0" fillId="15" borderId="8" xfId="0" applyNumberFormat="1" applyFill="1" applyBorder="1" applyAlignment="1">
      <alignment horizontal="center" vertical="center"/>
    </xf>
    <xf numFmtId="0" fontId="30" fillId="0" borderId="8" xfId="0" applyFont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6" borderId="8" xfId="0" applyNumberFormat="1" applyFill="1" applyBorder="1" applyAlignment="1">
      <alignment vertical="center"/>
    </xf>
    <xf numFmtId="165" fontId="0" fillId="6" borderId="0" xfId="0" applyNumberFormat="1" applyFill="1" applyAlignment="1">
      <alignment vertical="center"/>
    </xf>
    <xf numFmtId="165" fontId="22" fillId="6" borderId="24" xfId="0" applyNumberFormat="1" applyFont="1" applyFill="1" applyBorder="1" applyAlignment="1">
      <alignment vertical="center" wrapText="1"/>
    </xf>
    <xf numFmtId="165" fontId="10" fillId="0" borderId="8" xfId="0" applyNumberFormat="1" applyFont="1" applyBorder="1" applyAlignment="1">
      <alignment horizontal="center" vertical="center"/>
    </xf>
    <xf numFmtId="20" fontId="25" fillId="6" borderId="9" xfId="0" applyNumberFormat="1" applyFont="1" applyFill="1" applyBorder="1" applyAlignment="1">
      <alignment horizontal="center" vertical="center" wrapText="1"/>
    </xf>
    <xf numFmtId="20" fontId="25" fillId="6" borderId="12" xfId="0" applyNumberFormat="1" applyFont="1" applyFill="1" applyBorder="1" applyAlignment="1">
      <alignment horizontal="center" vertical="center" wrapText="1"/>
    </xf>
    <xf numFmtId="20" fontId="25" fillId="6" borderId="1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6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6E8B-7E5C-428F-AAF0-8F10E6713D94}" name="Table1" displayName="Table1" ref="CH4:CR31" totalsRowShown="0" headerRowDxfId="1066" dataDxfId="1064" headerRowBorderDxfId="1065" tableBorderDxfId="1063" totalsRowBorderDxfId="1062">
  <autoFilter ref="CH4:CR31" xr:uid="{A80F6E8B-7E5C-428F-AAF0-8F10E6713D94}"/>
  <tableColumns count="11">
    <tableColumn id="1" xr3:uid="{6586E15F-C2DD-4486-A747-E3871445E7D8}" name="MC" dataDxfId="1061"/>
    <tableColumn id="2" xr3:uid="{6119AEBA-2882-4A29-8B65-3CE5F50E5A35}" name="EL" dataDxfId="1060"/>
    <tableColumn id="3" xr3:uid="{A4B933EF-91BB-467A-B3E2-F8748BFB0C0C}" name="AL" dataDxfId="1059"/>
    <tableColumn id="4" xr3:uid="{7D2607E7-643A-4BE8-8DCF-5C28EB77BB0E}" name="SUS" dataDxfId="1058"/>
    <tableColumn id="5" xr3:uid="{E23768CA-A8DD-45F9-ACBE-0E9686100AD3}" name="FL" dataDxfId="1057"/>
    <tableColumn id="6" xr3:uid="{D5503395-DEA9-41D3-9732-722A5784A8F4}" name="S" dataDxfId="1056"/>
    <tableColumn id="7" xr3:uid="{A9413DCE-6612-4B99-93F6-5211956ECD22}" name="HD" dataDxfId="1055"/>
    <tableColumn id="8" xr3:uid="{2FC526AB-6D64-4BCF-B522-816D2118C5C0}" name="AB" dataDxfId="1054"/>
    <tableColumn id="9" xr3:uid="{FF68A61F-F40D-49D4-927C-F64709C8B027}" name="NL" dataDxfId="1053"/>
    <tableColumn id="10" xr3:uid="{93843698-215B-41CD-BE9E-5B86DD643899}" name="SP" dataDxfId="1052"/>
    <tableColumn id="11" xr3:uid="{556FE1F1-725C-4D3F-887C-F87A4339643C}" name="Total" dataDxfId="1051">
      <calculatedColumnFormula>SUM(CH5:CQ5)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1:CT52"/>
  <sheetViews>
    <sheetView tabSelected="1" zoomScale="80" zoomScaleNormal="80" workbookViewId="0">
      <pane xSplit="3" ySplit="4" topLeftCell="BQ5" activePane="bottomRight" state="frozen"/>
      <selection pane="topRight" activeCell="D1" sqref="D1"/>
      <selection pane="bottomLeft" activeCell="A5" sqref="A5"/>
      <selection pane="bottomRight" activeCell="C5" sqref="C5:C7"/>
    </sheetView>
  </sheetViews>
  <sheetFormatPr defaultRowHeight="15.75" x14ac:dyDescent="0.25"/>
  <cols>
    <col min="1" max="1" width="5.5703125" customWidth="1"/>
    <col min="2" max="2" width="13.85546875" customWidth="1"/>
    <col min="3" max="3" width="28.7109375" style="105" customWidth="1"/>
    <col min="4" max="4" width="0.140625" style="68" customWidth="1"/>
    <col min="5" max="34" width="7.42578125" customWidth="1"/>
    <col min="35" max="35" width="4.28515625" customWidth="1"/>
    <col min="36" max="36" width="5.5703125" customWidth="1"/>
    <col min="37" max="68" width="6.85546875" customWidth="1"/>
    <col min="69" max="70" width="5.140625" customWidth="1"/>
    <col min="71" max="77" width="5.28515625" customWidth="1"/>
    <col min="78" max="78" width="5.7109375" customWidth="1"/>
    <col min="79" max="82" width="5.28515625" customWidth="1"/>
    <col min="83" max="83" width="31.28515625" customWidth="1"/>
    <col min="86" max="95" width="7.5703125" style="13" customWidth="1"/>
    <col min="96" max="96" width="7.5703125" style="20" customWidth="1"/>
  </cols>
  <sheetData>
    <row r="1" spans="1:96" ht="30.75" customHeight="1" thickBot="1" x14ac:dyDescent="0.3">
      <c r="A1" s="141" t="s">
        <v>95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4"/>
      <c r="AI1" s="74"/>
      <c r="AJ1" s="140" t="s">
        <v>95</v>
      </c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  <c r="CA1" s="141"/>
      <c r="CB1" s="141"/>
      <c r="CC1" s="141"/>
      <c r="CD1" s="141"/>
      <c r="CE1" s="141"/>
    </row>
    <row r="2" spans="1:96" ht="21.75" customHeight="1" thickBot="1" x14ac:dyDescent="0.3">
      <c r="A2" s="122" t="s">
        <v>0</v>
      </c>
      <c r="B2" s="123"/>
      <c r="C2" s="123"/>
      <c r="D2" s="124"/>
      <c r="E2" s="131" t="s">
        <v>1</v>
      </c>
      <c r="F2" s="132"/>
      <c r="G2" s="131" t="s">
        <v>2</v>
      </c>
      <c r="H2" s="132"/>
      <c r="I2" s="131" t="s">
        <v>3</v>
      </c>
      <c r="J2" s="132"/>
      <c r="K2" s="131" t="s">
        <v>4</v>
      </c>
      <c r="L2" s="132"/>
      <c r="M2" s="131" t="s">
        <v>5</v>
      </c>
      <c r="N2" s="132"/>
      <c r="O2" s="131" t="s">
        <v>6</v>
      </c>
      <c r="P2" s="132"/>
      <c r="Q2" s="131" t="s">
        <v>7</v>
      </c>
      <c r="R2" s="132"/>
      <c r="S2" s="131" t="s">
        <v>1</v>
      </c>
      <c r="T2" s="132"/>
      <c r="U2" s="131" t="s">
        <v>2</v>
      </c>
      <c r="V2" s="132"/>
      <c r="W2" s="131" t="s">
        <v>3</v>
      </c>
      <c r="X2" s="132"/>
      <c r="Y2" s="131" t="s">
        <v>4</v>
      </c>
      <c r="Z2" s="132"/>
      <c r="AA2" s="131" t="s">
        <v>5</v>
      </c>
      <c r="AB2" s="132"/>
      <c r="AC2" s="131" t="s">
        <v>6</v>
      </c>
      <c r="AD2" s="132"/>
      <c r="AE2" s="131" t="s">
        <v>7</v>
      </c>
      <c r="AF2" s="132"/>
      <c r="AG2" s="131" t="s">
        <v>1</v>
      </c>
      <c r="AH2" s="132"/>
      <c r="AI2" s="74"/>
      <c r="AJ2" s="142" t="s">
        <v>8</v>
      </c>
      <c r="AK2" s="131" t="s">
        <v>2</v>
      </c>
      <c r="AL2" s="132"/>
      <c r="AM2" s="131" t="s">
        <v>3</v>
      </c>
      <c r="AN2" s="132"/>
      <c r="AO2" s="131" t="s">
        <v>4</v>
      </c>
      <c r="AP2" s="132"/>
      <c r="AQ2" s="131" t="s">
        <v>5</v>
      </c>
      <c r="AR2" s="132"/>
      <c r="AS2" s="131" t="s">
        <v>6</v>
      </c>
      <c r="AT2" s="132"/>
      <c r="AU2" s="131" t="s">
        <v>7</v>
      </c>
      <c r="AV2" s="132"/>
      <c r="AW2" s="131" t="s">
        <v>1</v>
      </c>
      <c r="AX2" s="132"/>
      <c r="AY2" s="131" t="s">
        <v>2</v>
      </c>
      <c r="AZ2" s="132"/>
      <c r="BA2" s="131" t="s">
        <v>3</v>
      </c>
      <c r="BB2" s="132"/>
      <c r="BC2" s="131" t="s">
        <v>4</v>
      </c>
      <c r="BD2" s="132"/>
      <c r="BE2" s="131" t="s">
        <v>5</v>
      </c>
      <c r="BF2" s="132"/>
      <c r="BG2" s="131" t="s">
        <v>6</v>
      </c>
      <c r="BH2" s="132"/>
      <c r="BI2" s="131" t="s">
        <v>7</v>
      </c>
      <c r="BJ2" s="132"/>
      <c r="BK2" s="131" t="s">
        <v>1</v>
      </c>
      <c r="BL2" s="132"/>
      <c r="BM2" s="131" t="s">
        <v>2</v>
      </c>
      <c r="BN2" s="132"/>
      <c r="BO2" s="131" t="s">
        <v>3</v>
      </c>
      <c r="BP2" s="132"/>
      <c r="BQ2" s="138" t="s">
        <v>51</v>
      </c>
      <c r="BR2" s="133" t="s">
        <v>52</v>
      </c>
      <c r="BS2" s="135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7"/>
      <c r="CH2" s="128" t="s">
        <v>80</v>
      </c>
      <c r="CI2" s="128"/>
      <c r="CJ2" s="128"/>
      <c r="CK2" s="128"/>
      <c r="CL2" s="128"/>
      <c r="CM2" s="128"/>
      <c r="CN2" s="128"/>
      <c r="CO2" s="128"/>
      <c r="CP2" s="128"/>
      <c r="CQ2" s="128"/>
    </row>
    <row r="3" spans="1:96" ht="21.75" customHeight="1" x14ac:dyDescent="0.25">
      <c r="A3" s="125"/>
      <c r="B3" s="126"/>
      <c r="C3" s="126"/>
      <c r="D3" s="127"/>
      <c r="E3" s="145">
        <v>46204</v>
      </c>
      <c r="F3" s="146"/>
      <c r="G3" s="145">
        <v>46205</v>
      </c>
      <c r="H3" s="146"/>
      <c r="I3" s="145">
        <v>46206</v>
      </c>
      <c r="J3" s="146"/>
      <c r="K3" s="145">
        <v>46207</v>
      </c>
      <c r="L3" s="146"/>
      <c r="M3" s="145">
        <v>46208</v>
      </c>
      <c r="N3" s="146"/>
      <c r="O3" s="145">
        <v>46209</v>
      </c>
      <c r="P3" s="146"/>
      <c r="Q3" s="145">
        <v>46210</v>
      </c>
      <c r="R3" s="146"/>
      <c r="S3" s="145">
        <v>46211</v>
      </c>
      <c r="T3" s="146"/>
      <c r="U3" s="145">
        <v>46212</v>
      </c>
      <c r="V3" s="146"/>
      <c r="W3" s="145">
        <v>46213</v>
      </c>
      <c r="X3" s="146"/>
      <c r="Y3" s="145">
        <v>46214</v>
      </c>
      <c r="Z3" s="146"/>
      <c r="AA3" s="145">
        <v>46215</v>
      </c>
      <c r="AB3" s="146"/>
      <c r="AC3" s="145">
        <v>46216</v>
      </c>
      <c r="AD3" s="146"/>
      <c r="AE3" s="145">
        <v>46217</v>
      </c>
      <c r="AF3" s="146"/>
      <c r="AG3" s="145">
        <v>46218</v>
      </c>
      <c r="AH3" s="146"/>
      <c r="AI3" s="74"/>
      <c r="AJ3" s="143"/>
      <c r="AK3" s="129">
        <v>46219</v>
      </c>
      <c r="AL3" s="130"/>
      <c r="AM3" s="129">
        <v>46220</v>
      </c>
      <c r="AN3" s="130"/>
      <c r="AO3" s="129">
        <v>46221</v>
      </c>
      <c r="AP3" s="130"/>
      <c r="AQ3" s="129">
        <v>46222</v>
      </c>
      <c r="AR3" s="130"/>
      <c r="AS3" s="129">
        <v>46223</v>
      </c>
      <c r="AT3" s="130"/>
      <c r="AU3" s="129">
        <v>46224</v>
      </c>
      <c r="AV3" s="130"/>
      <c r="AW3" s="129">
        <v>46225</v>
      </c>
      <c r="AX3" s="130"/>
      <c r="AY3" s="129">
        <v>46226</v>
      </c>
      <c r="AZ3" s="130"/>
      <c r="BA3" s="129">
        <v>46227</v>
      </c>
      <c r="BB3" s="130"/>
      <c r="BC3" s="129">
        <v>46228</v>
      </c>
      <c r="BD3" s="130"/>
      <c r="BE3" s="129">
        <v>46229</v>
      </c>
      <c r="BF3" s="130"/>
      <c r="BG3" s="129">
        <v>46230</v>
      </c>
      <c r="BH3" s="130"/>
      <c r="BI3" s="129">
        <v>46231</v>
      </c>
      <c r="BJ3" s="130"/>
      <c r="BK3" s="129">
        <v>46232</v>
      </c>
      <c r="BL3" s="130"/>
      <c r="BM3" s="129">
        <v>46233</v>
      </c>
      <c r="BN3" s="130"/>
      <c r="BO3" s="129">
        <v>46234</v>
      </c>
      <c r="BP3" s="130"/>
      <c r="BQ3" s="139"/>
      <c r="BR3" s="134"/>
      <c r="BS3" s="4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5"/>
      <c r="CH3" s="121" t="s">
        <v>94</v>
      </c>
      <c r="CI3" s="121"/>
      <c r="CJ3" s="121"/>
      <c r="CK3" s="121"/>
      <c r="CL3" s="121"/>
      <c r="CM3" s="121"/>
      <c r="CN3" s="121"/>
      <c r="CO3" s="121"/>
      <c r="CP3" s="121"/>
      <c r="CQ3" s="121"/>
      <c r="CR3" s="121"/>
    </row>
    <row r="4" spans="1:96" ht="25.5" customHeight="1" x14ac:dyDescent="0.25">
      <c r="A4" s="6" t="s">
        <v>8</v>
      </c>
      <c r="B4" s="6" t="s">
        <v>9</v>
      </c>
      <c r="C4" s="33" t="s">
        <v>10</v>
      </c>
      <c r="D4" s="65" t="s">
        <v>86</v>
      </c>
      <c r="E4" s="1" t="s">
        <v>11</v>
      </c>
      <c r="F4" s="2" t="s">
        <v>12</v>
      </c>
      <c r="G4" s="1" t="s">
        <v>11</v>
      </c>
      <c r="H4" s="2" t="s">
        <v>12</v>
      </c>
      <c r="I4" s="1" t="s">
        <v>11</v>
      </c>
      <c r="J4" s="2" t="s">
        <v>12</v>
      </c>
      <c r="K4" s="1" t="s">
        <v>11</v>
      </c>
      <c r="L4" s="2" t="s">
        <v>12</v>
      </c>
      <c r="M4" s="1" t="s">
        <v>11</v>
      </c>
      <c r="N4" s="2" t="s">
        <v>12</v>
      </c>
      <c r="O4" s="1" t="s">
        <v>11</v>
      </c>
      <c r="P4" s="2" t="s">
        <v>12</v>
      </c>
      <c r="Q4" s="1" t="s">
        <v>11</v>
      </c>
      <c r="R4" s="2" t="s">
        <v>12</v>
      </c>
      <c r="S4" s="1" t="s">
        <v>11</v>
      </c>
      <c r="T4" s="2" t="s">
        <v>12</v>
      </c>
      <c r="U4" s="1" t="s">
        <v>11</v>
      </c>
      <c r="V4" s="2" t="s">
        <v>12</v>
      </c>
      <c r="W4" s="1" t="s">
        <v>11</v>
      </c>
      <c r="X4" s="2" t="s">
        <v>12</v>
      </c>
      <c r="Y4" s="1" t="s">
        <v>11</v>
      </c>
      <c r="Z4" s="2" t="s">
        <v>12</v>
      </c>
      <c r="AA4" s="1" t="s">
        <v>11</v>
      </c>
      <c r="AB4" s="2" t="s">
        <v>12</v>
      </c>
      <c r="AC4" s="1" t="s">
        <v>11</v>
      </c>
      <c r="AD4" s="2" t="s">
        <v>12</v>
      </c>
      <c r="AE4" s="8" t="s">
        <v>11</v>
      </c>
      <c r="AF4" s="9" t="s">
        <v>12</v>
      </c>
      <c r="AG4" s="8" t="s">
        <v>11</v>
      </c>
      <c r="AH4" s="31" t="s">
        <v>12</v>
      </c>
      <c r="AI4" s="74"/>
      <c r="AJ4" s="143"/>
      <c r="AK4" s="8" t="s">
        <v>11</v>
      </c>
      <c r="AL4" s="9" t="s">
        <v>12</v>
      </c>
      <c r="AM4" s="8" t="s">
        <v>11</v>
      </c>
      <c r="AN4" s="9" t="s">
        <v>12</v>
      </c>
      <c r="AO4" s="8" t="s">
        <v>11</v>
      </c>
      <c r="AP4" s="9" t="s">
        <v>12</v>
      </c>
      <c r="AQ4" s="8" t="s">
        <v>11</v>
      </c>
      <c r="AR4" s="9" t="s">
        <v>12</v>
      </c>
      <c r="AS4" s="8" t="s">
        <v>11</v>
      </c>
      <c r="AT4" s="9" t="s">
        <v>12</v>
      </c>
      <c r="AU4" s="8" t="s">
        <v>11</v>
      </c>
      <c r="AV4" s="9" t="s">
        <v>12</v>
      </c>
      <c r="AW4" s="8" t="s">
        <v>11</v>
      </c>
      <c r="AX4" s="9" t="s">
        <v>12</v>
      </c>
      <c r="AY4" s="8" t="s">
        <v>11</v>
      </c>
      <c r="AZ4" s="9" t="s">
        <v>12</v>
      </c>
      <c r="BA4" s="8" t="s">
        <v>11</v>
      </c>
      <c r="BB4" s="9" t="s">
        <v>12</v>
      </c>
      <c r="BC4" s="8" t="s">
        <v>11</v>
      </c>
      <c r="BD4" s="9" t="s">
        <v>12</v>
      </c>
      <c r="BE4" s="8" t="s">
        <v>11</v>
      </c>
      <c r="BF4" s="9" t="s">
        <v>12</v>
      </c>
      <c r="BG4" s="8" t="s">
        <v>11</v>
      </c>
      <c r="BH4" s="9" t="s">
        <v>12</v>
      </c>
      <c r="BI4" s="8" t="s">
        <v>11</v>
      </c>
      <c r="BJ4" s="9" t="s">
        <v>12</v>
      </c>
      <c r="BK4" s="8" t="s">
        <v>11</v>
      </c>
      <c r="BL4" s="9" t="s">
        <v>12</v>
      </c>
      <c r="BM4" s="8" t="s">
        <v>11</v>
      </c>
      <c r="BN4" s="9" t="s">
        <v>12</v>
      </c>
      <c r="BO4" s="8" t="s">
        <v>11</v>
      </c>
      <c r="BP4" s="9" t="s">
        <v>12</v>
      </c>
      <c r="BQ4" s="139"/>
      <c r="BR4" s="134"/>
      <c r="BS4" s="10"/>
      <c r="BT4" s="76" t="s">
        <v>53</v>
      </c>
      <c r="BU4" s="77" t="s">
        <v>54</v>
      </c>
      <c r="BV4" s="75" t="s">
        <v>55</v>
      </c>
      <c r="BW4" s="77" t="s">
        <v>56</v>
      </c>
      <c r="BX4" s="75" t="s">
        <v>57</v>
      </c>
      <c r="BY4" s="77" t="s">
        <v>58</v>
      </c>
      <c r="BZ4" s="78" t="s">
        <v>87</v>
      </c>
      <c r="CA4" s="11" t="s">
        <v>60</v>
      </c>
      <c r="CB4" s="75" t="s">
        <v>61</v>
      </c>
      <c r="CC4" s="75" t="s">
        <v>62</v>
      </c>
      <c r="CD4" s="75" t="s">
        <v>63</v>
      </c>
      <c r="CE4" s="12" t="s">
        <v>64</v>
      </c>
      <c r="CH4" s="45" t="s">
        <v>54</v>
      </c>
      <c r="CI4" s="46" t="s">
        <v>55</v>
      </c>
      <c r="CJ4" s="46" t="s">
        <v>56</v>
      </c>
      <c r="CK4" s="46" t="s">
        <v>57</v>
      </c>
      <c r="CL4" s="46" t="s">
        <v>58</v>
      </c>
      <c r="CM4" s="46" t="s">
        <v>59</v>
      </c>
      <c r="CN4" s="46" t="s">
        <v>60</v>
      </c>
      <c r="CO4" s="46" t="s">
        <v>61</v>
      </c>
      <c r="CP4" s="46" t="s">
        <v>62</v>
      </c>
      <c r="CQ4" s="46" t="s">
        <v>63</v>
      </c>
      <c r="CR4" s="47" t="s">
        <v>81</v>
      </c>
    </row>
    <row r="5" spans="1:96" s="20" customFormat="1" ht="24" customHeight="1" x14ac:dyDescent="0.25">
      <c r="A5" s="34">
        <v>1</v>
      </c>
      <c r="B5" s="35" t="s">
        <v>13</v>
      </c>
      <c r="C5" s="36" t="s">
        <v>14</v>
      </c>
      <c r="D5" s="66"/>
      <c r="E5" s="76">
        <v>1</v>
      </c>
      <c r="F5" s="76">
        <v>1</v>
      </c>
      <c r="G5" s="76">
        <v>1</v>
      </c>
      <c r="H5" s="76">
        <v>1</v>
      </c>
      <c r="I5" s="76" t="s">
        <v>53</v>
      </c>
      <c r="J5" s="76" t="s">
        <v>53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>
        <v>1</v>
      </c>
      <c r="Q5" s="76">
        <v>1</v>
      </c>
      <c r="R5" s="76">
        <v>1</v>
      </c>
      <c r="S5" s="76">
        <v>1</v>
      </c>
      <c r="T5" s="76">
        <v>1</v>
      </c>
      <c r="U5" s="76">
        <v>1</v>
      </c>
      <c r="V5" s="76">
        <v>1</v>
      </c>
      <c r="W5" s="76" t="s">
        <v>53</v>
      </c>
      <c r="X5" s="76" t="s">
        <v>53</v>
      </c>
      <c r="Y5" s="76">
        <v>1</v>
      </c>
      <c r="Z5" s="76">
        <v>1</v>
      </c>
      <c r="AA5" s="76">
        <v>1</v>
      </c>
      <c r="AB5" s="76">
        <v>1</v>
      </c>
      <c r="AC5" s="76">
        <v>1</v>
      </c>
      <c r="AD5" s="76">
        <v>1</v>
      </c>
      <c r="AE5" s="76">
        <v>1</v>
      </c>
      <c r="AF5" s="76">
        <v>1</v>
      </c>
      <c r="AG5" s="76">
        <v>1</v>
      </c>
      <c r="AH5" s="76">
        <v>1</v>
      </c>
      <c r="AI5" s="97"/>
      <c r="AJ5" s="34">
        <v>1</v>
      </c>
      <c r="AK5" s="76">
        <v>1</v>
      </c>
      <c r="AL5" s="76">
        <v>1</v>
      </c>
      <c r="AM5" s="76" t="s">
        <v>53</v>
      </c>
      <c r="AN5" s="76" t="s">
        <v>53</v>
      </c>
      <c r="AO5" s="76">
        <v>1</v>
      </c>
      <c r="AP5" s="76">
        <v>1</v>
      </c>
      <c r="AQ5" s="76">
        <v>1</v>
      </c>
      <c r="AR5" s="76">
        <v>1</v>
      </c>
      <c r="AS5" s="76">
        <v>1</v>
      </c>
      <c r="AT5" s="76">
        <v>1</v>
      </c>
      <c r="AU5" s="76">
        <v>1</v>
      </c>
      <c r="AV5" s="76">
        <v>1</v>
      </c>
      <c r="AW5" s="76">
        <v>1</v>
      </c>
      <c r="AX5" s="76">
        <v>1</v>
      </c>
      <c r="AY5" s="76">
        <v>1</v>
      </c>
      <c r="AZ5" s="76">
        <v>1</v>
      </c>
      <c r="BA5" s="76" t="s">
        <v>53</v>
      </c>
      <c r="BB5" s="76" t="s">
        <v>53</v>
      </c>
      <c r="BC5" s="76">
        <v>1</v>
      </c>
      <c r="BD5" s="76">
        <v>1</v>
      </c>
      <c r="BE5" s="76">
        <v>1</v>
      </c>
      <c r="BF5" s="76">
        <v>1</v>
      </c>
      <c r="BG5" s="76">
        <v>1</v>
      </c>
      <c r="BH5" s="76">
        <v>1</v>
      </c>
      <c r="BI5" s="76">
        <v>1</v>
      </c>
      <c r="BJ5" s="76">
        <v>1</v>
      </c>
      <c r="BK5" s="76">
        <v>1</v>
      </c>
      <c r="BL5" s="76">
        <v>1</v>
      </c>
      <c r="BM5" s="76">
        <v>1</v>
      </c>
      <c r="BN5" s="76">
        <v>1</v>
      </c>
      <c r="BO5" s="76" t="s">
        <v>53</v>
      </c>
      <c r="BP5" s="76" t="s">
        <v>53</v>
      </c>
      <c r="BQ5" s="107">
        <f>BS5+BT5+BU5+BZ5+BX5+CC5+BW5</f>
        <v>31</v>
      </c>
      <c r="BR5" s="59">
        <v>0</v>
      </c>
      <c r="BS5" s="38">
        <f>COUNT(E5:AH5)/2+COUNT(AK5:BP5)/2</f>
        <v>26</v>
      </c>
      <c r="BT5" s="39">
        <f>COUNTIF(E5:BP5,"OFF")/2</f>
        <v>5</v>
      </c>
      <c r="BU5" s="39">
        <f>COUNTIF(E5:BP5,"MC")/2</f>
        <v>0</v>
      </c>
      <c r="BV5" s="39">
        <f>COUNTIF(E5:BP5,"EL")/2</f>
        <v>0</v>
      </c>
      <c r="BW5" s="39">
        <f>COUNTIF(E5:BP5,"AL")/2</f>
        <v>0</v>
      </c>
      <c r="BX5" s="39">
        <f>COUNTIF(E5:BP5,"SUS")/2</f>
        <v>0</v>
      </c>
      <c r="BY5" s="39">
        <f>COUNTIF(E5:BP5,"FL")/2</f>
        <v>0</v>
      </c>
      <c r="BZ5" s="39">
        <f>COUNTIF(E5:BP5,"SICK")/2</f>
        <v>0</v>
      </c>
      <c r="CA5" s="39">
        <f>COUNTIF(E5:BP5,"HD")/2</f>
        <v>0</v>
      </c>
      <c r="CB5" s="39">
        <f>COUNTIF(E5:BP5,"AB")/2</f>
        <v>0</v>
      </c>
      <c r="CC5" s="39">
        <f>COUNTIF(E5:BP5,"NL")/2</f>
        <v>0</v>
      </c>
      <c r="CD5" s="39">
        <f>COUNTIF(E5:BP5,"SP")/2</f>
        <v>0</v>
      </c>
      <c r="CE5" s="40"/>
      <c r="CH5" s="37">
        <v>0</v>
      </c>
      <c r="CI5" s="34">
        <v>0</v>
      </c>
      <c r="CJ5" s="34">
        <v>0</v>
      </c>
      <c r="CK5" s="34">
        <v>0</v>
      </c>
      <c r="CL5" s="34">
        <v>0</v>
      </c>
      <c r="CM5" s="34">
        <v>0</v>
      </c>
      <c r="CN5" s="34">
        <v>0</v>
      </c>
      <c r="CO5" s="34">
        <v>0</v>
      </c>
      <c r="CP5" s="34">
        <v>0</v>
      </c>
      <c r="CQ5" s="34">
        <v>0</v>
      </c>
      <c r="CR5" s="44">
        <f t="shared" ref="CR5:CR27" si="0">SUM(CH5:CQ5)</f>
        <v>0</v>
      </c>
    </row>
    <row r="6" spans="1:96" s="20" customFormat="1" ht="24" customHeight="1" x14ac:dyDescent="0.25">
      <c r="A6" s="34">
        <v>2</v>
      </c>
      <c r="B6" s="35" t="s">
        <v>15</v>
      </c>
      <c r="C6" s="36" t="s">
        <v>16</v>
      </c>
      <c r="D6" s="67"/>
      <c r="E6" s="79">
        <v>1</v>
      </c>
      <c r="F6" s="79">
        <v>1</v>
      </c>
      <c r="G6" s="79">
        <v>1</v>
      </c>
      <c r="H6" s="79">
        <v>1</v>
      </c>
      <c r="I6" s="76" t="s">
        <v>53</v>
      </c>
      <c r="J6" s="76" t="s">
        <v>53</v>
      </c>
      <c r="K6" s="79">
        <v>1</v>
      </c>
      <c r="L6" s="79">
        <v>1</v>
      </c>
      <c r="M6" s="79">
        <v>1</v>
      </c>
      <c r="N6" s="79">
        <v>1</v>
      </c>
      <c r="O6" s="79">
        <v>1</v>
      </c>
      <c r="P6" s="79">
        <v>1</v>
      </c>
      <c r="Q6" s="79">
        <v>1</v>
      </c>
      <c r="R6" s="79">
        <v>1</v>
      </c>
      <c r="S6" s="79">
        <v>1</v>
      </c>
      <c r="T6" s="79">
        <v>1</v>
      </c>
      <c r="U6" s="79">
        <v>1</v>
      </c>
      <c r="V6" s="79">
        <v>1</v>
      </c>
      <c r="W6" s="76" t="s">
        <v>53</v>
      </c>
      <c r="X6" s="76" t="s">
        <v>53</v>
      </c>
      <c r="Y6" s="76">
        <v>1</v>
      </c>
      <c r="Z6" s="76">
        <v>1</v>
      </c>
      <c r="AA6" s="76">
        <v>1</v>
      </c>
      <c r="AB6" s="76">
        <v>1</v>
      </c>
      <c r="AC6" s="76">
        <v>1</v>
      </c>
      <c r="AD6" s="76">
        <v>1</v>
      </c>
      <c r="AE6" s="76">
        <v>1</v>
      </c>
      <c r="AF6" s="76">
        <v>1</v>
      </c>
      <c r="AG6" s="76">
        <v>1</v>
      </c>
      <c r="AH6" s="76">
        <v>1</v>
      </c>
      <c r="AI6" s="97"/>
      <c r="AJ6" s="34">
        <v>2</v>
      </c>
      <c r="AK6" s="76">
        <v>1</v>
      </c>
      <c r="AL6" s="76">
        <v>1</v>
      </c>
      <c r="AM6" s="76" t="s">
        <v>53</v>
      </c>
      <c r="AN6" s="76" t="s">
        <v>53</v>
      </c>
      <c r="AO6" s="76">
        <v>1</v>
      </c>
      <c r="AP6" s="76">
        <v>1</v>
      </c>
      <c r="AQ6" s="76">
        <v>1</v>
      </c>
      <c r="AR6" s="76">
        <v>1</v>
      </c>
      <c r="AS6" s="76">
        <v>1</v>
      </c>
      <c r="AT6" s="76">
        <v>1</v>
      </c>
      <c r="AU6" s="76">
        <v>1</v>
      </c>
      <c r="AV6" s="76">
        <v>1</v>
      </c>
      <c r="AW6" s="76">
        <v>1</v>
      </c>
      <c r="AX6" s="76">
        <v>1</v>
      </c>
      <c r="AY6" s="76">
        <v>1</v>
      </c>
      <c r="AZ6" s="76">
        <v>1</v>
      </c>
      <c r="BA6" s="76" t="s">
        <v>53</v>
      </c>
      <c r="BB6" s="76" t="s">
        <v>53</v>
      </c>
      <c r="BC6" s="76">
        <v>1</v>
      </c>
      <c r="BD6" s="76">
        <v>1</v>
      </c>
      <c r="BE6" s="76">
        <v>1</v>
      </c>
      <c r="BF6" s="76">
        <v>1</v>
      </c>
      <c r="BG6" s="76">
        <v>1</v>
      </c>
      <c r="BH6" s="76">
        <v>1</v>
      </c>
      <c r="BI6" s="76">
        <v>1</v>
      </c>
      <c r="BJ6" s="76">
        <v>1</v>
      </c>
      <c r="BK6" s="76">
        <v>1</v>
      </c>
      <c r="BL6" s="76">
        <v>1</v>
      </c>
      <c r="BM6" s="76">
        <v>1</v>
      </c>
      <c r="BN6" s="76">
        <v>1</v>
      </c>
      <c r="BO6" s="76" t="s">
        <v>53</v>
      </c>
      <c r="BP6" s="76" t="s">
        <v>53</v>
      </c>
      <c r="BQ6" s="107">
        <f t="shared" ref="BQ6:BQ7" si="1">BS6+BT6+BU6+BZ6+BX6+CC6+BW6</f>
        <v>31</v>
      </c>
      <c r="BR6" s="59">
        <v>0</v>
      </c>
      <c r="BS6" s="38">
        <f t="shared" ref="BS6:BS30" si="2">COUNT(E6:AH6)/2+COUNT(AK6:BP6)/2</f>
        <v>26</v>
      </c>
      <c r="BT6" s="39">
        <f t="shared" ref="BT6:BT30" si="3">COUNTIF(E6:BP6,"OFF")/2</f>
        <v>5</v>
      </c>
      <c r="BU6" s="39">
        <f t="shared" ref="BU6:BU30" si="4">COUNTIF(E6:BP6,"MC")/2</f>
        <v>0</v>
      </c>
      <c r="BV6" s="39">
        <f t="shared" ref="BV6:BV30" si="5">COUNTIF(E6:BP6,"EL")/2</f>
        <v>0</v>
      </c>
      <c r="BW6" s="39">
        <f t="shared" ref="BW6:BW30" si="6">COUNTIF(E6:BP6,"AL")/2</f>
        <v>0</v>
      </c>
      <c r="BX6" s="39">
        <f t="shared" ref="BX6:BX30" si="7">COUNTIF(E6:BP6,"SUS")/2</f>
        <v>0</v>
      </c>
      <c r="BY6" s="39">
        <f t="shared" ref="BY6:BY30" si="8">COUNTIF(E6:BP6,"FL")/2</f>
        <v>0</v>
      </c>
      <c r="BZ6" s="39">
        <f t="shared" ref="BZ6:BZ30" si="9">COUNTIF(E6:BP6,"SICK")/2</f>
        <v>0</v>
      </c>
      <c r="CA6" s="39">
        <f t="shared" ref="CA6:CA30" si="10">COUNTIF(E6:BP6,"HD")/2</f>
        <v>0</v>
      </c>
      <c r="CB6" s="39">
        <f t="shared" ref="CB6:CB30" si="11">COUNTIF(E6:BP6,"AB")/2</f>
        <v>0</v>
      </c>
      <c r="CC6" s="39">
        <f t="shared" ref="CC6:CC30" si="12">COUNTIF(E6:BP6,"NL")/2</f>
        <v>0</v>
      </c>
      <c r="CD6" s="39">
        <f t="shared" ref="CD6:CD30" si="13">COUNTIF(E6:BP6,"SP")/2</f>
        <v>0</v>
      </c>
      <c r="CE6" s="40"/>
      <c r="CH6" s="37">
        <v>0</v>
      </c>
      <c r="CI6" s="34">
        <v>0</v>
      </c>
      <c r="CJ6" s="34">
        <v>0</v>
      </c>
      <c r="CK6" s="34">
        <v>0</v>
      </c>
      <c r="CL6" s="34">
        <v>0</v>
      </c>
      <c r="CM6" s="34">
        <v>0</v>
      </c>
      <c r="CN6" s="34">
        <v>0</v>
      </c>
      <c r="CO6" s="34">
        <v>0</v>
      </c>
      <c r="CP6" s="34">
        <v>0</v>
      </c>
      <c r="CQ6" s="34">
        <v>0</v>
      </c>
      <c r="CR6" s="44">
        <f t="shared" si="0"/>
        <v>0</v>
      </c>
    </row>
    <row r="7" spans="1:96" s="20" customFormat="1" ht="24" customHeight="1" x14ac:dyDescent="0.25">
      <c r="A7" s="34">
        <v>3</v>
      </c>
      <c r="B7" s="39" t="s">
        <v>17</v>
      </c>
      <c r="C7" s="36" t="s">
        <v>18</v>
      </c>
      <c r="D7" s="70">
        <v>35548</v>
      </c>
      <c r="E7" s="64">
        <v>0.31666666666666665</v>
      </c>
      <c r="F7" s="90">
        <v>1</v>
      </c>
      <c r="G7" s="64">
        <v>0.32013888888888892</v>
      </c>
      <c r="H7" s="90">
        <v>1</v>
      </c>
      <c r="I7" s="76" t="s">
        <v>53</v>
      </c>
      <c r="J7" s="76" t="s">
        <v>53</v>
      </c>
      <c r="K7" s="64">
        <v>0.32013888888888892</v>
      </c>
      <c r="L7" s="64">
        <v>0.73402777777777783</v>
      </c>
      <c r="M7" s="64">
        <v>0.32361111111111113</v>
      </c>
      <c r="N7" s="90">
        <v>1</v>
      </c>
      <c r="O7" s="64">
        <v>0.32708333333333334</v>
      </c>
      <c r="P7" s="90">
        <v>1</v>
      </c>
      <c r="Q7" s="64">
        <v>0.32708333333333334</v>
      </c>
      <c r="R7" s="90">
        <v>1</v>
      </c>
      <c r="S7" s="64">
        <v>0.32777777777777778</v>
      </c>
      <c r="T7" s="90">
        <v>1</v>
      </c>
      <c r="U7" s="64">
        <v>0.3263888888888889</v>
      </c>
      <c r="V7" s="90">
        <v>1</v>
      </c>
      <c r="W7" s="81">
        <v>0.55625000000000002</v>
      </c>
      <c r="X7" s="91">
        <v>1</v>
      </c>
      <c r="Y7" s="64">
        <v>0.31527777777777777</v>
      </c>
      <c r="Z7" s="90">
        <v>1</v>
      </c>
      <c r="AA7" s="64">
        <v>0.3263888888888889</v>
      </c>
      <c r="AB7" s="90">
        <v>1</v>
      </c>
      <c r="AC7" s="64">
        <v>0.32847222222222222</v>
      </c>
      <c r="AD7" s="90">
        <v>1</v>
      </c>
      <c r="AE7" s="64">
        <v>0.32430555555555557</v>
      </c>
      <c r="AF7" s="90">
        <v>1</v>
      </c>
      <c r="AG7" s="64">
        <v>0.32083333333333336</v>
      </c>
      <c r="AH7" s="90">
        <v>1</v>
      </c>
      <c r="AI7" s="97"/>
      <c r="AJ7" s="34">
        <v>3</v>
      </c>
      <c r="AK7" s="64">
        <v>46219.329108796293</v>
      </c>
      <c r="AL7" s="84">
        <v>1</v>
      </c>
      <c r="AM7" s="64">
        <v>46220.556446759256</v>
      </c>
      <c r="AN7" s="84">
        <v>1</v>
      </c>
      <c r="AO7" s="64">
        <v>46221.331307870372</v>
      </c>
      <c r="AP7" s="84">
        <v>1</v>
      </c>
      <c r="AQ7" s="81">
        <v>46222.331226851849</v>
      </c>
      <c r="AR7" s="86">
        <v>1</v>
      </c>
      <c r="AS7" s="64">
        <v>46223.324907407405</v>
      </c>
      <c r="AT7" s="84">
        <v>1</v>
      </c>
      <c r="AU7" s="64">
        <v>46224.323946759258</v>
      </c>
      <c r="AV7" s="64">
        <v>1</v>
      </c>
      <c r="AW7" s="64">
        <v>46225.3278587963</v>
      </c>
      <c r="AX7" s="85">
        <v>1</v>
      </c>
      <c r="AY7" s="64">
        <v>46226.328449074077</v>
      </c>
      <c r="AZ7" s="85">
        <v>1</v>
      </c>
      <c r="BA7" s="64">
        <v>46227.552094907405</v>
      </c>
      <c r="BB7" s="85">
        <v>1</v>
      </c>
      <c r="BC7" s="64">
        <v>46228.322523148148</v>
      </c>
      <c r="BD7" s="85">
        <v>1</v>
      </c>
      <c r="BE7" s="81">
        <v>46229.319189814814</v>
      </c>
      <c r="BF7" s="87">
        <v>1</v>
      </c>
      <c r="BG7" s="64">
        <v>46230.31422453704</v>
      </c>
      <c r="BH7" s="85">
        <v>1</v>
      </c>
      <c r="BI7" s="64">
        <v>46231.316076388888</v>
      </c>
      <c r="BJ7" s="85">
        <v>1</v>
      </c>
      <c r="BK7" s="64">
        <v>46232.320671296293</v>
      </c>
      <c r="BL7" s="84">
        <v>1</v>
      </c>
      <c r="BM7" s="95">
        <v>46233.317037037035</v>
      </c>
      <c r="BN7" s="102">
        <v>1</v>
      </c>
      <c r="BO7" s="113">
        <v>46234.556203703702</v>
      </c>
      <c r="BP7" s="113">
        <v>1</v>
      </c>
      <c r="BQ7" s="107">
        <f t="shared" si="1"/>
        <v>31</v>
      </c>
      <c r="BR7" s="59">
        <v>5</v>
      </c>
      <c r="BS7" s="38">
        <f t="shared" si="2"/>
        <v>30</v>
      </c>
      <c r="BT7" s="39">
        <f t="shared" si="3"/>
        <v>1</v>
      </c>
      <c r="BU7" s="39">
        <f t="shared" si="4"/>
        <v>0</v>
      </c>
      <c r="BV7" s="39">
        <f t="shared" si="5"/>
        <v>0</v>
      </c>
      <c r="BW7" s="39">
        <f t="shared" si="6"/>
        <v>0</v>
      </c>
      <c r="BX7" s="39">
        <f t="shared" si="7"/>
        <v>0</v>
      </c>
      <c r="BY7" s="39">
        <f t="shared" si="8"/>
        <v>0</v>
      </c>
      <c r="BZ7" s="39">
        <f t="shared" si="9"/>
        <v>0</v>
      </c>
      <c r="CA7" s="39">
        <f t="shared" si="10"/>
        <v>0</v>
      </c>
      <c r="CB7" s="39">
        <f t="shared" si="11"/>
        <v>0</v>
      </c>
      <c r="CC7" s="39">
        <f t="shared" si="12"/>
        <v>0</v>
      </c>
      <c r="CD7" s="39">
        <f t="shared" si="13"/>
        <v>0</v>
      </c>
      <c r="CE7" s="40"/>
      <c r="CH7" s="37">
        <v>0</v>
      </c>
      <c r="CI7" s="34">
        <v>0</v>
      </c>
      <c r="CJ7" s="34">
        <v>13</v>
      </c>
      <c r="CK7" s="34">
        <v>0</v>
      </c>
      <c r="CL7" s="34">
        <v>0</v>
      </c>
      <c r="CM7" s="34">
        <v>0</v>
      </c>
      <c r="CN7" s="34">
        <v>0</v>
      </c>
      <c r="CO7" s="34">
        <v>0</v>
      </c>
      <c r="CP7" s="34">
        <v>0</v>
      </c>
      <c r="CQ7" s="34">
        <v>0</v>
      </c>
      <c r="CR7" s="43">
        <f t="shared" si="0"/>
        <v>13</v>
      </c>
    </row>
    <row r="8" spans="1:96" s="20" customFormat="1" ht="24" customHeight="1" x14ac:dyDescent="0.25">
      <c r="A8" s="34">
        <v>4</v>
      </c>
      <c r="B8" s="39" t="s">
        <v>19</v>
      </c>
      <c r="C8" s="36" t="s">
        <v>20</v>
      </c>
      <c r="D8" s="71">
        <v>43952</v>
      </c>
      <c r="E8" s="80">
        <v>1</v>
      </c>
      <c r="F8" s="80">
        <v>1</v>
      </c>
      <c r="G8" s="80">
        <v>1</v>
      </c>
      <c r="H8" s="80">
        <v>1</v>
      </c>
      <c r="I8" s="76" t="s">
        <v>53</v>
      </c>
      <c r="J8" s="76" t="s">
        <v>53</v>
      </c>
      <c r="K8" s="80">
        <v>1</v>
      </c>
      <c r="L8" s="80">
        <v>1</v>
      </c>
      <c r="M8" s="80">
        <v>1</v>
      </c>
      <c r="N8" s="80">
        <v>1</v>
      </c>
      <c r="O8" s="80">
        <v>1</v>
      </c>
      <c r="P8" s="80">
        <v>1</v>
      </c>
      <c r="Q8" s="80">
        <v>1</v>
      </c>
      <c r="R8" s="80">
        <v>1</v>
      </c>
      <c r="S8" s="80">
        <v>1</v>
      </c>
      <c r="T8" s="80">
        <v>1</v>
      </c>
      <c r="U8" s="80">
        <v>1</v>
      </c>
      <c r="V8" s="80">
        <v>1</v>
      </c>
      <c r="W8" s="76" t="s">
        <v>53</v>
      </c>
      <c r="X8" s="76" t="s">
        <v>53</v>
      </c>
      <c r="Y8" s="76">
        <v>1</v>
      </c>
      <c r="Z8" s="76">
        <v>1</v>
      </c>
      <c r="AA8" s="76">
        <v>1</v>
      </c>
      <c r="AB8" s="76">
        <v>1</v>
      </c>
      <c r="AC8" s="76">
        <v>1</v>
      </c>
      <c r="AD8" s="76">
        <v>1</v>
      </c>
      <c r="AE8" s="76">
        <v>1</v>
      </c>
      <c r="AF8" s="76">
        <v>1</v>
      </c>
      <c r="AG8" s="76">
        <v>1</v>
      </c>
      <c r="AH8" s="76">
        <v>1</v>
      </c>
      <c r="AI8" s="97"/>
      <c r="AJ8" s="34">
        <v>4</v>
      </c>
      <c r="AK8" s="76">
        <v>1</v>
      </c>
      <c r="AL8" s="76">
        <v>1</v>
      </c>
      <c r="AM8" s="76" t="s">
        <v>53</v>
      </c>
      <c r="AN8" s="76" t="s">
        <v>53</v>
      </c>
      <c r="AO8" s="76">
        <v>1</v>
      </c>
      <c r="AP8" s="76">
        <v>1</v>
      </c>
      <c r="AQ8" s="76">
        <v>1</v>
      </c>
      <c r="AR8" s="76">
        <v>1</v>
      </c>
      <c r="AS8" s="76">
        <v>1</v>
      </c>
      <c r="AT8" s="76">
        <v>1</v>
      </c>
      <c r="AU8" s="76">
        <v>1</v>
      </c>
      <c r="AV8" s="76">
        <v>1</v>
      </c>
      <c r="AW8" s="76">
        <v>1</v>
      </c>
      <c r="AX8" s="76">
        <v>1</v>
      </c>
      <c r="AY8" s="76">
        <v>1</v>
      </c>
      <c r="AZ8" s="76">
        <v>1</v>
      </c>
      <c r="BA8" s="76" t="s">
        <v>53</v>
      </c>
      <c r="BB8" s="76" t="s">
        <v>53</v>
      </c>
      <c r="BC8" s="76">
        <v>1</v>
      </c>
      <c r="BD8" s="76">
        <v>1</v>
      </c>
      <c r="BE8" s="76">
        <v>1</v>
      </c>
      <c r="BF8" s="76">
        <v>1</v>
      </c>
      <c r="BG8" s="76">
        <v>1</v>
      </c>
      <c r="BH8" s="76">
        <v>1</v>
      </c>
      <c r="BI8" s="76">
        <v>1</v>
      </c>
      <c r="BJ8" s="76">
        <v>1</v>
      </c>
      <c r="BK8" s="76">
        <v>1</v>
      </c>
      <c r="BL8" s="76">
        <v>1</v>
      </c>
      <c r="BM8" s="76">
        <v>1</v>
      </c>
      <c r="BN8" s="76">
        <v>1</v>
      </c>
      <c r="BO8" s="76" t="s">
        <v>53</v>
      </c>
      <c r="BP8" s="76" t="s">
        <v>53</v>
      </c>
      <c r="BQ8" s="107">
        <f>BS8+BT8+BU8+BZ8+BW8+BY8+BX8</f>
        <v>31</v>
      </c>
      <c r="BR8" s="59">
        <v>0</v>
      </c>
      <c r="BS8" s="38">
        <f t="shared" si="2"/>
        <v>26</v>
      </c>
      <c r="BT8" s="39">
        <f t="shared" si="3"/>
        <v>5</v>
      </c>
      <c r="BU8" s="39">
        <f t="shared" si="4"/>
        <v>0</v>
      </c>
      <c r="BV8" s="39">
        <f t="shared" si="5"/>
        <v>0</v>
      </c>
      <c r="BW8" s="39">
        <f t="shared" si="6"/>
        <v>0</v>
      </c>
      <c r="BX8" s="39">
        <f t="shared" si="7"/>
        <v>0</v>
      </c>
      <c r="BY8" s="39">
        <f t="shared" si="8"/>
        <v>0</v>
      </c>
      <c r="BZ8" s="39">
        <f t="shared" si="9"/>
        <v>0</v>
      </c>
      <c r="CA8" s="39">
        <f t="shared" si="10"/>
        <v>0</v>
      </c>
      <c r="CB8" s="39">
        <f t="shared" si="11"/>
        <v>0</v>
      </c>
      <c r="CC8" s="39">
        <f t="shared" si="12"/>
        <v>0</v>
      </c>
      <c r="CD8" s="39">
        <f t="shared" si="13"/>
        <v>0</v>
      </c>
      <c r="CE8" s="40"/>
      <c r="CH8" s="37">
        <v>0</v>
      </c>
      <c r="CI8" s="34">
        <v>0</v>
      </c>
      <c r="CJ8" s="34">
        <v>33</v>
      </c>
      <c r="CK8" s="34">
        <v>0</v>
      </c>
      <c r="CL8" s="34">
        <v>0</v>
      </c>
      <c r="CM8" s="34">
        <v>0</v>
      </c>
      <c r="CN8" s="34">
        <v>0</v>
      </c>
      <c r="CO8" s="34">
        <v>0</v>
      </c>
      <c r="CP8" s="34">
        <v>0</v>
      </c>
      <c r="CQ8" s="34">
        <v>0</v>
      </c>
      <c r="CR8" s="43">
        <f t="shared" si="0"/>
        <v>33</v>
      </c>
    </row>
    <row r="9" spans="1:96" s="20" customFormat="1" ht="24" customHeight="1" x14ac:dyDescent="0.25">
      <c r="A9" s="34">
        <v>5</v>
      </c>
      <c r="B9" s="41" t="s">
        <v>21</v>
      </c>
      <c r="C9" s="106" t="s">
        <v>22</v>
      </c>
      <c r="D9" s="72">
        <v>45600</v>
      </c>
      <c r="E9" s="76">
        <v>1</v>
      </c>
      <c r="F9" s="76">
        <v>1</v>
      </c>
      <c r="G9" s="76">
        <v>1</v>
      </c>
      <c r="H9" s="76">
        <v>1</v>
      </c>
      <c r="I9" s="76" t="s">
        <v>53</v>
      </c>
      <c r="J9" s="76" t="s">
        <v>53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>
        <v>1</v>
      </c>
      <c r="Q9" s="76">
        <v>1</v>
      </c>
      <c r="R9" s="76">
        <v>1</v>
      </c>
      <c r="S9" s="76">
        <v>1</v>
      </c>
      <c r="T9" s="76">
        <v>1</v>
      </c>
      <c r="U9" s="76">
        <v>1</v>
      </c>
      <c r="V9" s="76">
        <v>1</v>
      </c>
      <c r="W9" s="76" t="s">
        <v>53</v>
      </c>
      <c r="X9" s="76" t="s">
        <v>53</v>
      </c>
      <c r="Y9" s="76">
        <v>1</v>
      </c>
      <c r="Z9" s="76">
        <v>1</v>
      </c>
      <c r="AA9" s="76">
        <v>1</v>
      </c>
      <c r="AB9" s="76">
        <v>1</v>
      </c>
      <c r="AC9" s="76">
        <v>1</v>
      </c>
      <c r="AD9" s="76">
        <v>1</v>
      </c>
      <c r="AE9" s="76">
        <v>1</v>
      </c>
      <c r="AF9" s="76">
        <v>1</v>
      </c>
      <c r="AG9" s="76">
        <v>1</v>
      </c>
      <c r="AH9" s="76">
        <v>1</v>
      </c>
      <c r="AI9" s="97"/>
      <c r="AJ9" s="34">
        <v>5</v>
      </c>
      <c r="AK9" s="76">
        <v>1</v>
      </c>
      <c r="AL9" s="76">
        <v>1</v>
      </c>
      <c r="AM9" s="76" t="s">
        <v>53</v>
      </c>
      <c r="AN9" s="76" t="s">
        <v>53</v>
      </c>
      <c r="AO9" s="76">
        <v>1</v>
      </c>
      <c r="AP9" s="76">
        <v>1</v>
      </c>
      <c r="AQ9" s="76">
        <v>1</v>
      </c>
      <c r="AR9" s="76">
        <v>1</v>
      </c>
      <c r="AS9" s="76">
        <v>1</v>
      </c>
      <c r="AT9" s="76">
        <v>1</v>
      </c>
      <c r="AU9" s="76">
        <v>1</v>
      </c>
      <c r="AV9" s="76">
        <v>1</v>
      </c>
      <c r="AW9" s="76">
        <v>1</v>
      </c>
      <c r="AX9" s="76">
        <v>1</v>
      </c>
      <c r="AY9" s="76">
        <v>1</v>
      </c>
      <c r="AZ9" s="76">
        <v>1</v>
      </c>
      <c r="BA9" s="76" t="s">
        <v>53</v>
      </c>
      <c r="BB9" s="76" t="s">
        <v>53</v>
      </c>
      <c r="BC9" s="76">
        <v>1</v>
      </c>
      <c r="BD9" s="76">
        <v>1</v>
      </c>
      <c r="BE9" s="76">
        <v>1</v>
      </c>
      <c r="BF9" s="76">
        <v>1</v>
      </c>
      <c r="BG9" s="76">
        <v>1</v>
      </c>
      <c r="BH9" s="76">
        <v>1</v>
      </c>
      <c r="BI9" s="76">
        <v>1</v>
      </c>
      <c r="BJ9" s="76">
        <v>1</v>
      </c>
      <c r="BK9" s="76">
        <v>1</v>
      </c>
      <c r="BL9" s="76">
        <v>1</v>
      </c>
      <c r="BM9" s="76">
        <v>1</v>
      </c>
      <c r="BN9" s="76">
        <v>1</v>
      </c>
      <c r="BO9" s="76" t="s">
        <v>53</v>
      </c>
      <c r="BP9" s="76" t="s">
        <v>53</v>
      </c>
      <c r="BQ9" s="107">
        <f t="shared" ref="BQ9:BQ27" si="14">BS9+BT9+BU9+BZ9+BW9+BY9+BX9</f>
        <v>31</v>
      </c>
      <c r="BR9" s="59">
        <v>0</v>
      </c>
      <c r="BS9" s="38">
        <f t="shared" si="2"/>
        <v>26</v>
      </c>
      <c r="BT9" s="39">
        <f t="shared" si="3"/>
        <v>5</v>
      </c>
      <c r="BU9" s="39">
        <f t="shared" si="4"/>
        <v>0</v>
      </c>
      <c r="BV9" s="39">
        <f t="shared" si="5"/>
        <v>0</v>
      </c>
      <c r="BW9" s="39">
        <f t="shared" si="6"/>
        <v>0</v>
      </c>
      <c r="BX9" s="39">
        <f t="shared" si="7"/>
        <v>0</v>
      </c>
      <c r="BY9" s="39">
        <f t="shared" si="8"/>
        <v>0</v>
      </c>
      <c r="BZ9" s="39">
        <f t="shared" si="9"/>
        <v>0</v>
      </c>
      <c r="CA9" s="39">
        <f t="shared" si="10"/>
        <v>0</v>
      </c>
      <c r="CB9" s="39">
        <f t="shared" si="11"/>
        <v>0</v>
      </c>
      <c r="CC9" s="39">
        <f t="shared" si="12"/>
        <v>0</v>
      </c>
      <c r="CD9" s="39">
        <f t="shared" si="13"/>
        <v>0</v>
      </c>
      <c r="CE9" s="40" t="s">
        <v>74</v>
      </c>
      <c r="CH9" s="37">
        <v>0</v>
      </c>
      <c r="CI9" s="34">
        <v>0</v>
      </c>
      <c r="CJ9" s="34">
        <v>0</v>
      </c>
      <c r="CK9" s="34">
        <v>0</v>
      </c>
      <c r="CL9" s="34">
        <v>0</v>
      </c>
      <c r="CM9" s="34">
        <v>0</v>
      </c>
      <c r="CN9" s="34">
        <v>0</v>
      </c>
      <c r="CO9" s="34">
        <v>0</v>
      </c>
      <c r="CP9" s="34">
        <v>0</v>
      </c>
      <c r="CQ9" s="34">
        <v>0</v>
      </c>
      <c r="CR9" s="43">
        <f t="shared" si="0"/>
        <v>0</v>
      </c>
    </row>
    <row r="10" spans="1:96" s="20" customFormat="1" ht="24" customHeight="1" x14ac:dyDescent="0.25">
      <c r="A10" s="34">
        <v>6</v>
      </c>
      <c r="B10" s="41" t="s">
        <v>92</v>
      </c>
      <c r="C10" s="106" t="s">
        <v>93</v>
      </c>
      <c r="D10" s="72"/>
      <c r="E10" s="64">
        <v>0.50069444444444444</v>
      </c>
      <c r="F10" s="90">
        <v>1</v>
      </c>
      <c r="G10" s="64">
        <v>0.38958333333333334</v>
      </c>
      <c r="H10" s="90">
        <v>1</v>
      </c>
      <c r="I10" s="76" t="s">
        <v>53</v>
      </c>
      <c r="J10" s="76" t="s">
        <v>53</v>
      </c>
      <c r="K10" s="90">
        <v>1</v>
      </c>
      <c r="L10" s="90">
        <v>1</v>
      </c>
      <c r="M10" s="64">
        <v>0.63402777777777775</v>
      </c>
      <c r="N10" s="90">
        <v>1</v>
      </c>
      <c r="O10" s="64">
        <v>0.41319444444444442</v>
      </c>
      <c r="P10" s="90">
        <v>1</v>
      </c>
      <c r="Q10" s="90">
        <v>1</v>
      </c>
      <c r="R10" s="90">
        <v>1</v>
      </c>
      <c r="S10" s="64">
        <v>0.40902777777777777</v>
      </c>
      <c r="T10" s="90">
        <v>1</v>
      </c>
      <c r="U10" s="90">
        <v>1</v>
      </c>
      <c r="V10" s="90">
        <v>1</v>
      </c>
      <c r="W10" s="76" t="s">
        <v>53</v>
      </c>
      <c r="X10" s="76" t="s">
        <v>53</v>
      </c>
      <c r="Y10" s="90">
        <v>1</v>
      </c>
      <c r="Z10" s="90">
        <v>1</v>
      </c>
      <c r="AA10" s="64">
        <v>0.56944444444444442</v>
      </c>
      <c r="AB10" s="90">
        <v>1</v>
      </c>
      <c r="AC10" s="64">
        <v>0.43541666666666662</v>
      </c>
      <c r="AD10" s="90">
        <v>1</v>
      </c>
      <c r="AE10" s="64">
        <v>0.43888888888888888</v>
      </c>
      <c r="AF10" s="90">
        <v>1</v>
      </c>
      <c r="AG10" s="90">
        <v>1</v>
      </c>
      <c r="AH10" s="90">
        <v>1</v>
      </c>
      <c r="AI10" s="97"/>
      <c r="AJ10" s="34">
        <v>6</v>
      </c>
      <c r="AK10" s="76">
        <v>1</v>
      </c>
      <c r="AL10" s="76">
        <v>1</v>
      </c>
      <c r="AM10" s="76" t="s">
        <v>53</v>
      </c>
      <c r="AN10" s="76" t="s">
        <v>53</v>
      </c>
      <c r="AO10" s="76">
        <v>1</v>
      </c>
      <c r="AP10" s="76">
        <v>1</v>
      </c>
      <c r="AQ10" s="98">
        <v>46222.372395833336</v>
      </c>
      <c r="AR10" s="76">
        <v>1</v>
      </c>
      <c r="AS10" s="76">
        <v>1</v>
      </c>
      <c r="AT10" s="76">
        <v>1</v>
      </c>
      <c r="AU10" s="76">
        <v>1</v>
      </c>
      <c r="AV10" s="76">
        <v>1</v>
      </c>
      <c r="AW10" s="76">
        <v>1</v>
      </c>
      <c r="AX10" s="76">
        <v>1</v>
      </c>
      <c r="AY10" s="76">
        <v>1</v>
      </c>
      <c r="AZ10" s="76">
        <v>1</v>
      </c>
      <c r="BA10" s="76" t="s">
        <v>53</v>
      </c>
      <c r="BB10" s="76" t="s">
        <v>53</v>
      </c>
      <c r="BC10" s="76">
        <v>1</v>
      </c>
      <c r="BD10" s="76">
        <v>1</v>
      </c>
      <c r="BE10" s="76">
        <v>1</v>
      </c>
      <c r="BF10" s="76">
        <v>1</v>
      </c>
      <c r="BG10" s="76">
        <v>1</v>
      </c>
      <c r="BH10" s="76">
        <v>1</v>
      </c>
      <c r="BI10" s="76">
        <v>1</v>
      </c>
      <c r="BJ10" s="76">
        <v>1</v>
      </c>
      <c r="BK10" s="76">
        <v>1</v>
      </c>
      <c r="BL10" s="76">
        <v>1</v>
      </c>
      <c r="BM10" s="76">
        <v>1</v>
      </c>
      <c r="BN10" s="76">
        <v>1</v>
      </c>
      <c r="BO10" s="76" t="s">
        <v>53</v>
      </c>
      <c r="BP10" s="76" t="s">
        <v>53</v>
      </c>
      <c r="BQ10" s="107">
        <f t="shared" si="14"/>
        <v>31</v>
      </c>
      <c r="BR10" s="59">
        <v>0</v>
      </c>
      <c r="BS10" s="38">
        <f t="shared" si="2"/>
        <v>26</v>
      </c>
      <c r="BT10" s="39">
        <f t="shared" si="3"/>
        <v>5</v>
      </c>
      <c r="BU10" s="39">
        <f t="shared" si="4"/>
        <v>0</v>
      </c>
      <c r="BV10" s="39">
        <f t="shared" si="5"/>
        <v>0</v>
      </c>
      <c r="BW10" s="39">
        <f t="shared" si="6"/>
        <v>0</v>
      </c>
      <c r="BX10" s="39">
        <f t="shared" si="7"/>
        <v>0</v>
      </c>
      <c r="BY10" s="39">
        <f t="shared" si="8"/>
        <v>0</v>
      </c>
      <c r="BZ10" s="39">
        <f t="shared" si="9"/>
        <v>0</v>
      </c>
      <c r="CA10" s="39">
        <f t="shared" si="10"/>
        <v>0</v>
      </c>
      <c r="CB10" s="39">
        <f t="shared" si="11"/>
        <v>0</v>
      </c>
      <c r="CC10" s="39">
        <f t="shared" si="12"/>
        <v>0</v>
      </c>
      <c r="CD10" s="39">
        <f t="shared" si="13"/>
        <v>0</v>
      </c>
      <c r="CE10" s="40"/>
      <c r="CH10" s="37">
        <v>0</v>
      </c>
      <c r="CI10" s="37">
        <v>0</v>
      </c>
      <c r="CJ10" s="37">
        <v>0</v>
      </c>
      <c r="CK10" s="37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0</v>
      </c>
      <c r="CR10" s="43">
        <f>SUM(CH10:CQ10)</f>
        <v>0</v>
      </c>
    </row>
    <row r="11" spans="1:96" s="20" customFormat="1" ht="24" customHeight="1" x14ac:dyDescent="0.25">
      <c r="A11" s="34">
        <v>7</v>
      </c>
      <c r="B11" s="39" t="s">
        <v>23</v>
      </c>
      <c r="C11" s="36" t="s">
        <v>24</v>
      </c>
      <c r="D11" s="70">
        <v>41326</v>
      </c>
      <c r="E11" s="64">
        <v>0.39999999999999997</v>
      </c>
      <c r="F11" s="64">
        <v>0.71666666666666667</v>
      </c>
      <c r="G11" s="64">
        <v>0.3979166666666667</v>
      </c>
      <c r="H11" s="64">
        <v>0.67013888888888884</v>
      </c>
      <c r="I11" s="76" t="s">
        <v>53</v>
      </c>
      <c r="J11" s="76" t="s">
        <v>53</v>
      </c>
      <c r="K11" s="64">
        <v>0.44444444444444442</v>
      </c>
      <c r="L11" s="64">
        <v>0.79583333333333339</v>
      </c>
      <c r="M11" s="64">
        <v>0.3979166666666667</v>
      </c>
      <c r="N11" s="64">
        <v>0.74305555555555547</v>
      </c>
      <c r="O11" s="64">
        <v>0.40208333333333335</v>
      </c>
      <c r="P11" s="64">
        <v>0.74305555555555547</v>
      </c>
      <c r="Q11" s="64">
        <v>0.39652777777777781</v>
      </c>
      <c r="R11" s="64">
        <v>0.73749999999999993</v>
      </c>
      <c r="S11" s="64">
        <v>0.40902777777777777</v>
      </c>
      <c r="T11" s="64">
        <v>0.73611111111111116</v>
      </c>
      <c r="U11" s="64">
        <v>0.41597222222222219</v>
      </c>
      <c r="V11" s="64">
        <v>0.73541666666666661</v>
      </c>
      <c r="W11" s="76" t="s">
        <v>53</v>
      </c>
      <c r="X11" s="76" t="s">
        <v>53</v>
      </c>
      <c r="Y11" s="64">
        <v>0.44930555555555557</v>
      </c>
      <c r="Z11" s="64">
        <v>0.77430555555555547</v>
      </c>
      <c r="AA11" s="77" t="s">
        <v>56</v>
      </c>
      <c r="AB11" s="77" t="s">
        <v>56</v>
      </c>
      <c r="AC11" s="77" t="s">
        <v>56</v>
      </c>
      <c r="AD11" s="77" t="s">
        <v>56</v>
      </c>
      <c r="AE11" s="77" t="s">
        <v>56</v>
      </c>
      <c r="AF11" s="77" t="s">
        <v>56</v>
      </c>
      <c r="AG11" s="77" t="s">
        <v>56</v>
      </c>
      <c r="AH11" s="77" t="s">
        <v>56</v>
      </c>
      <c r="AI11" s="97"/>
      <c r="AJ11" s="34">
        <v>7</v>
      </c>
      <c r="AK11" s="78" t="s">
        <v>56</v>
      </c>
      <c r="AL11" s="78" t="s">
        <v>56</v>
      </c>
      <c r="AM11" s="78" t="s">
        <v>56</v>
      </c>
      <c r="AN11" s="78" t="s">
        <v>56</v>
      </c>
      <c r="AO11" s="78" t="s">
        <v>56</v>
      </c>
      <c r="AP11" s="78" t="s">
        <v>56</v>
      </c>
      <c r="AQ11" s="78" t="s">
        <v>56</v>
      </c>
      <c r="AR11" s="78" t="s">
        <v>56</v>
      </c>
      <c r="AS11" s="78" t="s">
        <v>56</v>
      </c>
      <c r="AT11" s="78" t="s">
        <v>56</v>
      </c>
      <c r="AU11" s="78" t="s">
        <v>56</v>
      </c>
      <c r="AV11" s="78" t="s">
        <v>56</v>
      </c>
      <c r="AW11" s="78" t="s">
        <v>56</v>
      </c>
      <c r="AX11" s="78" t="s">
        <v>56</v>
      </c>
      <c r="AY11" s="78" t="s">
        <v>56</v>
      </c>
      <c r="AZ11" s="78" t="s">
        <v>56</v>
      </c>
      <c r="BA11" s="78" t="s">
        <v>56</v>
      </c>
      <c r="BB11" s="78" t="s">
        <v>56</v>
      </c>
      <c r="BC11" s="78" t="s">
        <v>56</v>
      </c>
      <c r="BD11" s="78" t="s">
        <v>56</v>
      </c>
      <c r="BE11" s="78" t="s">
        <v>56</v>
      </c>
      <c r="BF11" s="78" t="s">
        <v>56</v>
      </c>
      <c r="BG11" s="78" t="s">
        <v>56</v>
      </c>
      <c r="BH11" s="78" t="s">
        <v>56</v>
      </c>
      <c r="BI11" s="78" t="s">
        <v>56</v>
      </c>
      <c r="BJ11" s="78" t="s">
        <v>56</v>
      </c>
      <c r="BK11" s="78" t="s">
        <v>56</v>
      </c>
      <c r="BL11" s="78" t="s">
        <v>56</v>
      </c>
      <c r="BM11" s="78" t="s">
        <v>56</v>
      </c>
      <c r="BN11" s="78" t="s">
        <v>56</v>
      </c>
      <c r="BO11" s="78" t="s">
        <v>56</v>
      </c>
      <c r="BP11" s="78" t="s">
        <v>56</v>
      </c>
      <c r="BQ11" s="107">
        <f t="shared" si="14"/>
        <v>31</v>
      </c>
      <c r="BR11" s="59">
        <v>0</v>
      </c>
      <c r="BS11" s="38">
        <f t="shared" si="2"/>
        <v>9</v>
      </c>
      <c r="BT11" s="39">
        <f t="shared" si="3"/>
        <v>2</v>
      </c>
      <c r="BU11" s="39">
        <f t="shared" si="4"/>
        <v>0</v>
      </c>
      <c r="BV11" s="39">
        <f t="shared" si="5"/>
        <v>0</v>
      </c>
      <c r="BW11" s="39">
        <f t="shared" si="6"/>
        <v>20</v>
      </c>
      <c r="BX11" s="39">
        <f t="shared" si="7"/>
        <v>0</v>
      </c>
      <c r="BY11" s="39">
        <f t="shared" si="8"/>
        <v>0</v>
      </c>
      <c r="BZ11" s="39">
        <f t="shared" si="9"/>
        <v>0</v>
      </c>
      <c r="CA11" s="39">
        <f t="shared" si="10"/>
        <v>0</v>
      </c>
      <c r="CB11" s="39">
        <f t="shared" si="11"/>
        <v>0</v>
      </c>
      <c r="CC11" s="39">
        <f t="shared" si="12"/>
        <v>0</v>
      </c>
      <c r="CD11" s="39">
        <f t="shared" si="13"/>
        <v>0</v>
      </c>
      <c r="CE11" s="40"/>
      <c r="CH11" s="37">
        <v>0</v>
      </c>
      <c r="CI11" s="34">
        <v>0</v>
      </c>
      <c r="CJ11" s="34">
        <v>18</v>
      </c>
      <c r="CK11" s="34">
        <v>0</v>
      </c>
      <c r="CL11" s="34">
        <v>0</v>
      </c>
      <c r="CM11" s="34">
        <v>8</v>
      </c>
      <c r="CN11" s="34">
        <v>0</v>
      </c>
      <c r="CO11" s="34">
        <v>0</v>
      </c>
      <c r="CP11" s="34">
        <v>0</v>
      </c>
      <c r="CQ11" s="34">
        <v>6</v>
      </c>
      <c r="CR11" s="43">
        <f t="shared" si="0"/>
        <v>32</v>
      </c>
    </row>
    <row r="12" spans="1:96" s="20" customFormat="1" ht="24" customHeight="1" x14ac:dyDescent="0.25">
      <c r="A12" s="34">
        <v>8</v>
      </c>
      <c r="B12" s="39" t="s">
        <v>25</v>
      </c>
      <c r="C12" s="36" t="s">
        <v>26</v>
      </c>
      <c r="D12" s="70">
        <v>43591</v>
      </c>
      <c r="E12" s="64">
        <v>0.40625</v>
      </c>
      <c r="F12" s="64">
        <v>0.59513888888888888</v>
      </c>
      <c r="G12" s="64">
        <v>0.49652777777777773</v>
      </c>
      <c r="H12" s="90">
        <v>1</v>
      </c>
      <c r="I12" s="81">
        <v>0.59097222222222223</v>
      </c>
      <c r="J12" s="81">
        <v>2.7777777777777779E-3</v>
      </c>
      <c r="K12" s="64">
        <v>0.48958333333333331</v>
      </c>
      <c r="L12" s="64">
        <v>0.58124999999999993</v>
      </c>
      <c r="M12" s="64">
        <v>0.38611111111111113</v>
      </c>
      <c r="N12" s="64">
        <v>0.99097222222222225</v>
      </c>
      <c r="O12" s="64">
        <v>0.42499999999999999</v>
      </c>
      <c r="P12" s="64">
        <v>0</v>
      </c>
      <c r="Q12" s="64">
        <v>0.39583333333333331</v>
      </c>
      <c r="R12" s="64">
        <v>0.67222222222222217</v>
      </c>
      <c r="S12" s="64">
        <v>0.39652777777777781</v>
      </c>
      <c r="T12" s="64">
        <v>1.4583333333333332E-2</v>
      </c>
      <c r="U12" s="64">
        <v>0.37013888888888885</v>
      </c>
      <c r="V12" s="64">
        <v>1.4583333333333332E-2</v>
      </c>
      <c r="W12" s="81">
        <v>0.58194444444444449</v>
      </c>
      <c r="X12" s="81">
        <v>0.99583333333333324</v>
      </c>
      <c r="Y12" s="64">
        <v>0.3743055555555555</v>
      </c>
      <c r="Z12" s="64">
        <v>0.63958333333333328</v>
      </c>
      <c r="AA12" s="64">
        <v>0.36527777777777781</v>
      </c>
      <c r="AB12" s="64">
        <v>0.68263888888888891</v>
      </c>
      <c r="AC12" s="64">
        <v>0.36180555555555555</v>
      </c>
      <c r="AD12" s="64">
        <v>2.1527777777777781E-2</v>
      </c>
      <c r="AE12" s="64">
        <v>0.40902777777777777</v>
      </c>
      <c r="AF12" s="64">
        <v>2.4999999999999998E-2</v>
      </c>
      <c r="AG12" s="64">
        <v>0.37777777777777777</v>
      </c>
      <c r="AH12" s="64">
        <v>0.57291666666666663</v>
      </c>
      <c r="AI12" s="97"/>
      <c r="AJ12" s="34">
        <v>8</v>
      </c>
      <c r="AK12" s="64">
        <v>46219.373923611114</v>
      </c>
      <c r="AL12" s="64">
        <v>46219.809837962966</v>
      </c>
      <c r="AM12" s="78" t="s">
        <v>56</v>
      </c>
      <c r="AN12" s="78" t="s">
        <v>56</v>
      </c>
      <c r="AO12" s="78" t="s">
        <v>56</v>
      </c>
      <c r="AP12" s="78" t="s">
        <v>56</v>
      </c>
      <c r="AQ12" s="78" t="s">
        <v>56</v>
      </c>
      <c r="AR12" s="78" t="s">
        <v>56</v>
      </c>
      <c r="AS12" s="78" t="s">
        <v>56</v>
      </c>
      <c r="AT12" s="78" t="s">
        <v>56</v>
      </c>
      <c r="AU12" s="78" t="s">
        <v>56</v>
      </c>
      <c r="AV12" s="78" t="s">
        <v>56</v>
      </c>
      <c r="AW12" s="78" t="s">
        <v>56</v>
      </c>
      <c r="AX12" s="78" t="s">
        <v>56</v>
      </c>
      <c r="AY12" s="78" t="s">
        <v>56</v>
      </c>
      <c r="AZ12" s="78" t="s">
        <v>56</v>
      </c>
      <c r="BA12" s="78" t="s">
        <v>56</v>
      </c>
      <c r="BB12" s="78" t="s">
        <v>56</v>
      </c>
      <c r="BC12" s="78" t="s">
        <v>56</v>
      </c>
      <c r="BD12" s="78" t="s">
        <v>56</v>
      </c>
      <c r="BE12" s="78" t="s">
        <v>56</v>
      </c>
      <c r="BF12" s="78" t="s">
        <v>56</v>
      </c>
      <c r="BG12" s="78" t="s">
        <v>56</v>
      </c>
      <c r="BH12" s="78" t="s">
        <v>56</v>
      </c>
      <c r="BI12" s="78" t="s">
        <v>56</v>
      </c>
      <c r="BJ12" s="78" t="s">
        <v>56</v>
      </c>
      <c r="BK12" s="78" t="s">
        <v>56</v>
      </c>
      <c r="BL12" s="78" t="s">
        <v>56</v>
      </c>
      <c r="BM12" s="114">
        <v>0.37708333333333338</v>
      </c>
      <c r="BN12" s="114">
        <v>46234.016481481478</v>
      </c>
      <c r="BO12" s="115">
        <v>46234.584629629629</v>
      </c>
      <c r="BP12" s="116">
        <v>46234.988449074073</v>
      </c>
      <c r="BQ12" s="107">
        <f t="shared" si="14"/>
        <v>31</v>
      </c>
      <c r="BR12" s="59">
        <v>2</v>
      </c>
      <c r="BS12" s="38">
        <f t="shared" si="2"/>
        <v>18</v>
      </c>
      <c r="BT12" s="39">
        <f t="shared" si="3"/>
        <v>0</v>
      </c>
      <c r="BU12" s="39">
        <f t="shared" si="4"/>
        <v>0</v>
      </c>
      <c r="BV12" s="39">
        <f t="shared" si="5"/>
        <v>0</v>
      </c>
      <c r="BW12" s="39">
        <f t="shared" si="6"/>
        <v>13</v>
      </c>
      <c r="BX12" s="39">
        <f t="shared" si="7"/>
        <v>0</v>
      </c>
      <c r="BY12" s="39">
        <f t="shared" si="8"/>
        <v>0</v>
      </c>
      <c r="BZ12" s="39">
        <f t="shared" si="9"/>
        <v>0</v>
      </c>
      <c r="CA12" s="39">
        <f t="shared" si="10"/>
        <v>0</v>
      </c>
      <c r="CB12" s="39">
        <f t="shared" si="11"/>
        <v>0</v>
      </c>
      <c r="CC12" s="39">
        <f t="shared" si="12"/>
        <v>0</v>
      </c>
      <c r="CD12" s="39">
        <f t="shared" si="13"/>
        <v>0</v>
      </c>
      <c r="CE12" s="40" t="s">
        <v>74</v>
      </c>
      <c r="CH12" s="37">
        <v>0</v>
      </c>
      <c r="CI12" s="34">
        <v>0</v>
      </c>
      <c r="CJ12" s="34">
        <v>27</v>
      </c>
      <c r="CK12" s="34">
        <v>0</v>
      </c>
      <c r="CL12" s="34">
        <v>0</v>
      </c>
      <c r="CM12" s="34">
        <v>8</v>
      </c>
      <c r="CN12" s="34">
        <v>0</v>
      </c>
      <c r="CO12" s="34">
        <v>0</v>
      </c>
      <c r="CP12" s="34">
        <v>0</v>
      </c>
      <c r="CQ12" s="34">
        <v>0</v>
      </c>
      <c r="CR12" s="43">
        <f t="shared" si="0"/>
        <v>35</v>
      </c>
    </row>
    <row r="13" spans="1:96" s="20" customFormat="1" ht="24" customHeight="1" x14ac:dyDescent="0.25">
      <c r="A13" s="34">
        <v>9</v>
      </c>
      <c r="B13" s="39" t="s">
        <v>27</v>
      </c>
      <c r="C13" s="36" t="s">
        <v>28</v>
      </c>
      <c r="D13" s="70">
        <v>44531</v>
      </c>
      <c r="E13" s="90">
        <v>1</v>
      </c>
      <c r="F13" s="90">
        <v>1</v>
      </c>
      <c r="G13" s="90">
        <v>1</v>
      </c>
      <c r="H13" s="90">
        <v>1</v>
      </c>
      <c r="I13" s="76" t="s">
        <v>53</v>
      </c>
      <c r="J13" s="76" t="s">
        <v>53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  <c r="P13" s="90">
        <v>1</v>
      </c>
      <c r="Q13" s="64">
        <v>0.59027777777777779</v>
      </c>
      <c r="R13" s="90">
        <v>1</v>
      </c>
      <c r="S13" s="64">
        <v>0.58611111111111114</v>
      </c>
      <c r="T13" s="90">
        <v>1</v>
      </c>
      <c r="U13" s="64">
        <v>0.35833333333333334</v>
      </c>
      <c r="V13" s="90">
        <v>1</v>
      </c>
      <c r="W13" s="76" t="s">
        <v>53</v>
      </c>
      <c r="X13" s="76" t="s">
        <v>53</v>
      </c>
      <c r="Y13" s="64">
        <v>0.57222222222222219</v>
      </c>
      <c r="Z13" s="90">
        <v>1</v>
      </c>
      <c r="AA13" s="90">
        <v>1</v>
      </c>
      <c r="AB13" s="90">
        <v>1</v>
      </c>
      <c r="AC13" s="90">
        <v>1</v>
      </c>
      <c r="AD13" s="90">
        <v>1</v>
      </c>
      <c r="AE13" s="90">
        <v>1</v>
      </c>
      <c r="AF13" s="90">
        <v>1</v>
      </c>
      <c r="AG13" s="90">
        <v>1</v>
      </c>
      <c r="AH13" s="90">
        <v>1</v>
      </c>
      <c r="AI13" s="97"/>
      <c r="AJ13" s="34">
        <v>9</v>
      </c>
      <c r="AK13" s="95">
        <v>46219.556319444448</v>
      </c>
      <c r="AL13" s="76">
        <v>1</v>
      </c>
      <c r="AM13" s="95">
        <v>46220.225104166668</v>
      </c>
      <c r="AN13" s="76">
        <v>1</v>
      </c>
      <c r="AO13" s="76">
        <v>1</v>
      </c>
      <c r="AP13" s="76">
        <v>1</v>
      </c>
      <c r="AQ13" s="76">
        <v>1</v>
      </c>
      <c r="AR13" s="76">
        <v>1</v>
      </c>
      <c r="AS13" s="95">
        <v>46223.576527777775</v>
      </c>
      <c r="AT13" s="76">
        <v>1</v>
      </c>
      <c r="AU13" s="95">
        <v>46224.222881944443</v>
      </c>
      <c r="AV13" s="76">
        <v>1</v>
      </c>
      <c r="AW13" s="95">
        <v>46225.220601851855</v>
      </c>
      <c r="AX13" s="76">
        <v>1</v>
      </c>
      <c r="AY13" s="76">
        <v>1</v>
      </c>
      <c r="AZ13" s="76">
        <v>1</v>
      </c>
      <c r="BA13" s="76">
        <v>1</v>
      </c>
      <c r="BB13" s="76">
        <v>1</v>
      </c>
      <c r="BC13" s="76">
        <v>1</v>
      </c>
      <c r="BD13" s="76">
        <v>1</v>
      </c>
      <c r="BE13" s="95">
        <v>46229.429363425923</v>
      </c>
      <c r="BF13" s="76">
        <v>1</v>
      </c>
      <c r="BG13" s="76">
        <v>1</v>
      </c>
      <c r="BH13" s="76">
        <v>1</v>
      </c>
      <c r="BI13" s="95">
        <v>46231.635081018518</v>
      </c>
      <c r="BJ13" s="76">
        <v>1</v>
      </c>
      <c r="BK13" s="76">
        <v>1</v>
      </c>
      <c r="BL13" s="76">
        <v>1</v>
      </c>
      <c r="BM13" s="76">
        <v>1</v>
      </c>
      <c r="BN13" s="76">
        <v>1</v>
      </c>
      <c r="BO13" s="76">
        <v>1</v>
      </c>
      <c r="BP13" s="76">
        <v>1</v>
      </c>
      <c r="BQ13" s="107">
        <f t="shared" si="14"/>
        <v>31</v>
      </c>
      <c r="BR13" s="59">
        <v>0</v>
      </c>
      <c r="BS13" s="38">
        <f t="shared" si="2"/>
        <v>29</v>
      </c>
      <c r="BT13" s="39">
        <f t="shared" si="3"/>
        <v>2</v>
      </c>
      <c r="BU13" s="39">
        <f t="shared" si="4"/>
        <v>0</v>
      </c>
      <c r="BV13" s="39">
        <f t="shared" si="5"/>
        <v>0</v>
      </c>
      <c r="BW13" s="39">
        <f t="shared" si="6"/>
        <v>0</v>
      </c>
      <c r="BX13" s="39">
        <f t="shared" si="7"/>
        <v>0</v>
      </c>
      <c r="BY13" s="39">
        <f t="shared" si="8"/>
        <v>0</v>
      </c>
      <c r="BZ13" s="39">
        <f t="shared" si="9"/>
        <v>0</v>
      </c>
      <c r="CA13" s="39">
        <f t="shared" si="10"/>
        <v>0</v>
      </c>
      <c r="CB13" s="39">
        <f t="shared" si="11"/>
        <v>0</v>
      </c>
      <c r="CC13" s="39">
        <f t="shared" si="12"/>
        <v>0</v>
      </c>
      <c r="CD13" s="39">
        <f t="shared" si="13"/>
        <v>0</v>
      </c>
      <c r="CE13" s="40"/>
      <c r="CF13" s="20" t="s">
        <v>74</v>
      </c>
      <c r="CH13" s="37">
        <v>0</v>
      </c>
      <c r="CI13" s="34">
        <v>0</v>
      </c>
      <c r="CJ13" s="34">
        <v>17</v>
      </c>
      <c r="CK13" s="34">
        <v>0</v>
      </c>
      <c r="CL13" s="34">
        <v>0</v>
      </c>
      <c r="CM13" s="34">
        <v>0</v>
      </c>
      <c r="CN13" s="34">
        <v>0</v>
      </c>
      <c r="CO13" s="34">
        <v>0</v>
      </c>
      <c r="CP13" s="34">
        <v>0</v>
      </c>
      <c r="CQ13" s="34">
        <v>0</v>
      </c>
      <c r="CR13" s="43">
        <f t="shared" si="0"/>
        <v>17</v>
      </c>
    </row>
    <row r="14" spans="1:96" s="20" customFormat="1" ht="24" customHeight="1" x14ac:dyDescent="0.25">
      <c r="A14" s="34">
        <v>10</v>
      </c>
      <c r="B14" s="39" t="s">
        <v>29</v>
      </c>
      <c r="C14" s="36" t="s">
        <v>30</v>
      </c>
      <c r="D14" s="70">
        <v>43542</v>
      </c>
      <c r="E14" s="64">
        <v>0.34513888888888888</v>
      </c>
      <c r="F14" s="64">
        <v>0.9506944444444444</v>
      </c>
      <c r="G14" s="64">
        <v>0.34583333333333338</v>
      </c>
      <c r="H14" s="64">
        <v>0.97222222222222221</v>
      </c>
      <c r="I14" s="76" t="s">
        <v>53</v>
      </c>
      <c r="J14" s="76" t="s">
        <v>53</v>
      </c>
      <c r="K14" s="64">
        <v>0.3430555555555555</v>
      </c>
      <c r="L14" s="64">
        <v>0.97152777777777777</v>
      </c>
      <c r="M14" s="64">
        <v>0.34652777777777777</v>
      </c>
      <c r="N14" s="64">
        <v>0.95277777777777783</v>
      </c>
      <c r="O14" s="64">
        <v>0.34583333333333338</v>
      </c>
      <c r="P14" s="64">
        <v>0.95347222222222217</v>
      </c>
      <c r="Q14" s="64">
        <v>0.34166666666666662</v>
      </c>
      <c r="R14" s="64">
        <v>0.94861111111111107</v>
      </c>
      <c r="S14" s="64">
        <v>0.3430555555555555</v>
      </c>
      <c r="T14" s="64">
        <v>0.95277777777777783</v>
      </c>
      <c r="U14" s="64">
        <v>0.3430555555555555</v>
      </c>
      <c r="V14" s="64">
        <v>0.9784722222222223</v>
      </c>
      <c r="W14" s="81">
        <v>0.57708333333333328</v>
      </c>
      <c r="X14" s="81">
        <v>0.95833333333333337</v>
      </c>
      <c r="Y14" s="64">
        <v>0.3430555555555555</v>
      </c>
      <c r="Z14" s="64">
        <v>0.96736111111111101</v>
      </c>
      <c r="AA14" s="64">
        <v>0.33958333333333335</v>
      </c>
      <c r="AB14" s="64">
        <v>0.9555555555555556</v>
      </c>
      <c r="AC14" s="64">
        <v>0.3444444444444445</v>
      </c>
      <c r="AD14" s="64">
        <v>0.95138888888888884</v>
      </c>
      <c r="AE14" s="64">
        <v>0.3444444444444445</v>
      </c>
      <c r="AF14" s="64">
        <v>0.95277777777777783</v>
      </c>
      <c r="AG14" s="64">
        <v>0.34375</v>
      </c>
      <c r="AH14" s="64">
        <v>0.95694444444444438</v>
      </c>
      <c r="AI14" s="97"/>
      <c r="AJ14" s="34">
        <v>10</v>
      </c>
      <c r="AK14" s="98">
        <v>46219.345648148148</v>
      </c>
      <c r="AL14" s="98">
        <v>46219.978541666664</v>
      </c>
      <c r="AM14" s="108" t="s">
        <v>53</v>
      </c>
      <c r="AN14" s="108" t="s">
        <v>53</v>
      </c>
      <c r="AO14" s="98">
        <v>46221.341458333336</v>
      </c>
      <c r="AP14" s="98">
        <v>46221.973969907405</v>
      </c>
      <c r="AQ14" s="98">
        <v>46222.347557870373</v>
      </c>
      <c r="AR14" s="98">
        <v>46222.95758101852</v>
      </c>
      <c r="AS14" s="98">
        <v>46223.34480324074</v>
      </c>
      <c r="AT14" s="98">
        <v>46223.958310185182</v>
      </c>
      <c r="AU14" s="98">
        <v>46224.344502314816</v>
      </c>
      <c r="AV14" s="98">
        <v>46224.955277777779</v>
      </c>
      <c r="AW14" s="98">
        <v>46225.345011574071</v>
      </c>
      <c r="AX14" s="98">
        <v>46225.956250000003</v>
      </c>
      <c r="AY14" s="98">
        <v>46226.366435185184</v>
      </c>
      <c r="AZ14" s="98">
        <v>46226.975497685184</v>
      </c>
      <c r="BA14" s="98">
        <v>46227.574074074073</v>
      </c>
      <c r="BB14" s="98">
        <v>46227.960300925923</v>
      </c>
      <c r="BC14" s="98">
        <v>46228.342222222222</v>
      </c>
      <c r="BD14" s="98">
        <v>46228.972002314818</v>
      </c>
      <c r="BE14" s="98">
        <v>46229.343275462961</v>
      </c>
      <c r="BF14" s="98">
        <v>46229.956701388888</v>
      </c>
      <c r="BG14" s="98">
        <v>46230.343472222223</v>
      </c>
      <c r="BH14" s="98">
        <v>46230.953449074077</v>
      </c>
      <c r="BI14" s="98">
        <v>46231.345057870371</v>
      </c>
      <c r="BJ14" s="98">
        <v>1</v>
      </c>
      <c r="BK14" s="98">
        <v>46232.346701388888</v>
      </c>
      <c r="BL14" s="95">
        <v>46232.96435185185</v>
      </c>
      <c r="BM14" s="101">
        <v>46233.344710648147</v>
      </c>
      <c r="BN14" s="102">
        <v>1</v>
      </c>
      <c r="BO14" s="108" t="s">
        <v>53</v>
      </c>
      <c r="BP14" s="108" t="s">
        <v>53</v>
      </c>
      <c r="BQ14" s="107">
        <f t="shared" si="14"/>
        <v>31</v>
      </c>
      <c r="BR14" s="59">
        <v>2</v>
      </c>
      <c r="BS14" s="38">
        <f t="shared" si="2"/>
        <v>28</v>
      </c>
      <c r="BT14" s="39">
        <f t="shared" si="3"/>
        <v>3</v>
      </c>
      <c r="BU14" s="39">
        <f t="shared" si="4"/>
        <v>0</v>
      </c>
      <c r="BV14" s="39">
        <f t="shared" si="5"/>
        <v>0</v>
      </c>
      <c r="BW14" s="39">
        <f t="shared" si="6"/>
        <v>0</v>
      </c>
      <c r="BX14" s="39">
        <f t="shared" si="7"/>
        <v>0</v>
      </c>
      <c r="BY14" s="39">
        <f t="shared" si="8"/>
        <v>0</v>
      </c>
      <c r="BZ14" s="39">
        <f t="shared" si="9"/>
        <v>0</v>
      </c>
      <c r="CA14" s="39">
        <f t="shared" si="10"/>
        <v>0</v>
      </c>
      <c r="CB14" s="39">
        <f t="shared" si="11"/>
        <v>0</v>
      </c>
      <c r="CC14" s="39">
        <f t="shared" si="12"/>
        <v>0</v>
      </c>
      <c r="CD14" s="39">
        <f t="shared" si="13"/>
        <v>0</v>
      </c>
      <c r="CE14" s="40" t="s">
        <v>74</v>
      </c>
      <c r="CH14" s="37">
        <v>0</v>
      </c>
      <c r="CI14" s="34">
        <v>0</v>
      </c>
      <c r="CJ14" s="34">
        <v>20</v>
      </c>
      <c r="CK14" s="34">
        <v>0</v>
      </c>
      <c r="CL14" s="34">
        <v>0</v>
      </c>
      <c r="CM14" s="34">
        <v>2</v>
      </c>
      <c r="CN14" s="34">
        <v>0</v>
      </c>
      <c r="CO14" s="34">
        <v>0</v>
      </c>
      <c r="CP14" s="34">
        <v>0</v>
      </c>
      <c r="CQ14" s="34">
        <v>0</v>
      </c>
      <c r="CR14" s="43">
        <f t="shared" si="0"/>
        <v>22</v>
      </c>
    </row>
    <row r="15" spans="1:96" s="20" customFormat="1" ht="24" customHeight="1" x14ac:dyDescent="0.25">
      <c r="A15" s="34">
        <v>11</v>
      </c>
      <c r="B15" s="39" t="s">
        <v>33</v>
      </c>
      <c r="C15" s="36" t="s">
        <v>34</v>
      </c>
      <c r="D15" s="70">
        <v>44513</v>
      </c>
      <c r="E15" s="64">
        <v>0.32500000000000001</v>
      </c>
      <c r="F15" s="64">
        <v>0.95763888888888893</v>
      </c>
      <c r="G15" s="64">
        <v>0.32569444444444445</v>
      </c>
      <c r="H15" s="64">
        <v>0.97777777777777775</v>
      </c>
      <c r="I15" s="81">
        <v>0.57916666666666672</v>
      </c>
      <c r="J15" s="81">
        <v>0.97152777777777777</v>
      </c>
      <c r="K15" s="64">
        <v>0.33124999999999999</v>
      </c>
      <c r="L15" s="64">
        <v>0.9590277777777777</v>
      </c>
      <c r="M15" s="64">
        <v>0.33888888888888885</v>
      </c>
      <c r="N15" s="64">
        <v>0.96527777777777779</v>
      </c>
      <c r="O15" s="64">
        <v>0.34166666666666662</v>
      </c>
      <c r="P15" s="64">
        <v>0.96875</v>
      </c>
      <c r="Q15" s="64">
        <v>0.34791666666666665</v>
      </c>
      <c r="R15" s="64">
        <v>0.9590277777777777</v>
      </c>
      <c r="S15" s="77" t="s">
        <v>58</v>
      </c>
      <c r="T15" s="77" t="s">
        <v>58</v>
      </c>
      <c r="U15" s="64">
        <v>0.34583333333333338</v>
      </c>
      <c r="V15" s="64">
        <v>0.98541666666666661</v>
      </c>
      <c r="W15" s="76" t="s">
        <v>53</v>
      </c>
      <c r="X15" s="76" t="s">
        <v>53</v>
      </c>
      <c r="Y15" s="64">
        <v>0.34583333333333338</v>
      </c>
      <c r="Z15" s="64">
        <v>0.9555555555555556</v>
      </c>
      <c r="AA15" s="64">
        <v>0.34513888888888888</v>
      </c>
      <c r="AB15" s="64">
        <v>0.97291666666666676</v>
      </c>
      <c r="AC15" s="77" t="s">
        <v>54</v>
      </c>
      <c r="AD15" s="77" t="s">
        <v>54</v>
      </c>
      <c r="AE15" s="64">
        <v>0.34583333333333338</v>
      </c>
      <c r="AF15" s="64">
        <v>0.95000000000000007</v>
      </c>
      <c r="AG15" s="64">
        <v>0.34791666666666665</v>
      </c>
      <c r="AH15" s="64">
        <v>0.97777777777777775</v>
      </c>
      <c r="AI15" s="97"/>
      <c r="AJ15" s="34">
        <v>11</v>
      </c>
      <c r="AK15" s="98">
        <v>46219.341446759259</v>
      </c>
      <c r="AL15" s="98">
        <v>46219.959293981483</v>
      </c>
      <c r="AM15" s="98">
        <v>46220.575162037036</v>
      </c>
      <c r="AN15" s="98">
        <v>46220.963969907411</v>
      </c>
      <c r="AO15" s="98">
        <v>46221.34375</v>
      </c>
      <c r="AP15" s="98">
        <v>46221.963217592594</v>
      </c>
      <c r="AQ15" s="98">
        <v>46222.345671296294</v>
      </c>
      <c r="AR15" s="98">
        <v>46222.964791666665</v>
      </c>
      <c r="AS15" s="98">
        <v>46222.345671296294</v>
      </c>
      <c r="AT15" s="98">
        <v>46223.944872685184</v>
      </c>
      <c r="AU15" s="98">
        <v>46224.390590277777</v>
      </c>
      <c r="AV15" s="98">
        <v>46224.961053240739</v>
      </c>
      <c r="AW15" s="98">
        <v>46225.345266203702</v>
      </c>
      <c r="AX15" s="98">
        <v>46225.956122685187</v>
      </c>
      <c r="AY15" s="98">
        <v>46226.375659722224</v>
      </c>
      <c r="AZ15" s="98">
        <v>46226.972708333335</v>
      </c>
      <c r="BA15" s="108" t="s">
        <v>53</v>
      </c>
      <c r="BB15" s="108" t="s">
        <v>53</v>
      </c>
      <c r="BC15" s="98">
        <v>46228.346168981479</v>
      </c>
      <c r="BD15" s="98">
        <v>46228.968055555553</v>
      </c>
      <c r="BE15" s="98">
        <v>46229.348877314813</v>
      </c>
      <c r="BF15" s="98">
        <v>46229.851759259262</v>
      </c>
      <c r="BG15" s="109" t="s">
        <v>54</v>
      </c>
      <c r="BH15" s="109" t="s">
        <v>54</v>
      </c>
      <c r="BI15" s="98">
        <v>46231.346990740742</v>
      </c>
      <c r="BJ15" s="98">
        <v>46231.958599537036</v>
      </c>
      <c r="BK15" s="98">
        <v>46232.348460648151</v>
      </c>
      <c r="BL15" s="95">
        <v>46232.959085648145</v>
      </c>
      <c r="BM15" s="101">
        <v>46233.348043981481</v>
      </c>
      <c r="BN15" s="98">
        <v>46233.977187500001</v>
      </c>
      <c r="BO15" s="98">
        <v>46234.580451388887</v>
      </c>
      <c r="BP15" s="95">
        <v>46234.961261574077</v>
      </c>
      <c r="BQ15" s="107">
        <f t="shared" si="14"/>
        <v>31</v>
      </c>
      <c r="BR15" s="59">
        <v>3</v>
      </c>
      <c r="BS15" s="38">
        <f t="shared" si="2"/>
        <v>26</v>
      </c>
      <c r="BT15" s="39">
        <f t="shared" si="3"/>
        <v>2</v>
      </c>
      <c r="BU15" s="39">
        <f t="shared" si="4"/>
        <v>2</v>
      </c>
      <c r="BV15" s="39">
        <f t="shared" si="5"/>
        <v>0</v>
      </c>
      <c r="BW15" s="39">
        <f t="shared" si="6"/>
        <v>0</v>
      </c>
      <c r="BX15" s="39">
        <f t="shared" si="7"/>
        <v>0</v>
      </c>
      <c r="BY15" s="39">
        <f t="shared" si="8"/>
        <v>1</v>
      </c>
      <c r="BZ15" s="39">
        <f t="shared" si="9"/>
        <v>0</v>
      </c>
      <c r="CA15" s="39">
        <f t="shared" si="10"/>
        <v>0</v>
      </c>
      <c r="CB15" s="39">
        <f t="shared" si="11"/>
        <v>0</v>
      </c>
      <c r="CC15" s="39">
        <f t="shared" si="12"/>
        <v>0</v>
      </c>
      <c r="CD15" s="39">
        <f t="shared" si="13"/>
        <v>0</v>
      </c>
      <c r="CE15" s="40" t="s">
        <v>74</v>
      </c>
      <c r="CH15" s="37">
        <v>3</v>
      </c>
      <c r="CI15" s="34">
        <v>0</v>
      </c>
      <c r="CJ15" s="34">
        <v>0</v>
      </c>
      <c r="CK15" s="34">
        <v>0</v>
      </c>
      <c r="CL15" s="34">
        <v>0</v>
      </c>
      <c r="CM15" s="34">
        <v>0</v>
      </c>
      <c r="CN15" s="34">
        <v>0</v>
      </c>
      <c r="CO15" s="34">
        <v>0</v>
      </c>
      <c r="CP15" s="34">
        <v>0</v>
      </c>
      <c r="CQ15" s="34">
        <v>0</v>
      </c>
      <c r="CR15" s="43">
        <f t="shared" si="0"/>
        <v>3</v>
      </c>
    </row>
    <row r="16" spans="1:96" s="20" customFormat="1" ht="24" customHeight="1" x14ac:dyDescent="0.25">
      <c r="A16" s="34">
        <v>12</v>
      </c>
      <c r="B16" s="39" t="s">
        <v>35</v>
      </c>
      <c r="C16" s="36" t="s">
        <v>36</v>
      </c>
      <c r="D16" s="70"/>
      <c r="E16" s="64">
        <v>0.63263888888888886</v>
      </c>
      <c r="F16" s="64">
        <v>0.95000000000000007</v>
      </c>
      <c r="G16" s="64">
        <v>0.35486111111111113</v>
      </c>
      <c r="H16" s="90">
        <v>1</v>
      </c>
      <c r="I16" s="81">
        <v>0.58124999999999993</v>
      </c>
      <c r="J16" s="81">
        <v>0.9555555555555556</v>
      </c>
      <c r="K16" s="64">
        <v>0.6430555555555556</v>
      </c>
      <c r="L16" s="90">
        <v>1</v>
      </c>
      <c r="M16" s="78" t="s">
        <v>87</v>
      </c>
      <c r="N16" s="78" t="s">
        <v>87</v>
      </c>
      <c r="O16" s="64">
        <v>0.62916666666666665</v>
      </c>
      <c r="P16" s="64">
        <v>0.95138888888888884</v>
      </c>
      <c r="Q16" s="64">
        <v>0.64097222222222217</v>
      </c>
      <c r="R16" s="64">
        <v>0.94861111111111107</v>
      </c>
      <c r="S16" s="64">
        <v>0.63124999999999998</v>
      </c>
      <c r="T16" s="64">
        <v>0.94930555555555562</v>
      </c>
      <c r="U16" s="64">
        <v>0.6333333333333333</v>
      </c>
      <c r="V16" s="64">
        <v>0.97013888888888899</v>
      </c>
      <c r="W16" s="76" t="s">
        <v>53</v>
      </c>
      <c r="X16" s="76" t="s">
        <v>53</v>
      </c>
      <c r="Y16" s="64">
        <v>0.35069444444444442</v>
      </c>
      <c r="Z16" s="64">
        <v>0.65833333333333333</v>
      </c>
      <c r="AA16" s="64">
        <v>0.63124999999999998</v>
      </c>
      <c r="AB16" s="64">
        <v>0.95000000000000007</v>
      </c>
      <c r="AC16" s="64">
        <v>0.62222222222222223</v>
      </c>
      <c r="AD16" s="64">
        <v>0.95208333333333339</v>
      </c>
      <c r="AE16" s="78" t="s">
        <v>87</v>
      </c>
      <c r="AF16" s="78" t="s">
        <v>87</v>
      </c>
      <c r="AG16" s="64">
        <v>0.63055555555555554</v>
      </c>
      <c r="AH16" s="64">
        <v>0.95486111111111116</v>
      </c>
      <c r="AI16" s="97"/>
      <c r="AJ16" s="34">
        <v>12</v>
      </c>
      <c r="AK16" s="98">
        <v>46219.631979166668</v>
      </c>
      <c r="AL16" s="98">
        <v>46219.97216435185</v>
      </c>
      <c r="AM16" s="98">
        <v>46220.581979166665</v>
      </c>
      <c r="AN16" s="98">
        <v>46220.958356481482</v>
      </c>
      <c r="AO16" s="98">
        <v>46221.35019675926</v>
      </c>
      <c r="AP16" s="98">
        <v>1</v>
      </c>
      <c r="AQ16" s="98">
        <v>46222.352708333332</v>
      </c>
      <c r="AR16" s="98">
        <v>1</v>
      </c>
      <c r="AS16" s="98">
        <v>46223.354062500002</v>
      </c>
      <c r="AT16" s="98">
        <v>1</v>
      </c>
      <c r="AU16" s="98">
        <v>46224.620451388888</v>
      </c>
      <c r="AV16" s="98">
        <v>46224.95449074074</v>
      </c>
      <c r="AW16" s="98">
        <v>46225.35460648148</v>
      </c>
      <c r="AX16" s="98">
        <v>1</v>
      </c>
      <c r="AY16" s="98">
        <v>46226.3440625</v>
      </c>
      <c r="AZ16" s="98">
        <v>1</v>
      </c>
      <c r="BA16" s="108" t="s">
        <v>53</v>
      </c>
      <c r="BB16" s="108" t="s">
        <v>53</v>
      </c>
      <c r="BC16" s="98">
        <v>46228.356747685182</v>
      </c>
      <c r="BD16" s="98">
        <v>1</v>
      </c>
      <c r="BE16" s="98">
        <v>46229.348333333335</v>
      </c>
      <c r="BF16" s="98">
        <v>1</v>
      </c>
      <c r="BG16" s="98">
        <v>46230.34783564815</v>
      </c>
      <c r="BH16" s="98">
        <v>1</v>
      </c>
      <c r="BI16" s="98">
        <v>46231.353703703702</v>
      </c>
      <c r="BJ16" s="98">
        <v>1</v>
      </c>
      <c r="BK16" s="98">
        <v>46232.348680555559</v>
      </c>
      <c r="BL16" s="110">
        <v>1</v>
      </c>
      <c r="BM16" s="101">
        <v>46233.351412037038</v>
      </c>
      <c r="BN16" s="102">
        <v>1</v>
      </c>
      <c r="BO16" s="98">
        <v>46234.577233796299</v>
      </c>
      <c r="BP16" s="95">
        <v>46234.961111111108</v>
      </c>
      <c r="BQ16" s="107">
        <f t="shared" si="14"/>
        <v>31</v>
      </c>
      <c r="BR16" s="59">
        <v>3</v>
      </c>
      <c r="BS16" s="38">
        <f t="shared" si="2"/>
        <v>27</v>
      </c>
      <c r="BT16" s="39">
        <f t="shared" si="3"/>
        <v>2</v>
      </c>
      <c r="BU16" s="39">
        <f t="shared" si="4"/>
        <v>0</v>
      </c>
      <c r="BV16" s="39">
        <f t="shared" si="5"/>
        <v>0</v>
      </c>
      <c r="BW16" s="39">
        <f t="shared" si="6"/>
        <v>0</v>
      </c>
      <c r="BX16" s="39">
        <f t="shared" si="7"/>
        <v>0</v>
      </c>
      <c r="BY16" s="39">
        <f t="shared" si="8"/>
        <v>0</v>
      </c>
      <c r="BZ16" s="39">
        <f t="shared" si="9"/>
        <v>2</v>
      </c>
      <c r="CA16" s="39">
        <f t="shared" si="10"/>
        <v>0</v>
      </c>
      <c r="CB16" s="39">
        <f t="shared" si="11"/>
        <v>0</v>
      </c>
      <c r="CC16" s="39">
        <f t="shared" si="12"/>
        <v>0</v>
      </c>
      <c r="CD16" s="39">
        <f t="shared" si="13"/>
        <v>0</v>
      </c>
      <c r="CE16" s="40"/>
      <c r="CH16" s="37">
        <v>0</v>
      </c>
      <c r="CI16" s="34">
        <v>0</v>
      </c>
      <c r="CJ16" s="34">
        <v>0</v>
      </c>
      <c r="CK16" s="34">
        <v>0</v>
      </c>
      <c r="CL16" s="34">
        <v>1</v>
      </c>
      <c r="CM16" s="34">
        <v>4</v>
      </c>
      <c r="CN16" s="34">
        <v>0</v>
      </c>
      <c r="CO16" s="34">
        <v>3</v>
      </c>
      <c r="CP16" s="34">
        <v>0</v>
      </c>
      <c r="CQ16" s="34">
        <v>0</v>
      </c>
      <c r="CR16" s="43">
        <f t="shared" si="0"/>
        <v>8</v>
      </c>
    </row>
    <row r="17" spans="1:98" s="20" customFormat="1" ht="24" customHeight="1" x14ac:dyDescent="0.25">
      <c r="A17" s="34">
        <v>13</v>
      </c>
      <c r="B17" s="39" t="s">
        <v>37</v>
      </c>
      <c r="C17" s="36" t="s">
        <v>38</v>
      </c>
      <c r="D17" s="70">
        <v>44791</v>
      </c>
      <c r="E17" s="64">
        <v>0.34652777777777777</v>
      </c>
      <c r="F17" s="90">
        <v>1</v>
      </c>
      <c r="G17" s="64">
        <v>0.3430555555555555</v>
      </c>
      <c r="H17" s="90">
        <v>1</v>
      </c>
      <c r="I17" s="76">
        <v>1</v>
      </c>
      <c r="J17" s="76">
        <v>1</v>
      </c>
      <c r="K17" s="64">
        <v>0.34513888888888888</v>
      </c>
      <c r="L17" s="90">
        <v>1</v>
      </c>
      <c r="M17" s="64">
        <v>0.3347222222222222</v>
      </c>
      <c r="N17" s="90">
        <v>1</v>
      </c>
      <c r="O17" s="64">
        <v>0.34513888888888888</v>
      </c>
      <c r="P17" s="90">
        <v>1</v>
      </c>
      <c r="Q17" s="64">
        <v>0.34097222222222223</v>
      </c>
      <c r="R17" s="90">
        <v>1</v>
      </c>
      <c r="S17" s="64">
        <v>0.34722222222222227</v>
      </c>
      <c r="T17" s="90">
        <v>1</v>
      </c>
      <c r="U17" s="64">
        <v>0.34930555555555554</v>
      </c>
      <c r="V17" s="90">
        <v>1</v>
      </c>
      <c r="W17" s="76" t="s">
        <v>53</v>
      </c>
      <c r="X17" s="76" t="s">
        <v>53</v>
      </c>
      <c r="Y17" s="64">
        <v>0.3430555555555555</v>
      </c>
      <c r="Z17" s="64">
        <v>1</v>
      </c>
      <c r="AA17" s="64">
        <v>0.33611111111111108</v>
      </c>
      <c r="AB17" s="90">
        <v>1</v>
      </c>
      <c r="AC17" s="64">
        <v>0.34930555555555554</v>
      </c>
      <c r="AD17" s="90">
        <v>1</v>
      </c>
      <c r="AE17" s="64">
        <v>0.34166666666666662</v>
      </c>
      <c r="AF17" s="90">
        <v>1</v>
      </c>
      <c r="AG17" s="64">
        <v>0.33333333333333331</v>
      </c>
      <c r="AH17" s="90">
        <v>1</v>
      </c>
      <c r="AI17" s="97"/>
      <c r="AJ17" s="34">
        <v>13</v>
      </c>
      <c r="AK17" s="98">
        <v>46219.351122685184</v>
      </c>
      <c r="AL17" s="98">
        <v>1</v>
      </c>
      <c r="AM17" s="98">
        <v>46220.609131944446</v>
      </c>
      <c r="AN17" s="98">
        <v>1</v>
      </c>
      <c r="AO17" s="98">
        <v>46221.350231481483</v>
      </c>
      <c r="AP17" s="98">
        <v>1</v>
      </c>
      <c r="AQ17" s="98">
        <v>46222.334293981483</v>
      </c>
      <c r="AR17" s="98">
        <v>1</v>
      </c>
      <c r="AS17" s="98">
        <v>46223.343831018516</v>
      </c>
      <c r="AT17" s="98">
        <v>1</v>
      </c>
      <c r="AU17" s="98">
        <v>46224.329942129632</v>
      </c>
      <c r="AV17" s="98">
        <v>1</v>
      </c>
      <c r="AW17" s="98">
        <v>46225.33699074074</v>
      </c>
      <c r="AX17" s="98">
        <v>1</v>
      </c>
      <c r="AY17" s="98">
        <v>46226.371400462966</v>
      </c>
      <c r="AZ17" s="98">
        <v>1</v>
      </c>
      <c r="BA17" s="108" t="s">
        <v>53</v>
      </c>
      <c r="BB17" s="108" t="s">
        <v>53</v>
      </c>
      <c r="BC17" s="98">
        <v>1</v>
      </c>
      <c r="BD17" s="98">
        <v>1</v>
      </c>
      <c r="BE17" s="98">
        <v>46229.343009259261</v>
      </c>
      <c r="BF17" s="98">
        <v>1</v>
      </c>
      <c r="BG17" s="98">
        <v>46230.343599537038</v>
      </c>
      <c r="BH17" s="98">
        <v>1</v>
      </c>
      <c r="BI17" s="98">
        <v>46231.325914351852</v>
      </c>
      <c r="BJ17" s="98">
        <v>1</v>
      </c>
      <c r="BK17" s="98">
        <v>46232.340312499997</v>
      </c>
      <c r="BL17" s="110">
        <v>1</v>
      </c>
      <c r="BM17" s="101">
        <v>46233.334594907406</v>
      </c>
      <c r="BN17" s="102">
        <v>1</v>
      </c>
      <c r="BO17" s="108" t="s">
        <v>53</v>
      </c>
      <c r="BP17" s="108" t="s">
        <v>53</v>
      </c>
      <c r="BQ17" s="107">
        <f t="shared" si="14"/>
        <v>31</v>
      </c>
      <c r="BR17" s="59">
        <v>2</v>
      </c>
      <c r="BS17" s="38">
        <f t="shared" si="2"/>
        <v>28</v>
      </c>
      <c r="BT17" s="39">
        <f t="shared" si="3"/>
        <v>3</v>
      </c>
      <c r="BU17" s="39">
        <f t="shared" si="4"/>
        <v>0</v>
      </c>
      <c r="BV17" s="39">
        <f t="shared" si="5"/>
        <v>0</v>
      </c>
      <c r="BW17" s="39">
        <f t="shared" si="6"/>
        <v>0</v>
      </c>
      <c r="BX17" s="39">
        <f t="shared" si="7"/>
        <v>0</v>
      </c>
      <c r="BY17" s="39">
        <f t="shared" si="8"/>
        <v>0</v>
      </c>
      <c r="BZ17" s="39">
        <f t="shared" si="9"/>
        <v>0</v>
      </c>
      <c r="CA17" s="39">
        <f t="shared" si="10"/>
        <v>0</v>
      </c>
      <c r="CB17" s="39">
        <f t="shared" si="11"/>
        <v>0</v>
      </c>
      <c r="CC17" s="39">
        <f t="shared" si="12"/>
        <v>0</v>
      </c>
      <c r="CD17" s="39">
        <f t="shared" si="13"/>
        <v>0</v>
      </c>
      <c r="CE17" s="5"/>
      <c r="CH17" s="37">
        <v>0</v>
      </c>
      <c r="CI17" s="34">
        <v>0</v>
      </c>
      <c r="CJ17" s="34">
        <v>0</v>
      </c>
      <c r="CK17" s="34">
        <v>24</v>
      </c>
      <c r="CL17" s="34">
        <v>0</v>
      </c>
      <c r="CM17" s="34">
        <v>0</v>
      </c>
      <c r="CN17" s="34">
        <v>0</v>
      </c>
      <c r="CO17" s="34">
        <v>0</v>
      </c>
      <c r="CP17" s="34">
        <v>0</v>
      </c>
      <c r="CQ17" s="34">
        <v>0</v>
      </c>
      <c r="CR17" s="43">
        <f t="shared" si="0"/>
        <v>24</v>
      </c>
    </row>
    <row r="18" spans="1:98" s="20" customFormat="1" ht="24" customHeight="1" x14ac:dyDescent="0.25">
      <c r="A18" s="34">
        <v>14</v>
      </c>
      <c r="B18" s="39" t="s">
        <v>39</v>
      </c>
      <c r="C18" s="36" t="s">
        <v>40</v>
      </c>
      <c r="D18" s="73">
        <v>45292</v>
      </c>
      <c r="E18" s="76">
        <v>1</v>
      </c>
      <c r="F18" s="76">
        <v>1</v>
      </c>
      <c r="G18" s="76">
        <v>1</v>
      </c>
      <c r="H18" s="76">
        <v>1</v>
      </c>
      <c r="I18" s="76" t="s">
        <v>53</v>
      </c>
      <c r="J18" s="76" t="s">
        <v>53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>
        <v>1</v>
      </c>
      <c r="R18" s="76">
        <v>1</v>
      </c>
      <c r="S18" s="76">
        <v>1</v>
      </c>
      <c r="T18" s="76">
        <v>1</v>
      </c>
      <c r="U18" s="76">
        <v>1</v>
      </c>
      <c r="V18" s="76">
        <v>1</v>
      </c>
      <c r="W18" s="76" t="s">
        <v>53</v>
      </c>
      <c r="X18" s="76" t="s">
        <v>53</v>
      </c>
      <c r="Y18" s="76">
        <v>1</v>
      </c>
      <c r="Z18" s="76">
        <v>1</v>
      </c>
      <c r="AA18" s="76">
        <v>1</v>
      </c>
      <c r="AB18" s="76">
        <v>1</v>
      </c>
      <c r="AC18" s="76">
        <v>1</v>
      </c>
      <c r="AD18" s="76">
        <v>1</v>
      </c>
      <c r="AE18" s="76">
        <v>1</v>
      </c>
      <c r="AF18" s="76">
        <v>1</v>
      </c>
      <c r="AG18" s="76">
        <v>1</v>
      </c>
      <c r="AH18" s="76">
        <v>1</v>
      </c>
      <c r="AI18" s="97"/>
      <c r="AJ18" s="34">
        <v>14</v>
      </c>
      <c r="AK18" s="92">
        <v>1</v>
      </c>
      <c r="AL18" s="92">
        <v>1</v>
      </c>
      <c r="AM18" s="76" t="s">
        <v>53</v>
      </c>
      <c r="AN18" s="76" t="s">
        <v>53</v>
      </c>
      <c r="AO18" s="92">
        <v>1</v>
      </c>
      <c r="AP18" s="92">
        <v>1</v>
      </c>
      <c r="AQ18" s="92">
        <v>1</v>
      </c>
      <c r="AR18" s="92">
        <v>1</v>
      </c>
      <c r="AS18" s="92">
        <v>1</v>
      </c>
      <c r="AT18" s="92">
        <v>1</v>
      </c>
      <c r="AU18" s="92">
        <v>1</v>
      </c>
      <c r="AV18" s="92">
        <v>1</v>
      </c>
      <c r="AW18" s="92">
        <v>1</v>
      </c>
      <c r="AX18" s="92">
        <v>1</v>
      </c>
      <c r="AY18" s="92">
        <v>1</v>
      </c>
      <c r="AZ18" s="92">
        <v>1</v>
      </c>
      <c r="BA18" s="76" t="s">
        <v>53</v>
      </c>
      <c r="BB18" s="76" t="s">
        <v>53</v>
      </c>
      <c r="BC18" s="92">
        <v>1</v>
      </c>
      <c r="BD18" s="92">
        <v>1</v>
      </c>
      <c r="BE18" s="92">
        <v>1</v>
      </c>
      <c r="BF18" s="92">
        <v>1</v>
      </c>
      <c r="BG18" s="92">
        <v>1</v>
      </c>
      <c r="BH18" s="92">
        <v>1</v>
      </c>
      <c r="BI18" s="92">
        <v>1</v>
      </c>
      <c r="BJ18" s="92">
        <v>1</v>
      </c>
      <c r="BK18" s="92">
        <v>1</v>
      </c>
      <c r="BL18" s="92">
        <v>1</v>
      </c>
      <c r="BM18" s="92">
        <v>1</v>
      </c>
      <c r="BN18" s="92">
        <v>1</v>
      </c>
      <c r="BO18" s="76" t="s">
        <v>53</v>
      </c>
      <c r="BP18" s="76" t="s">
        <v>53</v>
      </c>
      <c r="BQ18" s="107">
        <f t="shared" si="14"/>
        <v>31</v>
      </c>
      <c r="BR18" s="59">
        <v>0</v>
      </c>
      <c r="BS18" s="38">
        <f t="shared" si="2"/>
        <v>26</v>
      </c>
      <c r="BT18" s="39">
        <f t="shared" si="3"/>
        <v>5</v>
      </c>
      <c r="BU18" s="39">
        <f t="shared" si="4"/>
        <v>0</v>
      </c>
      <c r="BV18" s="39">
        <f t="shared" si="5"/>
        <v>0</v>
      </c>
      <c r="BW18" s="39">
        <f t="shared" si="6"/>
        <v>0</v>
      </c>
      <c r="BX18" s="39">
        <f t="shared" si="7"/>
        <v>0</v>
      </c>
      <c r="BY18" s="39">
        <f t="shared" si="8"/>
        <v>0</v>
      </c>
      <c r="BZ18" s="39">
        <f t="shared" si="9"/>
        <v>0</v>
      </c>
      <c r="CA18" s="39">
        <f t="shared" si="10"/>
        <v>0</v>
      </c>
      <c r="CB18" s="39">
        <f t="shared" si="11"/>
        <v>0</v>
      </c>
      <c r="CC18" s="39">
        <f t="shared" si="12"/>
        <v>0</v>
      </c>
      <c r="CD18" s="39">
        <f t="shared" si="13"/>
        <v>0</v>
      </c>
      <c r="CE18" s="40"/>
      <c r="CH18" s="37">
        <v>0</v>
      </c>
      <c r="CI18" s="34">
        <v>0</v>
      </c>
      <c r="CJ18" s="34">
        <v>0</v>
      </c>
      <c r="CK18" s="34">
        <v>0</v>
      </c>
      <c r="CL18" s="34">
        <v>0</v>
      </c>
      <c r="CM18" s="34">
        <v>0</v>
      </c>
      <c r="CN18" s="34">
        <v>0</v>
      </c>
      <c r="CO18" s="34">
        <v>0</v>
      </c>
      <c r="CP18" s="34">
        <v>0</v>
      </c>
      <c r="CQ18" s="34">
        <v>0</v>
      </c>
      <c r="CR18" s="43">
        <f t="shared" si="0"/>
        <v>0</v>
      </c>
    </row>
    <row r="19" spans="1:98" s="20" customFormat="1" ht="24" customHeight="1" x14ac:dyDescent="0.25">
      <c r="A19" s="34">
        <v>15</v>
      </c>
      <c r="B19" s="39" t="s">
        <v>41</v>
      </c>
      <c r="C19" s="36" t="s">
        <v>42</v>
      </c>
      <c r="D19" s="70">
        <v>45491</v>
      </c>
      <c r="E19" s="64">
        <v>0.35486111111111113</v>
      </c>
      <c r="F19" s="90">
        <v>1</v>
      </c>
      <c r="G19" s="64">
        <v>0.6430555555555556</v>
      </c>
      <c r="H19" s="90">
        <v>1</v>
      </c>
      <c r="I19" s="81">
        <v>0.5805555555555556</v>
      </c>
      <c r="J19" s="91">
        <v>1</v>
      </c>
      <c r="K19" s="64">
        <v>0.35486111111111113</v>
      </c>
      <c r="L19" s="64">
        <v>0.6645833333333333</v>
      </c>
      <c r="M19" s="64">
        <v>0.3520833333333333</v>
      </c>
      <c r="N19" s="90">
        <v>1</v>
      </c>
      <c r="O19" s="64">
        <v>0.35486111111111113</v>
      </c>
      <c r="P19" s="64">
        <v>0.69444444444444453</v>
      </c>
      <c r="Q19" s="78" t="s">
        <v>87</v>
      </c>
      <c r="R19" s="78" t="s">
        <v>87</v>
      </c>
      <c r="S19" s="64">
        <v>0.35486111111111113</v>
      </c>
      <c r="T19" s="64">
        <v>0.67499999999999993</v>
      </c>
      <c r="U19" s="64">
        <v>0.35347222222222219</v>
      </c>
      <c r="V19" s="64">
        <v>0.67361111111111116</v>
      </c>
      <c r="W19" s="81">
        <v>0.57916666666666672</v>
      </c>
      <c r="X19" s="81">
        <v>0.95277777777777783</v>
      </c>
      <c r="Y19" s="64">
        <v>0.35486111111111113</v>
      </c>
      <c r="Z19" s="64">
        <v>0.71597222222222223</v>
      </c>
      <c r="AA19" s="64">
        <v>0.3520833333333333</v>
      </c>
      <c r="AB19" s="64">
        <v>0.67013888888888884</v>
      </c>
      <c r="AC19" s="64">
        <v>0.35625000000000001</v>
      </c>
      <c r="AD19" s="64">
        <v>0.66666666666666663</v>
      </c>
      <c r="AE19" s="78" t="s">
        <v>87</v>
      </c>
      <c r="AF19" s="78" t="s">
        <v>87</v>
      </c>
      <c r="AG19" s="64">
        <v>0.3520833333333333</v>
      </c>
      <c r="AH19" s="64">
        <v>0.68541666666666667</v>
      </c>
      <c r="AI19" s="97"/>
      <c r="AJ19" s="34">
        <v>15</v>
      </c>
      <c r="AK19" s="98">
        <v>46219.35365740741</v>
      </c>
      <c r="AL19" s="98">
        <v>1</v>
      </c>
      <c r="AM19" s="76" t="s">
        <v>53</v>
      </c>
      <c r="AN19" s="76" t="s">
        <v>53</v>
      </c>
      <c r="AO19" s="98">
        <v>1</v>
      </c>
      <c r="AP19" s="98">
        <v>46221.979074074072</v>
      </c>
      <c r="AQ19" s="98">
        <v>1</v>
      </c>
      <c r="AR19" s="98">
        <v>46222.955972222226</v>
      </c>
      <c r="AS19" s="99" t="s">
        <v>56</v>
      </c>
      <c r="AT19" s="100" t="s">
        <v>56</v>
      </c>
      <c r="AU19" s="100" t="s">
        <v>56</v>
      </c>
      <c r="AV19" s="100" t="s">
        <v>56</v>
      </c>
      <c r="AW19" s="100" t="s">
        <v>56</v>
      </c>
      <c r="AX19" s="100" t="s">
        <v>56</v>
      </c>
      <c r="AY19" s="100" t="s">
        <v>56</v>
      </c>
      <c r="AZ19" s="100" t="s">
        <v>56</v>
      </c>
      <c r="BA19" s="100" t="s">
        <v>56</v>
      </c>
      <c r="BB19" s="100" t="s">
        <v>56</v>
      </c>
      <c r="BC19" s="100" t="s">
        <v>56</v>
      </c>
      <c r="BD19" s="100" t="s">
        <v>56</v>
      </c>
      <c r="BE19" s="100" t="s">
        <v>56</v>
      </c>
      <c r="BF19" s="100" t="s">
        <v>56</v>
      </c>
      <c r="BG19" s="100" t="s">
        <v>56</v>
      </c>
      <c r="BH19" s="100" t="s">
        <v>56</v>
      </c>
      <c r="BI19" s="100" t="s">
        <v>56</v>
      </c>
      <c r="BJ19" s="100" t="s">
        <v>56</v>
      </c>
      <c r="BK19" s="96" t="s">
        <v>56</v>
      </c>
      <c r="BL19" s="93" t="s">
        <v>56</v>
      </c>
      <c r="BM19" s="93" t="s">
        <v>56</v>
      </c>
      <c r="BN19" s="94" t="s">
        <v>56</v>
      </c>
      <c r="BO19" s="94" t="s">
        <v>56</v>
      </c>
      <c r="BP19" s="94" t="s">
        <v>56</v>
      </c>
      <c r="BQ19" s="107">
        <f t="shared" si="14"/>
        <v>31</v>
      </c>
      <c r="BR19" s="59">
        <v>2</v>
      </c>
      <c r="BS19" s="38">
        <f t="shared" si="2"/>
        <v>16</v>
      </c>
      <c r="BT19" s="39">
        <f t="shared" si="3"/>
        <v>1</v>
      </c>
      <c r="BU19" s="39">
        <f t="shared" si="4"/>
        <v>0</v>
      </c>
      <c r="BV19" s="39">
        <f t="shared" si="5"/>
        <v>0</v>
      </c>
      <c r="BW19" s="39">
        <f t="shared" si="6"/>
        <v>12</v>
      </c>
      <c r="BX19" s="39">
        <f t="shared" si="7"/>
        <v>0</v>
      </c>
      <c r="BY19" s="39">
        <f t="shared" si="8"/>
        <v>0</v>
      </c>
      <c r="BZ19" s="39">
        <f t="shared" si="9"/>
        <v>2</v>
      </c>
      <c r="CA19" s="39">
        <f t="shared" si="10"/>
        <v>0</v>
      </c>
      <c r="CB19" s="39">
        <f t="shared" si="11"/>
        <v>0</v>
      </c>
      <c r="CC19" s="39">
        <f t="shared" si="12"/>
        <v>0</v>
      </c>
      <c r="CD19" s="39">
        <f t="shared" si="13"/>
        <v>0</v>
      </c>
      <c r="CE19" s="40"/>
      <c r="CF19" s="20" t="s">
        <v>74</v>
      </c>
      <c r="CH19" s="37">
        <v>0</v>
      </c>
      <c r="CI19" s="34">
        <v>11</v>
      </c>
      <c r="CJ19" s="34">
        <v>18</v>
      </c>
      <c r="CK19" s="34">
        <v>0</v>
      </c>
      <c r="CL19" s="34">
        <v>4</v>
      </c>
      <c r="CM19" s="34">
        <v>7</v>
      </c>
      <c r="CN19" s="34">
        <v>0</v>
      </c>
      <c r="CO19" s="34">
        <v>4</v>
      </c>
      <c r="CP19" s="34">
        <v>0</v>
      </c>
      <c r="CQ19" s="34">
        <v>0</v>
      </c>
      <c r="CR19" s="43">
        <f t="shared" si="0"/>
        <v>44</v>
      </c>
    </row>
    <row r="20" spans="1:98" s="20" customFormat="1" ht="24" customHeight="1" x14ac:dyDescent="0.25">
      <c r="A20" s="34">
        <v>16</v>
      </c>
      <c r="B20" s="39" t="s">
        <v>43</v>
      </c>
      <c r="C20" s="36" t="s">
        <v>44</v>
      </c>
      <c r="D20" s="70">
        <v>45509</v>
      </c>
      <c r="E20" s="64">
        <v>0.35416666666666669</v>
      </c>
      <c r="F20" s="64">
        <v>0.65347222222222223</v>
      </c>
      <c r="G20" s="64">
        <v>0.35486111111111113</v>
      </c>
      <c r="H20" s="64">
        <v>0.65277777777777779</v>
      </c>
      <c r="I20" s="76" t="s">
        <v>53</v>
      </c>
      <c r="J20" s="76" t="s">
        <v>53</v>
      </c>
      <c r="K20" s="64">
        <v>0.64513888888888882</v>
      </c>
      <c r="L20" s="64">
        <v>0.97083333333333333</v>
      </c>
      <c r="M20" s="64">
        <v>0.64444444444444449</v>
      </c>
      <c r="N20" s="64">
        <v>0.95624999999999993</v>
      </c>
      <c r="O20" s="64">
        <v>0.64722222222222225</v>
      </c>
      <c r="P20" s="64">
        <v>0.95138888888888884</v>
      </c>
      <c r="Q20" s="64">
        <v>0.64652777777777781</v>
      </c>
      <c r="R20" s="64">
        <v>0.94930555555555562</v>
      </c>
      <c r="S20" s="64">
        <v>0.64652777777777781</v>
      </c>
      <c r="T20" s="64">
        <v>0.9555555555555556</v>
      </c>
      <c r="U20" s="64">
        <v>0.97222222222222221</v>
      </c>
      <c r="V20" s="90">
        <v>1</v>
      </c>
      <c r="W20" s="81">
        <v>0.58194444444444449</v>
      </c>
      <c r="X20" s="81">
        <v>0.95347222222222217</v>
      </c>
      <c r="Y20" s="64">
        <v>0.35416666666666669</v>
      </c>
      <c r="Z20" s="64">
        <v>0.65</v>
      </c>
      <c r="AA20" s="64">
        <v>0.64236111111111105</v>
      </c>
      <c r="AB20" s="64">
        <v>0.95277777777777783</v>
      </c>
      <c r="AC20" s="64">
        <v>0.64583333333333337</v>
      </c>
      <c r="AD20" s="64">
        <v>0.9458333333333333</v>
      </c>
      <c r="AE20" s="64">
        <v>0.35555555555555557</v>
      </c>
      <c r="AF20" s="64">
        <v>0.64722222222222225</v>
      </c>
      <c r="AG20" s="64">
        <v>0.35486111111111113</v>
      </c>
      <c r="AH20" s="64">
        <v>0.64583333333333337</v>
      </c>
      <c r="AI20" s="97"/>
      <c r="AJ20" s="34">
        <v>16</v>
      </c>
      <c r="AK20" s="98">
        <v>46219.352453703701</v>
      </c>
      <c r="AL20" s="98">
        <v>1</v>
      </c>
      <c r="AM20" s="108" t="s">
        <v>53</v>
      </c>
      <c r="AN20" s="108" t="s">
        <v>53</v>
      </c>
      <c r="AO20" s="98">
        <v>0.64583333333333337</v>
      </c>
      <c r="AP20" s="98">
        <v>46221.969722222224</v>
      </c>
      <c r="AQ20" s="108" t="s">
        <v>104</v>
      </c>
      <c r="AR20" s="108" t="s">
        <v>104</v>
      </c>
      <c r="AS20" s="98">
        <v>0.64374999999999993</v>
      </c>
      <c r="AT20" s="98">
        <v>46223.949444444443</v>
      </c>
      <c r="AU20" s="98">
        <v>46224.647233796299</v>
      </c>
      <c r="AV20" s="98">
        <v>46224.954988425925</v>
      </c>
      <c r="AW20" s="98">
        <v>0.64513888888888882</v>
      </c>
      <c r="AX20" s="98">
        <v>46225.95449074074</v>
      </c>
      <c r="AY20" s="98">
        <v>0.6479166666666667</v>
      </c>
      <c r="AZ20" s="98">
        <v>46226.974618055552</v>
      </c>
      <c r="BA20" s="98">
        <v>46227.582337962966</v>
      </c>
      <c r="BB20" s="98">
        <v>46227.94809027778</v>
      </c>
      <c r="BC20" s="98">
        <v>46228.354247685187</v>
      </c>
      <c r="BD20" s="98">
        <v>0.64722222222222225</v>
      </c>
      <c r="BE20" s="98">
        <v>46229.356099537035</v>
      </c>
      <c r="BF20" s="98">
        <v>0.64930555555555558</v>
      </c>
      <c r="BG20" s="98">
        <v>46230.354328703703</v>
      </c>
      <c r="BH20" s="98">
        <v>1</v>
      </c>
      <c r="BI20" s="98">
        <v>0.64513888888888882</v>
      </c>
      <c r="BJ20" s="98">
        <v>46231.951909722222</v>
      </c>
      <c r="BK20" s="98">
        <v>0.35347222222222219</v>
      </c>
      <c r="BL20" s="95">
        <v>0.64583333333333337</v>
      </c>
      <c r="BM20" s="101">
        <v>46233.353622685187</v>
      </c>
      <c r="BN20" s="98">
        <v>0.64652777777777781</v>
      </c>
      <c r="BO20" s="108" t="s">
        <v>53</v>
      </c>
      <c r="BP20" s="108" t="s">
        <v>53</v>
      </c>
      <c r="BQ20" s="107">
        <f t="shared" si="14"/>
        <v>31</v>
      </c>
      <c r="BR20" s="59">
        <v>2</v>
      </c>
      <c r="BS20" s="38">
        <f t="shared" si="2"/>
        <v>27</v>
      </c>
      <c r="BT20" s="39">
        <f t="shared" si="3"/>
        <v>3</v>
      </c>
      <c r="BU20" s="39">
        <f t="shared" si="4"/>
        <v>0</v>
      </c>
      <c r="BV20" s="39">
        <f t="shared" si="5"/>
        <v>0</v>
      </c>
      <c r="BW20" s="39">
        <f t="shared" si="6"/>
        <v>0</v>
      </c>
      <c r="BX20" s="39">
        <f t="shared" si="7"/>
        <v>0</v>
      </c>
      <c r="BY20" s="39">
        <f t="shared" si="8"/>
        <v>0</v>
      </c>
      <c r="BZ20" s="39">
        <f t="shared" si="9"/>
        <v>1</v>
      </c>
      <c r="CA20" s="39">
        <f t="shared" si="10"/>
        <v>0</v>
      </c>
      <c r="CB20" s="39">
        <f t="shared" si="11"/>
        <v>0</v>
      </c>
      <c r="CC20" s="39">
        <f t="shared" si="12"/>
        <v>0</v>
      </c>
      <c r="CD20" s="39">
        <f t="shared" si="13"/>
        <v>0</v>
      </c>
      <c r="CE20" s="40"/>
      <c r="CH20" s="37">
        <v>1</v>
      </c>
      <c r="CI20" s="34">
        <v>0</v>
      </c>
      <c r="CJ20" s="34">
        <v>0</v>
      </c>
      <c r="CK20" s="34">
        <v>0</v>
      </c>
      <c r="CL20" s="34">
        <v>0</v>
      </c>
      <c r="CM20" s="34">
        <v>14</v>
      </c>
      <c r="CN20" s="34">
        <v>0</v>
      </c>
      <c r="CO20" s="34">
        <v>3</v>
      </c>
      <c r="CP20" s="34">
        <v>0</v>
      </c>
      <c r="CQ20" s="34">
        <v>0</v>
      </c>
      <c r="CR20" s="43">
        <f t="shared" si="0"/>
        <v>18</v>
      </c>
    </row>
    <row r="21" spans="1:98" s="20" customFormat="1" ht="24" customHeight="1" x14ac:dyDescent="0.25">
      <c r="A21" s="34">
        <v>17</v>
      </c>
      <c r="B21" s="42" t="s">
        <v>45</v>
      </c>
      <c r="C21" s="36" t="s">
        <v>46</v>
      </c>
      <c r="D21" s="70">
        <v>45566</v>
      </c>
      <c r="E21" s="64">
        <v>0.44930555555555557</v>
      </c>
      <c r="F21" s="64">
        <v>0.95624999999999993</v>
      </c>
      <c r="G21" s="64">
        <v>0.39999999999999997</v>
      </c>
      <c r="H21" s="64">
        <v>0.93333333333333324</v>
      </c>
      <c r="I21" s="81">
        <v>0.57916666666666672</v>
      </c>
      <c r="J21" s="91">
        <v>1</v>
      </c>
      <c r="K21" s="64">
        <v>0.41319444444444442</v>
      </c>
      <c r="L21" s="64">
        <v>0.93125000000000002</v>
      </c>
      <c r="M21" s="64">
        <v>0.37847222222222227</v>
      </c>
      <c r="N21" s="90">
        <v>1</v>
      </c>
      <c r="O21" s="78" t="s">
        <v>87</v>
      </c>
      <c r="P21" s="78" t="s">
        <v>87</v>
      </c>
      <c r="Q21" s="64">
        <v>0.37916666666666665</v>
      </c>
      <c r="R21" s="64">
        <v>0.75</v>
      </c>
      <c r="S21" s="64">
        <v>0.42222222222222222</v>
      </c>
      <c r="T21" s="64">
        <v>0.78819444444444453</v>
      </c>
      <c r="U21" s="64">
        <v>0.38055555555555554</v>
      </c>
      <c r="V21" s="90">
        <v>1</v>
      </c>
      <c r="W21" s="76" t="s">
        <v>53</v>
      </c>
      <c r="X21" s="76" t="s">
        <v>53</v>
      </c>
      <c r="Y21" s="64">
        <v>0.37708333333333338</v>
      </c>
      <c r="Z21" s="90">
        <v>1</v>
      </c>
      <c r="AA21" s="64">
        <v>0.3743055555555555</v>
      </c>
      <c r="AB21" s="64">
        <v>0.85277777777777775</v>
      </c>
      <c r="AC21" s="64">
        <v>0.39027777777777778</v>
      </c>
      <c r="AD21" s="64">
        <v>0.95416666666666661</v>
      </c>
      <c r="AE21" s="64">
        <v>0.36736111111111108</v>
      </c>
      <c r="AF21" s="64">
        <v>0.76597222222222217</v>
      </c>
      <c r="AG21" s="64">
        <v>0.3666666666666667</v>
      </c>
      <c r="AH21" s="64">
        <v>0.8666666666666667</v>
      </c>
      <c r="AI21" s="97"/>
      <c r="AJ21" s="34">
        <v>17</v>
      </c>
      <c r="AK21" s="98">
        <v>46219.367152777777</v>
      </c>
      <c r="AL21" s="98">
        <v>46219.755879629629</v>
      </c>
      <c r="AM21" s="108" t="s">
        <v>53</v>
      </c>
      <c r="AN21" s="108" t="s">
        <v>53</v>
      </c>
      <c r="AO21" s="98">
        <v>46221.386817129627</v>
      </c>
      <c r="AP21" s="98">
        <v>46221.735671296294</v>
      </c>
      <c r="AQ21" s="98" t="s">
        <v>87</v>
      </c>
      <c r="AR21" s="98" t="s">
        <v>87</v>
      </c>
      <c r="AS21" s="98" t="s">
        <v>87</v>
      </c>
      <c r="AT21" s="98">
        <v>46223.730543981481</v>
      </c>
      <c r="AU21" s="98">
        <v>46224.36886574074</v>
      </c>
      <c r="AV21" s="98">
        <v>46224.877534722225</v>
      </c>
      <c r="AW21" s="98">
        <v>46225.37159722222</v>
      </c>
      <c r="AX21" s="98">
        <v>46225.756111111114</v>
      </c>
      <c r="AY21" s="98">
        <v>46226.352500000001</v>
      </c>
      <c r="AZ21" s="98">
        <v>46226.726631944446</v>
      </c>
      <c r="BA21" s="98">
        <v>46227.575682870367</v>
      </c>
      <c r="BB21" s="98">
        <v>46227.769097222219</v>
      </c>
      <c r="BC21" s="98">
        <v>46228.374120370368</v>
      </c>
      <c r="BD21" s="98">
        <v>1</v>
      </c>
      <c r="BE21" s="98">
        <v>46229.408321759256</v>
      </c>
      <c r="BF21" s="98">
        <v>46229.758472222224</v>
      </c>
      <c r="BG21" s="98">
        <v>46230.369780092595</v>
      </c>
      <c r="BH21" s="98">
        <v>46230.914502314816</v>
      </c>
      <c r="BI21" s="98">
        <v>46231.367546296293</v>
      </c>
      <c r="BJ21" s="98">
        <v>1</v>
      </c>
      <c r="BK21" s="98">
        <v>46232.374618055554</v>
      </c>
      <c r="BL21" s="110">
        <v>1</v>
      </c>
      <c r="BM21" s="103">
        <v>46233.37096064815</v>
      </c>
      <c r="BN21" s="98">
        <v>46233.738888888889</v>
      </c>
      <c r="BO21" s="108" t="s">
        <v>53</v>
      </c>
      <c r="BP21" s="108" t="s">
        <v>53</v>
      </c>
      <c r="BQ21" s="107">
        <f t="shared" si="14"/>
        <v>31</v>
      </c>
      <c r="BR21" s="59">
        <v>2</v>
      </c>
      <c r="BS21" s="38">
        <f t="shared" si="2"/>
        <v>25.5</v>
      </c>
      <c r="BT21" s="39">
        <f t="shared" si="3"/>
        <v>3</v>
      </c>
      <c r="BU21" s="39">
        <f t="shared" si="4"/>
        <v>0</v>
      </c>
      <c r="BV21" s="39">
        <f t="shared" si="5"/>
        <v>0</v>
      </c>
      <c r="BW21" s="39">
        <f t="shared" si="6"/>
        <v>0</v>
      </c>
      <c r="BX21" s="39">
        <f t="shared" si="7"/>
        <v>0</v>
      </c>
      <c r="BY21" s="39">
        <f t="shared" si="8"/>
        <v>0</v>
      </c>
      <c r="BZ21" s="39">
        <f t="shared" si="9"/>
        <v>2.5</v>
      </c>
      <c r="CA21" s="39">
        <f t="shared" si="10"/>
        <v>0</v>
      </c>
      <c r="CB21" s="39">
        <f t="shared" si="11"/>
        <v>0</v>
      </c>
      <c r="CC21" s="39">
        <f t="shared" si="12"/>
        <v>0</v>
      </c>
      <c r="CD21" s="39">
        <f t="shared" si="13"/>
        <v>0</v>
      </c>
      <c r="CE21" s="40"/>
      <c r="CH21" s="37">
        <v>0</v>
      </c>
      <c r="CI21" s="34">
        <v>0</v>
      </c>
      <c r="CJ21" s="34">
        <v>30</v>
      </c>
      <c r="CK21" s="34">
        <v>0</v>
      </c>
      <c r="CL21" s="34">
        <v>0</v>
      </c>
      <c r="CM21" s="34">
        <v>5</v>
      </c>
      <c r="CN21" s="34">
        <v>0</v>
      </c>
      <c r="CO21" s="34">
        <v>0</v>
      </c>
      <c r="CP21" s="34">
        <v>0</v>
      </c>
      <c r="CQ21" s="34">
        <v>0</v>
      </c>
      <c r="CR21" s="43">
        <f t="shared" si="0"/>
        <v>35</v>
      </c>
    </row>
    <row r="22" spans="1:98" s="20" customFormat="1" ht="24" customHeight="1" x14ac:dyDescent="0.25">
      <c r="A22" s="34">
        <v>18</v>
      </c>
      <c r="B22" s="42" t="s">
        <v>47</v>
      </c>
      <c r="C22" s="36" t="s">
        <v>48</v>
      </c>
      <c r="D22" s="70">
        <v>45785</v>
      </c>
      <c r="E22" s="64">
        <v>0.35555555555555557</v>
      </c>
      <c r="F22" s="90">
        <v>1</v>
      </c>
      <c r="G22" s="64">
        <v>0.34722222222222227</v>
      </c>
      <c r="H22" s="90">
        <v>1</v>
      </c>
      <c r="I22" s="76" t="s">
        <v>53</v>
      </c>
      <c r="J22" s="76" t="s">
        <v>53</v>
      </c>
      <c r="K22" s="64">
        <v>0.35833333333333334</v>
      </c>
      <c r="L22" s="90">
        <v>1</v>
      </c>
      <c r="M22" s="64">
        <v>0.35833333333333334</v>
      </c>
      <c r="N22" s="90">
        <v>1</v>
      </c>
      <c r="O22" s="64">
        <v>0.34375</v>
      </c>
      <c r="P22" s="90">
        <v>1</v>
      </c>
      <c r="Q22" s="90">
        <v>1</v>
      </c>
      <c r="R22" s="90">
        <v>1</v>
      </c>
      <c r="S22" s="64">
        <v>0.36944444444444446</v>
      </c>
      <c r="T22" s="64">
        <v>0.36944444444444446</v>
      </c>
      <c r="U22" s="64">
        <v>0.36944444444444446</v>
      </c>
      <c r="V22" s="90">
        <v>1</v>
      </c>
      <c r="W22" s="81">
        <v>0.56666666666666665</v>
      </c>
      <c r="X22" s="91">
        <v>1</v>
      </c>
      <c r="Y22" s="64">
        <v>0.3611111111111111</v>
      </c>
      <c r="Z22" s="90">
        <v>1</v>
      </c>
      <c r="AA22" s="64">
        <v>0.39166666666666666</v>
      </c>
      <c r="AB22" s="90">
        <v>1</v>
      </c>
      <c r="AC22" s="64">
        <v>0.36805555555555558</v>
      </c>
      <c r="AD22" s="90">
        <v>1</v>
      </c>
      <c r="AE22" s="64">
        <v>0.38263888888888892</v>
      </c>
      <c r="AF22" s="90">
        <v>1</v>
      </c>
      <c r="AG22" s="64">
        <v>0.36944444444444446</v>
      </c>
      <c r="AH22" s="90">
        <v>1</v>
      </c>
      <c r="AI22" s="97"/>
      <c r="AJ22" s="34">
        <v>18</v>
      </c>
      <c r="AK22" s="98">
        <v>46219.365266203706</v>
      </c>
      <c r="AL22" s="98">
        <v>1</v>
      </c>
      <c r="AM22" s="108" t="s">
        <v>53</v>
      </c>
      <c r="AN22" s="108" t="s">
        <v>53</v>
      </c>
      <c r="AO22" s="98">
        <v>46221.374837962961</v>
      </c>
      <c r="AP22" s="98">
        <v>1</v>
      </c>
      <c r="AQ22" s="98">
        <v>46222.360023148147</v>
      </c>
      <c r="AR22" s="98">
        <v>1</v>
      </c>
      <c r="AS22" s="98">
        <v>46223.341932870368</v>
      </c>
      <c r="AT22" s="98">
        <v>1</v>
      </c>
      <c r="AU22" s="98">
        <v>46224.340185185189</v>
      </c>
      <c r="AV22" s="98">
        <v>1</v>
      </c>
      <c r="AW22" s="98">
        <v>46225.381956018522</v>
      </c>
      <c r="AX22" s="98">
        <v>1</v>
      </c>
      <c r="AY22" s="98">
        <v>46226.344224537039</v>
      </c>
      <c r="AZ22" s="98">
        <v>1</v>
      </c>
      <c r="BA22" s="108" t="s">
        <v>53</v>
      </c>
      <c r="BB22" s="108" t="s">
        <v>53</v>
      </c>
      <c r="BC22" s="98">
        <v>46228.341122685182</v>
      </c>
      <c r="BD22" s="98">
        <v>46228.918807870374</v>
      </c>
      <c r="BE22" s="98">
        <v>46229.336134259262</v>
      </c>
      <c r="BF22" s="98">
        <v>1</v>
      </c>
      <c r="BG22" s="98">
        <v>46230.34814814815</v>
      </c>
      <c r="BH22" s="98">
        <v>1</v>
      </c>
      <c r="BI22" s="98">
        <v>46231.330949074072</v>
      </c>
      <c r="BJ22" s="98">
        <v>1</v>
      </c>
      <c r="BK22" s="98">
        <v>46232.363935185182</v>
      </c>
      <c r="BL22" s="95">
        <v>1</v>
      </c>
      <c r="BM22" s="103">
        <v>46233.36482638889</v>
      </c>
      <c r="BN22" s="98">
        <v>1</v>
      </c>
      <c r="BO22" s="108" t="s">
        <v>53</v>
      </c>
      <c r="BP22" s="108" t="s">
        <v>53</v>
      </c>
      <c r="BQ22" s="107">
        <f t="shared" si="14"/>
        <v>31</v>
      </c>
      <c r="BR22" s="59">
        <v>1</v>
      </c>
      <c r="BS22" s="38">
        <f t="shared" si="2"/>
        <v>27</v>
      </c>
      <c r="BT22" s="39">
        <f t="shared" si="3"/>
        <v>4</v>
      </c>
      <c r="BU22" s="39">
        <f t="shared" si="4"/>
        <v>0</v>
      </c>
      <c r="BV22" s="39">
        <f t="shared" si="5"/>
        <v>0</v>
      </c>
      <c r="BW22" s="39">
        <f t="shared" si="6"/>
        <v>0</v>
      </c>
      <c r="BX22" s="39">
        <f t="shared" si="7"/>
        <v>0</v>
      </c>
      <c r="BY22" s="39">
        <f t="shared" si="8"/>
        <v>0</v>
      </c>
      <c r="BZ22" s="39">
        <f t="shared" si="9"/>
        <v>0</v>
      </c>
      <c r="CA22" s="39">
        <f t="shared" si="10"/>
        <v>0</v>
      </c>
      <c r="CB22" s="39">
        <f t="shared" si="11"/>
        <v>0</v>
      </c>
      <c r="CC22" s="39">
        <f t="shared" si="12"/>
        <v>0</v>
      </c>
      <c r="CD22" s="39">
        <f t="shared" si="13"/>
        <v>0</v>
      </c>
      <c r="CE22" s="40"/>
      <c r="CH22" s="37">
        <v>0</v>
      </c>
      <c r="CI22" s="34">
        <v>0</v>
      </c>
      <c r="CJ22" s="34">
        <v>0</v>
      </c>
      <c r="CK22" s="34">
        <v>0</v>
      </c>
      <c r="CL22" s="34">
        <v>0</v>
      </c>
      <c r="CM22" s="34">
        <v>0</v>
      </c>
      <c r="CN22" s="34">
        <v>0</v>
      </c>
      <c r="CO22" s="34">
        <v>0</v>
      </c>
      <c r="CP22" s="34">
        <v>0</v>
      </c>
      <c r="CQ22" s="34">
        <v>0</v>
      </c>
      <c r="CR22" s="43">
        <f t="shared" si="0"/>
        <v>0</v>
      </c>
    </row>
    <row r="23" spans="1:98" s="20" customFormat="1" ht="24" customHeight="1" x14ac:dyDescent="0.25">
      <c r="A23" s="34">
        <v>19</v>
      </c>
      <c r="B23" s="42" t="s">
        <v>49</v>
      </c>
      <c r="C23" s="36" t="s">
        <v>50</v>
      </c>
      <c r="D23" s="70">
        <v>45826</v>
      </c>
      <c r="E23" s="64">
        <v>0.3520833333333333</v>
      </c>
      <c r="F23" s="90">
        <v>1</v>
      </c>
      <c r="G23" s="64">
        <v>4.3055555555555562E-2</v>
      </c>
      <c r="H23" s="90">
        <v>1</v>
      </c>
      <c r="I23" s="81">
        <v>0.58333333333333337</v>
      </c>
      <c r="J23" s="81">
        <v>3.472222222222222E-3</v>
      </c>
      <c r="K23" s="64">
        <v>0.38472222222222219</v>
      </c>
      <c r="L23" s="64">
        <v>3.125E-2</v>
      </c>
      <c r="M23" s="64">
        <v>0.35833333333333334</v>
      </c>
      <c r="N23" s="64">
        <v>0.99097222222222225</v>
      </c>
      <c r="O23" s="64">
        <v>0.34861111111111115</v>
      </c>
      <c r="P23" s="64">
        <v>0</v>
      </c>
      <c r="Q23" s="64">
        <v>0.34652777777777777</v>
      </c>
      <c r="R23" s="64">
        <v>6.9444444444444434E-2</v>
      </c>
      <c r="S23" s="64">
        <v>0.35486111111111113</v>
      </c>
      <c r="T23" s="64">
        <v>2.7083333333333334E-2</v>
      </c>
      <c r="U23" s="77" t="s">
        <v>58</v>
      </c>
      <c r="V23" s="77" t="s">
        <v>58</v>
      </c>
      <c r="W23" s="76" t="s">
        <v>53</v>
      </c>
      <c r="X23" s="76" t="s">
        <v>53</v>
      </c>
      <c r="Y23" s="64">
        <v>0.375</v>
      </c>
      <c r="Z23" s="64">
        <v>0.59305555555555556</v>
      </c>
      <c r="AA23" s="64">
        <v>0.35069444444444442</v>
      </c>
      <c r="AB23" s="64">
        <v>6.9444444444444447E-4</v>
      </c>
      <c r="AC23" s="64">
        <v>0.3527777777777778</v>
      </c>
      <c r="AD23" s="90">
        <v>1</v>
      </c>
      <c r="AE23" s="64">
        <v>0.34236111111111112</v>
      </c>
      <c r="AF23" s="90">
        <v>1</v>
      </c>
      <c r="AG23" s="64">
        <v>0.35000000000000003</v>
      </c>
      <c r="AH23" s="64">
        <v>0.99791666666666667</v>
      </c>
      <c r="AI23" s="97"/>
      <c r="AJ23" s="34">
        <v>19</v>
      </c>
      <c r="AK23" s="98">
        <v>46219.338900462964</v>
      </c>
      <c r="AL23" s="102">
        <v>1</v>
      </c>
      <c r="AM23" s="98">
        <v>46220.575381944444</v>
      </c>
      <c r="AN23" s="98">
        <v>46220.019490740742</v>
      </c>
      <c r="AO23" s="98">
        <v>46221.351724537039</v>
      </c>
      <c r="AP23" s="102">
        <v>1</v>
      </c>
      <c r="AQ23" s="98">
        <v>46222.304629629631</v>
      </c>
      <c r="AR23" s="98">
        <v>46222.012083333335</v>
      </c>
      <c r="AS23" s="111" t="s">
        <v>57</v>
      </c>
      <c r="AT23" s="111" t="s">
        <v>57</v>
      </c>
      <c r="AU23" s="111" t="s">
        <v>57</v>
      </c>
      <c r="AV23" s="111" t="s">
        <v>57</v>
      </c>
      <c r="AW23" s="111" t="s">
        <v>57</v>
      </c>
      <c r="AX23" s="111" t="s">
        <v>57</v>
      </c>
      <c r="AY23" s="111" t="s">
        <v>57</v>
      </c>
      <c r="AZ23" s="111" t="s">
        <v>57</v>
      </c>
      <c r="BA23" s="111" t="s">
        <v>57</v>
      </c>
      <c r="BB23" s="111" t="s">
        <v>57</v>
      </c>
      <c r="BC23" s="111" t="s">
        <v>57</v>
      </c>
      <c r="BD23" s="111" t="s">
        <v>57</v>
      </c>
      <c r="BE23" s="98">
        <v>46229.34375</v>
      </c>
      <c r="BF23" s="98">
        <v>46229.993321759262</v>
      </c>
      <c r="BG23" s="98">
        <v>46230.336331018516</v>
      </c>
      <c r="BH23" s="98">
        <v>1</v>
      </c>
      <c r="BI23" s="98">
        <v>46231.351736111108</v>
      </c>
      <c r="BJ23" s="98">
        <v>46231.021134259259</v>
      </c>
      <c r="BK23" s="98">
        <v>46232.350451388891</v>
      </c>
      <c r="BL23" s="110">
        <v>1</v>
      </c>
      <c r="BM23" s="95">
        <v>46233.342129629629</v>
      </c>
      <c r="BN23" s="98">
        <v>46234.016111111108</v>
      </c>
      <c r="BO23" s="98">
        <v>46234.579236111109</v>
      </c>
      <c r="BP23" s="95">
        <v>1</v>
      </c>
      <c r="BQ23" s="107">
        <f>BS23+BT23+BU23+BZ23+BW23+BY23+BX23</f>
        <v>31</v>
      </c>
      <c r="BR23" s="59">
        <v>3</v>
      </c>
      <c r="BS23" s="38">
        <f t="shared" si="2"/>
        <v>23</v>
      </c>
      <c r="BT23" s="39">
        <f t="shared" si="3"/>
        <v>1</v>
      </c>
      <c r="BU23" s="39">
        <f t="shared" si="4"/>
        <v>0</v>
      </c>
      <c r="BV23" s="39">
        <f t="shared" si="5"/>
        <v>0</v>
      </c>
      <c r="BW23" s="39">
        <f t="shared" si="6"/>
        <v>0</v>
      </c>
      <c r="BX23" s="39">
        <f t="shared" si="7"/>
        <v>6</v>
      </c>
      <c r="BY23" s="39">
        <f t="shared" si="8"/>
        <v>1</v>
      </c>
      <c r="BZ23" s="39">
        <f t="shared" si="9"/>
        <v>0</v>
      </c>
      <c r="CA23" s="39">
        <f t="shared" si="10"/>
        <v>0</v>
      </c>
      <c r="CB23" s="39">
        <f t="shared" si="11"/>
        <v>0</v>
      </c>
      <c r="CC23" s="39">
        <f t="shared" si="12"/>
        <v>0</v>
      </c>
      <c r="CD23" s="39">
        <f t="shared" si="13"/>
        <v>0</v>
      </c>
      <c r="CE23" s="40"/>
      <c r="CH23" s="37">
        <v>0</v>
      </c>
      <c r="CI23" s="34">
        <v>0</v>
      </c>
      <c r="CJ23" s="34">
        <v>4</v>
      </c>
      <c r="CK23" s="34">
        <v>0</v>
      </c>
      <c r="CL23" s="34">
        <v>10</v>
      </c>
      <c r="CM23" s="34">
        <v>2</v>
      </c>
      <c r="CN23" s="34">
        <v>0</v>
      </c>
      <c r="CO23" s="34">
        <v>0</v>
      </c>
      <c r="CP23" s="34">
        <v>0</v>
      </c>
      <c r="CQ23" s="34">
        <v>0</v>
      </c>
      <c r="CR23" s="43">
        <f t="shared" si="0"/>
        <v>16</v>
      </c>
    </row>
    <row r="24" spans="1:98" s="20" customFormat="1" ht="24" customHeight="1" x14ac:dyDescent="0.25">
      <c r="A24" s="34">
        <v>20</v>
      </c>
      <c r="B24" s="42" t="s">
        <v>78</v>
      </c>
      <c r="C24" s="36" t="s">
        <v>79</v>
      </c>
      <c r="D24" s="70">
        <v>45985</v>
      </c>
      <c r="E24" s="64">
        <v>0.39027777777777778</v>
      </c>
      <c r="F24" s="64">
        <v>0.67152777777777783</v>
      </c>
      <c r="G24" s="64">
        <v>0.38611111111111113</v>
      </c>
      <c r="H24" s="64">
        <v>0.71111111111111114</v>
      </c>
      <c r="I24" s="76" t="s">
        <v>53</v>
      </c>
      <c r="J24" s="76" t="s">
        <v>53</v>
      </c>
      <c r="K24" s="64">
        <v>0.3756944444444445</v>
      </c>
      <c r="L24" s="64">
        <v>0.71250000000000002</v>
      </c>
      <c r="M24" s="64">
        <v>0.39513888888888887</v>
      </c>
      <c r="N24" s="64">
        <v>0.71875</v>
      </c>
      <c r="O24" s="64">
        <v>0.39305555555555555</v>
      </c>
      <c r="P24" s="64">
        <v>0.71319444444444446</v>
      </c>
      <c r="Q24" s="64">
        <v>0.37361111111111112</v>
      </c>
      <c r="R24" s="64">
        <v>0.74097222222222225</v>
      </c>
      <c r="S24" s="64">
        <v>0.375</v>
      </c>
      <c r="T24" s="64">
        <v>0.73888888888888893</v>
      </c>
      <c r="U24" s="64">
        <v>0.38055555555555554</v>
      </c>
      <c r="V24" s="64">
        <v>0.72291666666666676</v>
      </c>
      <c r="W24" s="76" t="s">
        <v>53</v>
      </c>
      <c r="X24" s="76" t="s">
        <v>53</v>
      </c>
      <c r="Y24" s="64">
        <v>0.37986111111111115</v>
      </c>
      <c r="Z24" s="64">
        <v>0.71666666666666667</v>
      </c>
      <c r="AA24" s="64">
        <v>0.37361111111111112</v>
      </c>
      <c r="AB24" s="64">
        <v>0.70208333333333339</v>
      </c>
      <c r="AC24" s="64">
        <v>0.375</v>
      </c>
      <c r="AD24" s="64">
        <v>0.71736111111111101</v>
      </c>
      <c r="AE24" s="77" t="s">
        <v>54</v>
      </c>
      <c r="AF24" s="77" t="s">
        <v>54</v>
      </c>
      <c r="AG24" s="64">
        <v>0.3756944444444445</v>
      </c>
      <c r="AH24" s="64">
        <v>0.73263888888888884</v>
      </c>
      <c r="AI24" s="97"/>
      <c r="AJ24" s="34">
        <v>20</v>
      </c>
      <c r="AK24" s="98">
        <v>46219.37699074074</v>
      </c>
      <c r="AL24" s="98">
        <v>46219.710347222222</v>
      </c>
      <c r="AM24" s="108" t="s">
        <v>53</v>
      </c>
      <c r="AN24" s="108" t="s">
        <v>53</v>
      </c>
      <c r="AO24" s="98">
        <v>46221.401828703703</v>
      </c>
      <c r="AP24" s="102">
        <v>1</v>
      </c>
      <c r="AQ24" s="98" t="s">
        <v>87</v>
      </c>
      <c r="AR24" s="98" t="s">
        <v>87</v>
      </c>
      <c r="AS24" s="98">
        <v>0.37708333333333338</v>
      </c>
      <c r="AT24" s="98">
        <v>46223.708495370367</v>
      </c>
      <c r="AU24" s="98">
        <v>46224.372245370374</v>
      </c>
      <c r="AV24" s="98">
        <v>46224.720868055556</v>
      </c>
      <c r="AW24" s="98">
        <v>46225.371655092589</v>
      </c>
      <c r="AX24" s="98">
        <v>46225.710104166668</v>
      </c>
      <c r="AY24" s="98">
        <v>46226.3515162037</v>
      </c>
      <c r="AZ24" s="98">
        <v>46226.965231481481</v>
      </c>
      <c r="BA24" s="108" t="s">
        <v>53</v>
      </c>
      <c r="BB24" s="108" t="s">
        <v>53</v>
      </c>
      <c r="BC24" s="98">
        <v>46228.371550925927</v>
      </c>
      <c r="BD24" s="102">
        <v>1</v>
      </c>
      <c r="BE24" s="109" t="s">
        <v>54</v>
      </c>
      <c r="BF24" s="109" t="s">
        <v>54</v>
      </c>
      <c r="BG24" s="98">
        <v>46230.372210648151</v>
      </c>
      <c r="BH24" s="102">
        <v>1</v>
      </c>
      <c r="BI24" s="98">
        <v>46231.383275462962</v>
      </c>
      <c r="BJ24" s="102">
        <v>1</v>
      </c>
      <c r="BK24" s="98">
        <v>46232.411296296297</v>
      </c>
      <c r="BL24" s="95">
        <v>1</v>
      </c>
      <c r="BM24" s="95">
        <v>46233.37841435185</v>
      </c>
      <c r="BN24" s="102">
        <v>1</v>
      </c>
      <c r="BO24" s="108" t="s">
        <v>53</v>
      </c>
      <c r="BP24" s="108" t="s">
        <v>53</v>
      </c>
      <c r="BQ24" s="107">
        <f t="shared" si="14"/>
        <v>31</v>
      </c>
      <c r="BR24" s="59">
        <v>0</v>
      </c>
      <c r="BS24" s="38">
        <f t="shared" si="2"/>
        <v>23</v>
      </c>
      <c r="BT24" s="39">
        <f t="shared" si="3"/>
        <v>5</v>
      </c>
      <c r="BU24" s="39">
        <f t="shared" si="4"/>
        <v>2</v>
      </c>
      <c r="BV24" s="39">
        <f t="shared" si="5"/>
        <v>0</v>
      </c>
      <c r="BW24" s="39">
        <f t="shared" si="6"/>
        <v>0</v>
      </c>
      <c r="BX24" s="39">
        <f t="shared" si="7"/>
        <v>0</v>
      </c>
      <c r="BY24" s="39">
        <f t="shared" si="8"/>
        <v>0</v>
      </c>
      <c r="BZ24" s="39">
        <f t="shared" si="9"/>
        <v>1</v>
      </c>
      <c r="CA24" s="39">
        <f t="shared" si="10"/>
        <v>0</v>
      </c>
      <c r="CB24" s="39">
        <f t="shared" si="11"/>
        <v>0</v>
      </c>
      <c r="CC24" s="39">
        <f t="shared" si="12"/>
        <v>0</v>
      </c>
      <c r="CD24" s="39">
        <f t="shared" si="13"/>
        <v>0</v>
      </c>
      <c r="CE24" s="83"/>
      <c r="CH24" s="61">
        <v>1</v>
      </c>
      <c r="CI24" s="62">
        <v>0</v>
      </c>
      <c r="CJ24" s="62">
        <v>0</v>
      </c>
      <c r="CK24" s="62">
        <v>0</v>
      </c>
      <c r="CL24" s="62">
        <v>5</v>
      </c>
      <c r="CM24" s="62">
        <v>2</v>
      </c>
      <c r="CN24" s="62">
        <v>0</v>
      </c>
      <c r="CO24" s="62">
        <v>0</v>
      </c>
      <c r="CP24" s="62">
        <v>1</v>
      </c>
      <c r="CQ24" s="62">
        <v>0</v>
      </c>
      <c r="CR24" s="43">
        <f t="shared" si="0"/>
        <v>9</v>
      </c>
    </row>
    <row r="25" spans="1:98" s="32" customFormat="1" ht="24" customHeight="1" x14ac:dyDescent="0.25">
      <c r="A25" s="34">
        <v>21</v>
      </c>
      <c r="B25" s="42" t="s">
        <v>82</v>
      </c>
      <c r="C25" s="36" t="s">
        <v>83</v>
      </c>
      <c r="D25" s="70">
        <v>45999</v>
      </c>
      <c r="E25" s="64">
        <v>0.35486111111111113</v>
      </c>
      <c r="F25" s="64">
        <v>0.66180555555555554</v>
      </c>
      <c r="G25" s="64">
        <v>0.36180555555555555</v>
      </c>
      <c r="H25" s="64">
        <v>0.66249999999999998</v>
      </c>
      <c r="I25" s="81">
        <v>0.58124999999999993</v>
      </c>
      <c r="J25" s="81">
        <v>0.95486111111111116</v>
      </c>
      <c r="K25" s="64">
        <v>0.35833333333333334</v>
      </c>
      <c r="L25" s="64">
        <v>0.65416666666666667</v>
      </c>
      <c r="M25" s="64">
        <v>0.35625000000000001</v>
      </c>
      <c r="N25" s="64">
        <v>0.65277777777777779</v>
      </c>
      <c r="O25" s="64">
        <v>0.35625000000000001</v>
      </c>
      <c r="P25" s="90">
        <v>1</v>
      </c>
      <c r="Q25" s="64">
        <v>0.3611111111111111</v>
      </c>
      <c r="R25" s="90">
        <v>1</v>
      </c>
      <c r="S25" s="64">
        <v>0.35486111111111113</v>
      </c>
      <c r="T25" s="64">
        <v>0.65208333333333335</v>
      </c>
      <c r="U25" s="64">
        <v>0.35555555555555557</v>
      </c>
      <c r="V25" s="64">
        <v>0.68819444444444444</v>
      </c>
      <c r="W25" s="81">
        <v>0.57986111111111105</v>
      </c>
      <c r="X25" s="91">
        <v>1</v>
      </c>
      <c r="Y25" s="64">
        <v>0.3520833333333333</v>
      </c>
      <c r="Z25" s="64">
        <v>0.65972222222222221</v>
      </c>
      <c r="AA25" s="64">
        <v>0.34930555555555554</v>
      </c>
      <c r="AB25" s="64">
        <v>0.65833333333333333</v>
      </c>
      <c r="AC25" s="64">
        <v>0.3527777777777778</v>
      </c>
      <c r="AD25" s="64">
        <v>0.65763888888888888</v>
      </c>
      <c r="AE25" s="64">
        <v>0.3527777777777778</v>
      </c>
      <c r="AF25" s="64">
        <v>0.65555555555555556</v>
      </c>
      <c r="AG25" s="64">
        <v>0.35416666666666669</v>
      </c>
      <c r="AH25" s="64">
        <v>0.65555555555555556</v>
      </c>
      <c r="AI25" s="97"/>
      <c r="AJ25" s="34">
        <v>21</v>
      </c>
      <c r="AK25" s="98">
        <v>46219.354328703703</v>
      </c>
      <c r="AL25" s="98">
        <v>0.68472222222222223</v>
      </c>
      <c r="AM25" s="108" t="s">
        <v>53</v>
      </c>
      <c r="AN25" s="108" t="s">
        <v>53</v>
      </c>
      <c r="AO25" s="117" t="s">
        <v>61</v>
      </c>
      <c r="AP25" s="117" t="s">
        <v>61</v>
      </c>
      <c r="AQ25" s="98">
        <v>46222.353263888886</v>
      </c>
      <c r="AR25" s="98">
        <v>1</v>
      </c>
      <c r="AS25" s="98">
        <v>46223.35434027778</v>
      </c>
      <c r="AT25" s="98">
        <v>1</v>
      </c>
      <c r="AU25" s="98">
        <v>46224.355474537035</v>
      </c>
      <c r="AV25" s="98">
        <v>1</v>
      </c>
      <c r="AW25" s="98">
        <v>46225.359895833331</v>
      </c>
      <c r="AX25" s="98">
        <v>1</v>
      </c>
      <c r="AY25" s="98">
        <v>46226.353645833333</v>
      </c>
      <c r="AZ25" s="98">
        <v>46226.965312499997</v>
      </c>
      <c r="BA25" s="108" t="s">
        <v>53</v>
      </c>
      <c r="BB25" s="108" t="s">
        <v>53</v>
      </c>
      <c r="BC25" s="98">
        <v>46228.354108796295</v>
      </c>
      <c r="BD25" s="98">
        <v>1</v>
      </c>
      <c r="BE25" s="98">
        <v>46229.357048611113</v>
      </c>
      <c r="BF25" s="98">
        <v>1</v>
      </c>
      <c r="BG25" s="98">
        <v>46230.352939814817</v>
      </c>
      <c r="BH25" s="98">
        <v>1</v>
      </c>
      <c r="BI25" s="98">
        <v>46231.354259259257</v>
      </c>
      <c r="BJ25" s="98">
        <v>0.65902777777777777</v>
      </c>
      <c r="BK25" s="98">
        <v>46232.353113425925</v>
      </c>
      <c r="BL25" s="95">
        <v>0.65416666666666667</v>
      </c>
      <c r="BM25" s="95">
        <v>46233.35434027778</v>
      </c>
      <c r="BN25" s="98">
        <v>0.5708333333333333</v>
      </c>
      <c r="BO25" s="98">
        <v>46234.580474537041</v>
      </c>
      <c r="BP25" s="95">
        <v>1</v>
      </c>
      <c r="BQ25" s="107">
        <f t="shared" si="14"/>
        <v>30</v>
      </c>
      <c r="BR25" s="59">
        <v>3</v>
      </c>
      <c r="BS25" s="38">
        <f t="shared" si="2"/>
        <v>28</v>
      </c>
      <c r="BT25" s="39">
        <f t="shared" si="3"/>
        <v>2</v>
      </c>
      <c r="BU25" s="39">
        <f t="shared" si="4"/>
        <v>0</v>
      </c>
      <c r="BV25" s="39">
        <f t="shared" si="5"/>
        <v>0</v>
      </c>
      <c r="BW25" s="39">
        <f t="shared" si="6"/>
        <v>0</v>
      </c>
      <c r="BX25" s="39">
        <f t="shared" si="7"/>
        <v>0</v>
      </c>
      <c r="BY25" s="39">
        <f t="shared" si="8"/>
        <v>0</v>
      </c>
      <c r="BZ25" s="39">
        <f t="shared" si="9"/>
        <v>0</v>
      </c>
      <c r="CA25" s="39">
        <f t="shared" si="10"/>
        <v>0</v>
      </c>
      <c r="CB25" s="39">
        <f t="shared" si="11"/>
        <v>1</v>
      </c>
      <c r="CC25" s="39">
        <f t="shared" si="12"/>
        <v>0</v>
      </c>
      <c r="CD25" s="39">
        <f t="shared" si="13"/>
        <v>0</v>
      </c>
      <c r="CE25" s="40"/>
      <c r="CH25" s="61">
        <v>0</v>
      </c>
      <c r="CI25" s="62">
        <v>0</v>
      </c>
      <c r="CJ25" s="62">
        <v>0</v>
      </c>
      <c r="CK25" s="62">
        <v>0</v>
      </c>
      <c r="CL25" s="62">
        <v>0</v>
      </c>
      <c r="CM25" s="62">
        <v>2</v>
      </c>
      <c r="CN25" s="62">
        <v>0</v>
      </c>
      <c r="CO25" s="62">
        <v>1</v>
      </c>
      <c r="CP25" s="62">
        <v>0</v>
      </c>
      <c r="CQ25" s="62">
        <v>0</v>
      </c>
      <c r="CR25" s="43">
        <f t="shared" si="0"/>
        <v>3</v>
      </c>
    </row>
    <row r="26" spans="1:98" s="63" customFormat="1" ht="24" customHeight="1" x14ac:dyDescent="0.25">
      <c r="A26" s="34">
        <v>22</v>
      </c>
      <c r="B26" s="42" t="s">
        <v>84</v>
      </c>
      <c r="C26" s="36" t="s">
        <v>85</v>
      </c>
      <c r="D26" s="70">
        <v>46061</v>
      </c>
      <c r="E26" s="64">
        <v>0.33958333333333335</v>
      </c>
      <c r="F26" s="90">
        <v>1</v>
      </c>
      <c r="G26" s="64">
        <v>0.65416666666666667</v>
      </c>
      <c r="H26" s="64">
        <v>0.97638888888888886</v>
      </c>
      <c r="I26" s="81">
        <v>0.60138888888888886</v>
      </c>
      <c r="J26" s="91">
        <v>1</v>
      </c>
      <c r="K26" s="64">
        <v>0.37013888888888885</v>
      </c>
      <c r="L26" s="64">
        <v>0.96180555555555547</v>
      </c>
      <c r="M26" s="64">
        <v>0.3743055555555555</v>
      </c>
      <c r="N26" s="64">
        <v>0.96736111111111101</v>
      </c>
      <c r="O26" s="64">
        <v>0.375</v>
      </c>
      <c r="P26" s="64">
        <v>0.96527777777777779</v>
      </c>
      <c r="Q26" s="64">
        <v>0.35694444444444445</v>
      </c>
      <c r="R26" s="64">
        <v>0.99305555555555547</v>
      </c>
      <c r="S26" s="64">
        <v>0.37222222222222223</v>
      </c>
      <c r="T26" s="64">
        <v>1.3194444444444444E-2</v>
      </c>
      <c r="U26" s="64">
        <v>0.375</v>
      </c>
      <c r="V26" s="64">
        <v>1.2499999999999999E-2</v>
      </c>
      <c r="W26" s="81">
        <v>0.60416666666666663</v>
      </c>
      <c r="X26" s="81">
        <v>0.99444444444444446</v>
      </c>
      <c r="Y26" s="64">
        <v>0.37222222222222223</v>
      </c>
      <c r="Z26" s="90">
        <v>1</v>
      </c>
      <c r="AA26" s="64">
        <v>0.37291666666666662</v>
      </c>
      <c r="AB26" s="64">
        <v>0.99236111111111114</v>
      </c>
      <c r="AC26" s="64">
        <v>0.37291666666666662</v>
      </c>
      <c r="AD26" s="64">
        <v>1.9444444444444445E-2</v>
      </c>
      <c r="AE26" s="64">
        <v>0.35486111111111113</v>
      </c>
      <c r="AF26" s="64">
        <v>2.4305555555555556E-2</v>
      </c>
      <c r="AG26" s="64">
        <v>0.37152777777777773</v>
      </c>
      <c r="AH26" s="64">
        <v>0.99583333333333324</v>
      </c>
      <c r="AI26" s="97"/>
      <c r="AJ26" s="34">
        <v>22</v>
      </c>
      <c r="AK26" s="98">
        <v>46219.368495370371</v>
      </c>
      <c r="AL26" s="98">
        <v>1</v>
      </c>
      <c r="AM26" s="98">
        <v>46220.593773148146</v>
      </c>
      <c r="AN26" s="98">
        <v>46220.018182870372</v>
      </c>
      <c r="AO26" s="98">
        <v>46221.374097222222</v>
      </c>
      <c r="AP26" s="98">
        <v>1</v>
      </c>
      <c r="AQ26" s="98">
        <v>46222.345462962963</v>
      </c>
      <c r="AR26" s="98">
        <v>1</v>
      </c>
      <c r="AS26" s="98">
        <v>46223.372418981482</v>
      </c>
      <c r="AT26" s="98">
        <v>1</v>
      </c>
      <c r="AU26" s="98">
        <v>0.36874999999999997</v>
      </c>
      <c r="AV26" s="98">
        <v>46224.014432870368</v>
      </c>
      <c r="AW26" s="98">
        <v>46225.367928240739</v>
      </c>
      <c r="AX26" s="98">
        <v>1</v>
      </c>
      <c r="AY26" s="98">
        <v>0.3659722222222222</v>
      </c>
      <c r="AZ26" s="98">
        <v>46226.004490740743</v>
      </c>
      <c r="BA26" s="98">
        <v>0.65902777777777777</v>
      </c>
      <c r="BB26" s="98">
        <v>46227.016435185185</v>
      </c>
      <c r="BC26" s="98">
        <v>46228.373738425929</v>
      </c>
      <c r="BD26" s="98">
        <v>1</v>
      </c>
      <c r="BE26" s="98">
        <v>46229.371446759258</v>
      </c>
      <c r="BF26" s="98">
        <v>46229.01258101852</v>
      </c>
      <c r="BG26" s="98">
        <v>46230.372777777775</v>
      </c>
      <c r="BH26" s="98">
        <v>46230.9924537037</v>
      </c>
      <c r="BI26" s="98">
        <v>46231.370625000003</v>
      </c>
      <c r="BJ26" s="98">
        <v>1</v>
      </c>
      <c r="BK26" s="98">
        <v>46232.374340277776</v>
      </c>
      <c r="BL26" s="95">
        <v>46232.992395833331</v>
      </c>
      <c r="BM26" s="95">
        <v>46233.374884259261</v>
      </c>
      <c r="BN26" s="102">
        <v>1</v>
      </c>
      <c r="BO26" s="108" t="s">
        <v>53</v>
      </c>
      <c r="BP26" s="108" t="s">
        <v>53</v>
      </c>
      <c r="BQ26" s="107">
        <f t="shared" si="14"/>
        <v>31</v>
      </c>
      <c r="BR26" s="59">
        <v>4</v>
      </c>
      <c r="BS26" s="38">
        <f t="shared" si="2"/>
        <v>30</v>
      </c>
      <c r="BT26" s="39">
        <f t="shared" si="3"/>
        <v>1</v>
      </c>
      <c r="BU26" s="39">
        <f t="shared" si="4"/>
        <v>0</v>
      </c>
      <c r="BV26" s="39">
        <f t="shared" si="5"/>
        <v>0</v>
      </c>
      <c r="BW26" s="39">
        <f t="shared" si="6"/>
        <v>0</v>
      </c>
      <c r="BX26" s="39">
        <f t="shared" si="7"/>
        <v>0</v>
      </c>
      <c r="BY26" s="39">
        <f t="shared" si="8"/>
        <v>0</v>
      </c>
      <c r="BZ26" s="39">
        <f t="shared" si="9"/>
        <v>0</v>
      </c>
      <c r="CA26" s="39">
        <f t="shared" si="10"/>
        <v>0</v>
      </c>
      <c r="CB26" s="39">
        <f t="shared" si="11"/>
        <v>0</v>
      </c>
      <c r="CC26" s="39">
        <f t="shared" si="12"/>
        <v>0</v>
      </c>
      <c r="CD26" s="39">
        <f t="shared" si="13"/>
        <v>0</v>
      </c>
      <c r="CE26" s="40"/>
      <c r="CF26" s="32"/>
      <c r="CG26" s="32"/>
      <c r="CH26" s="61">
        <v>0</v>
      </c>
      <c r="CI26" s="62">
        <v>0</v>
      </c>
      <c r="CJ26" s="62">
        <v>0</v>
      </c>
      <c r="CK26" s="62">
        <v>0</v>
      </c>
      <c r="CL26" s="62">
        <v>1</v>
      </c>
      <c r="CM26" s="62">
        <v>0</v>
      </c>
      <c r="CN26" s="62">
        <v>0</v>
      </c>
      <c r="CO26" s="62">
        <v>0</v>
      </c>
      <c r="CP26" s="62">
        <v>0</v>
      </c>
      <c r="CQ26" s="62">
        <v>0</v>
      </c>
      <c r="CR26" s="43">
        <f t="shared" si="0"/>
        <v>1</v>
      </c>
      <c r="CS26" s="32"/>
      <c r="CT26" s="32"/>
    </row>
    <row r="27" spans="1:98" s="32" customFormat="1" ht="24" customHeight="1" x14ac:dyDescent="0.25">
      <c r="A27" s="34">
        <v>23</v>
      </c>
      <c r="B27" s="42" t="s">
        <v>88</v>
      </c>
      <c r="C27" s="36" t="s">
        <v>89</v>
      </c>
      <c r="D27" s="70">
        <v>46154</v>
      </c>
      <c r="E27" s="64">
        <v>0.34166666666666662</v>
      </c>
      <c r="F27" s="64">
        <v>0.95208333333333339</v>
      </c>
      <c r="G27" s="64">
        <v>0.35347222222222219</v>
      </c>
      <c r="H27" s="64">
        <v>0.95833333333333337</v>
      </c>
      <c r="I27" s="81">
        <v>0.58611111111111114</v>
      </c>
      <c r="J27" s="81">
        <v>0.95138888888888884</v>
      </c>
      <c r="K27" s="64">
        <v>0.37291666666666662</v>
      </c>
      <c r="L27" s="64">
        <v>0.97222222222222221</v>
      </c>
      <c r="M27" s="64">
        <v>0.37152777777777773</v>
      </c>
      <c r="N27" s="64">
        <v>0.93958333333333333</v>
      </c>
      <c r="O27" s="64">
        <v>0.36180555555555555</v>
      </c>
      <c r="P27" s="64">
        <v>0.93958333333333333</v>
      </c>
      <c r="Q27" s="64">
        <v>0.3833333333333333</v>
      </c>
      <c r="R27" s="64">
        <v>0.94513888888888886</v>
      </c>
      <c r="S27" s="64">
        <v>0.37638888888888888</v>
      </c>
      <c r="T27" s="64">
        <v>0.95277777777777783</v>
      </c>
      <c r="U27" s="64">
        <v>0.35347222222222219</v>
      </c>
      <c r="V27" s="64">
        <v>0.97638888888888886</v>
      </c>
      <c r="W27" s="76" t="s">
        <v>53</v>
      </c>
      <c r="X27" s="76" t="s">
        <v>53</v>
      </c>
      <c r="Y27" s="64">
        <v>0.35347222222222219</v>
      </c>
      <c r="Z27" s="90">
        <v>1</v>
      </c>
      <c r="AA27" s="64">
        <v>0.35000000000000003</v>
      </c>
      <c r="AB27" s="64">
        <v>0.95624999999999993</v>
      </c>
      <c r="AC27" s="78" t="s">
        <v>87</v>
      </c>
      <c r="AD27" s="78" t="s">
        <v>87</v>
      </c>
      <c r="AE27" s="77" t="s">
        <v>54</v>
      </c>
      <c r="AF27" s="77" t="s">
        <v>54</v>
      </c>
      <c r="AG27" s="77" t="s">
        <v>54</v>
      </c>
      <c r="AH27" s="77" t="s">
        <v>54</v>
      </c>
      <c r="AI27" s="97"/>
      <c r="AJ27" s="34">
        <v>23</v>
      </c>
      <c r="AK27" s="98">
        <v>46219.350451388891</v>
      </c>
      <c r="AL27" s="98">
        <v>46219.978437500002</v>
      </c>
      <c r="AM27" s="98">
        <v>46220.580891203703</v>
      </c>
      <c r="AN27" s="98">
        <v>46220.954398148147</v>
      </c>
      <c r="AO27" s="98">
        <v>46221.338726851849</v>
      </c>
      <c r="AP27" s="98">
        <v>46221.961435185185</v>
      </c>
      <c r="AQ27" s="98">
        <v>46222.339259259257</v>
      </c>
      <c r="AR27" s="98">
        <v>46222.942106481481</v>
      </c>
      <c r="AS27" s="98">
        <v>46223.351550925923</v>
      </c>
      <c r="AT27" s="98">
        <v>46223.93818287037</v>
      </c>
      <c r="AU27" s="98">
        <v>46224.346712962964</v>
      </c>
      <c r="AV27" s="98">
        <v>46224.941365740742</v>
      </c>
      <c r="AW27" s="98">
        <v>46225.347997685189</v>
      </c>
      <c r="AX27" s="98">
        <v>46225.941574074073</v>
      </c>
      <c r="AY27" s="98">
        <v>46226.354490740741</v>
      </c>
      <c r="AZ27" s="98">
        <v>46226.919942129629</v>
      </c>
      <c r="BA27" s="108" t="s">
        <v>53</v>
      </c>
      <c r="BB27" s="108" t="s">
        <v>53</v>
      </c>
      <c r="BC27" s="98">
        <v>46228.356307870374</v>
      </c>
      <c r="BD27" s="98">
        <v>46228.959513888891</v>
      </c>
      <c r="BE27" s="98">
        <v>46229.355821759258</v>
      </c>
      <c r="BF27" s="98">
        <v>46229.938043981485</v>
      </c>
      <c r="BG27" s="98">
        <v>46230.356354166666</v>
      </c>
      <c r="BH27" s="98">
        <v>46230.939421296294</v>
      </c>
      <c r="BI27" s="98">
        <v>46231.355752314812</v>
      </c>
      <c r="BJ27" s="98">
        <v>46231.939236111109</v>
      </c>
      <c r="BK27" s="98">
        <v>46232.352743055555</v>
      </c>
      <c r="BL27" s="95">
        <v>46232.941157407404</v>
      </c>
      <c r="BM27" s="95">
        <v>46233.353888888887</v>
      </c>
      <c r="BN27" s="98">
        <v>46233.962488425925</v>
      </c>
      <c r="BO27" s="98">
        <v>46234.58221064815</v>
      </c>
      <c r="BP27" s="95">
        <v>1</v>
      </c>
      <c r="BQ27" s="107">
        <f t="shared" si="14"/>
        <v>31</v>
      </c>
      <c r="BR27" s="59">
        <v>3</v>
      </c>
      <c r="BS27" s="38">
        <f t="shared" si="2"/>
        <v>26</v>
      </c>
      <c r="BT27" s="39">
        <f t="shared" si="3"/>
        <v>2</v>
      </c>
      <c r="BU27" s="39">
        <f t="shared" si="4"/>
        <v>2</v>
      </c>
      <c r="BV27" s="39">
        <f t="shared" si="5"/>
        <v>0</v>
      </c>
      <c r="BW27" s="39">
        <f t="shared" si="6"/>
        <v>0</v>
      </c>
      <c r="BX27" s="39">
        <f t="shared" si="7"/>
        <v>0</v>
      </c>
      <c r="BY27" s="39">
        <f t="shared" si="8"/>
        <v>0</v>
      </c>
      <c r="BZ27" s="39">
        <f t="shared" si="9"/>
        <v>1</v>
      </c>
      <c r="CA27" s="39">
        <f t="shared" si="10"/>
        <v>0</v>
      </c>
      <c r="CB27" s="39">
        <f t="shared" si="11"/>
        <v>0</v>
      </c>
      <c r="CC27" s="39">
        <f t="shared" si="12"/>
        <v>0</v>
      </c>
      <c r="CD27" s="39">
        <f t="shared" si="13"/>
        <v>0</v>
      </c>
      <c r="CE27" s="40"/>
      <c r="CH27" s="61">
        <v>0</v>
      </c>
      <c r="CI27" s="62">
        <v>0</v>
      </c>
      <c r="CJ27" s="62">
        <v>0</v>
      </c>
      <c r="CK27" s="62">
        <v>0</v>
      </c>
      <c r="CL27" s="62">
        <v>0</v>
      </c>
      <c r="CM27" s="62">
        <v>0</v>
      </c>
      <c r="CN27" s="62">
        <v>0</v>
      </c>
      <c r="CO27" s="62">
        <v>0</v>
      </c>
      <c r="CP27" s="62">
        <v>0</v>
      </c>
      <c r="CQ27" s="62">
        <v>0</v>
      </c>
      <c r="CR27" s="43">
        <f t="shared" si="0"/>
        <v>0</v>
      </c>
    </row>
    <row r="28" spans="1:98" s="32" customFormat="1" ht="24" customHeight="1" x14ac:dyDescent="0.25">
      <c r="A28" s="34">
        <v>24</v>
      </c>
      <c r="B28" s="42" t="s">
        <v>90</v>
      </c>
      <c r="C28" s="36" t="s">
        <v>91</v>
      </c>
      <c r="D28" s="70">
        <v>46157</v>
      </c>
      <c r="E28" s="64">
        <v>0.64930555555555558</v>
      </c>
      <c r="F28" s="64">
        <v>0.97916666666666663</v>
      </c>
      <c r="G28" s="64">
        <v>0.60347222222222219</v>
      </c>
      <c r="H28" s="64">
        <v>0.96527777777777779</v>
      </c>
      <c r="I28" s="81">
        <v>0.35416666666666669</v>
      </c>
      <c r="J28" s="81">
        <v>0.35416666666666669</v>
      </c>
      <c r="K28" s="64">
        <v>0.35694444444444445</v>
      </c>
      <c r="L28" s="64">
        <v>0.66180555555555554</v>
      </c>
      <c r="M28" s="90">
        <v>1</v>
      </c>
      <c r="N28" s="90">
        <v>1</v>
      </c>
      <c r="O28" s="78" t="s">
        <v>87</v>
      </c>
      <c r="P28" s="78" t="s">
        <v>87</v>
      </c>
      <c r="Q28" s="64">
        <v>0.63958333333333328</v>
      </c>
      <c r="R28" s="64">
        <v>0.94861111111111107</v>
      </c>
      <c r="S28" s="64">
        <v>0.62361111111111112</v>
      </c>
      <c r="T28" s="64">
        <v>0.94930555555555562</v>
      </c>
      <c r="U28" s="64">
        <v>0.63124999999999998</v>
      </c>
      <c r="V28" s="64">
        <v>0.97013888888888899</v>
      </c>
      <c r="W28" s="81">
        <v>0.58194444444444449</v>
      </c>
      <c r="X28" s="81">
        <v>0.95208333333333339</v>
      </c>
      <c r="Y28" s="64">
        <v>0.64236111111111105</v>
      </c>
      <c r="Z28" s="64">
        <v>0.96944444444444444</v>
      </c>
      <c r="AA28" s="64">
        <v>0.34861111111111115</v>
      </c>
      <c r="AB28" s="64">
        <v>0.66180555555555554</v>
      </c>
      <c r="AC28" s="64">
        <v>0.6430555555555556</v>
      </c>
      <c r="AD28" s="90">
        <v>1</v>
      </c>
      <c r="AE28" s="64">
        <v>0.3520833333333333</v>
      </c>
      <c r="AF28" s="90">
        <v>1</v>
      </c>
      <c r="AG28" s="64">
        <v>0.64861111111111114</v>
      </c>
      <c r="AH28" s="64">
        <v>0.9555555555555556</v>
      </c>
      <c r="AI28" s="97"/>
      <c r="AJ28" s="34">
        <v>24</v>
      </c>
      <c r="AK28" s="98">
        <v>46219.354826388888</v>
      </c>
      <c r="AL28" s="98">
        <v>1</v>
      </c>
      <c r="AM28" s="108" t="s">
        <v>53</v>
      </c>
      <c r="AN28" s="108" t="s">
        <v>53</v>
      </c>
      <c r="AO28" s="98">
        <v>0.6430555555555556</v>
      </c>
      <c r="AP28" s="98">
        <v>46221.97347222222</v>
      </c>
      <c r="AQ28" s="108" t="s">
        <v>104</v>
      </c>
      <c r="AR28" s="108" t="s">
        <v>104</v>
      </c>
      <c r="AS28" s="98">
        <v>0.65</v>
      </c>
      <c r="AT28" s="98">
        <v>46223.948645833334</v>
      </c>
      <c r="AU28" s="98">
        <v>46224.647824074076</v>
      </c>
      <c r="AV28" s="98">
        <v>46224.958194444444</v>
      </c>
      <c r="AW28" s="98">
        <v>0.64444444444444449</v>
      </c>
      <c r="AX28" s="98">
        <v>1</v>
      </c>
      <c r="AY28" s="98">
        <v>0.64374999999999993</v>
      </c>
      <c r="AZ28" s="98">
        <v>46226.970625000002</v>
      </c>
      <c r="BA28" s="98">
        <v>46227.584131944444</v>
      </c>
      <c r="BB28" s="98">
        <v>46227.961122685185</v>
      </c>
      <c r="BC28" s="98">
        <v>0.64444444444444449</v>
      </c>
      <c r="BD28" s="98">
        <v>46228.969143518516</v>
      </c>
      <c r="BE28" s="98">
        <v>0.64236111111111105</v>
      </c>
      <c r="BF28" s="98">
        <v>46229.955405092594</v>
      </c>
      <c r="BG28" s="98">
        <v>0.64374999999999993</v>
      </c>
      <c r="BH28" s="98">
        <v>1</v>
      </c>
      <c r="BI28" s="98">
        <v>0.64930555555555558</v>
      </c>
      <c r="BJ28" s="98">
        <v>46231.951168981483</v>
      </c>
      <c r="BK28" s="98">
        <v>0.65555555555555556</v>
      </c>
      <c r="BL28" s="95">
        <v>46232.939606481479</v>
      </c>
      <c r="BM28" s="95">
        <v>0.64166666666666672</v>
      </c>
      <c r="BN28" s="98">
        <v>46233.979583333334</v>
      </c>
      <c r="BO28" s="108" t="s">
        <v>53</v>
      </c>
      <c r="BP28" s="108" t="s">
        <v>53</v>
      </c>
      <c r="BQ28" s="107">
        <f>BS28+BT28+BU28+BZ28+BW28+BY28+BX28</f>
        <v>31</v>
      </c>
      <c r="BR28" s="59">
        <v>3</v>
      </c>
      <c r="BS28" s="38">
        <f t="shared" si="2"/>
        <v>27</v>
      </c>
      <c r="BT28" s="39">
        <f t="shared" si="3"/>
        <v>2</v>
      </c>
      <c r="BU28" s="39">
        <f t="shared" si="4"/>
        <v>0</v>
      </c>
      <c r="BV28" s="39">
        <f t="shared" si="5"/>
        <v>0</v>
      </c>
      <c r="BW28" s="39">
        <f t="shared" si="6"/>
        <v>0</v>
      </c>
      <c r="BX28" s="39">
        <f t="shared" si="7"/>
        <v>0</v>
      </c>
      <c r="BY28" s="39">
        <f t="shared" si="8"/>
        <v>0</v>
      </c>
      <c r="BZ28" s="39">
        <f t="shared" si="9"/>
        <v>2</v>
      </c>
      <c r="CA28" s="39">
        <f t="shared" si="10"/>
        <v>0</v>
      </c>
      <c r="CB28" s="39">
        <f t="shared" si="11"/>
        <v>0</v>
      </c>
      <c r="CC28" s="39">
        <f t="shared" si="12"/>
        <v>0</v>
      </c>
      <c r="CD28" s="39">
        <f t="shared" si="13"/>
        <v>0</v>
      </c>
      <c r="CE28" s="40"/>
      <c r="CH28" s="61">
        <v>0</v>
      </c>
      <c r="CI28" s="62">
        <v>0</v>
      </c>
      <c r="CJ28" s="62">
        <v>0</v>
      </c>
      <c r="CK28" s="62">
        <v>0</v>
      </c>
      <c r="CL28" s="62">
        <v>1</v>
      </c>
      <c r="CM28" s="62">
        <v>1</v>
      </c>
      <c r="CN28" s="62">
        <v>0</v>
      </c>
      <c r="CO28" s="62">
        <v>0</v>
      </c>
      <c r="CP28" s="62">
        <v>0</v>
      </c>
      <c r="CQ28" s="62">
        <v>0</v>
      </c>
      <c r="CR28" s="43">
        <f>SUM(CH28:CQ28)</f>
        <v>2</v>
      </c>
    </row>
    <row r="29" spans="1:98" s="32" customFormat="1" ht="24" customHeight="1" x14ac:dyDescent="0.25">
      <c r="A29" s="34">
        <v>25</v>
      </c>
      <c r="B29" s="42" t="s">
        <v>96</v>
      </c>
      <c r="C29" s="36" t="s">
        <v>97</v>
      </c>
      <c r="D29" s="70"/>
      <c r="E29" s="118" t="s">
        <v>98</v>
      </c>
      <c r="F29" s="119"/>
      <c r="G29" s="119"/>
      <c r="H29" s="119"/>
      <c r="I29" s="119"/>
      <c r="J29" s="120"/>
      <c r="K29" s="64">
        <v>0.65486111111111112</v>
      </c>
      <c r="L29" s="90">
        <v>1</v>
      </c>
      <c r="M29" s="64">
        <v>0.4375</v>
      </c>
      <c r="N29" s="64">
        <v>0.66249999999999998</v>
      </c>
      <c r="O29" s="64">
        <v>0.35555555555555557</v>
      </c>
      <c r="P29" s="64">
        <v>0.66249999999999998</v>
      </c>
      <c r="Q29" s="64">
        <v>0.3611111111111111</v>
      </c>
      <c r="R29" s="64">
        <v>0.78333333333333333</v>
      </c>
      <c r="S29" s="64">
        <v>0.35902777777777778</v>
      </c>
      <c r="T29" s="64">
        <v>0.66666666666666663</v>
      </c>
      <c r="U29" s="64">
        <v>0.36041666666666666</v>
      </c>
      <c r="V29" s="64">
        <v>0.66319444444444442</v>
      </c>
      <c r="W29" s="76" t="s">
        <v>53</v>
      </c>
      <c r="X29" s="76" t="s">
        <v>53</v>
      </c>
      <c r="Y29" s="64">
        <v>0.6430555555555556</v>
      </c>
      <c r="Z29" s="64">
        <v>0.96944444444444444</v>
      </c>
      <c r="AA29" s="64">
        <v>0.64583333333333337</v>
      </c>
      <c r="AB29" s="64">
        <v>0.95000000000000007</v>
      </c>
      <c r="AC29" s="64">
        <v>0.35486111111111113</v>
      </c>
      <c r="AD29" s="64">
        <v>0.65625</v>
      </c>
      <c r="AE29" s="64">
        <v>0.3527777777777778</v>
      </c>
      <c r="AF29" s="90">
        <v>1</v>
      </c>
      <c r="AG29" s="64">
        <v>0.3576388888888889</v>
      </c>
      <c r="AH29" s="64">
        <v>0.65763888888888888</v>
      </c>
      <c r="AI29" s="97"/>
      <c r="AJ29" s="34">
        <v>25</v>
      </c>
      <c r="AK29" s="98">
        <v>0.65</v>
      </c>
      <c r="AL29" s="98">
        <v>46219.972268518519</v>
      </c>
      <c r="AM29" s="98">
        <v>46220.582071759258</v>
      </c>
      <c r="AN29" s="98">
        <v>46220.958449074074</v>
      </c>
      <c r="AO29" s="98">
        <v>46221.352789351855</v>
      </c>
      <c r="AP29" s="98">
        <v>1</v>
      </c>
      <c r="AQ29" s="98">
        <v>46222.35260416667</v>
      </c>
      <c r="AR29" s="98">
        <v>1</v>
      </c>
      <c r="AS29" s="98">
        <v>46223.354155092595</v>
      </c>
      <c r="AT29" s="98">
        <v>1</v>
      </c>
      <c r="AU29" s="98">
        <v>46224.357893518521</v>
      </c>
      <c r="AV29" s="98">
        <v>1</v>
      </c>
      <c r="AW29" s="98">
        <v>46225.354733796295</v>
      </c>
      <c r="AX29" s="98">
        <v>1</v>
      </c>
      <c r="AY29" s="98">
        <v>46226.355567129627</v>
      </c>
      <c r="AZ29" s="98">
        <v>1</v>
      </c>
      <c r="BA29" s="108" t="s">
        <v>53</v>
      </c>
      <c r="BB29" s="108" t="s">
        <v>53</v>
      </c>
      <c r="BC29" s="98">
        <v>46228.356817129628</v>
      </c>
      <c r="BD29" s="98">
        <v>1</v>
      </c>
      <c r="BE29" s="98">
        <v>46229.353483796294</v>
      </c>
      <c r="BF29" s="98">
        <v>1</v>
      </c>
      <c r="BG29" s="98">
        <v>0.64652777777777781</v>
      </c>
      <c r="BH29" s="98">
        <v>1</v>
      </c>
      <c r="BI29" s="98">
        <v>46231.353761574072</v>
      </c>
      <c r="BJ29" s="98">
        <v>0.66111111111111109</v>
      </c>
      <c r="BK29" s="98">
        <v>46232.354224537034</v>
      </c>
      <c r="BL29" s="110">
        <v>1</v>
      </c>
      <c r="BM29" s="95">
        <v>46233.351504629631</v>
      </c>
      <c r="BN29" s="102">
        <v>1</v>
      </c>
      <c r="BO29" s="98">
        <v>46234.588807870372</v>
      </c>
      <c r="BP29" s="95">
        <v>46234.961018518516</v>
      </c>
      <c r="BQ29" s="107">
        <f>BS29+BT29+BU29+BZ29+BW29+BY29+BX29</f>
        <v>28</v>
      </c>
      <c r="BR29" s="59">
        <v>2</v>
      </c>
      <c r="BS29" s="38">
        <f t="shared" si="2"/>
        <v>26</v>
      </c>
      <c r="BT29" s="39">
        <f t="shared" si="3"/>
        <v>2</v>
      </c>
      <c r="BU29" s="39">
        <f t="shared" si="4"/>
        <v>0</v>
      </c>
      <c r="BV29" s="39">
        <f t="shared" si="5"/>
        <v>0</v>
      </c>
      <c r="BW29" s="39">
        <f t="shared" si="6"/>
        <v>0</v>
      </c>
      <c r="BX29" s="39">
        <f t="shared" si="7"/>
        <v>0</v>
      </c>
      <c r="BY29" s="39">
        <f t="shared" si="8"/>
        <v>0</v>
      </c>
      <c r="BZ29" s="39">
        <f t="shared" si="9"/>
        <v>0</v>
      </c>
      <c r="CA29" s="39">
        <f t="shared" si="10"/>
        <v>0</v>
      </c>
      <c r="CB29" s="39">
        <f t="shared" si="11"/>
        <v>0</v>
      </c>
      <c r="CC29" s="39">
        <f t="shared" si="12"/>
        <v>0</v>
      </c>
      <c r="CD29" s="39">
        <f t="shared" si="13"/>
        <v>0</v>
      </c>
      <c r="CE29" s="112" t="s">
        <v>102</v>
      </c>
      <c r="CH29" s="61">
        <v>0</v>
      </c>
      <c r="CI29" s="61">
        <v>0</v>
      </c>
      <c r="CJ29" s="61">
        <v>0</v>
      </c>
      <c r="CK29" s="61">
        <v>0</v>
      </c>
      <c r="CL29" s="61">
        <v>0</v>
      </c>
      <c r="CM29" s="61">
        <v>0</v>
      </c>
      <c r="CN29" s="61">
        <v>0</v>
      </c>
      <c r="CO29" s="61">
        <v>0</v>
      </c>
      <c r="CP29" s="61">
        <v>0</v>
      </c>
      <c r="CQ29" s="61">
        <v>0</v>
      </c>
      <c r="CR29" s="43">
        <f>SUM(CH29:CQ29)</f>
        <v>0</v>
      </c>
    </row>
    <row r="30" spans="1:98" s="32" customFormat="1" ht="24" customHeight="1" x14ac:dyDescent="0.25">
      <c r="A30" s="34">
        <v>26</v>
      </c>
      <c r="B30" s="42" t="s">
        <v>99</v>
      </c>
      <c r="C30" s="36" t="s">
        <v>100</v>
      </c>
      <c r="D30" s="70"/>
      <c r="E30" s="118" t="s">
        <v>101</v>
      </c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0"/>
      <c r="S30" s="64">
        <v>0.38680555555555557</v>
      </c>
      <c r="T30" s="64">
        <v>2.0833333333333333E-3</v>
      </c>
      <c r="U30" s="64">
        <v>0.34930555555555554</v>
      </c>
      <c r="V30" s="64">
        <v>0.98402777777777783</v>
      </c>
      <c r="W30" s="81">
        <v>0.57986111111111105</v>
      </c>
      <c r="X30" s="81">
        <v>0.96527777777777779</v>
      </c>
      <c r="Y30" s="64">
        <v>0.34930555555555554</v>
      </c>
      <c r="Z30" s="64">
        <v>0.95208333333333339</v>
      </c>
      <c r="AA30" s="64">
        <v>0.34722222222222227</v>
      </c>
      <c r="AB30" s="64">
        <v>0.97430555555555554</v>
      </c>
      <c r="AC30" s="64">
        <v>0.34930555555555554</v>
      </c>
      <c r="AD30" s="64">
        <v>0.94027777777777777</v>
      </c>
      <c r="AE30" s="64">
        <v>0.35138888888888892</v>
      </c>
      <c r="AF30" s="64">
        <v>0.96250000000000002</v>
      </c>
      <c r="AG30" s="64">
        <v>0.34861111111111115</v>
      </c>
      <c r="AH30" s="64">
        <v>0.97430555555555554</v>
      </c>
      <c r="AI30" s="97"/>
      <c r="AJ30" s="34">
        <v>26</v>
      </c>
      <c r="AK30" s="98">
        <v>46219.350231481483</v>
      </c>
      <c r="AL30" s="98">
        <v>46219.993078703701</v>
      </c>
      <c r="AM30" s="108" t="s">
        <v>53</v>
      </c>
      <c r="AN30" s="108" t="s">
        <v>53</v>
      </c>
      <c r="AO30" s="98">
        <v>46221.349641203706</v>
      </c>
      <c r="AP30" s="98">
        <v>46221.968726851854</v>
      </c>
      <c r="AQ30" s="98">
        <v>46222.348263888889</v>
      </c>
      <c r="AR30" s="98">
        <v>1</v>
      </c>
      <c r="AS30" s="98">
        <v>46223.334432870368</v>
      </c>
      <c r="AT30" s="98">
        <v>46223.957129629627</v>
      </c>
      <c r="AU30" s="98">
        <v>46224.342361111114</v>
      </c>
      <c r="AV30" s="98">
        <v>46224.968263888892</v>
      </c>
      <c r="AW30" s="98">
        <v>46225.336342592593</v>
      </c>
      <c r="AX30" s="98">
        <v>46225.963333333333</v>
      </c>
      <c r="AY30" s="98">
        <v>46226.346446759257</v>
      </c>
      <c r="AZ30" s="98">
        <v>46226.977916666663</v>
      </c>
      <c r="BA30" s="108" t="s">
        <v>53</v>
      </c>
      <c r="BB30" s="108" t="s">
        <v>53</v>
      </c>
      <c r="BC30" s="98">
        <v>46228.341122685182</v>
      </c>
      <c r="BD30" s="98">
        <v>46228.971921296295</v>
      </c>
      <c r="BE30" s="98">
        <v>46229.335659722223</v>
      </c>
      <c r="BF30" s="98">
        <v>46229.941921296297</v>
      </c>
      <c r="BG30" s="98">
        <v>46230.344918981478</v>
      </c>
      <c r="BH30" s="98">
        <v>1</v>
      </c>
      <c r="BI30" s="98">
        <v>46231.346354166664</v>
      </c>
      <c r="BJ30" s="98">
        <v>46231.984131944446</v>
      </c>
      <c r="BK30" s="98">
        <v>46232.335347222222</v>
      </c>
      <c r="BL30" s="95">
        <v>46232.9687962963</v>
      </c>
      <c r="BM30" s="104">
        <v>46233.346666666665</v>
      </c>
      <c r="BN30" s="98">
        <v>46234.013449074075</v>
      </c>
      <c r="BO30" s="98">
        <v>46234.577280092592</v>
      </c>
      <c r="BP30" s="95">
        <v>46234.974537037036</v>
      </c>
      <c r="BQ30" s="107">
        <f>BS30+BT30+BU30+BZ30+BW30+BY30+BX30</f>
        <v>24</v>
      </c>
      <c r="BR30" s="59">
        <v>2</v>
      </c>
      <c r="BS30" s="38">
        <f t="shared" si="2"/>
        <v>22</v>
      </c>
      <c r="BT30" s="39">
        <f t="shared" si="3"/>
        <v>2</v>
      </c>
      <c r="BU30" s="39">
        <f t="shared" si="4"/>
        <v>0</v>
      </c>
      <c r="BV30" s="39">
        <f t="shared" si="5"/>
        <v>0</v>
      </c>
      <c r="BW30" s="39">
        <f t="shared" si="6"/>
        <v>0</v>
      </c>
      <c r="BX30" s="39">
        <f t="shared" si="7"/>
        <v>0</v>
      </c>
      <c r="BY30" s="39">
        <f t="shared" si="8"/>
        <v>0</v>
      </c>
      <c r="BZ30" s="39">
        <f t="shared" si="9"/>
        <v>0</v>
      </c>
      <c r="CA30" s="39">
        <f t="shared" si="10"/>
        <v>0</v>
      </c>
      <c r="CB30" s="39">
        <f t="shared" si="11"/>
        <v>0</v>
      </c>
      <c r="CC30" s="39">
        <f t="shared" si="12"/>
        <v>0</v>
      </c>
      <c r="CD30" s="39">
        <f t="shared" si="13"/>
        <v>0</v>
      </c>
      <c r="CE30" s="112" t="s">
        <v>103</v>
      </c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43">
        <f>SUM(CH30:CQ30)</f>
        <v>0</v>
      </c>
    </row>
    <row r="32" spans="1:98" x14ac:dyDescent="0.25">
      <c r="BT32" t="s">
        <v>74</v>
      </c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8"/>
    </row>
    <row r="34" spans="1:98" ht="16.5" x14ac:dyDescent="0.3">
      <c r="BS34" s="30" t="s">
        <v>68</v>
      </c>
      <c r="BT34" s="22"/>
      <c r="BU34" s="18"/>
      <c r="BV34" s="18"/>
      <c r="BW34" s="19" t="s">
        <v>53</v>
      </c>
      <c r="BX34" s="20"/>
      <c r="BY34" s="21" t="s">
        <v>69</v>
      </c>
      <c r="BZ34" s="22"/>
      <c r="CA34" s="22"/>
      <c r="CB34" s="13"/>
      <c r="CC34" s="23" t="s">
        <v>59</v>
      </c>
      <c r="CF34" s="57"/>
      <c r="CG34" s="57"/>
    </row>
    <row r="35" spans="1:98" s="57" customFormat="1" ht="27.75" customHeight="1" x14ac:dyDescent="0.3">
      <c r="A35" s="53"/>
      <c r="B35" s="48"/>
      <c r="C35" s="49"/>
      <c r="D35" s="69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3"/>
      <c r="AB35" s="53"/>
      <c r="AC35" s="50"/>
      <c r="AD35" s="50"/>
      <c r="AE35" s="51"/>
      <c r="AF35" s="51"/>
      <c r="AG35" s="51"/>
      <c r="AH35" s="51"/>
      <c r="AI35" s="54"/>
      <c r="AJ35" s="53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/>
      <c r="AV35" s="52"/>
      <c r="AW35" s="52"/>
      <c r="AX35" s="52"/>
      <c r="AY35" s="52"/>
      <c r="AZ35" s="52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5"/>
      <c r="BR35"/>
      <c r="BS35" s="30" t="s">
        <v>70</v>
      </c>
      <c r="BT35" s="22"/>
      <c r="BU35" s="18"/>
      <c r="BV35" s="18"/>
      <c r="BW35" s="19" t="s">
        <v>54</v>
      </c>
      <c r="BX35" s="20"/>
      <c r="BY35" s="24" t="s">
        <v>71</v>
      </c>
      <c r="BZ35" s="25"/>
      <c r="CA35" s="25"/>
      <c r="CB35" s="13"/>
      <c r="CC35" s="23" t="s">
        <v>60</v>
      </c>
      <c r="CD35"/>
      <c r="CE35" s="56"/>
      <c r="CF35"/>
      <c r="CG35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20"/>
      <c r="CS35"/>
      <c r="CT35"/>
    </row>
    <row r="36" spans="1:98" ht="17.25" x14ac:dyDescent="0.3">
      <c r="F36" s="13"/>
      <c r="G36" s="13"/>
      <c r="H36" s="14" t="s">
        <v>65</v>
      </c>
      <c r="I36" s="14"/>
      <c r="J36" s="14"/>
      <c r="K36" s="13"/>
      <c r="L36" s="13"/>
      <c r="M36" s="15"/>
      <c r="Q36" s="16"/>
      <c r="R36" s="14" t="s">
        <v>66</v>
      </c>
      <c r="S36" s="13"/>
      <c r="T36" s="13"/>
      <c r="X36" s="17"/>
      <c r="Y36" s="13"/>
      <c r="Z36" s="13"/>
      <c r="AA36" s="14" t="s">
        <v>67</v>
      </c>
      <c r="AB36" s="17"/>
      <c r="AC36" s="17"/>
      <c r="AD36" s="13"/>
      <c r="AE36" s="13"/>
      <c r="AF36" s="13"/>
      <c r="AG36" s="13"/>
      <c r="AR36" s="13"/>
      <c r="AS36" s="13"/>
      <c r="BS36" s="30" t="s">
        <v>72</v>
      </c>
      <c r="BT36" s="22"/>
      <c r="BU36" s="18"/>
      <c r="BV36" s="18"/>
      <c r="BW36" s="19" t="s">
        <v>55</v>
      </c>
      <c r="BX36" s="20"/>
      <c r="BY36" s="24" t="s">
        <v>73</v>
      </c>
      <c r="BZ36" s="25"/>
      <c r="CA36" s="25"/>
      <c r="CB36" s="13"/>
      <c r="CC36" s="23" t="s">
        <v>61</v>
      </c>
      <c r="CE36" t="s">
        <v>74</v>
      </c>
    </row>
    <row r="37" spans="1:98" ht="18.75" x14ac:dyDescent="0.25">
      <c r="F37" s="82"/>
      <c r="G37" s="82"/>
      <c r="H37" s="82" t="s">
        <v>75</v>
      </c>
      <c r="I37" s="82"/>
      <c r="J37" s="82"/>
      <c r="K37" s="82"/>
      <c r="L37" s="82"/>
      <c r="M37" s="82"/>
      <c r="N37" s="82"/>
      <c r="O37" s="82"/>
      <c r="P37" s="82"/>
      <c r="Q37" s="82"/>
      <c r="R37" s="82" t="s">
        <v>76</v>
      </c>
      <c r="S37" s="82"/>
      <c r="T37" s="82"/>
      <c r="U37" s="82"/>
      <c r="V37" s="82"/>
      <c r="W37" s="82"/>
      <c r="X37" s="82"/>
      <c r="Y37" s="82"/>
      <c r="Z37" s="82"/>
      <c r="AA37" s="82" t="s">
        <v>77</v>
      </c>
      <c r="AB37" s="82"/>
      <c r="AC37" s="13"/>
      <c r="AD37" s="13"/>
      <c r="AE37" s="13"/>
      <c r="AF37" s="13"/>
      <c r="AG37" s="13"/>
      <c r="AR37" s="13"/>
      <c r="AS37" s="13"/>
    </row>
    <row r="38" spans="1:98" ht="17.25" x14ac:dyDescent="0.25">
      <c r="F38" s="27"/>
      <c r="G38" s="26"/>
      <c r="H38" s="27"/>
      <c r="I38" s="27"/>
      <c r="J38" s="27"/>
      <c r="K38" s="27"/>
      <c r="L38" s="28"/>
      <c r="M38" s="28"/>
      <c r="Q38" s="16"/>
      <c r="R38" s="13"/>
      <c r="S38" s="13"/>
      <c r="T38" s="27"/>
      <c r="X38" s="13"/>
      <c r="Y38" s="20"/>
      <c r="Z38" s="27"/>
      <c r="AA38" s="13"/>
      <c r="AB38" s="13"/>
      <c r="AC38" s="13"/>
      <c r="AD38" s="20"/>
      <c r="AE38" s="20"/>
      <c r="AF38" s="20"/>
      <c r="AG38" s="20"/>
      <c r="AH38" s="20"/>
      <c r="AI38" s="20"/>
      <c r="AJ38" s="13"/>
      <c r="AK38" s="29"/>
      <c r="AL38" s="29"/>
      <c r="AM38" s="13"/>
      <c r="AN38" s="13"/>
      <c r="AO38" s="13"/>
      <c r="AP38" s="13"/>
      <c r="AQ38" s="13"/>
      <c r="AR38" s="13"/>
      <c r="AS38" s="13"/>
    </row>
    <row r="39" spans="1:98" x14ac:dyDescent="0.25">
      <c r="F39" s="13"/>
      <c r="G39" s="13"/>
      <c r="H39" s="13"/>
      <c r="I39" s="13"/>
      <c r="J39" s="13"/>
      <c r="K39" s="13"/>
      <c r="L39" s="13"/>
      <c r="M39" s="13"/>
      <c r="Q39" s="13"/>
      <c r="R39" s="13"/>
      <c r="S39" s="13"/>
      <c r="T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98" x14ac:dyDescent="0.25"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3" spans="1:98" ht="21.75" customHeight="1" x14ac:dyDescent="0.25"/>
    <row r="47" spans="1:98" ht="24" customHeight="1" x14ac:dyDescent="0.25">
      <c r="A47" s="34">
        <v>11</v>
      </c>
      <c r="B47" s="39" t="s">
        <v>31</v>
      </c>
      <c r="C47" s="36" t="s">
        <v>32</v>
      </c>
      <c r="D47" s="70">
        <v>41888</v>
      </c>
      <c r="E47" s="64"/>
      <c r="F47" s="64"/>
      <c r="G47" s="64"/>
      <c r="H47" s="64"/>
      <c r="I47" s="76"/>
      <c r="J47" s="76"/>
      <c r="K47" s="64"/>
      <c r="L47" s="64"/>
      <c r="M47" s="64"/>
      <c r="N47" s="64"/>
      <c r="O47" s="89"/>
      <c r="P47" s="89"/>
      <c r="Q47" s="89"/>
      <c r="R47" s="89"/>
      <c r="S47" s="64"/>
      <c r="T47" s="64"/>
      <c r="U47" s="64"/>
      <c r="V47" s="64"/>
      <c r="W47" s="64"/>
      <c r="X47" s="64"/>
      <c r="Y47" s="64"/>
      <c r="Z47" s="64"/>
      <c r="AA47" s="79"/>
      <c r="AB47" s="79"/>
      <c r="AC47" s="64"/>
      <c r="AD47" s="64"/>
      <c r="AE47" s="64"/>
      <c r="AF47" s="64"/>
      <c r="AG47" s="64"/>
      <c r="AH47" s="64"/>
      <c r="AI47" s="74"/>
      <c r="AJ47" s="34">
        <v>10</v>
      </c>
      <c r="AK47" s="78"/>
      <c r="AL47" s="78"/>
      <c r="AM47" s="64"/>
      <c r="AN47" s="64"/>
      <c r="AO47" s="64"/>
      <c r="AP47" s="64"/>
      <c r="AQ47" s="81"/>
      <c r="AR47" s="81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79"/>
      <c r="BF47" s="79"/>
      <c r="BG47" s="64"/>
      <c r="BH47" s="64"/>
      <c r="BI47" s="78"/>
      <c r="BJ47" s="78"/>
      <c r="BK47" s="64"/>
      <c r="BL47" s="64"/>
      <c r="BM47" s="64"/>
      <c r="BN47" s="64"/>
      <c r="BO47" s="88"/>
      <c r="BP47" s="88"/>
      <c r="BQ47" s="7">
        <f>BS47+BT47+BU47+BZ47+BW47+BY47+BX47</f>
        <v>0</v>
      </c>
      <c r="BR47" s="59"/>
      <c r="BS47" s="38">
        <f>COUNT(E47:AH47)/2+COUNT(AK47:BN47)/2</f>
        <v>0</v>
      </c>
      <c r="BT47" s="39">
        <f>COUNTIF(E47:BN47,"OFF")/2</f>
        <v>0</v>
      </c>
      <c r="BU47" s="39">
        <f>COUNTIF(E47:BN47,"MC")/2</f>
        <v>0</v>
      </c>
      <c r="BV47" s="39">
        <f>COUNTIF(E47:BN47,"EL")/2</f>
        <v>0</v>
      </c>
      <c r="BW47" s="39">
        <f>COUNTIF(E47:BN47,"AL")/2</f>
        <v>0</v>
      </c>
      <c r="BX47" s="39">
        <f>COUNTIF(E47:BN47,"SUS")/2</f>
        <v>0</v>
      </c>
      <c r="BY47" s="39">
        <f>COUNTIF(E47:BN47,"FL")/2</f>
        <v>0</v>
      </c>
      <c r="BZ47" s="39">
        <f>COUNTIF(E47:BN47,"SICK")/2</f>
        <v>0</v>
      </c>
      <c r="CA47" s="39">
        <f>COUNTIF(E47:BN47,"HD")/2</f>
        <v>0</v>
      </c>
      <c r="CB47" s="39">
        <f>COUNTIF(E47:BN47,"AB")/2</f>
        <v>0</v>
      </c>
      <c r="CC47" s="39">
        <f>COUNTIF(E47:BN47,"NL")/2</f>
        <v>0</v>
      </c>
      <c r="CD47" s="39">
        <f>COUNTIF(E47:BN47,"SP")/2</f>
        <v>0</v>
      </c>
      <c r="CE47" s="40"/>
      <c r="CH47" s="37">
        <v>4</v>
      </c>
      <c r="CI47" s="34">
        <v>1</v>
      </c>
      <c r="CJ47" s="60">
        <v>30</v>
      </c>
      <c r="CK47" s="34">
        <v>0</v>
      </c>
      <c r="CL47" s="34">
        <v>0</v>
      </c>
      <c r="CM47" s="34">
        <v>15</v>
      </c>
      <c r="CN47" s="34">
        <v>0</v>
      </c>
      <c r="CO47" s="34">
        <v>2</v>
      </c>
      <c r="CP47" s="34">
        <v>30</v>
      </c>
      <c r="CQ47" s="34">
        <v>0</v>
      </c>
      <c r="CR47" s="43">
        <f>SUM(CH47:CQ47)</f>
        <v>82</v>
      </c>
    </row>
    <row r="50" spans="86:98" x14ac:dyDescent="0.25">
      <c r="CH50" s="37">
        <v>0</v>
      </c>
      <c r="CI50" s="34">
        <v>0</v>
      </c>
      <c r="CJ50" s="34">
        <v>0</v>
      </c>
      <c r="CK50" s="34">
        <v>0</v>
      </c>
      <c r="CL50" s="34">
        <v>0</v>
      </c>
      <c r="CM50" s="34">
        <v>1</v>
      </c>
      <c r="CN50" s="34">
        <v>0</v>
      </c>
      <c r="CO50" s="34">
        <v>1</v>
      </c>
      <c r="CP50" s="34">
        <v>0</v>
      </c>
      <c r="CQ50" s="34">
        <v>0</v>
      </c>
      <c r="CR50" s="43">
        <f>SUM(CH50:CQ50)</f>
        <v>2</v>
      </c>
    </row>
    <row r="51" spans="86:98" x14ac:dyDescent="0.25">
      <c r="CH51" s="37">
        <v>3</v>
      </c>
      <c r="CI51" s="34">
        <v>0</v>
      </c>
      <c r="CJ51" s="34">
        <v>19</v>
      </c>
      <c r="CK51" s="34">
        <v>0</v>
      </c>
      <c r="CL51" s="34">
        <v>4</v>
      </c>
      <c r="CM51" s="34">
        <v>4</v>
      </c>
      <c r="CN51" s="34">
        <v>0</v>
      </c>
      <c r="CO51" s="34">
        <v>4</v>
      </c>
      <c r="CP51" s="34">
        <v>0</v>
      </c>
      <c r="CQ51" s="34">
        <v>0</v>
      </c>
      <c r="CR51" s="43">
        <f t="shared" ref="CR51" si="15">SUM(CH51:CQ51)</f>
        <v>34</v>
      </c>
    </row>
    <row r="52" spans="86:98" x14ac:dyDescent="0.25">
      <c r="CS52" s="57"/>
      <c r="CT52" s="57"/>
    </row>
  </sheetData>
  <mergeCells count="73">
    <mergeCell ref="E30:R30"/>
    <mergeCell ref="BO3:BP3"/>
    <mergeCell ref="BO2:BP2"/>
    <mergeCell ref="BM2:BN2"/>
    <mergeCell ref="K3:L3"/>
    <mergeCell ref="M2:N2"/>
    <mergeCell ref="O2:P2"/>
    <mergeCell ref="Q2:R2"/>
    <mergeCell ref="K2:L2"/>
    <mergeCell ref="U3:V3"/>
    <mergeCell ref="M3:N3"/>
    <mergeCell ref="O3:P3"/>
    <mergeCell ref="Q3:R3"/>
    <mergeCell ref="AA2:AB2"/>
    <mergeCell ref="AC2:AD2"/>
    <mergeCell ref="S3:T3"/>
    <mergeCell ref="AW3:AX3"/>
    <mergeCell ref="AS2:AT2"/>
    <mergeCell ref="BA3:BB3"/>
    <mergeCell ref="E3:F3"/>
    <mergeCell ref="G3:H3"/>
    <mergeCell ref="I3:J3"/>
    <mergeCell ref="AE2:AF2"/>
    <mergeCell ref="W3:X3"/>
    <mergeCell ref="Y3:Z3"/>
    <mergeCell ref="AY2:AZ2"/>
    <mergeCell ref="AY3:AZ3"/>
    <mergeCell ref="AA3:AB3"/>
    <mergeCell ref="AK3:AL3"/>
    <mergeCell ref="AC3:AD3"/>
    <mergeCell ref="AG3:AH3"/>
    <mergeCell ref="AE3:AF3"/>
    <mergeCell ref="A1:AH1"/>
    <mergeCell ref="E2:F2"/>
    <mergeCell ref="G2:H2"/>
    <mergeCell ref="S2:T2"/>
    <mergeCell ref="Y2:Z2"/>
    <mergeCell ref="W2:X2"/>
    <mergeCell ref="AG2:AH2"/>
    <mergeCell ref="I2:J2"/>
    <mergeCell ref="U2:V2"/>
    <mergeCell ref="AJ1:CE1"/>
    <mergeCell ref="AJ2:AJ4"/>
    <mergeCell ref="AO3:AP3"/>
    <mergeCell ref="AQ3:AR3"/>
    <mergeCell ref="AU2:AV2"/>
    <mergeCell ref="AK2:AL2"/>
    <mergeCell ref="BM3:BN3"/>
    <mergeCell ref="BC2:BD2"/>
    <mergeCell ref="BE2:BF2"/>
    <mergeCell ref="AM2:AN2"/>
    <mergeCell ref="AO2:AP2"/>
    <mergeCell ref="AQ2:AR2"/>
    <mergeCell ref="BA2:BB2"/>
    <mergeCell ref="BE3:BF3"/>
    <mergeCell ref="AS3:AT3"/>
    <mergeCell ref="AU3:AV3"/>
    <mergeCell ref="E29:J29"/>
    <mergeCell ref="CH3:CR3"/>
    <mergeCell ref="A2:D3"/>
    <mergeCell ref="CH2:CQ2"/>
    <mergeCell ref="BG3:BH3"/>
    <mergeCell ref="BG2:BH2"/>
    <mergeCell ref="BR2:BR4"/>
    <mergeCell ref="BS2:CE2"/>
    <mergeCell ref="BK3:BL3"/>
    <mergeCell ref="BI3:BJ3"/>
    <mergeCell ref="BK2:BL2"/>
    <mergeCell ref="BI2:BJ2"/>
    <mergeCell ref="BQ2:BQ4"/>
    <mergeCell ref="BC3:BD3"/>
    <mergeCell ref="AM3:AN3"/>
    <mergeCell ref="AW2:AX2"/>
  </mergeCells>
  <phoneticPr fontId="7" type="noConversion"/>
  <conditionalFormatting sqref="B4">
    <cfRule type="duplicateValues" dxfId="1050" priority="14978"/>
  </conditionalFormatting>
  <conditionalFormatting sqref="B5">
    <cfRule type="duplicateValues" dxfId="1049" priority="14960"/>
  </conditionalFormatting>
  <conditionalFormatting sqref="B6:B7">
    <cfRule type="duplicateValues" dxfId="1048" priority="14966"/>
  </conditionalFormatting>
  <conditionalFormatting sqref="B8">
    <cfRule type="duplicateValues" dxfId="1047" priority="14965"/>
  </conditionalFormatting>
  <conditionalFormatting sqref="B18">
    <cfRule type="duplicateValues" dxfId="1046" priority="14967"/>
    <cfRule type="duplicateValues" dxfId="1045" priority="14963"/>
  </conditionalFormatting>
  <conditionalFormatting sqref="B19">
    <cfRule type="duplicateValues" dxfId="1044" priority="14968"/>
  </conditionalFormatting>
  <conditionalFormatting sqref="B19:B20">
    <cfRule type="duplicateValues" dxfId="1043" priority="14961"/>
  </conditionalFormatting>
  <conditionalFormatting sqref="B47 B11:B17">
    <cfRule type="duplicateValues" dxfId="1042" priority="17219"/>
  </conditionalFormatting>
  <conditionalFormatting sqref="B5:D7">
    <cfRule type="containsText" dxfId="1041" priority="14959" operator="containsText" text="AB">
      <formula>NOT(ISERROR(SEARCH("AB",B5)))</formula>
    </cfRule>
  </conditionalFormatting>
  <conditionalFormatting sqref="B8:D8 B11:D17 B18:B20 C35:D35 B47:D47">
    <cfRule type="containsText" dxfId="1040" priority="14958" operator="containsText" text="ABST">
      <formula>NOT(ISERROR(SEARCH("ABST",B8)))</formula>
    </cfRule>
  </conditionalFormatting>
  <conditionalFormatting sqref="C10">
    <cfRule type="duplicateValues" dxfId="1039" priority="1263"/>
  </conditionalFormatting>
  <conditionalFormatting sqref="C28">
    <cfRule type="duplicateValues" dxfId="1038" priority="2465"/>
  </conditionalFormatting>
  <conditionalFormatting sqref="C29 C27">
    <cfRule type="duplicateValues" dxfId="1037" priority="3669"/>
  </conditionalFormatting>
  <conditionalFormatting sqref="C30">
    <cfRule type="duplicateValues" dxfId="1036" priority="951"/>
  </conditionalFormatting>
  <conditionalFormatting sqref="C18:D30">
    <cfRule type="containsText" dxfId="1035" priority="952" operator="containsText" text="ABST">
      <formula>NOT(ISERROR(SEARCH("ABST",C18)))</formula>
    </cfRule>
  </conditionalFormatting>
  <conditionalFormatting sqref="C26:D26">
    <cfRule type="duplicateValues" dxfId="1034" priority="17288"/>
  </conditionalFormatting>
  <conditionalFormatting sqref="C47:D47 C35:D35 C5:D9 D27:D30 C11:D25 D10">
    <cfRule type="duplicateValues" dxfId="1033" priority="17417"/>
  </conditionalFormatting>
  <conditionalFormatting sqref="D28 D30">
    <cfRule type="duplicateValues" dxfId="1032" priority="3666"/>
  </conditionalFormatting>
  <conditionalFormatting sqref="E35 AK35:AT35 AV35:BP35">
    <cfRule type="containsText" dxfId="1031" priority="14391" operator="containsText" text="AB">
      <formula>NOT(ISERROR(SEARCH("AB",E35)))</formula>
    </cfRule>
    <cfRule type="containsText" dxfId="1030" priority="14392" operator="containsText" text="AL">
      <formula>NOT(ISERROR(SEARCH("AL",E35)))</formula>
    </cfRule>
    <cfRule type="containsText" dxfId="1029" priority="14393" operator="containsText" text="SICK">
      <formula>NOT(ISERROR(SEARCH("SICK",E35)))</formula>
    </cfRule>
    <cfRule type="containsText" dxfId="1028" priority="14394" operator="containsText" text="NL">
      <formula>NOT(ISERROR(SEARCH("NL",E35)))</formula>
    </cfRule>
  </conditionalFormatting>
  <conditionalFormatting sqref="E5:H6 Y5:AH6">
    <cfRule type="containsText" dxfId="1027" priority="2440" operator="containsText" text="Sick">
      <formula>NOT(ISERROR(SEARCH("Sick",E5)))</formula>
    </cfRule>
    <cfRule type="containsText" dxfId="1026" priority="2443" operator="containsText" text="OFF">
      <formula>NOT(ISERROR(SEARCH("OFF",E5)))</formula>
    </cfRule>
    <cfRule type="containsText" dxfId="1025" priority="2441" operator="containsText" text="AL">
      <formula>NOT(ISERROR(SEARCH("AL",E5)))</formula>
    </cfRule>
    <cfRule type="containsText" dxfId="1024" priority="2442" operator="containsText" text="MC">
      <formula>NOT(ISERROR(SEARCH("MC",E5)))</formula>
    </cfRule>
  </conditionalFormatting>
  <conditionalFormatting sqref="E5:H6">
    <cfRule type="containsText" dxfId="1023" priority="1864" operator="containsText" text="SP">
      <formula>NOT(ISERROR(SEARCH("SP",E5)))</formula>
    </cfRule>
    <cfRule type="containsText" dxfId="1022" priority="1867" operator="containsText" text="SUS">
      <formula>NOT(ISERROR(SEARCH("SUS",E5)))</formula>
    </cfRule>
    <cfRule type="containsText" dxfId="1021" priority="1865" operator="containsText" text="NL">
      <formula>NOT(ISERROR(SEARCH("NL",E5)))</formula>
    </cfRule>
    <cfRule type="containsText" dxfId="1020" priority="1866" operator="containsText" text="FL">
      <formula>NOT(ISERROR(SEARCH("FL",E5)))</formula>
    </cfRule>
  </conditionalFormatting>
  <conditionalFormatting sqref="E8:H9">
    <cfRule type="containsText" dxfId="1019" priority="1054" operator="containsText" text="NL">
      <formula>NOT(ISERROR(SEARCH("NL",E8)))</formula>
    </cfRule>
    <cfRule type="containsText" dxfId="1018" priority="1059" operator="containsText" text="Sick">
      <formula>NOT(ISERROR(SEARCH("Sick",E8)))</formula>
    </cfRule>
    <cfRule type="containsText" dxfId="1017" priority="1055" operator="containsText" text="FL">
      <formula>NOT(ISERROR(SEARCH("FL",E8)))</formula>
    </cfRule>
    <cfRule type="containsText" dxfId="1016" priority="1058" operator="containsText" text="AB">
      <formula>NOT(ISERROR(SEARCH("AB",E8)))</formula>
    </cfRule>
    <cfRule type="containsText" dxfId="1015" priority="1056" operator="containsText" text="SUS">
      <formula>NOT(ISERROR(SEARCH("SUS",E8)))</formula>
    </cfRule>
    <cfRule type="containsText" dxfId="1014" priority="1057" operator="containsText" text="EL">
      <formula>NOT(ISERROR(SEARCH("EL",E8)))</formula>
    </cfRule>
    <cfRule type="containsText" dxfId="1013" priority="1060" operator="containsText" text="AL">
      <formula>NOT(ISERROR(SEARCH("AL",E8)))</formula>
    </cfRule>
    <cfRule type="containsText" dxfId="1012" priority="1053" operator="containsText" text="SP">
      <formula>NOT(ISERROR(SEARCH("SP",E8)))</formula>
    </cfRule>
    <cfRule type="containsText" dxfId="1011" priority="1062" operator="containsText" text="OFF">
      <formula>NOT(ISERROR(SEARCH("OFF",E8)))</formula>
    </cfRule>
    <cfRule type="containsText" dxfId="1010" priority="1061" operator="containsText" text="MC">
      <formula>NOT(ISERROR(SEARCH("MC",E8)))</formula>
    </cfRule>
  </conditionalFormatting>
  <conditionalFormatting sqref="E18:V18">
    <cfRule type="containsText" dxfId="1009" priority="995" operator="containsText" text="FL">
      <formula>NOT(ISERROR(SEARCH("FL",E18)))</formula>
    </cfRule>
    <cfRule type="containsText" dxfId="1008" priority="993" operator="containsText" text="SP">
      <formula>NOT(ISERROR(SEARCH("SP",E18)))</formula>
    </cfRule>
    <cfRule type="containsText" dxfId="1007" priority="994" operator="containsText" text="NL">
      <formula>NOT(ISERROR(SEARCH("NL",E18)))</formula>
    </cfRule>
    <cfRule type="containsText" dxfId="1006" priority="996" operator="containsText" text="SUS">
      <formula>NOT(ISERROR(SEARCH("SUS",E18)))</formula>
    </cfRule>
    <cfRule type="containsText" dxfId="1005" priority="997" operator="containsText" text="EL">
      <formula>NOT(ISERROR(SEARCH("EL",E18)))</formula>
    </cfRule>
    <cfRule type="containsText" dxfId="1004" priority="998" operator="containsText" text="AB">
      <formula>NOT(ISERROR(SEARCH("AB",E18)))</formula>
    </cfRule>
    <cfRule type="containsText" dxfId="1003" priority="999" operator="containsText" text="Sick">
      <formula>NOT(ISERROR(SEARCH("Sick",E18)))</formula>
    </cfRule>
    <cfRule type="containsText" dxfId="1002" priority="1000" operator="containsText" text="AL">
      <formula>NOT(ISERROR(SEARCH("AL",E18)))</formula>
    </cfRule>
    <cfRule type="containsText" dxfId="1001" priority="1001" operator="containsText" text="MC">
      <formula>NOT(ISERROR(SEARCH("MC",E18)))</formula>
    </cfRule>
    <cfRule type="containsText" dxfId="1000" priority="1002" operator="containsText" text="OFF">
      <formula>NOT(ISERROR(SEARCH("OFF",E18)))</formula>
    </cfRule>
  </conditionalFormatting>
  <conditionalFormatting sqref="E4:AH4">
    <cfRule type="expression" priority="17421">
      <formula>AND(ISNUMBER($Z2), ISNUMBER($AA2))</formula>
    </cfRule>
    <cfRule type="cellIs" dxfId="999" priority="17419" operator="equal">
      <formula>"AB"</formula>
    </cfRule>
    <cfRule type="containsText" dxfId="998" priority="17423" operator="containsText" text="AB">
      <formula>NOT(ISERROR(SEARCH("AB",#REF!)))</formula>
    </cfRule>
    <cfRule type="dataBar" priority="17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ontainsText" dxfId="997" priority="17425" operator="containsText" text="S">
      <formula>NOT(ISERROR(SEARCH("S",#REF!)))</formula>
    </cfRule>
    <cfRule type="cellIs" dxfId="996" priority="17418" operator="equal">
      <formula>"Sick"</formula>
    </cfRule>
    <cfRule type="cellIs" dxfId="995" priority="17420" operator="equal">
      <formula>"OFF"</formula>
    </cfRule>
    <cfRule type="containsText" dxfId="994" priority="17424" operator="containsText" text="HD">
      <formula>NOT(ISERROR(SEARCH("HD",#REF!)))</formula>
    </cfRule>
  </conditionalFormatting>
  <conditionalFormatting sqref="I5:J11">
    <cfRule type="containsText" dxfId="993" priority="1022" operator="containsText" text="OFF">
      <formula>NOT(ISERROR(SEARCH("OFF",I5)))</formula>
    </cfRule>
    <cfRule type="containsText" dxfId="992" priority="1021" operator="containsText" text="MC">
      <formula>NOT(ISERROR(SEARCH("MC",I5)))</formula>
    </cfRule>
    <cfRule type="containsText" dxfId="991" priority="1020" operator="containsText" text="AL">
      <formula>NOT(ISERROR(SEARCH("AL",I5)))</formula>
    </cfRule>
    <cfRule type="containsText" dxfId="990" priority="1019" operator="containsText" text="Sick">
      <formula>NOT(ISERROR(SEARCH("Sick",I5)))</formula>
    </cfRule>
    <cfRule type="containsText" dxfId="989" priority="1018" operator="containsText" text="AB">
      <formula>NOT(ISERROR(SEARCH("AB",I5)))</formula>
    </cfRule>
    <cfRule type="containsText" dxfId="988" priority="1017" operator="containsText" text="EL">
      <formula>NOT(ISERROR(SEARCH("EL",I5)))</formula>
    </cfRule>
    <cfRule type="containsText" dxfId="987" priority="1016" operator="containsText" text="SUS">
      <formula>NOT(ISERROR(SEARCH("SUS",I5)))</formula>
    </cfRule>
    <cfRule type="containsText" dxfId="986" priority="1014" operator="containsText" text="NL">
      <formula>NOT(ISERROR(SEARCH("NL",I5)))</formula>
    </cfRule>
    <cfRule type="containsText" dxfId="985" priority="1013" operator="containsText" text="SP">
      <formula>NOT(ISERROR(SEARCH("SP",I5)))</formula>
    </cfRule>
    <cfRule type="containsText" dxfId="984" priority="1015" operator="containsText" text="FL">
      <formula>NOT(ISERROR(SEARCH("FL",I5)))</formula>
    </cfRule>
  </conditionalFormatting>
  <conditionalFormatting sqref="I17:J17">
    <cfRule type="containsText" dxfId="983" priority="698" operator="containsText" text="AL">
      <formula>NOT(ISERROR(SEARCH("AL",I17)))</formula>
    </cfRule>
    <cfRule type="containsText" dxfId="982" priority="700" operator="containsText" text="OFF">
      <formula>NOT(ISERROR(SEARCH("OFF",I17)))</formula>
    </cfRule>
    <cfRule type="containsText" dxfId="981" priority="699" operator="containsText" text="MC">
      <formula>NOT(ISERROR(SEARCH("MC",I17)))</formula>
    </cfRule>
    <cfRule type="containsText" dxfId="980" priority="697" operator="containsText" text="Sick">
      <formula>NOT(ISERROR(SEARCH("Sick",I17)))</formula>
    </cfRule>
    <cfRule type="containsText" dxfId="979" priority="696" operator="containsText" text="AB">
      <formula>NOT(ISERROR(SEARCH("AB",I17)))</formula>
    </cfRule>
    <cfRule type="containsText" dxfId="978" priority="695" operator="containsText" text="EL">
      <formula>NOT(ISERROR(SEARCH("EL",I17)))</formula>
    </cfRule>
    <cfRule type="containsText" dxfId="977" priority="694" operator="containsText" text="SUS">
      <formula>NOT(ISERROR(SEARCH("SUS",I17)))</formula>
    </cfRule>
    <cfRule type="containsText" dxfId="976" priority="693" operator="containsText" text="FL">
      <formula>NOT(ISERROR(SEARCH("FL",I17)))</formula>
    </cfRule>
    <cfRule type="containsText" dxfId="975" priority="692" operator="containsText" text="NL">
      <formula>NOT(ISERROR(SEARCH("NL",I17)))</formula>
    </cfRule>
    <cfRule type="containsText" dxfId="974" priority="691" operator="containsText" text="SP">
      <formula>NOT(ISERROR(SEARCH("SP",I17)))</formula>
    </cfRule>
  </conditionalFormatting>
  <conditionalFormatting sqref="I20:J20">
    <cfRule type="containsText" dxfId="973" priority="986" operator="containsText" text="SUS">
      <formula>NOT(ISERROR(SEARCH("SUS",I20)))</formula>
    </cfRule>
    <cfRule type="containsText" dxfId="972" priority="985" operator="containsText" text="FL">
      <formula>NOT(ISERROR(SEARCH("FL",I20)))</formula>
    </cfRule>
    <cfRule type="containsText" dxfId="971" priority="984" operator="containsText" text="NL">
      <formula>NOT(ISERROR(SEARCH("NL",I20)))</formula>
    </cfRule>
    <cfRule type="containsText" dxfId="970" priority="983" operator="containsText" text="SP">
      <formula>NOT(ISERROR(SEARCH("SP",I20)))</formula>
    </cfRule>
    <cfRule type="containsText" dxfId="969" priority="987" operator="containsText" text="EL">
      <formula>NOT(ISERROR(SEARCH("EL",I20)))</formula>
    </cfRule>
    <cfRule type="containsText" dxfId="968" priority="988" operator="containsText" text="AB">
      <formula>NOT(ISERROR(SEARCH("AB",I20)))</formula>
    </cfRule>
    <cfRule type="containsText" dxfId="967" priority="989" operator="containsText" text="Sick">
      <formula>NOT(ISERROR(SEARCH("Sick",I20)))</formula>
    </cfRule>
    <cfRule type="containsText" dxfId="966" priority="990" operator="containsText" text="AL">
      <formula>NOT(ISERROR(SEARCH("AL",I20)))</formula>
    </cfRule>
    <cfRule type="containsText" dxfId="965" priority="991" operator="containsText" text="MC">
      <formula>NOT(ISERROR(SEARCH("MC",I20)))</formula>
    </cfRule>
    <cfRule type="containsText" dxfId="964" priority="992" operator="containsText" text="OFF">
      <formula>NOT(ISERROR(SEARCH("OFF",I20)))</formula>
    </cfRule>
  </conditionalFormatting>
  <conditionalFormatting sqref="I22:J22">
    <cfRule type="containsText" dxfId="963" priority="982" operator="containsText" text="OFF">
      <formula>NOT(ISERROR(SEARCH("OFF",I22)))</formula>
    </cfRule>
    <cfRule type="containsText" dxfId="962" priority="981" operator="containsText" text="MC">
      <formula>NOT(ISERROR(SEARCH("MC",I22)))</formula>
    </cfRule>
    <cfRule type="containsText" dxfId="961" priority="980" operator="containsText" text="AL">
      <formula>NOT(ISERROR(SEARCH("AL",I22)))</formula>
    </cfRule>
    <cfRule type="containsText" dxfId="960" priority="979" operator="containsText" text="Sick">
      <formula>NOT(ISERROR(SEARCH("Sick",I22)))</formula>
    </cfRule>
    <cfRule type="containsText" dxfId="959" priority="978" operator="containsText" text="AB">
      <formula>NOT(ISERROR(SEARCH("AB",I22)))</formula>
    </cfRule>
    <cfRule type="containsText" dxfId="958" priority="973" operator="containsText" text="SP">
      <formula>NOT(ISERROR(SEARCH("SP",I22)))</formula>
    </cfRule>
    <cfRule type="containsText" dxfId="957" priority="976" operator="containsText" text="SUS">
      <formula>NOT(ISERROR(SEARCH("SUS",I22)))</formula>
    </cfRule>
    <cfRule type="containsText" dxfId="956" priority="975" operator="containsText" text="FL">
      <formula>NOT(ISERROR(SEARCH("FL",I22)))</formula>
    </cfRule>
    <cfRule type="containsText" dxfId="955" priority="977" operator="containsText" text="EL">
      <formula>NOT(ISERROR(SEARCH("EL",I22)))</formula>
    </cfRule>
    <cfRule type="containsText" dxfId="954" priority="974" operator="containsText" text="NL">
      <formula>NOT(ISERROR(SEARCH("NL",I22)))</formula>
    </cfRule>
  </conditionalFormatting>
  <conditionalFormatting sqref="I24:J24">
    <cfRule type="containsText" dxfId="953" priority="964" operator="containsText" text="NL">
      <formula>NOT(ISERROR(SEARCH("NL",I24)))</formula>
    </cfRule>
    <cfRule type="containsText" dxfId="952" priority="963" operator="containsText" text="SP">
      <formula>NOT(ISERROR(SEARCH("SP",I24)))</formula>
    </cfRule>
    <cfRule type="containsText" dxfId="951" priority="972" operator="containsText" text="OFF">
      <formula>NOT(ISERROR(SEARCH("OFF",I24)))</formula>
    </cfRule>
    <cfRule type="containsText" dxfId="950" priority="971" operator="containsText" text="MC">
      <formula>NOT(ISERROR(SEARCH("MC",I24)))</formula>
    </cfRule>
    <cfRule type="containsText" dxfId="949" priority="970" operator="containsText" text="AL">
      <formula>NOT(ISERROR(SEARCH("AL",I24)))</formula>
    </cfRule>
    <cfRule type="containsText" dxfId="948" priority="969" operator="containsText" text="Sick">
      <formula>NOT(ISERROR(SEARCH("Sick",I24)))</formula>
    </cfRule>
    <cfRule type="containsText" dxfId="947" priority="968" operator="containsText" text="AB">
      <formula>NOT(ISERROR(SEARCH("AB",I24)))</formula>
    </cfRule>
    <cfRule type="containsText" dxfId="946" priority="967" operator="containsText" text="EL">
      <formula>NOT(ISERROR(SEARCH("EL",I24)))</formula>
    </cfRule>
    <cfRule type="containsText" dxfId="945" priority="966" operator="containsText" text="SUS">
      <formula>NOT(ISERROR(SEARCH("SUS",I24)))</formula>
    </cfRule>
    <cfRule type="containsText" dxfId="944" priority="965" operator="containsText" text="FL">
      <formula>NOT(ISERROR(SEARCH("FL",I24)))</formula>
    </cfRule>
  </conditionalFormatting>
  <conditionalFormatting sqref="K8:V9">
    <cfRule type="containsText" dxfId="943" priority="1043" operator="containsText" text="SP">
      <formula>NOT(ISERROR(SEARCH("SP",K8)))</formula>
    </cfRule>
    <cfRule type="containsText" dxfId="942" priority="1050" operator="containsText" text="AL">
      <formula>NOT(ISERROR(SEARCH("AL",K8)))</formula>
    </cfRule>
    <cfRule type="containsText" dxfId="941" priority="1051" operator="containsText" text="MC">
      <formula>NOT(ISERROR(SEARCH("MC",K8)))</formula>
    </cfRule>
    <cfRule type="containsText" dxfId="940" priority="1052" operator="containsText" text="OFF">
      <formula>NOT(ISERROR(SEARCH("OFF",K8)))</formula>
    </cfRule>
    <cfRule type="containsText" dxfId="939" priority="1045" operator="containsText" text="FL">
      <formula>NOT(ISERROR(SEARCH("FL",K8)))</formula>
    </cfRule>
    <cfRule type="containsText" dxfId="938" priority="1044" operator="containsText" text="NL">
      <formula>NOT(ISERROR(SEARCH("NL",K8)))</formula>
    </cfRule>
    <cfRule type="containsText" dxfId="937" priority="1049" operator="containsText" text="Sick">
      <formula>NOT(ISERROR(SEARCH("Sick",K8)))</formula>
    </cfRule>
    <cfRule type="containsText" dxfId="936" priority="1046" operator="containsText" text="SUS">
      <formula>NOT(ISERROR(SEARCH("SUS",K8)))</formula>
    </cfRule>
    <cfRule type="containsText" dxfId="935" priority="1047" operator="containsText" text="EL">
      <formula>NOT(ISERROR(SEARCH("EL",K8)))</formula>
    </cfRule>
    <cfRule type="containsText" dxfId="934" priority="1048" operator="containsText" text="AB">
      <formula>NOT(ISERROR(SEARCH("AB",K8)))</formula>
    </cfRule>
  </conditionalFormatting>
  <conditionalFormatting sqref="K5:X6">
    <cfRule type="containsText" dxfId="933" priority="950" operator="containsText" text="OFF">
      <formula>NOT(ISERROR(SEARCH("OFF",K5)))</formula>
    </cfRule>
    <cfRule type="containsText" dxfId="932" priority="949" operator="containsText" text="MC">
      <formula>NOT(ISERROR(SEARCH("MC",K5)))</formula>
    </cfRule>
    <cfRule type="containsText" dxfId="931" priority="948" operator="containsText" text="AL">
      <formula>NOT(ISERROR(SEARCH("AL",K5)))</formula>
    </cfRule>
    <cfRule type="containsText" dxfId="930" priority="946" operator="containsText" text="AB">
      <formula>NOT(ISERROR(SEARCH("AB",K5)))</formula>
    </cfRule>
    <cfRule type="containsText" dxfId="929" priority="945" operator="containsText" text="EL">
      <formula>NOT(ISERROR(SEARCH("EL",K5)))</formula>
    </cfRule>
    <cfRule type="containsText" dxfId="928" priority="947" operator="containsText" text="Sick">
      <formula>NOT(ISERROR(SEARCH("Sick",K5)))</formula>
    </cfRule>
  </conditionalFormatting>
  <conditionalFormatting sqref="K5:AH6">
    <cfRule type="containsText" dxfId="927" priority="942" operator="containsText" text="NL">
      <formula>NOT(ISERROR(SEARCH("NL",K5)))</formula>
    </cfRule>
    <cfRule type="containsText" dxfId="926" priority="943" operator="containsText" text="FL">
      <formula>NOT(ISERROR(SEARCH("FL",K5)))</formula>
    </cfRule>
    <cfRule type="containsText" dxfId="925" priority="941" operator="containsText" text="SP">
      <formula>NOT(ISERROR(SEARCH("SP",K5)))</formula>
    </cfRule>
    <cfRule type="containsText" dxfId="924" priority="944" operator="containsText" text="SUS">
      <formula>NOT(ISERROR(SEARCH("SUS",K5)))</formula>
    </cfRule>
  </conditionalFormatting>
  <conditionalFormatting sqref="M16:N16">
    <cfRule type="containsText" dxfId="923" priority="960" operator="containsText" text="AL">
      <formula>NOT(ISERROR(SEARCH("AL",M16)))</formula>
    </cfRule>
    <cfRule type="containsText" dxfId="922" priority="962" operator="containsText" text="OFF">
      <formula>NOT(ISERROR(SEARCH("OFF",M16)))</formula>
    </cfRule>
    <cfRule type="containsText" dxfId="921" priority="961" operator="containsText" text="MC">
      <formula>NOT(ISERROR(SEARCH("MC",M16)))</formula>
    </cfRule>
    <cfRule type="containsText" dxfId="920" priority="959" operator="containsText" text="Sick">
      <formula>NOT(ISERROR(SEARCH("Sick",M16)))</formula>
    </cfRule>
    <cfRule type="containsText" dxfId="919" priority="958" operator="containsText" text="AB">
      <formula>NOT(ISERROR(SEARCH("AB",M16)))</formula>
    </cfRule>
    <cfRule type="containsText" dxfId="918" priority="957" operator="containsText" text="EL">
      <formula>NOT(ISERROR(SEARCH("EL",M16)))</formula>
    </cfRule>
    <cfRule type="containsText" dxfId="917" priority="956" operator="containsText" text="SUS">
      <formula>NOT(ISERROR(SEARCH("SUS",M16)))</formula>
    </cfRule>
    <cfRule type="containsText" dxfId="916" priority="955" operator="containsText" text="FL">
      <formula>NOT(ISERROR(SEARCH("FL",M16)))</formula>
    </cfRule>
    <cfRule type="containsText" dxfId="915" priority="954" operator="containsText" text="NL">
      <formula>NOT(ISERROR(SEARCH("NL",M16)))</formula>
    </cfRule>
    <cfRule type="containsText" dxfId="914" priority="953" operator="containsText" text="SP">
      <formula>NOT(ISERROR(SEARCH("SP",M16)))</formula>
    </cfRule>
  </conditionalFormatting>
  <conditionalFormatting sqref="O21:P21">
    <cfRule type="containsText" dxfId="913" priority="861" operator="containsText" text="SP">
      <formula>NOT(ISERROR(SEARCH("SP",O21)))</formula>
    </cfRule>
    <cfRule type="containsText" dxfId="912" priority="864" operator="containsText" text="SUS">
      <formula>NOT(ISERROR(SEARCH("SUS",O21)))</formula>
    </cfRule>
    <cfRule type="containsText" dxfId="911" priority="865" operator="containsText" text="EL">
      <formula>NOT(ISERROR(SEARCH("EL",O21)))</formula>
    </cfRule>
    <cfRule type="containsText" dxfId="910" priority="867" operator="containsText" text="Sick">
      <formula>NOT(ISERROR(SEARCH("Sick",O21)))</formula>
    </cfRule>
    <cfRule type="containsText" dxfId="909" priority="868" operator="containsText" text="AL">
      <formula>NOT(ISERROR(SEARCH("AL",O21)))</formula>
    </cfRule>
    <cfRule type="containsText" dxfId="908" priority="869" operator="containsText" text="MC">
      <formula>NOT(ISERROR(SEARCH("MC",O21)))</formula>
    </cfRule>
    <cfRule type="containsText" dxfId="907" priority="870" operator="containsText" text="OFF">
      <formula>NOT(ISERROR(SEARCH("OFF",O21)))</formula>
    </cfRule>
    <cfRule type="containsText" dxfId="906" priority="866" operator="containsText" text="AB">
      <formula>NOT(ISERROR(SEARCH("AB",O21)))</formula>
    </cfRule>
    <cfRule type="containsText" dxfId="905" priority="862" operator="containsText" text="NL">
      <formula>NOT(ISERROR(SEARCH("NL",O21)))</formula>
    </cfRule>
    <cfRule type="containsText" dxfId="904" priority="863" operator="containsText" text="FL">
      <formula>NOT(ISERROR(SEARCH("FL",O21)))</formula>
    </cfRule>
  </conditionalFormatting>
  <conditionalFormatting sqref="O28:P28">
    <cfRule type="containsText" dxfId="903" priority="846" operator="containsText" text="AB">
      <formula>NOT(ISERROR(SEARCH("AB",O28)))</formula>
    </cfRule>
    <cfRule type="containsText" dxfId="902" priority="847" operator="containsText" text="Sick">
      <formula>NOT(ISERROR(SEARCH("Sick",O28)))</formula>
    </cfRule>
    <cfRule type="containsText" dxfId="901" priority="845" operator="containsText" text="EL">
      <formula>NOT(ISERROR(SEARCH("EL",O28)))</formula>
    </cfRule>
    <cfRule type="containsText" dxfId="900" priority="844" operator="containsText" text="SUS">
      <formula>NOT(ISERROR(SEARCH("SUS",O28)))</formula>
    </cfRule>
    <cfRule type="containsText" dxfId="899" priority="843" operator="containsText" text="FL">
      <formula>NOT(ISERROR(SEARCH("FL",O28)))</formula>
    </cfRule>
    <cfRule type="containsText" dxfId="898" priority="842" operator="containsText" text="NL">
      <formula>NOT(ISERROR(SEARCH("NL",O28)))</formula>
    </cfRule>
    <cfRule type="containsText" dxfId="897" priority="841" operator="containsText" text="SP">
      <formula>NOT(ISERROR(SEARCH("SP",O28)))</formula>
    </cfRule>
    <cfRule type="containsText" dxfId="896" priority="848" operator="containsText" text="AL">
      <formula>NOT(ISERROR(SEARCH("AL",O28)))</formula>
    </cfRule>
    <cfRule type="containsText" dxfId="895" priority="849" operator="containsText" text="MC">
      <formula>NOT(ISERROR(SEARCH("MC",O28)))</formula>
    </cfRule>
    <cfRule type="containsText" dxfId="894" priority="850" operator="containsText" text="OFF">
      <formula>NOT(ISERROR(SEARCH("OFF",O28)))</formula>
    </cfRule>
  </conditionalFormatting>
  <conditionalFormatting sqref="Q19:R19">
    <cfRule type="containsText" dxfId="893" priority="853" operator="containsText" text="FL">
      <formula>NOT(ISERROR(SEARCH("FL",Q19)))</formula>
    </cfRule>
    <cfRule type="containsText" dxfId="892" priority="858" operator="containsText" text="AL">
      <formula>NOT(ISERROR(SEARCH("AL",Q19)))</formula>
    </cfRule>
    <cfRule type="containsText" dxfId="891" priority="859" operator="containsText" text="MC">
      <formula>NOT(ISERROR(SEARCH("MC",Q19)))</formula>
    </cfRule>
    <cfRule type="containsText" dxfId="890" priority="860" operator="containsText" text="OFF">
      <formula>NOT(ISERROR(SEARCH("OFF",Q19)))</formula>
    </cfRule>
    <cfRule type="containsText" dxfId="889" priority="852" operator="containsText" text="NL">
      <formula>NOT(ISERROR(SEARCH("NL",Q19)))</formula>
    </cfRule>
    <cfRule type="containsText" dxfId="888" priority="851" operator="containsText" text="SP">
      <formula>NOT(ISERROR(SEARCH("SP",Q19)))</formula>
    </cfRule>
    <cfRule type="containsText" dxfId="887" priority="854" operator="containsText" text="SUS">
      <formula>NOT(ISERROR(SEARCH("SUS",Q19)))</formula>
    </cfRule>
    <cfRule type="containsText" dxfId="886" priority="855" operator="containsText" text="EL">
      <formula>NOT(ISERROR(SEARCH("EL",Q19)))</formula>
    </cfRule>
    <cfRule type="containsText" dxfId="885" priority="856" operator="containsText" text="AB">
      <formula>NOT(ISERROR(SEARCH("AB",Q19)))</formula>
    </cfRule>
    <cfRule type="containsText" dxfId="884" priority="857" operator="containsText" text="Sick">
      <formula>NOT(ISERROR(SEARCH("Sick",Q19)))</formula>
    </cfRule>
  </conditionalFormatting>
  <conditionalFormatting sqref="S15:T15">
    <cfRule type="containsText" dxfId="883" priority="911" operator="containsText" text="SP">
      <formula>NOT(ISERROR(SEARCH("SP",S15)))</formula>
    </cfRule>
    <cfRule type="containsText" dxfId="882" priority="916" operator="containsText" text="AB">
      <formula>NOT(ISERROR(SEARCH("AB",S15)))</formula>
    </cfRule>
    <cfRule type="containsText" dxfId="881" priority="915" operator="containsText" text="EL">
      <formula>NOT(ISERROR(SEARCH("EL",S15)))</formula>
    </cfRule>
    <cfRule type="containsText" dxfId="880" priority="914" operator="containsText" text="SUS">
      <formula>NOT(ISERROR(SEARCH("SUS",S15)))</formula>
    </cfRule>
    <cfRule type="containsText" dxfId="879" priority="913" operator="containsText" text="FL">
      <formula>NOT(ISERROR(SEARCH("FL",S15)))</formula>
    </cfRule>
    <cfRule type="containsText" dxfId="878" priority="912" operator="containsText" text="NL">
      <formula>NOT(ISERROR(SEARCH("NL",S15)))</formula>
    </cfRule>
    <cfRule type="containsText" dxfId="877" priority="919" operator="containsText" text="MC">
      <formula>NOT(ISERROR(SEARCH("MC",S15)))</formula>
    </cfRule>
    <cfRule type="containsText" dxfId="876" priority="920" operator="containsText" text="OFF">
      <formula>NOT(ISERROR(SEARCH("OFF",S15)))</formula>
    </cfRule>
    <cfRule type="containsText" dxfId="875" priority="917" operator="containsText" text="Sick">
      <formula>NOT(ISERROR(SEARCH("Sick",S15)))</formula>
    </cfRule>
    <cfRule type="containsText" dxfId="874" priority="918" operator="containsText" text="AL">
      <formula>NOT(ISERROR(SEARCH("AL",S15)))</formula>
    </cfRule>
  </conditionalFormatting>
  <conditionalFormatting sqref="U23:V23">
    <cfRule type="containsText" dxfId="873" priority="789" operator="containsText" text="MC">
      <formula>NOT(ISERROR(SEARCH("MC",U23)))</formula>
    </cfRule>
    <cfRule type="containsText" dxfId="872" priority="788" operator="containsText" text="AL">
      <formula>NOT(ISERROR(SEARCH("AL",U23)))</formula>
    </cfRule>
    <cfRule type="containsText" dxfId="871" priority="787" operator="containsText" text="Sick">
      <formula>NOT(ISERROR(SEARCH("Sick",U23)))</formula>
    </cfRule>
    <cfRule type="containsText" dxfId="870" priority="782" operator="containsText" text="NL">
      <formula>NOT(ISERROR(SEARCH("NL",U23)))</formula>
    </cfRule>
    <cfRule type="containsText" dxfId="869" priority="783" operator="containsText" text="FL">
      <formula>NOT(ISERROR(SEARCH("FL",U23)))</formula>
    </cfRule>
    <cfRule type="containsText" dxfId="868" priority="784" operator="containsText" text="SUS">
      <formula>NOT(ISERROR(SEARCH("SUS",U23)))</formula>
    </cfRule>
    <cfRule type="containsText" dxfId="867" priority="786" operator="containsText" text="AB">
      <formula>NOT(ISERROR(SEARCH("AB",U23)))</formula>
    </cfRule>
    <cfRule type="containsText" dxfId="866" priority="785" operator="containsText" text="EL">
      <formula>NOT(ISERROR(SEARCH("EL",U23)))</formula>
    </cfRule>
    <cfRule type="containsText" dxfId="865" priority="790" operator="containsText" text="OFF">
      <formula>NOT(ISERROR(SEARCH("OFF",U23)))</formula>
    </cfRule>
    <cfRule type="containsText" dxfId="864" priority="781" operator="containsText" text="SP">
      <formula>NOT(ISERROR(SEARCH("SP",U23)))</formula>
    </cfRule>
  </conditionalFormatting>
  <conditionalFormatting sqref="W8:X11">
    <cfRule type="containsText" dxfId="863" priority="940" operator="containsText" text="OFF">
      <formula>NOT(ISERROR(SEARCH("OFF",W8)))</formula>
    </cfRule>
    <cfRule type="containsText" dxfId="862" priority="936" operator="containsText" text="AB">
      <formula>NOT(ISERROR(SEARCH("AB",W8)))</formula>
    </cfRule>
    <cfRule type="containsText" dxfId="861" priority="935" operator="containsText" text="EL">
      <formula>NOT(ISERROR(SEARCH("EL",W8)))</formula>
    </cfRule>
    <cfRule type="containsText" dxfId="860" priority="934" operator="containsText" text="SUS">
      <formula>NOT(ISERROR(SEARCH("SUS",W8)))</formula>
    </cfRule>
    <cfRule type="containsText" dxfId="859" priority="933" operator="containsText" text="FL">
      <formula>NOT(ISERROR(SEARCH("FL",W8)))</formula>
    </cfRule>
    <cfRule type="containsText" dxfId="858" priority="932" operator="containsText" text="NL">
      <formula>NOT(ISERROR(SEARCH("NL",W8)))</formula>
    </cfRule>
    <cfRule type="containsText" dxfId="857" priority="931" operator="containsText" text="SP">
      <formula>NOT(ISERROR(SEARCH("SP",W8)))</formula>
    </cfRule>
    <cfRule type="containsText" dxfId="856" priority="937" operator="containsText" text="Sick">
      <formula>NOT(ISERROR(SEARCH("Sick",W8)))</formula>
    </cfRule>
    <cfRule type="containsText" dxfId="855" priority="938" operator="containsText" text="AL">
      <formula>NOT(ISERROR(SEARCH("AL",W8)))</formula>
    </cfRule>
    <cfRule type="containsText" dxfId="854" priority="939" operator="containsText" text="MC">
      <formula>NOT(ISERROR(SEARCH("MC",W8)))</formula>
    </cfRule>
  </conditionalFormatting>
  <conditionalFormatting sqref="W13:X13">
    <cfRule type="containsText" dxfId="853" priority="774" operator="containsText" text="SUS">
      <formula>NOT(ISERROR(SEARCH("SUS",W13)))</formula>
    </cfRule>
    <cfRule type="containsText" dxfId="852" priority="780" operator="containsText" text="OFF">
      <formula>NOT(ISERROR(SEARCH("OFF",W13)))</formula>
    </cfRule>
    <cfRule type="containsText" dxfId="851" priority="779" operator="containsText" text="MC">
      <formula>NOT(ISERROR(SEARCH("MC",W13)))</formula>
    </cfRule>
    <cfRule type="containsText" dxfId="850" priority="778" operator="containsText" text="AL">
      <formula>NOT(ISERROR(SEARCH("AL",W13)))</formula>
    </cfRule>
    <cfRule type="containsText" dxfId="849" priority="777" operator="containsText" text="Sick">
      <formula>NOT(ISERROR(SEARCH("Sick",W13)))</formula>
    </cfRule>
    <cfRule type="containsText" dxfId="848" priority="775" operator="containsText" text="EL">
      <formula>NOT(ISERROR(SEARCH("EL",W13)))</formula>
    </cfRule>
    <cfRule type="containsText" dxfId="847" priority="773" operator="containsText" text="FL">
      <formula>NOT(ISERROR(SEARCH("FL",W13)))</formula>
    </cfRule>
    <cfRule type="containsText" dxfId="846" priority="772" operator="containsText" text="NL">
      <formula>NOT(ISERROR(SEARCH("NL",W13)))</formula>
    </cfRule>
    <cfRule type="containsText" dxfId="845" priority="771" operator="containsText" text="SP">
      <formula>NOT(ISERROR(SEARCH("SP",W13)))</formula>
    </cfRule>
    <cfRule type="containsText" dxfId="844" priority="776" operator="containsText" text="AB">
      <formula>NOT(ISERROR(SEARCH("AB",W13)))</formula>
    </cfRule>
  </conditionalFormatting>
  <conditionalFormatting sqref="W15:X18">
    <cfRule type="containsText" dxfId="843" priority="886" operator="containsText" text="AB">
      <formula>NOT(ISERROR(SEARCH("AB",W15)))</formula>
    </cfRule>
    <cfRule type="containsText" dxfId="842" priority="888" operator="containsText" text="AL">
      <formula>NOT(ISERROR(SEARCH("AL",W15)))</formula>
    </cfRule>
    <cfRule type="containsText" dxfId="841" priority="889" operator="containsText" text="MC">
      <formula>NOT(ISERROR(SEARCH("MC",W15)))</formula>
    </cfRule>
    <cfRule type="containsText" dxfId="840" priority="890" operator="containsText" text="OFF">
      <formula>NOT(ISERROR(SEARCH("OFF",W15)))</formula>
    </cfRule>
    <cfRule type="containsText" dxfId="839" priority="887" operator="containsText" text="Sick">
      <formula>NOT(ISERROR(SEARCH("Sick",W15)))</formula>
    </cfRule>
    <cfRule type="containsText" dxfId="838" priority="884" operator="containsText" text="SUS">
      <formula>NOT(ISERROR(SEARCH("SUS",W15)))</formula>
    </cfRule>
    <cfRule type="containsText" dxfId="837" priority="881" operator="containsText" text="SP">
      <formula>NOT(ISERROR(SEARCH("SP",W15)))</formula>
    </cfRule>
    <cfRule type="containsText" dxfId="836" priority="882" operator="containsText" text="NL">
      <formula>NOT(ISERROR(SEARCH("NL",W15)))</formula>
    </cfRule>
    <cfRule type="containsText" dxfId="835" priority="883" operator="containsText" text="FL">
      <formula>NOT(ISERROR(SEARCH("FL",W15)))</formula>
    </cfRule>
    <cfRule type="containsText" dxfId="834" priority="885" operator="containsText" text="EL">
      <formula>NOT(ISERROR(SEARCH("EL",W15)))</formula>
    </cfRule>
  </conditionalFormatting>
  <conditionalFormatting sqref="W21:X21">
    <cfRule type="containsText" dxfId="833" priority="834" operator="containsText" text="SUS">
      <formula>NOT(ISERROR(SEARCH("SUS",W21)))</formula>
    </cfRule>
    <cfRule type="containsText" dxfId="832" priority="835" operator="containsText" text="EL">
      <formula>NOT(ISERROR(SEARCH("EL",W21)))</formula>
    </cfRule>
    <cfRule type="containsText" dxfId="831" priority="836" operator="containsText" text="AB">
      <formula>NOT(ISERROR(SEARCH("AB",W21)))</formula>
    </cfRule>
    <cfRule type="containsText" dxfId="830" priority="837" operator="containsText" text="Sick">
      <formula>NOT(ISERROR(SEARCH("Sick",W21)))</formula>
    </cfRule>
    <cfRule type="containsText" dxfId="829" priority="838" operator="containsText" text="AL">
      <formula>NOT(ISERROR(SEARCH("AL",W21)))</formula>
    </cfRule>
    <cfRule type="containsText" dxfId="828" priority="840" operator="containsText" text="OFF">
      <formula>NOT(ISERROR(SEARCH("OFF",W21)))</formula>
    </cfRule>
    <cfRule type="containsText" dxfId="827" priority="831" operator="containsText" text="SP">
      <formula>NOT(ISERROR(SEARCH("SP",W21)))</formula>
    </cfRule>
    <cfRule type="containsText" dxfId="826" priority="832" operator="containsText" text="NL">
      <formula>NOT(ISERROR(SEARCH("NL",W21)))</formula>
    </cfRule>
    <cfRule type="containsText" dxfId="825" priority="833" operator="containsText" text="FL">
      <formula>NOT(ISERROR(SEARCH("FL",W21)))</formula>
    </cfRule>
    <cfRule type="containsText" dxfId="824" priority="839" operator="containsText" text="MC">
      <formula>NOT(ISERROR(SEARCH("MC",W21)))</formula>
    </cfRule>
  </conditionalFormatting>
  <conditionalFormatting sqref="W23:X24">
    <cfRule type="containsText" dxfId="823" priority="818" operator="containsText" text="AL">
      <formula>NOT(ISERROR(SEARCH("AL",W23)))</formula>
    </cfRule>
    <cfRule type="containsText" dxfId="822" priority="817" operator="containsText" text="Sick">
      <formula>NOT(ISERROR(SEARCH("Sick",W23)))</formula>
    </cfRule>
    <cfRule type="containsText" dxfId="821" priority="815" operator="containsText" text="EL">
      <formula>NOT(ISERROR(SEARCH("EL",W23)))</formula>
    </cfRule>
    <cfRule type="containsText" dxfId="820" priority="814" operator="containsText" text="SUS">
      <formula>NOT(ISERROR(SEARCH("SUS",W23)))</formula>
    </cfRule>
    <cfRule type="containsText" dxfId="819" priority="813" operator="containsText" text="FL">
      <formula>NOT(ISERROR(SEARCH("FL",W23)))</formula>
    </cfRule>
    <cfRule type="containsText" dxfId="818" priority="812" operator="containsText" text="NL">
      <formula>NOT(ISERROR(SEARCH("NL",W23)))</formula>
    </cfRule>
    <cfRule type="containsText" dxfId="817" priority="811" operator="containsText" text="SP">
      <formula>NOT(ISERROR(SEARCH("SP",W23)))</formula>
    </cfRule>
    <cfRule type="containsText" dxfId="816" priority="816" operator="containsText" text="AB">
      <formula>NOT(ISERROR(SEARCH("AB",W23)))</formula>
    </cfRule>
    <cfRule type="containsText" dxfId="815" priority="820" operator="containsText" text="OFF">
      <formula>NOT(ISERROR(SEARCH("OFF",W23)))</formula>
    </cfRule>
    <cfRule type="containsText" dxfId="814" priority="819" operator="containsText" text="MC">
      <formula>NOT(ISERROR(SEARCH("MC",W23)))</formula>
    </cfRule>
  </conditionalFormatting>
  <conditionalFormatting sqref="W27:X27">
    <cfRule type="containsText" dxfId="813" priority="806" operator="containsText" text="AB">
      <formula>NOT(ISERROR(SEARCH("AB",W27)))</formula>
    </cfRule>
    <cfRule type="containsText" dxfId="812" priority="810" operator="containsText" text="OFF">
      <formula>NOT(ISERROR(SEARCH("OFF",W27)))</formula>
    </cfRule>
    <cfRule type="containsText" dxfId="811" priority="809" operator="containsText" text="MC">
      <formula>NOT(ISERROR(SEARCH("MC",W27)))</formula>
    </cfRule>
    <cfRule type="containsText" dxfId="810" priority="808" operator="containsText" text="AL">
      <formula>NOT(ISERROR(SEARCH("AL",W27)))</formula>
    </cfRule>
    <cfRule type="containsText" dxfId="809" priority="807" operator="containsText" text="Sick">
      <formula>NOT(ISERROR(SEARCH("Sick",W27)))</formula>
    </cfRule>
    <cfRule type="containsText" dxfId="808" priority="805" operator="containsText" text="EL">
      <formula>NOT(ISERROR(SEARCH("EL",W27)))</formula>
    </cfRule>
    <cfRule type="containsText" dxfId="807" priority="804" operator="containsText" text="SUS">
      <formula>NOT(ISERROR(SEARCH("SUS",W27)))</formula>
    </cfRule>
    <cfRule type="containsText" dxfId="806" priority="803" operator="containsText" text="FL">
      <formula>NOT(ISERROR(SEARCH("FL",W27)))</formula>
    </cfRule>
    <cfRule type="containsText" dxfId="805" priority="802" operator="containsText" text="NL">
      <formula>NOT(ISERROR(SEARCH("NL",W27)))</formula>
    </cfRule>
    <cfRule type="containsText" dxfId="804" priority="801" operator="containsText" text="SP">
      <formula>NOT(ISERROR(SEARCH("SP",W27)))</formula>
    </cfRule>
  </conditionalFormatting>
  <conditionalFormatting sqref="W29:X29">
    <cfRule type="containsText" dxfId="803" priority="793" operator="containsText" text="FL">
      <formula>NOT(ISERROR(SEARCH("FL",W29)))</formula>
    </cfRule>
    <cfRule type="containsText" dxfId="802" priority="796" operator="containsText" text="AB">
      <formula>NOT(ISERROR(SEARCH("AB",W29)))</formula>
    </cfRule>
    <cfRule type="containsText" dxfId="801" priority="792" operator="containsText" text="NL">
      <formula>NOT(ISERROR(SEARCH("NL",W29)))</formula>
    </cfRule>
    <cfRule type="containsText" dxfId="800" priority="791" operator="containsText" text="SP">
      <formula>NOT(ISERROR(SEARCH("SP",W29)))</formula>
    </cfRule>
    <cfRule type="containsText" dxfId="799" priority="799" operator="containsText" text="MC">
      <formula>NOT(ISERROR(SEARCH("MC",W29)))</formula>
    </cfRule>
    <cfRule type="containsText" dxfId="798" priority="794" operator="containsText" text="SUS">
      <formula>NOT(ISERROR(SEARCH("SUS",W29)))</formula>
    </cfRule>
    <cfRule type="containsText" dxfId="797" priority="800" operator="containsText" text="OFF">
      <formula>NOT(ISERROR(SEARCH("OFF",W29)))</formula>
    </cfRule>
    <cfRule type="containsText" dxfId="796" priority="798" operator="containsText" text="AL">
      <formula>NOT(ISERROR(SEARCH("AL",W29)))</formula>
    </cfRule>
    <cfRule type="containsText" dxfId="795" priority="797" operator="containsText" text="Sick">
      <formula>NOT(ISERROR(SEARCH("Sick",W29)))</formula>
    </cfRule>
    <cfRule type="containsText" dxfId="794" priority="795" operator="containsText" text="EL">
      <formula>NOT(ISERROR(SEARCH("EL",W29)))</formula>
    </cfRule>
  </conditionalFormatting>
  <conditionalFormatting sqref="W35:AH35">
    <cfRule type="containsText" dxfId="793" priority="14046" operator="containsText" text="AB">
      <formula>NOT(ISERROR(SEARCH("AB",W35)))</formula>
    </cfRule>
    <cfRule type="containsText" dxfId="792" priority="14047" operator="containsText" text="AL">
      <formula>NOT(ISERROR(SEARCH("AL",W35)))</formula>
    </cfRule>
    <cfRule type="containsText" dxfId="791" priority="14048" operator="containsText" text="SICK">
      <formula>NOT(ISERROR(SEARCH("SICK",W35)))</formula>
    </cfRule>
    <cfRule type="containsText" dxfId="790" priority="14049" operator="containsText" text="NL">
      <formula>NOT(ISERROR(SEARCH("NL",W35)))</formula>
    </cfRule>
  </conditionalFormatting>
  <conditionalFormatting sqref="Y5:AH6 E5:H6">
    <cfRule type="containsText" dxfId="789" priority="2438" operator="containsText" text="EL">
      <formula>NOT(ISERROR(SEARCH("EL",E5)))</formula>
    </cfRule>
    <cfRule type="containsText" dxfId="788" priority="2439" operator="containsText" text="AB">
      <formula>NOT(ISERROR(SEARCH("AB",E5)))</formula>
    </cfRule>
  </conditionalFormatting>
  <conditionalFormatting sqref="Y8:AH9">
    <cfRule type="containsText" dxfId="787" priority="924" operator="containsText" text="SUS">
      <formula>NOT(ISERROR(SEARCH("SUS",Y8)))</formula>
    </cfRule>
    <cfRule type="containsText" dxfId="786" priority="925" operator="containsText" text="EL">
      <formula>NOT(ISERROR(SEARCH("EL",Y8)))</formula>
    </cfRule>
    <cfRule type="containsText" dxfId="785" priority="926" operator="containsText" text="AB">
      <formula>NOT(ISERROR(SEARCH("AB",Y8)))</formula>
    </cfRule>
    <cfRule type="containsText" dxfId="784" priority="927" operator="containsText" text="Sick">
      <formula>NOT(ISERROR(SEARCH("Sick",Y8)))</formula>
    </cfRule>
    <cfRule type="containsText" dxfId="783" priority="929" operator="containsText" text="MC">
      <formula>NOT(ISERROR(SEARCH("MC",Y8)))</formula>
    </cfRule>
    <cfRule type="containsText" dxfId="782" priority="930" operator="containsText" text="OFF">
      <formula>NOT(ISERROR(SEARCH("OFF",Y8)))</formula>
    </cfRule>
    <cfRule type="containsText" dxfId="781" priority="928" operator="containsText" text="AL">
      <formula>NOT(ISERROR(SEARCH("AL",Y8)))</formula>
    </cfRule>
    <cfRule type="containsText" dxfId="780" priority="921" operator="containsText" text="SP">
      <formula>NOT(ISERROR(SEARCH("SP",Y8)))</formula>
    </cfRule>
    <cfRule type="containsText" dxfId="779" priority="922" operator="containsText" text="NL">
      <formula>NOT(ISERROR(SEARCH("NL",Y8)))</formula>
    </cfRule>
    <cfRule type="containsText" dxfId="778" priority="923" operator="containsText" text="FL">
      <formula>NOT(ISERROR(SEARCH("FL",Y8)))</formula>
    </cfRule>
  </conditionalFormatting>
  <conditionalFormatting sqref="Y18:AH18">
    <cfRule type="containsText" dxfId="777" priority="877" operator="containsText" text="Sick">
      <formula>NOT(ISERROR(SEARCH("Sick",Y18)))</formula>
    </cfRule>
    <cfRule type="containsText" dxfId="776" priority="878" operator="containsText" text="AL">
      <formula>NOT(ISERROR(SEARCH("AL",Y18)))</formula>
    </cfRule>
    <cfRule type="containsText" dxfId="775" priority="872" operator="containsText" text="NL">
      <formula>NOT(ISERROR(SEARCH("NL",Y18)))</formula>
    </cfRule>
    <cfRule type="containsText" dxfId="774" priority="879" operator="containsText" text="MC">
      <formula>NOT(ISERROR(SEARCH("MC",Y18)))</formula>
    </cfRule>
    <cfRule type="containsText" dxfId="773" priority="880" operator="containsText" text="OFF">
      <formula>NOT(ISERROR(SEARCH("OFF",Y18)))</formula>
    </cfRule>
    <cfRule type="containsText" dxfId="772" priority="871" operator="containsText" text="SP">
      <formula>NOT(ISERROR(SEARCH("SP",Y18)))</formula>
    </cfRule>
    <cfRule type="containsText" dxfId="771" priority="876" operator="containsText" text="AB">
      <formula>NOT(ISERROR(SEARCH("AB",Y18)))</formula>
    </cfRule>
    <cfRule type="containsText" dxfId="770" priority="873" operator="containsText" text="FL">
      <formula>NOT(ISERROR(SEARCH("FL",Y18)))</formula>
    </cfRule>
    <cfRule type="containsText" dxfId="769" priority="874" operator="containsText" text="SUS">
      <formula>NOT(ISERROR(SEARCH("SUS",Y18)))</formula>
    </cfRule>
    <cfRule type="containsText" dxfId="768" priority="875" operator="containsText" text="EL">
      <formula>NOT(ISERROR(SEARCH("EL",Y18)))</formula>
    </cfRule>
  </conditionalFormatting>
  <conditionalFormatting sqref="AA35:AB35">
    <cfRule type="containsText" dxfId="767" priority="14087" stopIfTrue="1" operator="containsText" text="SP">
      <formula>NOT(ISERROR(SEARCH("SP",AA35)))</formula>
    </cfRule>
    <cfRule type="containsText" dxfId="766" priority="14088" stopIfTrue="1" operator="containsText" text="SICK">
      <formula>NOT(ISERROR(SEARCH("SICK",AA35)))</formula>
    </cfRule>
    <cfRule type="containsText" dxfId="765" priority="14086" stopIfTrue="1" operator="containsText" text="AL">
      <formula>NOT(ISERROR(SEARCH("AL",AA35)))</formula>
    </cfRule>
  </conditionalFormatting>
  <conditionalFormatting sqref="AA5:AH6">
    <cfRule type="containsText" dxfId="764" priority="1868" operator="containsText" text="EL">
      <formula>NOT(ISERROR(SEARCH("EL",AA5)))</formula>
    </cfRule>
    <cfRule type="containsText" dxfId="763" priority="1869" operator="containsText" text="AB">
      <formula>NOT(ISERROR(SEARCH("AB",AA5)))</formula>
    </cfRule>
    <cfRule type="containsText" dxfId="762" priority="1870" operator="containsText" text="Sick">
      <formula>NOT(ISERROR(SEARCH("Sick",AA5)))</formula>
    </cfRule>
    <cfRule type="containsText" dxfId="761" priority="1871" operator="containsText" text="AL">
      <formula>NOT(ISERROR(SEARCH("AL",AA5)))</formula>
    </cfRule>
    <cfRule type="containsText" dxfId="760" priority="1872" operator="containsText" text="MC">
      <formula>NOT(ISERROR(SEARCH("MC",AA5)))</formula>
    </cfRule>
    <cfRule type="containsText" dxfId="759" priority="1873" operator="containsText" text="OFF">
      <formula>NOT(ISERROR(SEARCH("OFF",AA5)))</formula>
    </cfRule>
  </conditionalFormatting>
  <conditionalFormatting sqref="AA11:AH11">
    <cfRule type="containsText" dxfId="758" priority="770" operator="containsText" text="OFF">
      <formula>NOT(ISERROR(SEARCH("OFF",AA11)))</formula>
    </cfRule>
    <cfRule type="containsText" dxfId="757" priority="769" operator="containsText" text="MC">
      <formula>NOT(ISERROR(SEARCH("MC",AA11)))</formula>
    </cfRule>
    <cfRule type="containsText" dxfId="756" priority="768" operator="containsText" text="AL">
      <formula>NOT(ISERROR(SEARCH("AL",AA11)))</formula>
    </cfRule>
    <cfRule type="containsText" dxfId="755" priority="767" operator="containsText" text="Sick">
      <formula>NOT(ISERROR(SEARCH("Sick",AA11)))</formula>
    </cfRule>
    <cfRule type="containsText" dxfId="754" priority="766" operator="containsText" text="AB">
      <formula>NOT(ISERROR(SEARCH("AB",AA11)))</formula>
    </cfRule>
    <cfRule type="containsText" dxfId="753" priority="764" operator="containsText" text="SUS">
      <formula>NOT(ISERROR(SEARCH("SUS",AA11)))</formula>
    </cfRule>
    <cfRule type="containsText" dxfId="752" priority="763" operator="containsText" text="FL">
      <formula>NOT(ISERROR(SEARCH("FL",AA11)))</formula>
    </cfRule>
    <cfRule type="containsText" dxfId="751" priority="762" operator="containsText" text="NL">
      <formula>NOT(ISERROR(SEARCH("NL",AA11)))</formula>
    </cfRule>
    <cfRule type="containsText" dxfId="750" priority="761" operator="containsText" text="SP">
      <formula>NOT(ISERROR(SEARCH("SP",AA11)))</formula>
    </cfRule>
    <cfRule type="containsText" dxfId="749" priority="765" operator="containsText" text="EL">
      <formula>NOT(ISERROR(SEARCH("EL",AA11)))</formula>
    </cfRule>
  </conditionalFormatting>
  <conditionalFormatting sqref="AC15:AD15">
    <cfRule type="containsText" dxfId="748" priority="755" operator="containsText" text="EL">
      <formula>NOT(ISERROR(SEARCH("EL",AC15)))</formula>
    </cfRule>
    <cfRule type="containsText" dxfId="747" priority="756" operator="containsText" text="AB">
      <formula>NOT(ISERROR(SEARCH("AB",AC15)))</formula>
    </cfRule>
    <cfRule type="containsText" dxfId="746" priority="757" operator="containsText" text="Sick">
      <formula>NOT(ISERROR(SEARCH("Sick",AC15)))</formula>
    </cfRule>
    <cfRule type="containsText" dxfId="745" priority="758" operator="containsText" text="AL">
      <formula>NOT(ISERROR(SEARCH("AL",AC15)))</formula>
    </cfRule>
    <cfRule type="containsText" dxfId="744" priority="759" operator="containsText" text="MC">
      <formula>NOT(ISERROR(SEARCH("MC",AC15)))</formula>
    </cfRule>
    <cfRule type="containsText" dxfId="743" priority="760" operator="containsText" text="OFF">
      <formula>NOT(ISERROR(SEARCH("OFF",AC15)))</formula>
    </cfRule>
    <cfRule type="containsText" dxfId="742" priority="751" operator="containsText" text="SP">
      <formula>NOT(ISERROR(SEARCH("SP",AC15)))</formula>
    </cfRule>
    <cfRule type="containsText" dxfId="741" priority="752" operator="containsText" text="NL">
      <formula>NOT(ISERROR(SEARCH("NL",AC15)))</formula>
    </cfRule>
    <cfRule type="containsText" dxfId="740" priority="753" operator="containsText" text="FL">
      <formula>NOT(ISERROR(SEARCH("FL",AC15)))</formula>
    </cfRule>
    <cfRule type="containsText" dxfId="739" priority="754" operator="containsText" text="SUS">
      <formula>NOT(ISERROR(SEARCH("SUS",AC15)))</formula>
    </cfRule>
  </conditionalFormatting>
  <conditionalFormatting sqref="AC27:AH27">
    <cfRule type="containsText" dxfId="738" priority="701" operator="containsText" text="SP">
      <formula>NOT(ISERROR(SEARCH("SP",AC27)))</formula>
    </cfRule>
    <cfRule type="containsText" dxfId="737" priority="702" operator="containsText" text="NL">
      <formula>NOT(ISERROR(SEARCH("NL",AC27)))</formula>
    </cfRule>
    <cfRule type="containsText" dxfId="736" priority="706" operator="containsText" text="AB">
      <formula>NOT(ISERROR(SEARCH("AB",AC27)))</formula>
    </cfRule>
    <cfRule type="containsText" dxfId="735" priority="705" operator="containsText" text="EL">
      <formula>NOT(ISERROR(SEARCH("EL",AC27)))</formula>
    </cfRule>
    <cfRule type="containsText" dxfId="734" priority="708" operator="containsText" text="AL">
      <formula>NOT(ISERROR(SEARCH("AL",AC27)))</formula>
    </cfRule>
    <cfRule type="containsText" dxfId="733" priority="704" operator="containsText" text="SUS">
      <formula>NOT(ISERROR(SEARCH("SUS",AC27)))</formula>
    </cfRule>
    <cfRule type="containsText" dxfId="732" priority="703" operator="containsText" text="FL">
      <formula>NOT(ISERROR(SEARCH("FL",AC27)))</formula>
    </cfRule>
    <cfRule type="containsText" dxfId="731" priority="707" operator="containsText" text="Sick">
      <formula>NOT(ISERROR(SEARCH("Sick",AC27)))</formula>
    </cfRule>
    <cfRule type="containsText" dxfId="730" priority="710" operator="containsText" text="OFF">
      <formula>NOT(ISERROR(SEARCH("OFF",AC27)))</formula>
    </cfRule>
    <cfRule type="containsText" dxfId="729" priority="709" operator="containsText" text="MC">
      <formula>NOT(ISERROR(SEARCH("MC",AC27)))</formula>
    </cfRule>
  </conditionalFormatting>
  <conditionalFormatting sqref="AE16:AF16">
    <cfRule type="containsText" dxfId="728" priority="745" operator="containsText" text="EL">
      <formula>NOT(ISERROR(SEARCH("EL",AE16)))</formula>
    </cfRule>
    <cfRule type="containsText" dxfId="727" priority="744" operator="containsText" text="SUS">
      <formula>NOT(ISERROR(SEARCH("SUS",AE16)))</formula>
    </cfRule>
    <cfRule type="containsText" dxfId="726" priority="743" operator="containsText" text="FL">
      <formula>NOT(ISERROR(SEARCH("FL",AE16)))</formula>
    </cfRule>
    <cfRule type="containsText" dxfId="725" priority="742" operator="containsText" text="NL">
      <formula>NOT(ISERROR(SEARCH("NL",AE16)))</formula>
    </cfRule>
    <cfRule type="containsText" dxfId="724" priority="741" operator="containsText" text="SP">
      <formula>NOT(ISERROR(SEARCH("SP",AE16)))</formula>
    </cfRule>
    <cfRule type="containsText" dxfId="723" priority="747" operator="containsText" text="Sick">
      <formula>NOT(ISERROR(SEARCH("Sick",AE16)))</formula>
    </cfRule>
    <cfRule type="containsText" dxfId="722" priority="750" operator="containsText" text="OFF">
      <formula>NOT(ISERROR(SEARCH("OFF",AE16)))</formula>
    </cfRule>
    <cfRule type="containsText" dxfId="721" priority="746" operator="containsText" text="AB">
      <formula>NOT(ISERROR(SEARCH("AB",AE16)))</formula>
    </cfRule>
    <cfRule type="containsText" dxfId="720" priority="749" operator="containsText" text="MC">
      <formula>NOT(ISERROR(SEARCH("MC",AE16)))</formula>
    </cfRule>
    <cfRule type="containsText" dxfId="719" priority="748" operator="containsText" text="AL">
      <formula>NOT(ISERROR(SEARCH("AL",AE16)))</formula>
    </cfRule>
  </conditionalFormatting>
  <conditionalFormatting sqref="AE19:AF19">
    <cfRule type="containsText" dxfId="718" priority="740" operator="containsText" text="OFF">
      <formula>NOT(ISERROR(SEARCH("OFF",AE19)))</formula>
    </cfRule>
    <cfRule type="containsText" dxfId="717" priority="739" operator="containsText" text="MC">
      <formula>NOT(ISERROR(SEARCH("MC",AE19)))</formula>
    </cfRule>
    <cfRule type="containsText" dxfId="716" priority="738" operator="containsText" text="AL">
      <formula>NOT(ISERROR(SEARCH("AL",AE19)))</formula>
    </cfRule>
    <cfRule type="containsText" dxfId="715" priority="737" operator="containsText" text="Sick">
      <formula>NOT(ISERROR(SEARCH("Sick",AE19)))</formula>
    </cfRule>
    <cfRule type="containsText" dxfId="714" priority="736" operator="containsText" text="AB">
      <formula>NOT(ISERROR(SEARCH("AB",AE19)))</formula>
    </cfRule>
    <cfRule type="containsText" dxfId="713" priority="735" operator="containsText" text="EL">
      <formula>NOT(ISERROR(SEARCH("EL",AE19)))</formula>
    </cfRule>
    <cfRule type="containsText" dxfId="712" priority="734" operator="containsText" text="SUS">
      <formula>NOT(ISERROR(SEARCH("SUS",AE19)))</formula>
    </cfRule>
    <cfRule type="containsText" dxfId="711" priority="733" operator="containsText" text="FL">
      <formula>NOT(ISERROR(SEARCH("FL",AE19)))</formula>
    </cfRule>
    <cfRule type="containsText" dxfId="710" priority="732" operator="containsText" text="NL">
      <formula>NOT(ISERROR(SEARCH("NL",AE19)))</formula>
    </cfRule>
    <cfRule type="containsText" dxfId="709" priority="731" operator="containsText" text="SP">
      <formula>NOT(ISERROR(SEARCH("SP",AE19)))</formula>
    </cfRule>
  </conditionalFormatting>
  <conditionalFormatting sqref="AE24:AF24">
    <cfRule type="containsText" dxfId="708" priority="730" operator="containsText" text="OFF">
      <formula>NOT(ISERROR(SEARCH("OFF",AE24)))</formula>
    </cfRule>
    <cfRule type="containsText" dxfId="707" priority="729" operator="containsText" text="MC">
      <formula>NOT(ISERROR(SEARCH("MC",AE24)))</formula>
    </cfRule>
    <cfRule type="containsText" dxfId="706" priority="727" operator="containsText" text="Sick">
      <formula>NOT(ISERROR(SEARCH("Sick",AE24)))</formula>
    </cfRule>
    <cfRule type="containsText" dxfId="705" priority="726" operator="containsText" text="AB">
      <formula>NOT(ISERROR(SEARCH("AB",AE24)))</formula>
    </cfRule>
    <cfRule type="containsText" dxfId="704" priority="725" operator="containsText" text="EL">
      <formula>NOT(ISERROR(SEARCH("EL",AE24)))</formula>
    </cfRule>
    <cfRule type="containsText" dxfId="703" priority="724" operator="containsText" text="SUS">
      <formula>NOT(ISERROR(SEARCH("SUS",AE24)))</formula>
    </cfRule>
    <cfRule type="containsText" dxfId="702" priority="723" operator="containsText" text="FL">
      <formula>NOT(ISERROR(SEARCH("FL",AE24)))</formula>
    </cfRule>
    <cfRule type="containsText" dxfId="701" priority="722" operator="containsText" text="NL">
      <formula>NOT(ISERROR(SEARCH("NL",AE24)))</formula>
    </cfRule>
    <cfRule type="containsText" dxfId="700" priority="721" operator="containsText" text="SP">
      <formula>NOT(ISERROR(SEARCH("SP",AE24)))</formula>
    </cfRule>
    <cfRule type="containsText" dxfId="699" priority="728" operator="containsText" text="AL">
      <formula>NOT(ISERROR(SEARCH("AL",AE24)))</formula>
    </cfRule>
  </conditionalFormatting>
  <conditionalFormatting sqref="AI5:AJ30 I13:J14 BE15:BF17 BE27:BF30 I47:J47 AA47:AB47 BE47:BF47">
    <cfRule type="containsText" dxfId="698" priority="4025" operator="containsText" text="AB">
      <formula>NOT(ISERROR(SEARCH("AB",I5)))</formula>
    </cfRule>
    <cfRule type="containsText" dxfId="697" priority="4026" operator="containsText" text="Sick">
      <formula>NOT(ISERROR(SEARCH("Sick",I5)))</formula>
    </cfRule>
    <cfRule type="containsText" dxfId="696" priority="4028" operator="containsText" text="MC">
      <formula>NOT(ISERROR(SEARCH("MC",I5)))</formula>
    </cfRule>
    <cfRule type="containsText" dxfId="695" priority="4029" operator="containsText" text="OFF">
      <formula>NOT(ISERROR(SEARCH("OFF",I5)))</formula>
    </cfRule>
    <cfRule type="containsText" dxfId="694" priority="4020" operator="containsText" text="SP">
      <formula>NOT(ISERROR(SEARCH("SP",I5)))</formula>
    </cfRule>
    <cfRule type="containsText" dxfId="693" priority="4027" operator="containsText" text="AL">
      <formula>NOT(ISERROR(SEARCH("AL",I5)))</formula>
    </cfRule>
    <cfRule type="containsText" dxfId="692" priority="4022" operator="containsText" text="FL">
      <formula>NOT(ISERROR(SEARCH("FL",I5)))</formula>
    </cfRule>
    <cfRule type="containsText" dxfId="691" priority="4023" operator="containsText" text="SUS">
      <formula>NOT(ISERROR(SEARCH("SUS",I5)))</formula>
    </cfRule>
    <cfRule type="containsText" dxfId="690" priority="4024" operator="containsText" text="EL">
      <formula>NOT(ISERROR(SEARCH("EL",I5)))</formula>
    </cfRule>
    <cfRule type="containsText" dxfId="689" priority="4021" operator="containsText" text="NL">
      <formula>NOT(ISERROR(SEARCH("NL",I5)))</formula>
    </cfRule>
  </conditionalFormatting>
  <conditionalFormatting sqref="AI47:AL47">
    <cfRule type="containsText" dxfId="688" priority="1582" operator="containsText" text="MC">
      <formula>NOT(ISERROR(SEARCH("MC",AI47)))</formula>
    </cfRule>
    <cfRule type="containsText" dxfId="687" priority="1583" operator="containsText" text="OFF">
      <formula>NOT(ISERROR(SEARCH("OFF",AI47)))</formula>
    </cfRule>
    <cfRule type="containsText" dxfId="686" priority="1579" operator="containsText" text="AB">
      <formula>NOT(ISERROR(SEARCH("AB",AI47)))</formula>
    </cfRule>
    <cfRule type="containsText" dxfId="685" priority="1578" operator="containsText" text="EL">
      <formula>NOT(ISERROR(SEARCH("EL",AI47)))</formula>
    </cfRule>
    <cfRule type="containsText" dxfId="684" priority="1576" operator="containsText" text="FL">
      <formula>NOT(ISERROR(SEARCH("FL",AI47)))</formula>
    </cfRule>
    <cfRule type="containsText" dxfId="683" priority="1580" operator="containsText" text="Sick">
      <formula>NOT(ISERROR(SEARCH("Sick",AI47)))</formula>
    </cfRule>
    <cfRule type="containsText" dxfId="682" priority="1581" operator="containsText" text="AL">
      <formula>NOT(ISERROR(SEARCH("AL",AI47)))</formula>
    </cfRule>
    <cfRule type="containsText" dxfId="681" priority="1577" operator="containsText" text="SUS">
      <formula>NOT(ISERROR(SEARCH("SUS",AI47)))</formula>
    </cfRule>
    <cfRule type="containsText" dxfId="680" priority="1574" operator="containsText" text="SP">
      <formula>NOT(ISERROR(SEARCH("SP",AI47)))</formula>
    </cfRule>
    <cfRule type="containsText" dxfId="679" priority="1575" operator="containsText" text="NL">
      <formula>NOT(ISERROR(SEARCH("NL",AI47)))</formula>
    </cfRule>
  </conditionalFormatting>
  <conditionalFormatting sqref="AK4:AL4">
    <cfRule type="dataBar" priority="14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18:AL20">
    <cfRule type="containsText" dxfId="678" priority="1612" operator="containsText" text="MC">
      <formula>NOT(ISERROR(SEARCH("MC",AK18)))</formula>
    </cfRule>
    <cfRule type="containsText" dxfId="677" priority="1613" operator="containsText" text="OFF">
      <formula>NOT(ISERROR(SEARCH("OFF",AK18)))</formula>
    </cfRule>
    <cfRule type="containsText" dxfId="676" priority="1611" operator="containsText" text="AL">
      <formula>NOT(ISERROR(SEARCH("AL",AK18)))</formula>
    </cfRule>
    <cfRule type="containsText" dxfId="675" priority="1610" operator="containsText" text="Sick">
      <formula>NOT(ISERROR(SEARCH("Sick",AK18)))</formula>
    </cfRule>
    <cfRule type="containsText" dxfId="674" priority="1609" operator="containsText" text="AB">
      <formula>NOT(ISERROR(SEARCH("AB",AK18)))</formula>
    </cfRule>
    <cfRule type="containsText" dxfId="673" priority="1608" operator="containsText" text="EL">
      <formula>NOT(ISERROR(SEARCH("EL",AK18)))</formula>
    </cfRule>
    <cfRule type="containsText" dxfId="672" priority="1607" operator="containsText" text="SUS">
      <formula>NOT(ISERROR(SEARCH("SUS",AK18)))</formula>
    </cfRule>
    <cfRule type="containsText" dxfId="671" priority="1606" operator="containsText" text="FL">
      <formula>NOT(ISERROR(SEARCH("FL",AK18)))</formula>
    </cfRule>
    <cfRule type="containsText" dxfId="670" priority="1605" operator="containsText" text="NL">
      <formula>NOT(ISERROR(SEARCH("NL",AK18)))</formula>
    </cfRule>
    <cfRule type="containsText" dxfId="669" priority="1604" operator="containsText" text="SP">
      <formula>NOT(ISERROR(SEARCH("SP",AK18)))</formula>
    </cfRule>
  </conditionalFormatting>
  <conditionalFormatting sqref="AK5:AM6">
    <cfRule type="containsText" dxfId="668" priority="569" operator="containsText" text="MC">
      <formula>NOT(ISERROR(SEARCH("MC",AK5)))</formula>
    </cfRule>
    <cfRule type="containsText" dxfId="667" priority="566" operator="containsText" text="AB">
      <formula>NOT(ISERROR(SEARCH("AB",AK5)))</formula>
    </cfRule>
    <cfRule type="containsText" dxfId="666" priority="565" operator="containsText" text="EL">
      <formula>NOT(ISERROR(SEARCH("EL",AK5)))</formula>
    </cfRule>
    <cfRule type="containsText" dxfId="665" priority="564" operator="containsText" text="SUS">
      <formula>NOT(ISERROR(SEARCH("SUS",AK5)))</formula>
    </cfRule>
    <cfRule type="containsText" dxfId="664" priority="563" operator="containsText" text="FL">
      <formula>NOT(ISERROR(SEARCH("FL",AK5)))</formula>
    </cfRule>
    <cfRule type="containsText" dxfId="663" priority="561" operator="containsText" text="SP">
      <formula>NOT(ISERROR(SEARCH("SP",AK5)))</formula>
    </cfRule>
    <cfRule type="containsText" dxfId="662" priority="567" operator="containsText" text="Sick">
      <formula>NOT(ISERROR(SEARCH("Sick",AK5)))</formula>
    </cfRule>
    <cfRule type="containsText" dxfId="661" priority="562" operator="containsText" text="NL">
      <formula>NOT(ISERROR(SEARCH("NL",AK5)))</formula>
    </cfRule>
    <cfRule type="containsText" dxfId="660" priority="570" operator="containsText" text="OFF">
      <formula>NOT(ISERROR(SEARCH("OFF",AK5)))</formula>
    </cfRule>
    <cfRule type="containsText" dxfId="659" priority="568" operator="containsText" text="AL">
      <formula>NOT(ISERROR(SEARCH("AL",AK5)))</formula>
    </cfRule>
  </conditionalFormatting>
  <conditionalFormatting sqref="AK8:AM10">
    <cfRule type="containsText" dxfId="658" priority="504" operator="containsText" text="SUS">
      <formula>NOT(ISERROR(SEARCH("SUS",AK8)))</formula>
    </cfRule>
    <cfRule type="containsText" dxfId="657" priority="501" operator="containsText" text="SP">
      <formula>NOT(ISERROR(SEARCH("SP",AK8)))</formula>
    </cfRule>
    <cfRule type="containsText" dxfId="656" priority="503" operator="containsText" text="FL">
      <formula>NOT(ISERROR(SEARCH("FL",AK8)))</formula>
    </cfRule>
    <cfRule type="containsText" dxfId="655" priority="502" operator="containsText" text="NL">
      <formula>NOT(ISERROR(SEARCH("NL",AK8)))</formula>
    </cfRule>
    <cfRule type="containsText" dxfId="654" priority="509" operator="containsText" text="MC">
      <formula>NOT(ISERROR(SEARCH("MC",AK8)))</formula>
    </cfRule>
    <cfRule type="containsText" dxfId="653" priority="508" operator="containsText" text="AL">
      <formula>NOT(ISERROR(SEARCH("AL",AK8)))</formula>
    </cfRule>
    <cfRule type="containsText" dxfId="652" priority="510" operator="containsText" text="OFF">
      <formula>NOT(ISERROR(SEARCH("OFF",AK8)))</formula>
    </cfRule>
    <cfRule type="containsText" dxfId="651" priority="507" operator="containsText" text="Sick">
      <formula>NOT(ISERROR(SEARCH("Sick",AK8)))</formula>
    </cfRule>
    <cfRule type="containsText" dxfId="650" priority="506" operator="containsText" text="AB">
      <formula>NOT(ISERROR(SEARCH("AB",AK8)))</formula>
    </cfRule>
    <cfRule type="containsText" dxfId="649" priority="505" operator="containsText" text="EL">
      <formula>NOT(ISERROR(SEARCH("EL",AK8)))</formula>
    </cfRule>
  </conditionalFormatting>
  <conditionalFormatting sqref="AK4:BP4">
    <cfRule type="cellIs" dxfId="648" priority="14939" operator="equal">
      <formula>"OFF"</formula>
    </cfRule>
    <cfRule type="containsText" dxfId="647" priority="14940" operator="containsText" text="AB">
      <formula>NOT(ISERROR(SEARCH("AB",#REF!)))</formula>
    </cfRule>
    <cfRule type="containsText" dxfId="646" priority="14941" operator="containsText" text="HD">
      <formula>NOT(ISERROR(SEARCH("HD",#REF!)))</formula>
    </cfRule>
    <cfRule type="containsText" dxfId="645" priority="14942" operator="containsText" text="S">
      <formula>NOT(ISERROR(SEARCH("S",#REF!)))</formula>
    </cfRule>
    <cfRule type="expression" priority="14935">
      <formula>AND(ISNUMBER($Z2), ISNUMBER($AA2))</formula>
    </cfRule>
    <cfRule type="cellIs" dxfId="644" priority="14937" operator="equal">
      <formula>"Sick"</formula>
    </cfRule>
    <cfRule type="cellIs" dxfId="643" priority="14938" operator="equal">
      <formula>"AB"</formula>
    </cfRule>
  </conditionalFormatting>
  <conditionalFormatting sqref="AK11:BP11">
    <cfRule type="containsText" dxfId="642" priority="689" operator="containsText" text="MC">
      <formula>NOT(ISERROR(SEARCH("MC",AK11)))</formula>
    </cfRule>
    <cfRule type="containsText" dxfId="641" priority="688" operator="containsText" text="AL">
      <formula>NOT(ISERROR(SEARCH("AL",AK11)))</formula>
    </cfRule>
    <cfRule type="containsText" dxfId="640" priority="687" operator="containsText" text="Sick">
      <formula>NOT(ISERROR(SEARCH("Sick",AK11)))</formula>
    </cfRule>
    <cfRule type="containsText" dxfId="639" priority="686" operator="containsText" text="AB">
      <formula>NOT(ISERROR(SEARCH("AB",AK11)))</formula>
    </cfRule>
    <cfRule type="containsText" dxfId="638" priority="685" operator="containsText" text="EL">
      <formula>NOT(ISERROR(SEARCH("EL",AK11)))</formula>
    </cfRule>
    <cfRule type="containsText" dxfId="637" priority="684" operator="containsText" text="SUS">
      <formula>NOT(ISERROR(SEARCH("SUS",AK11)))</formula>
    </cfRule>
    <cfRule type="containsText" dxfId="636" priority="683" operator="containsText" text="FL">
      <formula>NOT(ISERROR(SEARCH("FL",AK11)))</formula>
    </cfRule>
    <cfRule type="containsText" dxfId="635" priority="682" operator="containsText" text="NL">
      <formula>NOT(ISERROR(SEARCH("NL",AK11)))</formula>
    </cfRule>
    <cfRule type="containsText" dxfId="634" priority="681" operator="containsText" text="SP">
      <formula>NOT(ISERROR(SEARCH("SP",AK11)))</formula>
    </cfRule>
    <cfRule type="containsText" dxfId="633" priority="690" operator="containsText" text="OFF">
      <formula>NOT(ISERROR(SEARCH("OFF",AK11)))</formula>
    </cfRule>
  </conditionalFormatting>
  <conditionalFormatting sqref="AL7">
    <cfRule type="containsText" dxfId="632" priority="1805" operator="containsText" text="NL">
      <formula>NOT(ISERROR(SEARCH("NL",AL7)))</formula>
    </cfRule>
    <cfRule type="containsText" dxfId="631" priority="1806" operator="containsText" text="FL">
      <formula>NOT(ISERROR(SEARCH("FL",AL7)))</formula>
    </cfRule>
    <cfRule type="containsText" dxfId="630" priority="1807" operator="containsText" text="SUS">
      <formula>NOT(ISERROR(SEARCH("SUS",AL7)))</formula>
    </cfRule>
    <cfRule type="containsText" dxfId="629" priority="1808" operator="containsText" text="EL">
      <formula>NOT(ISERROR(SEARCH("EL",AL7)))</formula>
    </cfRule>
    <cfRule type="containsText" dxfId="628" priority="1810" operator="containsText" text="Sick">
      <formula>NOT(ISERROR(SEARCH("Sick",AL7)))</formula>
    </cfRule>
    <cfRule type="containsText" dxfId="627" priority="1811" operator="containsText" text="AL">
      <formula>NOT(ISERROR(SEARCH("AL",AL7)))</formula>
    </cfRule>
    <cfRule type="containsText" dxfId="626" priority="1809" operator="containsText" text="AB">
      <formula>NOT(ISERROR(SEARCH("AB",AL7)))</formula>
    </cfRule>
    <cfRule type="containsText" dxfId="625" priority="1812" operator="containsText" text="MC">
      <formula>NOT(ISERROR(SEARCH("MC",AL7)))</formula>
    </cfRule>
    <cfRule type="containsText" dxfId="624" priority="1813" operator="containsText" text="OFF">
      <formula>NOT(ISERROR(SEARCH("OFF",AL7)))</formula>
    </cfRule>
    <cfRule type="containsText" dxfId="623" priority="1804" operator="containsText" text="SP">
      <formula>NOT(ISERROR(SEARCH("SP",AL7)))</formula>
    </cfRule>
  </conditionalFormatting>
  <conditionalFormatting sqref="AL22:AN22">
    <cfRule type="containsText" dxfId="622" priority="298" operator="containsText" text="AL">
      <formula>NOT(ISERROR(SEARCH("AL",AL22)))</formula>
    </cfRule>
    <cfRule type="containsText" dxfId="621" priority="297" operator="containsText" text="Sick">
      <formula>NOT(ISERROR(SEARCH("Sick",AL22)))</formula>
    </cfRule>
    <cfRule type="containsText" dxfId="620" priority="296" operator="containsText" text="AB">
      <formula>NOT(ISERROR(SEARCH("AB",AL22)))</formula>
    </cfRule>
    <cfRule type="containsText" dxfId="619" priority="295" operator="containsText" text="EL">
      <formula>NOT(ISERROR(SEARCH("EL",AL22)))</formula>
    </cfRule>
    <cfRule type="containsText" dxfId="618" priority="294" operator="containsText" text="SUS">
      <formula>NOT(ISERROR(SEARCH("SUS",AL22)))</formula>
    </cfRule>
    <cfRule type="containsText" dxfId="617" priority="292" operator="containsText" text="NL">
      <formula>NOT(ISERROR(SEARCH("NL",AL22)))</formula>
    </cfRule>
    <cfRule type="containsText" dxfId="616" priority="293" operator="containsText" text="FL">
      <formula>NOT(ISERROR(SEARCH("FL",AL22)))</formula>
    </cfRule>
    <cfRule type="containsText" dxfId="615" priority="300" operator="containsText" text="OFF">
      <formula>NOT(ISERROR(SEARCH("OFF",AL22)))</formula>
    </cfRule>
    <cfRule type="containsText" dxfId="614" priority="291" operator="containsText" text="SP">
      <formula>NOT(ISERROR(SEARCH("SP",AL22)))</formula>
    </cfRule>
    <cfRule type="containsText" dxfId="613" priority="299" operator="containsText" text="MC">
      <formula>NOT(ISERROR(SEARCH("MC",AL22)))</formula>
    </cfRule>
  </conditionalFormatting>
  <conditionalFormatting sqref="AM4:AN4">
    <cfRule type="dataBar" priority="14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M14:AN14">
    <cfRule type="containsText" dxfId="612" priority="180" operator="containsText" text="OFF">
      <formula>NOT(ISERROR(SEARCH("OFF",AM14)))</formula>
    </cfRule>
    <cfRule type="containsText" dxfId="611" priority="179" operator="containsText" text="MC">
      <formula>NOT(ISERROR(SEARCH("MC",AM14)))</formula>
    </cfRule>
    <cfRule type="containsText" dxfId="610" priority="178" operator="containsText" text="AL">
      <formula>NOT(ISERROR(SEARCH("AL",AM14)))</formula>
    </cfRule>
    <cfRule type="containsText" dxfId="609" priority="177" operator="containsText" text="Sick">
      <formula>NOT(ISERROR(SEARCH("Sick",AM14)))</formula>
    </cfRule>
    <cfRule type="containsText" dxfId="608" priority="176" operator="containsText" text="AB">
      <formula>NOT(ISERROR(SEARCH("AB",AM14)))</formula>
    </cfRule>
    <cfRule type="containsText" dxfId="607" priority="175" operator="containsText" text="EL">
      <formula>NOT(ISERROR(SEARCH("EL",AM14)))</formula>
    </cfRule>
    <cfRule type="containsText" dxfId="606" priority="174" operator="containsText" text="SUS">
      <formula>NOT(ISERROR(SEARCH("SUS",AM14)))</formula>
    </cfRule>
    <cfRule type="containsText" dxfId="605" priority="173" operator="containsText" text="FL">
      <formula>NOT(ISERROR(SEARCH("FL",AM14)))</formula>
    </cfRule>
    <cfRule type="containsText" dxfId="604" priority="172" operator="containsText" text="NL">
      <formula>NOT(ISERROR(SEARCH("NL",AM14)))</formula>
    </cfRule>
    <cfRule type="containsText" dxfId="603" priority="171" operator="containsText" text="SP">
      <formula>NOT(ISERROR(SEARCH("SP",AM14)))</formula>
    </cfRule>
  </conditionalFormatting>
  <conditionalFormatting sqref="AM20:AN21">
    <cfRule type="containsText" dxfId="602" priority="312" operator="containsText" text="NL">
      <formula>NOT(ISERROR(SEARCH("NL",AM20)))</formula>
    </cfRule>
    <cfRule type="containsText" dxfId="601" priority="311" operator="containsText" text="SP">
      <formula>NOT(ISERROR(SEARCH("SP",AM20)))</formula>
    </cfRule>
    <cfRule type="containsText" dxfId="600" priority="319" operator="containsText" text="MC">
      <formula>NOT(ISERROR(SEARCH("MC",AM20)))</formula>
    </cfRule>
    <cfRule type="containsText" dxfId="599" priority="318" operator="containsText" text="AL">
      <formula>NOT(ISERROR(SEARCH("AL",AM20)))</formula>
    </cfRule>
    <cfRule type="containsText" dxfId="598" priority="316" operator="containsText" text="AB">
      <formula>NOT(ISERROR(SEARCH("AB",AM20)))</formula>
    </cfRule>
    <cfRule type="containsText" dxfId="597" priority="320" operator="containsText" text="OFF">
      <formula>NOT(ISERROR(SEARCH("OFF",AM20)))</formula>
    </cfRule>
    <cfRule type="containsText" dxfId="596" priority="315" operator="containsText" text="EL">
      <formula>NOT(ISERROR(SEARCH("EL",AM20)))</formula>
    </cfRule>
    <cfRule type="containsText" dxfId="595" priority="314" operator="containsText" text="SUS">
      <formula>NOT(ISERROR(SEARCH("SUS",AM20)))</formula>
    </cfRule>
    <cfRule type="containsText" dxfId="594" priority="313" operator="containsText" text="FL">
      <formula>NOT(ISERROR(SEARCH("FL",AM20)))</formula>
    </cfRule>
    <cfRule type="containsText" dxfId="593" priority="317" operator="containsText" text="Sick">
      <formula>NOT(ISERROR(SEARCH("Sick",AM20)))</formula>
    </cfRule>
  </conditionalFormatting>
  <conditionalFormatting sqref="AM24:AN25">
    <cfRule type="containsText" dxfId="592" priority="2" operator="containsText" text="NL">
      <formula>NOT(ISERROR(SEARCH("NL",AM24)))</formula>
    </cfRule>
    <cfRule type="containsText" dxfId="591" priority="3" operator="containsText" text="FL">
      <formula>NOT(ISERROR(SEARCH("FL",AM24)))</formula>
    </cfRule>
    <cfRule type="containsText" dxfId="590" priority="4" operator="containsText" text="SUS">
      <formula>NOT(ISERROR(SEARCH("SUS",AM24)))</formula>
    </cfRule>
    <cfRule type="containsText" dxfId="589" priority="5" operator="containsText" text="EL">
      <formula>NOT(ISERROR(SEARCH("EL",AM24)))</formula>
    </cfRule>
    <cfRule type="containsText" dxfId="588" priority="6" operator="containsText" text="AB">
      <formula>NOT(ISERROR(SEARCH("AB",AM24)))</formula>
    </cfRule>
    <cfRule type="containsText" dxfId="587" priority="7" operator="containsText" text="Sick">
      <formula>NOT(ISERROR(SEARCH("Sick",AM24)))</formula>
    </cfRule>
    <cfRule type="containsText" dxfId="586" priority="8" operator="containsText" text="AL">
      <formula>NOT(ISERROR(SEARCH("AL",AM24)))</formula>
    </cfRule>
    <cfRule type="containsText" dxfId="585" priority="9" operator="containsText" text="MC">
      <formula>NOT(ISERROR(SEARCH("MC",AM24)))</formula>
    </cfRule>
    <cfRule type="containsText" dxfId="584" priority="10" operator="containsText" text="OFF">
      <formula>NOT(ISERROR(SEARCH("OFF",AM24)))</formula>
    </cfRule>
    <cfRule type="containsText" dxfId="583" priority="1" operator="containsText" text="SP">
      <formula>NOT(ISERROR(SEARCH("SP",AM24)))</formula>
    </cfRule>
  </conditionalFormatting>
  <conditionalFormatting sqref="AM28:AN28">
    <cfRule type="containsText" dxfId="582" priority="193" operator="containsText" text="FL">
      <formula>NOT(ISERROR(SEARCH("FL",AM28)))</formula>
    </cfRule>
    <cfRule type="containsText" dxfId="581" priority="197" operator="containsText" text="Sick">
      <formula>NOT(ISERROR(SEARCH("Sick",AM28)))</formula>
    </cfRule>
    <cfRule type="containsText" dxfId="580" priority="195" operator="containsText" text="EL">
      <formula>NOT(ISERROR(SEARCH("EL",AM28)))</formula>
    </cfRule>
    <cfRule type="containsText" dxfId="579" priority="200" operator="containsText" text="OFF">
      <formula>NOT(ISERROR(SEARCH("OFF",AM28)))</formula>
    </cfRule>
    <cfRule type="containsText" dxfId="578" priority="194" operator="containsText" text="SUS">
      <formula>NOT(ISERROR(SEARCH("SUS",AM28)))</formula>
    </cfRule>
    <cfRule type="containsText" dxfId="577" priority="192" operator="containsText" text="NL">
      <formula>NOT(ISERROR(SEARCH("NL",AM28)))</formula>
    </cfRule>
    <cfRule type="containsText" dxfId="576" priority="191" operator="containsText" text="SP">
      <formula>NOT(ISERROR(SEARCH("SP",AM28)))</formula>
    </cfRule>
    <cfRule type="containsText" dxfId="575" priority="199" operator="containsText" text="MC">
      <formula>NOT(ISERROR(SEARCH("MC",AM28)))</formula>
    </cfRule>
    <cfRule type="containsText" dxfId="574" priority="198" operator="containsText" text="AL">
      <formula>NOT(ISERROR(SEARCH("AL",AM28)))</formula>
    </cfRule>
    <cfRule type="containsText" dxfId="573" priority="196" operator="containsText" text="AB">
      <formula>NOT(ISERROR(SEARCH("AB",AM28)))</formula>
    </cfRule>
  </conditionalFormatting>
  <conditionalFormatting sqref="AM18:AP19">
    <cfRule type="containsText" dxfId="572" priority="355" operator="containsText" text="EL">
      <formula>NOT(ISERROR(SEARCH("EL",AM18)))</formula>
    </cfRule>
    <cfRule type="containsText" dxfId="571" priority="356" operator="containsText" text="AB">
      <formula>NOT(ISERROR(SEARCH("AB",AM18)))</formula>
    </cfRule>
    <cfRule type="containsText" dxfId="570" priority="357" operator="containsText" text="Sick">
      <formula>NOT(ISERROR(SEARCH("Sick",AM18)))</formula>
    </cfRule>
    <cfRule type="containsText" dxfId="569" priority="358" operator="containsText" text="AL">
      <formula>NOT(ISERROR(SEARCH("AL",AM18)))</formula>
    </cfRule>
    <cfRule type="containsText" dxfId="568" priority="360" operator="containsText" text="OFF">
      <formula>NOT(ISERROR(SEARCH("OFF",AM18)))</formula>
    </cfRule>
    <cfRule type="containsText" dxfId="567" priority="352" operator="containsText" text="NL">
      <formula>NOT(ISERROR(SEARCH("NL",AM18)))</formula>
    </cfRule>
    <cfRule type="containsText" dxfId="566" priority="359" operator="containsText" text="MC">
      <formula>NOT(ISERROR(SEARCH("MC",AM18)))</formula>
    </cfRule>
    <cfRule type="containsText" dxfId="565" priority="351" operator="containsText" text="SP">
      <formula>NOT(ISERROR(SEARCH("SP",AM18)))</formula>
    </cfRule>
    <cfRule type="containsText" dxfId="564" priority="353" operator="containsText" text="FL">
      <formula>NOT(ISERROR(SEARCH("FL",AM18)))</formula>
    </cfRule>
    <cfRule type="containsText" dxfId="563" priority="354" operator="containsText" text="SUS">
      <formula>NOT(ISERROR(SEARCH("SUS",AM18)))</formula>
    </cfRule>
  </conditionalFormatting>
  <conditionalFormatting sqref="AM12:BL12">
    <cfRule type="containsText" dxfId="562" priority="1553" operator="containsText" text="OFF">
      <formula>NOT(ISERROR(SEARCH("OFF",AM12)))</formula>
    </cfRule>
    <cfRule type="containsText" dxfId="561" priority="1552" operator="containsText" text="MC">
      <formula>NOT(ISERROR(SEARCH("MC",AM12)))</formula>
    </cfRule>
    <cfRule type="containsText" dxfId="560" priority="1551" operator="containsText" text="AL">
      <formula>NOT(ISERROR(SEARCH("AL",AM12)))</formula>
    </cfRule>
    <cfRule type="containsText" dxfId="559" priority="1550" operator="containsText" text="Sick">
      <formula>NOT(ISERROR(SEARCH("Sick",AM12)))</formula>
    </cfRule>
    <cfRule type="containsText" dxfId="558" priority="1549" operator="containsText" text="AB">
      <formula>NOT(ISERROR(SEARCH("AB",AM12)))</formula>
    </cfRule>
    <cfRule type="containsText" dxfId="557" priority="1548" operator="containsText" text="EL">
      <formula>NOT(ISERROR(SEARCH("EL",AM12)))</formula>
    </cfRule>
    <cfRule type="containsText" dxfId="556" priority="1547" operator="containsText" text="SUS">
      <formula>NOT(ISERROR(SEARCH("SUS",AM12)))</formula>
    </cfRule>
    <cfRule type="containsText" dxfId="555" priority="1546" operator="containsText" text="FL">
      <formula>NOT(ISERROR(SEARCH("FL",AM12)))</formula>
    </cfRule>
    <cfRule type="containsText" dxfId="554" priority="1545" operator="containsText" text="NL">
      <formula>NOT(ISERROR(SEARCH("NL",AM12)))</formula>
    </cfRule>
    <cfRule type="containsText" dxfId="553" priority="1544" operator="containsText" text="SP">
      <formula>NOT(ISERROR(SEARCH("SP",AM12)))</formula>
    </cfRule>
  </conditionalFormatting>
  <conditionalFormatting sqref="AN5:AN10">
    <cfRule type="containsText" dxfId="552" priority="495" operator="containsText" text="EL">
      <formula>NOT(ISERROR(SEARCH("EL",AN5)))</formula>
    </cfRule>
    <cfRule type="containsText" dxfId="551" priority="496" operator="containsText" text="AB">
      <formula>NOT(ISERROR(SEARCH("AB",AN5)))</formula>
    </cfRule>
    <cfRule type="containsText" dxfId="550" priority="498" operator="containsText" text="AL">
      <formula>NOT(ISERROR(SEARCH("AL",AN5)))</formula>
    </cfRule>
    <cfRule type="containsText" dxfId="549" priority="499" operator="containsText" text="MC">
      <formula>NOT(ISERROR(SEARCH("MC",AN5)))</formula>
    </cfRule>
    <cfRule type="containsText" dxfId="548" priority="500" operator="containsText" text="OFF">
      <formula>NOT(ISERROR(SEARCH("OFF",AN5)))</formula>
    </cfRule>
    <cfRule type="containsText" dxfId="547" priority="497" operator="containsText" text="Sick">
      <formula>NOT(ISERROR(SEARCH("Sick",AN5)))</formula>
    </cfRule>
    <cfRule type="containsText" dxfId="546" priority="491" operator="containsText" text="SP">
      <formula>NOT(ISERROR(SEARCH("SP",AN5)))</formula>
    </cfRule>
    <cfRule type="containsText" dxfId="545" priority="492" operator="containsText" text="NL">
      <formula>NOT(ISERROR(SEARCH("NL",AN5)))</formula>
    </cfRule>
    <cfRule type="containsText" dxfId="544" priority="493" operator="containsText" text="FL">
      <formula>NOT(ISERROR(SEARCH("FL",AN5)))</formula>
    </cfRule>
    <cfRule type="containsText" dxfId="543" priority="494" operator="containsText" text="SUS">
      <formula>NOT(ISERROR(SEARCH("SUS",AN5)))</formula>
    </cfRule>
  </conditionalFormatting>
  <conditionalFormatting sqref="AN16">
    <cfRule type="containsText" dxfId="542" priority="1395" operator="containsText" text="NL">
      <formula>NOT(ISERROR(SEARCH("NL",AN16)))</formula>
    </cfRule>
    <cfRule type="containsText" dxfId="541" priority="1402" operator="containsText" text="MC">
      <formula>NOT(ISERROR(SEARCH("MC",AN16)))</formula>
    </cfRule>
    <cfRule type="containsText" dxfId="540" priority="1396" operator="containsText" text="FL">
      <formula>NOT(ISERROR(SEARCH("FL",AN16)))</formula>
    </cfRule>
    <cfRule type="containsText" dxfId="539" priority="1397" operator="containsText" text="SUS">
      <formula>NOT(ISERROR(SEARCH("SUS",AN16)))</formula>
    </cfRule>
    <cfRule type="containsText" dxfId="538" priority="1398" operator="containsText" text="EL">
      <formula>NOT(ISERROR(SEARCH("EL",AN16)))</formula>
    </cfRule>
    <cfRule type="containsText" dxfId="537" priority="1399" operator="containsText" text="AB">
      <formula>NOT(ISERROR(SEARCH("AB",AN16)))</formula>
    </cfRule>
    <cfRule type="containsText" dxfId="536" priority="1401" operator="containsText" text="AL">
      <formula>NOT(ISERROR(SEARCH("AL",AN16)))</formula>
    </cfRule>
    <cfRule type="containsText" dxfId="535" priority="1403" operator="containsText" text="OFF">
      <formula>NOT(ISERROR(SEARCH("OFF",AN16)))</formula>
    </cfRule>
    <cfRule type="containsText" dxfId="534" priority="1394" operator="containsText" text="SP">
      <formula>NOT(ISERROR(SEARCH("SP",AN16)))</formula>
    </cfRule>
    <cfRule type="containsText" dxfId="533" priority="1400" operator="containsText" text="Sick">
      <formula>NOT(ISERROR(SEARCH("Sick",AN16)))</formula>
    </cfRule>
  </conditionalFormatting>
  <conditionalFormatting sqref="AO4:AP4">
    <cfRule type="dataBar" priority="14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O8:AZ9 AO10:AP10 AR10:AZ10">
    <cfRule type="containsText" dxfId="532" priority="1560" operator="containsText" text="Sick">
      <formula>NOT(ISERROR(SEARCH("Sick",AO8)))</formula>
    </cfRule>
    <cfRule type="containsText" dxfId="531" priority="1558" operator="containsText" text="EL">
      <formula>NOT(ISERROR(SEARCH("EL",AO8)))</formula>
    </cfRule>
    <cfRule type="containsText" dxfId="530" priority="1557" operator="containsText" text="SUS">
      <formula>NOT(ISERROR(SEARCH("SUS",AO8)))</formula>
    </cfRule>
    <cfRule type="containsText" dxfId="529" priority="1556" operator="containsText" text="FL">
      <formula>NOT(ISERROR(SEARCH("FL",AO8)))</formula>
    </cfRule>
    <cfRule type="containsText" dxfId="528" priority="1555" operator="containsText" text="NL">
      <formula>NOT(ISERROR(SEARCH("NL",AO8)))</formula>
    </cfRule>
    <cfRule type="containsText" dxfId="527" priority="1554" operator="containsText" text="SP">
      <formula>NOT(ISERROR(SEARCH("SP",AO8)))</formula>
    </cfRule>
    <cfRule type="containsText" dxfId="526" priority="1563" operator="containsText" text="OFF">
      <formula>NOT(ISERROR(SEARCH("OFF",AO8)))</formula>
    </cfRule>
    <cfRule type="containsText" dxfId="525" priority="1559" operator="containsText" text="AB">
      <formula>NOT(ISERROR(SEARCH("AB",AO8)))</formula>
    </cfRule>
    <cfRule type="containsText" dxfId="524" priority="1561" operator="containsText" text="AL">
      <formula>NOT(ISERROR(SEARCH("AL",AO8)))</formula>
    </cfRule>
    <cfRule type="containsText" dxfId="523" priority="1562" operator="containsText" text="MC">
      <formula>NOT(ISERROR(SEARCH("MC",AO8)))</formula>
    </cfRule>
  </conditionalFormatting>
  <conditionalFormatting sqref="AO5:BP6">
    <cfRule type="containsText" dxfId="522" priority="574" operator="containsText" text="SUS">
      <formula>NOT(ISERROR(SEARCH("SUS",AO5)))</formula>
    </cfRule>
    <cfRule type="containsText" dxfId="521" priority="575" operator="containsText" text="EL">
      <formula>NOT(ISERROR(SEARCH("EL",AO5)))</formula>
    </cfRule>
    <cfRule type="containsText" dxfId="520" priority="576" operator="containsText" text="AB">
      <formula>NOT(ISERROR(SEARCH("AB",AO5)))</formula>
    </cfRule>
    <cfRule type="containsText" dxfId="519" priority="578" operator="containsText" text="AL">
      <formula>NOT(ISERROR(SEARCH("AL",AO5)))</formula>
    </cfRule>
    <cfRule type="containsText" dxfId="518" priority="572" operator="containsText" text="NL">
      <formula>NOT(ISERROR(SEARCH("NL",AO5)))</formula>
    </cfRule>
    <cfRule type="containsText" dxfId="517" priority="579" operator="containsText" text="MC">
      <formula>NOT(ISERROR(SEARCH("MC",AO5)))</formula>
    </cfRule>
    <cfRule type="containsText" dxfId="516" priority="577" operator="containsText" text="Sick">
      <formula>NOT(ISERROR(SEARCH("Sick",AO5)))</formula>
    </cfRule>
    <cfRule type="containsText" dxfId="515" priority="573" operator="containsText" text="FL">
      <formula>NOT(ISERROR(SEARCH("FL",AO5)))</formula>
    </cfRule>
    <cfRule type="containsText" dxfId="514" priority="580" operator="containsText" text="OFF">
      <formula>NOT(ISERROR(SEARCH("OFF",AO5)))</formula>
    </cfRule>
    <cfRule type="containsText" dxfId="513" priority="571" operator="containsText" text="SP">
      <formula>NOT(ISERROR(SEARCH("SP",AO5)))</formula>
    </cfRule>
  </conditionalFormatting>
  <conditionalFormatting sqref="AP7">
    <cfRule type="containsText" dxfId="512" priority="1784" operator="containsText" text="SP">
      <formula>NOT(ISERROR(SEARCH("SP",AP7)))</formula>
    </cfRule>
    <cfRule type="containsText" dxfId="511" priority="1785" operator="containsText" text="NL">
      <formula>NOT(ISERROR(SEARCH("NL",AP7)))</formula>
    </cfRule>
    <cfRule type="containsText" dxfId="510" priority="1786" operator="containsText" text="FL">
      <formula>NOT(ISERROR(SEARCH("FL",AP7)))</formula>
    </cfRule>
    <cfRule type="containsText" dxfId="509" priority="1787" operator="containsText" text="SUS">
      <formula>NOT(ISERROR(SEARCH("SUS",AP7)))</formula>
    </cfRule>
    <cfRule type="containsText" dxfId="508" priority="1788" operator="containsText" text="EL">
      <formula>NOT(ISERROR(SEARCH("EL",AP7)))</formula>
    </cfRule>
    <cfRule type="containsText" dxfId="507" priority="1789" operator="containsText" text="AB">
      <formula>NOT(ISERROR(SEARCH("AB",AP7)))</formula>
    </cfRule>
    <cfRule type="containsText" dxfId="506" priority="1790" operator="containsText" text="Sick">
      <formula>NOT(ISERROR(SEARCH("Sick",AP7)))</formula>
    </cfRule>
    <cfRule type="containsText" dxfId="505" priority="1791" operator="containsText" text="AL">
      <formula>NOT(ISERROR(SEARCH("AL",AP7)))</formula>
    </cfRule>
    <cfRule type="containsText" dxfId="504" priority="1792" operator="containsText" text="MC">
      <formula>NOT(ISERROR(SEARCH("MC",AP7)))</formula>
    </cfRule>
    <cfRule type="containsText" dxfId="503" priority="1793" operator="containsText" text="OFF">
      <formula>NOT(ISERROR(SEARCH("OFF",AP7)))</formula>
    </cfRule>
  </conditionalFormatting>
  <conditionalFormatting sqref="AP21:AP22">
    <cfRule type="containsText" dxfId="502" priority="1717" operator="containsText" text="SUS">
      <formula>NOT(ISERROR(SEARCH("SUS",AP21)))</formula>
    </cfRule>
    <cfRule type="containsText" dxfId="501" priority="1718" operator="containsText" text="EL">
      <formula>NOT(ISERROR(SEARCH("EL",AP21)))</formula>
    </cfRule>
    <cfRule type="containsText" dxfId="500" priority="1722" operator="containsText" text="MC">
      <formula>NOT(ISERROR(SEARCH("MC",AP21)))</formula>
    </cfRule>
    <cfRule type="containsText" dxfId="499" priority="1721" operator="containsText" text="AL">
      <formula>NOT(ISERROR(SEARCH("AL",AP21)))</formula>
    </cfRule>
    <cfRule type="containsText" dxfId="498" priority="1720" operator="containsText" text="Sick">
      <formula>NOT(ISERROR(SEARCH("Sick",AP21)))</formula>
    </cfRule>
    <cfRule type="containsText" dxfId="497" priority="1723" operator="containsText" text="OFF">
      <formula>NOT(ISERROR(SEARCH("OFF",AP21)))</formula>
    </cfRule>
    <cfRule type="containsText" dxfId="496" priority="1719" operator="containsText" text="AB">
      <formula>NOT(ISERROR(SEARCH("AB",AP21)))</formula>
    </cfRule>
    <cfRule type="containsText" dxfId="495" priority="1714" operator="containsText" text="SP">
      <formula>NOT(ISERROR(SEARCH("SP",AP21)))</formula>
    </cfRule>
    <cfRule type="containsText" dxfId="494" priority="1715" operator="containsText" text="NL">
      <formula>NOT(ISERROR(SEARCH("NL",AP21)))</formula>
    </cfRule>
    <cfRule type="containsText" dxfId="493" priority="1716" operator="containsText" text="FL">
      <formula>NOT(ISERROR(SEARCH("FL",AP21)))</formula>
    </cfRule>
  </conditionalFormatting>
  <conditionalFormatting sqref="AQ26">
    <cfRule type="containsText" dxfId="492" priority="1637" operator="containsText" text="SUS">
      <formula>NOT(ISERROR(SEARCH("SUS",AQ26)))</formula>
    </cfRule>
    <cfRule type="containsText" dxfId="491" priority="1638" operator="containsText" text="EL">
      <formula>NOT(ISERROR(SEARCH("EL",AQ26)))</formula>
    </cfRule>
    <cfRule type="containsText" dxfId="490" priority="1639" operator="containsText" text="AB">
      <formula>NOT(ISERROR(SEARCH("AB",AQ26)))</formula>
    </cfRule>
    <cfRule type="containsText" dxfId="489" priority="1640" operator="containsText" text="Sick">
      <formula>NOT(ISERROR(SEARCH("Sick",AQ26)))</formula>
    </cfRule>
    <cfRule type="containsText" dxfId="488" priority="1641" operator="containsText" text="AL">
      <formula>NOT(ISERROR(SEARCH("AL",AQ26)))</formula>
    </cfRule>
    <cfRule type="containsText" dxfId="487" priority="1642" operator="containsText" text="MC">
      <formula>NOT(ISERROR(SEARCH("MC",AQ26)))</formula>
    </cfRule>
    <cfRule type="containsText" dxfId="486" priority="1643" operator="containsText" text="OFF">
      <formula>NOT(ISERROR(SEARCH("OFF",AQ26)))</formula>
    </cfRule>
    <cfRule type="containsText" dxfId="485" priority="1634" operator="containsText" text="SP">
      <formula>NOT(ISERROR(SEARCH("SP",AQ26)))</formula>
    </cfRule>
    <cfRule type="containsText" dxfId="484" priority="1635" operator="containsText" text="NL">
      <formula>NOT(ISERROR(SEARCH("NL",AQ26)))</formula>
    </cfRule>
    <cfRule type="containsText" dxfId="483" priority="1636" operator="containsText" text="FL">
      <formula>NOT(ISERROR(SEARCH("FL",AQ26)))</formula>
    </cfRule>
  </conditionalFormatting>
  <conditionalFormatting sqref="AQ4:AR4">
    <cfRule type="dataBar" priority="14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Q13:AR14">
    <cfRule type="containsText" dxfId="482" priority="1669" operator="containsText" text="AB">
      <formula>NOT(ISERROR(SEARCH("AB",AQ13)))</formula>
    </cfRule>
    <cfRule type="containsText" dxfId="481" priority="1670" operator="containsText" text="Sick">
      <formula>NOT(ISERROR(SEARCH("Sick",AQ13)))</formula>
    </cfRule>
    <cfRule type="containsText" dxfId="480" priority="1668" operator="containsText" text="EL">
      <formula>NOT(ISERROR(SEARCH("EL",AQ13)))</formula>
    </cfRule>
    <cfRule type="containsText" dxfId="479" priority="1667" operator="containsText" text="SUS">
      <formula>NOT(ISERROR(SEARCH("SUS",AQ13)))</formula>
    </cfRule>
    <cfRule type="containsText" dxfId="478" priority="1666" operator="containsText" text="FL">
      <formula>NOT(ISERROR(SEARCH("FL",AQ13)))</formula>
    </cfRule>
    <cfRule type="containsText" dxfId="477" priority="1665" operator="containsText" text="NL">
      <formula>NOT(ISERROR(SEARCH("NL",AQ13)))</formula>
    </cfRule>
    <cfRule type="containsText" dxfId="476" priority="1664" operator="containsText" text="SP">
      <formula>NOT(ISERROR(SEARCH("SP",AQ13)))</formula>
    </cfRule>
    <cfRule type="containsText" dxfId="475" priority="1673" operator="containsText" text="OFF">
      <formula>NOT(ISERROR(SEARCH("OFF",AQ13)))</formula>
    </cfRule>
    <cfRule type="containsText" dxfId="474" priority="1672" operator="containsText" text="MC">
      <formula>NOT(ISERROR(SEARCH("MC",AQ13)))</formula>
    </cfRule>
    <cfRule type="containsText" dxfId="473" priority="1671" operator="containsText" text="AL">
      <formula>NOT(ISERROR(SEARCH("AL",AQ13)))</formula>
    </cfRule>
  </conditionalFormatting>
  <conditionalFormatting sqref="AQ17:AR22">
    <cfRule type="containsText" dxfId="472" priority="1654" operator="containsText" text="SP">
      <formula>NOT(ISERROR(SEARCH("SP",AQ17)))</formula>
    </cfRule>
    <cfRule type="containsText" dxfId="471" priority="1655" operator="containsText" text="NL">
      <formula>NOT(ISERROR(SEARCH("NL",AQ17)))</formula>
    </cfRule>
    <cfRule type="containsText" dxfId="470" priority="1656" operator="containsText" text="FL">
      <formula>NOT(ISERROR(SEARCH("FL",AQ17)))</formula>
    </cfRule>
    <cfRule type="containsText" dxfId="469" priority="1657" operator="containsText" text="SUS">
      <formula>NOT(ISERROR(SEARCH("SUS",AQ17)))</formula>
    </cfRule>
    <cfRule type="containsText" dxfId="468" priority="1658" operator="containsText" text="EL">
      <formula>NOT(ISERROR(SEARCH("EL",AQ17)))</formula>
    </cfRule>
    <cfRule type="containsText" dxfId="467" priority="1659" operator="containsText" text="AB">
      <formula>NOT(ISERROR(SEARCH("AB",AQ17)))</formula>
    </cfRule>
    <cfRule type="containsText" dxfId="466" priority="1660" operator="containsText" text="Sick">
      <formula>NOT(ISERROR(SEARCH("Sick",AQ17)))</formula>
    </cfRule>
    <cfRule type="containsText" dxfId="465" priority="1661" operator="containsText" text="AL">
      <formula>NOT(ISERROR(SEARCH("AL",AQ17)))</formula>
    </cfRule>
    <cfRule type="containsText" dxfId="464" priority="1663" operator="containsText" text="OFF">
      <formula>NOT(ISERROR(SEARCH("OFF",AQ17)))</formula>
    </cfRule>
    <cfRule type="containsText" dxfId="463" priority="1662" operator="containsText" text="MC">
      <formula>NOT(ISERROR(SEARCH("MC",AQ17)))</formula>
    </cfRule>
  </conditionalFormatting>
  <conditionalFormatting sqref="AQ24:AR24">
    <cfRule type="containsText" dxfId="462" priority="130" operator="containsText" text="OFF">
      <formula>NOT(ISERROR(SEARCH("OFF",AQ24)))</formula>
    </cfRule>
    <cfRule type="containsText" dxfId="461" priority="124" operator="containsText" text="SUS">
      <formula>NOT(ISERROR(SEARCH("SUS",AQ24)))</formula>
    </cfRule>
    <cfRule type="containsText" dxfId="460" priority="125" operator="containsText" text="EL">
      <formula>NOT(ISERROR(SEARCH("EL",AQ24)))</formula>
    </cfRule>
    <cfRule type="containsText" dxfId="459" priority="126" operator="containsText" text="AB">
      <formula>NOT(ISERROR(SEARCH("AB",AQ24)))</formula>
    </cfRule>
    <cfRule type="containsText" dxfId="458" priority="127" operator="containsText" text="Sick">
      <formula>NOT(ISERROR(SEARCH("Sick",AQ24)))</formula>
    </cfRule>
    <cfRule type="containsText" dxfId="457" priority="128" operator="containsText" text="AL">
      <formula>NOT(ISERROR(SEARCH("AL",AQ24)))</formula>
    </cfRule>
    <cfRule type="containsText" dxfId="456" priority="129" operator="containsText" text="MC">
      <formula>NOT(ISERROR(SEARCH("MC",AQ24)))</formula>
    </cfRule>
    <cfRule type="containsText" dxfId="455" priority="123" operator="containsText" text="FL">
      <formula>NOT(ISERROR(SEARCH("FL",AQ24)))</formula>
    </cfRule>
    <cfRule type="containsText" dxfId="454" priority="121" operator="containsText" text="SP">
      <formula>NOT(ISERROR(SEARCH("SP",AQ24)))</formula>
    </cfRule>
    <cfRule type="containsText" dxfId="453" priority="122" operator="containsText" text="NL">
      <formula>NOT(ISERROR(SEARCH("NL",AQ24)))</formula>
    </cfRule>
  </conditionalFormatting>
  <conditionalFormatting sqref="AR7">
    <cfRule type="containsText" dxfId="452" priority="1782" operator="containsText" text="MC">
      <formula>NOT(ISERROR(SEARCH("MC",AR7)))</formula>
    </cfRule>
    <cfRule type="containsText" dxfId="451" priority="1776" operator="containsText" text="FL">
      <formula>NOT(ISERROR(SEARCH("FL",AR7)))</formula>
    </cfRule>
    <cfRule type="containsText" dxfId="450" priority="1774" operator="containsText" text="SP">
      <formula>NOT(ISERROR(SEARCH("SP",AR7)))</formula>
    </cfRule>
    <cfRule type="containsText" dxfId="449" priority="1775" operator="containsText" text="NL">
      <formula>NOT(ISERROR(SEARCH("NL",AR7)))</formula>
    </cfRule>
    <cfRule type="containsText" dxfId="448" priority="1777" operator="containsText" text="SUS">
      <formula>NOT(ISERROR(SEARCH("SUS",AR7)))</formula>
    </cfRule>
    <cfRule type="containsText" dxfId="447" priority="1778" operator="containsText" text="EL">
      <formula>NOT(ISERROR(SEARCH("EL",AR7)))</formula>
    </cfRule>
    <cfRule type="containsText" dxfId="446" priority="1779" operator="containsText" text="AB">
      <formula>NOT(ISERROR(SEARCH("AB",AR7)))</formula>
    </cfRule>
    <cfRule type="containsText" dxfId="445" priority="1780" operator="containsText" text="Sick">
      <formula>NOT(ISERROR(SEARCH("Sick",AR7)))</formula>
    </cfRule>
    <cfRule type="containsText" dxfId="444" priority="1781" operator="containsText" text="AL">
      <formula>NOT(ISERROR(SEARCH("AL",AR7)))</formula>
    </cfRule>
    <cfRule type="containsText" dxfId="443" priority="1783" operator="containsText" text="OFF">
      <formula>NOT(ISERROR(SEARCH("OFF",AR7)))</formula>
    </cfRule>
  </conditionalFormatting>
  <conditionalFormatting sqref="AR25">
    <cfRule type="containsText" dxfId="442" priority="1700" operator="containsText" text="Sick">
      <formula>NOT(ISERROR(SEARCH("Sick",AR25)))</formula>
    </cfRule>
    <cfRule type="containsText" dxfId="441" priority="1695" operator="containsText" text="NL">
      <formula>NOT(ISERROR(SEARCH("NL",AR25)))</formula>
    </cfRule>
    <cfRule type="containsText" dxfId="440" priority="1696" operator="containsText" text="FL">
      <formula>NOT(ISERROR(SEARCH("FL",AR25)))</formula>
    </cfRule>
    <cfRule type="containsText" dxfId="439" priority="1701" operator="containsText" text="AL">
      <formula>NOT(ISERROR(SEARCH("AL",AR25)))</formula>
    </cfRule>
    <cfRule type="containsText" dxfId="438" priority="1702" operator="containsText" text="MC">
      <formula>NOT(ISERROR(SEARCH("MC",AR25)))</formula>
    </cfRule>
    <cfRule type="containsText" dxfId="437" priority="1703" operator="containsText" text="OFF">
      <formula>NOT(ISERROR(SEARCH("OFF",AR25)))</formula>
    </cfRule>
    <cfRule type="containsText" dxfId="436" priority="1699" operator="containsText" text="AB">
      <formula>NOT(ISERROR(SEARCH("AB",AR25)))</formula>
    </cfRule>
    <cfRule type="containsText" dxfId="435" priority="1698" operator="containsText" text="EL">
      <formula>NOT(ISERROR(SEARCH("EL",AR25)))</formula>
    </cfRule>
    <cfRule type="containsText" dxfId="434" priority="1697" operator="containsText" text="SUS">
      <formula>NOT(ISERROR(SEARCH("SUS",AR25)))</formula>
    </cfRule>
    <cfRule type="containsText" dxfId="433" priority="1694" operator="containsText" text="SP">
      <formula>NOT(ISERROR(SEARCH("SP",AR25)))</formula>
    </cfRule>
  </conditionalFormatting>
  <conditionalFormatting sqref="AS4:AT4">
    <cfRule type="dataBar" priority="14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S28:AT30">
    <cfRule type="containsText" dxfId="432" priority="1598" operator="containsText" text="EL">
      <formula>NOT(ISERROR(SEARCH("EL",AS28)))</formula>
    </cfRule>
    <cfRule type="containsText" dxfId="431" priority="1599" operator="containsText" text="AB">
      <formula>NOT(ISERROR(SEARCH("AB",AS28)))</formula>
    </cfRule>
    <cfRule type="containsText" dxfId="430" priority="1600" operator="containsText" text="Sick">
      <formula>NOT(ISERROR(SEARCH("Sick",AS28)))</formula>
    </cfRule>
    <cfRule type="containsText" dxfId="429" priority="1601" operator="containsText" text="AL">
      <formula>NOT(ISERROR(SEARCH("AL",AS28)))</formula>
    </cfRule>
    <cfRule type="containsText" dxfId="428" priority="1602" operator="containsText" text="MC">
      <formula>NOT(ISERROR(SEARCH("MC",AS28)))</formula>
    </cfRule>
    <cfRule type="containsText" dxfId="427" priority="1603" operator="containsText" text="OFF">
      <formula>NOT(ISERROR(SEARCH("OFF",AS28)))</formula>
    </cfRule>
    <cfRule type="containsText" dxfId="426" priority="1597" operator="containsText" text="SUS">
      <formula>NOT(ISERROR(SEARCH("SUS",AS28)))</formula>
    </cfRule>
    <cfRule type="containsText" dxfId="425" priority="1596" operator="containsText" text="FL">
      <formula>NOT(ISERROR(SEARCH("FL",AS28)))</formula>
    </cfRule>
    <cfRule type="containsText" dxfId="424" priority="1595" operator="containsText" text="NL">
      <formula>NOT(ISERROR(SEARCH("NL",AS28)))</formula>
    </cfRule>
    <cfRule type="containsText" dxfId="423" priority="1594" operator="containsText" text="SP">
      <formula>NOT(ISERROR(SEARCH("SP",AS28)))</formula>
    </cfRule>
  </conditionalFormatting>
  <conditionalFormatting sqref="AS18:AY18">
    <cfRule type="containsText" dxfId="422" priority="478" operator="containsText" text="AL">
      <formula>NOT(ISERROR(SEARCH("AL",AS18)))</formula>
    </cfRule>
    <cfRule type="containsText" dxfId="421" priority="477" operator="containsText" text="Sick">
      <formula>NOT(ISERROR(SEARCH("Sick",AS18)))</formula>
    </cfRule>
    <cfRule type="containsText" dxfId="420" priority="476" operator="containsText" text="AB">
      <formula>NOT(ISERROR(SEARCH("AB",AS18)))</formula>
    </cfRule>
    <cfRule type="containsText" dxfId="419" priority="474" operator="containsText" text="SUS">
      <formula>NOT(ISERROR(SEARCH("SUS",AS18)))</formula>
    </cfRule>
    <cfRule type="containsText" dxfId="418" priority="472" operator="containsText" text="NL">
      <formula>NOT(ISERROR(SEARCH("NL",AS18)))</formula>
    </cfRule>
    <cfRule type="containsText" dxfId="417" priority="471" operator="containsText" text="SP">
      <formula>NOT(ISERROR(SEARCH("SP",AS18)))</formula>
    </cfRule>
    <cfRule type="containsText" dxfId="416" priority="475" operator="containsText" text="EL">
      <formula>NOT(ISERROR(SEARCH("EL",AS18)))</formula>
    </cfRule>
    <cfRule type="containsText" dxfId="415" priority="480" operator="containsText" text="OFF">
      <formula>NOT(ISERROR(SEARCH("OFF",AS18)))</formula>
    </cfRule>
    <cfRule type="containsText" dxfId="414" priority="473" operator="containsText" text="FL">
      <formula>NOT(ISERROR(SEARCH("FL",AS18)))</formula>
    </cfRule>
    <cfRule type="containsText" dxfId="413" priority="479" operator="containsText" text="MC">
      <formula>NOT(ISERROR(SEARCH("MC",AS18)))</formula>
    </cfRule>
  </conditionalFormatting>
  <conditionalFormatting sqref="AT7">
    <cfRule type="containsText" dxfId="412" priority="1764" operator="containsText" text="SP">
      <formula>NOT(ISERROR(SEARCH("SP",AT7)))</formula>
    </cfRule>
    <cfRule type="containsText" dxfId="411" priority="1765" operator="containsText" text="NL">
      <formula>NOT(ISERROR(SEARCH("NL",AT7)))</formula>
    </cfRule>
    <cfRule type="containsText" dxfId="410" priority="1766" operator="containsText" text="FL">
      <formula>NOT(ISERROR(SEARCH("FL",AT7)))</formula>
    </cfRule>
    <cfRule type="containsText" dxfId="409" priority="1767" operator="containsText" text="SUS">
      <formula>NOT(ISERROR(SEARCH("SUS",AT7)))</formula>
    </cfRule>
    <cfRule type="containsText" dxfId="408" priority="1768" operator="containsText" text="EL">
      <formula>NOT(ISERROR(SEARCH("EL",AT7)))</formula>
    </cfRule>
    <cfRule type="containsText" dxfId="407" priority="1769" operator="containsText" text="AB">
      <formula>NOT(ISERROR(SEARCH("AB",AT7)))</formula>
    </cfRule>
    <cfRule type="containsText" dxfId="406" priority="1770" operator="containsText" text="Sick">
      <formula>NOT(ISERROR(SEARCH("Sick",AT7)))</formula>
    </cfRule>
    <cfRule type="containsText" dxfId="405" priority="1771" operator="containsText" text="AL">
      <formula>NOT(ISERROR(SEARCH("AL",AT7)))</formula>
    </cfRule>
    <cfRule type="containsText" dxfId="404" priority="1772" operator="containsText" text="MC">
      <formula>NOT(ISERROR(SEARCH("MC",AT7)))</formula>
    </cfRule>
    <cfRule type="containsText" dxfId="403" priority="1773" operator="containsText" text="OFF">
      <formula>NOT(ISERROR(SEARCH("OFF",AT7)))</formula>
    </cfRule>
  </conditionalFormatting>
  <conditionalFormatting sqref="AT17">
    <cfRule type="containsText" dxfId="402" priority="1759" operator="containsText" text="AB">
      <formula>NOT(ISERROR(SEARCH("AB",AT17)))</formula>
    </cfRule>
    <cfRule type="containsText" dxfId="401" priority="1760" operator="containsText" text="Sick">
      <formula>NOT(ISERROR(SEARCH("Sick",AT17)))</formula>
    </cfRule>
    <cfRule type="containsText" dxfId="400" priority="1761" operator="containsText" text="AL">
      <formula>NOT(ISERROR(SEARCH("AL",AT17)))</formula>
    </cfRule>
    <cfRule type="containsText" dxfId="399" priority="1762" operator="containsText" text="MC">
      <formula>NOT(ISERROR(SEARCH("MC",AT17)))</formula>
    </cfRule>
    <cfRule type="containsText" dxfId="398" priority="1763" operator="containsText" text="OFF">
      <formula>NOT(ISERROR(SEARCH("OFF",AT17)))</formula>
    </cfRule>
    <cfRule type="containsText" dxfId="397" priority="1758" operator="containsText" text="EL">
      <formula>NOT(ISERROR(SEARCH("EL",AT17)))</formula>
    </cfRule>
    <cfRule type="containsText" dxfId="396" priority="1754" operator="containsText" text="SP">
      <formula>NOT(ISERROR(SEARCH("SP",AT17)))</formula>
    </cfRule>
    <cfRule type="containsText" dxfId="395" priority="1755" operator="containsText" text="NL">
      <formula>NOT(ISERROR(SEARCH("NL",AT17)))</formula>
    </cfRule>
    <cfRule type="containsText" dxfId="394" priority="1756" operator="containsText" text="FL">
      <formula>NOT(ISERROR(SEARCH("FL",AT17)))</formula>
    </cfRule>
    <cfRule type="containsText" dxfId="393" priority="1757" operator="containsText" text="SUS">
      <formula>NOT(ISERROR(SEARCH("SUS",AT17)))</formula>
    </cfRule>
  </conditionalFormatting>
  <conditionalFormatting sqref="AT19">
    <cfRule type="containsText" dxfId="392" priority="1745" operator="containsText" text="NL">
      <formula>NOT(ISERROR(SEARCH("NL",AT19)))</formula>
    </cfRule>
    <cfRule type="containsText" dxfId="391" priority="1746" operator="containsText" text="FL">
      <formula>NOT(ISERROR(SEARCH("FL",AT19)))</formula>
    </cfRule>
    <cfRule type="containsText" dxfId="390" priority="1747" operator="containsText" text="SUS">
      <formula>NOT(ISERROR(SEARCH("SUS",AT19)))</formula>
    </cfRule>
    <cfRule type="containsText" dxfId="389" priority="1748" operator="containsText" text="EL">
      <formula>NOT(ISERROR(SEARCH("EL",AT19)))</formula>
    </cfRule>
    <cfRule type="containsText" dxfId="388" priority="1749" operator="containsText" text="AB">
      <formula>NOT(ISERROR(SEARCH("AB",AT19)))</formula>
    </cfRule>
    <cfRule type="containsText" dxfId="387" priority="1750" operator="containsText" text="Sick">
      <formula>NOT(ISERROR(SEARCH("Sick",AT19)))</formula>
    </cfRule>
    <cfRule type="containsText" dxfId="386" priority="1751" operator="containsText" text="AL">
      <formula>NOT(ISERROR(SEARCH("AL",AT19)))</formula>
    </cfRule>
    <cfRule type="containsText" dxfId="385" priority="1752" operator="containsText" text="MC">
      <formula>NOT(ISERROR(SEARCH("MC",AT19)))</formula>
    </cfRule>
    <cfRule type="containsText" dxfId="384" priority="1753" operator="containsText" text="OFF">
      <formula>NOT(ISERROR(SEARCH("OFF",AT19)))</formula>
    </cfRule>
    <cfRule type="containsText" dxfId="383" priority="1744" operator="containsText" text="SP">
      <formula>NOT(ISERROR(SEARCH("SP",AT19)))</formula>
    </cfRule>
  </conditionalFormatting>
  <conditionalFormatting sqref="AT22">
    <cfRule type="containsText" dxfId="382" priority="1490" operator="containsText" text="Sick">
      <formula>NOT(ISERROR(SEARCH("Sick",AT22)))</formula>
    </cfRule>
    <cfRule type="containsText" dxfId="381" priority="1489" operator="containsText" text="AB">
      <formula>NOT(ISERROR(SEARCH("AB",AT22)))</formula>
    </cfRule>
    <cfRule type="containsText" dxfId="380" priority="1488" operator="containsText" text="EL">
      <formula>NOT(ISERROR(SEARCH("EL",AT22)))</formula>
    </cfRule>
    <cfRule type="containsText" dxfId="379" priority="1487" operator="containsText" text="SUS">
      <formula>NOT(ISERROR(SEARCH("SUS",AT22)))</formula>
    </cfRule>
    <cfRule type="containsText" dxfId="378" priority="1486" operator="containsText" text="FL">
      <formula>NOT(ISERROR(SEARCH("FL",AT22)))</formula>
    </cfRule>
    <cfRule type="containsText" dxfId="377" priority="1493" operator="containsText" text="OFF">
      <formula>NOT(ISERROR(SEARCH("OFF",AT22)))</formula>
    </cfRule>
    <cfRule type="containsText" dxfId="376" priority="1484" operator="containsText" text="SP">
      <formula>NOT(ISERROR(SEARCH("SP",AT22)))</formula>
    </cfRule>
    <cfRule type="containsText" dxfId="375" priority="1492" operator="containsText" text="MC">
      <formula>NOT(ISERROR(SEARCH("MC",AT22)))</formula>
    </cfRule>
    <cfRule type="containsText" dxfId="374" priority="1491" operator="containsText" text="AL">
      <formula>NOT(ISERROR(SEARCH("AL",AT22)))</formula>
    </cfRule>
    <cfRule type="containsText" dxfId="373" priority="1485" operator="containsText" text="NL">
      <formula>NOT(ISERROR(SEARCH("NL",AT22)))</formula>
    </cfRule>
  </conditionalFormatting>
  <conditionalFormatting sqref="AU4:AV4">
    <cfRule type="dataBar" priority="14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V22">
    <cfRule type="containsText" dxfId="372" priority="1431" operator="containsText" text="AL">
      <formula>NOT(ISERROR(SEARCH("AL",AV22)))</formula>
    </cfRule>
    <cfRule type="containsText" dxfId="371" priority="1424" operator="containsText" text="SP">
      <formula>NOT(ISERROR(SEARCH("SP",AV22)))</formula>
    </cfRule>
    <cfRule type="containsText" dxfId="370" priority="1425" operator="containsText" text="NL">
      <formula>NOT(ISERROR(SEARCH("NL",AV22)))</formula>
    </cfRule>
    <cfRule type="containsText" dxfId="369" priority="1426" operator="containsText" text="FL">
      <formula>NOT(ISERROR(SEARCH("FL",AV22)))</formula>
    </cfRule>
    <cfRule type="containsText" dxfId="368" priority="1427" operator="containsText" text="SUS">
      <formula>NOT(ISERROR(SEARCH("SUS",AV22)))</formula>
    </cfRule>
    <cfRule type="containsText" dxfId="367" priority="1428" operator="containsText" text="EL">
      <formula>NOT(ISERROR(SEARCH("EL",AV22)))</formula>
    </cfRule>
    <cfRule type="containsText" dxfId="366" priority="1429" operator="containsText" text="AB">
      <formula>NOT(ISERROR(SEARCH("AB",AV22)))</formula>
    </cfRule>
    <cfRule type="containsText" dxfId="365" priority="1430" operator="containsText" text="Sick">
      <formula>NOT(ISERROR(SEARCH("Sick",AV22)))</formula>
    </cfRule>
    <cfRule type="containsText" dxfId="364" priority="1432" operator="containsText" text="MC">
      <formula>NOT(ISERROR(SEARCH("MC",AV22)))</formula>
    </cfRule>
    <cfRule type="containsText" dxfId="363" priority="1433" operator="containsText" text="OFF">
      <formula>NOT(ISERROR(SEARCH("OFF",AV22)))</formula>
    </cfRule>
  </conditionalFormatting>
  <conditionalFormatting sqref="AW4:AX4">
    <cfRule type="dataBar" priority="14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X19">
    <cfRule type="containsText" dxfId="362" priority="1540" operator="containsText" text="Sick">
      <formula>NOT(ISERROR(SEARCH("Sick",AX19)))</formula>
    </cfRule>
    <cfRule type="containsText" dxfId="361" priority="1539" operator="containsText" text="AB">
      <formula>NOT(ISERROR(SEARCH("AB",AX19)))</formula>
    </cfRule>
    <cfRule type="containsText" dxfId="360" priority="1538" operator="containsText" text="EL">
      <formula>NOT(ISERROR(SEARCH("EL",AX19)))</formula>
    </cfRule>
    <cfRule type="containsText" dxfId="359" priority="1537" operator="containsText" text="SUS">
      <formula>NOT(ISERROR(SEARCH("SUS",AX19)))</formula>
    </cfRule>
    <cfRule type="containsText" dxfId="358" priority="1536" operator="containsText" text="FL">
      <formula>NOT(ISERROR(SEARCH("FL",AX19)))</formula>
    </cfRule>
    <cfRule type="containsText" dxfId="357" priority="1535" operator="containsText" text="NL">
      <formula>NOT(ISERROR(SEARCH("NL",AX19)))</formula>
    </cfRule>
    <cfRule type="containsText" dxfId="356" priority="1534" operator="containsText" text="SP">
      <formula>NOT(ISERROR(SEARCH("SP",AX19)))</formula>
    </cfRule>
    <cfRule type="containsText" dxfId="355" priority="1543" operator="containsText" text="OFF">
      <formula>NOT(ISERROR(SEARCH("OFF",AX19)))</formula>
    </cfRule>
    <cfRule type="containsText" dxfId="354" priority="1542" operator="containsText" text="MC">
      <formula>NOT(ISERROR(SEARCH("MC",AX19)))</formula>
    </cfRule>
    <cfRule type="containsText" dxfId="353" priority="1541" operator="containsText" text="AL">
      <formula>NOT(ISERROR(SEARCH("AL",AX19)))</formula>
    </cfRule>
  </conditionalFormatting>
  <conditionalFormatting sqref="AX22">
    <cfRule type="containsText" dxfId="352" priority="1482" operator="containsText" text="MC">
      <formula>NOT(ISERROR(SEARCH("MC",AX22)))</formula>
    </cfRule>
    <cfRule type="containsText" dxfId="351" priority="1478" operator="containsText" text="EL">
      <formula>NOT(ISERROR(SEARCH("EL",AX22)))</formula>
    </cfRule>
    <cfRule type="containsText" dxfId="350" priority="1475" operator="containsText" text="NL">
      <formula>NOT(ISERROR(SEARCH("NL",AX22)))</formula>
    </cfRule>
    <cfRule type="containsText" dxfId="349" priority="1476" operator="containsText" text="FL">
      <formula>NOT(ISERROR(SEARCH("FL",AX22)))</formula>
    </cfRule>
    <cfRule type="containsText" dxfId="348" priority="1477" operator="containsText" text="SUS">
      <formula>NOT(ISERROR(SEARCH("SUS",AX22)))</formula>
    </cfRule>
    <cfRule type="containsText" dxfId="347" priority="1483" operator="containsText" text="OFF">
      <formula>NOT(ISERROR(SEARCH("OFF",AX22)))</formula>
    </cfRule>
    <cfRule type="containsText" dxfId="346" priority="1479" operator="containsText" text="AB">
      <formula>NOT(ISERROR(SEARCH("AB",AX22)))</formula>
    </cfRule>
    <cfRule type="containsText" dxfId="345" priority="1474" operator="containsText" text="SP">
      <formula>NOT(ISERROR(SEARCH("SP",AX22)))</formula>
    </cfRule>
    <cfRule type="containsText" dxfId="344" priority="1481" operator="containsText" text="AL">
      <formula>NOT(ISERROR(SEARCH("AL",AX22)))</formula>
    </cfRule>
    <cfRule type="containsText" dxfId="343" priority="1480" operator="containsText" text="Sick">
      <formula>NOT(ISERROR(SEARCH("Sick",AX22)))</formula>
    </cfRule>
  </conditionalFormatting>
  <conditionalFormatting sqref="AY4:AZ4">
    <cfRule type="dataBar" priority="14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AZ18:AZ19">
    <cfRule type="containsText" dxfId="342" priority="485" operator="containsText" text="EL">
      <formula>NOT(ISERROR(SEARCH("EL",AZ18)))</formula>
    </cfRule>
    <cfRule type="containsText" dxfId="341" priority="490" operator="containsText" text="OFF">
      <formula>NOT(ISERROR(SEARCH("OFF",AZ18)))</formula>
    </cfRule>
    <cfRule type="containsText" dxfId="340" priority="489" operator="containsText" text="MC">
      <formula>NOT(ISERROR(SEARCH("MC",AZ18)))</formula>
    </cfRule>
    <cfRule type="containsText" dxfId="339" priority="488" operator="containsText" text="AL">
      <formula>NOT(ISERROR(SEARCH("AL",AZ18)))</formula>
    </cfRule>
    <cfRule type="containsText" dxfId="338" priority="487" operator="containsText" text="Sick">
      <formula>NOT(ISERROR(SEARCH("Sick",AZ18)))</formula>
    </cfRule>
    <cfRule type="containsText" dxfId="337" priority="486" operator="containsText" text="AB">
      <formula>NOT(ISERROR(SEARCH("AB",AZ18)))</formula>
    </cfRule>
    <cfRule type="containsText" dxfId="336" priority="484" operator="containsText" text="SUS">
      <formula>NOT(ISERROR(SEARCH("SUS",AZ18)))</formula>
    </cfRule>
    <cfRule type="containsText" dxfId="335" priority="483" operator="containsText" text="FL">
      <formula>NOT(ISERROR(SEARCH("FL",AZ18)))</formula>
    </cfRule>
    <cfRule type="containsText" dxfId="334" priority="482" operator="containsText" text="NL">
      <formula>NOT(ISERROR(SEARCH("NL",AZ18)))</formula>
    </cfRule>
    <cfRule type="containsText" dxfId="333" priority="481" operator="containsText" text="SP">
      <formula>NOT(ISERROR(SEARCH("SP",AZ18)))</formula>
    </cfRule>
  </conditionalFormatting>
  <conditionalFormatting sqref="AZ22:BB22">
    <cfRule type="containsText" dxfId="332" priority="22" operator="containsText" text="NL">
      <formula>NOT(ISERROR(SEARCH("NL",AZ22)))</formula>
    </cfRule>
    <cfRule type="containsText" dxfId="331" priority="30" operator="containsText" text="OFF">
      <formula>NOT(ISERROR(SEARCH("OFF",AZ22)))</formula>
    </cfRule>
    <cfRule type="containsText" dxfId="330" priority="29" operator="containsText" text="MC">
      <formula>NOT(ISERROR(SEARCH("MC",AZ22)))</formula>
    </cfRule>
    <cfRule type="containsText" dxfId="329" priority="28" operator="containsText" text="AL">
      <formula>NOT(ISERROR(SEARCH("AL",AZ22)))</formula>
    </cfRule>
    <cfRule type="containsText" dxfId="328" priority="27" operator="containsText" text="Sick">
      <formula>NOT(ISERROR(SEARCH("Sick",AZ22)))</formula>
    </cfRule>
    <cfRule type="containsText" dxfId="327" priority="26" operator="containsText" text="AB">
      <formula>NOT(ISERROR(SEARCH("AB",AZ22)))</formula>
    </cfRule>
    <cfRule type="containsText" dxfId="326" priority="25" operator="containsText" text="EL">
      <formula>NOT(ISERROR(SEARCH("EL",AZ22)))</formula>
    </cfRule>
    <cfRule type="containsText" dxfId="325" priority="24" operator="containsText" text="SUS">
      <formula>NOT(ISERROR(SEARCH("SUS",AZ22)))</formula>
    </cfRule>
    <cfRule type="containsText" dxfId="324" priority="21" operator="containsText" text="SP">
      <formula>NOT(ISERROR(SEARCH("SP",AZ22)))</formula>
    </cfRule>
    <cfRule type="containsText" dxfId="323" priority="23" operator="containsText" text="FL">
      <formula>NOT(ISERROR(SEARCH("FL",AZ22)))</formula>
    </cfRule>
  </conditionalFormatting>
  <conditionalFormatting sqref="BA18">
    <cfRule type="containsText" dxfId="322" priority="401" operator="containsText" text="SP">
      <formula>NOT(ISERROR(SEARCH("SP",BA18)))</formula>
    </cfRule>
    <cfRule type="containsText" dxfId="321" priority="410" operator="containsText" text="OFF">
      <formula>NOT(ISERROR(SEARCH("OFF",BA18)))</formula>
    </cfRule>
    <cfRule type="containsText" dxfId="320" priority="406" operator="containsText" text="AB">
      <formula>NOT(ISERROR(SEARCH("AB",BA18)))</formula>
    </cfRule>
    <cfRule type="containsText" dxfId="319" priority="405" operator="containsText" text="EL">
      <formula>NOT(ISERROR(SEARCH("EL",BA18)))</formula>
    </cfRule>
    <cfRule type="containsText" dxfId="318" priority="407" operator="containsText" text="Sick">
      <formula>NOT(ISERROR(SEARCH("Sick",BA18)))</formula>
    </cfRule>
    <cfRule type="containsText" dxfId="317" priority="404" operator="containsText" text="SUS">
      <formula>NOT(ISERROR(SEARCH("SUS",BA18)))</formula>
    </cfRule>
    <cfRule type="containsText" dxfId="316" priority="408" operator="containsText" text="AL">
      <formula>NOT(ISERROR(SEARCH("AL",BA18)))</formula>
    </cfRule>
    <cfRule type="containsText" dxfId="315" priority="409" operator="containsText" text="MC">
      <formula>NOT(ISERROR(SEARCH("MC",BA18)))</formula>
    </cfRule>
    <cfRule type="containsText" dxfId="314" priority="403" operator="containsText" text="FL">
      <formula>NOT(ISERROR(SEARCH("FL",BA18)))</formula>
    </cfRule>
    <cfRule type="containsText" dxfId="313" priority="402" operator="containsText" text="NL">
      <formula>NOT(ISERROR(SEARCH("NL",BA18)))</formula>
    </cfRule>
  </conditionalFormatting>
  <conditionalFormatting sqref="BA4:BB4">
    <cfRule type="dataBar" priority="14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15:BB15">
    <cfRule type="containsText" dxfId="312" priority="668" operator="containsText" text="AL">
      <formula>NOT(ISERROR(SEARCH("AL",BA15)))</formula>
    </cfRule>
    <cfRule type="containsText" dxfId="311" priority="669" operator="containsText" text="MC">
      <formula>NOT(ISERROR(SEARCH("MC",BA15)))</formula>
    </cfRule>
    <cfRule type="containsText" dxfId="310" priority="670" operator="containsText" text="OFF">
      <formula>NOT(ISERROR(SEARCH("OFF",BA15)))</formula>
    </cfRule>
    <cfRule type="containsText" dxfId="309" priority="666" operator="containsText" text="AB">
      <formula>NOT(ISERROR(SEARCH("AB",BA15)))</formula>
    </cfRule>
    <cfRule type="containsText" dxfId="308" priority="661" operator="containsText" text="SP">
      <formula>NOT(ISERROR(SEARCH("SP",BA15)))</formula>
    </cfRule>
    <cfRule type="containsText" dxfId="307" priority="662" operator="containsText" text="NL">
      <formula>NOT(ISERROR(SEARCH("NL",BA15)))</formula>
    </cfRule>
    <cfRule type="containsText" dxfId="306" priority="663" operator="containsText" text="FL">
      <formula>NOT(ISERROR(SEARCH("FL",BA15)))</formula>
    </cfRule>
    <cfRule type="containsText" dxfId="305" priority="664" operator="containsText" text="SUS">
      <formula>NOT(ISERROR(SEARCH("SUS",BA15)))</formula>
    </cfRule>
    <cfRule type="containsText" dxfId="304" priority="665" operator="containsText" text="EL">
      <formula>NOT(ISERROR(SEARCH("EL",BA15)))</formula>
    </cfRule>
    <cfRule type="containsText" dxfId="303" priority="667" operator="containsText" text="Sick">
      <formula>NOT(ISERROR(SEARCH("Sick",BA15)))</formula>
    </cfRule>
  </conditionalFormatting>
  <conditionalFormatting sqref="BA24:BB25">
    <cfRule type="containsText" dxfId="302" priority="102" operator="containsText" text="NL">
      <formula>NOT(ISERROR(SEARCH("NL",BA24)))</formula>
    </cfRule>
    <cfRule type="containsText" dxfId="301" priority="103" operator="containsText" text="FL">
      <formula>NOT(ISERROR(SEARCH("FL",BA24)))</formula>
    </cfRule>
    <cfRule type="containsText" dxfId="300" priority="104" operator="containsText" text="SUS">
      <formula>NOT(ISERROR(SEARCH("SUS",BA24)))</formula>
    </cfRule>
    <cfRule type="containsText" dxfId="299" priority="105" operator="containsText" text="EL">
      <formula>NOT(ISERROR(SEARCH("EL",BA24)))</formula>
    </cfRule>
    <cfRule type="containsText" dxfId="298" priority="106" operator="containsText" text="AB">
      <formula>NOT(ISERROR(SEARCH("AB",BA24)))</formula>
    </cfRule>
    <cfRule type="containsText" dxfId="297" priority="107" operator="containsText" text="Sick">
      <formula>NOT(ISERROR(SEARCH("Sick",BA24)))</formula>
    </cfRule>
    <cfRule type="containsText" dxfId="296" priority="108" operator="containsText" text="AL">
      <formula>NOT(ISERROR(SEARCH("AL",BA24)))</formula>
    </cfRule>
    <cfRule type="containsText" dxfId="295" priority="109" operator="containsText" text="MC">
      <formula>NOT(ISERROR(SEARCH("MC",BA24)))</formula>
    </cfRule>
    <cfRule type="containsText" dxfId="294" priority="110" operator="containsText" text="OFF">
      <formula>NOT(ISERROR(SEARCH("OFF",BA24)))</formula>
    </cfRule>
    <cfRule type="containsText" dxfId="293" priority="101" operator="containsText" text="SP">
      <formula>NOT(ISERROR(SEARCH("SP",BA24)))</formula>
    </cfRule>
  </conditionalFormatting>
  <conditionalFormatting sqref="BA27:BB27">
    <cfRule type="containsText" dxfId="292" priority="89" operator="containsText" text="MC">
      <formula>NOT(ISERROR(SEARCH("MC",BA27)))</formula>
    </cfRule>
    <cfRule type="containsText" dxfId="291" priority="88" operator="containsText" text="AL">
      <formula>NOT(ISERROR(SEARCH("AL",BA27)))</formula>
    </cfRule>
    <cfRule type="containsText" dxfId="290" priority="87" operator="containsText" text="Sick">
      <formula>NOT(ISERROR(SEARCH("Sick",BA27)))</formula>
    </cfRule>
    <cfRule type="containsText" dxfId="289" priority="86" operator="containsText" text="AB">
      <formula>NOT(ISERROR(SEARCH("AB",BA27)))</formula>
    </cfRule>
    <cfRule type="containsText" dxfId="288" priority="85" operator="containsText" text="EL">
      <formula>NOT(ISERROR(SEARCH("EL",BA27)))</formula>
    </cfRule>
    <cfRule type="containsText" dxfId="287" priority="90" operator="containsText" text="OFF">
      <formula>NOT(ISERROR(SEARCH("OFF",BA27)))</formula>
    </cfRule>
    <cfRule type="containsText" dxfId="286" priority="84" operator="containsText" text="SUS">
      <formula>NOT(ISERROR(SEARCH("SUS",BA27)))</formula>
    </cfRule>
    <cfRule type="containsText" dxfId="285" priority="83" operator="containsText" text="FL">
      <formula>NOT(ISERROR(SEARCH("FL",BA27)))</formula>
    </cfRule>
    <cfRule type="containsText" dxfId="284" priority="82" operator="containsText" text="NL">
      <formula>NOT(ISERROR(SEARCH("NL",BA27)))</formula>
    </cfRule>
    <cfRule type="containsText" dxfId="283" priority="81" operator="containsText" text="SP">
      <formula>NOT(ISERROR(SEARCH("SP",BA27)))</formula>
    </cfRule>
  </conditionalFormatting>
  <conditionalFormatting sqref="BA29:BB30">
    <cfRule type="containsText" dxfId="282" priority="44" operator="containsText" text="SUS">
      <formula>NOT(ISERROR(SEARCH("SUS",BA29)))</formula>
    </cfRule>
    <cfRule type="containsText" dxfId="281" priority="43" operator="containsText" text="FL">
      <formula>NOT(ISERROR(SEARCH("FL",BA29)))</formula>
    </cfRule>
    <cfRule type="containsText" dxfId="280" priority="42" operator="containsText" text="NL">
      <formula>NOT(ISERROR(SEARCH("NL",BA29)))</formula>
    </cfRule>
    <cfRule type="containsText" dxfId="279" priority="41" operator="containsText" text="SP">
      <formula>NOT(ISERROR(SEARCH("SP",BA29)))</formula>
    </cfRule>
    <cfRule type="containsText" dxfId="278" priority="50" operator="containsText" text="OFF">
      <formula>NOT(ISERROR(SEARCH("OFF",BA29)))</formula>
    </cfRule>
    <cfRule type="containsText" dxfId="277" priority="49" operator="containsText" text="MC">
      <formula>NOT(ISERROR(SEARCH("MC",BA29)))</formula>
    </cfRule>
    <cfRule type="containsText" dxfId="276" priority="48" operator="containsText" text="AL">
      <formula>NOT(ISERROR(SEARCH("AL",BA29)))</formula>
    </cfRule>
    <cfRule type="containsText" dxfId="275" priority="47" operator="containsText" text="Sick">
      <formula>NOT(ISERROR(SEARCH("Sick",BA29)))</formula>
    </cfRule>
    <cfRule type="containsText" dxfId="274" priority="46" operator="containsText" text="AB">
      <formula>NOT(ISERROR(SEARCH("AB",BA29)))</formula>
    </cfRule>
    <cfRule type="containsText" dxfId="273" priority="45" operator="containsText" text="EL">
      <formula>NOT(ISERROR(SEARCH("EL",BA29)))</formula>
    </cfRule>
  </conditionalFormatting>
  <conditionalFormatting sqref="BA17:BC17">
    <cfRule type="containsText" dxfId="272" priority="620" operator="containsText" text="OFF">
      <formula>NOT(ISERROR(SEARCH("OFF",BA17)))</formula>
    </cfRule>
    <cfRule type="containsText" dxfId="271" priority="619" operator="containsText" text="MC">
      <formula>NOT(ISERROR(SEARCH("MC",BA17)))</formula>
    </cfRule>
    <cfRule type="containsText" dxfId="270" priority="618" operator="containsText" text="AL">
      <formula>NOT(ISERROR(SEARCH("AL",BA17)))</formula>
    </cfRule>
    <cfRule type="containsText" dxfId="269" priority="617" operator="containsText" text="Sick">
      <formula>NOT(ISERROR(SEARCH("Sick",BA17)))</formula>
    </cfRule>
    <cfRule type="containsText" dxfId="268" priority="616" operator="containsText" text="AB">
      <formula>NOT(ISERROR(SEARCH("AB",BA17)))</formula>
    </cfRule>
    <cfRule type="containsText" dxfId="267" priority="615" operator="containsText" text="EL">
      <formula>NOT(ISERROR(SEARCH("EL",BA17)))</formula>
    </cfRule>
    <cfRule type="containsText" dxfId="266" priority="614" operator="containsText" text="SUS">
      <formula>NOT(ISERROR(SEARCH("SUS",BA17)))</formula>
    </cfRule>
    <cfRule type="containsText" dxfId="265" priority="613" operator="containsText" text="FL">
      <formula>NOT(ISERROR(SEARCH("FL",BA17)))</formula>
    </cfRule>
    <cfRule type="containsText" dxfId="264" priority="612" operator="containsText" text="NL">
      <formula>NOT(ISERROR(SEARCH("NL",BA17)))</formula>
    </cfRule>
    <cfRule type="containsText" dxfId="263" priority="611" operator="containsText" text="SP">
      <formula>NOT(ISERROR(SEARCH("SP",BA17)))</formula>
    </cfRule>
  </conditionalFormatting>
  <conditionalFormatting sqref="BA16:BD16">
    <cfRule type="containsText" dxfId="262" priority="649" operator="containsText" text="MC">
      <formula>NOT(ISERROR(SEARCH("MC",BA16)))</formula>
    </cfRule>
    <cfRule type="containsText" dxfId="261" priority="650" operator="containsText" text="OFF">
      <formula>NOT(ISERROR(SEARCH("OFF",BA16)))</formula>
    </cfRule>
    <cfRule type="containsText" dxfId="260" priority="648" operator="containsText" text="AL">
      <formula>NOT(ISERROR(SEARCH("AL",BA16)))</formula>
    </cfRule>
    <cfRule type="containsText" dxfId="259" priority="642" operator="containsText" text="NL">
      <formula>NOT(ISERROR(SEARCH("NL",BA16)))</formula>
    </cfRule>
    <cfRule type="containsText" dxfId="258" priority="643" operator="containsText" text="FL">
      <formula>NOT(ISERROR(SEARCH("FL",BA16)))</formula>
    </cfRule>
    <cfRule type="containsText" dxfId="257" priority="641" operator="containsText" text="SP">
      <formula>NOT(ISERROR(SEARCH("SP",BA16)))</formula>
    </cfRule>
    <cfRule type="containsText" dxfId="256" priority="644" operator="containsText" text="SUS">
      <formula>NOT(ISERROR(SEARCH("SUS",BA16)))</formula>
    </cfRule>
    <cfRule type="containsText" dxfId="255" priority="647" operator="containsText" text="Sick">
      <formula>NOT(ISERROR(SEARCH("Sick",BA16)))</formula>
    </cfRule>
    <cfRule type="containsText" dxfId="254" priority="646" operator="containsText" text="AB">
      <formula>NOT(ISERROR(SEARCH("AB",BA16)))</formula>
    </cfRule>
    <cfRule type="containsText" dxfId="253" priority="645" operator="containsText" text="EL">
      <formula>NOT(ISERROR(SEARCH("EL",BA16)))</formula>
    </cfRule>
  </conditionalFormatting>
  <conditionalFormatting sqref="BA8:BP10">
    <cfRule type="containsText" dxfId="252" priority="515" operator="containsText" text="EL">
      <formula>NOT(ISERROR(SEARCH("EL",BA8)))</formula>
    </cfRule>
    <cfRule type="containsText" dxfId="251" priority="512" operator="containsText" text="NL">
      <formula>NOT(ISERROR(SEARCH("NL",BA8)))</formula>
    </cfRule>
    <cfRule type="containsText" dxfId="250" priority="513" operator="containsText" text="FL">
      <formula>NOT(ISERROR(SEARCH("FL",BA8)))</formula>
    </cfRule>
    <cfRule type="containsText" dxfId="249" priority="514" operator="containsText" text="SUS">
      <formula>NOT(ISERROR(SEARCH("SUS",BA8)))</formula>
    </cfRule>
    <cfRule type="containsText" dxfId="248" priority="511" operator="containsText" text="SP">
      <formula>NOT(ISERROR(SEARCH("SP",BA8)))</formula>
    </cfRule>
    <cfRule type="containsText" dxfId="247" priority="520" operator="containsText" text="OFF">
      <formula>NOT(ISERROR(SEARCH("OFF",BA8)))</formula>
    </cfRule>
    <cfRule type="containsText" dxfId="246" priority="519" operator="containsText" text="MC">
      <formula>NOT(ISERROR(SEARCH("MC",BA8)))</formula>
    </cfRule>
    <cfRule type="containsText" dxfId="245" priority="518" operator="containsText" text="AL">
      <formula>NOT(ISERROR(SEARCH("AL",BA8)))</formula>
    </cfRule>
    <cfRule type="containsText" dxfId="244" priority="517" operator="containsText" text="Sick">
      <formula>NOT(ISERROR(SEARCH("Sick",BA8)))</formula>
    </cfRule>
    <cfRule type="containsText" dxfId="243" priority="516" operator="containsText" text="AB">
      <formula>NOT(ISERROR(SEARCH("AB",BA8)))</formula>
    </cfRule>
  </conditionalFormatting>
  <conditionalFormatting sqref="BA35:BP35">
    <cfRule type="containsText" dxfId="242" priority="14931" stopIfTrue="1" operator="containsText" text="AL">
      <formula>NOT(ISERROR(SEARCH("AL",BA35)))</formula>
    </cfRule>
    <cfRule type="containsText" dxfId="241" priority="14933" stopIfTrue="1" operator="containsText" text="SICK">
      <formula>NOT(ISERROR(SEARCH("SICK",BA35)))</formula>
    </cfRule>
    <cfRule type="containsText" dxfId="240" priority="14932" stopIfTrue="1" operator="containsText" text="SP">
      <formula>NOT(ISERROR(SEARCH("SP",BA35)))</formula>
    </cfRule>
  </conditionalFormatting>
  <conditionalFormatting sqref="BB18:BB19">
    <cfRule type="containsText" dxfId="239" priority="393" operator="containsText" text="FL">
      <formula>NOT(ISERROR(SEARCH("FL",BB18)))</formula>
    </cfRule>
    <cfRule type="containsText" dxfId="238" priority="396" operator="containsText" text="AB">
      <formula>NOT(ISERROR(SEARCH("AB",BB18)))</formula>
    </cfRule>
    <cfRule type="containsText" dxfId="237" priority="394" operator="containsText" text="SUS">
      <formula>NOT(ISERROR(SEARCH("SUS",BB18)))</formula>
    </cfRule>
    <cfRule type="containsText" dxfId="236" priority="391" operator="containsText" text="SP">
      <formula>NOT(ISERROR(SEARCH("SP",BB18)))</formula>
    </cfRule>
    <cfRule type="containsText" dxfId="235" priority="392" operator="containsText" text="NL">
      <formula>NOT(ISERROR(SEARCH("NL",BB18)))</formula>
    </cfRule>
    <cfRule type="containsText" dxfId="234" priority="395" operator="containsText" text="EL">
      <formula>NOT(ISERROR(SEARCH("EL",BB18)))</formula>
    </cfRule>
    <cfRule type="containsText" dxfId="233" priority="400" operator="containsText" text="OFF">
      <formula>NOT(ISERROR(SEARCH("OFF",BB18)))</formula>
    </cfRule>
    <cfRule type="containsText" dxfId="232" priority="399" operator="containsText" text="MC">
      <formula>NOT(ISERROR(SEARCH("MC",BB18)))</formula>
    </cfRule>
    <cfRule type="containsText" dxfId="231" priority="398" operator="containsText" text="AL">
      <formula>NOT(ISERROR(SEARCH("AL",BB18)))</formula>
    </cfRule>
    <cfRule type="containsText" dxfId="230" priority="397" operator="containsText" text="Sick">
      <formula>NOT(ISERROR(SEARCH("Sick",BB18)))</formula>
    </cfRule>
  </conditionalFormatting>
  <conditionalFormatting sqref="BC4:BD4">
    <cfRule type="dataBar" priority="14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C18:BP18">
    <cfRule type="containsText" dxfId="229" priority="419" operator="containsText" text="MC">
      <formula>NOT(ISERROR(SEARCH("MC",BC18)))</formula>
    </cfRule>
    <cfRule type="containsText" dxfId="228" priority="420" operator="containsText" text="OFF">
      <formula>NOT(ISERROR(SEARCH("OFF",BC18)))</formula>
    </cfRule>
    <cfRule type="containsText" dxfId="227" priority="414" operator="containsText" text="SUS">
      <formula>NOT(ISERROR(SEARCH("SUS",BC18)))</formula>
    </cfRule>
    <cfRule type="containsText" dxfId="226" priority="412" operator="containsText" text="NL">
      <formula>NOT(ISERROR(SEARCH("NL",BC18)))</formula>
    </cfRule>
    <cfRule type="containsText" dxfId="225" priority="413" operator="containsText" text="FL">
      <formula>NOT(ISERROR(SEARCH("FL",BC18)))</formula>
    </cfRule>
    <cfRule type="containsText" dxfId="224" priority="415" operator="containsText" text="EL">
      <formula>NOT(ISERROR(SEARCH("EL",BC18)))</formula>
    </cfRule>
    <cfRule type="containsText" dxfId="223" priority="416" operator="containsText" text="AB">
      <formula>NOT(ISERROR(SEARCH("AB",BC18)))</formula>
    </cfRule>
    <cfRule type="containsText" dxfId="222" priority="417" operator="containsText" text="Sick">
      <formula>NOT(ISERROR(SEARCH("Sick",BC18)))</formula>
    </cfRule>
    <cfRule type="containsText" dxfId="221" priority="411" operator="containsText" text="SP">
      <formula>NOT(ISERROR(SEARCH("SP",BC18)))</formula>
    </cfRule>
    <cfRule type="containsText" dxfId="220" priority="418" operator="containsText" text="AL">
      <formula>NOT(ISERROR(SEARCH("AL",BC18)))</formula>
    </cfRule>
  </conditionalFormatting>
  <conditionalFormatting sqref="BD22">
    <cfRule type="containsText" dxfId="219" priority="1408" operator="containsText" text="EL">
      <formula>NOT(ISERROR(SEARCH("EL",BD22)))</formula>
    </cfRule>
    <cfRule type="containsText" dxfId="218" priority="1409" operator="containsText" text="AB">
      <formula>NOT(ISERROR(SEARCH("AB",BD22)))</formula>
    </cfRule>
    <cfRule type="containsText" dxfId="217" priority="1410" operator="containsText" text="Sick">
      <formula>NOT(ISERROR(SEARCH("Sick",BD22)))</formula>
    </cfRule>
    <cfRule type="containsText" dxfId="216" priority="1411" operator="containsText" text="AL">
      <formula>NOT(ISERROR(SEARCH("AL",BD22)))</formula>
    </cfRule>
    <cfRule type="containsText" dxfId="215" priority="1412" operator="containsText" text="MC">
      <formula>NOT(ISERROR(SEARCH("MC",BD22)))</formula>
    </cfRule>
    <cfRule type="containsText" dxfId="214" priority="1413" operator="containsText" text="OFF">
      <formula>NOT(ISERROR(SEARCH("OFF",BD22)))</formula>
    </cfRule>
    <cfRule type="containsText" dxfId="213" priority="1404" operator="containsText" text="SP">
      <formula>NOT(ISERROR(SEARCH("SP",BD22)))</formula>
    </cfRule>
    <cfRule type="containsText" dxfId="212" priority="1405" operator="containsText" text="NL">
      <formula>NOT(ISERROR(SEARCH("NL",BD22)))</formula>
    </cfRule>
    <cfRule type="containsText" dxfId="211" priority="1406" operator="containsText" text="FL">
      <formula>NOT(ISERROR(SEARCH("FL",BD22)))</formula>
    </cfRule>
    <cfRule type="containsText" dxfId="210" priority="1407" operator="containsText" text="SUS">
      <formula>NOT(ISERROR(SEARCH("SUS",BD22)))</formula>
    </cfRule>
  </conditionalFormatting>
  <conditionalFormatting sqref="BD19:BF19">
    <cfRule type="containsText" dxfId="209" priority="1513" operator="containsText" text="OFF">
      <formula>NOT(ISERROR(SEARCH("OFF",BD19)))</formula>
    </cfRule>
    <cfRule type="containsText" dxfId="208" priority="1504" operator="containsText" text="SP">
      <formula>NOT(ISERROR(SEARCH("SP",BD19)))</formula>
    </cfRule>
    <cfRule type="containsText" dxfId="207" priority="1511" operator="containsText" text="AL">
      <formula>NOT(ISERROR(SEARCH("AL",BD19)))</formula>
    </cfRule>
    <cfRule type="containsText" dxfId="206" priority="1510" operator="containsText" text="Sick">
      <formula>NOT(ISERROR(SEARCH("Sick",BD19)))</formula>
    </cfRule>
    <cfRule type="containsText" dxfId="205" priority="1508" operator="containsText" text="EL">
      <formula>NOT(ISERROR(SEARCH("EL",BD19)))</formula>
    </cfRule>
    <cfRule type="containsText" dxfId="204" priority="1509" operator="containsText" text="AB">
      <formula>NOT(ISERROR(SEARCH("AB",BD19)))</formula>
    </cfRule>
    <cfRule type="containsText" dxfId="203" priority="1507" operator="containsText" text="SUS">
      <formula>NOT(ISERROR(SEARCH("SUS",BD19)))</formula>
    </cfRule>
    <cfRule type="containsText" dxfId="202" priority="1506" operator="containsText" text="FL">
      <formula>NOT(ISERROR(SEARCH("FL",BD19)))</formula>
    </cfRule>
    <cfRule type="containsText" dxfId="201" priority="1505" operator="containsText" text="NL">
      <formula>NOT(ISERROR(SEARCH("NL",BD19)))</formula>
    </cfRule>
    <cfRule type="containsText" dxfId="200" priority="1512" operator="containsText" text="MC">
      <formula>NOT(ISERROR(SEARCH("MC",BD19)))</formula>
    </cfRule>
  </conditionalFormatting>
  <conditionalFormatting sqref="BE4:BF4">
    <cfRule type="dataBar" priority="14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E13:BF13">
    <cfRule type="containsText" dxfId="199" priority="1172" operator="containsText" text="OFF">
      <formula>NOT(ISERROR(SEARCH("OFF",BE13)))</formula>
    </cfRule>
    <cfRule type="containsText" dxfId="198" priority="1171" operator="containsText" text="MC">
      <formula>NOT(ISERROR(SEARCH("MC",BE13)))</formula>
    </cfRule>
    <cfRule type="containsText" dxfId="197" priority="1170" operator="containsText" text="AL">
      <formula>NOT(ISERROR(SEARCH("AL",BE13)))</formula>
    </cfRule>
    <cfRule type="containsText" dxfId="196" priority="1169" operator="containsText" text="Sick">
      <formula>NOT(ISERROR(SEARCH("Sick",BE13)))</formula>
    </cfRule>
    <cfRule type="containsText" dxfId="195" priority="1168" operator="containsText" text="AB">
      <formula>NOT(ISERROR(SEARCH("AB",BE13)))</formula>
    </cfRule>
    <cfRule type="containsText" dxfId="194" priority="1167" operator="containsText" text="EL">
      <formula>NOT(ISERROR(SEARCH("EL",BE13)))</formula>
    </cfRule>
    <cfRule type="containsText" dxfId="193" priority="1166" operator="containsText" text="SUS">
      <formula>NOT(ISERROR(SEARCH("SUS",BE13)))</formula>
    </cfRule>
    <cfRule type="containsText" dxfId="192" priority="1165" operator="containsText" text="FL">
      <formula>NOT(ISERROR(SEARCH("FL",BE13)))</formula>
    </cfRule>
    <cfRule type="containsText" dxfId="191" priority="1164" operator="containsText" text="NL">
      <formula>NOT(ISERROR(SEARCH("NL",BE13)))</formula>
    </cfRule>
    <cfRule type="containsText" dxfId="190" priority="1163" operator="containsText" text="SP">
      <formula>NOT(ISERROR(SEARCH("SP",BE13)))</formula>
    </cfRule>
  </conditionalFormatting>
  <conditionalFormatting sqref="BE24:BF25">
    <cfRule type="containsText" dxfId="189" priority="1339" operator="containsText" text="AB">
      <formula>NOT(ISERROR(SEARCH("AB",BE24)))</formula>
    </cfRule>
    <cfRule type="containsText" dxfId="188" priority="1340" operator="containsText" text="Sick">
      <formula>NOT(ISERROR(SEARCH("Sick",BE24)))</formula>
    </cfRule>
    <cfRule type="containsText" dxfId="187" priority="1341" operator="containsText" text="AL">
      <formula>NOT(ISERROR(SEARCH("AL",BE24)))</formula>
    </cfRule>
    <cfRule type="containsText" dxfId="186" priority="1342" operator="containsText" text="MC">
      <formula>NOT(ISERROR(SEARCH("MC",BE24)))</formula>
    </cfRule>
    <cfRule type="containsText" dxfId="185" priority="1343" operator="containsText" text="OFF">
      <formula>NOT(ISERROR(SEARCH("OFF",BE24)))</formula>
    </cfRule>
    <cfRule type="containsText" dxfId="184" priority="1334" operator="containsText" text="SP">
      <formula>NOT(ISERROR(SEARCH("SP",BE24)))</formula>
    </cfRule>
    <cfRule type="containsText" dxfId="183" priority="1335" operator="containsText" text="NL">
      <formula>NOT(ISERROR(SEARCH("NL",BE24)))</formula>
    </cfRule>
    <cfRule type="containsText" dxfId="182" priority="1336" operator="containsText" text="FL">
      <formula>NOT(ISERROR(SEARCH("FL",BE24)))</formula>
    </cfRule>
    <cfRule type="containsText" dxfId="181" priority="1337" operator="containsText" text="SUS">
      <formula>NOT(ISERROR(SEARCH("SUS",BE24)))</formula>
    </cfRule>
    <cfRule type="containsText" dxfId="180" priority="1338" operator="containsText" text="EL">
      <formula>NOT(ISERROR(SEARCH("EL",BE24)))</formula>
    </cfRule>
  </conditionalFormatting>
  <conditionalFormatting sqref="BF22">
    <cfRule type="containsText" dxfId="179" priority="1434" operator="containsText" text="SP">
      <formula>NOT(ISERROR(SEARCH("SP",BF22)))</formula>
    </cfRule>
    <cfRule type="containsText" dxfId="178" priority="1435" operator="containsText" text="NL">
      <formula>NOT(ISERROR(SEARCH("NL",BF22)))</formula>
    </cfRule>
    <cfRule type="containsText" dxfId="177" priority="1436" operator="containsText" text="FL">
      <formula>NOT(ISERROR(SEARCH("FL",BF22)))</formula>
    </cfRule>
    <cfRule type="containsText" dxfId="176" priority="1437" operator="containsText" text="SUS">
      <formula>NOT(ISERROR(SEARCH("SUS",BF22)))</formula>
    </cfRule>
    <cfRule type="containsText" dxfId="175" priority="1438" operator="containsText" text="EL">
      <formula>NOT(ISERROR(SEARCH("EL",BF22)))</formula>
    </cfRule>
    <cfRule type="containsText" dxfId="174" priority="1439" operator="containsText" text="AB">
      <formula>NOT(ISERROR(SEARCH("AB",BF22)))</formula>
    </cfRule>
    <cfRule type="containsText" dxfId="173" priority="1440" operator="containsText" text="Sick">
      <formula>NOT(ISERROR(SEARCH("Sick",BF22)))</formula>
    </cfRule>
    <cfRule type="containsText" dxfId="172" priority="1442" operator="containsText" text="MC">
      <formula>NOT(ISERROR(SEARCH("MC",BF22)))</formula>
    </cfRule>
    <cfRule type="containsText" dxfId="171" priority="1443" operator="containsText" text="OFF">
      <formula>NOT(ISERROR(SEARCH("OFF",BF22)))</formula>
    </cfRule>
    <cfRule type="containsText" dxfId="170" priority="1441" operator="containsText" text="AL">
      <formula>NOT(ISERROR(SEARCH("AL",BF22)))</formula>
    </cfRule>
  </conditionalFormatting>
  <conditionalFormatting sqref="BG24:BL24">
    <cfRule type="containsText" dxfId="169" priority="1137" operator="containsText" text="EL">
      <formula>NOT(ISERROR(SEARCH("EL",BG24)))</formula>
    </cfRule>
    <cfRule type="containsText" dxfId="168" priority="1133" operator="containsText" text="SP">
      <formula>NOT(ISERROR(SEARCH("SP",BG24)))</formula>
    </cfRule>
    <cfRule type="containsText" dxfId="167" priority="1134" operator="containsText" text="NL">
      <formula>NOT(ISERROR(SEARCH("NL",BG24)))</formula>
    </cfRule>
    <cfRule type="containsText" dxfId="166" priority="1135" operator="containsText" text="FL">
      <formula>NOT(ISERROR(SEARCH("FL",BG24)))</formula>
    </cfRule>
    <cfRule type="containsText" dxfId="165" priority="1136" operator="containsText" text="SUS">
      <formula>NOT(ISERROR(SEARCH("SUS",BG24)))</formula>
    </cfRule>
    <cfRule type="containsText" dxfId="164" priority="1138" operator="containsText" text="AB">
      <formula>NOT(ISERROR(SEARCH("AB",BG24)))</formula>
    </cfRule>
    <cfRule type="containsText" dxfId="163" priority="1142" operator="containsText" text="OFF">
      <formula>NOT(ISERROR(SEARCH("OFF",BG24)))</formula>
    </cfRule>
    <cfRule type="containsText" dxfId="162" priority="1141" operator="containsText" text="MC">
      <formula>NOT(ISERROR(SEARCH("MC",BG24)))</formula>
    </cfRule>
    <cfRule type="containsText" dxfId="161" priority="1140" operator="containsText" text="AL">
      <formula>NOT(ISERROR(SEARCH("AL",BG24)))</formula>
    </cfRule>
    <cfRule type="containsText" dxfId="160" priority="1139" operator="containsText" text="Sick">
      <formula>NOT(ISERROR(SEARCH("Sick",BG24)))</formula>
    </cfRule>
  </conditionalFormatting>
  <conditionalFormatting sqref="BG4:BP4">
    <cfRule type="dataBar" priority="17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H17">
    <cfRule type="containsText" dxfId="159" priority="1200" operator="containsText" text="AL">
      <formula>NOT(ISERROR(SEARCH("AL",BH17)))</formula>
    </cfRule>
    <cfRule type="containsText" dxfId="158" priority="1199" operator="containsText" text="Sick">
      <formula>NOT(ISERROR(SEARCH("Sick",BH17)))</formula>
    </cfRule>
    <cfRule type="containsText" dxfId="157" priority="1197" operator="containsText" text="EL">
      <formula>NOT(ISERROR(SEARCH("EL",BH17)))</formula>
    </cfRule>
    <cfRule type="containsText" dxfId="156" priority="1196" operator="containsText" text="SUS">
      <formula>NOT(ISERROR(SEARCH("SUS",BH17)))</formula>
    </cfRule>
    <cfRule type="containsText" dxfId="155" priority="1195" operator="containsText" text="FL">
      <formula>NOT(ISERROR(SEARCH("FL",BH17)))</formula>
    </cfRule>
    <cfRule type="containsText" dxfId="154" priority="1194" operator="containsText" text="NL">
      <formula>NOT(ISERROR(SEARCH("NL",BH17)))</formula>
    </cfRule>
    <cfRule type="containsText" dxfId="153" priority="1193" operator="containsText" text="SP">
      <formula>NOT(ISERROR(SEARCH("SP",BH17)))</formula>
    </cfRule>
    <cfRule type="containsText" dxfId="152" priority="1198" operator="containsText" text="AB">
      <formula>NOT(ISERROR(SEARCH("AB",BH17)))</formula>
    </cfRule>
    <cfRule type="containsText" dxfId="151" priority="1202" operator="containsText" text="OFF">
      <formula>NOT(ISERROR(SEARCH("OFF",BH17)))</formula>
    </cfRule>
    <cfRule type="containsText" dxfId="150" priority="1201" operator="containsText" text="MC">
      <formula>NOT(ISERROR(SEARCH("MC",BH17)))</formula>
    </cfRule>
  </conditionalFormatting>
  <conditionalFormatting sqref="BH19">
    <cfRule type="containsText" dxfId="149" priority="1237" operator="containsText" text="EL">
      <formula>NOT(ISERROR(SEARCH("EL",BH19)))</formula>
    </cfRule>
    <cfRule type="containsText" dxfId="148" priority="1242" operator="containsText" text="OFF">
      <formula>NOT(ISERROR(SEARCH("OFF",BH19)))</formula>
    </cfRule>
    <cfRule type="containsText" dxfId="147" priority="1240" operator="containsText" text="AL">
      <formula>NOT(ISERROR(SEARCH("AL",BH19)))</formula>
    </cfRule>
    <cfRule type="containsText" dxfId="146" priority="1239" operator="containsText" text="Sick">
      <formula>NOT(ISERROR(SEARCH("Sick",BH19)))</formula>
    </cfRule>
    <cfRule type="containsText" dxfId="145" priority="1238" operator="containsText" text="AB">
      <formula>NOT(ISERROR(SEARCH("AB",BH19)))</formula>
    </cfRule>
    <cfRule type="containsText" dxfId="144" priority="1235" operator="containsText" text="FL">
      <formula>NOT(ISERROR(SEARCH("FL",BH19)))</formula>
    </cfRule>
    <cfRule type="containsText" dxfId="143" priority="1234" operator="containsText" text="NL">
      <formula>NOT(ISERROR(SEARCH("NL",BH19)))</formula>
    </cfRule>
    <cfRule type="containsText" dxfId="142" priority="1233" operator="containsText" text="SP">
      <formula>NOT(ISERROR(SEARCH("SP",BH19)))</formula>
    </cfRule>
    <cfRule type="containsText" dxfId="141" priority="1236" operator="containsText" text="SUS">
      <formula>NOT(ISERROR(SEARCH("SUS",BH19)))</formula>
    </cfRule>
    <cfRule type="containsText" dxfId="140" priority="1241" operator="containsText" text="MC">
      <formula>NOT(ISERROR(SEARCH("MC",BH19)))</formula>
    </cfRule>
  </conditionalFormatting>
  <conditionalFormatting sqref="BH22">
    <cfRule type="containsText" dxfId="139" priority="1251" operator="containsText" text="MC">
      <formula>NOT(ISERROR(SEARCH("MC",BH22)))</formula>
    </cfRule>
    <cfRule type="containsText" dxfId="138" priority="1250" operator="containsText" text="AL">
      <formula>NOT(ISERROR(SEARCH("AL",BH22)))</formula>
    </cfRule>
    <cfRule type="containsText" dxfId="137" priority="1249" operator="containsText" text="Sick">
      <formula>NOT(ISERROR(SEARCH("Sick",BH22)))</formula>
    </cfRule>
    <cfRule type="containsText" dxfId="136" priority="1248" operator="containsText" text="AB">
      <formula>NOT(ISERROR(SEARCH("AB",BH22)))</formula>
    </cfRule>
    <cfRule type="containsText" dxfId="135" priority="1247" operator="containsText" text="EL">
      <formula>NOT(ISERROR(SEARCH("EL",BH22)))</formula>
    </cfRule>
    <cfRule type="containsText" dxfId="134" priority="1246" operator="containsText" text="SUS">
      <formula>NOT(ISERROR(SEARCH("SUS",BH22)))</formula>
    </cfRule>
    <cfRule type="containsText" dxfId="133" priority="1252" operator="containsText" text="OFF">
      <formula>NOT(ISERROR(SEARCH("OFF",BH22)))</formula>
    </cfRule>
    <cfRule type="containsText" dxfId="132" priority="1244" operator="containsText" text="NL">
      <formula>NOT(ISERROR(SEARCH("NL",BH22)))</formula>
    </cfRule>
    <cfRule type="containsText" dxfId="131" priority="1243" operator="containsText" text="SP">
      <formula>NOT(ISERROR(SEARCH("SP",BH22)))</formula>
    </cfRule>
    <cfRule type="containsText" dxfId="130" priority="1245" operator="containsText" text="FL">
      <formula>NOT(ISERROR(SEARCH("FL",BH22)))</formula>
    </cfRule>
  </conditionalFormatting>
  <conditionalFormatting sqref="BI47:BJ47">
    <cfRule type="containsText" dxfId="129" priority="1175" operator="containsText" text="FL">
      <formula>NOT(ISERROR(SEARCH("FL",BI47)))</formula>
    </cfRule>
    <cfRule type="containsText" dxfId="128" priority="1180" operator="containsText" text="AL">
      <formula>NOT(ISERROR(SEARCH("AL",BI47)))</formula>
    </cfRule>
    <cfRule type="containsText" dxfId="127" priority="1179" operator="containsText" text="Sick">
      <formula>NOT(ISERROR(SEARCH("Sick",BI47)))</formula>
    </cfRule>
    <cfRule type="containsText" dxfId="126" priority="1178" operator="containsText" text="AB">
      <formula>NOT(ISERROR(SEARCH("AB",BI47)))</formula>
    </cfRule>
    <cfRule type="containsText" dxfId="125" priority="1177" operator="containsText" text="EL">
      <formula>NOT(ISERROR(SEARCH("EL",BI47)))</formula>
    </cfRule>
    <cfRule type="containsText" dxfId="124" priority="1176" operator="containsText" text="SUS">
      <formula>NOT(ISERROR(SEARCH("SUS",BI47)))</formula>
    </cfRule>
    <cfRule type="containsText" dxfId="123" priority="1182" operator="containsText" text="OFF">
      <formula>NOT(ISERROR(SEARCH("OFF",BI47)))</formula>
    </cfRule>
    <cfRule type="containsText" dxfId="122" priority="1181" operator="containsText" text="MC">
      <formula>NOT(ISERROR(SEARCH("MC",BI47)))</formula>
    </cfRule>
    <cfRule type="containsText" dxfId="121" priority="1174" operator="containsText" text="NL">
      <formula>NOT(ISERROR(SEARCH("NL",BI47)))</formula>
    </cfRule>
    <cfRule type="containsText" dxfId="120" priority="1173" operator="containsText" text="SP">
      <formula>NOT(ISERROR(SEARCH("SP",BI47)))</formula>
    </cfRule>
  </conditionalFormatting>
  <conditionalFormatting sqref="BJ16:BJ17">
    <cfRule type="containsText" dxfId="119" priority="1183" operator="containsText" text="SP">
      <formula>NOT(ISERROR(SEARCH("SP",BJ16)))</formula>
    </cfRule>
    <cfRule type="containsText" dxfId="118" priority="1187" operator="containsText" text="EL">
      <formula>NOT(ISERROR(SEARCH("EL",BJ16)))</formula>
    </cfRule>
    <cfRule type="containsText" dxfId="117" priority="1186" operator="containsText" text="SUS">
      <formula>NOT(ISERROR(SEARCH("SUS",BJ16)))</formula>
    </cfRule>
    <cfRule type="containsText" dxfId="116" priority="1185" operator="containsText" text="FL">
      <formula>NOT(ISERROR(SEARCH("FL",BJ16)))</formula>
    </cfRule>
    <cfRule type="containsText" dxfId="115" priority="1188" operator="containsText" text="AB">
      <formula>NOT(ISERROR(SEARCH("AB",BJ16)))</formula>
    </cfRule>
    <cfRule type="containsText" dxfId="114" priority="1184" operator="containsText" text="NL">
      <formula>NOT(ISERROR(SEARCH("NL",BJ16)))</formula>
    </cfRule>
    <cfRule type="containsText" dxfId="113" priority="1192" operator="containsText" text="OFF">
      <formula>NOT(ISERROR(SEARCH("OFF",BJ16)))</formula>
    </cfRule>
    <cfRule type="containsText" dxfId="112" priority="1191" operator="containsText" text="MC">
      <formula>NOT(ISERROR(SEARCH("MC",BJ16)))</formula>
    </cfRule>
    <cfRule type="containsText" dxfId="111" priority="1190" operator="containsText" text="AL">
      <formula>NOT(ISERROR(SEARCH("AL",BJ16)))</formula>
    </cfRule>
    <cfRule type="containsText" dxfId="110" priority="1189" operator="containsText" text="Sick">
      <formula>NOT(ISERROR(SEARCH("Sick",BJ16)))</formula>
    </cfRule>
  </conditionalFormatting>
  <conditionalFormatting sqref="BJ19">
    <cfRule type="containsText" dxfId="109" priority="1227" operator="containsText" text="EL">
      <formula>NOT(ISERROR(SEARCH("EL",BJ19)))</formula>
    </cfRule>
    <cfRule type="containsText" dxfId="108" priority="1226" operator="containsText" text="SUS">
      <formula>NOT(ISERROR(SEARCH("SUS",BJ19)))</formula>
    </cfRule>
    <cfRule type="containsText" dxfId="107" priority="1225" operator="containsText" text="FL">
      <formula>NOT(ISERROR(SEARCH("FL",BJ19)))</formula>
    </cfRule>
    <cfRule type="containsText" dxfId="106" priority="1224" operator="containsText" text="NL">
      <formula>NOT(ISERROR(SEARCH("NL",BJ19)))</formula>
    </cfRule>
    <cfRule type="containsText" dxfId="105" priority="1223" operator="containsText" text="SP">
      <formula>NOT(ISERROR(SEARCH("SP",BJ19)))</formula>
    </cfRule>
    <cfRule type="containsText" dxfId="104" priority="1231" operator="containsText" text="MC">
      <formula>NOT(ISERROR(SEARCH("MC",BJ19)))</formula>
    </cfRule>
    <cfRule type="containsText" dxfId="103" priority="1230" operator="containsText" text="AL">
      <formula>NOT(ISERROR(SEARCH("AL",BJ19)))</formula>
    </cfRule>
    <cfRule type="containsText" dxfId="102" priority="1229" operator="containsText" text="Sick">
      <formula>NOT(ISERROR(SEARCH("Sick",BJ19)))</formula>
    </cfRule>
    <cfRule type="containsText" dxfId="101" priority="1232" operator="containsText" text="OFF">
      <formula>NOT(ISERROR(SEARCH("OFF",BJ19)))</formula>
    </cfRule>
    <cfRule type="containsText" dxfId="100" priority="1228" operator="containsText" text="AB">
      <formula>NOT(ISERROR(SEARCH("AB",BJ19)))</formula>
    </cfRule>
  </conditionalFormatting>
  <conditionalFormatting sqref="BJ21:BJ23">
    <cfRule type="containsText" dxfId="99" priority="1221" operator="containsText" text="MC">
      <formula>NOT(ISERROR(SEARCH("MC",BJ21)))</formula>
    </cfRule>
    <cfRule type="containsText" dxfId="98" priority="1220" operator="containsText" text="AL">
      <formula>NOT(ISERROR(SEARCH("AL",BJ21)))</formula>
    </cfRule>
    <cfRule type="containsText" dxfId="97" priority="1219" operator="containsText" text="Sick">
      <formula>NOT(ISERROR(SEARCH("Sick",BJ21)))</formula>
    </cfRule>
    <cfRule type="containsText" dxfId="96" priority="1218" operator="containsText" text="AB">
      <formula>NOT(ISERROR(SEARCH("AB",BJ21)))</formula>
    </cfRule>
    <cfRule type="containsText" dxfId="95" priority="1217" operator="containsText" text="EL">
      <formula>NOT(ISERROR(SEARCH("EL",BJ21)))</formula>
    </cfRule>
    <cfRule type="containsText" dxfId="94" priority="1215" operator="containsText" text="FL">
      <formula>NOT(ISERROR(SEARCH("FL",BJ21)))</formula>
    </cfRule>
    <cfRule type="containsText" dxfId="93" priority="1222" operator="containsText" text="OFF">
      <formula>NOT(ISERROR(SEARCH("OFF",BJ21)))</formula>
    </cfRule>
    <cfRule type="containsText" dxfId="92" priority="1213" operator="containsText" text="SP">
      <formula>NOT(ISERROR(SEARCH("SP",BJ21)))</formula>
    </cfRule>
    <cfRule type="containsText" dxfId="91" priority="1216" operator="containsText" text="SUS">
      <formula>NOT(ISERROR(SEARCH("SUS",BJ21)))</formula>
    </cfRule>
    <cfRule type="containsText" dxfId="90" priority="1214" operator="containsText" text="NL">
      <formula>NOT(ISERROR(SEARCH("NL",BJ21)))</formula>
    </cfRule>
  </conditionalFormatting>
  <conditionalFormatting sqref="BL7">
    <cfRule type="containsText" dxfId="89" priority="1109" operator="containsText" text="Sick">
      <formula>NOT(ISERROR(SEARCH("Sick",BL7)))</formula>
    </cfRule>
    <cfRule type="containsText" dxfId="88" priority="1108" operator="containsText" text="AB">
      <formula>NOT(ISERROR(SEARCH("AB",BL7)))</formula>
    </cfRule>
    <cfRule type="containsText" dxfId="87" priority="1107" operator="containsText" text="EL">
      <formula>NOT(ISERROR(SEARCH("EL",BL7)))</formula>
    </cfRule>
    <cfRule type="containsText" dxfId="86" priority="1106" operator="containsText" text="SUS">
      <formula>NOT(ISERROR(SEARCH("SUS",BL7)))</formula>
    </cfRule>
    <cfRule type="containsText" dxfId="85" priority="1105" operator="containsText" text="FL">
      <formula>NOT(ISERROR(SEARCH("FL",BL7)))</formula>
    </cfRule>
    <cfRule type="containsText" dxfId="84" priority="1104" operator="containsText" text="NL">
      <formula>NOT(ISERROR(SEARCH("NL",BL7)))</formula>
    </cfRule>
    <cfRule type="containsText" dxfId="83" priority="1103" operator="containsText" text="SP">
      <formula>NOT(ISERROR(SEARCH("SP",BL7)))</formula>
    </cfRule>
    <cfRule type="containsText" dxfId="82" priority="1111" operator="containsText" text="MC">
      <formula>NOT(ISERROR(SEARCH("MC",BL7)))</formula>
    </cfRule>
    <cfRule type="containsText" dxfId="81" priority="1112" operator="containsText" text="OFF">
      <formula>NOT(ISERROR(SEARCH("OFF",BL7)))</formula>
    </cfRule>
    <cfRule type="containsText" dxfId="80" priority="1110" operator="containsText" text="AL">
      <formula>NOT(ISERROR(SEARCH("AL",BL7)))</formula>
    </cfRule>
  </conditionalFormatting>
  <conditionalFormatting sqref="BL17">
    <cfRule type="containsText" dxfId="79" priority="1120" operator="containsText" text="AL">
      <formula>NOT(ISERROR(SEARCH("AL",BL17)))</formula>
    </cfRule>
    <cfRule type="containsText" dxfId="78" priority="1119" operator="containsText" text="Sick">
      <formula>NOT(ISERROR(SEARCH("Sick",BL17)))</formula>
    </cfRule>
    <cfRule type="containsText" dxfId="77" priority="1122" operator="containsText" text="OFF">
      <formula>NOT(ISERROR(SEARCH("OFF",BL17)))</formula>
    </cfRule>
    <cfRule type="containsText" dxfId="76" priority="1121" operator="containsText" text="MC">
      <formula>NOT(ISERROR(SEARCH("MC",BL17)))</formula>
    </cfRule>
    <cfRule type="containsText" dxfId="75" priority="1117" operator="containsText" text="EL">
      <formula>NOT(ISERROR(SEARCH("EL",BL17)))</formula>
    </cfRule>
    <cfRule type="containsText" dxfId="74" priority="1113" operator="containsText" text="SP">
      <formula>NOT(ISERROR(SEARCH("SP",BL17)))</formula>
    </cfRule>
    <cfRule type="containsText" dxfId="73" priority="1114" operator="containsText" text="NL">
      <formula>NOT(ISERROR(SEARCH("NL",BL17)))</formula>
    </cfRule>
    <cfRule type="containsText" dxfId="72" priority="1115" operator="containsText" text="FL">
      <formula>NOT(ISERROR(SEARCH("FL",BL17)))</formula>
    </cfRule>
    <cfRule type="containsText" dxfId="71" priority="1116" operator="containsText" text="SUS">
      <formula>NOT(ISERROR(SEARCH("SUS",BL17)))</formula>
    </cfRule>
    <cfRule type="containsText" dxfId="70" priority="1118" operator="containsText" text="AB">
      <formula>NOT(ISERROR(SEARCH("AB",BL17)))</formula>
    </cfRule>
  </conditionalFormatting>
  <conditionalFormatting sqref="BL22">
    <cfRule type="containsText" dxfId="69" priority="1123" operator="containsText" text="SP">
      <formula>NOT(ISERROR(SEARCH("SP",BL22)))</formula>
    </cfRule>
    <cfRule type="containsText" dxfId="68" priority="1124" operator="containsText" text="NL">
      <formula>NOT(ISERROR(SEARCH("NL",BL22)))</formula>
    </cfRule>
    <cfRule type="containsText" dxfId="67" priority="1125" operator="containsText" text="FL">
      <formula>NOT(ISERROR(SEARCH("FL",BL22)))</formula>
    </cfRule>
    <cfRule type="containsText" dxfId="66" priority="1126" operator="containsText" text="SUS">
      <formula>NOT(ISERROR(SEARCH("SUS",BL22)))</formula>
    </cfRule>
    <cfRule type="containsText" dxfId="65" priority="1127" operator="containsText" text="EL">
      <formula>NOT(ISERROR(SEARCH("EL",BL22)))</formula>
    </cfRule>
    <cfRule type="containsText" dxfId="64" priority="1128" operator="containsText" text="AB">
      <formula>NOT(ISERROR(SEARCH("AB",BL22)))</formula>
    </cfRule>
    <cfRule type="containsText" dxfId="63" priority="1129" operator="containsText" text="Sick">
      <formula>NOT(ISERROR(SEARCH("Sick",BL22)))</formula>
    </cfRule>
    <cfRule type="containsText" dxfId="62" priority="1130" operator="containsText" text="AL">
      <formula>NOT(ISERROR(SEARCH("AL",BL22)))</formula>
    </cfRule>
    <cfRule type="containsText" dxfId="61" priority="1131" operator="containsText" text="MC">
      <formula>NOT(ISERROR(SEARCH("MC",BL22)))</formula>
    </cfRule>
    <cfRule type="containsText" dxfId="60" priority="1132" operator="containsText" text="OFF">
      <formula>NOT(ISERROR(SEARCH("OFF",BL22)))</formula>
    </cfRule>
  </conditionalFormatting>
  <conditionalFormatting sqref="BN7:BP7">
    <cfRule type="containsText" dxfId="59" priority="1101" operator="containsText" text="MC">
      <formula>NOT(ISERROR(SEARCH("MC",BN7)))</formula>
    </cfRule>
    <cfRule type="containsText" dxfId="58" priority="1100" operator="containsText" text="AL">
      <formula>NOT(ISERROR(SEARCH("AL",BN7)))</formula>
    </cfRule>
    <cfRule type="containsText" dxfId="57" priority="1099" operator="containsText" text="Sick">
      <formula>NOT(ISERROR(SEARCH("Sick",BN7)))</formula>
    </cfRule>
    <cfRule type="containsText" dxfId="56" priority="1098" operator="containsText" text="AB">
      <formula>NOT(ISERROR(SEARCH("AB",BN7)))</formula>
    </cfRule>
    <cfRule type="containsText" dxfId="55" priority="1097" operator="containsText" text="EL">
      <formula>NOT(ISERROR(SEARCH("EL",BN7)))</formula>
    </cfRule>
    <cfRule type="containsText" dxfId="54" priority="1096" operator="containsText" text="SUS">
      <formula>NOT(ISERROR(SEARCH("SUS",BN7)))</formula>
    </cfRule>
    <cfRule type="containsText" dxfId="53" priority="1095" operator="containsText" text="FL">
      <formula>NOT(ISERROR(SEARCH("FL",BN7)))</formula>
    </cfRule>
    <cfRule type="containsText" dxfId="52" priority="1094" operator="containsText" text="NL">
      <formula>NOT(ISERROR(SEARCH("NL",BN7)))</formula>
    </cfRule>
    <cfRule type="containsText" dxfId="51" priority="1093" operator="containsText" text="SP">
      <formula>NOT(ISERROR(SEARCH("SP",BN7)))</formula>
    </cfRule>
    <cfRule type="containsText" dxfId="50" priority="1102" operator="containsText" text="OFF">
      <formula>NOT(ISERROR(SEARCH("OFF",BN7)))</formula>
    </cfRule>
  </conditionalFormatting>
  <conditionalFormatting sqref="BN17:BP17">
    <cfRule type="containsText" dxfId="49" priority="1086" operator="containsText" text="SUS">
      <formula>NOT(ISERROR(SEARCH("SUS",BN17)))</formula>
    </cfRule>
    <cfRule type="containsText" dxfId="48" priority="1092" operator="containsText" text="OFF">
      <formula>NOT(ISERROR(SEARCH("OFF",BN17)))</formula>
    </cfRule>
    <cfRule type="containsText" dxfId="47" priority="1091" operator="containsText" text="MC">
      <formula>NOT(ISERROR(SEARCH("MC",BN17)))</formula>
    </cfRule>
    <cfRule type="containsText" dxfId="46" priority="1089" operator="containsText" text="Sick">
      <formula>NOT(ISERROR(SEARCH("Sick",BN17)))</formula>
    </cfRule>
    <cfRule type="containsText" dxfId="45" priority="1088" operator="containsText" text="AB">
      <formula>NOT(ISERROR(SEARCH("AB",BN17)))</formula>
    </cfRule>
    <cfRule type="containsText" dxfId="44" priority="1087" operator="containsText" text="EL">
      <formula>NOT(ISERROR(SEARCH("EL",BN17)))</formula>
    </cfRule>
    <cfRule type="containsText" dxfId="43" priority="1090" operator="containsText" text="AL">
      <formula>NOT(ISERROR(SEARCH("AL",BN17)))</formula>
    </cfRule>
    <cfRule type="containsText" dxfId="42" priority="1085" operator="containsText" text="FL">
      <formula>NOT(ISERROR(SEARCH("FL",BN17)))</formula>
    </cfRule>
    <cfRule type="containsText" dxfId="41" priority="1084" operator="containsText" text="NL">
      <formula>NOT(ISERROR(SEARCH("NL",BN17)))</formula>
    </cfRule>
    <cfRule type="containsText" dxfId="40" priority="1083" operator="containsText" text="SP">
      <formula>NOT(ISERROR(SEARCH("SP",BN17)))</formula>
    </cfRule>
  </conditionalFormatting>
  <conditionalFormatting sqref="BN19:BP19">
    <cfRule type="containsText" dxfId="39" priority="1077" operator="containsText" text="EL">
      <formula>NOT(ISERROR(SEARCH("EL",BN19)))</formula>
    </cfRule>
    <cfRule type="containsText" dxfId="38" priority="1073" operator="containsText" text="SP">
      <formula>NOT(ISERROR(SEARCH("SP",BN19)))</formula>
    </cfRule>
    <cfRule type="containsText" dxfId="37" priority="1074" operator="containsText" text="NL">
      <formula>NOT(ISERROR(SEARCH("NL",BN19)))</formula>
    </cfRule>
    <cfRule type="containsText" dxfId="36" priority="1075" operator="containsText" text="FL">
      <formula>NOT(ISERROR(SEARCH("FL",BN19)))</formula>
    </cfRule>
    <cfRule type="containsText" dxfId="35" priority="1076" operator="containsText" text="SUS">
      <formula>NOT(ISERROR(SEARCH("SUS",BN19)))</formula>
    </cfRule>
    <cfRule type="containsText" dxfId="34" priority="1078" operator="containsText" text="AB">
      <formula>NOT(ISERROR(SEARCH("AB",BN19)))</formula>
    </cfRule>
    <cfRule type="containsText" dxfId="33" priority="1079" operator="containsText" text="Sick">
      <formula>NOT(ISERROR(SEARCH("Sick",BN19)))</formula>
    </cfRule>
    <cfRule type="containsText" dxfId="32" priority="1080" operator="containsText" text="AL">
      <formula>NOT(ISERROR(SEARCH("AL",BN19)))</formula>
    </cfRule>
    <cfRule type="containsText" dxfId="31" priority="1082" operator="containsText" text="OFF">
      <formula>NOT(ISERROR(SEARCH("OFF",BN19)))</formula>
    </cfRule>
    <cfRule type="containsText" dxfId="30" priority="1081" operator="containsText" text="MC">
      <formula>NOT(ISERROR(SEARCH("MC",BN19)))</formula>
    </cfRule>
  </conditionalFormatting>
  <conditionalFormatting sqref="BN22:BP22">
    <cfRule type="containsText" dxfId="29" priority="1068" operator="containsText" text="AB">
      <formula>NOT(ISERROR(SEARCH("AB",BN22)))</formula>
    </cfRule>
    <cfRule type="containsText" dxfId="28" priority="1069" operator="containsText" text="Sick">
      <formula>NOT(ISERROR(SEARCH("Sick",BN22)))</formula>
    </cfRule>
    <cfRule type="containsText" dxfId="27" priority="1070" operator="containsText" text="AL">
      <formula>NOT(ISERROR(SEARCH("AL",BN22)))</formula>
    </cfRule>
    <cfRule type="containsText" dxfId="26" priority="1067" operator="containsText" text="EL">
      <formula>NOT(ISERROR(SEARCH("EL",BN22)))</formula>
    </cfRule>
    <cfRule type="containsText" dxfId="25" priority="1071" operator="containsText" text="MC">
      <formula>NOT(ISERROR(SEARCH("MC",BN22)))</formula>
    </cfRule>
    <cfRule type="containsText" dxfId="24" priority="1066" operator="containsText" text="SUS">
      <formula>NOT(ISERROR(SEARCH("SUS",BN22)))</formula>
    </cfRule>
    <cfRule type="containsText" dxfId="23" priority="1065" operator="containsText" text="FL">
      <formula>NOT(ISERROR(SEARCH("FL",BN22)))</formula>
    </cfRule>
    <cfRule type="containsText" dxfId="22" priority="1064" operator="containsText" text="NL">
      <formula>NOT(ISERROR(SEARCH("NL",BN22)))</formula>
    </cfRule>
    <cfRule type="containsText" dxfId="21" priority="1063" operator="containsText" text="SP">
      <formula>NOT(ISERROR(SEARCH("SP",BN22)))</formula>
    </cfRule>
    <cfRule type="containsText" dxfId="20" priority="1072" operator="containsText" text="OFF">
      <formula>NOT(ISERROR(SEARCH("OFF",BN22)))</formula>
    </cfRule>
  </conditionalFormatting>
  <conditionalFormatting sqref="BT4:BZ4">
    <cfRule type="containsText" dxfId="19" priority="4530" operator="containsText" text="SP">
      <formula>NOT(ISERROR(SEARCH("SP",BT4)))</formula>
    </cfRule>
    <cfRule type="containsText" dxfId="18" priority="4534" operator="containsText" text="EL">
      <formula>NOT(ISERROR(SEARCH("EL",BT4)))</formula>
    </cfRule>
    <cfRule type="containsText" dxfId="17" priority="4539" operator="containsText" text="OFF">
      <formula>NOT(ISERROR(SEARCH("OFF",BT4)))</formula>
    </cfRule>
    <cfRule type="containsText" dxfId="16" priority="4538" operator="containsText" text="MC">
      <formula>NOT(ISERROR(SEARCH("MC",BT4)))</formula>
    </cfRule>
    <cfRule type="containsText" dxfId="15" priority="4536" operator="containsText" text="Sick">
      <formula>NOT(ISERROR(SEARCH("Sick",BT4)))</formula>
    </cfRule>
    <cfRule type="containsText" dxfId="14" priority="4535" operator="containsText" text="AB">
      <formula>NOT(ISERROR(SEARCH("AB",BT4)))</formula>
    </cfRule>
    <cfRule type="containsText" dxfId="13" priority="4533" operator="containsText" text="SUS">
      <formula>NOT(ISERROR(SEARCH("SUS",BT4)))</formula>
    </cfRule>
    <cfRule type="containsText" dxfId="12" priority="4532" operator="containsText" text="FL">
      <formula>NOT(ISERROR(SEARCH("FL",BT4)))</formula>
    </cfRule>
    <cfRule type="containsText" dxfId="11" priority="4531" operator="containsText" text="NL">
      <formula>NOT(ISERROR(SEARCH("NL",BT4)))</formula>
    </cfRule>
    <cfRule type="containsText" dxfId="10" priority="4537" operator="containsText" text="AL">
      <formula>NOT(ISERROR(SEARCH("AL",BT4)))</formula>
    </cfRule>
  </conditionalFormatting>
  <conditionalFormatting sqref="CB4:CD4">
    <cfRule type="containsText" dxfId="9" priority="4559" operator="containsText" text="OFF">
      <formula>NOT(ISERROR(SEARCH("OFF",CB4)))</formula>
    </cfRule>
    <cfRule type="containsText" dxfId="8" priority="4558" operator="containsText" text="MC">
      <formula>NOT(ISERROR(SEARCH("MC",CB4)))</formula>
    </cfRule>
    <cfRule type="containsText" dxfId="7" priority="4557" operator="containsText" text="AL">
      <formula>NOT(ISERROR(SEARCH("AL",CB4)))</formula>
    </cfRule>
    <cfRule type="containsText" dxfId="6" priority="4556" operator="containsText" text="Sick">
      <formula>NOT(ISERROR(SEARCH("Sick",CB4)))</formula>
    </cfRule>
    <cfRule type="containsText" dxfId="5" priority="4555" operator="containsText" text="AB">
      <formula>NOT(ISERROR(SEARCH("AB",CB4)))</formula>
    </cfRule>
    <cfRule type="containsText" dxfId="4" priority="4554" operator="containsText" text="EL">
      <formula>NOT(ISERROR(SEARCH("EL",CB4)))</formula>
    </cfRule>
    <cfRule type="containsText" dxfId="3" priority="4553" operator="containsText" text="SUS">
      <formula>NOT(ISERROR(SEARCH("SUS",CB4)))</formula>
    </cfRule>
    <cfRule type="containsText" dxfId="2" priority="4552" operator="containsText" text="FL">
      <formula>NOT(ISERROR(SEARCH("FL",CB4)))</formula>
    </cfRule>
    <cfRule type="containsText" dxfId="1" priority="4551" operator="containsText" text="NL">
      <formula>NOT(ISERROR(SEARCH("NL",CB4)))</formula>
    </cfRule>
    <cfRule type="containsText" dxfId="0" priority="4550" operator="containsText" text="SP">
      <formula>NOT(ISERROR(SEARCH("SP",CB4)))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E4:AH4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AK4:AL4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AM4:AN4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AO4:AP4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AQ4:AR4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AS4:AT4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AU4:AV4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AY4:AZ4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BA4:BB4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BC4:BD4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BE4:BF4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BG4:BP4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2026-08-01T08:31:14Z</cp:lastPrinted>
  <dcterms:created xsi:type="dcterms:W3CDTF">2025-11-01T09:49:58Z</dcterms:created>
  <dcterms:modified xsi:type="dcterms:W3CDTF">2026-10-30T09:39:11Z</dcterms:modified>
</cp:coreProperties>
</file>