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june\"/>
    </mc:Choice>
  </mc:AlternateContent>
  <xr:revisionPtr revIDLastSave="0" documentId="13_ncr:1_{B563443C-4C17-4CF1-8048-EA601F6E4322}" xr6:coauthVersionLast="47" xr6:coauthVersionMax="47" xr10:uidLastSave="{00000000-0000-0000-0000-000000000000}"/>
  <bookViews>
    <workbookView xWindow="-120" yWindow="-120" windowWidth="29040" windowHeight="15840" tabRatio="630" activeTab="1" xr2:uid="{7B5E2D85-C188-4C2A-B943-BB771193A8A7}"/>
  </bookViews>
  <sheets>
    <sheet name="MASTER" sheetId="1" r:id="rId1"/>
    <sheet name="Anuj Mishra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5" i="1" l="1"/>
  <c r="BQ43" i="1"/>
  <c r="BR43" i="1"/>
  <c r="BS43" i="1"/>
  <c r="BT43" i="1"/>
  <c r="BU43" i="1"/>
  <c r="BV43" i="1"/>
  <c r="BW43" i="1"/>
  <c r="BX43" i="1"/>
  <c r="BY43" i="1"/>
  <c r="BZ43" i="1"/>
  <c r="CA43" i="1"/>
  <c r="CB43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O107" i="1"/>
  <c r="CO106" i="1"/>
  <c r="CO105" i="1"/>
  <c r="CO104" i="1"/>
  <c r="CO103" i="1"/>
  <c r="CO102" i="1"/>
  <c r="CO101" i="1"/>
  <c r="CO100" i="1"/>
  <c r="CO99" i="1"/>
  <c r="CO98" i="1"/>
  <c r="CO97" i="1"/>
  <c r="CO96" i="1"/>
  <c r="CO95" i="1"/>
  <c r="CO94" i="1"/>
  <c r="CO93" i="1"/>
  <c r="CO92" i="1"/>
  <c r="CO91" i="1"/>
  <c r="CO90" i="1"/>
  <c r="CO89" i="1"/>
  <c r="CO88" i="1"/>
  <c r="CO87" i="1"/>
  <c r="CO86" i="1"/>
  <c r="CO85" i="1"/>
  <c r="CO84" i="1"/>
  <c r="CO83" i="1"/>
  <c r="CO82" i="1"/>
  <c r="CO81" i="1"/>
  <c r="CO80" i="1"/>
  <c r="CO79" i="1"/>
  <c r="CO78" i="1"/>
  <c r="CO77" i="1"/>
  <c r="CO76" i="1"/>
  <c r="CO75" i="1"/>
  <c r="CO74" i="1"/>
  <c r="CO73" i="1"/>
  <c r="CO72" i="1"/>
  <c r="CO71" i="1"/>
  <c r="CO70" i="1"/>
  <c r="CO69" i="1"/>
  <c r="CO68" i="1"/>
  <c r="CO67" i="1"/>
  <c r="CO66" i="1"/>
  <c r="CO65" i="1"/>
  <c r="CO64" i="1"/>
  <c r="CO63" i="1"/>
  <c r="CO62" i="1"/>
  <c r="CO61" i="1"/>
  <c r="CO60" i="1"/>
  <c r="CO59" i="1"/>
  <c r="CO58" i="1"/>
  <c r="CO57" i="1"/>
  <c r="CO56" i="1"/>
  <c r="CO55" i="1"/>
  <c r="CO54" i="1"/>
  <c r="CO53" i="1"/>
  <c r="CO52" i="1"/>
  <c r="CO51" i="1"/>
  <c r="CO50" i="1"/>
  <c r="CO49" i="1"/>
  <c r="CO48" i="1"/>
  <c r="CO47" i="1"/>
  <c r="CO46" i="1"/>
  <c r="CO45" i="1"/>
  <c r="CO44" i="1"/>
  <c r="CO43" i="1"/>
  <c r="CO42" i="1"/>
  <c r="CO28" i="1"/>
  <c r="CO27" i="1"/>
  <c r="CO26" i="1"/>
  <c r="CO25" i="1"/>
  <c r="CO24" i="1"/>
  <c r="CO23" i="1"/>
  <c r="CO22" i="1"/>
  <c r="CO21" i="1"/>
  <c r="CO20" i="1"/>
  <c r="CO18" i="1"/>
  <c r="CO17" i="1"/>
  <c r="CO16" i="1"/>
  <c r="CO15" i="1"/>
  <c r="CO14" i="1"/>
  <c r="CO13" i="1"/>
  <c r="CO12" i="1"/>
  <c r="CO11" i="1"/>
  <c r="CO10" i="1"/>
  <c r="CO9" i="1"/>
  <c r="CO8" i="1"/>
  <c r="CO7" i="1"/>
  <c r="CO6" i="1"/>
  <c r="CO5" i="1"/>
  <c r="BQ6" i="1"/>
  <c r="BR6" i="1"/>
  <c r="BS6" i="1"/>
  <c r="BT6" i="1"/>
  <c r="BU6" i="1"/>
  <c r="BV6" i="1"/>
  <c r="BW6" i="1"/>
  <c r="BX6" i="1"/>
  <c r="BY6" i="1"/>
  <c r="BZ6" i="1"/>
  <c r="CA6" i="1"/>
  <c r="CB6" i="1"/>
  <c r="BQ7" i="1"/>
  <c r="BR7" i="1"/>
  <c r="BS7" i="1"/>
  <c r="BT7" i="1"/>
  <c r="BU7" i="1"/>
  <c r="BV7" i="1"/>
  <c r="BW7" i="1"/>
  <c r="BX7" i="1"/>
  <c r="BY7" i="1"/>
  <c r="BZ7" i="1"/>
  <c r="CA7" i="1"/>
  <c r="CB7" i="1"/>
  <c r="BQ8" i="1"/>
  <c r="BR8" i="1"/>
  <c r="BS8" i="1"/>
  <c r="BT8" i="1"/>
  <c r="BU8" i="1"/>
  <c r="BV8" i="1"/>
  <c r="BW8" i="1"/>
  <c r="BX8" i="1"/>
  <c r="BY8" i="1"/>
  <c r="BZ8" i="1"/>
  <c r="CA8" i="1"/>
  <c r="CB8" i="1"/>
  <c r="BQ9" i="1"/>
  <c r="BR9" i="1"/>
  <c r="BS9" i="1"/>
  <c r="BT9" i="1"/>
  <c r="BU9" i="1"/>
  <c r="BV9" i="1"/>
  <c r="BW9" i="1"/>
  <c r="BX9" i="1"/>
  <c r="BY9" i="1"/>
  <c r="BZ9" i="1"/>
  <c r="CA9" i="1"/>
  <c r="CB9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BO28" i="1" l="1"/>
  <c r="BO27" i="1"/>
  <c r="BO26" i="1"/>
  <c r="BO25" i="1"/>
  <c r="BO24" i="1"/>
  <c r="BO23" i="1"/>
  <c r="BO22" i="1"/>
  <c r="BO21" i="1"/>
  <c r="BO20" i="1"/>
  <c r="BO19" i="1"/>
  <c r="BO18" i="1"/>
  <c r="BO17" i="1"/>
  <c r="BO13" i="1"/>
  <c r="BO12" i="1"/>
  <c r="BO11" i="1"/>
  <c r="BO10" i="1"/>
  <c r="BO9" i="1"/>
  <c r="BO8" i="1"/>
  <c r="BO7" i="1"/>
  <c r="BO6" i="1"/>
  <c r="BO57" i="1"/>
  <c r="BO16" i="1"/>
  <c r="BO15" i="1"/>
  <c r="BO14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K47" i="15" s="1"/>
  <c r="BK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BK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BK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BK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BK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BK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BK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BK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BK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BK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BK31" i="15"/>
  <c r="BK30" i="15"/>
  <c r="BK29" i="15"/>
  <c r="BK28" i="15"/>
  <c r="BK25" i="15"/>
  <c r="BK24" i="15"/>
  <c r="BK23" i="15"/>
  <c r="BK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CO19" i="1"/>
  <c r="AK5" i="15" l="1"/>
  <c r="AK43" i="15"/>
  <c r="AK44" i="15"/>
  <c r="AK41" i="15"/>
  <c r="AK45" i="15"/>
  <c r="AK39" i="15"/>
  <c r="AK40" i="15"/>
  <c r="AK36" i="15"/>
  <c r="AK37" i="15"/>
  <c r="AK38" i="15"/>
  <c r="AK42" i="15"/>
  <c r="AK46" i="15"/>
  <c r="BR5" i="1"/>
  <c r="BQ146" i="1"/>
  <c r="BQ42" i="1"/>
  <c r="BY146" i="1"/>
  <c r="BZ146" i="1"/>
  <c r="CA146" i="1"/>
  <c r="CB146" i="1"/>
  <c r="BR146" i="1"/>
  <c r="BS146" i="1"/>
  <c r="BT146" i="1"/>
  <c r="BU146" i="1"/>
  <c r="BV146" i="1"/>
  <c r="BW146" i="1"/>
  <c r="BW42" i="1"/>
  <c r="BX5" i="1"/>
  <c r="BX146" i="1"/>
  <c r="BX42" i="1"/>
  <c r="BQ5" i="1" l="1"/>
  <c r="BR143" i="1"/>
  <c r="BR140" i="1"/>
  <c r="BQ143" i="1"/>
  <c r="BS143" i="1"/>
  <c r="BT143" i="1"/>
  <c r="BU143" i="1"/>
  <c r="BV143" i="1"/>
  <c r="BW143" i="1"/>
  <c r="BX143" i="1"/>
  <c r="BY143" i="1"/>
  <c r="BZ143" i="1"/>
  <c r="CA143" i="1"/>
  <c r="BQ138" i="1"/>
  <c r="BQ139" i="1"/>
  <c r="BQ141" i="1"/>
  <c r="BQ142" i="1"/>
  <c r="BQ140" i="1"/>
  <c r="BQ144" i="1"/>
  <c r="BQ145" i="1"/>
  <c r="BR138" i="1" l="1"/>
  <c r="BS138" i="1"/>
  <c r="BT138" i="1"/>
  <c r="BU138" i="1"/>
  <c r="BV138" i="1"/>
  <c r="BW138" i="1"/>
  <c r="BX138" i="1"/>
  <c r="BY138" i="1"/>
  <c r="BZ138" i="1"/>
  <c r="CA138" i="1"/>
  <c r="CB138" i="1"/>
  <c r="BR139" i="1"/>
  <c r="BS139" i="1"/>
  <c r="BT139" i="1"/>
  <c r="BU139" i="1"/>
  <c r="BV139" i="1"/>
  <c r="BW139" i="1"/>
  <c r="BX139" i="1"/>
  <c r="BY139" i="1"/>
  <c r="BZ139" i="1"/>
  <c r="CA139" i="1"/>
  <c r="CB139" i="1"/>
  <c r="BO138" i="1" l="1"/>
  <c r="BO139" i="1" l="1"/>
  <c r="BR141" i="1"/>
  <c r="BS141" i="1"/>
  <c r="BT141" i="1"/>
  <c r="BU141" i="1"/>
  <c r="BV141" i="1"/>
  <c r="BW141" i="1"/>
  <c r="BX141" i="1"/>
  <c r="BY141" i="1"/>
  <c r="BZ141" i="1"/>
  <c r="CA141" i="1"/>
  <c r="CB141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BR142" i="1"/>
  <c r="BS142" i="1"/>
  <c r="BT142" i="1"/>
  <c r="BU142" i="1"/>
  <c r="BV142" i="1"/>
  <c r="BW142" i="1"/>
  <c r="BX142" i="1"/>
  <c r="BY142" i="1"/>
  <c r="BZ142" i="1"/>
  <c r="CA142" i="1"/>
  <c r="CB142" i="1"/>
  <c r="CB143" i="1"/>
  <c r="BO143" i="1" s="1"/>
  <c r="BS140" i="1"/>
  <c r="BT140" i="1"/>
  <c r="BU140" i="1"/>
  <c r="BV140" i="1"/>
  <c r="BW140" i="1"/>
  <c r="BX140" i="1"/>
  <c r="BY140" i="1"/>
  <c r="BZ140" i="1"/>
  <c r="CA140" i="1"/>
  <c r="CB140" i="1"/>
  <c r="BR144" i="1"/>
  <c r="BS144" i="1"/>
  <c r="BT144" i="1"/>
  <c r="BU144" i="1"/>
  <c r="BV144" i="1"/>
  <c r="BW144" i="1"/>
  <c r="BX144" i="1"/>
  <c r="BY144" i="1"/>
  <c r="BZ144" i="1"/>
  <c r="CA144" i="1"/>
  <c r="CB144" i="1"/>
  <c r="BR145" i="1"/>
  <c r="BS145" i="1"/>
  <c r="BT145" i="1"/>
  <c r="BU145" i="1"/>
  <c r="BV145" i="1"/>
  <c r="BW145" i="1"/>
  <c r="BX145" i="1"/>
  <c r="BY145" i="1"/>
  <c r="BZ145" i="1"/>
  <c r="CA145" i="1"/>
  <c r="CB145" i="1"/>
  <c r="BO144" i="1" l="1"/>
  <c r="BO141" i="1"/>
  <c r="BO140" i="1"/>
  <c r="BO142" i="1"/>
  <c r="BO145" i="1"/>
  <c r="BO146" i="1"/>
  <c r="CO133" i="1" l="1"/>
  <c r="CO142" i="1"/>
  <c r="CO128" i="1"/>
  <c r="CO141" i="1"/>
  <c r="CO140" i="1"/>
  <c r="CO144" i="1"/>
  <c r="CO125" i="1"/>
  <c r="CO139" i="1"/>
  <c r="CO124" i="1"/>
  <c r="CO130" i="1"/>
  <c r="CO129" i="1"/>
  <c r="CO131" i="1"/>
  <c r="CB42" i="1"/>
  <c r="CA42" i="1"/>
  <c r="BZ42" i="1"/>
  <c r="BY42" i="1"/>
  <c r="BV42" i="1"/>
  <c r="BU42" i="1"/>
  <c r="BT42" i="1"/>
  <c r="BS42" i="1"/>
  <c r="BR42" i="1"/>
  <c r="BO42" i="1" l="1"/>
  <c r="CB5" i="1" l="1"/>
  <c r="CA5" i="1"/>
  <c r="BZ5" i="1"/>
  <c r="BY5" i="1"/>
  <c r="BW5" i="1"/>
  <c r="BV5" i="1"/>
  <c r="BT5" i="1"/>
  <c r="BS5" i="1"/>
  <c r="BO5" i="1" l="1"/>
  <c r="CO123" i="1"/>
</calcChain>
</file>

<file path=xl/sharedStrings.xml><?xml version="1.0" encoding="utf-8"?>
<sst xmlns="http://schemas.openxmlformats.org/spreadsheetml/2006/main" count="1132" uniqueCount="266">
  <si>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</si>
  <si>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</si>
  <si>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</si>
  <si>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</si>
  <si>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</si>
  <si>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</si>
  <si>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</si>
  <si>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</si>
  <si>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</si>
  <si>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</si>
  <si>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</si>
  <si>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</si>
  <si>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</si>
  <si>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</si>
  <si>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</si>
  <si>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</si>
  <si>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</si>
  <si>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</si>
  <si>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</si>
  <si>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</si>
  <si>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</si>
  <si>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</si>
  <si>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</si>
  <si>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</si>
  <si>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</si>
  <si>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</si>
  <si>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</si>
  <si>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</si>
  <si>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</si>
  <si>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</si>
  <si>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</si>
  <si>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</si>
  <si>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</si>
  <si>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</si>
  <si>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</si>
  <si>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</si>
  <si>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</si>
  <si>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</si>
  <si>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</si>
  <si>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</si>
  <si>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</si>
  <si>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</si>
  <si>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</si>
  <si>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</si>
  <si>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</si>
  <si>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</si>
  <si>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</si>
  <si>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</si>
  <si>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</si>
  <si>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</si>
  <si>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</si>
  <si>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</si>
  <si>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</si>
  <si>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</si>
  <si>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</si>
  <si>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</si>
  <si>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</si>
  <si>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</si>
  <si>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</si>
  <si>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>MAD0711</t>
  </si>
  <si>
    <t>Vijayakumar Kaliaraj</t>
  </si>
  <si>
    <t>MAD0717</t>
  </si>
  <si>
    <t>Prepared By:</t>
  </si>
  <si>
    <t>Checked By:</t>
  </si>
  <si>
    <t xml:space="preserve"> 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</si>
  <si>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</si>
  <si>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</si>
  <si>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</si>
  <si>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</si>
  <si>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</si>
  <si>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</si>
  <si>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</si>
  <si>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</si>
  <si>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</si>
  <si>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</si>
  <si>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</si>
  <si>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</si>
  <si>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</si>
  <si>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</si>
  <si>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</si>
  <si>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</si>
  <si>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</si>
  <si>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</si>
  <si>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</si>
  <si>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</si>
  <si>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</si>
  <si>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</si>
  <si>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</si>
  <si>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</si>
  <si>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</si>
  <si>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</si>
  <si>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</si>
  <si>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</si>
  <si>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</si>
  <si>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</si>
  <si>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</si>
  <si>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</si>
  <si>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</si>
  <si>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</si>
  <si>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</si>
  <si>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</si>
  <si>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MDA0396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</si>
  <si>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</si>
  <si>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</si>
  <si>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</si>
  <si>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</si>
  <si>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</si>
  <si>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</si>
  <si>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</si>
  <si>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</si>
  <si>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</si>
  <si>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</si>
  <si>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</si>
  <si>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</si>
  <si>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</si>
  <si>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</si>
  <si>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</si>
  <si>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</si>
  <si>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</si>
  <si>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</si>
  <si>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</si>
  <si>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</si>
  <si>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</si>
  <si>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</si>
  <si>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</si>
  <si>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</si>
  <si>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</si>
  <si>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</si>
  <si>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</si>
  <si>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</si>
  <si>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</si>
  <si>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</si>
  <si>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</si>
  <si>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</si>
  <si>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</si>
  <si>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MAD0642</t>
  </si>
  <si>
    <t>Mohammad Salman</t>
  </si>
  <si>
    <t>MAD0643</t>
  </si>
  <si>
    <t>NAJIR SHEKH</t>
  </si>
  <si>
    <t>MAD0656</t>
  </si>
  <si>
    <t>Thamaraiselvan Narayanan</t>
  </si>
  <si>
    <t>MAD0667</t>
  </si>
  <si>
    <t>Shameer Sakhariah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</si>
  <si>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</si>
  <si>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</si>
  <si>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</si>
  <si>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</si>
  <si>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</si>
  <si>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</si>
  <si>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</si>
  <si>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</si>
  <si>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</si>
  <si>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</si>
  <si>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</si>
  <si>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</si>
  <si>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</si>
  <si>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</si>
  <si>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</si>
  <si>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</si>
  <si>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</si>
  <si>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</si>
  <si>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</si>
  <si>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</si>
  <si>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</si>
  <si>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</si>
  <si>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</si>
  <si>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</si>
  <si>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</si>
  <si>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</si>
  <si>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</si>
  <si>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</si>
  <si>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</si>
  <si>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</si>
  <si>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</si>
  <si>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</si>
  <si>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</si>
  <si>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</si>
  <si>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</si>
  <si>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</si>
  <si>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</si>
  <si>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</si>
  <si>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</si>
  <si>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</si>
  <si>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</si>
  <si>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Saswati Kundu Debnath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</si>
  <si>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</si>
  <si>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</si>
  <si>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</si>
  <si>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</si>
  <si>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</si>
  <si>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</si>
  <si>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</si>
  <si>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</si>
  <si>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</si>
  <si>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</si>
  <si>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</si>
  <si>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</si>
  <si>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</si>
  <si>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</si>
  <si>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</si>
  <si>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</si>
  <si>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</si>
  <si>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>Total</t>
  </si>
  <si>
    <t>MAD0407</t>
  </si>
  <si>
    <t>Pratheesh Prasad</t>
  </si>
  <si>
    <t>MAD0733</t>
  </si>
  <si>
    <t>Sabbir Hossain</t>
  </si>
  <si>
    <t>MAD0233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</si>
  <si>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</si>
  <si>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</si>
  <si>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</si>
  <si>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</si>
  <si>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</si>
  <si>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</si>
  <si>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</si>
  <si>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</si>
  <si>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</si>
  <si>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</si>
  <si>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</si>
  <si>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</si>
  <si>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</si>
  <si>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</si>
  <si>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</si>
  <si>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</si>
  <si>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</si>
  <si>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</si>
  <si>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</si>
  <si>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</si>
  <si>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</si>
  <si>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</si>
  <si>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</si>
  <si>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</si>
  <si>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</si>
  <si>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</si>
  <si>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</si>
  <si>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</si>
  <si>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</si>
  <si>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Enamul Hoque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</si>
  <si>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</si>
  <si>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</si>
  <si>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</si>
  <si>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</si>
  <si>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</si>
  <si>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</si>
  <si>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</si>
  <si>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MAD0762</t>
  </si>
  <si>
    <t>Tribhuwan Bhandari</t>
  </si>
  <si>
    <t>MAD0763</t>
  </si>
  <si>
    <t xml:space="preserve">Used Leave Totals (Running Year, up to end of this month - APRIL 2026) </t>
  </si>
  <si>
    <t>Muneswari Sandrapalli</t>
  </si>
  <si>
    <t xml:space="preserve">Mohamed Aiyash Mohamed </t>
  </si>
  <si>
    <t>MAD0767</t>
  </si>
  <si>
    <t>Solaiappan Gurusamy</t>
  </si>
  <si>
    <t xml:space="preserve">Shahinur Alam </t>
  </si>
  <si>
    <t>Attendance for June 2026  - MALE SENIOR FOREIGN STAFFS</t>
  </si>
  <si>
    <t>Attendance for June 2026   - MALE JUNIOR FOREIGN STAFFS</t>
  </si>
  <si>
    <t>MAD0769</t>
  </si>
  <si>
    <t>Prashanth Babu</t>
  </si>
  <si>
    <t>JOINING ON 13TH JUNE 2026</t>
  </si>
  <si>
    <t>Salary and Allowance Settlement for June 2026  - MALE JUNIOR FOREIGN STAFFS</t>
  </si>
  <si>
    <t xml:space="preserve">Note:    </t>
  </si>
  <si>
    <t>OT</t>
  </si>
  <si>
    <t>Please  pay food allowance for 16 days( 1st -16th) June 2026</t>
  </si>
  <si>
    <t>Overtime: 43h = 430 Rf (26th May - 13th June) 2026</t>
  </si>
  <si>
    <t>Mohammed Kalifa</t>
  </si>
  <si>
    <t xml:space="preserve">Used Leave Totals (Running Year, up to end of this month - June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</si>
</sst>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5" fillId="0" borderId="0"/>
  </cellStyleXfs>
  <cellXfs count="189">
    <xf numFmtId="0" fontId="0" fillId="0" borderId="0" xfId="0"/>
    <xf numFmtId="0" fontId="3" fillId="0" borderId="2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0" fontId="10" fillId="4" borderId="3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164" fontId="16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19" fillId="0" borderId="0" xfId="0" applyFont="1"/>
    <xf numFmtId="164" fontId="15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0" fontId="21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1" fillId="7" borderId="0" xfId="0" applyFont="1" applyFill="1" applyAlignment="1">
      <alignment vertical="center"/>
    </xf>
    <xf numFmtId="0" fontId="21" fillId="7" borderId="0" xfId="0" applyFont="1" applyFill="1" applyAlignment="1">
      <alignment horizontal="left" vertical="center"/>
    </xf>
    <xf numFmtId="0" fontId="13" fillId="7" borderId="0" xfId="0" applyFont="1" applyFill="1"/>
    <xf numFmtId="0" fontId="22" fillId="0" borderId="0" xfId="0" applyFont="1" applyAlignment="1">
      <alignment vertical="center"/>
    </xf>
    <xf numFmtId="49" fontId="21" fillId="7" borderId="0" xfId="0" applyNumberFormat="1" applyFont="1" applyFill="1" applyAlignment="1">
      <alignment vertical="center"/>
    </xf>
    <xf numFmtId="49" fontId="21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0" fillId="4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20" fontId="27" fillId="4" borderId="3" xfId="0" applyNumberFormat="1" applyFont="1" applyFill="1" applyBorder="1" applyAlignment="1">
      <alignment horizontal="center" vertical="center" wrapText="1"/>
    </xf>
    <xf numFmtId="20" fontId="28" fillId="10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0" fillId="4" borderId="0" xfId="0" applyFill="1"/>
    <xf numFmtId="20" fontId="30" fillId="4" borderId="3" xfId="0" applyNumberFormat="1" applyFont="1" applyFill="1" applyBorder="1" applyAlignment="1">
      <alignment horizontal="center" vertical="center" wrapText="1"/>
    </xf>
    <xf numFmtId="20" fontId="27" fillId="4" borderId="1" xfId="0" applyNumberFormat="1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20" fontId="31" fillId="10" borderId="3" xfId="0" applyNumberFormat="1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0" fillId="12" borderId="0" xfId="0" applyFill="1"/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horizontal="left" vertical="center"/>
    </xf>
    <xf numFmtId="0" fontId="23" fillId="4" borderId="1" xfId="1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/>
    </xf>
    <xf numFmtId="0" fontId="31" fillId="10" borderId="1" xfId="0" applyFont="1" applyFill="1" applyBorder="1" applyAlignment="1">
      <alignment horizontal="center" vertical="center" wrapText="1"/>
    </xf>
    <xf numFmtId="20" fontId="31" fillId="10" borderId="1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20" fontId="30" fillId="9" borderId="3" xfId="0" applyNumberFormat="1" applyFont="1" applyFill="1" applyBorder="1" applyAlignment="1">
      <alignment horizontal="center" vertical="center" wrapText="1"/>
    </xf>
    <xf numFmtId="20" fontId="27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20" fontId="30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20" fontId="31" fillId="0" borderId="3" xfId="0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20" fontId="31" fillId="4" borderId="3" xfId="0" applyNumberFormat="1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1" fontId="31" fillId="4" borderId="3" xfId="0" applyNumberFormat="1" applyFont="1" applyFill="1" applyBorder="1" applyAlignment="1">
      <alignment horizontal="center" vertical="center" wrapText="1"/>
    </xf>
    <xf numFmtId="1" fontId="30" fillId="4" borderId="3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1" fontId="9" fillId="4" borderId="3" xfId="0" applyNumberFormat="1" applyFon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20" fontId="28" fillId="4" borderId="3" xfId="0" applyNumberFormat="1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20" fontId="28" fillId="4" borderId="1" xfId="0" applyNumberFormat="1" applyFont="1" applyFill="1" applyBorder="1" applyAlignment="1">
      <alignment horizontal="center" vertical="center" wrapText="1"/>
    </xf>
    <xf numFmtId="0" fontId="16" fillId="8" borderId="0" xfId="0" applyFont="1" applyFill="1" applyAlignment="1">
      <alignment vertical="center"/>
    </xf>
    <xf numFmtId="0" fontId="0" fillId="8" borderId="0" xfId="0" applyFill="1"/>
    <xf numFmtId="15" fontId="8" fillId="2" borderId="3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20" fontId="30" fillId="4" borderId="0" xfId="0" applyNumberFormat="1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20" fontId="10" fillId="4" borderId="0" xfId="0" applyNumberFormat="1" applyFont="1" applyFill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8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0" fontId="27" fillId="4" borderId="0" xfId="0" applyNumberFormat="1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20" fontId="30" fillId="4" borderId="1" xfId="0" applyNumberFormat="1" applyFont="1" applyFill="1" applyBorder="1" applyAlignment="1">
      <alignment horizontal="center" vertical="center" wrapText="1"/>
    </xf>
    <xf numFmtId="20" fontId="10" fillId="4" borderId="1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20" fontId="30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20" fontId="28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4EC3061-B914-4480-9893-F99140BDDDFD}"/>
  </cellStyles>
  <dxfs count="148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E4:CO28" totalsRowShown="0" headerRowDxfId="1466" dataDxfId="1464" headerRowBorderDxfId="1465" tableBorderDxfId="1463" totalsRowBorderDxfId="1462">
  <autoFilter ref="CE4:CO28" xr:uid="{C5309D74-53D8-451C-BBF6-C79A1162CA3E}"/>
  <tableColumns count="11">
    <tableColumn id="1" xr3:uid="{77A0E13E-5799-4C51-9B9D-764F7EC3B2A2}" name="MC" dataDxfId="1461"/>
    <tableColumn id="2" xr3:uid="{EB5D1FE6-2099-48DC-843A-922345D1799C}" name="EL" dataDxfId="1460"/>
    <tableColumn id="3" xr3:uid="{273122D7-D3D7-4F6A-9E6D-E93DF2DF0B27}" name="AL" dataDxfId="1459"/>
    <tableColumn id="4" xr3:uid="{B7AA7E3F-797D-4E59-ABF4-A10DED797705}" name="SUS" dataDxfId="1458"/>
    <tableColumn id="5" xr3:uid="{FF39316F-7211-4A90-81FC-66B156DA3370}" name="FL" dataDxfId="1457"/>
    <tableColumn id="6" xr3:uid="{C1AC8A82-6AED-43E8-BC9E-B08DBA59F3CB}" name="S" dataDxfId="1456"/>
    <tableColumn id="7" xr3:uid="{9F1B4AC5-FE14-4372-9A6B-3C39BF751A75}" name="HD" dataDxfId="1455"/>
    <tableColumn id="8" xr3:uid="{C1782C61-8577-4048-80AA-855C84FC8A55}" name="AB" dataDxfId="1454"/>
    <tableColumn id="9" xr3:uid="{06E98CE2-1D98-4581-9F55-176721D2D094}" name="NL" dataDxfId="1453"/>
    <tableColumn id="10" xr3:uid="{AD8D1379-4ABC-49D0-8269-2F105F33CF9F}" name="SP" dataDxfId="1452"/>
    <tableColumn id="11" xr3:uid="{578C8149-ECDB-4F46-B84E-C814E33BCF50}" name="Total" dataDxfId="145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B2D44B-8BBE-48B3-BAEC-D0744EBAC165}" name="Table135" displayName="Table135" ref="BA4:BK7" totalsRowShown="0" headerRowDxfId="1482" dataDxfId="1480" headerRowBorderDxfId="1481" tableBorderDxfId="1479" totalsRowBorderDxfId="1478">
  <autoFilter ref="BA4:BK7" xr:uid="{E75A1A2E-9207-48A7-9E2B-652C557C9266}"/>
  <tableColumns count="11">
    <tableColumn id="1" xr3:uid="{F909E599-F11F-4716-9790-58A50A70D9D0}" name="MC" dataDxfId="1477"/>
    <tableColumn id="2" xr3:uid="{7B9CE8BD-DC40-4CB3-B07D-C7F3F51C7A06}" name="EL" dataDxfId="1476"/>
    <tableColumn id="3" xr3:uid="{AFF1A4D2-640F-481A-95AC-D9800A0AE1C9}" name="AL" dataDxfId="1475"/>
    <tableColumn id="4" xr3:uid="{8597BE83-190E-47F2-952A-70A840349879}" name="SUS" dataDxfId="1474"/>
    <tableColumn id="5" xr3:uid="{82B19B20-C032-4C41-98C8-2B33390E9663}" name="FL" dataDxfId="1473"/>
    <tableColumn id="6" xr3:uid="{30CF9ED7-0AFD-4E42-ABD7-362DE25D922D}" name="S" dataDxfId="1472"/>
    <tableColumn id="7" xr3:uid="{C57EA0AF-F97E-434F-A664-8C09DCE0A672}" name="HD" dataDxfId="1471"/>
    <tableColumn id="8" xr3:uid="{F0CA3972-0644-42F9-94AB-F0BFBAF13A9E}" name="AB" dataDxfId="1470"/>
    <tableColumn id="9" xr3:uid="{C6187823-44DA-47EF-998C-624F114AFC85}" name="NL" dataDxfId="1469"/>
    <tableColumn id="10" xr3:uid="{3C11401E-F877-41C2-9AFA-A1F9A56EBD1D}" name="SP" dataDxfId="1468"/>
    <tableColumn id="11" xr3:uid="{6FCF097B-303A-4EF9-AA94-0D48EB7178C6}" name="Total" dataDxfId="146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O155"/>
  <sheetViews>
    <sheetView zoomScaleNormal="100" workbookViewId="0">
      <pane xSplit="4" ySplit="4" topLeftCell="Z110" activePane="bottomRight" state="frozen"/>
      <selection pane="topRight" activeCell="E1" sqref="E1"/>
      <selection pane="bottomLeft" activeCell="A5" sqref="A5"/>
      <selection pane="bottomRight" activeCell="CC99" sqref="CC99"/>
    </sheetView>
  </sheetViews>
  <sheetFormatPr defaultRowHeight="15" x14ac:dyDescent="0.25"/>
  <cols>
    <col min="1" max="1" width="5.140625" style="48" customWidth="1"/>
    <col min="2" max="2" width="12" style="17" customWidth="1"/>
    <col min="3" max="3" width="33.7109375" customWidth="1"/>
    <col min="4" max="4" width="13.42578125" hidden="1" customWidth="1"/>
    <col min="5" max="34" width="6.5703125" customWidth="1"/>
    <col min="35" max="35" width="5" style="81" customWidth="1"/>
    <col min="36" max="36" width="5.140625" style="60" customWidth="1"/>
    <col min="37" max="66" width="6.5703125" customWidth="1"/>
    <col min="67" max="67" width="5.85546875" style="17" customWidth="1"/>
    <col min="68" max="75" width="5" customWidth="1"/>
    <col min="76" max="76" width="5.85546875" customWidth="1"/>
    <col min="77" max="80" width="5" customWidth="1"/>
    <col min="81" max="81" width="10.28515625" customWidth="1"/>
    <col min="83" max="93" width="6" customWidth="1"/>
  </cols>
  <sheetData>
    <row r="1" spans="1:93" ht="25.5" customHeight="1" x14ac:dyDescent="0.25">
      <c r="A1" s="171" t="s">
        <v>254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3"/>
      <c r="AI1" s="139"/>
      <c r="AJ1" s="180" t="s">
        <v>254</v>
      </c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93" ht="22.5" customHeight="1" x14ac:dyDescent="0.25">
      <c r="A2" s="176" t="s">
        <v>0</v>
      </c>
      <c r="B2" s="176"/>
      <c r="C2" s="176"/>
      <c r="D2" s="97"/>
      <c r="E2" s="162" t="s">
        <v>6</v>
      </c>
      <c r="F2" s="162"/>
      <c r="G2" s="162" t="s">
        <v>7</v>
      </c>
      <c r="H2" s="162"/>
      <c r="I2" s="162" t="s">
        <v>1</v>
      </c>
      <c r="J2" s="162"/>
      <c r="K2" s="162" t="s">
        <v>2</v>
      </c>
      <c r="L2" s="162"/>
      <c r="M2" s="162" t="s">
        <v>3</v>
      </c>
      <c r="N2" s="162"/>
      <c r="O2" s="162" t="s">
        <v>4</v>
      </c>
      <c r="P2" s="162"/>
      <c r="Q2" s="162" t="s">
        <v>5</v>
      </c>
      <c r="R2" s="162"/>
      <c r="S2" s="162" t="s">
        <v>6</v>
      </c>
      <c r="T2" s="162"/>
      <c r="U2" s="162" t="s">
        <v>7</v>
      </c>
      <c r="V2" s="162"/>
      <c r="W2" s="162" t="s">
        <v>1</v>
      </c>
      <c r="X2" s="162"/>
      <c r="Y2" s="162" t="s">
        <v>2</v>
      </c>
      <c r="Z2" s="162"/>
      <c r="AA2" s="162" t="s">
        <v>3</v>
      </c>
      <c r="AB2" s="162"/>
      <c r="AC2" s="162" t="s">
        <v>4</v>
      </c>
      <c r="AD2" s="162"/>
      <c r="AE2" s="162" t="s">
        <v>5</v>
      </c>
      <c r="AF2" s="162"/>
      <c r="AG2" s="162" t="s">
        <v>6</v>
      </c>
      <c r="AH2" s="162"/>
      <c r="AI2" s="140"/>
      <c r="AJ2" s="188"/>
      <c r="AK2" s="162" t="s">
        <v>7</v>
      </c>
      <c r="AL2" s="170"/>
      <c r="AM2" s="162" t="s">
        <v>1</v>
      </c>
      <c r="AN2" s="170"/>
      <c r="AO2" s="162" t="s">
        <v>2</v>
      </c>
      <c r="AP2" s="170"/>
      <c r="AQ2" s="162" t="s">
        <v>3</v>
      </c>
      <c r="AR2" s="170"/>
      <c r="AS2" s="162" t="s">
        <v>4</v>
      </c>
      <c r="AT2" s="170"/>
      <c r="AU2" s="162" t="s">
        <v>5</v>
      </c>
      <c r="AV2" s="170"/>
      <c r="AW2" s="162" t="s">
        <v>6</v>
      </c>
      <c r="AX2" s="170"/>
      <c r="AY2" s="162" t="s">
        <v>7</v>
      </c>
      <c r="AZ2" s="170"/>
      <c r="BA2" s="162" t="s">
        <v>1</v>
      </c>
      <c r="BB2" s="170"/>
      <c r="BC2" s="162" t="s">
        <v>2</v>
      </c>
      <c r="BD2" s="170"/>
      <c r="BE2" s="162" t="s">
        <v>3</v>
      </c>
      <c r="BF2" s="170"/>
      <c r="BG2" s="162" t="s">
        <v>4</v>
      </c>
      <c r="BH2" s="170"/>
      <c r="BI2" s="162" t="s">
        <v>5</v>
      </c>
      <c r="BJ2" s="170"/>
      <c r="BK2" s="162" t="s">
        <v>6</v>
      </c>
      <c r="BL2" s="170"/>
      <c r="BM2" s="162" t="s">
        <v>7</v>
      </c>
      <c r="BN2" s="170"/>
      <c r="BO2" s="177" t="s">
        <v>8</v>
      </c>
      <c r="BP2" s="181" t="s">
        <v>9</v>
      </c>
      <c r="BQ2" s="184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5"/>
      <c r="CC2" s="186"/>
      <c r="CE2" s="168" t="s">
        <v>201</v>
      </c>
      <c r="CF2" s="168"/>
      <c r="CG2" s="168"/>
      <c r="CH2" s="168"/>
      <c r="CI2" s="168"/>
      <c r="CJ2" s="168"/>
      <c r="CK2" s="168"/>
      <c r="CL2" s="168"/>
      <c r="CM2" s="168"/>
      <c r="CN2" s="168"/>
      <c r="CO2" s="49"/>
    </row>
    <row r="3" spans="1:93" ht="22.5" customHeight="1" x14ac:dyDescent="0.25">
      <c r="A3" s="176"/>
      <c r="B3" s="176"/>
      <c r="C3" s="176"/>
      <c r="D3" s="97"/>
      <c r="E3" s="169">
        <v>46174</v>
      </c>
      <c r="F3" s="169"/>
      <c r="G3" s="169">
        <v>46175</v>
      </c>
      <c r="H3" s="169"/>
      <c r="I3" s="169">
        <v>46176</v>
      </c>
      <c r="J3" s="169"/>
      <c r="K3" s="169">
        <v>46177</v>
      </c>
      <c r="L3" s="169"/>
      <c r="M3" s="169">
        <v>46178</v>
      </c>
      <c r="N3" s="169"/>
      <c r="O3" s="169">
        <v>46179</v>
      </c>
      <c r="P3" s="169"/>
      <c r="Q3" s="169">
        <v>46180</v>
      </c>
      <c r="R3" s="169"/>
      <c r="S3" s="169">
        <v>46181</v>
      </c>
      <c r="T3" s="169"/>
      <c r="U3" s="169">
        <v>46182</v>
      </c>
      <c r="V3" s="169"/>
      <c r="W3" s="169">
        <v>46183</v>
      </c>
      <c r="X3" s="169"/>
      <c r="Y3" s="169">
        <v>46184</v>
      </c>
      <c r="Z3" s="169"/>
      <c r="AA3" s="169">
        <v>46185</v>
      </c>
      <c r="AB3" s="169"/>
      <c r="AC3" s="169">
        <v>46186</v>
      </c>
      <c r="AD3" s="169"/>
      <c r="AE3" s="169">
        <v>46187</v>
      </c>
      <c r="AF3" s="169"/>
      <c r="AG3" s="169">
        <v>46188</v>
      </c>
      <c r="AH3" s="169"/>
      <c r="AI3" s="141"/>
      <c r="AJ3" s="188"/>
      <c r="AK3" s="169">
        <v>46189</v>
      </c>
      <c r="AL3" s="174"/>
      <c r="AM3" s="169">
        <v>46190</v>
      </c>
      <c r="AN3" s="174"/>
      <c r="AO3" s="169">
        <v>46191</v>
      </c>
      <c r="AP3" s="174"/>
      <c r="AQ3" s="169">
        <v>46192</v>
      </c>
      <c r="AR3" s="174"/>
      <c r="AS3" s="169">
        <v>46193</v>
      </c>
      <c r="AT3" s="174"/>
      <c r="AU3" s="169">
        <v>46194</v>
      </c>
      <c r="AV3" s="174"/>
      <c r="AW3" s="169">
        <v>46195</v>
      </c>
      <c r="AX3" s="174"/>
      <c r="AY3" s="169">
        <v>46196</v>
      </c>
      <c r="AZ3" s="174"/>
      <c r="BA3" s="169">
        <v>46197</v>
      </c>
      <c r="BB3" s="174"/>
      <c r="BC3" s="169">
        <v>46198</v>
      </c>
      <c r="BD3" s="174"/>
      <c r="BE3" s="169">
        <v>46199</v>
      </c>
      <c r="BF3" s="174"/>
      <c r="BG3" s="169">
        <v>46200</v>
      </c>
      <c r="BH3" s="174"/>
      <c r="BI3" s="169">
        <v>46201</v>
      </c>
      <c r="BJ3" s="174"/>
      <c r="BK3" s="169">
        <v>46202</v>
      </c>
      <c r="BL3" s="174"/>
      <c r="BM3" s="169">
        <v>46203</v>
      </c>
      <c r="BN3" s="174"/>
      <c r="BO3" s="178"/>
      <c r="BP3" s="182"/>
      <c r="BQ3" s="2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4"/>
      <c r="CE3" s="59" t="s">
        <v>265</v>
      </c>
      <c r="CF3" s="59"/>
      <c r="CG3" s="59"/>
      <c r="CH3" s="59"/>
      <c r="CI3" s="59"/>
      <c r="CJ3" s="59"/>
      <c r="CK3" s="59"/>
      <c r="CL3" s="59"/>
      <c r="CM3" s="59"/>
      <c r="CN3" s="59"/>
      <c r="CO3" s="49"/>
    </row>
    <row r="4" spans="1:93" ht="20.25" customHeight="1" x14ac:dyDescent="0.25">
      <c r="A4" s="5" t="s">
        <v>10</v>
      </c>
      <c r="B4" s="5" t="s">
        <v>11</v>
      </c>
      <c r="C4" s="5" t="s">
        <v>12</v>
      </c>
      <c r="D4" s="15"/>
      <c r="E4" s="15" t="s">
        <v>13</v>
      </c>
      <c r="F4" s="15" t="s">
        <v>14</v>
      </c>
      <c r="G4" s="15" t="s">
        <v>13</v>
      </c>
      <c r="H4" s="15" t="s">
        <v>14</v>
      </c>
      <c r="I4" s="15" t="s">
        <v>13</v>
      </c>
      <c r="J4" s="15" t="s">
        <v>14</v>
      </c>
      <c r="K4" s="15" t="s">
        <v>13</v>
      </c>
      <c r="L4" s="15" t="s">
        <v>14</v>
      </c>
      <c r="M4" s="15" t="s">
        <v>13</v>
      </c>
      <c r="N4" s="15" t="s">
        <v>14</v>
      </c>
      <c r="O4" s="15" t="s">
        <v>13</v>
      </c>
      <c r="P4" s="15" t="s">
        <v>14</v>
      </c>
      <c r="Q4" s="15" t="s">
        <v>13</v>
      </c>
      <c r="R4" s="15" t="s">
        <v>14</v>
      </c>
      <c r="S4" s="15" t="s">
        <v>13</v>
      </c>
      <c r="T4" s="15" t="s">
        <v>14</v>
      </c>
      <c r="U4" s="15" t="s">
        <v>13</v>
      </c>
      <c r="V4" s="15" t="s">
        <v>14</v>
      </c>
      <c r="W4" s="15" t="s">
        <v>13</v>
      </c>
      <c r="X4" s="15" t="s">
        <v>14</v>
      </c>
      <c r="Y4" s="15" t="s">
        <v>13</v>
      </c>
      <c r="Z4" s="15" t="s">
        <v>14</v>
      </c>
      <c r="AA4" s="15" t="s">
        <v>13</v>
      </c>
      <c r="AB4" s="15" t="s">
        <v>14</v>
      </c>
      <c r="AC4" s="15" t="s">
        <v>13</v>
      </c>
      <c r="AD4" s="15" t="s">
        <v>14</v>
      </c>
      <c r="AE4" s="15" t="s">
        <v>13</v>
      </c>
      <c r="AF4" s="15" t="s">
        <v>14</v>
      </c>
      <c r="AG4" s="15" t="s">
        <v>13</v>
      </c>
      <c r="AH4" s="15" t="s">
        <v>14</v>
      </c>
      <c r="AI4" s="142"/>
      <c r="AJ4" s="188"/>
      <c r="AK4" s="15" t="s">
        <v>13</v>
      </c>
      <c r="AL4" s="16" t="s">
        <v>14</v>
      </c>
      <c r="AM4" s="15" t="s">
        <v>13</v>
      </c>
      <c r="AN4" s="16" t="s">
        <v>14</v>
      </c>
      <c r="AO4" s="15" t="s">
        <v>13</v>
      </c>
      <c r="AP4" s="16" t="s">
        <v>14</v>
      </c>
      <c r="AQ4" s="15" t="s">
        <v>13</v>
      </c>
      <c r="AR4" s="16" t="s">
        <v>14</v>
      </c>
      <c r="AS4" s="15" t="s">
        <v>13</v>
      </c>
      <c r="AT4" s="16" t="s">
        <v>14</v>
      </c>
      <c r="AU4" s="15" t="s">
        <v>13</v>
      </c>
      <c r="AV4" s="16" t="s">
        <v>14</v>
      </c>
      <c r="AW4" s="15" t="s">
        <v>13</v>
      </c>
      <c r="AX4" s="16" t="s">
        <v>14</v>
      </c>
      <c r="AY4" s="15" t="s">
        <v>13</v>
      </c>
      <c r="AZ4" s="16" t="s">
        <v>14</v>
      </c>
      <c r="BA4" s="15" t="s">
        <v>13</v>
      </c>
      <c r="BB4" s="16" t="s">
        <v>14</v>
      </c>
      <c r="BC4" s="15" t="s">
        <v>13</v>
      </c>
      <c r="BD4" s="16" t="s">
        <v>14</v>
      </c>
      <c r="BE4" s="15" t="s">
        <v>13</v>
      </c>
      <c r="BF4" s="16" t="s">
        <v>14</v>
      </c>
      <c r="BG4" s="15" t="s">
        <v>13</v>
      </c>
      <c r="BH4" s="16" t="s">
        <v>14</v>
      </c>
      <c r="BI4" s="15" t="s">
        <v>13</v>
      </c>
      <c r="BJ4" s="16" t="s">
        <v>14</v>
      </c>
      <c r="BK4" s="15" t="s">
        <v>13</v>
      </c>
      <c r="BL4" s="16" t="s">
        <v>14</v>
      </c>
      <c r="BM4" s="15" t="s">
        <v>13</v>
      </c>
      <c r="BN4" s="16" t="s">
        <v>14</v>
      </c>
      <c r="BO4" s="179"/>
      <c r="BP4" s="183"/>
      <c r="BQ4" s="6"/>
      <c r="BR4" s="107" t="s">
        <v>15</v>
      </c>
      <c r="BS4" s="105" t="s">
        <v>16</v>
      </c>
      <c r="BT4" s="105" t="s">
        <v>17</v>
      </c>
      <c r="BU4" s="102" t="s">
        <v>18</v>
      </c>
      <c r="BV4" s="105" t="s">
        <v>19</v>
      </c>
      <c r="BW4" s="105" t="s">
        <v>20</v>
      </c>
      <c r="BX4" s="82" t="s">
        <v>181</v>
      </c>
      <c r="BY4" s="7" t="s">
        <v>22</v>
      </c>
      <c r="BZ4" s="84" t="s">
        <v>23</v>
      </c>
      <c r="CA4" s="84" t="s">
        <v>24</v>
      </c>
      <c r="CB4" s="84" t="s">
        <v>25</v>
      </c>
      <c r="CC4" s="8" t="s">
        <v>26</v>
      </c>
      <c r="CE4" s="53" t="s">
        <v>16</v>
      </c>
      <c r="CF4" s="54" t="s">
        <v>17</v>
      </c>
      <c r="CG4" s="54" t="s">
        <v>18</v>
      </c>
      <c r="CH4" s="54" t="s">
        <v>19</v>
      </c>
      <c r="CI4" s="54" t="s">
        <v>20</v>
      </c>
      <c r="CJ4" s="54" t="s">
        <v>21</v>
      </c>
      <c r="CK4" s="54" t="s">
        <v>22</v>
      </c>
      <c r="CL4" s="54" t="s">
        <v>23</v>
      </c>
      <c r="CM4" s="54" t="s">
        <v>24</v>
      </c>
      <c r="CN4" s="54" t="s">
        <v>25</v>
      </c>
      <c r="CO4" s="55" t="s">
        <v>202</v>
      </c>
    </row>
    <row r="5" spans="1:93" ht="22.5" customHeight="1" x14ac:dyDescent="0.25">
      <c r="A5" s="12">
        <v>1</v>
      </c>
      <c r="B5" s="13" t="s">
        <v>27</v>
      </c>
      <c r="C5" s="9" t="s">
        <v>28</v>
      </c>
      <c r="D5" s="98">
        <v>44045</v>
      </c>
      <c r="E5" s="71">
        <v>0.38541666666666669</v>
      </c>
      <c r="F5" s="71">
        <v>0.70416666666666661</v>
      </c>
      <c r="G5" s="71">
        <v>0.38958333333333334</v>
      </c>
      <c r="H5" s="71">
        <v>0.74097222222222225</v>
      </c>
      <c r="I5" s="71">
        <v>0.38541666666666669</v>
      </c>
      <c r="J5" s="71">
        <v>0.7284722222222223</v>
      </c>
      <c r="K5" s="71">
        <v>0.38680555555555557</v>
      </c>
      <c r="L5" s="71">
        <v>0.7284722222222223</v>
      </c>
      <c r="M5" s="107" t="s">
        <v>15</v>
      </c>
      <c r="N5" s="125" t="s">
        <v>15</v>
      </c>
      <c r="O5" s="71">
        <v>0.4375</v>
      </c>
      <c r="P5" s="71">
        <v>0.72013888888888899</v>
      </c>
      <c r="Q5" s="71">
        <v>0.41250000000000003</v>
      </c>
      <c r="R5" s="71">
        <v>0.73541666666666661</v>
      </c>
      <c r="S5" s="71">
        <v>0.38611111111111113</v>
      </c>
      <c r="T5" s="71">
        <v>0.72291666666666676</v>
      </c>
      <c r="U5" s="71">
        <v>0.38611111111111113</v>
      </c>
      <c r="V5" s="76">
        <v>1</v>
      </c>
      <c r="W5" s="76">
        <v>1</v>
      </c>
      <c r="X5" s="76">
        <v>1</v>
      </c>
      <c r="Y5" s="71">
        <v>0.38611111111111113</v>
      </c>
      <c r="Z5" s="71">
        <v>0.71666666666666667</v>
      </c>
      <c r="AA5" s="107" t="s">
        <v>15</v>
      </c>
      <c r="AB5" s="125" t="s">
        <v>15</v>
      </c>
      <c r="AC5" s="71">
        <v>0.43402777777777773</v>
      </c>
      <c r="AD5" s="71">
        <v>0.7416666666666667</v>
      </c>
      <c r="AE5" s="71">
        <v>0.3833333333333333</v>
      </c>
      <c r="AF5" s="76">
        <v>1</v>
      </c>
      <c r="AG5" s="71">
        <v>0.38125000000000003</v>
      </c>
      <c r="AH5" s="71">
        <v>0.71666666666666667</v>
      </c>
      <c r="AI5" s="143"/>
      <c r="AJ5" s="103">
        <v>1</v>
      </c>
      <c r="AK5" s="71">
        <v>0.42152777777777778</v>
      </c>
      <c r="AL5" s="71">
        <v>0.73055555555555562</v>
      </c>
      <c r="AM5" s="71">
        <v>0.38750000000000001</v>
      </c>
      <c r="AN5" s="71">
        <v>0.72638888888888886</v>
      </c>
      <c r="AO5" s="71">
        <v>0.38611111111111113</v>
      </c>
      <c r="AP5" s="71">
        <v>0.73819444444444438</v>
      </c>
      <c r="AQ5" s="125" t="s">
        <v>15</v>
      </c>
      <c r="AR5" s="125" t="s">
        <v>15</v>
      </c>
      <c r="AS5" s="71">
        <v>0.42638888888888887</v>
      </c>
      <c r="AT5" s="71">
        <v>0.71319444444444446</v>
      </c>
      <c r="AU5" s="71">
        <v>0.39027777777777778</v>
      </c>
      <c r="AV5" s="71">
        <v>0.73541666666666661</v>
      </c>
      <c r="AW5" s="71">
        <v>0.39166666666666666</v>
      </c>
      <c r="AX5" s="71">
        <v>0.72222222222222221</v>
      </c>
      <c r="AY5" s="71">
        <v>0.3840277777777778</v>
      </c>
      <c r="AZ5" s="71">
        <v>0.72569444444444453</v>
      </c>
      <c r="BA5" s="71">
        <v>0.38958333333333334</v>
      </c>
      <c r="BB5" s="71">
        <v>0.72361111111111109</v>
      </c>
      <c r="BC5" s="71">
        <v>0.38541666666666669</v>
      </c>
      <c r="BD5" s="71">
        <v>0.73402777777777783</v>
      </c>
      <c r="BE5" s="107" t="s">
        <v>15</v>
      </c>
      <c r="BF5" s="107" t="s">
        <v>15</v>
      </c>
      <c r="BG5" s="71">
        <v>0.4236111111111111</v>
      </c>
      <c r="BH5" s="71">
        <v>0.7597222222222223</v>
      </c>
      <c r="BI5" s="76">
        <v>1</v>
      </c>
      <c r="BJ5" s="76">
        <v>1</v>
      </c>
      <c r="BK5" s="71">
        <v>0.38958333333333334</v>
      </c>
      <c r="BL5" s="71">
        <v>0.71805555555555556</v>
      </c>
      <c r="BM5" s="71">
        <v>0.3888888888888889</v>
      </c>
      <c r="BN5" s="71">
        <v>0.75</v>
      </c>
      <c r="BO5" s="122">
        <f>BQ5+BR5+BT5+BY5+BW5+BX5+CB5+BS5</f>
        <v>30</v>
      </c>
      <c r="BP5" s="75">
        <v>0</v>
      </c>
      <c r="BQ5" s="2">
        <f t="shared" ref="BQ5:BQ28" si="0">COUNT(E5:AH5)/2+COUNT(AK5:BN5)/2</f>
        <v>26</v>
      </c>
      <c r="BR5" s="3">
        <f t="shared" ref="BR5:BR28" si="1">COUNTIF(E5:BN5,"OFF")/2</f>
        <v>4</v>
      </c>
      <c r="BS5" s="3">
        <f t="shared" ref="BS5:BS28" si="2">COUNTIF(E5:BN5,"MC")/2</f>
        <v>0</v>
      </c>
      <c r="BT5" s="3">
        <f t="shared" ref="BT5:BT28" si="3">COUNTIF(E5:BN5,"EL")/2</f>
        <v>0</v>
      </c>
      <c r="BU5" s="3">
        <f t="shared" ref="BU5" si="4">COUNTIF(E5:BN5,"AL")/2</f>
        <v>0</v>
      </c>
      <c r="BV5" s="3">
        <f t="shared" ref="BV5:BV28" si="5">COUNTIF(E5:BN5,"SUS")/2</f>
        <v>0</v>
      </c>
      <c r="BW5" s="3">
        <f t="shared" ref="BW5:BW28" si="6">COUNTIF(E5:BN5,"FL")/2</f>
        <v>0</v>
      </c>
      <c r="BX5" s="3">
        <f t="shared" ref="BX5:BX28" si="7">COUNTIF(E5:BN5,"SICK")/2</f>
        <v>0</v>
      </c>
      <c r="BY5" s="3">
        <f t="shared" ref="BY5:BY28" si="8">COUNTIF(E5:BN5,"HD")/2</f>
        <v>0</v>
      </c>
      <c r="BZ5" s="3">
        <f t="shared" ref="BZ5:BZ28" si="9">COUNTIF(E5:BN5,"AB")/2</f>
        <v>0</v>
      </c>
      <c r="CA5" s="3">
        <f t="shared" ref="CA5:CA28" si="10">COUNTIF(E5:BN5,"NL")/2</f>
        <v>0</v>
      </c>
      <c r="CB5" s="3">
        <f t="shared" ref="CB5:CB28" si="11">COUNTIF(E5:BN5,"SP")/2</f>
        <v>0</v>
      </c>
      <c r="CC5" s="4"/>
      <c r="CE5" s="56">
        <v>0</v>
      </c>
      <c r="CF5" s="56">
        <v>0</v>
      </c>
      <c r="CG5" s="57">
        <v>77</v>
      </c>
      <c r="CH5" s="56">
        <v>0</v>
      </c>
      <c r="CI5" s="57">
        <v>1</v>
      </c>
      <c r="CJ5" s="57">
        <v>5</v>
      </c>
      <c r="CK5" s="56">
        <v>0</v>
      </c>
      <c r="CL5" s="56">
        <v>0</v>
      </c>
      <c r="CM5" s="56">
        <v>0</v>
      </c>
      <c r="CN5" s="56">
        <v>0</v>
      </c>
      <c r="CO5" s="52">
        <f t="shared" ref="CO5:CO28" si="12">SUM(CE5:CN5)</f>
        <v>83</v>
      </c>
    </row>
    <row r="6" spans="1:93" ht="21" customHeight="1" x14ac:dyDescent="0.25">
      <c r="A6" s="12">
        <v>2</v>
      </c>
      <c r="B6" s="13" t="s">
        <v>29</v>
      </c>
      <c r="C6" s="88" t="s">
        <v>30</v>
      </c>
      <c r="D6" s="98">
        <v>41972</v>
      </c>
      <c r="E6" s="71">
        <v>0.4069444444444445</v>
      </c>
      <c r="F6" s="76">
        <v>1</v>
      </c>
      <c r="G6" s="71">
        <v>0.41805555555555557</v>
      </c>
      <c r="H6" s="76">
        <v>1</v>
      </c>
      <c r="I6" s="71">
        <v>0.41805555555555557</v>
      </c>
      <c r="J6" s="76">
        <v>1</v>
      </c>
      <c r="K6" s="71">
        <v>0.41111111111111115</v>
      </c>
      <c r="L6" s="76">
        <v>1</v>
      </c>
      <c r="M6" s="123">
        <v>0.65208333333333335</v>
      </c>
      <c r="N6" s="126">
        <v>1</v>
      </c>
      <c r="O6" s="71">
        <v>0.42430555555555555</v>
      </c>
      <c r="P6" s="76">
        <v>1</v>
      </c>
      <c r="Q6" s="71">
        <v>0.41319444444444442</v>
      </c>
      <c r="R6" s="76">
        <v>1</v>
      </c>
      <c r="S6" s="71">
        <v>0.41597222222222219</v>
      </c>
      <c r="T6" s="76">
        <v>1</v>
      </c>
      <c r="U6" s="76">
        <v>1</v>
      </c>
      <c r="V6" s="76">
        <v>1</v>
      </c>
      <c r="W6" s="76">
        <v>1</v>
      </c>
      <c r="X6" s="76">
        <v>1</v>
      </c>
      <c r="Y6" s="71">
        <v>0.39444444444444443</v>
      </c>
      <c r="Z6" s="76">
        <v>1</v>
      </c>
      <c r="AA6" s="123">
        <v>0.5805555555555556</v>
      </c>
      <c r="AB6" s="124">
        <v>1</v>
      </c>
      <c r="AC6" s="71">
        <v>0.40416666666666662</v>
      </c>
      <c r="AD6" s="76">
        <v>1</v>
      </c>
      <c r="AE6" s="71">
        <v>0.39444444444444443</v>
      </c>
      <c r="AF6" s="76">
        <v>1</v>
      </c>
      <c r="AG6" s="71">
        <v>0.4152777777777778</v>
      </c>
      <c r="AH6" s="76">
        <v>1</v>
      </c>
      <c r="AI6" s="135"/>
      <c r="AJ6" s="103">
        <v>2</v>
      </c>
      <c r="AK6" s="71">
        <v>0.41041666666666665</v>
      </c>
      <c r="AL6" s="76">
        <v>1</v>
      </c>
      <c r="AM6" s="71">
        <v>0.40416666666666662</v>
      </c>
      <c r="AN6" s="76">
        <v>1</v>
      </c>
      <c r="AO6" s="71">
        <v>0.41666666666666669</v>
      </c>
      <c r="AP6" s="76">
        <v>1</v>
      </c>
      <c r="AQ6" s="123">
        <v>0.6381944444444444</v>
      </c>
      <c r="AR6" s="124">
        <v>1</v>
      </c>
      <c r="AS6" s="71">
        <v>0.4291666666666667</v>
      </c>
      <c r="AT6" s="76">
        <v>1</v>
      </c>
      <c r="AU6" s="71">
        <v>0.40902777777777777</v>
      </c>
      <c r="AV6" s="76">
        <v>1</v>
      </c>
      <c r="AW6" s="71">
        <v>0.42499999999999999</v>
      </c>
      <c r="AX6" s="76">
        <v>1</v>
      </c>
      <c r="AY6" s="71">
        <v>0.41250000000000003</v>
      </c>
      <c r="AZ6" s="76">
        <v>1</v>
      </c>
      <c r="BA6" s="71">
        <v>0.41597222222222219</v>
      </c>
      <c r="BB6" s="76">
        <v>1</v>
      </c>
      <c r="BC6" s="71">
        <v>0.41319444444444442</v>
      </c>
      <c r="BD6" s="76">
        <v>1</v>
      </c>
      <c r="BE6" s="123">
        <v>0.64236111111111105</v>
      </c>
      <c r="BF6" s="124">
        <v>1</v>
      </c>
      <c r="BG6" s="71">
        <v>0.40138888888888885</v>
      </c>
      <c r="BH6" s="76">
        <v>1</v>
      </c>
      <c r="BI6" s="71">
        <v>0.41875000000000001</v>
      </c>
      <c r="BJ6" s="76">
        <v>1</v>
      </c>
      <c r="BK6" s="71">
        <v>0.40763888888888888</v>
      </c>
      <c r="BL6" s="76">
        <v>1</v>
      </c>
      <c r="BM6" s="71">
        <v>0.42152777777777778</v>
      </c>
      <c r="BN6" s="76">
        <v>1</v>
      </c>
      <c r="BO6" s="122">
        <f t="shared" ref="BO6:BO28" si="13">BQ6+BR6+BT6+BY6+BW6+BX6+CB6+BS6</f>
        <v>30</v>
      </c>
      <c r="BP6" s="75">
        <v>4</v>
      </c>
      <c r="BQ6" s="2">
        <f t="shared" si="0"/>
        <v>30</v>
      </c>
      <c r="BR6" s="3">
        <f t="shared" si="1"/>
        <v>0</v>
      </c>
      <c r="BS6" s="3">
        <f t="shared" si="2"/>
        <v>0</v>
      </c>
      <c r="BT6" s="3">
        <f t="shared" si="3"/>
        <v>0</v>
      </c>
      <c r="BU6" s="3">
        <f t="shared" ref="BU6:BU28" si="14">COUNTIF(E6:BN6,"AL")/2</f>
        <v>0</v>
      </c>
      <c r="BV6" s="3">
        <f t="shared" si="5"/>
        <v>0</v>
      </c>
      <c r="BW6" s="3">
        <f t="shared" si="6"/>
        <v>0</v>
      </c>
      <c r="BX6" s="3">
        <f t="shared" si="7"/>
        <v>0</v>
      </c>
      <c r="BY6" s="3">
        <f t="shared" si="8"/>
        <v>0</v>
      </c>
      <c r="BZ6" s="3">
        <f t="shared" si="9"/>
        <v>0</v>
      </c>
      <c r="CA6" s="3">
        <f t="shared" si="10"/>
        <v>0</v>
      </c>
      <c r="CB6" s="3">
        <f t="shared" si="11"/>
        <v>0</v>
      </c>
      <c r="CC6" s="78"/>
      <c r="CE6" s="56">
        <v>0</v>
      </c>
      <c r="CF6" s="56">
        <v>39</v>
      </c>
      <c r="CG6" s="57">
        <v>0</v>
      </c>
      <c r="CH6" s="56">
        <v>0</v>
      </c>
      <c r="CI6" s="56">
        <v>0</v>
      </c>
      <c r="CJ6" s="56">
        <v>1</v>
      </c>
      <c r="CK6" s="56">
        <v>0</v>
      </c>
      <c r="CL6" s="56">
        <v>0</v>
      </c>
      <c r="CM6" s="56">
        <v>0</v>
      </c>
      <c r="CN6" s="56">
        <v>0</v>
      </c>
      <c r="CO6" s="52">
        <f t="shared" si="12"/>
        <v>40</v>
      </c>
    </row>
    <row r="7" spans="1:93" ht="21" customHeight="1" x14ac:dyDescent="0.25">
      <c r="A7" s="12">
        <v>3</v>
      </c>
      <c r="B7" s="13" t="s">
        <v>31</v>
      </c>
      <c r="C7" s="88" t="s">
        <v>32</v>
      </c>
      <c r="D7" s="98">
        <v>44650</v>
      </c>
      <c r="E7" s="71">
        <v>0.37361111111111112</v>
      </c>
      <c r="F7" s="71">
        <v>0.99722222222222223</v>
      </c>
      <c r="G7" s="71">
        <v>0.37291666666666662</v>
      </c>
      <c r="H7" s="71">
        <v>0.9902777777777777</v>
      </c>
      <c r="I7" s="71">
        <v>0.37222222222222223</v>
      </c>
      <c r="J7" s="76">
        <v>1</v>
      </c>
      <c r="K7" s="71">
        <v>0.3743055555555555</v>
      </c>
      <c r="L7" s="71">
        <v>4.8611111111111112E-3</v>
      </c>
      <c r="M7" s="123">
        <v>0.58888888888888891</v>
      </c>
      <c r="N7" s="127">
        <v>0.76250000000000007</v>
      </c>
      <c r="O7" s="71">
        <v>0.4152777777777778</v>
      </c>
      <c r="P7" s="71">
        <v>0.99930555555555556</v>
      </c>
      <c r="Q7" s="71">
        <v>0.37777777777777777</v>
      </c>
      <c r="R7" s="71">
        <v>0.98888888888888893</v>
      </c>
      <c r="S7" s="71">
        <v>0.38125000000000003</v>
      </c>
      <c r="T7" s="71">
        <v>0.98888888888888893</v>
      </c>
      <c r="U7" s="71">
        <v>0.38819444444444445</v>
      </c>
      <c r="V7" s="76">
        <v>1</v>
      </c>
      <c r="W7" s="76">
        <v>1</v>
      </c>
      <c r="X7" s="76">
        <v>1</v>
      </c>
      <c r="Y7" s="71">
        <v>0.37361111111111112</v>
      </c>
      <c r="Z7" s="71">
        <v>1.0416666666666666E-2</v>
      </c>
      <c r="AA7" s="123">
        <v>0.60138888888888886</v>
      </c>
      <c r="AB7" s="123">
        <v>0.90347222222222223</v>
      </c>
      <c r="AC7" s="71">
        <v>0.41597222222222219</v>
      </c>
      <c r="AD7" s="71">
        <v>0.76736111111111116</v>
      </c>
      <c r="AE7" s="71">
        <v>0.37638888888888888</v>
      </c>
      <c r="AF7" s="76">
        <v>1</v>
      </c>
      <c r="AG7" s="71">
        <v>0.37361111111111112</v>
      </c>
      <c r="AH7" s="76">
        <v>1</v>
      </c>
      <c r="AI7" s="135"/>
      <c r="AJ7" s="103">
        <v>3</v>
      </c>
      <c r="AK7" s="71">
        <v>0.38194444444444442</v>
      </c>
      <c r="AL7" s="71">
        <v>0.98819444444444438</v>
      </c>
      <c r="AM7" s="71">
        <v>0.375</v>
      </c>
      <c r="AN7" s="71">
        <v>0.99375000000000002</v>
      </c>
      <c r="AO7" s="71">
        <v>0.37638888888888888</v>
      </c>
      <c r="AP7" s="71">
        <v>1.7361111111111112E-2</v>
      </c>
      <c r="AQ7" s="123">
        <v>0.59722222222222221</v>
      </c>
      <c r="AR7" s="123">
        <v>0.75763888888888886</v>
      </c>
      <c r="AS7" s="71">
        <v>0.41319444444444442</v>
      </c>
      <c r="AT7" s="71">
        <v>0.78402777777777777</v>
      </c>
      <c r="AU7" s="71">
        <v>0.375</v>
      </c>
      <c r="AV7" s="71">
        <v>0.98402777777777783</v>
      </c>
      <c r="AW7" s="71">
        <v>0.3743055555555555</v>
      </c>
      <c r="AX7" s="71">
        <v>0.98819444444444438</v>
      </c>
      <c r="AY7" s="71">
        <v>0.37291666666666662</v>
      </c>
      <c r="AZ7" s="71">
        <v>0.98819444444444438</v>
      </c>
      <c r="BA7" s="71">
        <v>0.375</v>
      </c>
      <c r="BB7" s="71">
        <v>0.9868055555555556</v>
      </c>
      <c r="BC7" s="71">
        <v>0.37291666666666662</v>
      </c>
      <c r="BD7" s="71">
        <v>3.8194444444444441E-2</v>
      </c>
      <c r="BE7" s="123">
        <v>0.58263888888888882</v>
      </c>
      <c r="BF7" s="123">
        <v>0.70624999999999993</v>
      </c>
      <c r="BG7" s="71">
        <v>0.41736111111111113</v>
      </c>
      <c r="BH7" s="71">
        <v>0.75763888888888886</v>
      </c>
      <c r="BI7" s="71">
        <v>0.37777777777777777</v>
      </c>
      <c r="BJ7" s="71">
        <v>0.99722222222222223</v>
      </c>
      <c r="BK7" s="71">
        <v>0.37847222222222227</v>
      </c>
      <c r="BL7" s="71">
        <v>0.99375000000000002</v>
      </c>
      <c r="BM7" s="71">
        <v>0.75277777777777777</v>
      </c>
      <c r="BN7" s="71">
        <v>0.9902777777777777</v>
      </c>
      <c r="BO7" s="122">
        <f t="shared" si="13"/>
        <v>30</v>
      </c>
      <c r="BP7" s="75">
        <v>4</v>
      </c>
      <c r="BQ7" s="2">
        <f t="shared" si="0"/>
        <v>30</v>
      </c>
      <c r="BR7" s="3">
        <f t="shared" si="1"/>
        <v>0</v>
      </c>
      <c r="BS7" s="3">
        <f t="shared" si="2"/>
        <v>0</v>
      </c>
      <c r="BT7" s="3">
        <f t="shared" si="3"/>
        <v>0</v>
      </c>
      <c r="BU7" s="3">
        <f t="shared" si="14"/>
        <v>0</v>
      </c>
      <c r="BV7" s="3">
        <f t="shared" si="5"/>
        <v>0</v>
      </c>
      <c r="BW7" s="3">
        <f t="shared" si="6"/>
        <v>0</v>
      </c>
      <c r="BX7" s="3">
        <f t="shared" si="7"/>
        <v>0</v>
      </c>
      <c r="BY7" s="3">
        <f t="shared" si="8"/>
        <v>0</v>
      </c>
      <c r="BZ7" s="3">
        <f t="shared" si="9"/>
        <v>0</v>
      </c>
      <c r="CA7" s="3">
        <f t="shared" si="10"/>
        <v>0</v>
      </c>
      <c r="CB7" s="3">
        <f t="shared" si="11"/>
        <v>0</v>
      </c>
      <c r="CC7" s="78"/>
      <c r="CE7" s="56">
        <v>0</v>
      </c>
      <c r="CF7" s="56">
        <v>5</v>
      </c>
      <c r="CG7" s="57">
        <v>65</v>
      </c>
      <c r="CH7" s="56">
        <v>0</v>
      </c>
      <c r="CI7" s="56">
        <v>1</v>
      </c>
      <c r="CJ7" s="56">
        <v>2</v>
      </c>
      <c r="CK7" s="56">
        <v>0</v>
      </c>
      <c r="CL7" s="56">
        <v>0</v>
      </c>
      <c r="CM7" s="56">
        <v>0</v>
      </c>
      <c r="CN7" s="56">
        <v>0</v>
      </c>
      <c r="CO7" s="58">
        <f t="shared" si="12"/>
        <v>73</v>
      </c>
    </row>
    <row r="8" spans="1:93" ht="21" customHeight="1" x14ac:dyDescent="0.25">
      <c r="A8" s="12">
        <v>4</v>
      </c>
      <c r="B8" s="13" t="s">
        <v>33</v>
      </c>
      <c r="C8" s="88" t="s">
        <v>34</v>
      </c>
      <c r="D8" s="98">
        <v>37431</v>
      </c>
      <c r="E8" s="71">
        <v>0.39305555555555555</v>
      </c>
      <c r="F8" s="71">
        <v>6.9444444444444447E-4</v>
      </c>
      <c r="G8" s="71">
        <v>0.3833333333333333</v>
      </c>
      <c r="H8" s="76">
        <v>1</v>
      </c>
      <c r="I8" s="71">
        <v>0.375</v>
      </c>
      <c r="J8" s="71">
        <v>0.99583333333333324</v>
      </c>
      <c r="K8" s="71">
        <v>0.38541666666666669</v>
      </c>
      <c r="L8" s="71">
        <v>1.3888888888888888E-2</v>
      </c>
      <c r="M8" s="123">
        <v>0.98749999999999993</v>
      </c>
      <c r="N8" s="126">
        <v>1</v>
      </c>
      <c r="O8" s="71">
        <v>0.36874999999999997</v>
      </c>
      <c r="P8" s="71">
        <v>3.472222222222222E-3</v>
      </c>
      <c r="Q8" s="71">
        <v>0.39513888888888887</v>
      </c>
      <c r="R8" s="71">
        <v>0.98749999999999993</v>
      </c>
      <c r="S8" s="71">
        <v>0.38263888888888892</v>
      </c>
      <c r="T8" s="71">
        <v>0.98819444444444438</v>
      </c>
      <c r="U8" s="71">
        <v>0.40208333333333335</v>
      </c>
      <c r="V8" s="76">
        <v>1</v>
      </c>
      <c r="W8" s="71">
        <v>0.3756944444444445</v>
      </c>
      <c r="X8" s="76">
        <v>1</v>
      </c>
      <c r="Y8" s="71">
        <v>0.38125000000000003</v>
      </c>
      <c r="Z8" s="71">
        <v>8.3333333333333332E-3</v>
      </c>
      <c r="AA8" s="123">
        <v>0.57847222222222217</v>
      </c>
      <c r="AB8" s="123">
        <v>0.98472222222222217</v>
      </c>
      <c r="AC8" s="71">
        <v>0.375</v>
      </c>
      <c r="AD8" s="71">
        <v>2.013888888888889E-2</v>
      </c>
      <c r="AE8" s="71">
        <v>0.3888888888888889</v>
      </c>
      <c r="AF8" s="76">
        <v>1</v>
      </c>
      <c r="AG8" s="71">
        <v>0.37013888888888885</v>
      </c>
      <c r="AH8" s="71">
        <v>0.37013888888888885</v>
      </c>
      <c r="AI8" s="143"/>
      <c r="AJ8" s="103">
        <v>4</v>
      </c>
      <c r="AK8" s="71">
        <v>0.3972222222222222</v>
      </c>
      <c r="AL8" s="71">
        <v>0.9916666666666667</v>
      </c>
      <c r="AM8" s="71">
        <v>0.3659722222222222</v>
      </c>
      <c r="AN8" s="71">
        <v>0.98888888888888893</v>
      </c>
      <c r="AO8" s="71">
        <v>0.40277777777777773</v>
      </c>
      <c r="AP8" s="71">
        <v>1.6666666666666666E-2</v>
      </c>
      <c r="AQ8" s="123">
        <v>0.9375</v>
      </c>
      <c r="AR8" s="124">
        <v>1</v>
      </c>
      <c r="AS8" s="71">
        <v>0.37013888888888885</v>
      </c>
      <c r="AT8" s="76">
        <v>1</v>
      </c>
      <c r="AU8" s="71">
        <v>0.39097222222222222</v>
      </c>
      <c r="AV8" s="71">
        <v>0.98749999999999993</v>
      </c>
      <c r="AW8" s="71">
        <v>0.40138888888888885</v>
      </c>
      <c r="AX8" s="71">
        <v>0.98611111111111116</v>
      </c>
      <c r="AY8" s="71">
        <v>0.36458333333333331</v>
      </c>
      <c r="AZ8" s="71">
        <v>0.99791666666666667</v>
      </c>
      <c r="BA8" s="71">
        <v>0.37708333333333338</v>
      </c>
      <c r="BB8" s="71">
        <v>0.98749999999999993</v>
      </c>
      <c r="BC8" s="71">
        <v>0.3833333333333333</v>
      </c>
      <c r="BD8" s="71">
        <v>1.3888888888888888E-2</v>
      </c>
      <c r="BE8" s="123">
        <v>0.56597222222222221</v>
      </c>
      <c r="BF8" s="123">
        <v>0.98402777777777783</v>
      </c>
      <c r="BG8" s="71">
        <v>0.3833333333333333</v>
      </c>
      <c r="BH8" s="71">
        <v>2.0833333333333333E-3</v>
      </c>
      <c r="BI8" s="71">
        <v>0.40625</v>
      </c>
      <c r="BJ8" s="71">
        <v>0.9902777777777777</v>
      </c>
      <c r="BK8" s="71">
        <v>0.4145833333333333</v>
      </c>
      <c r="BL8" s="71">
        <v>0.99722222222222223</v>
      </c>
      <c r="BM8" s="71">
        <v>0.40625</v>
      </c>
      <c r="BN8" s="71">
        <v>0.99930555555555556</v>
      </c>
      <c r="BO8" s="122">
        <f t="shared" si="13"/>
        <v>30</v>
      </c>
      <c r="BP8" s="75">
        <v>4</v>
      </c>
      <c r="BQ8" s="2">
        <f t="shared" si="0"/>
        <v>30</v>
      </c>
      <c r="BR8" s="3">
        <f t="shared" si="1"/>
        <v>0</v>
      </c>
      <c r="BS8" s="3">
        <f t="shared" si="2"/>
        <v>0</v>
      </c>
      <c r="BT8" s="3">
        <f t="shared" si="3"/>
        <v>0</v>
      </c>
      <c r="BU8" s="3">
        <f t="shared" si="14"/>
        <v>0</v>
      </c>
      <c r="BV8" s="3">
        <f t="shared" si="5"/>
        <v>0</v>
      </c>
      <c r="BW8" s="3">
        <f t="shared" si="6"/>
        <v>0</v>
      </c>
      <c r="BX8" s="3">
        <f t="shared" si="7"/>
        <v>0</v>
      </c>
      <c r="BY8" s="3">
        <f t="shared" si="8"/>
        <v>0</v>
      </c>
      <c r="BZ8" s="3">
        <f t="shared" si="9"/>
        <v>0</v>
      </c>
      <c r="CA8" s="3">
        <f t="shared" si="10"/>
        <v>0</v>
      </c>
      <c r="CB8" s="3">
        <f t="shared" si="11"/>
        <v>0</v>
      </c>
      <c r="CC8" s="78"/>
      <c r="CE8" s="56">
        <v>0</v>
      </c>
      <c r="CF8" s="56">
        <v>0</v>
      </c>
      <c r="CG8" s="57">
        <v>23</v>
      </c>
      <c r="CH8" s="56">
        <v>0</v>
      </c>
      <c r="CI8" s="56">
        <v>0</v>
      </c>
      <c r="CJ8" s="56">
        <v>0</v>
      </c>
      <c r="CK8" s="56">
        <v>0</v>
      </c>
      <c r="CL8" s="56">
        <v>0</v>
      </c>
      <c r="CM8" s="56">
        <v>0</v>
      </c>
      <c r="CN8" s="56">
        <v>0</v>
      </c>
      <c r="CO8" s="58">
        <f t="shared" si="12"/>
        <v>23</v>
      </c>
    </row>
    <row r="9" spans="1:93" ht="21" customHeight="1" x14ac:dyDescent="0.25">
      <c r="A9" s="12">
        <v>5</v>
      </c>
      <c r="B9" s="13" t="s">
        <v>35</v>
      </c>
      <c r="C9" s="88" t="s">
        <v>36</v>
      </c>
      <c r="D9" s="98">
        <v>38630</v>
      </c>
      <c r="E9" s="71">
        <v>0.39097222222222222</v>
      </c>
      <c r="F9" s="71">
        <v>0.94097222222222221</v>
      </c>
      <c r="G9" s="71">
        <v>0.38263888888888892</v>
      </c>
      <c r="H9" s="71">
        <v>0.92083333333333339</v>
      </c>
      <c r="I9" s="71">
        <v>0.42986111111111108</v>
      </c>
      <c r="J9" s="71">
        <v>0.9375</v>
      </c>
      <c r="K9" s="71">
        <v>0.38541666666666669</v>
      </c>
      <c r="L9" s="71">
        <v>0.96875</v>
      </c>
      <c r="M9" s="123">
        <v>0.57777777777777783</v>
      </c>
      <c r="N9" s="126">
        <v>1</v>
      </c>
      <c r="O9" s="71">
        <v>0.38680555555555557</v>
      </c>
      <c r="P9" s="71">
        <v>0.95486111111111116</v>
      </c>
      <c r="Q9" s="71">
        <v>0.41111111111111115</v>
      </c>
      <c r="R9" s="71">
        <v>0.93194444444444446</v>
      </c>
      <c r="S9" s="71">
        <v>0.3888888888888889</v>
      </c>
      <c r="T9" s="71">
        <v>0.9194444444444444</v>
      </c>
      <c r="U9" s="71">
        <v>0.37152777777777773</v>
      </c>
      <c r="V9" s="71">
        <v>0.94652777777777775</v>
      </c>
      <c r="W9" s="71">
        <v>0.37986111111111115</v>
      </c>
      <c r="X9" s="76">
        <v>1</v>
      </c>
      <c r="Y9" s="71">
        <v>0.36944444444444446</v>
      </c>
      <c r="Z9" s="71">
        <v>0.95763888888888893</v>
      </c>
      <c r="AA9" s="107" t="s">
        <v>15</v>
      </c>
      <c r="AB9" s="125" t="s">
        <v>15</v>
      </c>
      <c r="AC9" s="71">
        <v>0.35694444444444445</v>
      </c>
      <c r="AD9" s="76">
        <v>1</v>
      </c>
      <c r="AE9" s="71">
        <v>0.38611111111111113</v>
      </c>
      <c r="AF9" s="71">
        <v>0.97638888888888886</v>
      </c>
      <c r="AG9" s="71">
        <v>0.37361111111111112</v>
      </c>
      <c r="AH9" s="71">
        <v>0.92638888888888893</v>
      </c>
      <c r="AI9" s="143"/>
      <c r="AJ9" s="103">
        <v>5</v>
      </c>
      <c r="AK9" s="71">
        <v>0.36249999999999999</v>
      </c>
      <c r="AL9" s="71">
        <v>0.90833333333333333</v>
      </c>
      <c r="AM9" s="71">
        <v>0.37222222222222223</v>
      </c>
      <c r="AN9" s="71">
        <v>0.92361111111111116</v>
      </c>
      <c r="AO9" s="71">
        <v>0.375</v>
      </c>
      <c r="AP9" s="71">
        <v>0.9277777777777777</v>
      </c>
      <c r="AQ9" s="123">
        <v>0.5756944444444444</v>
      </c>
      <c r="AR9" s="123">
        <v>0.91388888888888886</v>
      </c>
      <c r="AS9" s="71">
        <v>0.34791666666666665</v>
      </c>
      <c r="AT9" s="71">
        <v>0.97222222222222221</v>
      </c>
      <c r="AU9" s="71">
        <v>0.35625000000000001</v>
      </c>
      <c r="AV9" s="71">
        <v>0.92083333333333339</v>
      </c>
      <c r="AW9" s="71">
        <v>0.39861111111111108</v>
      </c>
      <c r="AX9" s="71">
        <v>0.9</v>
      </c>
      <c r="AY9" s="71">
        <v>0.3666666666666667</v>
      </c>
      <c r="AZ9" s="71">
        <v>0.92708333333333337</v>
      </c>
      <c r="BA9" s="71">
        <v>0.38750000000000001</v>
      </c>
      <c r="BB9" s="71">
        <v>0.91666666666666663</v>
      </c>
      <c r="BC9" s="71">
        <v>0.39374999999999999</v>
      </c>
      <c r="BD9" s="71">
        <v>0.93125000000000002</v>
      </c>
      <c r="BE9" s="107" t="s">
        <v>15</v>
      </c>
      <c r="BF9" s="107" t="s">
        <v>15</v>
      </c>
      <c r="BG9" s="71">
        <v>0.40138888888888885</v>
      </c>
      <c r="BH9" s="71">
        <v>0.93541666666666667</v>
      </c>
      <c r="BI9" s="71">
        <v>0.37916666666666665</v>
      </c>
      <c r="BJ9" s="71">
        <v>0.93541666666666667</v>
      </c>
      <c r="BK9" s="71">
        <v>0.3979166666666667</v>
      </c>
      <c r="BL9" s="71">
        <v>0.90763888888888899</v>
      </c>
      <c r="BM9" s="71">
        <v>0.38750000000000001</v>
      </c>
      <c r="BN9" s="71">
        <v>0.90833333333333333</v>
      </c>
      <c r="BO9" s="122">
        <f t="shared" si="13"/>
        <v>30</v>
      </c>
      <c r="BP9" s="75">
        <v>2</v>
      </c>
      <c r="BQ9" s="2">
        <f t="shared" si="0"/>
        <v>28</v>
      </c>
      <c r="BR9" s="3">
        <f t="shared" si="1"/>
        <v>2</v>
      </c>
      <c r="BS9" s="3">
        <f t="shared" si="2"/>
        <v>0</v>
      </c>
      <c r="BT9" s="3">
        <f t="shared" si="3"/>
        <v>0</v>
      </c>
      <c r="BU9" s="3">
        <f t="shared" si="14"/>
        <v>0</v>
      </c>
      <c r="BV9" s="3">
        <f t="shared" si="5"/>
        <v>0</v>
      </c>
      <c r="BW9" s="3">
        <f t="shared" si="6"/>
        <v>0</v>
      </c>
      <c r="BX9" s="3">
        <f t="shared" si="7"/>
        <v>0</v>
      </c>
      <c r="BY9" s="3">
        <f t="shared" si="8"/>
        <v>0</v>
      </c>
      <c r="BZ9" s="3">
        <f t="shared" si="9"/>
        <v>0</v>
      </c>
      <c r="CA9" s="3">
        <f t="shared" si="10"/>
        <v>0</v>
      </c>
      <c r="CB9" s="3">
        <f t="shared" si="11"/>
        <v>0</v>
      </c>
      <c r="CC9" s="78"/>
      <c r="CE9" s="56">
        <v>0</v>
      </c>
      <c r="CF9" s="56">
        <v>0</v>
      </c>
      <c r="CG9" s="57">
        <v>30</v>
      </c>
      <c r="CH9" s="56">
        <v>0</v>
      </c>
      <c r="CI9" s="56">
        <v>0</v>
      </c>
      <c r="CJ9" s="56">
        <v>4</v>
      </c>
      <c r="CK9" s="56">
        <v>0</v>
      </c>
      <c r="CL9" s="56">
        <v>0</v>
      </c>
      <c r="CM9" s="56">
        <v>0</v>
      </c>
      <c r="CN9" s="56">
        <v>0</v>
      </c>
      <c r="CO9" s="58">
        <f t="shared" si="12"/>
        <v>34</v>
      </c>
    </row>
    <row r="10" spans="1:93" ht="21" customHeight="1" x14ac:dyDescent="0.25">
      <c r="A10" s="12">
        <v>6</v>
      </c>
      <c r="B10" s="13" t="s">
        <v>37</v>
      </c>
      <c r="C10" s="88" t="s">
        <v>38</v>
      </c>
      <c r="D10" s="98">
        <v>44509</v>
      </c>
      <c r="E10" s="71">
        <v>0.37291666666666662</v>
      </c>
      <c r="F10" s="71">
        <v>0.91111111111111109</v>
      </c>
      <c r="G10" s="71">
        <v>0.41736111111111113</v>
      </c>
      <c r="H10" s="71">
        <v>0.70972222222222225</v>
      </c>
      <c r="I10" s="71">
        <v>0.3756944444444445</v>
      </c>
      <c r="J10" s="71">
        <v>0.87916666666666676</v>
      </c>
      <c r="K10" s="71">
        <v>0.36874999999999997</v>
      </c>
      <c r="L10" s="71">
        <v>0.72986111111111107</v>
      </c>
      <c r="M10" s="123">
        <v>0.6020833333333333</v>
      </c>
      <c r="N10" s="127">
        <v>0.65972222222222221</v>
      </c>
      <c r="O10" s="71">
        <v>0.42708333333333331</v>
      </c>
      <c r="P10" s="71">
        <v>0.72430555555555554</v>
      </c>
      <c r="Q10" s="71">
        <v>0.36944444444444446</v>
      </c>
      <c r="R10" s="71">
        <v>0.71597222222222223</v>
      </c>
      <c r="S10" s="71">
        <v>0.375</v>
      </c>
      <c r="T10" s="71">
        <v>0.72013888888888899</v>
      </c>
      <c r="U10" s="71">
        <v>0.375</v>
      </c>
      <c r="V10" s="76">
        <v>1</v>
      </c>
      <c r="W10" s="76">
        <v>1</v>
      </c>
      <c r="X10" s="76">
        <v>1</v>
      </c>
      <c r="Y10" s="71">
        <v>0.37083333333333335</v>
      </c>
      <c r="Z10" s="71">
        <v>0.71597222222222223</v>
      </c>
      <c r="AA10" s="107" t="s">
        <v>15</v>
      </c>
      <c r="AB10" s="125" t="s">
        <v>15</v>
      </c>
      <c r="AC10" s="71">
        <v>0.4069444444444445</v>
      </c>
      <c r="AD10" s="71">
        <v>0.71527777777777779</v>
      </c>
      <c r="AE10" s="71">
        <v>0.37083333333333335</v>
      </c>
      <c r="AF10" s="71">
        <v>0.71666666666666667</v>
      </c>
      <c r="AG10" s="71">
        <v>0.37083333333333335</v>
      </c>
      <c r="AH10" s="71">
        <v>0.72013888888888899</v>
      </c>
      <c r="AI10" s="143"/>
      <c r="AJ10" s="103">
        <v>6</v>
      </c>
      <c r="AK10" s="71">
        <v>0.41111111111111115</v>
      </c>
      <c r="AL10" s="71">
        <v>0.73125000000000007</v>
      </c>
      <c r="AM10" s="71">
        <v>0.37013888888888885</v>
      </c>
      <c r="AN10" s="71">
        <v>0.73611111111111116</v>
      </c>
      <c r="AO10" s="71">
        <v>0.3743055555555555</v>
      </c>
      <c r="AP10" s="71">
        <v>0.7090277777777777</v>
      </c>
      <c r="AQ10" s="125" t="s">
        <v>15</v>
      </c>
      <c r="AR10" s="125" t="s">
        <v>15</v>
      </c>
      <c r="AS10" s="105" t="s">
        <v>16</v>
      </c>
      <c r="AT10" s="105" t="s">
        <v>16</v>
      </c>
      <c r="AU10" s="76">
        <v>1</v>
      </c>
      <c r="AV10" s="76">
        <v>1</v>
      </c>
      <c r="AW10" s="71">
        <v>0.36388888888888887</v>
      </c>
      <c r="AX10" s="76">
        <v>1</v>
      </c>
      <c r="AY10" s="71">
        <v>0.37916666666666665</v>
      </c>
      <c r="AZ10" s="76">
        <v>1</v>
      </c>
      <c r="BA10" s="71">
        <v>0.37222222222222223</v>
      </c>
      <c r="BB10" s="71">
        <v>0.73263888888888884</v>
      </c>
      <c r="BC10" s="76">
        <v>1</v>
      </c>
      <c r="BD10" s="76">
        <v>1</v>
      </c>
      <c r="BE10" s="107" t="s">
        <v>15</v>
      </c>
      <c r="BF10" s="107" t="s">
        <v>15</v>
      </c>
      <c r="BG10" s="71">
        <v>0.40347222222222223</v>
      </c>
      <c r="BH10" s="71">
        <v>0.75416666666666676</v>
      </c>
      <c r="BI10" s="71">
        <v>0.70000000000000007</v>
      </c>
      <c r="BJ10" s="76">
        <v>1</v>
      </c>
      <c r="BK10" s="71">
        <v>0.37708333333333338</v>
      </c>
      <c r="BL10" s="71">
        <v>0.71250000000000002</v>
      </c>
      <c r="BM10" s="71">
        <v>0.74722222222222223</v>
      </c>
      <c r="BN10" s="76">
        <v>1</v>
      </c>
      <c r="BO10" s="122">
        <f t="shared" si="13"/>
        <v>30</v>
      </c>
      <c r="BP10" s="75">
        <v>1</v>
      </c>
      <c r="BQ10" s="2">
        <f t="shared" si="0"/>
        <v>26</v>
      </c>
      <c r="BR10" s="3">
        <f t="shared" si="1"/>
        <v>3</v>
      </c>
      <c r="BS10" s="3">
        <f t="shared" si="2"/>
        <v>1</v>
      </c>
      <c r="BT10" s="3">
        <f t="shared" si="3"/>
        <v>0</v>
      </c>
      <c r="BU10" s="3">
        <f t="shared" si="14"/>
        <v>0</v>
      </c>
      <c r="BV10" s="3">
        <f t="shared" si="5"/>
        <v>0</v>
      </c>
      <c r="BW10" s="3">
        <f t="shared" si="6"/>
        <v>0</v>
      </c>
      <c r="BX10" s="3">
        <f t="shared" si="7"/>
        <v>0</v>
      </c>
      <c r="BY10" s="3">
        <f t="shared" si="8"/>
        <v>0</v>
      </c>
      <c r="BZ10" s="3">
        <f t="shared" si="9"/>
        <v>0</v>
      </c>
      <c r="CA10" s="3">
        <f t="shared" si="10"/>
        <v>0</v>
      </c>
      <c r="CB10" s="3">
        <f t="shared" si="11"/>
        <v>0</v>
      </c>
      <c r="CC10" s="78"/>
      <c r="CE10" s="56">
        <v>1</v>
      </c>
      <c r="CF10" s="56">
        <v>0</v>
      </c>
      <c r="CG10" s="57">
        <v>22</v>
      </c>
      <c r="CH10" s="56">
        <v>0</v>
      </c>
      <c r="CI10" s="57">
        <v>3</v>
      </c>
      <c r="CJ10" s="57">
        <v>2</v>
      </c>
      <c r="CK10" s="57">
        <v>4</v>
      </c>
      <c r="CL10" s="56">
        <v>0</v>
      </c>
      <c r="CM10" s="56">
        <v>0</v>
      </c>
      <c r="CN10" s="56">
        <v>0</v>
      </c>
      <c r="CO10" s="58">
        <f t="shared" si="12"/>
        <v>32</v>
      </c>
    </row>
    <row r="11" spans="1:93" ht="21" customHeight="1" x14ac:dyDescent="0.25">
      <c r="A11" s="12">
        <v>7</v>
      </c>
      <c r="B11" s="13" t="s">
        <v>39</v>
      </c>
      <c r="C11" s="88" t="s">
        <v>40</v>
      </c>
      <c r="D11" s="99">
        <v>45183</v>
      </c>
      <c r="E11" s="71">
        <v>0.36319444444444443</v>
      </c>
      <c r="F11" s="71">
        <v>0.7270833333333333</v>
      </c>
      <c r="G11" s="71">
        <v>0.3659722222222222</v>
      </c>
      <c r="H11" s="71">
        <v>0.72361111111111109</v>
      </c>
      <c r="I11" s="71">
        <v>0.36458333333333331</v>
      </c>
      <c r="J11" s="71">
        <v>0.72430555555555554</v>
      </c>
      <c r="K11" s="71">
        <v>0.56874999999999998</v>
      </c>
      <c r="L11" s="71">
        <v>0.71944444444444444</v>
      </c>
      <c r="M11" s="107" t="s">
        <v>15</v>
      </c>
      <c r="N11" s="125" t="s">
        <v>15</v>
      </c>
      <c r="O11" s="71">
        <v>0.36874999999999997</v>
      </c>
      <c r="P11" s="71">
        <v>0.64861111111111114</v>
      </c>
      <c r="Q11" s="71">
        <v>0.36319444444444443</v>
      </c>
      <c r="R11" s="71">
        <v>0.71527777777777779</v>
      </c>
      <c r="S11" s="71">
        <v>0.37013888888888885</v>
      </c>
      <c r="T11" s="71">
        <v>0.72013888888888899</v>
      </c>
      <c r="U11" s="71">
        <v>0.36180555555555555</v>
      </c>
      <c r="V11" s="76">
        <v>1</v>
      </c>
      <c r="W11" s="76">
        <v>1</v>
      </c>
      <c r="X11" s="76">
        <v>1</v>
      </c>
      <c r="Y11" s="71">
        <v>0.36388888888888887</v>
      </c>
      <c r="Z11" s="71">
        <v>0.71666666666666667</v>
      </c>
      <c r="AA11" s="107" t="s">
        <v>15</v>
      </c>
      <c r="AB11" s="125" t="s">
        <v>15</v>
      </c>
      <c r="AC11" s="71">
        <v>0.37916666666666665</v>
      </c>
      <c r="AD11" s="71">
        <v>0.74861111111111101</v>
      </c>
      <c r="AE11" s="71">
        <v>0.36319444444444443</v>
      </c>
      <c r="AF11" s="71">
        <v>0.71597222222222223</v>
      </c>
      <c r="AG11" s="71">
        <v>0.36388888888888887</v>
      </c>
      <c r="AH11" s="71">
        <v>0.72013888888888899</v>
      </c>
      <c r="AI11" s="143"/>
      <c r="AJ11" s="103">
        <v>7</v>
      </c>
      <c r="AK11" s="71">
        <v>0.36458333333333331</v>
      </c>
      <c r="AL11" s="71">
        <v>0.67499999999999993</v>
      </c>
      <c r="AM11" s="71">
        <v>0.37013888888888885</v>
      </c>
      <c r="AN11" s="71">
        <v>0.72430555555555554</v>
      </c>
      <c r="AO11" s="71">
        <v>0.37291666666666662</v>
      </c>
      <c r="AP11" s="71">
        <v>0.73125000000000007</v>
      </c>
      <c r="AQ11" s="125" t="s">
        <v>15</v>
      </c>
      <c r="AR11" s="125" t="s">
        <v>15</v>
      </c>
      <c r="AS11" s="71">
        <v>0.50555555555555554</v>
      </c>
      <c r="AT11" s="71">
        <v>0.71180555555555547</v>
      </c>
      <c r="AU11" s="71">
        <v>0.36249999999999999</v>
      </c>
      <c r="AV11" s="71">
        <v>0.73402777777777783</v>
      </c>
      <c r="AW11" s="71">
        <v>0.37013888888888885</v>
      </c>
      <c r="AX11" s="71">
        <v>0.73333333333333339</v>
      </c>
      <c r="AY11" s="71">
        <v>0.36319444444444443</v>
      </c>
      <c r="AZ11" s="71">
        <v>0.72569444444444453</v>
      </c>
      <c r="BA11" s="71">
        <v>0.3611111111111111</v>
      </c>
      <c r="BB11" s="71">
        <v>0.71736111111111101</v>
      </c>
      <c r="BC11" s="71">
        <v>0.3666666666666667</v>
      </c>
      <c r="BD11" s="71">
        <v>0.72361111111111109</v>
      </c>
      <c r="BE11" s="107" t="s">
        <v>15</v>
      </c>
      <c r="BF11" s="107" t="s">
        <v>15</v>
      </c>
      <c r="BG11" s="71">
        <v>0.37638888888888888</v>
      </c>
      <c r="BH11" s="71">
        <v>0.71666666666666667</v>
      </c>
      <c r="BI11" s="71">
        <v>0.36736111111111108</v>
      </c>
      <c r="BJ11" s="71">
        <v>0.69930555555555562</v>
      </c>
      <c r="BK11" s="71">
        <v>0.36805555555555558</v>
      </c>
      <c r="BL11" s="71">
        <v>0.71319444444444446</v>
      </c>
      <c r="BM11" s="71">
        <v>0.36805555555555558</v>
      </c>
      <c r="BN11" s="71">
        <v>0.7270833333333333</v>
      </c>
      <c r="BO11" s="122">
        <f t="shared" si="13"/>
        <v>30</v>
      </c>
      <c r="BP11" s="75">
        <v>0</v>
      </c>
      <c r="BQ11" s="2">
        <f t="shared" si="0"/>
        <v>26</v>
      </c>
      <c r="BR11" s="3">
        <f t="shared" si="1"/>
        <v>4</v>
      </c>
      <c r="BS11" s="3">
        <f t="shared" si="2"/>
        <v>0</v>
      </c>
      <c r="BT11" s="3">
        <f t="shared" si="3"/>
        <v>0</v>
      </c>
      <c r="BU11" s="3">
        <f t="shared" si="14"/>
        <v>0</v>
      </c>
      <c r="BV11" s="3">
        <f t="shared" si="5"/>
        <v>0</v>
      </c>
      <c r="BW11" s="3">
        <f t="shared" si="6"/>
        <v>0</v>
      </c>
      <c r="BX11" s="3">
        <f t="shared" si="7"/>
        <v>0</v>
      </c>
      <c r="BY11" s="3">
        <f t="shared" si="8"/>
        <v>0</v>
      </c>
      <c r="BZ11" s="3">
        <f t="shared" si="9"/>
        <v>0</v>
      </c>
      <c r="CA11" s="3">
        <f t="shared" si="10"/>
        <v>0</v>
      </c>
      <c r="CB11" s="3">
        <f t="shared" si="11"/>
        <v>0</v>
      </c>
      <c r="CC11" s="78"/>
      <c r="CE11" s="56">
        <v>0</v>
      </c>
      <c r="CF11" s="56">
        <v>0</v>
      </c>
      <c r="CG11" s="56">
        <v>0</v>
      </c>
      <c r="CH11" s="56">
        <v>0</v>
      </c>
      <c r="CI11" s="56">
        <v>0</v>
      </c>
      <c r="CJ11" s="56">
        <v>11</v>
      </c>
      <c r="CK11" s="56">
        <v>0</v>
      </c>
      <c r="CL11" s="56">
        <v>0</v>
      </c>
      <c r="CM11" s="56">
        <v>0</v>
      </c>
      <c r="CN11" s="56">
        <v>0</v>
      </c>
      <c r="CO11" s="58">
        <f t="shared" si="12"/>
        <v>11</v>
      </c>
    </row>
    <row r="12" spans="1:93" ht="21" customHeight="1" x14ac:dyDescent="0.25">
      <c r="A12" s="12">
        <v>8</v>
      </c>
      <c r="B12" s="13" t="s">
        <v>41</v>
      </c>
      <c r="C12" s="88" t="s">
        <v>239</v>
      </c>
      <c r="D12" s="100">
        <v>45592</v>
      </c>
      <c r="E12" s="76">
        <v>1</v>
      </c>
      <c r="F12" s="71">
        <v>0.7368055555555556</v>
      </c>
      <c r="G12" s="76">
        <v>1</v>
      </c>
      <c r="H12" s="71">
        <v>0.74583333333333324</v>
      </c>
      <c r="I12" s="71">
        <v>0.3888888888888889</v>
      </c>
      <c r="J12" s="71">
        <v>0.74861111111111101</v>
      </c>
      <c r="K12" s="71">
        <v>0.38263888888888892</v>
      </c>
      <c r="L12" s="71">
        <v>0.72361111111111109</v>
      </c>
      <c r="M12" s="107" t="s">
        <v>15</v>
      </c>
      <c r="N12" s="125" t="s">
        <v>15</v>
      </c>
      <c r="O12" s="76">
        <v>1</v>
      </c>
      <c r="P12" s="71">
        <v>0.77013888888888893</v>
      </c>
      <c r="Q12" s="71">
        <v>0.38541666666666669</v>
      </c>
      <c r="R12" s="71">
        <v>0.73263888888888884</v>
      </c>
      <c r="S12" s="71">
        <v>0.38541666666666669</v>
      </c>
      <c r="T12" s="71">
        <v>0.76041666666666663</v>
      </c>
      <c r="U12" s="76">
        <v>1</v>
      </c>
      <c r="V12" s="76">
        <v>1</v>
      </c>
      <c r="W12" s="76">
        <v>1</v>
      </c>
      <c r="X12" s="76">
        <v>1</v>
      </c>
      <c r="Y12" s="71">
        <v>0.38125000000000003</v>
      </c>
      <c r="Z12" s="71">
        <v>0.71666666666666667</v>
      </c>
      <c r="AA12" s="107" t="s">
        <v>15</v>
      </c>
      <c r="AB12" s="125" t="s">
        <v>15</v>
      </c>
      <c r="AC12" s="71">
        <v>0.41666666666666669</v>
      </c>
      <c r="AD12" s="71">
        <v>0.73333333333333339</v>
      </c>
      <c r="AE12" s="71">
        <v>0.38055555555555554</v>
      </c>
      <c r="AF12" s="71">
        <v>0.71666666666666667</v>
      </c>
      <c r="AG12" s="71">
        <v>0.38125000000000003</v>
      </c>
      <c r="AH12" s="76">
        <v>1</v>
      </c>
      <c r="AI12" s="135"/>
      <c r="AJ12" s="103">
        <v>8</v>
      </c>
      <c r="AK12" s="71">
        <v>0.4152777777777778</v>
      </c>
      <c r="AL12" s="71">
        <v>0.72361111111111109</v>
      </c>
      <c r="AM12" s="71">
        <v>0.38125000000000003</v>
      </c>
      <c r="AN12" s="76">
        <v>1</v>
      </c>
      <c r="AO12" s="76">
        <v>1</v>
      </c>
      <c r="AP12" s="76">
        <v>1</v>
      </c>
      <c r="AQ12" s="125" t="s">
        <v>15</v>
      </c>
      <c r="AR12" s="125" t="s">
        <v>15</v>
      </c>
      <c r="AS12" s="71">
        <v>0.41666666666666669</v>
      </c>
      <c r="AT12" s="71">
        <v>0.72083333333333333</v>
      </c>
      <c r="AU12" s="71">
        <v>0.38680555555555557</v>
      </c>
      <c r="AV12" s="71">
        <v>0.73888888888888893</v>
      </c>
      <c r="AW12" s="71">
        <v>0.37986111111111115</v>
      </c>
      <c r="AX12" s="71">
        <v>0.71527777777777779</v>
      </c>
      <c r="AY12" s="71">
        <v>0.37916666666666665</v>
      </c>
      <c r="AZ12" s="76">
        <v>1</v>
      </c>
      <c r="BA12" s="71">
        <v>0.38263888888888892</v>
      </c>
      <c r="BB12" s="76">
        <v>1</v>
      </c>
      <c r="BC12" s="71">
        <v>0.38125000000000003</v>
      </c>
      <c r="BD12" s="71">
        <v>0.72361111111111109</v>
      </c>
      <c r="BE12" s="107" t="s">
        <v>15</v>
      </c>
      <c r="BF12" s="107" t="s">
        <v>15</v>
      </c>
      <c r="BG12" s="71">
        <v>0.41597222222222219</v>
      </c>
      <c r="BH12" s="71">
        <v>0.73472222222222217</v>
      </c>
      <c r="BI12" s="71">
        <v>0.3756944444444445</v>
      </c>
      <c r="BJ12" s="76">
        <v>1</v>
      </c>
      <c r="BK12" s="71">
        <v>0.37777777777777777</v>
      </c>
      <c r="BL12" s="71">
        <v>0.70486111111111116</v>
      </c>
      <c r="BM12" s="76">
        <v>1</v>
      </c>
      <c r="BN12" s="76">
        <v>1</v>
      </c>
      <c r="BO12" s="122">
        <f t="shared" si="13"/>
        <v>30</v>
      </c>
      <c r="BP12" s="75">
        <v>0</v>
      </c>
      <c r="BQ12" s="2">
        <f t="shared" si="0"/>
        <v>26</v>
      </c>
      <c r="BR12" s="3">
        <f t="shared" si="1"/>
        <v>4</v>
      </c>
      <c r="BS12" s="3">
        <f t="shared" si="2"/>
        <v>0</v>
      </c>
      <c r="BT12" s="3">
        <f t="shared" si="3"/>
        <v>0</v>
      </c>
      <c r="BU12" s="3">
        <f t="shared" si="14"/>
        <v>0</v>
      </c>
      <c r="BV12" s="3">
        <f t="shared" si="5"/>
        <v>0</v>
      </c>
      <c r="BW12" s="3">
        <f t="shared" si="6"/>
        <v>0</v>
      </c>
      <c r="BX12" s="3">
        <f t="shared" si="7"/>
        <v>0</v>
      </c>
      <c r="BY12" s="3">
        <f t="shared" si="8"/>
        <v>0</v>
      </c>
      <c r="BZ12" s="3">
        <f t="shared" si="9"/>
        <v>0</v>
      </c>
      <c r="CA12" s="3">
        <f t="shared" si="10"/>
        <v>0</v>
      </c>
      <c r="CB12" s="3">
        <f t="shared" si="11"/>
        <v>0</v>
      </c>
      <c r="CC12" s="78"/>
      <c r="CE12" s="56">
        <v>0</v>
      </c>
      <c r="CF12" s="56">
        <v>0</v>
      </c>
      <c r="CG12" s="56">
        <v>38</v>
      </c>
      <c r="CH12" s="56">
        <v>0</v>
      </c>
      <c r="CI12" s="56">
        <v>0</v>
      </c>
      <c r="CJ12" s="57">
        <v>9</v>
      </c>
      <c r="CK12" s="57">
        <v>0</v>
      </c>
      <c r="CL12" s="57">
        <v>0</v>
      </c>
      <c r="CM12" s="56">
        <v>0</v>
      </c>
      <c r="CN12" s="56">
        <v>0</v>
      </c>
      <c r="CO12" s="58">
        <f t="shared" si="12"/>
        <v>47</v>
      </c>
    </row>
    <row r="13" spans="1:93" ht="21" customHeight="1" x14ac:dyDescent="0.25">
      <c r="A13" s="12">
        <v>9</v>
      </c>
      <c r="B13" s="13" t="s">
        <v>44</v>
      </c>
      <c r="C13" s="88" t="s">
        <v>240</v>
      </c>
      <c r="D13" s="100">
        <v>45386</v>
      </c>
      <c r="E13" s="71">
        <v>0.35486111111111113</v>
      </c>
      <c r="F13" s="71">
        <v>0.9819444444444444</v>
      </c>
      <c r="G13" s="71">
        <v>0.35486111111111113</v>
      </c>
      <c r="H13" s="71">
        <v>0.9590277777777777</v>
      </c>
      <c r="I13" s="71">
        <v>0.35486111111111113</v>
      </c>
      <c r="J13" s="76">
        <v>1</v>
      </c>
      <c r="K13" s="71">
        <v>0.35416666666666669</v>
      </c>
      <c r="L13" s="71">
        <v>0.97569444444444453</v>
      </c>
      <c r="M13" s="107" t="s">
        <v>15</v>
      </c>
      <c r="N13" s="125" t="s">
        <v>15</v>
      </c>
      <c r="O13" s="71">
        <v>0.35347222222222219</v>
      </c>
      <c r="P13" s="71">
        <v>0.96736111111111101</v>
      </c>
      <c r="Q13" s="71">
        <v>0.35416666666666669</v>
      </c>
      <c r="R13" s="71">
        <v>0.97499999999999998</v>
      </c>
      <c r="S13" s="71">
        <v>0.35486111111111113</v>
      </c>
      <c r="T13" s="71">
        <v>0.94305555555555554</v>
      </c>
      <c r="U13" s="71">
        <v>0.35486111111111113</v>
      </c>
      <c r="V13" s="71">
        <v>0.9555555555555556</v>
      </c>
      <c r="W13" s="71">
        <v>0.35625000000000001</v>
      </c>
      <c r="X13" s="71">
        <v>0.94097222222222221</v>
      </c>
      <c r="Y13" s="71">
        <v>0.35555555555555557</v>
      </c>
      <c r="Z13" s="71">
        <v>0.9604166666666667</v>
      </c>
      <c r="AA13" s="123">
        <v>0.58194444444444449</v>
      </c>
      <c r="AB13" s="123">
        <v>0.93611111111111101</v>
      </c>
      <c r="AC13" s="71">
        <v>0.35486111111111113</v>
      </c>
      <c r="AD13" s="76">
        <v>1</v>
      </c>
      <c r="AE13" s="71">
        <v>0.35555555555555557</v>
      </c>
      <c r="AF13" s="71">
        <v>1.1111111111111112E-2</v>
      </c>
      <c r="AG13" s="71">
        <v>0.35486111111111113</v>
      </c>
      <c r="AH13" s="71">
        <v>0.96319444444444446</v>
      </c>
      <c r="AI13" s="143"/>
      <c r="AJ13" s="103">
        <v>9</v>
      </c>
      <c r="AK13" s="71">
        <v>0.35625000000000001</v>
      </c>
      <c r="AL13" s="71">
        <v>0.93888888888888899</v>
      </c>
      <c r="AM13" s="71">
        <v>0.35416666666666669</v>
      </c>
      <c r="AN13" s="71">
        <v>0.98472222222222217</v>
      </c>
      <c r="AO13" s="71">
        <v>0.35555555555555557</v>
      </c>
      <c r="AP13" s="76">
        <v>1</v>
      </c>
      <c r="AQ13" s="125" t="s">
        <v>15</v>
      </c>
      <c r="AR13" s="125" t="s">
        <v>15</v>
      </c>
      <c r="AS13" s="71">
        <v>0.35416666666666669</v>
      </c>
      <c r="AT13" s="71">
        <v>0.95416666666666661</v>
      </c>
      <c r="AU13" s="71">
        <v>0.35416666666666669</v>
      </c>
      <c r="AV13" s="71">
        <v>0.97499999999999998</v>
      </c>
      <c r="AW13" s="71">
        <v>0.35486111111111113</v>
      </c>
      <c r="AX13" s="71">
        <v>0.95000000000000007</v>
      </c>
      <c r="AY13" s="71">
        <v>0.35486111111111113</v>
      </c>
      <c r="AZ13" s="71">
        <v>0.96250000000000002</v>
      </c>
      <c r="BA13" s="71">
        <v>0.35486111111111113</v>
      </c>
      <c r="BB13" s="71">
        <v>0.9458333333333333</v>
      </c>
      <c r="BC13" s="76">
        <v>1</v>
      </c>
      <c r="BD13" s="71">
        <v>0.98263888888888884</v>
      </c>
      <c r="BE13" s="107" t="s">
        <v>15</v>
      </c>
      <c r="BF13" s="107" t="s">
        <v>15</v>
      </c>
      <c r="BG13" s="71">
        <v>0.35416666666666669</v>
      </c>
      <c r="BH13" s="71">
        <v>0.95763888888888893</v>
      </c>
      <c r="BI13" s="71">
        <v>0.3576388888888889</v>
      </c>
      <c r="BJ13" s="76">
        <v>1</v>
      </c>
      <c r="BK13" s="71">
        <v>0.35486111111111113</v>
      </c>
      <c r="BL13" s="71">
        <v>0.96736111111111101</v>
      </c>
      <c r="BM13" s="71">
        <v>0.35416666666666669</v>
      </c>
      <c r="BN13" s="76">
        <v>1</v>
      </c>
      <c r="BO13" s="122">
        <f t="shared" si="13"/>
        <v>30</v>
      </c>
      <c r="BP13" s="75">
        <v>1</v>
      </c>
      <c r="BQ13" s="2">
        <f t="shared" si="0"/>
        <v>27</v>
      </c>
      <c r="BR13" s="3">
        <f t="shared" si="1"/>
        <v>3</v>
      </c>
      <c r="BS13" s="3">
        <f t="shared" si="2"/>
        <v>0</v>
      </c>
      <c r="BT13" s="3">
        <f t="shared" si="3"/>
        <v>0</v>
      </c>
      <c r="BU13" s="3">
        <f t="shared" si="14"/>
        <v>0</v>
      </c>
      <c r="BV13" s="3">
        <f t="shared" si="5"/>
        <v>0</v>
      </c>
      <c r="BW13" s="3">
        <f t="shared" si="6"/>
        <v>0</v>
      </c>
      <c r="BX13" s="3">
        <f t="shared" si="7"/>
        <v>0</v>
      </c>
      <c r="BY13" s="3">
        <f t="shared" si="8"/>
        <v>0</v>
      </c>
      <c r="BZ13" s="3">
        <f t="shared" si="9"/>
        <v>0</v>
      </c>
      <c r="CA13" s="3">
        <f t="shared" si="10"/>
        <v>0</v>
      </c>
      <c r="CB13" s="3">
        <f t="shared" si="11"/>
        <v>0</v>
      </c>
      <c r="CC13" s="78"/>
      <c r="CE13" s="56">
        <v>0</v>
      </c>
      <c r="CF13" s="56">
        <v>0</v>
      </c>
      <c r="CG13" s="57">
        <v>28</v>
      </c>
      <c r="CH13" s="56">
        <v>0</v>
      </c>
      <c r="CI13" s="56">
        <v>0</v>
      </c>
      <c r="CJ13" s="57">
        <v>1</v>
      </c>
      <c r="CK13" s="56">
        <v>0</v>
      </c>
      <c r="CL13" s="56">
        <v>0</v>
      </c>
      <c r="CM13" s="56">
        <v>0</v>
      </c>
      <c r="CN13" s="56">
        <v>0</v>
      </c>
      <c r="CO13" s="58">
        <f t="shared" si="12"/>
        <v>29</v>
      </c>
    </row>
    <row r="14" spans="1:93" ht="21" customHeight="1" x14ac:dyDescent="0.25">
      <c r="A14" s="12">
        <v>10</v>
      </c>
      <c r="B14" s="13" t="s">
        <v>45</v>
      </c>
      <c r="C14" s="88" t="s">
        <v>46</v>
      </c>
      <c r="D14" s="100">
        <v>45654</v>
      </c>
      <c r="E14" s="71">
        <v>0.3347222222222222</v>
      </c>
      <c r="F14" s="76">
        <v>1</v>
      </c>
      <c r="G14" s="71">
        <v>0.33819444444444446</v>
      </c>
      <c r="H14" s="71">
        <v>0.95833333333333337</v>
      </c>
      <c r="I14" s="71">
        <v>0.33263888888888887</v>
      </c>
      <c r="J14" s="76">
        <v>1</v>
      </c>
      <c r="K14" s="71">
        <v>0.33263888888888887</v>
      </c>
      <c r="L14" s="76">
        <v>1</v>
      </c>
      <c r="M14" s="123">
        <v>0.57708333333333328</v>
      </c>
      <c r="N14" s="127">
        <v>0.94236111111111109</v>
      </c>
      <c r="O14" s="71">
        <v>0.33263888888888887</v>
      </c>
      <c r="P14" s="76">
        <v>1</v>
      </c>
      <c r="Q14" s="76">
        <v>1</v>
      </c>
      <c r="R14" s="76">
        <v>1</v>
      </c>
      <c r="S14" s="71">
        <v>0.33263888888888887</v>
      </c>
      <c r="T14" s="71">
        <v>0.33263888888888887</v>
      </c>
      <c r="U14" s="71">
        <v>0.32569444444444445</v>
      </c>
      <c r="V14" s="71">
        <v>0.93402777777777779</v>
      </c>
      <c r="W14" s="76">
        <v>1</v>
      </c>
      <c r="X14" s="71">
        <v>0.90625</v>
      </c>
      <c r="Y14" s="71">
        <v>0.32430555555555557</v>
      </c>
      <c r="Z14" s="71">
        <v>0.95972222222222225</v>
      </c>
      <c r="AA14" s="123">
        <v>0.5756944444444444</v>
      </c>
      <c r="AB14" s="123">
        <v>0.91875000000000007</v>
      </c>
      <c r="AC14" s="71">
        <v>0.32777777777777778</v>
      </c>
      <c r="AD14" s="76">
        <v>1</v>
      </c>
      <c r="AE14" s="71">
        <v>0.3354166666666667</v>
      </c>
      <c r="AF14" s="76">
        <v>1</v>
      </c>
      <c r="AG14" s="71">
        <v>0.33888888888888885</v>
      </c>
      <c r="AH14" s="76">
        <v>1</v>
      </c>
      <c r="AI14" s="135"/>
      <c r="AJ14" s="103">
        <v>10</v>
      </c>
      <c r="AK14" s="71">
        <v>0.36249999999999999</v>
      </c>
      <c r="AL14" s="76">
        <v>1</v>
      </c>
      <c r="AM14" s="71">
        <v>0.32708333333333334</v>
      </c>
      <c r="AN14" s="76">
        <v>1</v>
      </c>
      <c r="AO14" s="71">
        <v>0.35486111111111113</v>
      </c>
      <c r="AP14" s="76">
        <v>1</v>
      </c>
      <c r="AQ14" s="123">
        <v>0.57500000000000007</v>
      </c>
      <c r="AR14" s="123">
        <v>0.9194444444444444</v>
      </c>
      <c r="AS14" s="71">
        <v>0.3298611111111111</v>
      </c>
      <c r="AT14" s="71">
        <v>0.92083333333333339</v>
      </c>
      <c r="AU14" s="71">
        <v>0.32708333333333334</v>
      </c>
      <c r="AV14" s="71">
        <v>0.91736111111111107</v>
      </c>
      <c r="AW14" s="71">
        <v>0.32500000000000001</v>
      </c>
      <c r="AX14" s="71">
        <v>0.91736111111111107</v>
      </c>
      <c r="AY14" s="71">
        <v>0.3298611111111111</v>
      </c>
      <c r="AZ14" s="71">
        <v>0.92083333333333339</v>
      </c>
      <c r="BA14" s="71">
        <v>0.3298611111111111</v>
      </c>
      <c r="BB14" s="76">
        <v>1</v>
      </c>
      <c r="BC14" s="71">
        <v>0.92222222222222217</v>
      </c>
      <c r="BD14" s="76">
        <v>1</v>
      </c>
      <c r="BE14" s="123">
        <v>0.57361111111111118</v>
      </c>
      <c r="BF14" s="123">
        <v>0.91736111111111107</v>
      </c>
      <c r="BG14" s="71">
        <v>0.38263888888888892</v>
      </c>
      <c r="BH14" s="76">
        <v>1</v>
      </c>
      <c r="BI14" s="71">
        <v>0.39305555555555555</v>
      </c>
      <c r="BJ14" s="71">
        <v>0.9243055555555556</v>
      </c>
      <c r="BK14" s="71">
        <v>0.36319444444444443</v>
      </c>
      <c r="BL14" s="71">
        <v>0.95833333333333337</v>
      </c>
      <c r="BM14" s="71">
        <v>0.33124999999999999</v>
      </c>
      <c r="BN14" s="71">
        <v>0.95624999999999993</v>
      </c>
      <c r="BO14" s="122">
        <f t="shared" si="13"/>
        <v>30</v>
      </c>
      <c r="BP14" s="75">
        <v>4</v>
      </c>
      <c r="BQ14" s="2">
        <f t="shared" si="0"/>
        <v>30</v>
      </c>
      <c r="BR14" s="3">
        <f t="shared" si="1"/>
        <v>0</v>
      </c>
      <c r="BS14" s="3">
        <f t="shared" si="2"/>
        <v>0</v>
      </c>
      <c r="BT14" s="3">
        <f t="shared" si="3"/>
        <v>0</v>
      </c>
      <c r="BU14" s="3">
        <f t="shared" si="14"/>
        <v>0</v>
      </c>
      <c r="BV14" s="3">
        <f t="shared" si="5"/>
        <v>0</v>
      </c>
      <c r="BW14" s="3">
        <f t="shared" si="6"/>
        <v>0</v>
      </c>
      <c r="BX14" s="3">
        <f t="shared" si="7"/>
        <v>0</v>
      </c>
      <c r="BY14" s="3">
        <f t="shared" si="8"/>
        <v>0</v>
      </c>
      <c r="BZ14" s="3">
        <f t="shared" si="9"/>
        <v>0</v>
      </c>
      <c r="CA14" s="3">
        <f t="shared" si="10"/>
        <v>0</v>
      </c>
      <c r="CB14" s="3">
        <f t="shared" si="11"/>
        <v>0</v>
      </c>
      <c r="CC14" s="78"/>
      <c r="CE14" s="56">
        <v>0</v>
      </c>
      <c r="CF14" s="56">
        <v>0</v>
      </c>
      <c r="CG14" s="56">
        <v>0</v>
      </c>
      <c r="CH14" s="56">
        <v>0</v>
      </c>
      <c r="CI14" s="56">
        <v>0</v>
      </c>
      <c r="CJ14" s="57">
        <v>4</v>
      </c>
      <c r="CK14" s="56">
        <v>0</v>
      </c>
      <c r="CL14" s="56">
        <v>0</v>
      </c>
      <c r="CM14" s="56">
        <v>0</v>
      </c>
      <c r="CN14" s="56">
        <v>0</v>
      </c>
      <c r="CO14" s="58">
        <f t="shared" si="12"/>
        <v>4</v>
      </c>
    </row>
    <row r="15" spans="1:93" ht="21" customHeight="1" x14ac:dyDescent="0.25">
      <c r="A15" s="12">
        <v>11</v>
      </c>
      <c r="B15" s="13" t="s">
        <v>47</v>
      </c>
      <c r="C15" s="88" t="s">
        <v>48</v>
      </c>
      <c r="D15" s="100">
        <v>45837</v>
      </c>
      <c r="E15" s="71">
        <v>0.36388888888888887</v>
      </c>
      <c r="F15" s="76">
        <v>1</v>
      </c>
      <c r="G15" s="71">
        <v>0.36527777777777781</v>
      </c>
      <c r="H15" s="76">
        <v>1</v>
      </c>
      <c r="I15" s="71">
        <v>0.37291666666666662</v>
      </c>
      <c r="J15" s="76">
        <v>1</v>
      </c>
      <c r="K15" s="71">
        <v>0.35555555555555557</v>
      </c>
      <c r="L15" s="76">
        <v>1</v>
      </c>
      <c r="M15" s="123">
        <v>0.57847222222222217</v>
      </c>
      <c r="N15" s="126">
        <v>1</v>
      </c>
      <c r="O15" s="71">
        <v>0.36944444444444446</v>
      </c>
      <c r="P15" s="71">
        <v>0.39583333333333331</v>
      </c>
      <c r="Q15" s="71">
        <v>0.36388888888888887</v>
      </c>
      <c r="R15" s="76">
        <v>1</v>
      </c>
      <c r="S15" s="71">
        <v>0.35416666666666669</v>
      </c>
      <c r="T15" s="71">
        <v>0.94930555555555562</v>
      </c>
      <c r="U15" s="71">
        <v>0.35902777777777778</v>
      </c>
      <c r="V15" s="76">
        <v>1</v>
      </c>
      <c r="W15" s="76">
        <v>1</v>
      </c>
      <c r="X15" s="76">
        <v>1</v>
      </c>
      <c r="Y15" s="71">
        <v>0.38055555555555554</v>
      </c>
      <c r="Z15" s="76">
        <v>1</v>
      </c>
      <c r="AA15" s="107" t="s">
        <v>15</v>
      </c>
      <c r="AB15" s="125" t="s">
        <v>15</v>
      </c>
      <c r="AC15" s="71">
        <v>0.36805555555555558</v>
      </c>
      <c r="AD15" s="76">
        <v>1</v>
      </c>
      <c r="AE15" s="71">
        <v>0.36736111111111108</v>
      </c>
      <c r="AF15" s="76">
        <v>1</v>
      </c>
      <c r="AG15" s="76">
        <v>1</v>
      </c>
      <c r="AH15" s="76">
        <v>1</v>
      </c>
      <c r="AI15" s="135"/>
      <c r="AJ15" s="103">
        <v>11</v>
      </c>
      <c r="AK15" s="71">
        <v>0.36874999999999997</v>
      </c>
      <c r="AL15" s="76">
        <v>1</v>
      </c>
      <c r="AM15" s="71">
        <v>0.36180555555555555</v>
      </c>
      <c r="AN15" s="76">
        <v>1</v>
      </c>
      <c r="AO15" s="71">
        <v>0.37013888888888885</v>
      </c>
      <c r="AP15" s="76">
        <v>1</v>
      </c>
      <c r="AQ15" s="123">
        <v>0.57500000000000007</v>
      </c>
      <c r="AR15" s="124">
        <v>1</v>
      </c>
      <c r="AS15" s="71">
        <v>0.3659722222222222</v>
      </c>
      <c r="AT15" s="71">
        <v>0.99652777777777779</v>
      </c>
      <c r="AU15" s="71">
        <v>0.36736111111111108</v>
      </c>
      <c r="AV15" s="71">
        <v>0.91875000000000007</v>
      </c>
      <c r="AW15" s="71">
        <v>0.37222222222222223</v>
      </c>
      <c r="AX15" s="71">
        <v>0.88124999999999998</v>
      </c>
      <c r="AY15" s="71">
        <v>0.37708333333333338</v>
      </c>
      <c r="AZ15" s="71">
        <v>0.94930555555555562</v>
      </c>
      <c r="BA15" s="71">
        <v>0.36874999999999997</v>
      </c>
      <c r="BB15" s="76">
        <v>1</v>
      </c>
      <c r="BC15" s="71">
        <v>0.37291666666666662</v>
      </c>
      <c r="BD15" s="71">
        <v>3.3333333333333333E-2</v>
      </c>
      <c r="BE15" s="107" t="s">
        <v>15</v>
      </c>
      <c r="BF15" s="107" t="s">
        <v>15</v>
      </c>
      <c r="BG15" s="71">
        <v>0.37222222222222223</v>
      </c>
      <c r="BH15" s="76">
        <v>1</v>
      </c>
      <c r="BI15" s="71">
        <v>0.34861111111111115</v>
      </c>
      <c r="BJ15" s="76">
        <v>1</v>
      </c>
      <c r="BK15" s="71">
        <v>0.3756944444444445</v>
      </c>
      <c r="BL15" s="71">
        <v>0.95833333333333337</v>
      </c>
      <c r="BM15" s="71">
        <v>0.36458333333333331</v>
      </c>
      <c r="BN15" s="71">
        <v>0.38125000000000003</v>
      </c>
      <c r="BO15" s="122">
        <f t="shared" si="13"/>
        <v>30</v>
      </c>
      <c r="BP15" s="75">
        <v>2</v>
      </c>
      <c r="BQ15" s="2">
        <f t="shared" si="0"/>
        <v>28</v>
      </c>
      <c r="BR15" s="3">
        <f t="shared" si="1"/>
        <v>2</v>
      </c>
      <c r="BS15" s="3">
        <f t="shared" si="2"/>
        <v>0</v>
      </c>
      <c r="BT15" s="3">
        <f t="shared" si="3"/>
        <v>0</v>
      </c>
      <c r="BU15" s="3">
        <f t="shared" si="14"/>
        <v>0</v>
      </c>
      <c r="BV15" s="3">
        <f t="shared" si="5"/>
        <v>0</v>
      </c>
      <c r="BW15" s="3">
        <f t="shared" si="6"/>
        <v>0</v>
      </c>
      <c r="BX15" s="3">
        <f t="shared" si="7"/>
        <v>0</v>
      </c>
      <c r="BY15" s="3">
        <f t="shared" si="8"/>
        <v>0</v>
      </c>
      <c r="BZ15" s="3">
        <f t="shared" si="9"/>
        <v>0</v>
      </c>
      <c r="CA15" s="3">
        <f t="shared" si="10"/>
        <v>0</v>
      </c>
      <c r="CB15" s="3">
        <f t="shared" si="11"/>
        <v>0</v>
      </c>
      <c r="CC15" s="78"/>
      <c r="CE15" s="56">
        <v>0</v>
      </c>
      <c r="CF15" s="56">
        <v>0</v>
      </c>
      <c r="CG15" s="56">
        <v>0</v>
      </c>
      <c r="CH15" s="56">
        <v>0</v>
      </c>
      <c r="CI15" s="56">
        <v>0</v>
      </c>
      <c r="CJ15" s="56">
        <v>0</v>
      </c>
      <c r="CK15" s="56">
        <v>0</v>
      </c>
      <c r="CL15" s="56">
        <v>0</v>
      </c>
      <c r="CM15" s="56">
        <v>0</v>
      </c>
      <c r="CN15" s="56">
        <v>0</v>
      </c>
      <c r="CO15" s="58">
        <f t="shared" si="12"/>
        <v>0</v>
      </c>
    </row>
    <row r="16" spans="1:93" ht="21" customHeight="1" x14ac:dyDescent="0.25">
      <c r="A16" s="12">
        <v>12</v>
      </c>
      <c r="B16" s="13" t="s">
        <v>49</v>
      </c>
      <c r="C16" s="9" t="s">
        <v>50</v>
      </c>
      <c r="D16" s="98">
        <v>38713</v>
      </c>
      <c r="E16" s="71">
        <v>0.3520833333333333</v>
      </c>
      <c r="F16" s="76">
        <v>1</v>
      </c>
      <c r="G16" s="71">
        <v>0.35347222222222219</v>
      </c>
      <c r="H16" s="76">
        <v>1</v>
      </c>
      <c r="I16" s="71">
        <v>0.35347222222222219</v>
      </c>
      <c r="J16" s="71">
        <v>0.99652777777777779</v>
      </c>
      <c r="K16" s="71">
        <v>0.36041666666666666</v>
      </c>
      <c r="L16" s="76">
        <v>1</v>
      </c>
      <c r="M16" s="123">
        <v>0.56458333333333333</v>
      </c>
      <c r="N16" s="126">
        <v>1</v>
      </c>
      <c r="O16" s="71">
        <v>0.35069444444444442</v>
      </c>
      <c r="P16" s="76">
        <v>1</v>
      </c>
      <c r="Q16" s="71">
        <v>0.3527777777777778</v>
      </c>
      <c r="R16" s="71">
        <v>0.98749999999999993</v>
      </c>
      <c r="S16" s="71">
        <v>0.3527777777777778</v>
      </c>
      <c r="T16" s="76">
        <v>1</v>
      </c>
      <c r="U16" s="71">
        <v>0.35000000000000003</v>
      </c>
      <c r="V16" s="76">
        <v>1</v>
      </c>
      <c r="W16" s="76">
        <v>1</v>
      </c>
      <c r="X16" s="76">
        <v>1</v>
      </c>
      <c r="Y16" s="71">
        <v>0.35069444444444442</v>
      </c>
      <c r="Z16" s="76">
        <v>1</v>
      </c>
      <c r="AA16" s="107" t="s">
        <v>15</v>
      </c>
      <c r="AB16" s="125" t="s">
        <v>15</v>
      </c>
      <c r="AC16" s="71">
        <v>0.34791666666666665</v>
      </c>
      <c r="AD16" s="71">
        <v>1.8749999999999999E-2</v>
      </c>
      <c r="AE16" s="71">
        <v>0.3520833333333333</v>
      </c>
      <c r="AF16" s="76">
        <v>1</v>
      </c>
      <c r="AG16" s="71">
        <v>0.3666666666666667</v>
      </c>
      <c r="AH16" s="76">
        <v>1</v>
      </c>
      <c r="AI16" s="135"/>
      <c r="AJ16" s="103">
        <v>12</v>
      </c>
      <c r="AK16" s="71">
        <v>0.36249999999999999</v>
      </c>
      <c r="AL16" s="76">
        <v>1</v>
      </c>
      <c r="AM16" s="71">
        <v>0.36805555555555558</v>
      </c>
      <c r="AN16" s="76">
        <v>1</v>
      </c>
      <c r="AO16" s="71">
        <v>0.39027777777777778</v>
      </c>
      <c r="AP16" s="76">
        <v>1</v>
      </c>
      <c r="AQ16" s="123">
        <v>0.58124999999999993</v>
      </c>
      <c r="AR16" s="124">
        <v>1</v>
      </c>
      <c r="AS16" s="71">
        <v>0.36736111111111108</v>
      </c>
      <c r="AT16" s="76">
        <v>1</v>
      </c>
      <c r="AU16" s="71">
        <v>0.36388888888888887</v>
      </c>
      <c r="AV16" s="76">
        <v>1</v>
      </c>
      <c r="AW16" s="71">
        <v>0.375</v>
      </c>
      <c r="AX16" s="71">
        <v>0.95000000000000007</v>
      </c>
      <c r="AY16" s="71">
        <v>0.36736111111111108</v>
      </c>
      <c r="AZ16" s="71">
        <v>0.96527777777777779</v>
      </c>
      <c r="BA16" s="71">
        <v>0.3611111111111111</v>
      </c>
      <c r="BB16" s="71">
        <v>0.9375</v>
      </c>
      <c r="BC16" s="71">
        <v>0.37708333333333338</v>
      </c>
      <c r="BD16" s="76">
        <v>1</v>
      </c>
      <c r="BE16" s="107" t="s">
        <v>15</v>
      </c>
      <c r="BF16" s="107" t="s">
        <v>15</v>
      </c>
      <c r="BG16" s="71">
        <v>0.34930555555555554</v>
      </c>
      <c r="BH16" s="76">
        <v>1</v>
      </c>
      <c r="BI16" s="71">
        <v>0.34791666666666665</v>
      </c>
      <c r="BJ16" s="71">
        <v>0.99652777777777779</v>
      </c>
      <c r="BK16" s="71">
        <v>0.35069444444444442</v>
      </c>
      <c r="BL16" s="71">
        <v>0.97222222222222221</v>
      </c>
      <c r="BM16" s="71">
        <v>0.36180555555555555</v>
      </c>
      <c r="BN16" s="76">
        <v>1</v>
      </c>
      <c r="BO16" s="122">
        <f t="shared" si="13"/>
        <v>30</v>
      </c>
      <c r="BP16" s="75">
        <v>2</v>
      </c>
      <c r="BQ16" s="2">
        <f t="shared" si="0"/>
        <v>28</v>
      </c>
      <c r="BR16" s="3">
        <f t="shared" si="1"/>
        <v>2</v>
      </c>
      <c r="BS16" s="3">
        <f t="shared" si="2"/>
        <v>0</v>
      </c>
      <c r="BT16" s="3">
        <f t="shared" si="3"/>
        <v>0</v>
      </c>
      <c r="BU16" s="3">
        <f t="shared" si="14"/>
        <v>0</v>
      </c>
      <c r="BV16" s="3">
        <f t="shared" si="5"/>
        <v>0</v>
      </c>
      <c r="BW16" s="3">
        <f t="shared" si="6"/>
        <v>0</v>
      </c>
      <c r="BX16" s="3">
        <f t="shared" si="7"/>
        <v>0</v>
      </c>
      <c r="BY16" s="3">
        <f t="shared" si="8"/>
        <v>0</v>
      </c>
      <c r="BZ16" s="3">
        <f t="shared" si="9"/>
        <v>0</v>
      </c>
      <c r="CA16" s="3">
        <f t="shared" si="10"/>
        <v>0</v>
      </c>
      <c r="CB16" s="3">
        <f t="shared" si="11"/>
        <v>0</v>
      </c>
      <c r="CC16" s="78"/>
      <c r="CE16" s="56">
        <v>0</v>
      </c>
      <c r="CF16" s="57">
        <v>5</v>
      </c>
      <c r="CG16" s="56">
        <v>0</v>
      </c>
      <c r="CH16" s="56">
        <v>0</v>
      </c>
      <c r="CI16" s="56">
        <v>0</v>
      </c>
      <c r="CJ16" s="56">
        <v>0</v>
      </c>
      <c r="CK16" s="56">
        <v>0</v>
      </c>
      <c r="CL16" s="56">
        <v>0</v>
      </c>
      <c r="CM16" s="56">
        <v>0</v>
      </c>
      <c r="CN16" s="56">
        <v>0</v>
      </c>
      <c r="CO16" s="58">
        <f t="shared" si="12"/>
        <v>5</v>
      </c>
    </row>
    <row r="17" spans="1:93" ht="21" customHeight="1" x14ac:dyDescent="0.25">
      <c r="A17" s="12">
        <v>13</v>
      </c>
      <c r="B17" s="14" t="s">
        <v>53</v>
      </c>
      <c r="C17" s="9" t="s">
        <v>54</v>
      </c>
      <c r="D17" s="98">
        <v>40896</v>
      </c>
      <c r="E17" s="71">
        <v>0.35416666666666669</v>
      </c>
      <c r="F17" s="71">
        <v>0.95000000000000007</v>
      </c>
      <c r="G17" s="71">
        <v>0.35416666666666669</v>
      </c>
      <c r="H17" s="76">
        <v>1</v>
      </c>
      <c r="I17" s="71">
        <v>0.35416666666666669</v>
      </c>
      <c r="J17" s="71">
        <v>0.96250000000000002</v>
      </c>
      <c r="K17" s="71">
        <v>0.3527777777777778</v>
      </c>
      <c r="L17" s="71">
        <v>0.97361111111111109</v>
      </c>
      <c r="M17" s="107" t="s">
        <v>15</v>
      </c>
      <c r="N17" s="125" t="s">
        <v>15</v>
      </c>
      <c r="O17" s="71">
        <v>0.35416666666666669</v>
      </c>
      <c r="P17" s="71">
        <v>0.96319444444444446</v>
      </c>
      <c r="Q17" s="71">
        <v>0.3527777777777778</v>
      </c>
      <c r="R17" s="71">
        <v>0.97569444444444453</v>
      </c>
      <c r="S17" s="71">
        <v>0.35347222222222219</v>
      </c>
      <c r="T17" s="71">
        <v>0.94652777777777775</v>
      </c>
      <c r="U17" s="71">
        <v>0.35347222222222219</v>
      </c>
      <c r="V17" s="71">
        <v>0.9590277777777777</v>
      </c>
      <c r="W17" s="71">
        <v>0.3527777777777778</v>
      </c>
      <c r="X17" s="71">
        <v>0.94861111111111107</v>
      </c>
      <c r="Y17" s="71">
        <v>0.35347222222222219</v>
      </c>
      <c r="Z17" s="71">
        <v>0.96875</v>
      </c>
      <c r="AA17" s="123">
        <v>0.58263888888888882</v>
      </c>
      <c r="AB17" s="123">
        <v>0.96319444444444446</v>
      </c>
      <c r="AC17" s="71">
        <v>0.35694444444444445</v>
      </c>
      <c r="AD17" s="71">
        <v>0.96319444444444446</v>
      </c>
      <c r="AE17" s="71">
        <v>0.3520833333333333</v>
      </c>
      <c r="AF17" s="71">
        <v>1.1805555555555555E-2</v>
      </c>
      <c r="AG17" s="71">
        <v>0.3527777777777778</v>
      </c>
      <c r="AH17" s="71">
        <v>0.3527777777777778</v>
      </c>
      <c r="AI17" s="143"/>
      <c r="AJ17" s="103">
        <v>13</v>
      </c>
      <c r="AK17" s="71">
        <v>0.3520833333333333</v>
      </c>
      <c r="AL17" s="71">
        <v>0.94374999999999998</v>
      </c>
      <c r="AM17" s="71">
        <v>0.35347222222222219</v>
      </c>
      <c r="AN17" s="71">
        <v>0.9868055555555556</v>
      </c>
      <c r="AO17" s="71">
        <v>0.35347222222222219</v>
      </c>
      <c r="AP17" s="71">
        <v>1.5277777777777777E-2</v>
      </c>
      <c r="AQ17" s="125" t="s">
        <v>15</v>
      </c>
      <c r="AR17" s="125" t="s">
        <v>15</v>
      </c>
      <c r="AS17" s="71">
        <v>0.35347222222222219</v>
      </c>
      <c r="AT17" s="71">
        <v>0.95208333333333339</v>
      </c>
      <c r="AU17" s="71">
        <v>0.35416666666666669</v>
      </c>
      <c r="AV17" s="71">
        <v>0.97430555555555554</v>
      </c>
      <c r="AW17" s="71">
        <v>0.3527777777777778</v>
      </c>
      <c r="AX17" s="71">
        <v>0.95277777777777783</v>
      </c>
      <c r="AY17" s="71">
        <v>0.35347222222222219</v>
      </c>
      <c r="AZ17" s="71">
        <v>0.95833333333333337</v>
      </c>
      <c r="BA17" s="71">
        <v>0.35347222222222219</v>
      </c>
      <c r="BB17" s="71">
        <v>0.94652777777777775</v>
      </c>
      <c r="BC17" s="71">
        <v>0.35416666666666669</v>
      </c>
      <c r="BD17" s="71">
        <v>0.9819444444444444</v>
      </c>
      <c r="BE17" s="123">
        <v>0.5805555555555556</v>
      </c>
      <c r="BF17" s="123">
        <v>0.94305555555555554</v>
      </c>
      <c r="BG17" s="71">
        <v>0.35347222222222219</v>
      </c>
      <c r="BH17" s="71">
        <v>0.94930555555555562</v>
      </c>
      <c r="BI17" s="71">
        <v>0.35347222222222219</v>
      </c>
      <c r="BJ17" s="71">
        <v>0.98611111111111116</v>
      </c>
      <c r="BK17" s="71">
        <v>0.3527777777777778</v>
      </c>
      <c r="BL17" s="71">
        <v>0.96666666666666667</v>
      </c>
      <c r="BM17" s="71">
        <v>0.3527777777777778</v>
      </c>
      <c r="BN17" s="76">
        <v>1</v>
      </c>
      <c r="BO17" s="122">
        <f t="shared" si="13"/>
        <v>30</v>
      </c>
      <c r="BP17" s="75">
        <v>2</v>
      </c>
      <c r="BQ17" s="2">
        <f t="shared" si="0"/>
        <v>28</v>
      </c>
      <c r="BR17" s="3">
        <f t="shared" si="1"/>
        <v>2</v>
      </c>
      <c r="BS17" s="3">
        <f t="shared" si="2"/>
        <v>0</v>
      </c>
      <c r="BT17" s="3">
        <f t="shared" si="3"/>
        <v>0</v>
      </c>
      <c r="BU17" s="3">
        <f t="shared" si="14"/>
        <v>0</v>
      </c>
      <c r="BV17" s="3">
        <f t="shared" si="5"/>
        <v>0</v>
      </c>
      <c r="BW17" s="3">
        <f t="shared" si="6"/>
        <v>0</v>
      </c>
      <c r="BX17" s="3">
        <f t="shared" si="7"/>
        <v>0</v>
      </c>
      <c r="BY17" s="3">
        <f t="shared" si="8"/>
        <v>0</v>
      </c>
      <c r="BZ17" s="3">
        <f t="shared" si="9"/>
        <v>0</v>
      </c>
      <c r="CA17" s="3">
        <f t="shared" si="10"/>
        <v>0</v>
      </c>
      <c r="CB17" s="3">
        <f t="shared" si="11"/>
        <v>0</v>
      </c>
      <c r="CC17" s="78"/>
      <c r="CE17" s="56">
        <v>0</v>
      </c>
      <c r="CF17" s="56">
        <v>0</v>
      </c>
      <c r="CG17" s="56">
        <v>0</v>
      </c>
      <c r="CH17" s="56">
        <v>0</v>
      </c>
      <c r="CI17" s="56">
        <v>0</v>
      </c>
      <c r="CJ17" s="57">
        <v>1</v>
      </c>
      <c r="CK17" s="56">
        <v>0</v>
      </c>
      <c r="CL17" s="56">
        <v>0</v>
      </c>
      <c r="CM17" s="56">
        <v>0</v>
      </c>
      <c r="CN17" s="56">
        <v>0</v>
      </c>
      <c r="CO17" s="58">
        <f t="shared" si="12"/>
        <v>1</v>
      </c>
    </row>
    <row r="18" spans="1:93" ht="21" customHeight="1" x14ac:dyDescent="0.25">
      <c r="A18" s="12">
        <v>14</v>
      </c>
      <c r="B18" s="13" t="s">
        <v>55</v>
      </c>
      <c r="C18" s="9" t="s">
        <v>56</v>
      </c>
      <c r="D18" s="98">
        <v>42446</v>
      </c>
      <c r="E18" s="71">
        <v>0.3444444444444445</v>
      </c>
      <c r="F18" s="71">
        <v>0.93263888888888891</v>
      </c>
      <c r="G18" s="71">
        <v>0.34375</v>
      </c>
      <c r="H18" s="71">
        <v>0.95833333333333337</v>
      </c>
      <c r="I18" s="71">
        <v>0.34236111111111112</v>
      </c>
      <c r="J18" s="71">
        <v>0.92986111111111114</v>
      </c>
      <c r="K18" s="71">
        <v>0.34375</v>
      </c>
      <c r="L18" s="71">
        <v>0.95000000000000007</v>
      </c>
      <c r="M18" s="107" t="s">
        <v>15</v>
      </c>
      <c r="N18" s="125" t="s">
        <v>15</v>
      </c>
      <c r="O18" s="71">
        <v>0.34375</v>
      </c>
      <c r="P18" s="71">
        <v>0.9555555555555556</v>
      </c>
      <c r="Q18" s="71">
        <v>0.34375</v>
      </c>
      <c r="R18" s="71">
        <v>0.9277777777777777</v>
      </c>
      <c r="S18" s="71">
        <v>0.34375</v>
      </c>
      <c r="T18" s="71">
        <v>0.90694444444444444</v>
      </c>
      <c r="U18" s="71">
        <v>0.3430555555555555</v>
      </c>
      <c r="V18" s="71">
        <v>0.93055555555555547</v>
      </c>
      <c r="W18" s="71">
        <v>0.34375</v>
      </c>
      <c r="X18" s="71">
        <v>0.91527777777777775</v>
      </c>
      <c r="Y18" s="71">
        <v>0.34375</v>
      </c>
      <c r="Z18" s="71">
        <v>0.93402777777777779</v>
      </c>
      <c r="AA18" s="123">
        <v>0.56458333333333333</v>
      </c>
      <c r="AB18" s="123">
        <v>0.8930555555555556</v>
      </c>
      <c r="AC18" s="71">
        <v>0.34375</v>
      </c>
      <c r="AD18" s="71">
        <v>1.9444444444444445E-2</v>
      </c>
      <c r="AE18" s="71">
        <v>0.34375</v>
      </c>
      <c r="AF18" s="71">
        <v>0.93611111111111101</v>
      </c>
      <c r="AG18" s="71">
        <v>0.3430555555555555</v>
      </c>
      <c r="AH18" s="71">
        <v>0.91666666666666663</v>
      </c>
      <c r="AI18" s="143"/>
      <c r="AJ18" s="103">
        <v>14</v>
      </c>
      <c r="AK18" s="71">
        <v>0.34027777777777773</v>
      </c>
      <c r="AL18" s="71">
        <v>0.91111111111111109</v>
      </c>
      <c r="AM18" s="71">
        <v>0.3430555555555555</v>
      </c>
      <c r="AN18" s="71">
        <v>0.9194444444444444</v>
      </c>
      <c r="AO18" s="71">
        <v>0.3430555555555555</v>
      </c>
      <c r="AP18" s="71">
        <v>0.93055555555555547</v>
      </c>
      <c r="AQ18" s="125" t="s">
        <v>15</v>
      </c>
      <c r="AR18" s="125" t="s">
        <v>15</v>
      </c>
      <c r="AS18" s="71">
        <v>0.34236111111111112</v>
      </c>
      <c r="AT18" s="71">
        <v>0.92708333333333337</v>
      </c>
      <c r="AU18" s="71">
        <v>0.34236111111111112</v>
      </c>
      <c r="AV18" s="71">
        <v>0.90138888888888891</v>
      </c>
      <c r="AW18" s="71">
        <v>0.34166666666666662</v>
      </c>
      <c r="AX18" s="71">
        <v>0.8979166666666667</v>
      </c>
      <c r="AY18" s="71">
        <v>0.34027777777777773</v>
      </c>
      <c r="AZ18" s="71">
        <v>0.91319444444444453</v>
      </c>
      <c r="BA18" s="71">
        <v>0.33958333333333335</v>
      </c>
      <c r="BB18" s="71">
        <v>0.90347222222222223</v>
      </c>
      <c r="BC18" s="71">
        <v>0.34027777777777773</v>
      </c>
      <c r="BD18" s="71">
        <v>0.93055555555555547</v>
      </c>
      <c r="BE18" s="123">
        <v>0.57222222222222219</v>
      </c>
      <c r="BF18" s="123">
        <v>0.9159722222222223</v>
      </c>
      <c r="BG18" s="71">
        <v>0.34166666666666662</v>
      </c>
      <c r="BH18" s="71">
        <v>0.94791666666666663</v>
      </c>
      <c r="BI18" s="71">
        <v>0.34236111111111112</v>
      </c>
      <c r="BJ18" s="71">
        <v>0.91319444444444453</v>
      </c>
      <c r="BK18" s="71">
        <v>0.3430555555555555</v>
      </c>
      <c r="BL18" s="71">
        <v>0.91249999999999998</v>
      </c>
      <c r="BM18" s="71">
        <v>0.3430555555555555</v>
      </c>
      <c r="BN18" s="71">
        <v>0.92499999999999993</v>
      </c>
      <c r="BO18" s="122">
        <f t="shared" si="13"/>
        <v>30</v>
      </c>
      <c r="BP18" s="75">
        <v>2</v>
      </c>
      <c r="BQ18" s="2">
        <f t="shared" si="0"/>
        <v>28</v>
      </c>
      <c r="BR18" s="3">
        <f t="shared" si="1"/>
        <v>2</v>
      </c>
      <c r="BS18" s="3">
        <f t="shared" si="2"/>
        <v>0</v>
      </c>
      <c r="BT18" s="3">
        <f t="shared" si="3"/>
        <v>0</v>
      </c>
      <c r="BU18" s="3">
        <f t="shared" si="14"/>
        <v>0</v>
      </c>
      <c r="BV18" s="3">
        <f t="shared" si="5"/>
        <v>0</v>
      </c>
      <c r="BW18" s="3">
        <f t="shared" si="6"/>
        <v>0</v>
      </c>
      <c r="BX18" s="3">
        <f t="shared" si="7"/>
        <v>0</v>
      </c>
      <c r="BY18" s="3">
        <f t="shared" si="8"/>
        <v>0</v>
      </c>
      <c r="BZ18" s="3">
        <f t="shared" si="9"/>
        <v>0</v>
      </c>
      <c r="CA18" s="3">
        <f t="shared" si="10"/>
        <v>0</v>
      </c>
      <c r="CB18" s="3">
        <f t="shared" si="11"/>
        <v>0</v>
      </c>
      <c r="CC18" s="78"/>
      <c r="CE18" s="56">
        <v>0</v>
      </c>
      <c r="CF18" s="56">
        <v>0</v>
      </c>
      <c r="CG18" s="57">
        <v>2</v>
      </c>
      <c r="CH18" s="56">
        <v>0</v>
      </c>
      <c r="CI18" s="56">
        <v>0</v>
      </c>
      <c r="CJ18" s="56">
        <v>0</v>
      </c>
      <c r="CK18" s="56">
        <v>0</v>
      </c>
      <c r="CL18" s="56">
        <v>0</v>
      </c>
      <c r="CM18" s="56">
        <v>0</v>
      </c>
      <c r="CN18" s="56">
        <v>0</v>
      </c>
      <c r="CO18" s="58">
        <f t="shared" si="12"/>
        <v>2</v>
      </c>
    </row>
    <row r="19" spans="1:93" ht="21" customHeight="1" x14ac:dyDescent="0.25">
      <c r="A19" s="12">
        <v>15</v>
      </c>
      <c r="B19" s="13" t="s">
        <v>57</v>
      </c>
      <c r="C19" s="9" t="s">
        <v>58</v>
      </c>
      <c r="D19" s="98">
        <v>42640</v>
      </c>
      <c r="E19" s="71">
        <v>0.36458333333333331</v>
      </c>
      <c r="F19" s="76">
        <v>1</v>
      </c>
      <c r="G19" s="71">
        <v>0.33819444444444446</v>
      </c>
      <c r="H19" s="76">
        <v>1</v>
      </c>
      <c r="I19" s="71">
        <v>0.33888888888888885</v>
      </c>
      <c r="J19" s="76">
        <v>1</v>
      </c>
      <c r="K19" s="71">
        <v>0.3520833333333333</v>
      </c>
      <c r="L19" s="76">
        <v>1</v>
      </c>
      <c r="M19" s="107" t="s">
        <v>15</v>
      </c>
      <c r="N19" s="125" t="s">
        <v>15</v>
      </c>
      <c r="O19" s="76">
        <v>1</v>
      </c>
      <c r="P19" s="76">
        <v>1</v>
      </c>
      <c r="Q19" s="71">
        <v>0.3520833333333333</v>
      </c>
      <c r="R19" s="76">
        <v>1</v>
      </c>
      <c r="S19" s="71">
        <v>0.35069444444444442</v>
      </c>
      <c r="T19" s="76">
        <v>1</v>
      </c>
      <c r="U19" s="71">
        <v>0.34930555555555554</v>
      </c>
      <c r="V19" s="76">
        <v>1</v>
      </c>
      <c r="W19" s="71">
        <v>0.34930555555555554</v>
      </c>
      <c r="X19" s="76">
        <v>1</v>
      </c>
      <c r="Y19" s="71">
        <v>0.33680555555555558</v>
      </c>
      <c r="Z19" s="76">
        <v>1</v>
      </c>
      <c r="AA19" s="123">
        <v>0.58472222222222225</v>
      </c>
      <c r="AB19" s="124">
        <v>1</v>
      </c>
      <c r="AC19" s="71">
        <v>0.33333333333333331</v>
      </c>
      <c r="AD19" s="76">
        <v>1</v>
      </c>
      <c r="AE19" s="71">
        <v>0.34027777777777773</v>
      </c>
      <c r="AF19" s="76">
        <v>1</v>
      </c>
      <c r="AG19" s="71">
        <v>0.33680555555555558</v>
      </c>
      <c r="AH19" s="76">
        <v>1</v>
      </c>
      <c r="AI19" s="135"/>
      <c r="AJ19" s="103">
        <v>15</v>
      </c>
      <c r="AK19" s="71">
        <v>0.3430555555555555</v>
      </c>
      <c r="AL19" s="76">
        <v>1</v>
      </c>
      <c r="AM19" s="71">
        <v>0.33333333333333331</v>
      </c>
      <c r="AN19" s="76">
        <v>1</v>
      </c>
      <c r="AO19" s="71">
        <v>0.34097222222222223</v>
      </c>
      <c r="AP19" s="76">
        <v>1</v>
      </c>
      <c r="AQ19" s="123">
        <v>0.5625</v>
      </c>
      <c r="AR19" s="124">
        <v>1</v>
      </c>
      <c r="AS19" s="71">
        <v>0.3520833333333333</v>
      </c>
      <c r="AT19" s="76">
        <v>1</v>
      </c>
      <c r="AU19" s="71">
        <v>0.33888888888888885</v>
      </c>
      <c r="AV19" s="76">
        <v>1</v>
      </c>
      <c r="AW19" s="71">
        <v>0.3444444444444445</v>
      </c>
      <c r="AX19" s="76">
        <v>1</v>
      </c>
      <c r="AY19" s="71">
        <v>0.34097222222222223</v>
      </c>
      <c r="AZ19" s="76">
        <v>1</v>
      </c>
      <c r="BA19" s="71">
        <v>0.3444444444444445</v>
      </c>
      <c r="BB19" s="76">
        <v>1</v>
      </c>
      <c r="BC19" s="71">
        <v>0.34166666666666662</v>
      </c>
      <c r="BD19" s="76">
        <v>1</v>
      </c>
      <c r="BE19" s="123">
        <v>0.5625</v>
      </c>
      <c r="BF19" s="124">
        <v>1</v>
      </c>
      <c r="BG19" s="71">
        <v>0.34375</v>
      </c>
      <c r="BH19" s="76">
        <v>1</v>
      </c>
      <c r="BI19" s="71">
        <v>0.34097222222222223</v>
      </c>
      <c r="BJ19" s="76">
        <v>1</v>
      </c>
      <c r="BK19" s="71">
        <v>0.3444444444444445</v>
      </c>
      <c r="BL19" s="76">
        <v>1</v>
      </c>
      <c r="BM19" s="71">
        <v>0.3430555555555555</v>
      </c>
      <c r="BN19" s="76">
        <v>1</v>
      </c>
      <c r="BO19" s="122">
        <f t="shared" si="13"/>
        <v>30</v>
      </c>
      <c r="BP19" s="75">
        <v>3</v>
      </c>
      <c r="BQ19" s="2">
        <f t="shared" si="0"/>
        <v>29</v>
      </c>
      <c r="BR19" s="3">
        <f t="shared" si="1"/>
        <v>1</v>
      </c>
      <c r="BS19" s="3">
        <f t="shared" si="2"/>
        <v>0</v>
      </c>
      <c r="BT19" s="3">
        <f t="shared" si="3"/>
        <v>0</v>
      </c>
      <c r="BU19" s="3">
        <f t="shared" si="14"/>
        <v>0</v>
      </c>
      <c r="BV19" s="3">
        <f t="shared" si="5"/>
        <v>0</v>
      </c>
      <c r="BW19" s="3">
        <f t="shared" si="6"/>
        <v>0</v>
      </c>
      <c r="BX19" s="3">
        <f t="shared" si="7"/>
        <v>0</v>
      </c>
      <c r="BY19" s="3">
        <f t="shared" si="8"/>
        <v>0</v>
      </c>
      <c r="BZ19" s="3">
        <f t="shared" si="9"/>
        <v>0</v>
      </c>
      <c r="CA19" s="3">
        <f t="shared" si="10"/>
        <v>0</v>
      </c>
      <c r="CB19" s="3">
        <f t="shared" si="11"/>
        <v>0</v>
      </c>
      <c r="CC19" s="78"/>
      <c r="CE19" s="56">
        <v>0</v>
      </c>
      <c r="CF19" s="56">
        <v>0</v>
      </c>
      <c r="CG19" s="57">
        <v>49</v>
      </c>
      <c r="CH19" s="56">
        <v>0</v>
      </c>
      <c r="CI19" s="56">
        <v>0</v>
      </c>
      <c r="CJ19" s="56">
        <v>0</v>
      </c>
      <c r="CK19" s="56">
        <v>0</v>
      </c>
      <c r="CL19" s="56">
        <v>0</v>
      </c>
      <c r="CM19" s="56">
        <v>0</v>
      </c>
      <c r="CN19" s="56">
        <v>0</v>
      </c>
      <c r="CO19" s="58">
        <f t="shared" si="12"/>
        <v>49</v>
      </c>
    </row>
    <row r="20" spans="1:93" ht="21" customHeight="1" x14ac:dyDescent="0.25">
      <c r="A20" s="12">
        <v>16</v>
      </c>
      <c r="B20" s="13" t="s">
        <v>222</v>
      </c>
      <c r="C20" s="9" t="s">
        <v>264</v>
      </c>
      <c r="D20" s="133"/>
      <c r="E20" s="84" t="s">
        <v>24</v>
      </c>
      <c r="F20" s="84" t="s">
        <v>24</v>
      </c>
      <c r="G20" s="84" t="s">
        <v>24</v>
      </c>
      <c r="H20" s="84" t="s">
        <v>24</v>
      </c>
      <c r="I20" s="84" t="s">
        <v>24</v>
      </c>
      <c r="J20" s="84" t="s">
        <v>24</v>
      </c>
      <c r="K20" s="84" t="s">
        <v>24</v>
      </c>
      <c r="L20" s="84" t="s">
        <v>24</v>
      </c>
      <c r="M20" s="84" t="s">
        <v>24</v>
      </c>
      <c r="N20" s="84" t="s">
        <v>24</v>
      </c>
      <c r="O20" s="84" t="s">
        <v>24</v>
      </c>
      <c r="P20" s="84" t="s">
        <v>24</v>
      </c>
      <c r="Q20" s="84" t="s">
        <v>24</v>
      </c>
      <c r="R20" s="84" t="s">
        <v>24</v>
      </c>
      <c r="S20" s="84" t="s">
        <v>24</v>
      </c>
      <c r="T20" s="84" t="s">
        <v>24</v>
      </c>
      <c r="U20" s="84" t="s">
        <v>24</v>
      </c>
      <c r="V20" s="84" t="s">
        <v>24</v>
      </c>
      <c r="W20" s="84" t="s">
        <v>24</v>
      </c>
      <c r="X20" s="84" t="s">
        <v>24</v>
      </c>
      <c r="Y20" s="84" t="s">
        <v>24</v>
      </c>
      <c r="Z20" s="84" t="s">
        <v>24</v>
      </c>
      <c r="AA20" s="84" t="s">
        <v>24</v>
      </c>
      <c r="AB20" s="84" t="s">
        <v>24</v>
      </c>
      <c r="AC20" s="84" t="s">
        <v>24</v>
      </c>
      <c r="AD20" s="84" t="s">
        <v>24</v>
      </c>
      <c r="AE20" s="84" t="s">
        <v>24</v>
      </c>
      <c r="AF20" s="84" t="s">
        <v>24</v>
      </c>
      <c r="AG20" s="84" t="s">
        <v>24</v>
      </c>
      <c r="AH20" s="84" t="s">
        <v>24</v>
      </c>
      <c r="AI20" s="144"/>
      <c r="AJ20" s="103">
        <v>16</v>
      </c>
      <c r="AK20" s="84" t="s">
        <v>24</v>
      </c>
      <c r="AL20" s="84" t="s">
        <v>24</v>
      </c>
      <c r="AM20" s="84" t="s">
        <v>24</v>
      </c>
      <c r="AN20" s="84" t="s">
        <v>24</v>
      </c>
      <c r="AO20" s="84" t="s">
        <v>24</v>
      </c>
      <c r="AP20" s="84" t="s">
        <v>24</v>
      </c>
      <c r="AQ20" s="110" t="s">
        <v>24</v>
      </c>
      <c r="AR20" s="110" t="s">
        <v>24</v>
      </c>
      <c r="AS20" s="84" t="s">
        <v>24</v>
      </c>
      <c r="AT20" s="84" t="s">
        <v>24</v>
      </c>
      <c r="AU20" s="76">
        <v>1</v>
      </c>
      <c r="AV20" s="76">
        <v>1</v>
      </c>
      <c r="AW20" s="71">
        <v>0.35486111111111113</v>
      </c>
      <c r="AX20" s="71">
        <v>0.96597222222222223</v>
      </c>
      <c r="AY20" s="71">
        <v>0.34930555555555554</v>
      </c>
      <c r="AZ20" s="76">
        <v>1</v>
      </c>
      <c r="BA20" s="71">
        <v>0.3527777777777778</v>
      </c>
      <c r="BB20" s="71">
        <v>0.9458333333333333</v>
      </c>
      <c r="BC20" s="71">
        <v>0.35347222222222219</v>
      </c>
      <c r="BD20" s="71">
        <v>0.98819444444444438</v>
      </c>
      <c r="BE20" s="123">
        <v>0.57708333333333328</v>
      </c>
      <c r="BF20" s="124">
        <v>1</v>
      </c>
      <c r="BG20" s="71">
        <v>0.33124999999999999</v>
      </c>
      <c r="BH20" s="71">
        <v>0.95763888888888893</v>
      </c>
      <c r="BI20" s="71">
        <v>0.34930555555555554</v>
      </c>
      <c r="BJ20" s="76">
        <v>1</v>
      </c>
      <c r="BK20" s="71">
        <v>0.33611111111111108</v>
      </c>
      <c r="BL20" s="71">
        <v>0.96736111111111101</v>
      </c>
      <c r="BM20" s="71">
        <v>0.35000000000000003</v>
      </c>
      <c r="BN20" s="76">
        <v>1</v>
      </c>
      <c r="BO20" s="122">
        <f t="shared" si="13"/>
        <v>10</v>
      </c>
      <c r="BP20" s="75">
        <v>1</v>
      </c>
      <c r="BQ20" s="2">
        <f t="shared" si="0"/>
        <v>10</v>
      </c>
      <c r="BR20" s="3">
        <f t="shared" si="1"/>
        <v>0</v>
      </c>
      <c r="BS20" s="3">
        <f t="shared" si="2"/>
        <v>0</v>
      </c>
      <c r="BT20" s="3">
        <f t="shared" si="3"/>
        <v>0</v>
      </c>
      <c r="BU20" s="3">
        <f t="shared" si="14"/>
        <v>0</v>
      </c>
      <c r="BV20" s="3">
        <f t="shared" si="5"/>
        <v>0</v>
      </c>
      <c r="BW20" s="3">
        <f t="shared" si="6"/>
        <v>0</v>
      </c>
      <c r="BX20" s="3">
        <f t="shared" si="7"/>
        <v>0</v>
      </c>
      <c r="BY20" s="3">
        <f t="shared" si="8"/>
        <v>0</v>
      </c>
      <c r="BZ20" s="3">
        <f t="shared" si="9"/>
        <v>0</v>
      </c>
      <c r="CA20" s="3">
        <f t="shared" si="10"/>
        <v>20</v>
      </c>
      <c r="CB20" s="3">
        <f t="shared" si="11"/>
        <v>0</v>
      </c>
      <c r="CC20" s="78"/>
      <c r="CE20" s="56">
        <v>0</v>
      </c>
      <c r="CF20" s="56">
        <v>0</v>
      </c>
      <c r="CG20" s="56">
        <v>30</v>
      </c>
      <c r="CH20" s="56">
        <v>0</v>
      </c>
      <c r="CI20" s="56">
        <v>0</v>
      </c>
      <c r="CJ20" s="56">
        <v>0</v>
      </c>
      <c r="CK20" s="56">
        <v>0</v>
      </c>
      <c r="CL20" s="56">
        <v>0</v>
      </c>
      <c r="CM20" s="56">
        <v>40</v>
      </c>
      <c r="CN20" s="56">
        <v>0</v>
      </c>
      <c r="CO20" s="58">
        <f t="shared" si="12"/>
        <v>70</v>
      </c>
    </row>
    <row r="21" spans="1:93" ht="21" customHeight="1" x14ac:dyDescent="0.25">
      <c r="A21" s="12">
        <v>17</v>
      </c>
      <c r="B21" s="13" t="s">
        <v>59</v>
      </c>
      <c r="C21" s="9" t="s">
        <v>60</v>
      </c>
      <c r="D21" s="100">
        <v>45881</v>
      </c>
      <c r="E21" s="71">
        <v>0.34097222222222223</v>
      </c>
      <c r="F21" s="71">
        <v>0.96180555555555547</v>
      </c>
      <c r="G21" s="71">
        <v>0.31736111111111115</v>
      </c>
      <c r="H21" s="71">
        <v>0.95416666666666661</v>
      </c>
      <c r="I21" s="71">
        <v>0.32847222222222222</v>
      </c>
      <c r="J21" s="71">
        <v>0.99513888888888891</v>
      </c>
      <c r="K21" s="71">
        <v>0.31805555555555554</v>
      </c>
      <c r="L21" s="71">
        <v>0.98125000000000007</v>
      </c>
      <c r="M21" s="123">
        <v>0.55972222222222223</v>
      </c>
      <c r="N21" s="126">
        <v>1</v>
      </c>
      <c r="O21" s="71">
        <v>0.32361111111111113</v>
      </c>
      <c r="P21" s="76">
        <v>1</v>
      </c>
      <c r="Q21" s="71">
        <v>0.32222222222222224</v>
      </c>
      <c r="R21" s="71">
        <v>0.9784722222222223</v>
      </c>
      <c r="S21" s="71">
        <v>0.32777777777777778</v>
      </c>
      <c r="T21" s="76">
        <v>1</v>
      </c>
      <c r="U21" s="71">
        <v>0.3263888888888889</v>
      </c>
      <c r="V21" s="76">
        <v>1</v>
      </c>
      <c r="W21" s="76">
        <v>1</v>
      </c>
      <c r="X21" s="76">
        <v>1</v>
      </c>
      <c r="Y21" s="71">
        <v>0.3215277777777778</v>
      </c>
      <c r="Z21" s="76">
        <v>1</v>
      </c>
      <c r="AA21" s="123">
        <v>0.56111111111111112</v>
      </c>
      <c r="AB21" s="123">
        <v>0.94027777777777777</v>
      </c>
      <c r="AC21" s="71">
        <v>0.32083333333333336</v>
      </c>
      <c r="AD21" s="71">
        <v>0.96180555555555547</v>
      </c>
      <c r="AE21" s="71">
        <v>0.3263888888888889</v>
      </c>
      <c r="AF21" s="71">
        <v>0.94027777777777777</v>
      </c>
      <c r="AG21" s="71">
        <v>0.32083333333333336</v>
      </c>
      <c r="AH21" s="71">
        <v>0.9784722222222223</v>
      </c>
      <c r="AI21" s="143"/>
      <c r="AJ21" s="103">
        <v>17</v>
      </c>
      <c r="AK21" s="71">
        <v>0.32430555555555557</v>
      </c>
      <c r="AL21" s="71">
        <v>0.95138888888888884</v>
      </c>
      <c r="AM21" s="71">
        <v>0.3263888888888889</v>
      </c>
      <c r="AN21" s="71">
        <v>0.59791666666666665</v>
      </c>
      <c r="AO21" s="71">
        <v>0.32777777777777778</v>
      </c>
      <c r="AP21" s="71">
        <v>0.97916666666666663</v>
      </c>
      <c r="AQ21" s="123">
        <v>0.56180555555555556</v>
      </c>
      <c r="AR21" s="123">
        <v>0.94166666666666676</v>
      </c>
      <c r="AS21" s="71">
        <v>0.32569444444444445</v>
      </c>
      <c r="AT21" s="76">
        <v>1</v>
      </c>
      <c r="AU21" s="71">
        <v>0.32291666666666669</v>
      </c>
      <c r="AV21" s="76">
        <v>1</v>
      </c>
      <c r="AW21" s="71">
        <v>0.32500000000000001</v>
      </c>
      <c r="AX21" s="71">
        <v>0.97916666666666663</v>
      </c>
      <c r="AY21" s="71">
        <v>0.32430555555555557</v>
      </c>
      <c r="AZ21" s="71">
        <v>0.95208333333333339</v>
      </c>
      <c r="BA21" s="71">
        <v>0.32500000000000001</v>
      </c>
      <c r="BB21" s="76">
        <v>1</v>
      </c>
      <c r="BC21" s="71">
        <v>0.3263888888888889</v>
      </c>
      <c r="BD21" s="71">
        <v>0.96180555555555547</v>
      </c>
      <c r="BE21" s="123">
        <v>0.56319444444444444</v>
      </c>
      <c r="BF21" s="123">
        <v>0.94374999999999998</v>
      </c>
      <c r="BG21" s="71">
        <v>0.32500000000000001</v>
      </c>
      <c r="BH21" s="71">
        <v>0.32500000000000001</v>
      </c>
      <c r="BI21" s="71">
        <v>0.31666666666666665</v>
      </c>
      <c r="BJ21" s="71">
        <v>0.31666666666666665</v>
      </c>
      <c r="BK21" s="71">
        <v>0.32500000000000001</v>
      </c>
      <c r="BL21" s="71">
        <v>0.96527777777777779</v>
      </c>
      <c r="BM21" s="71">
        <v>0.32777777777777778</v>
      </c>
      <c r="BN21" s="71">
        <v>0.96388888888888891</v>
      </c>
      <c r="BO21" s="122">
        <f t="shared" si="13"/>
        <v>30</v>
      </c>
      <c r="BP21" s="75">
        <v>4</v>
      </c>
      <c r="BQ21" s="2">
        <f t="shared" si="0"/>
        <v>30</v>
      </c>
      <c r="BR21" s="3">
        <f t="shared" si="1"/>
        <v>0</v>
      </c>
      <c r="BS21" s="3">
        <f t="shared" si="2"/>
        <v>0</v>
      </c>
      <c r="BT21" s="3">
        <f t="shared" si="3"/>
        <v>0</v>
      </c>
      <c r="BU21" s="3">
        <f t="shared" si="14"/>
        <v>0</v>
      </c>
      <c r="BV21" s="3">
        <f t="shared" si="5"/>
        <v>0</v>
      </c>
      <c r="BW21" s="3">
        <f t="shared" si="6"/>
        <v>0</v>
      </c>
      <c r="BX21" s="3">
        <f t="shared" si="7"/>
        <v>0</v>
      </c>
      <c r="BY21" s="3">
        <f t="shared" si="8"/>
        <v>0</v>
      </c>
      <c r="BZ21" s="3">
        <f t="shared" si="9"/>
        <v>0</v>
      </c>
      <c r="CA21" s="3">
        <f t="shared" si="10"/>
        <v>0</v>
      </c>
      <c r="CB21" s="3">
        <f t="shared" si="11"/>
        <v>0</v>
      </c>
      <c r="CC21" s="4"/>
      <c r="CE21" s="56">
        <v>0</v>
      </c>
      <c r="CF21" s="56">
        <v>0</v>
      </c>
      <c r="CG21" s="56">
        <v>0</v>
      </c>
      <c r="CH21" s="56">
        <v>0</v>
      </c>
      <c r="CI21" s="56">
        <v>0</v>
      </c>
      <c r="CJ21" s="56">
        <v>0</v>
      </c>
      <c r="CK21" s="56">
        <v>0</v>
      </c>
      <c r="CL21" s="56">
        <v>0</v>
      </c>
      <c r="CM21" s="56">
        <v>0</v>
      </c>
      <c r="CN21" s="56">
        <v>0</v>
      </c>
      <c r="CO21" s="58">
        <f t="shared" si="12"/>
        <v>0</v>
      </c>
    </row>
    <row r="22" spans="1:93" ht="21" customHeight="1" x14ac:dyDescent="0.25">
      <c r="A22" s="12">
        <v>18</v>
      </c>
      <c r="B22" s="13" t="s">
        <v>61</v>
      </c>
      <c r="C22" s="161" t="s">
        <v>249</v>
      </c>
      <c r="D22" s="100">
        <v>45936</v>
      </c>
      <c r="E22" s="71">
        <v>0.35138888888888892</v>
      </c>
      <c r="F22" s="71">
        <v>0.7270833333333333</v>
      </c>
      <c r="G22" s="71">
        <v>0.3659722222222222</v>
      </c>
      <c r="H22" s="71">
        <v>0.73125000000000007</v>
      </c>
      <c r="I22" s="71">
        <v>0.36736111111111108</v>
      </c>
      <c r="J22" s="76">
        <v>1</v>
      </c>
      <c r="K22" s="71">
        <v>0.37013888888888885</v>
      </c>
      <c r="L22" s="71">
        <v>0.73125000000000007</v>
      </c>
      <c r="M22" s="107" t="s">
        <v>15</v>
      </c>
      <c r="N22" s="125" t="s">
        <v>15</v>
      </c>
      <c r="O22" s="71">
        <v>0.37152777777777773</v>
      </c>
      <c r="P22" s="71">
        <v>0.7284722222222223</v>
      </c>
      <c r="Q22" s="71">
        <v>0.3659722222222222</v>
      </c>
      <c r="R22" s="71">
        <v>0.72986111111111107</v>
      </c>
      <c r="S22" s="71">
        <v>0.36944444444444446</v>
      </c>
      <c r="T22" s="71">
        <v>0.73055555555555562</v>
      </c>
      <c r="U22" s="71">
        <v>0.37083333333333335</v>
      </c>
      <c r="V22" s="76">
        <v>1</v>
      </c>
      <c r="W22" s="71">
        <v>0.3659722222222222</v>
      </c>
      <c r="X22" s="82" t="s">
        <v>181</v>
      </c>
      <c r="Y22" s="105" t="s">
        <v>20</v>
      </c>
      <c r="Z22" s="105" t="s">
        <v>20</v>
      </c>
      <c r="AA22" s="123">
        <v>0.59930555555555554</v>
      </c>
      <c r="AB22" s="123">
        <v>0.71805555555555556</v>
      </c>
      <c r="AC22" s="71">
        <v>0.37013888888888885</v>
      </c>
      <c r="AD22" s="71">
        <v>0.74375000000000002</v>
      </c>
      <c r="AE22" s="71">
        <v>0.37013888888888885</v>
      </c>
      <c r="AF22" s="71">
        <v>0.59930555555555554</v>
      </c>
      <c r="AG22" s="71">
        <v>0.35555555555555557</v>
      </c>
      <c r="AH22" s="71">
        <v>0.72986111111111107</v>
      </c>
      <c r="AI22" s="143"/>
      <c r="AJ22" s="103">
        <v>18</v>
      </c>
      <c r="AK22" s="71">
        <v>0.36874999999999997</v>
      </c>
      <c r="AL22" s="71">
        <v>0.73125000000000007</v>
      </c>
      <c r="AM22" s="71">
        <v>0.37013888888888885</v>
      </c>
      <c r="AN22" s="71">
        <v>0.72916666666666663</v>
      </c>
      <c r="AO22" s="71">
        <v>0.36736111111111108</v>
      </c>
      <c r="AP22" s="71">
        <v>0.7319444444444444</v>
      </c>
      <c r="AQ22" s="123">
        <v>0.6875</v>
      </c>
      <c r="AR22" s="123">
        <v>0.72430555555555554</v>
      </c>
      <c r="AS22" s="71">
        <v>0.37222222222222223</v>
      </c>
      <c r="AT22" s="71">
        <v>0.71388888888888891</v>
      </c>
      <c r="AU22" s="71">
        <v>0.36944444444444446</v>
      </c>
      <c r="AV22" s="71">
        <v>0.73263888888888884</v>
      </c>
      <c r="AW22" s="71">
        <v>0.3666666666666667</v>
      </c>
      <c r="AX22" s="71">
        <v>0.73541666666666661</v>
      </c>
      <c r="AY22" s="71">
        <v>0.36944444444444446</v>
      </c>
      <c r="AZ22" s="71">
        <v>0.73402777777777783</v>
      </c>
      <c r="BA22" s="71">
        <v>0.3659722222222222</v>
      </c>
      <c r="BB22" s="71">
        <v>0.73263888888888884</v>
      </c>
      <c r="BC22" s="71">
        <v>0.37083333333333335</v>
      </c>
      <c r="BD22" s="71">
        <v>0.73402777777777783</v>
      </c>
      <c r="BE22" s="123">
        <v>0.58819444444444446</v>
      </c>
      <c r="BF22" s="123">
        <v>0.71527777777777779</v>
      </c>
      <c r="BG22" s="71">
        <v>0.73749999999999993</v>
      </c>
      <c r="BH22" s="76">
        <v>1</v>
      </c>
      <c r="BI22" s="71">
        <v>0.3659722222222222</v>
      </c>
      <c r="BJ22" s="71">
        <v>0.73541666666666661</v>
      </c>
      <c r="BK22" s="71">
        <v>0.37291666666666662</v>
      </c>
      <c r="BL22" s="71">
        <v>0.73402777777777783</v>
      </c>
      <c r="BM22" s="71">
        <v>0.3756944444444445</v>
      </c>
      <c r="BN22" s="71">
        <v>0.73541666666666661</v>
      </c>
      <c r="BO22" s="122">
        <f t="shared" si="13"/>
        <v>30</v>
      </c>
      <c r="BP22" s="75">
        <v>3</v>
      </c>
      <c r="BQ22" s="2">
        <f t="shared" si="0"/>
        <v>27.5</v>
      </c>
      <c r="BR22" s="3">
        <f t="shared" si="1"/>
        <v>1</v>
      </c>
      <c r="BS22" s="3">
        <f t="shared" si="2"/>
        <v>0</v>
      </c>
      <c r="BT22" s="3">
        <f t="shared" si="3"/>
        <v>0</v>
      </c>
      <c r="BU22" s="3">
        <f t="shared" si="14"/>
        <v>0</v>
      </c>
      <c r="BV22" s="3">
        <f t="shared" si="5"/>
        <v>0</v>
      </c>
      <c r="BW22" s="3">
        <f t="shared" si="6"/>
        <v>1</v>
      </c>
      <c r="BX22" s="3">
        <f t="shared" si="7"/>
        <v>0.5</v>
      </c>
      <c r="BY22" s="3">
        <f t="shared" si="8"/>
        <v>0</v>
      </c>
      <c r="BZ22" s="3">
        <f t="shared" si="9"/>
        <v>0</v>
      </c>
      <c r="CA22" s="3">
        <f t="shared" si="10"/>
        <v>0</v>
      </c>
      <c r="CB22" s="3">
        <f t="shared" si="11"/>
        <v>0</v>
      </c>
      <c r="CC22" s="78"/>
      <c r="CE22" s="56">
        <v>0</v>
      </c>
      <c r="CF22" s="56">
        <v>0</v>
      </c>
      <c r="CG22" s="56">
        <v>0</v>
      </c>
      <c r="CH22" s="56">
        <v>0</v>
      </c>
      <c r="CI22" s="56">
        <v>2</v>
      </c>
      <c r="CJ22" s="56">
        <v>0.5</v>
      </c>
      <c r="CK22" s="56">
        <v>0</v>
      </c>
      <c r="CL22" s="56">
        <v>0</v>
      </c>
      <c r="CM22" s="56">
        <v>0</v>
      </c>
      <c r="CN22" s="56">
        <v>0</v>
      </c>
      <c r="CO22" s="58">
        <f t="shared" si="12"/>
        <v>2.5</v>
      </c>
    </row>
    <row r="23" spans="1:93" ht="21.75" customHeight="1" x14ac:dyDescent="0.25">
      <c r="A23" s="12">
        <v>19</v>
      </c>
      <c r="B23" s="47" t="s">
        <v>176</v>
      </c>
      <c r="C23" s="161" t="s">
        <v>177</v>
      </c>
      <c r="D23" s="100">
        <v>45945</v>
      </c>
      <c r="E23" s="71">
        <v>0.33124999999999999</v>
      </c>
      <c r="F23" s="71">
        <v>0.9916666666666667</v>
      </c>
      <c r="G23" s="71">
        <v>0.33402777777777781</v>
      </c>
      <c r="H23" s="76">
        <v>1</v>
      </c>
      <c r="I23" s="71">
        <v>0.32847222222222222</v>
      </c>
      <c r="J23" s="71">
        <v>0.9916666666666667</v>
      </c>
      <c r="K23" s="71">
        <v>0.33055555555555555</v>
      </c>
      <c r="L23" s="71">
        <v>0.98125000000000007</v>
      </c>
      <c r="M23" s="123">
        <v>0.56388888888888888</v>
      </c>
      <c r="N23" s="126">
        <v>1</v>
      </c>
      <c r="O23" s="71">
        <v>0.32430555555555557</v>
      </c>
      <c r="P23" s="71">
        <v>5.5555555555555558E-3</v>
      </c>
      <c r="Q23" s="71">
        <v>0.32916666666666666</v>
      </c>
      <c r="R23" s="71">
        <v>0.97916666666666663</v>
      </c>
      <c r="S23" s="71">
        <v>0.33263888888888887</v>
      </c>
      <c r="T23" s="71">
        <v>0.94513888888888886</v>
      </c>
      <c r="U23" s="71">
        <v>0.3347222222222222</v>
      </c>
      <c r="V23" s="76">
        <v>1</v>
      </c>
      <c r="W23" s="76">
        <v>1</v>
      </c>
      <c r="X23" s="76">
        <v>1</v>
      </c>
      <c r="Y23" s="71">
        <v>0.33819444444444446</v>
      </c>
      <c r="Z23" s="71">
        <v>4.1666666666666666E-3</v>
      </c>
      <c r="AA23" s="123">
        <v>0.57916666666666672</v>
      </c>
      <c r="AB23" s="123">
        <v>0.94305555555555554</v>
      </c>
      <c r="AC23" s="71">
        <v>0.32777777777777778</v>
      </c>
      <c r="AD23" s="76">
        <v>1</v>
      </c>
      <c r="AE23" s="71">
        <v>0.3263888888888889</v>
      </c>
      <c r="AF23" s="71">
        <v>4.1666666666666666E-3</v>
      </c>
      <c r="AG23" s="71">
        <v>0.37013888888888885</v>
      </c>
      <c r="AH23" s="71">
        <v>0.97916666666666663</v>
      </c>
      <c r="AI23" s="143"/>
      <c r="AJ23" s="103">
        <v>19</v>
      </c>
      <c r="AK23" s="71">
        <v>0.33888888888888885</v>
      </c>
      <c r="AL23" s="71">
        <v>0.94513888888888886</v>
      </c>
      <c r="AM23" s="71">
        <v>0.32222222222222224</v>
      </c>
      <c r="AN23" s="71">
        <v>0.9604166666666667</v>
      </c>
      <c r="AO23" s="71">
        <v>0.33124999999999999</v>
      </c>
      <c r="AP23" s="76">
        <v>1</v>
      </c>
      <c r="AQ23" s="123">
        <v>0.5708333333333333</v>
      </c>
      <c r="AR23" s="124">
        <v>1</v>
      </c>
      <c r="AS23" s="71">
        <v>0.32777777777777778</v>
      </c>
      <c r="AT23" s="71">
        <v>0.95000000000000007</v>
      </c>
      <c r="AU23" s="71">
        <v>0.33124999999999999</v>
      </c>
      <c r="AV23" s="76">
        <v>1</v>
      </c>
      <c r="AW23" s="76">
        <v>1</v>
      </c>
      <c r="AX23" s="76">
        <v>1</v>
      </c>
      <c r="AY23" s="71">
        <v>0.32916666666666666</v>
      </c>
      <c r="AZ23" s="76">
        <v>1</v>
      </c>
      <c r="BA23" s="71">
        <v>0.33333333333333331</v>
      </c>
      <c r="BB23" s="76">
        <v>1</v>
      </c>
      <c r="BC23" s="71">
        <v>0.33611111111111108</v>
      </c>
      <c r="BD23" s="71">
        <v>5.5555555555555558E-3</v>
      </c>
      <c r="BE23" s="123">
        <v>0.57291666666666663</v>
      </c>
      <c r="BF23" s="123">
        <v>0.97499999999999998</v>
      </c>
      <c r="BG23" s="76">
        <v>1</v>
      </c>
      <c r="BH23" s="76">
        <v>1</v>
      </c>
      <c r="BI23" s="71">
        <v>0.32916666666666666</v>
      </c>
      <c r="BJ23" s="71">
        <v>0.9472222222222223</v>
      </c>
      <c r="BK23" s="71">
        <v>0.32569444444444445</v>
      </c>
      <c r="BL23" s="71">
        <v>0.96527777777777779</v>
      </c>
      <c r="BM23" s="71">
        <v>0.33194444444444443</v>
      </c>
      <c r="BN23" s="76">
        <v>1</v>
      </c>
      <c r="BO23" s="122">
        <f t="shared" si="13"/>
        <v>30</v>
      </c>
      <c r="BP23" s="75">
        <v>4</v>
      </c>
      <c r="BQ23" s="2">
        <f t="shared" si="0"/>
        <v>30</v>
      </c>
      <c r="BR23" s="3">
        <f t="shared" si="1"/>
        <v>0</v>
      </c>
      <c r="BS23" s="3">
        <f t="shared" si="2"/>
        <v>0</v>
      </c>
      <c r="BT23" s="3">
        <f t="shared" si="3"/>
        <v>0</v>
      </c>
      <c r="BU23" s="3">
        <f t="shared" si="14"/>
        <v>0</v>
      </c>
      <c r="BV23" s="3">
        <f t="shared" si="5"/>
        <v>0</v>
      </c>
      <c r="BW23" s="3">
        <f t="shared" si="6"/>
        <v>0</v>
      </c>
      <c r="BX23" s="3">
        <f t="shared" si="7"/>
        <v>0</v>
      </c>
      <c r="BY23" s="3">
        <f t="shared" si="8"/>
        <v>0</v>
      </c>
      <c r="BZ23" s="3">
        <f t="shared" si="9"/>
        <v>0</v>
      </c>
      <c r="CA23" s="3">
        <f t="shared" si="10"/>
        <v>0</v>
      </c>
      <c r="CB23" s="3">
        <f t="shared" si="11"/>
        <v>0</v>
      </c>
      <c r="CC23" s="78"/>
      <c r="CE23" s="56">
        <v>0</v>
      </c>
      <c r="CF23" s="56">
        <v>0</v>
      </c>
      <c r="CG23" s="56">
        <v>0</v>
      </c>
      <c r="CH23" s="56">
        <v>0</v>
      </c>
      <c r="CI23" s="56">
        <v>0</v>
      </c>
      <c r="CJ23" s="56">
        <v>0</v>
      </c>
      <c r="CK23" s="56">
        <v>0</v>
      </c>
      <c r="CL23" s="56">
        <v>0</v>
      </c>
      <c r="CM23" s="56">
        <v>0</v>
      </c>
      <c r="CN23" s="56">
        <v>0</v>
      </c>
      <c r="CO23" s="58">
        <f t="shared" si="12"/>
        <v>0</v>
      </c>
    </row>
    <row r="24" spans="1:93" ht="22.5" customHeight="1" x14ac:dyDescent="0.25">
      <c r="A24" s="12">
        <v>20</v>
      </c>
      <c r="B24" s="47" t="s">
        <v>224</v>
      </c>
      <c r="C24" s="80" t="s">
        <v>226</v>
      </c>
      <c r="D24" s="100">
        <v>46052</v>
      </c>
      <c r="E24" s="71">
        <v>0.34930555555555554</v>
      </c>
      <c r="F24" s="71">
        <v>0.97986111111111107</v>
      </c>
      <c r="G24" s="71">
        <v>0.3576388888888889</v>
      </c>
      <c r="H24" s="71">
        <v>0.97013888888888899</v>
      </c>
      <c r="I24" s="71">
        <v>0.35694444444444445</v>
      </c>
      <c r="J24" s="71">
        <v>0.99652777777777779</v>
      </c>
      <c r="K24" s="71">
        <v>0.35694444444444445</v>
      </c>
      <c r="L24" s="71">
        <v>0.98333333333333339</v>
      </c>
      <c r="M24" s="123">
        <v>0.5756944444444444</v>
      </c>
      <c r="N24" s="127">
        <v>0.95138888888888884</v>
      </c>
      <c r="O24" s="71">
        <v>0.3576388888888889</v>
      </c>
      <c r="P24" s="71">
        <v>0.95624999999999993</v>
      </c>
      <c r="Q24" s="71">
        <v>0.3576388888888889</v>
      </c>
      <c r="R24" s="71">
        <v>0.9784722222222223</v>
      </c>
      <c r="S24" s="71">
        <v>0.35972222222222222</v>
      </c>
      <c r="T24" s="71">
        <v>0.9458333333333333</v>
      </c>
      <c r="U24" s="71">
        <v>0.35486111111111113</v>
      </c>
      <c r="V24" s="76">
        <v>1</v>
      </c>
      <c r="W24" s="76">
        <v>1</v>
      </c>
      <c r="X24" s="76">
        <v>1</v>
      </c>
      <c r="Y24" s="71">
        <v>0.35555555555555557</v>
      </c>
      <c r="Z24" s="71">
        <v>0.9604166666666667</v>
      </c>
      <c r="AA24" s="107" t="s">
        <v>15</v>
      </c>
      <c r="AB24" s="125" t="s">
        <v>15</v>
      </c>
      <c r="AC24" s="71">
        <v>0.3576388888888889</v>
      </c>
      <c r="AD24" s="71">
        <v>0.96805555555555556</v>
      </c>
      <c r="AE24" s="71">
        <v>0.33888888888888885</v>
      </c>
      <c r="AF24" s="71">
        <v>0.34722222222222227</v>
      </c>
      <c r="AG24" s="71">
        <v>0.32777777777777778</v>
      </c>
      <c r="AH24" s="71">
        <v>0.9784722222222223</v>
      </c>
      <c r="AI24" s="143"/>
      <c r="AJ24" s="103">
        <v>20</v>
      </c>
      <c r="AK24" s="71">
        <v>0.35069444444444442</v>
      </c>
      <c r="AL24" s="71">
        <v>0.95277777777777783</v>
      </c>
      <c r="AM24" s="71">
        <v>0.34652777777777777</v>
      </c>
      <c r="AN24" s="71">
        <v>0.99236111111111114</v>
      </c>
      <c r="AO24" s="71">
        <v>0.34930555555555554</v>
      </c>
      <c r="AP24" s="71">
        <v>7.6388888888888886E-3</v>
      </c>
      <c r="AQ24" s="123">
        <v>0.5625</v>
      </c>
      <c r="AR24" s="123">
        <v>0.94305555555555554</v>
      </c>
      <c r="AS24" s="71">
        <v>0.35069444444444442</v>
      </c>
      <c r="AT24" s="71">
        <v>0.94652777777777775</v>
      </c>
      <c r="AU24" s="71">
        <v>0.35902777777777778</v>
      </c>
      <c r="AV24" s="71">
        <v>0.98749999999999993</v>
      </c>
      <c r="AW24" s="71">
        <v>0.35902777777777778</v>
      </c>
      <c r="AX24" s="71">
        <v>0.96805555555555556</v>
      </c>
      <c r="AY24" s="71">
        <v>0.35416666666666669</v>
      </c>
      <c r="AZ24" s="71">
        <v>0.96805555555555556</v>
      </c>
      <c r="BA24" s="71">
        <v>0.35555555555555557</v>
      </c>
      <c r="BB24" s="71">
        <v>0.96666666666666667</v>
      </c>
      <c r="BC24" s="71">
        <v>0.3576388888888889</v>
      </c>
      <c r="BD24" s="71">
        <v>3.472222222222222E-3</v>
      </c>
      <c r="BE24" s="107" t="s">
        <v>15</v>
      </c>
      <c r="BF24" s="107" t="s">
        <v>15</v>
      </c>
      <c r="BG24" s="71">
        <v>0.35833333333333334</v>
      </c>
      <c r="BH24" s="71">
        <v>0.95416666666666661</v>
      </c>
      <c r="BI24" s="71">
        <v>0.3576388888888889</v>
      </c>
      <c r="BJ24" s="71">
        <v>0.99236111111111114</v>
      </c>
      <c r="BK24" s="71">
        <v>0.35972222222222222</v>
      </c>
      <c r="BL24" s="71">
        <v>0.97430555555555554</v>
      </c>
      <c r="BM24" s="71">
        <v>0.35625000000000001</v>
      </c>
      <c r="BN24" s="76">
        <v>1</v>
      </c>
      <c r="BO24" s="122">
        <f t="shared" si="13"/>
        <v>30</v>
      </c>
      <c r="BP24" s="75">
        <v>2</v>
      </c>
      <c r="BQ24" s="2">
        <f t="shared" si="0"/>
        <v>28</v>
      </c>
      <c r="BR24" s="3">
        <f t="shared" si="1"/>
        <v>2</v>
      </c>
      <c r="BS24" s="3">
        <f t="shared" si="2"/>
        <v>0</v>
      </c>
      <c r="BT24" s="3">
        <f t="shared" si="3"/>
        <v>0</v>
      </c>
      <c r="BU24" s="3">
        <f t="shared" si="14"/>
        <v>0</v>
      </c>
      <c r="BV24" s="3">
        <f t="shared" si="5"/>
        <v>0</v>
      </c>
      <c r="BW24" s="3">
        <f t="shared" si="6"/>
        <v>0</v>
      </c>
      <c r="BX24" s="3">
        <f t="shared" si="7"/>
        <v>0</v>
      </c>
      <c r="BY24" s="3">
        <f t="shared" si="8"/>
        <v>0</v>
      </c>
      <c r="BZ24" s="3">
        <f t="shared" si="9"/>
        <v>0</v>
      </c>
      <c r="CA24" s="3">
        <f t="shared" si="10"/>
        <v>0</v>
      </c>
      <c r="CB24" s="3">
        <f t="shared" si="11"/>
        <v>0</v>
      </c>
      <c r="CC24" s="78"/>
      <c r="CE24" s="74">
        <v>0</v>
      </c>
      <c r="CF24" s="74">
        <v>0</v>
      </c>
      <c r="CG24" s="74">
        <v>0</v>
      </c>
      <c r="CH24" s="74">
        <v>0</v>
      </c>
      <c r="CI24" s="74">
        <v>0</v>
      </c>
      <c r="CJ24" s="74">
        <v>0</v>
      </c>
      <c r="CK24" s="74">
        <v>0</v>
      </c>
      <c r="CL24" s="74">
        <v>0</v>
      </c>
      <c r="CM24" s="74">
        <v>0</v>
      </c>
      <c r="CN24" s="74">
        <v>0</v>
      </c>
      <c r="CO24" s="58">
        <f t="shared" si="12"/>
        <v>0</v>
      </c>
    </row>
    <row r="25" spans="1:93" ht="22.5" customHeight="1" x14ac:dyDescent="0.25">
      <c r="A25" s="12">
        <v>21</v>
      </c>
      <c r="B25" s="47" t="s">
        <v>232</v>
      </c>
      <c r="C25" s="80" t="s">
        <v>236</v>
      </c>
      <c r="D25" s="100">
        <v>46070</v>
      </c>
      <c r="E25" s="71">
        <v>0.58611111111111114</v>
      </c>
      <c r="F25" s="71">
        <v>0.9819444444444444</v>
      </c>
      <c r="G25" s="71">
        <v>0.34375</v>
      </c>
      <c r="H25" s="71">
        <v>0.96180555555555547</v>
      </c>
      <c r="I25" s="71">
        <v>0.34791666666666665</v>
      </c>
      <c r="J25" s="71">
        <v>0.57152777777777775</v>
      </c>
      <c r="K25" s="82" t="s">
        <v>181</v>
      </c>
      <c r="L25" s="82" t="s">
        <v>181</v>
      </c>
      <c r="M25" s="107" t="s">
        <v>15</v>
      </c>
      <c r="N25" s="125" t="s">
        <v>15</v>
      </c>
      <c r="O25" s="71">
        <v>0.3923611111111111</v>
      </c>
      <c r="P25" s="76">
        <v>1</v>
      </c>
      <c r="Q25" s="71">
        <v>0.34722222222222227</v>
      </c>
      <c r="R25" s="76">
        <v>1</v>
      </c>
      <c r="S25" s="82" t="s">
        <v>181</v>
      </c>
      <c r="T25" s="82" t="s">
        <v>181</v>
      </c>
      <c r="U25" s="71">
        <v>0.34513888888888888</v>
      </c>
      <c r="V25" s="76">
        <v>1</v>
      </c>
      <c r="W25" s="82" t="s">
        <v>181</v>
      </c>
      <c r="X25" s="82" t="s">
        <v>181</v>
      </c>
      <c r="Y25" s="71">
        <v>0.3444444444444445</v>
      </c>
      <c r="Z25" s="71">
        <v>0.95763888888888893</v>
      </c>
      <c r="AA25" s="123">
        <v>0.56874999999999998</v>
      </c>
      <c r="AB25" s="123">
        <v>0.94166666666666676</v>
      </c>
      <c r="AC25" s="71">
        <v>0.97569444444444453</v>
      </c>
      <c r="AD25" s="76">
        <v>1</v>
      </c>
      <c r="AE25" s="71">
        <v>0.34791666666666665</v>
      </c>
      <c r="AF25" s="71">
        <v>0.97777777777777775</v>
      </c>
      <c r="AG25" s="71">
        <v>0.35555555555555557</v>
      </c>
      <c r="AH25" s="76">
        <v>1</v>
      </c>
      <c r="AI25" s="135"/>
      <c r="AJ25" s="103">
        <v>21</v>
      </c>
      <c r="AK25" s="71">
        <v>0.34930555555555554</v>
      </c>
      <c r="AL25" s="71">
        <v>0.96944444444444444</v>
      </c>
      <c r="AM25" s="71">
        <v>0.34722222222222227</v>
      </c>
      <c r="AN25" s="71">
        <v>0.99305555555555547</v>
      </c>
      <c r="AO25" s="71">
        <v>0.34930555555555554</v>
      </c>
      <c r="AP25" s="71">
        <v>2.013888888888889E-2</v>
      </c>
      <c r="AQ25" s="125" t="s">
        <v>15</v>
      </c>
      <c r="AR25" s="125" t="s">
        <v>15</v>
      </c>
      <c r="AS25" s="71">
        <v>0.34930555555555554</v>
      </c>
      <c r="AT25" s="71">
        <v>0.95208333333333339</v>
      </c>
      <c r="AU25" s="71">
        <v>0.34652777777777777</v>
      </c>
      <c r="AV25" s="71">
        <v>0.98819444444444438</v>
      </c>
      <c r="AW25" s="71">
        <v>0.34861111111111115</v>
      </c>
      <c r="AX25" s="71">
        <v>0.97986111111111107</v>
      </c>
      <c r="AY25" s="71">
        <v>0.35069444444444442</v>
      </c>
      <c r="AZ25" s="71">
        <v>0.96875</v>
      </c>
      <c r="BA25" s="71">
        <v>0.35069444444444442</v>
      </c>
      <c r="BB25" s="71">
        <v>0.94444444444444453</v>
      </c>
      <c r="BC25" s="71">
        <v>0.35416666666666669</v>
      </c>
      <c r="BD25" s="71">
        <v>0.98541666666666661</v>
      </c>
      <c r="BE25" s="123">
        <v>0.58472222222222225</v>
      </c>
      <c r="BF25" s="123">
        <v>0.94374999999999998</v>
      </c>
      <c r="BG25" s="71">
        <v>0.34930555555555554</v>
      </c>
      <c r="BH25" s="71">
        <v>0.95833333333333337</v>
      </c>
      <c r="BI25" s="71">
        <v>0.35000000000000003</v>
      </c>
      <c r="BJ25" s="71">
        <v>0.98888888888888893</v>
      </c>
      <c r="BK25" s="71">
        <v>0.3527777777777778</v>
      </c>
      <c r="BL25" s="71">
        <v>0.97777777777777775</v>
      </c>
      <c r="BM25" s="71">
        <v>0.34652777777777777</v>
      </c>
      <c r="BN25" s="76">
        <v>1</v>
      </c>
      <c r="BO25" s="122">
        <f t="shared" si="13"/>
        <v>30</v>
      </c>
      <c r="BP25" s="75">
        <v>2</v>
      </c>
      <c r="BQ25" s="2">
        <f t="shared" si="0"/>
        <v>25</v>
      </c>
      <c r="BR25" s="3">
        <f t="shared" si="1"/>
        <v>2</v>
      </c>
      <c r="BS25" s="3">
        <f t="shared" si="2"/>
        <v>0</v>
      </c>
      <c r="BT25" s="3">
        <f t="shared" si="3"/>
        <v>0</v>
      </c>
      <c r="BU25" s="3">
        <f t="shared" si="14"/>
        <v>0</v>
      </c>
      <c r="BV25" s="3">
        <f t="shared" si="5"/>
        <v>0</v>
      </c>
      <c r="BW25" s="3">
        <f t="shared" si="6"/>
        <v>0</v>
      </c>
      <c r="BX25" s="3">
        <f t="shared" si="7"/>
        <v>3</v>
      </c>
      <c r="BY25" s="3">
        <f t="shared" si="8"/>
        <v>0</v>
      </c>
      <c r="BZ25" s="3">
        <f t="shared" si="9"/>
        <v>0</v>
      </c>
      <c r="CA25" s="3">
        <f t="shared" si="10"/>
        <v>0</v>
      </c>
      <c r="CB25" s="3">
        <f t="shared" si="11"/>
        <v>0</v>
      </c>
      <c r="CC25" s="78"/>
      <c r="CE25" s="74">
        <v>0</v>
      </c>
      <c r="CF25" s="74">
        <v>0</v>
      </c>
      <c r="CG25" s="74">
        <v>0</v>
      </c>
      <c r="CH25" s="74">
        <v>0</v>
      </c>
      <c r="CI25" s="74">
        <v>1</v>
      </c>
      <c r="CJ25" s="74">
        <v>3</v>
      </c>
      <c r="CK25" s="74">
        <v>0</v>
      </c>
      <c r="CL25" s="74">
        <v>0</v>
      </c>
      <c r="CM25" s="74">
        <v>0</v>
      </c>
      <c r="CN25" s="74">
        <v>0</v>
      </c>
      <c r="CO25" s="58">
        <f t="shared" si="12"/>
        <v>4</v>
      </c>
    </row>
    <row r="26" spans="1:93" ht="22.5" customHeight="1" x14ac:dyDescent="0.25">
      <c r="A26" s="12">
        <v>22</v>
      </c>
      <c r="B26" s="47" t="s">
        <v>245</v>
      </c>
      <c r="C26" s="80" t="s">
        <v>246</v>
      </c>
      <c r="D26" s="100">
        <v>46083</v>
      </c>
      <c r="E26" s="71">
        <v>0.35138888888888892</v>
      </c>
      <c r="F26" s="71">
        <v>0.96250000000000002</v>
      </c>
      <c r="G26" s="71">
        <v>0.35347222222222219</v>
      </c>
      <c r="H26" s="71">
        <v>0.95833333333333337</v>
      </c>
      <c r="I26" s="71">
        <v>0.3520833333333333</v>
      </c>
      <c r="J26" s="71">
        <v>0.95833333333333337</v>
      </c>
      <c r="K26" s="71">
        <v>0.35138888888888892</v>
      </c>
      <c r="L26" s="71">
        <v>0.98055555555555562</v>
      </c>
      <c r="M26" s="123">
        <v>0.5708333333333333</v>
      </c>
      <c r="N26" s="127">
        <v>0.95486111111111116</v>
      </c>
      <c r="O26" s="71">
        <v>0.33611111111111108</v>
      </c>
      <c r="P26" s="71">
        <v>0.97291666666666676</v>
      </c>
      <c r="Q26" s="71">
        <v>0.3520833333333333</v>
      </c>
      <c r="R26" s="71">
        <v>0.95694444444444438</v>
      </c>
      <c r="S26" s="71">
        <v>0.34027777777777773</v>
      </c>
      <c r="T26" s="71">
        <v>0.95208333333333339</v>
      </c>
      <c r="U26" s="82" t="s">
        <v>181</v>
      </c>
      <c r="V26" s="82" t="s">
        <v>181</v>
      </c>
      <c r="W26" s="71">
        <v>0.35069444444444442</v>
      </c>
      <c r="X26" s="76">
        <v>1</v>
      </c>
      <c r="Y26" s="71">
        <v>0.3520833333333333</v>
      </c>
      <c r="Z26" s="71">
        <v>0.97777777777777775</v>
      </c>
      <c r="AA26" s="123">
        <v>0.57013888888888886</v>
      </c>
      <c r="AB26" s="123">
        <v>0.95416666666666661</v>
      </c>
      <c r="AC26" s="71">
        <v>0.35416666666666669</v>
      </c>
      <c r="AD26" s="71">
        <v>1.8749999999999999E-2</v>
      </c>
      <c r="AE26" s="71">
        <v>0.35347222222222219</v>
      </c>
      <c r="AF26" s="71">
        <v>0.97569444444444453</v>
      </c>
      <c r="AG26" s="71">
        <v>0.3444444444444445</v>
      </c>
      <c r="AH26" s="71">
        <v>0.95694444444444438</v>
      </c>
      <c r="AI26" s="143"/>
      <c r="AJ26" s="103">
        <v>22</v>
      </c>
      <c r="AK26" s="71">
        <v>0.35416666666666669</v>
      </c>
      <c r="AL26" s="71">
        <v>0.95486111111111116</v>
      </c>
      <c r="AM26" s="71">
        <v>0.34375</v>
      </c>
      <c r="AN26" s="71">
        <v>0.95694444444444438</v>
      </c>
      <c r="AO26" s="71">
        <v>0.35069444444444442</v>
      </c>
      <c r="AP26" s="71">
        <v>0.97291666666666676</v>
      </c>
      <c r="AQ26" s="123">
        <v>0.56597222222222221</v>
      </c>
      <c r="AR26" s="123">
        <v>0.95277777777777783</v>
      </c>
      <c r="AS26" s="71">
        <v>0.35138888888888892</v>
      </c>
      <c r="AT26" s="71">
        <v>0.97430555555555554</v>
      </c>
      <c r="AU26" s="71">
        <v>0.35069444444444442</v>
      </c>
      <c r="AV26" s="71">
        <v>0.95277777777777783</v>
      </c>
      <c r="AW26" s="71">
        <v>0.35416666666666669</v>
      </c>
      <c r="AX26" s="71">
        <v>0.95138888888888884</v>
      </c>
      <c r="AY26" s="71">
        <v>0.3520833333333333</v>
      </c>
      <c r="AZ26" s="71">
        <v>0.95486111111111116</v>
      </c>
      <c r="BA26" s="71">
        <v>0.3520833333333333</v>
      </c>
      <c r="BB26" s="71">
        <v>0.95833333333333337</v>
      </c>
      <c r="BC26" s="71">
        <v>0.35138888888888892</v>
      </c>
      <c r="BD26" s="71">
        <v>0.98333333333333339</v>
      </c>
      <c r="BE26" s="123">
        <v>0.56736111111111109</v>
      </c>
      <c r="BF26" s="123">
        <v>0.95416666666666661</v>
      </c>
      <c r="BG26" s="71">
        <v>0.35138888888888892</v>
      </c>
      <c r="BH26" s="71">
        <v>0.96666666666666667</v>
      </c>
      <c r="BI26" s="71">
        <v>0.34513888888888888</v>
      </c>
      <c r="BJ26" s="71">
        <v>0.9784722222222223</v>
      </c>
      <c r="BK26" s="71">
        <v>0.35138888888888892</v>
      </c>
      <c r="BL26" s="71">
        <v>0.95972222222222225</v>
      </c>
      <c r="BM26" s="71">
        <v>0.33888888888888885</v>
      </c>
      <c r="BN26" s="71">
        <v>0.96388888888888891</v>
      </c>
      <c r="BO26" s="122">
        <f t="shared" si="13"/>
        <v>30</v>
      </c>
      <c r="BP26" s="75">
        <v>4</v>
      </c>
      <c r="BQ26" s="2">
        <f t="shared" si="0"/>
        <v>29</v>
      </c>
      <c r="BR26" s="3">
        <f t="shared" si="1"/>
        <v>0</v>
      </c>
      <c r="BS26" s="3">
        <f t="shared" si="2"/>
        <v>0</v>
      </c>
      <c r="BT26" s="3">
        <f t="shared" si="3"/>
        <v>0</v>
      </c>
      <c r="BU26" s="3">
        <f t="shared" si="14"/>
        <v>0</v>
      </c>
      <c r="BV26" s="3">
        <f t="shared" si="5"/>
        <v>0</v>
      </c>
      <c r="BW26" s="3">
        <f t="shared" si="6"/>
        <v>0</v>
      </c>
      <c r="BX26" s="3">
        <f t="shared" si="7"/>
        <v>1</v>
      </c>
      <c r="BY26" s="3">
        <f t="shared" si="8"/>
        <v>0</v>
      </c>
      <c r="BZ26" s="3">
        <f t="shared" si="9"/>
        <v>0</v>
      </c>
      <c r="CA26" s="3">
        <f t="shared" si="10"/>
        <v>0</v>
      </c>
      <c r="CB26" s="3">
        <f t="shared" si="11"/>
        <v>0</v>
      </c>
      <c r="CC26" s="78"/>
      <c r="CE26" s="74">
        <v>0</v>
      </c>
      <c r="CF26" s="74">
        <v>0</v>
      </c>
      <c r="CG26" s="74">
        <v>0</v>
      </c>
      <c r="CH26" s="74">
        <v>0</v>
      </c>
      <c r="CI26" s="74">
        <v>0</v>
      </c>
      <c r="CJ26" s="74">
        <v>1</v>
      </c>
      <c r="CK26" s="74">
        <v>0</v>
      </c>
      <c r="CL26" s="74">
        <v>0</v>
      </c>
      <c r="CM26" s="74">
        <v>0</v>
      </c>
      <c r="CN26" s="74">
        <v>0</v>
      </c>
      <c r="CO26" s="58">
        <f t="shared" si="12"/>
        <v>1</v>
      </c>
    </row>
    <row r="27" spans="1:93" ht="22.5" customHeight="1" x14ac:dyDescent="0.25">
      <c r="A27" s="12">
        <v>23</v>
      </c>
      <c r="B27" s="47" t="s">
        <v>247</v>
      </c>
      <c r="C27" s="80" t="s">
        <v>250</v>
      </c>
      <c r="D27" s="100">
        <v>46097</v>
      </c>
      <c r="E27" s="71">
        <v>0.37916666666666665</v>
      </c>
      <c r="F27" s="71">
        <v>0.71597222222222223</v>
      </c>
      <c r="G27" s="71">
        <v>0.37638888888888888</v>
      </c>
      <c r="H27" s="71">
        <v>0.71250000000000002</v>
      </c>
      <c r="I27" s="71">
        <v>0.37361111111111112</v>
      </c>
      <c r="J27" s="71">
        <v>0.84444444444444444</v>
      </c>
      <c r="K27" s="71">
        <v>0.38125000000000003</v>
      </c>
      <c r="L27" s="71">
        <v>0.72361111111111109</v>
      </c>
      <c r="M27" s="107" t="s">
        <v>15</v>
      </c>
      <c r="N27" s="125" t="s">
        <v>15</v>
      </c>
      <c r="O27" s="71">
        <v>0.41388888888888892</v>
      </c>
      <c r="P27" s="71">
        <v>0.76944444444444438</v>
      </c>
      <c r="Q27" s="71">
        <v>0.37777777777777777</v>
      </c>
      <c r="R27" s="71">
        <v>0.71736111111111101</v>
      </c>
      <c r="S27" s="71">
        <v>0.375</v>
      </c>
      <c r="T27" s="71">
        <v>0.76041666666666663</v>
      </c>
      <c r="U27" s="76">
        <v>1</v>
      </c>
      <c r="V27" s="76">
        <v>1</v>
      </c>
      <c r="W27" s="76">
        <v>1</v>
      </c>
      <c r="X27" s="76">
        <v>1</v>
      </c>
      <c r="Y27" s="71">
        <v>0.3923611111111111</v>
      </c>
      <c r="Z27" s="71">
        <v>0.71736111111111101</v>
      </c>
      <c r="AA27" s="107" t="s">
        <v>15</v>
      </c>
      <c r="AB27" s="125" t="s">
        <v>15</v>
      </c>
      <c r="AC27" s="71">
        <v>0.4152777777777778</v>
      </c>
      <c r="AD27" s="71">
        <v>0.74930555555555556</v>
      </c>
      <c r="AE27" s="71">
        <v>0.375</v>
      </c>
      <c r="AF27" s="76">
        <v>1</v>
      </c>
      <c r="AG27" s="71">
        <v>0.3923611111111111</v>
      </c>
      <c r="AH27" s="71">
        <v>0.71736111111111101</v>
      </c>
      <c r="AI27" s="143"/>
      <c r="AJ27" s="103">
        <v>23</v>
      </c>
      <c r="AK27" s="71">
        <v>0.45347222222222222</v>
      </c>
      <c r="AL27" s="71">
        <v>0.73263888888888884</v>
      </c>
      <c r="AM27" s="71">
        <v>0.3743055555555555</v>
      </c>
      <c r="AN27" s="71">
        <v>0.7368055555555556</v>
      </c>
      <c r="AO27" s="71">
        <v>0.375</v>
      </c>
      <c r="AP27" s="71">
        <v>0.73819444444444438</v>
      </c>
      <c r="AQ27" s="125" t="s">
        <v>15</v>
      </c>
      <c r="AR27" s="125" t="s">
        <v>15</v>
      </c>
      <c r="AS27" s="71">
        <v>0.41875000000000001</v>
      </c>
      <c r="AT27" s="71">
        <v>0.72013888888888899</v>
      </c>
      <c r="AU27" s="71">
        <v>0.37638888888888888</v>
      </c>
      <c r="AV27" s="71">
        <v>0.73819444444444438</v>
      </c>
      <c r="AW27" s="71">
        <v>0.3756944444444445</v>
      </c>
      <c r="AX27" s="71">
        <v>0.71388888888888891</v>
      </c>
      <c r="AY27" s="71">
        <v>0.3756944444444445</v>
      </c>
      <c r="AZ27" s="71">
        <v>0.7319444444444444</v>
      </c>
      <c r="BA27" s="71">
        <v>0.375</v>
      </c>
      <c r="BB27" s="76">
        <v>1</v>
      </c>
      <c r="BC27" s="71">
        <v>0.3756944444444445</v>
      </c>
      <c r="BD27" s="71">
        <v>0.72361111111111109</v>
      </c>
      <c r="BE27" s="107" t="s">
        <v>15</v>
      </c>
      <c r="BF27" s="107" t="s">
        <v>15</v>
      </c>
      <c r="BG27" s="71">
        <v>0.41666666666666669</v>
      </c>
      <c r="BH27" s="71">
        <v>0.75902777777777775</v>
      </c>
      <c r="BI27" s="71">
        <v>0.69930555555555562</v>
      </c>
      <c r="BJ27" s="76">
        <v>1</v>
      </c>
      <c r="BK27" s="71">
        <v>0.37708333333333338</v>
      </c>
      <c r="BL27" s="71">
        <v>0.71805555555555556</v>
      </c>
      <c r="BM27" s="71">
        <v>0.37638888888888888</v>
      </c>
      <c r="BN27" s="71">
        <v>0.75069444444444444</v>
      </c>
      <c r="BO27" s="122">
        <f t="shared" si="13"/>
        <v>30</v>
      </c>
      <c r="BP27" s="75">
        <v>0</v>
      </c>
      <c r="BQ27" s="2">
        <f t="shared" si="0"/>
        <v>26</v>
      </c>
      <c r="BR27" s="3">
        <f t="shared" si="1"/>
        <v>4</v>
      </c>
      <c r="BS27" s="3">
        <f t="shared" si="2"/>
        <v>0</v>
      </c>
      <c r="BT27" s="3">
        <f t="shared" si="3"/>
        <v>0</v>
      </c>
      <c r="BU27" s="3">
        <f t="shared" si="14"/>
        <v>0</v>
      </c>
      <c r="BV27" s="3">
        <f t="shared" si="5"/>
        <v>0</v>
      </c>
      <c r="BW27" s="3">
        <f t="shared" si="6"/>
        <v>0</v>
      </c>
      <c r="BX27" s="3">
        <f t="shared" si="7"/>
        <v>0</v>
      </c>
      <c r="BY27" s="3">
        <f t="shared" si="8"/>
        <v>0</v>
      </c>
      <c r="BZ27" s="3">
        <f t="shared" si="9"/>
        <v>0</v>
      </c>
      <c r="CA27" s="3">
        <f t="shared" si="10"/>
        <v>0</v>
      </c>
      <c r="CB27" s="3">
        <f t="shared" si="11"/>
        <v>0</v>
      </c>
      <c r="CC27" s="78"/>
      <c r="CE27" s="74">
        <v>0</v>
      </c>
      <c r="CF27" s="74">
        <v>0</v>
      </c>
      <c r="CG27" s="74">
        <v>0</v>
      </c>
      <c r="CH27" s="74">
        <v>0</v>
      </c>
      <c r="CI27" s="74">
        <v>0</v>
      </c>
      <c r="CJ27" s="74">
        <v>0</v>
      </c>
      <c r="CK27" s="74">
        <v>0</v>
      </c>
      <c r="CL27" s="74">
        <v>0</v>
      </c>
      <c r="CM27" s="74">
        <v>0</v>
      </c>
      <c r="CN27" s="74">
        <v>0</v>
      </c>
      <c r="CO27" s="58">
        <f t="shared" si="12"/>
        <v>0</v>
      </c>
    </row>
    <row r="28" spans="1:93" ht="22.5" customHeight="1" x14ac:dyDescent="0.25">
      <c r="A28" s="12">
        <v>24</v>
      </c>
      <c r="B28" s="47" t="s">
        <v>256</v>
      </c>
      <c r="C28" s="80" t="s">
        <v>257</v>
      </c>
      <c r="D28" s="100"/>
      <c r="E28" s="187" t="s">
        <v>258</v>
      </c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71">
        <v>0.59930555555555554</v>
      </c>
      <c r="AD28" s="71">
        <v>0.93819444444444444</v>
      </c>
      <c r="AE28" s="71">
        <v>0.34722222222222227</v>
      </c>
      <c r="AF28" s="76">
        <v>1</v>
      </c>
      <c r="AG28" s="71">
        <v>0.35555555555555557</v>
      </c>
      <c r="AH28" s="71">
        <v>0.94305555555555554</v>
      </c>
      <c r="AI28" s="143"/>
      <c r="AJ28" s="103">
        <v>24</v>
      </c>
      <c r="AK28" s="71">
        <v>0.35902777777777778</v>
      </c>
      <c r="AL28" s="71">
        <v>0.95208333333333339</v>
      </c>
      <c r="AM28" s="71">
        <v>0.35625000000000001</v>
      </c>
      <c r="AN28" s="71">
        <v>0.99236111111111114</v>
      </c>
      <c r="AO28" s="71">
        <v>0.36041666666666666</v>
      </c>
      <c r="AP28" s="71">
        <v>1.5277777777777777E-2</v>
      </c>
      <c r="AQ28" s="123">
        <v>0.58194444444444449</v>
      </c>
      <c r="AR28" s="123">
        <v>0.94166666666666676</v>
      </c>
      <c r="AS28" s="71">
        <v>0.35694444444444445</v>
      </c>
      <c r="AT28" s="71">
        <v>0.94791666666666663</v>
      </c>
      <c r="AU28" s="71">
        <v>0.35625000000000001</v>
      </c>
      <c r="AV28" s="71">
        <v>0.9868055555555556</v>
      </c>
      <c r="AW28" s="71">
        <v>0.35416666666666669</v>
      </c>
      <c r="AX28" s="71">
        <v>0.96944444444444444</v>
      </c>
      <c r="AY28" s="71">
        <v>0.35625000000000001</v>
      </c>
      <c r="AZ28" s="71">
        <v>0.96527777777777779</v>
      </c>
      <c r="BA28" s="71">
        <v>0.3520833333333333</v>
      </c>
      <c r="BB28" s="71">
        <v>0.95833333333333337</v>
      </c>
      <c r="BC28" s="71">
        <v>0.35000000000000003</v>
      </c>
      <c r="BD28" s="71">
        <v>0.98541666666666661</v>
      </c>
      <c r="BE28" s="123">
        <v>0.57638888888888895</v>
      </c>
      <c r="BF28" s="123">
        <v>0.94374999999999998</v>
      </c>
      <c r="BG28" s="71">
        <v>0.3527777777777778</v>
      </c>
      <c r="BH28" s="71">
        <v>2.9861111111111113E-2</v>
      </c>
      <c r="BI28" s="71">
        <v>0.35138888888888892</v>
      </c>
      <c r="BJ28" s="71">
        <v>0.98958333333333337</v>
      </c>
      <c r="BK28" s="71">
        <v>0.35833333333333334</v>
      </c>
      <c r="BL28" s="71">
        <v>0.97916666666666663</v>
      </c>
      <c r="BM28" s="71">
        <v>0.35486111111111113</v>
      </c>
      <c r="BN28" s="71">
        <v>0.99722222222222223</v>
      </c>
      <c r="BO28" s="122">
        <f t="shared" si="13"/>
        <v>18</v>
      </c>
      <c r="BP28" s="75">
        <v>2</v>
      </c>
      <c r="BQ28" s="2">
        <f t="shared" si="0"/>
        <v>18</v>
      </c>
      <c r="BR28" s="3">
        <f t="shared" si="1"/>
        <v>0</v>
      </c>
      <c r="BS28" s="3">
        <f t="shared" si="2"/>
        <v>0</v>
      </c>
      <c r="BT28" s="3">
        <f t="shared" si="3"/>
        <v>0</v>
      </c>
      <c r="BU28" s="3">
        <f t="shared" si="14"/>
        <v>0</v>
      </c>
      <c r="BV28" s="3">
        <f t="shared" si="5"/>
        <v>0</v>
      </c>
      <c r="BW28" s="3">
        <f t="shared" si="6"/>
        <v>0</v>
      </c>
      <c r="BX28" s="3">
        <f t="shared" si="7"/>
        <v>0</v>
      </c>
      <c r="BY28" s="3">
        <f t="shared" si="8"/>
        <v>0</v>
      </c>
      <c r="BZ28" s="3">
        <f t="shared" si="9"/>
        <v>0</v>
      </c>
      <c r="CA28" s="3">
        <f t="shared" si="10"/>
        <v>0</v>
      </c>
      <c r="CB28" s="3">
        <f t="shared" si="11"/>
        <v>0</v>
      </c>
      <c r="CC28" s="4"/>
      <c r="CE28" s="74">
        <v>0</v>
      </c>
      <c r="CF28" s="74">
        <v>0</v>
      </c>
      <c r="CG28" s="74">
        <v>0</v>
      </c>
      <c r="CH28" s="74">
        <v>0</v>
      </c>
      <c r="CI28" s="74">
        <v>0</v>
      </c>
      <c r="CJ28" s="74">
        <v>0</v>
      </c>
      <c r="CK28" s="74">
        <v>0</v>
      </c>
      <c r="CL28" s="74">
        <v>0</v>
      </c>
      <c r="CM28" s="74">
        <v>0</v>
      </c>
      <c r="CN28" s="74">
        <v>0</v>
      </c>
      <c r="CO28" s="58">
        <f t="shared" si="12"/>
        <v>0</v>
      </c>
    </row>
    <row r="29" spans="1:93" x14ac:dyDescent="0.25">
      <c r="BQ29" s="131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1" spans="1:93" ht="15.75" x14ac:dyDescent="0.25">
      <c r="E31" s="18"/>
      <c r="F31" s="19" t="s">
        <v>62</v>
      </c>
      <c r="G31" s="20"/>
      <c r="H31" s="19"/>
      <c r="I31" s="21"/>
      <c r="L31" s="21"/>
      <c r="M31" s="22"/>
      <c r="N31" s="23"/>
      <c r="O31" s="23"/>
      <c r="P31" s="24" t="s">
        <v>63</v>
      </c>
      <c r="Q31" s="24"/>
      <c r="R31" s="22"/>
      <c r="S31" s="22"/>
      <c r="T31" s="22"/>
      <c r="U31" s="22"/>
      <c r="V31" s="22" t="s">
        <v>64</v>
      </c>
      <c r="W31" s="22"/>
      <c r="X31" s="22"/>
      <c r="Y31" s="22"/>
      <c r="Z31" s="24" t="s">
        <v>65</v>
      </c>
      <c r="AA31" s="22"/>
      <c r="BP31" s="37" t="s">
        <v>74</v>
      </c>
      <c r="BQ31" s="38"/>
      <c r="BR31" s="38"/>
      <c r="BS31" s="39" t="s">
        <v>17</v>
      </c>
      <c r="BT31" s="40"/>
      <c r="BU31" s="45" t="s">
        <v>75</v>
      </c>
      <c r="BV31" s="46"/>
      <c r="BW31" s="46"/>
      <c r="BX31" s="43"/>
      <c r="BY31" s="44" t="s">
        <v>23</v>
      </c>
    </row>
    <row r="32" spans="1:93" ht="23.25" customHeight="1" x14ac:dyDescent="0.25">
      <c r="E32" s="25"/>
      <c r="F32" s="21"/>
      <c r="G32" s="21"/>
      <c r="H32" s="21"/>
      <c r="I32" s="21"/>
      <c r="L32" s="21"/>
      <c r="M32" s="21"/>
      <c r="N32" s="26"/>
      <c r="O32" s="26"/>
      <c r="P32" s="26"/>
      <c r="Q32" s="21"/>
      <c r="R32" s="21"/>
      <c r="S32" s="21"/>
      <c r="T32" s="27"/>
      <c r="U32" s="27"/>
      <c r="V32" s="27"/>
      <c r="W32" s="27"/>
      <c r="X32" s="27"/>
      <c r="Y32" s="27"/>
      <c r="Z32" s="28"/>
      <c r="AA32" s="28"/>
      <c r="BP32" s="37" t="s">
        <v>76</v>
      </c>
      <c r="BQ32" s="38"/>
      <c r="BR32" s="38"/>
      <c r="BS32" s="39" t="s">
        <v>18</v>
      </c>
      <c r="BT32" s="40"/>
      <c r="BU32" s="41" t="s">
        <v>77</v>
      </c>
      <c r="BV32" s="42"/>
      <c r="BW32" s="42"/>
      <c r="BX32" s="43"/>
      <c r="BY32" s="44" t="s">
        <v>24</v>
      </c>
    </row>
    <row r="33" spans="1:93" ht="17.25" x14ac:dyDescent="0.25">
      <c r="E33" s="25"/>
      <c r="F33" s="29"/>
      <c r="G33" s="21"/>
      <c r="H33" s="29"/>
      <c r="I33" s="21"/>
      <c r="L33" s="21"/>
      <c r="M33" s="29" t="s">
        <v>64</v>
      </c>
      <c r="N33" s="30"/>
      <c r="O33" s="30"/>
      <c r="P33" s="26"/>
      <c r="Q33" s="21"/>
      <c r="R33" s="29"/>
      <c r="S33" s="29"/>
      <c r="T33" s="22"/>
      <c r="U33" s="21"/>
      <c r="V33" s="21"/>
      <c r="W33" s="21"/>
      <c r="X33" s="21"/>
      <c r="Y33" s="21"/>
      <c r="Z33" s="31"/>
      <c r="AA33" s="31"/>
      <c r="BP33" s="37" t="s">
        <v>78</v>
      </c>
      <c r="BQ33" s="38"/>
      <c r="BR33" s="38"/>
      <c r="BS33" s="39" t="s">
        <v>19</v>
      </c>
      <c r="BT33" s="40"/>
      <c r="BU33" s="41" t="s">
        <v>79</v>
      </c>
      <c r="BV33" s="42"/>
      <c r="BW33" s="42"/>
      <c r="BX33" s="43"/>
      <c r="BY33" s="44" t="s">
        <v>25</v>
      </c>
    </row>
    <row r="34" spans="1:93" ht="17.25" x14ac:dyDescent="0.25">
      <c r="E34" s="32"/>
      <c r="F34" s="29"/>
      <c r="G34" s="21"/>
      <c r="H34" s="29"/>
      <c r="I34" s="21"/>
      <c r="L34" s="21"/>
      <c r="M34" s="29"/>
      <c r="N34" s="30"/>
      <c r="O34" s="30"/>
      <c r="P34" s="26"/>
      <c r="Q34" s="22"/>
      <c r="R34" s="29"/>
      <c r="S34" s="29"/>
      <c r="T34" s="22"/>
      <c r="U34" s="21"/>
      <c r="V34" s="21"/>
      <c r="W34" s="21"/>
      <c r="X34" s="21"/>
      <c r="Y34" s="21"/>
      <c r="Z34" s="31"/>
      <c r="AA34" s="31"/>
      <c r="BP34" s="37" t="s">
        <v>80</v>
      </c>
      <c r="BQ34" s="38"/>
      <c r="BR34" s="38"/>
      <c r="BS34" s="39" t="s">
        <v>20</v>
      </c>
      <c r="BT34" s="40"/>
      <c r="BU34" s="40"/>
      <c r="BV34" s="40"/>
      <c r="BW34" s="40"/>
      <c r="BX34" s="40"/>
      <c r="BY34" s="40"/>
    </row>
    <row r="35" spans="1:93" ht="17.25" x14ac:dyDescent="0.25">
      <c r="E35" s="33" t="s">
        <v>66</v>
      </c>
      <c r="F35" s="34"/>
      <c r="G35" s="18"/>
      <c r="H35" s="33"/>
      <c r="I35" s="21"/>
      <c r="L35" s="21"/>
      <c r="M35" s="29"/>
      <c r="N35" s="26"/>
      <c r="O35" s="30"/>
      <c r="P35" s="20" t="s">
        <v>67</v>
      </c>
      <c r="Q35" s="21"/>
      <c r="R35" s="29"/>
      <c r="S35" s="22"/>
      <c r="T35" s="21"/>
      <c r="U35" s="21"/>
      <c r="V35" s="21"/>
      <c r="W35" s="21"/>
      <c r="X35" s="21"/>
      <c r="Y35" s="21"/>
      <c r="Z35" s="20" t="s">
        <v>68</v>
      </c>
      <c r="AA35" s="31"/>
    </row>
    <row r="36" spans="1:93" ht="17.25" x14ac:dyDescent="0.25">
      <c r="E36" s="33"/>
      <c r="F36" s="33" t="s">
        <v>69</v>
      </c>
      <c r="G36" s="32"/>
      <c r="H36" s="32"/>
      <c r="I36" s="21"/>
      <c r="L36" s="21"/>
      <c r="M36" s="20"/>
      <c r="N36" s="35"/>
      <c r="O36" s="35"/>
      <c r="P36" s="20" t="s">
        <v>70</v>
      </c>
      <c r="Q36" s="20"/>
      <c r="R36" s="20"/>
      <c r="S36" s="22"/>
      <c r="T36" s="20"/>
      <c r="U36" s="21"/>
      <c r="V36" s="21"/>
      <c r="W36" s="21"/>
      <c r="X36" s="21"/>
      <c r="Y36" s="21"/>
      <c r="Z36" s="20" t="s">
        <v>71</v>
      </c>
      <c r="AA36" s="31"/>
    </row>
    <row r="37" spans="1:93" ht="15.75" x14ac:dyDescent="0.25"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36"/>
      <c r="Y37" s="36"/>
    </row>
    <row r="38" spans="1:93" ht="25.5" customHeight="1" x14ac:dyDescent="0.25">
      <c r="A38" s="180" t="s">
        <v>255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39"/>
      <c r="AJ38" s="180" t="s">
        <v>255</v>
      </c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  <c r="BP38" s="61"/>
      <c r="BQ38" s="65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7"/>
    </row>
    <row r="39" spans="1:93" ht="22.5" customHeight="1" x14ac:dyDescent="0.25">
      <c r="A39" s="176" t="s">
        <v>180</v>
      </c>
      <c r="B39" s="176"/>
      <c r="C39" s="176"/>
      <c r="D39" s="97"/>
      <c r="E39" s="162" t="s">
        <v>6</v>
      </c>
      <c r="F39" s="162"/>
      <c r="G39" s="162" t="s">
        <v>7</v>
      </c>
      <c r="H39" s="162"/>
      <c r="I39" s="162" t="s">
        <v>1</v>
      </c>
      <c r="J39" s="162"/>
      <c r="K39" s="162" t="s">
        <v>2</v>
      </c>
      <c r="L39" s="162"/>
      <c r="M39" s="162" t="s">
        <v>3</v>
      </c>
      <c r="N39" s="162"/>
      <c r="O39" s="162" t="s">
        <v>4</v>
      </c>
      <c r="P39" s="162"/>
      <c r="Q39" s="162" t="s">
        <v>5</v>
      </c>
      <c r="R39" s="162"/>
      <c r="S39" s="162" t="s">
        <v>6</v>
      </c>
      <c r="T39" s="162"/>
      <c r="U39" s="162" t="s">
        <v>7</v>
      </c>
      <c r="V39" s="162"/>
      <c r="W39" s="162" t="s">
        <v>1</v>
      </c>
      <c r="X39" s="162"/>
      <c r="Y39" s="162" t="s">
        <v>2</v>
      </c>
      <c r="Z39" s="162"/>
      <c r="AA39" s="162" t="s">
        <v>3</v>
      </c>
      <c r="AB39" s="162"/>
      <c r="AC39" s="162" t="s">
        <v>4</v>
      </c>
      <c r="AD39" s="162"/>
      <c r="AE39" s="162" t="s">
        <v>5</v>
      </c>
      <c r="AF39" s="162"/>
      <c r="AG39" s="162" t="s">
        <v>6</v>
      </c>
      <c r="AH39" s="162"/>
      <c r="AI39" s="140"/>
      <c r="AJ39" s="5"/>
      <c r="AK39" s="162" t="s">
        <v>7</v>
      </c>
      <c r="AL39" s="170"/>
      <c r="AM39" s="162" t="s">
        <v>5</v>
      </c>
      <c r="AN39" s="170"/>
      <c r="AO39" s="162" t="s">
        <v>6</v>
      </c>
      <c r="AP39" s="170"/>
      <c r="AQ39" s="162" t="s">
        <v>7</v>
      </c>
      <c r="AR39" s="170"/>
      <c r="AS39" s="162" t="s">
        <v>1</v>
      </c>
      <c r="AT39" s="170"/>
      <c r="AU39" s="162" t="s">
        <v>2</v>
      </c>
      <c r="AV39" s="170"/>
      <c r="AW39" s="162" t="s">
        <v>3</v>
      </c>
      <c r="AX39" s="170"/>
      <c r="AY39" s="162" t="s">
        <v>4</v>
      </c>
      <c r="AZ39" s="170"/>
      <c r="BA39" s="162" t="s">
        <v>5</v>
      </c>
      <c r="BB39" s="170"/>
      <c r="BC39" s="162" t="s">
        <v>6</v>
      </c>
      <c r="BD39" s="170"/>
      <c r="BE39" s="162" t="s">
        <v>7</v>
      </c>
      <c r="BF39" s="170"/>
      <c r="BG39" s="162" t="s">
        <v>1</v>
      </c>
      <c r="BH39" s="170"/>
      <c r="BI39" s="162" t="s">
        <v>2</v>
      </c>
      <c r="BJ39" s="170"/>
      <c r="BK39" s="162" t="s">
        <v>3</v>
      </c>
      <c r="BL39" s="170"/>
      <c r="BM39" s="162" t="s">
        <v>4</v>
      </c>
      <c r="BN39" s="170"/>
      <c r="BO39" s="175" t="s">
        <v>8</v>
      </c>
      <c r="BP39" s="163" t="s">
        <v>9</v>
      </c>
      <c r="BQ39" s="165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7"/>
      <c r="CE39" s="168" t="s">
        <v>201</v>
      </c>
      <c r="CF39" s="168"/>
      <c r="CG39" s="168"/>
      <c r="CH39" s="168"/>
      <c r="CI39" s="168"/>
      <c r="CJ39" s="168"/>
      <c r="CK39" s="168"/>
      <c r="CL39" s="168"/>
      <c r="CM39" s="168"/>
      <c r="CN39" s="168"/>
      <c r="CO39" s="49"/>
    </row>
    <row r="40" spans="1:93" ht="22.5" customHeight="1" x14ac:dyDescent="0.25">
      <c r="A40" s="176"/>
      <c r="B40" s="176"/>
      <c r="C40" s="176"/>
      <c r="D40" s="97"/>
      <c r="E40" s="169">
        <v>46174</v>
      </c>
      <c r="F40" s="169"/>
      <c r="G40" s="169">
        <v>46175</v>
      </c>
      <c r="H40" s="169"/>
      <c r="I40" s="169">
        <v>46176</v>
      </c>
      <c r="J40" s="169"/>
      <c r="K40" s="169">
        <v>46177</v>
      </c>
      <c r="L40" s="169"/>
      <c r="M40" s="169">
        <v>46178</v>
      </c>
      <c r="N40" s="169"/>
      <c r="O40" s="169">
        <v>46179</v>
      </c>
      <c r="P40" s="169"/>
      <c r="Q40" s="169">
        <v>46180</v>
      </c>
      <c r="R40" s="169"/>
      <c r="S40" s="169">
        <v>46181</v>
      </c>
      <c r="T40" s="169"/>
      <c r="U40" s="169">
        <v>46182</v>
      </c>
      <c r="V40" s="169"/>
      <c r="W40" s="169">
        <v>46183</v>
      </c>
      <c r="X40" s="169"/>
      <c r="Y40" s="169">
        <v>46184</v>
      </c>
      <c r="Z40" s="169"/>
      <c r="AA40" s="169">
        <v>46185</v>
      </c>
      <c r="AB40" s="169"/>
      <c r="AC40" s="169">
        <v>46186</v>
      </c>
      <c r="AD40" s="169"/>
      <c r="AE40" s="169">
        <v>46187</v>
      </c>
      <c r="AF40" s="169"/>
      <c r="AG40" s="169">
        <v>46188</v>
      </c>
      <c r="AH40" s="169"/>
      <c r="AI40" s="141"/>
      <c r="AJ40" s="130"/>
      <c r="AK40" s="169">
        <v>46189</v>
      </c>
      <c r="AL40" s="174"/>
      <c r="AM40" s="169">
        <v>46159</v>
      </c>
      <c r="AN40" s="174"/>
      <c r="AO40" s="169">
        <v>46160</v>
      </c>
      <c r="AP40" s="174"/>
      <c r="AQ40" s="169">
        <v>46161</v>
      </c>
      <c r="AR40" s="174"/>
      <c r="AS40" s="169">
        <v>46162</v>
      </c>
      <c r="AT40" s="174"/>
      <c r="AU40" s="169">
        <v>46163</v>
      </c>
      <c r="AV40" s="174"/>
      <c r="AW40" s="169">
        <v>46164</v>
      </c>
      <c r="AX40" s="174"/>
      <c r="AY40" s="169">
        <v>46165</v>
      </c>
      <c r="AZ40" s="174"/>
      <c r="BA40" s="169">
        <v>46166</v>
      </c>
      <c r="BB40" s="174"/>
      <c r="BC40" s="169">
        <v>46167</v>
      </c>
      <c r="BD40" s="174"/>
      <c r="BE40" s="169">
        <v>46168</v>
      </c>
      <c r="BF40" s="174"/>
      <c r="BG40" s="169">
        <v>46169</v>
      </c>
      <c r="BH40" s="174"/>
      <c r="BI40" s="169">
        <v>46170</v>
      </c>
      <c r="BJ40" s="174"/>
      <c r="BK40" s="169">
        <v>46171</v>
      </c>
      <c r="BL40" s="174"/>
      <c r="BM40" s="169">
        <v>46172</v>
      </c>
      <c r="BN40" s="174"/>
      <c r="BO40" s="175"/>
      <c r="BP40" s="163"/>
      <c r="BQ40" s="68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70"/>
      <c r="CE40" s="59" t="s">
        <v>265</v>
      </c>
      <c r="CF40" s="59"/>
      <c r="CG40" s="59"/>
      <c r="CH40" s="59"/>
      <c r="CI40" s="59"/>
      <c r="CJ40" s="59"/>
      <c r="CK40" s="59"/>
      <c r="CL40" s="59"/>
      <c r="CM40" s="59"/>
      <c r="CN40" s="59"/>
      <c r="CO40" s="49"/>
    </row>
    <row r="41" spans="1:93" ht="20.25" customHeight="1" x14ac:dyDescent="0.25">
      <c r="A41" s="5" t="s">
        <v>10</v>
      </c>
      <c r="B41" s="5" t="s">
        <v>11</v>
      </c>
      <c r="C41" s="5" t="s">
        <v>12</v>
      </c>
      <c r="D41" s="15"/>
      <c r="E41" s="15" t="s">
        <v>13</v>
      </c>
      <c r="F41" s="15" t="s">
        <v>14</v>
      </c>
      <c r="G41" s="15" t="s">
        <v>13</v>
      </c>
      <c r="H41" s="15" t="s">
        <v>14</v>
      </c>
      <c r="I41" s="15" t="s">
        <v>13</v>
      </c>
      <c r="J41" s="15" t="s">
        <v>14</v>
      </c>
      <c r="K41" s="15" t="s">
        <v>13</v>
      </c>
      <c r="L41" s="15" t="s">
        <v>14</v>
      </c>
      <c r="M41" s="15" t="s">
        <v>13</v>
      </c>
      <c r="N41" s="15" t="s">
        <v>14</v>
      </c>
      <c r="O41" s="15" t="s">
        <v>13</v>
      </c>
      <c r="P41" s="15" t="s">
        <v>14</v>
      </c>
      <c r="Q41" s="15" t="s">
        <v>13</v>
      </c>
      <c r="R41" s="15" t="s">
        <v>14</v>
      </c>
      <c r="S41" s="15" t="s">
        <v>13</v>
      </c>
      <c r="T41" s="15" t="s">
        <v>14</v>
      </c>
      <c r="U41" s="15" t="s">
        <v>13</v>
      </c>
      <c r="V41" s="15" t="s">
        <v>14</v>
      </c>
      <c r="W41" s="15" t="s">
        <v>13</v>
      </c>
      <c r="X41" s="15" t="s">
        <v>14</v>
      </c>
      <c r="Y41" s="5" t="s">
        <v>13</v>
      </c>
      <c r="Z41" s="5" t="s">
        <v>14</v>
      </c>
      <c r="AA41" s="5" t="s">
        <v>13</v>
      </c>
      <c r="AB41" s="5" t="s">
        <v>14</v>
      </c>
      <c r="AC41" s="5" t="s">
        <v>13</v>
      </c>
      <c r="AD41" s="5" t="s">
        <v>14</v>
      </c>
      <c r="AE41" s="5" t="s">
        <v>13</v>
      </c>
      <c r="AF41" s="5" t="s">
        <v>14</v>
      </c>
      <c r="AG41" s="5" t="s">
        <v>13</v>
      </c>
      <c r="AH41" s="5" t="s">
        <v>14</v>
      </c>
      <c r="AI41" s="142"/>
      <c r="AJ41" s="5"/>
      <c r="AK41" s="5" t="s">
        <v>13</v>
      </c>
      <c r="AL41" s="5" t="s">
        <v>14</v>
      </c>
      <c r="AM41" s="5" t="s">
        <v>13</v>
      </c>
      <c r="AN41" s="5" t="s">
        <v>14</v>
      </c>
      <c r="AO41" s="5" t="s">
        <v>13</v>
      </c>
      <c r="AP41" s="5" t="s">
        <v>14</v>
      </c>
      <c r="AQ41" s="5" t="s">
        <v>13</v>
      </c>
      <c r="AR41" s="5" t="s">
        <v>14</v>
      </c>
      <c r="AS41" s="5" t="s">
        <v>13</v>
      </c>
      <c r="AT41" s="5" t="s">
        <v>14</v>
      </c>
      <c r="AU41" s="15" t="s">
        <v>13</v>
      </c>
      <c r="AV41" s="15" t="s">
        <v>14</v>
      </c>
      <c r="AW41" s="15" t="s">
        <v>13</v>
      </c>
      <c r="AX41" s="15" t="s">
        <v>14</v>
      </c>
      <c r="AY41" s="15" t="s">
        <v>13</v>
      </c>
      <c r="AZ41" s="15" t="s">
        <v>14</v>
      </c>
      <c r="BA41" s="15" t="s">
        <v>13</v>
      </c>
      <c r="BB41" s="15" t="s">
        <v>14</v>
      </c>
      <c r="BC41" s="15" t="s">
        <v>13</v>
      </c>
      <c r="BD41" s="15" t="s">
        <v>14</v>
      </c>
      <c r="BE41" s="5" t="s">
        <v>13</v>
      </c>
      <c r="BF41" s="5" t="s">
        <v>14</v>
      </c>
      <c r="BG41" s="5" t="s">
        <v>13</v>
      </c>
      <c r="BH41" s="5" t="s">
        <v>14</v>
      </c>
      <c r="BI41" s="5" t="s">
        <v>13</v>
      </c>
      <c r="BJ41" s="5" t="s">
        <v>14</v>
      </c>
      <c r="BK41" s="5" t="s">
        <v>13</v>
      </c>
      <c r="BL41" s="5" t="s">
        <v>14</v>
      </c>
      <c r="BM41" s="5" t="s">
        <v>13</v>
      </c>
      <c r="BN41" s="5" t="s">
        <v>14</v>
      </c>
      <c r="BO41" s="175"/>
      <c r="BP41" s="164"/>
      <c r="BQ41" s="62"/>
      <c r="BR41" s="107" t="s">
        <v>15</v>
      </c>
      <c r="BS41" s="105" t="s">
        <v>16</v>
      </c>
      <c r="BT41" s="105" t="s">
        <v>17</v>
      </c>
      <c r="BU41" s="102" t="s">
        <v>18</v>
      </c>
      <c r="BV41" s="105" t="s">
        <v>19</v>
      </c>
      <c r="BW41" s="105" t="s">
        <v>20</v>
      </c>
      <c r="BX41" s="82" t="s">
        <v>181</v>
      </c>
      <c r="BY41" s="63" t="s">
        <v>22</v>
      </c>
      <c r="BZ41" s="84" t="s">
        <v>23</v>
      </c>
      <c r="CA41" s="84" t="s">
        <v>24</v>
      </c>
      <c r="CB41" s="84" t="s">
        <v>25</v>
      </c>
      <c r="CC41" s="64" t="s">
        <v>26</v>
      </c>
      <c r="CE41" s="53" t="s">
        <v>16</v>
      </c>
      <c r="CF41" s="54" t="s">
        <v>17</v>
      </c>
      <c r="CG41" s="54" t="s">
        <v>18</v>
      </c>
      <c r="CH41" s="54" t="s">
        <v>19</v>
      </c>
      <c r="CI41" s="54" t="s">
        <v>20</v>
      </c>
      <c r="CJ41" s="54" t="s">
        <v>21</v>
      </c>
      <c r="CK41" s="54" t="s">
        <v>22</v>
      </c>
      <c r="CL41" s="54" t="s">
        <v>23</v>
      </c>
      <c r="CM41" s="54" t="s">
        <v>24</v>
      </c>
      <c r="CN41" s="54" t="s">
        <v>25</v>
      </c>
      <c r="CO41" s="55" t="s">
        <v>202</v>
      </c>
    </row>
    <row r="42" spans="1:93" ht="21.75" customHeight="1" x14ac:dyDescent="0.25">
      <c r="A42" s="47">
        <v>25</v>
      </c>
      <c r="B42" s="13" t="s">
        <v>81</v>
      </c>
      <c r="C42" s="88" t="s">
        <v>82</v>
      </c>
      <c r="D42" s="100">
        <v>41196</v>
      </c>
      <c r="E42" s="71">
        <v>0.35486111111111113</v>
      </c>
      <c r="F42" s="71">
        <v>0.97986111111111107</v>
      </c>
      <c r="G42" s="71">
        <v>0.35416666666666669</v>
      </c>
      <c r="H42" s="71">
        <v>0.95277777777777783</v>
      </c>
      <c r="I42" s="71">
        <v>0.35347222222222219</v>
      </c>
      <c r="J42" s="71">
        <v>0.97291666666666676</v>
      </c>
      <c r="K42" s="71">
        <v>0.35416666666666669</v>
      </c>
      <c r="L42" s="71">
        <v>0.96805555555555556</v>
      </c>
      <c r="M42" s="107" t="s">
        <v>15</v>
      </c>
      <c r="N42" s="125" t="s">
        <v>15</v>
      </c>
      <c r="O42" s="71">
        <v>0.35416666666666669</v>
      </c>
      <c r="P42" s="71">
        <v>0.96388888888888891</v>
      </c>
      <c r="Q42" s="71">
        <v>0.3527777777777778</v>
      </c>
      <c r="R42" s="71">
        <v>0.96875</v>
      </c>
      <c r="S42" s="71">
        <v>0.35347222222222219</v>
      </c>
      <c r="T42" s="71">
        <v>0.94027777777777777</v>
      </c>
      <c r="U42" s="71">
        <v>0.35486111111111113</v>
      </c>
      <c r="V42" s="71">
        <v>0.95208333333333339</v>
      </c>
      <c r="W42" s="71">
        <v>0.35138888888888892</v>
      </c>
      <c r="X42" s="71">
        <v>0.93472222222222223</v>
      </c>
      <c r="Y42" s="71">
        <v>0.35347222222222219</v>
      </c>
      <c r="Z42" s="71">
        <v>0.94513888888888886</v>
      </c>
      <c r="AA42" s="123">
        <v>0.58124999999999993</v>
      </c>
      <c r="AB42" s="123">
        <v>0.93472222222222223</v>
      </c>
      <c r="AC42" s="71">
        <v>0.3527777777777778</v>
      </c>
      <c r="AD42" s="71">
        <v>0.96388888888888891</v>
      </c>
      <c r="AE42" s="71">
        <v>0.35416666666666669</v>
      </c>
      <c r="AF42" s="71">
        <v>0.98263888888888884</v>
      </c>
      <c r="AG42" s="71">
        <v>0.35138888888888892</v>
      </c>
      <c r="AH42" s="71">
        <v>0.94305555555555554</v>
      </c>
      <c r="AI42" s="143"/>
      <c r="AJ42" s="47">
        <v>25</v>
      </c>
      <c r="AK42" s="71">
        <v>0.35486111111111113</v>
      </c>
      <c r="AL42" s="71">
        <v>0.9375</v>
      </c>
      <c r="AM42" s="71">
        <v>0.35416666666666669</v>
      </c>
      <c r="AN42" s="71">
        <v>0.97152777777777777</v>
      </c>
      <c r="AO42" s="71">
        <v>0.35486111111111113</v>
      </c>
      <c r="AP42" s="71">
        <v>5.5555555555555558E-3</v>
      </c>
      <c r="AQ42" s="107" t="s">
        <v>15</v>
      </c>
      <c r="AR42" s="125" t="s">
        <v>15</v>
      </c>
      <c r="AS42" s="71">
        <v>0.35486111111111113</v>
      </c>
      <c r="AT42" s="71">
        <v>0.94305555555555554</v>
      </c>
      <c r="AU42" s="71">
        <v>0.35486111111111113</v>
      </c>
      <c r="AV42" s="71">
        <v>0.96250000000000002</v>
      </c>
      <c r="AW42" s="71">
        <v>0.35416666666666669</v>
      </c>
      <c r="AX42" s="71">
        <v>0.94305555555555554</v>
      </c>
      <c r="AY42" s="71">
        <v>0.35416666666666669</v>
      </c>
      <c r="AZ42" s="71">
        <v>0.95347222222222217</v>
      </c>
      <c r="BA42" s="71">
        <v>0.35347222222222219</v>
      </c>
      <c r="BB42" s="71">
        <v>0.94305555555555554</v>
      </c>
      <c r="BC42" s="71">
        <v>0.35555555555555557</v>
      </c>
      <c r="BD42" s="71">
        <v>0.97916666666666663</v>
      </c>
      <c r="BE42" s="123">
        <v>0.58124999999999993</v>
      </c>
      <c r="BF42" s="123">
        <v>0.93888888888888899</v>
      </c>
      <c r="BG42" s="71">
        <v>0.35416666666666669</v>
      </c>
      <c r="BH42" s="71">
        <v>0.95486111111111116</v>
      </c>
      <c r="BI42" s="71">
        <v>0.35625000000000001</v>
      </c>
      <c r="BJ42" s="71">
        <v>0.9916666666666667</v>
      </c>
      <c r="BK42" s="71">
        <v>0.3520833333333333</v>
      </c>
      <c r="BL42" s="71">
        <v>0.95833333333333337</v>
      </c>
      <c r="BM42" s="71">
        <v>0.3527777777777778</v>
      </c>
      <c r="BN42" s="71">
        <v>0.96180555555555547</v>
      </c>
      <c r="BO42" s="122">
        <f t="shared" ref="BO42:BO105" si="15">BQ42+BR42+BT42+BY42+BW42+BX42+CB42+BS42</f>
        <v>30</v>
      </c>
      <c r="BP42" s="75">
        <v>2</v>
      </c>
      <c r="BQ42" s="2">
        <f>COUNT(E42:AH42)/2+COUNT(AK42:BN42)/2</f>
        <v>28</v>
      </c>
      <c r="BR42" s="3">
        <f>COUNTIF(E42:BN42,"OFF")/2</f>
        <v>2</v>
      </c>
      <c r="BS42" s="3">
        <f>COUNTIF(E42:BN42,"MC")/2</f>
        <v>0</v>
      </c>
      <c r="BT42" s="3">
        <f>COUNTIF(E42:BN42,"EL")/2</f>
        <v>0</v>
      </c>
      <c r="BU42" s="3">
        <f>COUNTIF(E42:BN42,"AL")/2</f>
        <v>0</v>
      </c>
      <c r="BV42" s="3">
        <f>COUNTIF(E42:BN42,"SUS")/2</f>
        <v>0</v>
      </c>
      <c r="BW42" s="3">
        <f>COUNTIF(E42:BN42,"FL")/2</f>
        <v>0</v>
      </c>
      <c r="BX42" s="3">
        <f>COUNTIF(E42:BN42,"SICK")/2</f>
        <v>0</v>
      </c>
      <c r="BY42" s="3">
        <f>COUNTIF(E42:BN42,"HD")/2</f>
        <v>0</v>
      </c>
      <c r="BZ42" s="3">
        <f>COUNTIF(E42:BN42,"AB")/2</f>
        <v>0</v>
      </c>
      <c r="CA42" s="3">
        <f>COUNTIF(E42:BN42,"NL")/2</f>
        <v>0</v>
      </c>
      <c r="CB42" s="3">
        <f>COUNTIF(E42:BN42,"SP")/2</f>
        <v>0</v>
      </c>
      <c r="CC42" s="4"/>
      <c r="CE42" s="153">
        <v>0</v>
      </c>
      <c r="CF42" s="154">
        <v>0</v>
      </c>
      <c r="CG42" s="154">
        <v>0</v>
      </c>
      <c r="CH42" s="154">
        <v>0</v>
      </c>
      <c r="CI42" s="154">
        <v>1</v>
      </c>
      <c r="CJ42" s="154">
        <v>0</v>
      </c>
      <c r="CK42" s="154">
        <v>0</v>
      </c>
      <c r="CL42" s="154">
        <v>0</v>
      </c>
      <c r="CM42" s="154">
        <v>0</v>
      </c>
      <c r="CN42" s="154">
        <v>0</v>
      </c>
      <c r="CO42" s="155">
        <f t="shared" ref="CO42:CO73" si="16">SUM(CE42:CN42)</f>
        <v>1</v>
      </c>
    </row>
    <row r="43" spans="1:93" ht="21.75" customHeight="1" x14ac:dyDescent="0.25">
      <c r="A43" s="47">
        <v>26</v>
      </c>
      <c r="B43" s="13" t="s">
        <v>83</v>
      </c>
      <c r="C43" s="88" t="s">
        <v>84</v>
      </c>
      <c r="D43" s="100">
        <v>39855</v>
      </c>
      <c r="E43" s="71">
        <v>0.35416666666666669</v>
      </c>
      <c r="F43" s="71">
        <v>0.94861111111111107</v>
      </c>
      <c r="G43" s="71">
        <v>0.35138888888888892</v>
      </c>
      <c r="H43" s="71">
        <v>0.9472222222222223</v>
      </c>
      <c r="I43" s="71">
        <v>0.35138888888888892</v>
      </c>
      <c r="J43" s="71">
        <v>0.94513888888888886</v>
      </c>
      <c r="K43" s="71">
        <v>0.34722222222222227</v>
      </c>
      <c r="L43" s="76">
        <v>1</v>
      </c>
      <c r="M43" s="107" t="s">
        <v>15</v>
      </c>
      <c r="N43" s="125" t="s">
        <v>15</v>
      </c>
      <c r="O43" s="71">
        <v>0.35833333333333334</v>
      </c>
      <c r="P43" s="71">
        <v>0.96805555555555556</v>
      </c>
      <c r="Q43" s="71">
        <v>0.35069444444444442</v>
      </c>
      <c r="R43" s="71">
        <v>0.95000000000000007</v>
      </c>
      <c r="S43" s="71">
        <v>0.3520833333333333</v>
      </c>
      <c r="T43" s="71">
        <v>0.94305555555555554</v>
      </c>
      <c r="U43" s="71">
        <v>0.34861111111111115</v>
      </c>
      <c r="V43" s="71">
        <v>0.95208333333333339</v>
      </c>
      <c r="W43" s="71">
        <v>0.35138888888888892</v>
      </c>
      <c r="X43" s="71">
        <v>0.9458333333333333</v>
      </c>
      <c r="Y43" s="71">
        <v>0.3520833333333333</v>
      </c>
      <c r="Z43" s="71">
        <v>0.97777777777777775</v>
      </c>
      <c r="AA43" s="123">
        <v>0.5805555555555556</v>
      </c>
      <c r="AB43" s="123">
        <v>0.9506944444444444</v>
      </c>
      <c r="AC43" s="71">
        <v>0.3527777777777778</v>
      </c>
      <c r="AD43" s="71">
        <v>0.96875</v>
      </c>
      <c r="AE43" s="71">
        <v>0.35069444444444442</v>
      </c>
      <c r="AF43" s="71">
        <v>0.97569444444444453</v>
      </c>
      <c r="AG43" s="71">
        <v>0.35347222222222219</v>
      </c>
      <c r="AH43" s="71">
        <v>0.94513888888888886</v>
      </c>
      <c r="AI43" s="143"/>
      <c r="AJ43" s="47">
        <v>26</v>
      </c>
      <c r="AK43" s="71">
        <v>0.35694444444444445</v>
      </c>
      <c r="AL43" s="71">
        <v>0.94791666666666663</v>
      </c>
      <c r="AM43" s="71">
        <v>0.3520833333333333</v>
      </c>
      <c r="AN43" s="71">
        <v>0.94097222222222221</v>
      </c>
      <c r="AO43" s="71">
        <v>0.35347222222222219</v>
      </c>
      <c r="AP43" s="71">
        <v>0.96319444444444446</v>
      </c>
      <c r="AQ43" s="107" t="s">
        <v>15</v>
      </c>
      <c r="AR43" s="125" t="s">
        <v>15</v>
      </c>
      <c r="AS43" s="71">
        <v>0.34930555555555554</v>
      </c>
      <c r="AT43" s="71">
        <v>0.96875</v>
      </c>
      <c r="AU43" s="71">
        <v>0.35138888888888892</v>
      </c>
      <c r="AV43" s="71">
        <v>0.95138888888888884</v>
      </c>
      <c r="AW43" s="71">
        <v>0.35555555555555557</v>
      </c>
      <c r="AX43" s="71">
        <v>0.92986111111111114</v>
      </c>
      <c r="AY43" s="71">
        <v>0.35138888888888892</v>
      </c>
      <c r="AZ43" s="71">
        <v>0.94166666666666676</v>
      </c>
      <c r="BA43" s="71">
        <v>0.34861111111111115</v>
      </c>
      <c r="BB43" s="71">
        <v>0.94652777777777775</v>
      </c>
      <c r="BC43" s="71">
        <v>0.35138888888888892</v>
      </c>
      <c r="BD43" s="71">
        <v>0.97430555555555554</v>
      </c>
      <c r="BE43" s="123">
        <v>0.57916666666666672</v>
      </c>
      <c r="BF43" s="123">
        <v>0.94930555555555562</v>
      </c>
      <c r="BG43" s="71">
        <v>0.35486111111111113</v>
      </c>
      <c r="BH43" s="71">
        <v>0.96250000000000002</v>
      </c>
      <c r="BI43" s="71">
        <v>0.35555555555555557</v>
      </c>
      <c r="BJ43" s="71">
        <v>0.98055555555555562</v>
      </c>
      <c r="BK43" s="71">
        <v>0.34791666666666665</v>
      </c>
      <c r="BL43" s="71">
        <v>0.94027777777777777</v>
      </c>
      <c r="BM43" s="71">
        <v>0.3520833333333333</v>
      </c>
      <c r="BN43" s="71">
        <v>0.95277777777777783</v>
      </c>
      <c r="BO43" s="122">
        <f t="shared" si="15"/>
        <v>30</v>
      </c>
      <c r="BP43" s="75">
        <v>2</v>
      </c>
      <c r="BQ43" s="2">
        <f t="shared" ref="BQ43:BQ106" si="17">COUNT(E43:AH43)/2+COUNT(AK43:BN43)/2</f>
        <v>28</v>
      </c>
      <c r="BR43" s="3">
        <f t="shared" ref="BR43:BR106" si="18">COUNTIF(E43:BN43,"OFF")/2</f>
        <v>2</v>
      </c>
      <c r="BS43" s="3">
        <f t="shared" ref="BS43:BS106" si="19">COUNTIF(E43:BN43,"MC")/2</f>
        <v>0</v>
      </c>
      <c r="BT43" s="3">
        <f t="shared" ref="BT43:BT106" si="20">COUNTIF(E43:BN43,"EL")/2</f>
        <v>0</v>
      </c>
      <c r="BU43" s="3">
        <f t="shared" ref="BU43:BU106" si="21">COUNTIF(E43:BN43,"AL")/2</f>
        <v>0</v>
      </c>
      <c r="BV43" s="3">
        <f t="shared" ref="BV43:BV106" si="22">COUNTIF(E43:BN43,"SUS")/2</f>
        <v>0</v>
      </c>
      <c r="BW43" s="3">
        <f t="shared" ref="BW43:BW106" si="23">COUNTIF(E43:BN43,"FL")/2</f>
        <v>0</v>
      </c>
      <c r="BX43" s="3">
        <f t="shared" ref="BX43:BX106" si="24">COUNTIF(E43:BN43,"SICK")/2</f>
        <v>0</v>
      </c>
      <c r="BY43" s="3">
        <f t="shared" ref="BY43:BY106" si="25">COUNTIF(E43:BN43,"HD")/2</f>
        <v>0</v>
      </c>
      <c r="BZ43" s="3">
        <f t="shared" ref="BZ43:BZ106" si="26">COUNTIF(E43:BN43,"AB")/2</f>
        <v>0</v>
      </c>
      <c r="CA43" s="3">
        <f t="shared" ref="CA43:CA106" si="27">COUNTIF(E43:BN43,"NL")/2</f>
        <v>0</v>
      </c>
      <c r="CB43" s="3">
        <f t="shared" ref="CB43:CB106" si="28">COUNTIF(E43:BN43,"SP")/2</f>
        <v>0</v>
      </c>
      <c r="CC43" s="4"/>
      <c r="CE43" s="57">
        <v>0</v>
      </c>
      <c r="CF43" s="56">
        <v>0</v>
      </c>
      <c r="CG43" s="56">
        <v>0</v>
      </c>
      <c r="CH43" s="56">
        <v>0</v>
      </c>
      <c r="CI43" s="56">
        <v>0</v>
      </c>
      <c r="CJ43" s="57">
        <v>2</v>
      </c>
      <c r="CK43" s="56">
        <v>0</v>
      </c>
      <c r="CL43" s="56">
        <v>0</v>
      </c>
      <c r="CM43" s="56">
        <v>0</v>
      </c>
      <c r="CN43" s="56">
        <v>0</v>
      </c>
      <c r="CO43" s="47">
        <f t="shared" si="16"/>
        <v>2</v>
      </c>
    </row>
    <row r="44" spans="1:93" ht="21.75" customHeight="1" x14ac:dyDescent="0.25">
      <c r="A44" s="47">
        <v>27</v>
      </c>
      <c r="B44" s="13" t="s">
        <v>85</v>
      </c>
      <c r="C44" s="88" t="s">
        <v>86</v>
      </c>
      <c r="D44" s="100">
        <v>43466</v>
      </c>
      <c r="E44" s="71">
        <v>0.35138888888888892</v>
      </c>
      <c r="F44" s="71">
        <v>0.94652777777777775</v>
      </c>
      <c r="G44" s="71">
        <v>0.35138888888888892</v>
      </c>
      <c r="H44" s="71">
        <v>0.9472222222222223</v>
      </c>
      <c r="I44" s="71">
        <v>0.35138888888888892</v>
      </c>
      <c r="J44" s="71">
        <v>0.94652777777777775</v>
      </c>
      <c r="K44" s="71">
        <v>0.3520833333333333</v>
      </c>
      <c r="L44" s="71">
        <v>0.98055555555555562</v>
      </c>
      <c r="M44" s="123">
        <v>0.57638888888888895</v>
      </c>
      <c r="N44" s="127">
        <v>0.95347222222222217</v>
      </c>
      <c r="O44" s="71">
        <v>0.35138888888888892</v>
      </c>
      <c r="P44" s="71">
        <v>0.96180555555555547</v>
      </c>
      <c r="Q44" s="71">
        <v>0.35138888888888892</v>
      </c>
      <c r="R44" s="71">
        <v>0.94374999999999998</v>
      </c>
      <c r="S44" s="71">
        <v>0.35138888888888892</v>
      </c>
      <c r="T44" s="71">
        <v>0.94166666666666676</v>
      </c>
      <c r="U44" s="71">
        <v>0.35138888888888892</v>
      </c>
      <c r="V44" s="71">
        <v>0.94652777777777775</v>
      </c>
      <c r="W44" s="71">
        <v>0.3520833333333333</v>
      </c>
      <c r="X44" s="71">
        <v>0.95208333333333339</v>
      </c>
      <c r="Y44" s="71">
        <v>0.35138888888888892</v>
      </c>
      <c r="Z44" s="71">
        <v>0.96736111111111101</v>
      </c>
      <c r="AA44" s="107" t="s">
        <v>15</v>
      </c>
      <c r="AB44" s="125" t="s">
        <v>15</v>
      </c>
      <c r="AC44" s="71">
        <v>0.35138888888888892</v>
      </c>
      <c r="AD44" s="71">
        <v>0.9604166666666667</v>
      </c>
      <c r="AE44" s="71">
        <v>0.35138888888888892</v>
      </c>
      <c r="AF44" s="71">
        <v>0.97499999999999998</v>
      </c>
      <c r="AG44" s="71">
        <v>0.35138888888888892</v>
      </c>
      <c r="AH44" s="71">
        <v>0.94444444444444453</v>
      </c>
      <c r="AI44" s="143"/>
      <c r="AJ44" s="47">
        <v>27</v>
      </c>
      <c r="AK44" s="71">
        <v>0.35138888888888892</v>
      </c>
      <c r="AL44" s="71">
        <v>0.94444444444444453</v>
      </c>
      <c r="AM44" s="71">
        <v>0.35138888888888892</v>
      </c>
      <c r="AN44" s="71">
        <v>0.94444444444444453</v>
      </c>
      <c r="AO44" s="71">
        <v>0.35138888888888892</v>
      </c>
      <c r="AP44" s="71">
        <v>0.96875</v>
      </c>
      <c r="AQ44" s="123">
        <v>0.57708333333333328</v>
      </c>
      <c r="AR44" s="123">
        <v>0.95138888888888884</v>
      </c>
      <c r="AS44" s="71">
        <v>0.3520833333333333</v>
      </c>
      <c r="AT44" s="71">
        <v>0.96319444444444446</v>
      </c>
      <c r="AU44" s="71">
        <v>0.3520833333333333</v>
      </c>
      <c r="AV44" s="71">
        <v>0.94444444444444453</v>
      </c>
      <c r="AW44" s="71">
        <v>0.3520833333333333</v>
      </c>
      <c r="AX44" s="71">
        <v>0.94236111111111109</v>
      </c>
      <c r="AY44" s="71">
        <v>0.35138888888888892</v>
      </c>
      <c r="AZ44" s="71">
        <v>0.94236111111111109</v>
      </c>
      <c r="BA44" s="71">
        <v>0.35138888888888892</v>
      </c>
      <c r="BB44" s="71">
        <v>0.94791666666666663</v>
      </c>
      <c r="BC44" s="71">
        <v>0.35138888888888892</v>
      </c>
      <c r="BD44" s="71">
        <v>0.96736111111111101</v>
      </c>
      <c r="BE44" s="107" t="s">
        <v>15</v>
      </c>
      <c r="BF44" s="107" t="s">
        <v>15</v>
      </c>
      <c r="BG44" s="71">
        <v>0.35138888888888892</v>
      </c>
      <c r="BH44" s="71">
        <v>0.9590277777777777</v>
      </c>
      <c r="BI44" s="71">
        <v>0.35138888888888892</v>
      </c>
      <c r="BJ44" s="71">
        <v>0.97569444444444453</v>
      </c>
      <c r="BK44" s="71">
        <v>0.35138888888888892</v>
      </c>
      <c r="BL44" s="71">
        <v>0.94374999999999998</v>
      </c>
      <c r="BM44" s="71">
        <v>0.35138888888888892</v>
      </c>
      <c r="BN44" s="71">
        <v>0.95277777777777783</v>
      </c>
      <c r="BO44" s="122">
        <f t="shared" si="15"/>
        <v>30</v>
      </c>
      <c r="BP44" s="75">
        <v>2</v>
      </c>
      <c r="BQ44" s="2">
        <f t="shared" si="17"/>
        <v>28</v>
      </c>
      <c r="BR44" s="3">
        <f t="shared" si="18"/>
        <v>2</v>
      </c>
      <c r="BS44" s="3">
        <f t="shared" si="19"/>
        <v>0</v>
      </c>
      <c r="BT44" s="3">
        <f t="shared" si="20"/>
        <v>0</v>
      </c>
      <c r="BU44" s="3">
        <f t="shared" si="21"/>
        <v>0</v>
      </c>
      <c r="BV44" s="3">
        <f t="shared" si="22"/>
        <v>0</v>
      </c>
      <c r="BW44" s="3">
        <f t="shared" si="23"/>
        <v>0</v>
      </c>
      <c r="BX44" s="3">
        <f t="shared" si="24"/>
        <v>0</v>
      </c>
      <c r="BY44" s="3">
        <f t="shared" si="25"/>
        <v>0</v>
      </c>
      <c r="BZ44" s="3">
        <f t="shared" si="26"/>
        <v>0</v>
      </c>
      <c r="CA44" s="3">
        <f t="shared" si="27"/>
        <v>0</v>
      </c>
      <c r="CB44" s="3">
        <f t="shared" si="28"/>
        <v>0</v>
      </c>
      <c r="CC44" s="4"/>
      <c r="CE44" s="153">
        <v>0</v>
      </c>
      <c r="CF44" s="154">
        <v>0</v>
      </c>
      <c r="CG44" s="154">
        <v>13</v>
      </c>
      <c r="CH44" s="154">
        <v>0</v>
      </c>
      <c r="CI44" s="154">
        <v>0</v>
      </c>
      <c r="CJ44" s="154">
        <v>0</v>
      </c>
      <c r="CK44" s="154">
        <v>0</v>
      </c>
      <c r="CL44" s="154">
        <v>0</v>
      </c>
      <c r="CM44" s="154">
        <v>0</v>
      </c>
      <c r="CN44" s="154">
        <v>0</v>
      </c>
      <c r="CO44" s="156">
        <f t="shared" si="16"/>
        <v>13</v>
      </c>
    </row>
    <row r="45" spans="1:93" ht="21.75" customHeight="1" x14ac:dyDescent="0.25">
      <c r="A45" s="47">
        <v>28</v>
      </c>
      <c r="B45" s="13" t="s">
        <v>87</v>
      </c>
      <c r="C45" s="9" t="s">
        <v>88</v>
      </c>
      <c r="D45" s="88"/>
      <c r="E45" s="71">
        <v>0.3444444444444445</v>
      </c>
      <c r="F45" s="71">
        <v>0.95416666666666661</v>
      </c>
      <c r="G45" s="71">
        <v>0.34861111111111115</v>
      </c>
      <c r="H45" s="71">
        <v>0.95000000000000007</v>
      </c>
      <c r="I45" s="71">
        <v>0.34930555555555554</v>
      </c>
      <c r="J45" s="71">
        <v>0.97152777777777777</v>
      </c>
      <c r="K45" s="71">
        <v>0.34236111111111112</v>
      </c>
      <c r="L45" s="71">
        <v>0.95694444444444438</v>
      </c>
      <c r="M45" s="123">
        <v>0.57986111111111105</v>
      </c>
      <c r="N45" s="127">
        <v>0.94027777777777777</v>
      </c>
      <c r="O45" s="71">
        <v>0.35000000000000003</v>
      </c>
      <c r="P45" s="71">
        <v>0.9555555555555556</v>
      </c>
      <c r="Q45" s="71">
        <v>0.35347222222222219</v>
      </c>
      <c r="R45" s="71">
        <v>0.95208333333333339</v>
      </c>
      <c r="S45" s="71">
        <v>0.35069444444444442</v>
      </c>
      <c r="T45" s="71">
        <v>0.94027777777777777</v>
      </c>
      <c r="U45" s="71">
        <v>0.35000000000000003</v>
      </c>
      <c r="V45" s="71">
        <v>0.94513888888888886</v>
      </c>
      <c r="W45" s="71">
        <v>0.34513888888888888</v>
      </c>
      <c r="X45" s="71">
        <v>0.94374999999999998</v>
      </c>
      <c r="Y45" s="71">
        <v>0.34861111111111115</v>
      </c>
      <c r="Z45" s="71">
        <v>0.95416666666666661</v>
      </c>
      <c r="AA45" s="107" t="s">
        <v>15</v>
      </c>
      <c r="AB45" s="125" t="s">
        <v>15</v>
      </c>
      <c r="AC45" s="71">
        <v>0.34513888888888888</v>
      </c>
      <c r="AD45" s="71">
        <v>0.9590277777777777</v>
      </c>
      <c r="AE45" s="71">
        <v>0.34583333333333338</v>
      </c>
      <c r="AF45" s="71">
        <v>0.95000000000000007</v>
      </c>
      <c r="AG45" s="71">
        <v>0.3520833333333333</v>
      </c>
      <c r="AH45" s="71">
        <v>0.95208333333333339</v>
      </c>
      <c r="AI45" s="143"/>
      <c r="AJ45" s="47">
        <v>28</v>
      </c>
      <c r="AK45" s="71">
        <v>0.34861111111111115</v>
      </c>
      <c r="AL45" s="71">
        <v>0.93958333333333333</v>
      </c>
      <c r="AM45" s="71">
        <v>0.34375</v>
      </c>
      <c r="AN45" s="71">
        <v>0.95833333333333337</v>
      </c>
      <c r="AO45" s="71">
        <v>0.34583333333333338</v>
      </c>
      <c r="AP45" s="71">
        <v>0.95972222222222225</v>
      </c>
      <c r="AQ45" s="123">
        <v>0.58263888888888882</v>
      </c>
      <c r="AR45" s="123">
        <v>0.94097222222222221</v>
      </c>
      <c r="AS45" s="71">
        <v>0.3520833333333333</v>
      </c>
      <c r="AT45" s="71">
        <v>0.9590277777777777</v>
      </c>
      <c r="AU45" s="71">
        <v>0.34375</v>
      </c>
      <c r="AV45" s="71">
        <v>0.94861111111111107</v>
      </c>
      <c r="AW45" s="71">
        <v>0.34861111111111115</v>
      </c>
      <c r="AX45" s="71">
        <v>0.94236111111111109</v>
      </c>
      <c r="AY45" s="71">
        <v>0.34791666666666665</v>
      </c>
      <c r="AZ45" s="71">
        <v>0.94930555555555562</v>
      </c>
      <c r="BA45" s="71">
        <v>0.34791666666666665</v>
      </c>
      <c r="BB45" s="71">
        <v>0.94097222222222221</v>
      </c>
      <c r="BC45" s="71">
        <v>0.34722222222222227</v>
      </c>
      <c r="BD45" s="71">
        <v>0.97638888888888886</v>
      </c>
      <c r="BE45" s="107" t="s">
        <v>15</v>
      </c>
      <c r="BF45" s="107" t="s">
        <v>15</v>
      </c>
      <c r="BG45" s="71">
        <v>0.35069444444444442</v>
      </c>
      <c r="BH45" s="71">
        <v>0.95277777777777783</v>
      </c>
      <c r="BI45" s="71">
        <v>0.35625000000000001</v>
      </c>
      <c r="BJ45" s="71">
        <v>0.94305555555555554</v>
      </c>
      <c r="BK45" s="71">
        <v>0.34791666666666665</v>
      </c>
      <c r="BL45" s="71">
        <v>0.94791666666666663</v>
      </c>
      <c r="BM45" s="71">
        <v>0.3444444444444445</v>
      </c>
      <c r="BN45" s="71">
        <v>0.9604166666666667</v>
      </c>
      <c r="BO45" s="122">
        <f t="shared" si="15"/>
        <v>30</v>
      </c>
      <c r="BP45" s="75">
        <v>2</v>
      </c>
      <c r="BQ45" s="2">
        <f t="shared" si="17"/>
        <v>28</v>
      </c>
      <c r="BR45" s="3">
        <f t="shared" si="18"/>
        <v>2</v>
      </c>
      <c r="BS45" s="3">
        <f t="shared" si="19"/>
        <v>0</v>
      </c>
      <c r="BT45" s="3">
        <f t="shared" si="20"/>
        <v>0</v>
      </c>
      <c r="BU45" s="3">
        <f t="shared" si="21"/>
        <v>0</v>
      </c>
      <c r="BV45" s="3">
        <f t="shared" si="22"/>
        <v>0</v>
      </c>
      <c r="BW45" s="3">
        <f t="shared" si="23"/>
        <v>0</v>
      </c>
      <c r="BX45" s="3">
        <f t="shared" si="24"/>
        <v>0</v>
      </c>
      <c r="BY45" s="3">
        <f t="shared" si="25"/>
        <v>0</v>
      </c>
      <c r="BZ45" s="3">
        <f t="shared" si="26"/>
        <v>0</v>
      </c>
      <c r="CA45" s="3">
        <f t="shared" si="27"/>
        <v>0</v>
      </c>
      <c r="CB45" s="3">
        <f t="shared" si="28"/>
        <v>0</v>
      </c>
      <c r="CC45" s="4"/>
      <c r="CE45" s="57">
        <v>0</v>
      </c>
      <c r="CF45" s="56">
        <v>0</v>
      </c>
      <c r="CG45" s="57">
        <v>4</v>
      </c>
      <c r="CH45" s="56">
        <v>0</v>
      </c>
      <c r="CI45" s="56">
        <v>0</v>
      </c>
      <c r="CJ45" s="57">
        <v>11</v>
      </c>
      <c r="CK45" s="56">
        <v>0</v>
      </c>
      <c r="CL45" s="57">
        <v>2</v>
      </c>
      <c r="CM45" s="56">
        <v>0</v>
      </c>
      <c r="CN45" s="56">
        <v>0</v>
      </c>
      <c r="CO45" s="157">
        <f t="shared" si="16"/>
        <v>17</v>
      </c>
    </row>
    <row r="46" spans="1:93" ht="21.75" customHeight="1" x14ac:dyDescent="0.25">
      <c r="A46" s="47">
        <v>29</v>
      </c>
      <c r="B46" s="13" t="s">
        <v>207</v>
      </c>
      <c r="C46" s="91" t="s">
        <v>253</v>
      </c>
      <c r="D46" s="100">
        <v>43468</v>
      </c>
      <c r="E46" s="71">
        <v>0.34930555555555554</v>
      </c>
      <c r="F46" s="71">
        <v>0.97777777777777775</v>
      </c>
      <c r="G46" s="71">
        <v>0.35000000000000003</v>
      </c>
      <c r="H46" s="71">
        <v>0.95000000000000007</v>
      </c>
      <c r="I46" s="71">
        <v>0.34930555555555554</v>
      </c>
      <c r="J46" s="71">
        <v>0.97222222222222221</v>
      </c>
      <c r="K46" s="71">
        <v>0.34861111111111115</v>
      </c>
      <c r="L46" s="71">
        <v>0.96875</v>
      </c>
      <c r="M46" s="107" t="s">
        <v>15</v>
      </c>
      <c r="N46" s="125" t="s">
        <v>15</v>
      </c>
      <c r="O46" s="71">
        <v>0.34791666666666665</v>
      </c>
      <c r="P46" s="71">
        <v>0.96388888888888891</v>
      </c>
      <c r="Q46" s="71">
        <v>0.34861111111111115</v>
      </c>
      <c r="R46" s="71">
        <v>0.96180555555555547</v>
      </c>
      <c r="S46" s="71">
        <v>0.35000000000000003</v>
      </c>
      <c r="T46" s="71">
        <v>0.94027777777777777</v>
      </c>
      <c r="U46" s="71">
        <v>0.34861111111111115</v>
      </c>
      <c r="V46" s="71">
        <v>0.94930555555555562</v>
      </c>
      <c r="W46" s="71">
        <v>0.34930555555555554</v>
      </c>
      <c r="X46" s="71">
        <v>0.9375</v>
      </c>
      <c r="Y46" s="71">
        <v>0.3520833333333333</v>
      </c>
      <c r="Z46" s="71">
        <v>0.9506944444444444</v>
      </c>
      <c r="AA46" s="123">
        <v>0.57361111111111118</v>
      </c>
      <c r="AB46" s="123">
        <v>0.93263888888888891</v>
      </c>
      <c r="AC46" s="71">
        <v>0.34930555555555554</v>
      </c>
      <c r="AD46" s="71">
        <v>0.96319444444444446</v>
      </c>
      <c r="AE46" s="71">
        <v>0.34583333333333338</v>
      </c>
      <c r="AF46" s="71">
        <v>0.98472222222222217</v>
      </c>
      <c r="AG46" s="71">
        <v>0.34930555555555554</v>
      </c>
      <c r="AH46" s="71">
        <v>0.94652777777777775</v>
      </c>
      <c r="AI46" s="143"/>
      <c r="AJ46" s="47">
        <v>29</v>
      </c>
      <c r="AK46" s="71">
        <v>0.34583333333333338</v>
      </c>
      <c r="AL46" s="71">
        <v>0.93680555555555556</v>
      </c>
      <c r="AM46" s="71">
        <v>0.34791666666666665</v>
      </c>
      <c r="AN46" s="71">
        <v>0.97152777777777777</v>
      </c>
      <c r="AO46" s="71">
        <v>0.34861111111111115</v>
      </c>
      <c r="AP46" s="71">
        <v>0.9770833333333333</v>
      </c>
      <c r="AQ46" s="107" t="s">
        <v>15</v>
      </c>
      <c r="AR46" s="125" t="s">
        <v>15</v>
      </c>
      <c r="AS46" s="71">
        <v>0.34583333333333338</v>
      </c>
      <c r="AT46" s="71">
        <v>0.94305555555555554</v>
      </c>
      <c r="AU46" s="71">
        <v>0.34513888888888888</v>
      </c>
      <c r="AV46" s="71">
        <v>0.95833333333333337</v>
      </c>
      <c r="AW46" s="71">
        <v>0.34861111111111115</v>
      </c>
      <c r="AX46" s="71">
        <v>0.34861111111111115</v>
      </c>
      <c r="AY46" s="71">
        <v>0.34722222222222227</v>
      </c>
      <c r="AZ46" s="71">
        <v>0.93819444444444444</v>
      </c>
      <c r="BA46" s="71">
        <v>0.34583333333333338</v>
      </c>
      <c r="BB46" s="71">
        <v>0.93402777777777779</v>
      </c>
      <c r="BC46" s="71">
        <v>0.34652777777777777</v>
      </c>
      <c r="BD46" s="71">
        <v>0.98125000000000007</v>
      </c>
      <c r="BE46" s="123">
        <v>0.57430555555555551</v>
      </c>
      <c r="BF46" s="123">
        <v>0.93263888888888891</v>
      </c>
      <c r="BG46" s="71">
        <v>0.34583333333333338</v>
      </c>
      <c r="BH46" s="71">
        <v>0.93958333333333333</v>
      </c>
      <c r="BI46" s="71">
        <v>0.34930555555555554</v>
      </c>
      <c r="BJ46" s="71">
        <v>0.9916666666666667</v>
      </c>
      <c r="BK46" s="71">
        <v>0.3444444444444445</v>
      </c>
      <c r="BL46" s="71">
        <v>0.95972222222222225</v>
      </c>
      <c r="BM46" s="71">
        <v>0.34861111111111115</v>
      </c>
      <c r="BN46" s="71">
        <v>0.34861111111111115</v>
      </c>
      <c r="BO46" s="122">
        <f t="shared" si="15"/>
        <v>30</v>
      </c>
      <c r="BP46" s="75">
        <v>2</v>
      </c>
      <c r="BQ46" s="2">
        <f t="shared" si="17"/>
        <v>28</v>
      </c>
      <c r="BR46" s="3">
        <f t="shared" si="18"/>
        <v>2</v>
      </c>
      <c r="BS46" s="3">
        <f t="shared" si="19"/>
        <v>0</v>
      </c>
      <c r="BT46" s="3">
        <f t="shared" si="20"/>
        <v>0</v>
      </c>
      <c r="BU46" s="3">
        <f t="shared" si="21"/>
        <v>0</v>
      </c>
      <c r="BV46" s="3">
        <f t="shared" si="22"/>
        <v>0</v>
      </c>
      <c r="BW46" s="3">
        <f t="shared" si="23"/>
        <v>0</v>
      </c>
      <c r="BX46" s="3">
        <f t="shared" si="24"/>
        <v>0</v>
      </c>
      <c r="BY46" s="3">
        <f t="shared" si="25"/>
        <v>0</v>
      </c>
      <c r="BZ46" s="3">
        <f t="shared" si="26"/>
        <v>0</v>
      </c>
      <c r="CA46" s="3">
        <f t="shared" si="27"/>
        <v>0</v>
      </c>
      <c r="CB46" s="3">
        <f t="shared" si="28"/>
        <v>0</v>
      </c>
      <c r="CC46" s="4"/>
      <c r="CE46" s="153">
        <v>0</v>
      </c>
      <c r="CF46" s="154">
        <v>0</v>
      </c>
      <c r="CG46" s="154">
        <v>0</v>
      </c>
      <c r="CH46" s="154">
        <v>0</v>
      </c>
      <c r="CI46" s="154">
        <v>0</v>
      </c>
      <c r="CJ46" s="153">
        <v>6</v>
      </c>
      <c r="CK46" s="154">
        <v>0</v>
      </c>
      <c r="CL46" s="154">
        <v>0</v>
      </c>
      <c r="CM46" s="154">
        <v>0</v>
      </c>
      <c r="CN46" s="154">
        <v>0</v>
      </c>
      <c r="CO46" s="156">
        <f t="shared" si="16"/>
        <v>6</v>
      </c>
    </row>
    <row r="47" spans="1:93" ht="21.75" customHeight="1" x14ac:dyDescent="0.25">
      <c r="A47" s="47">
        <v>30</v>
      </c>
      <c r="B47" s="13" t="s">
        <v>89</v>
      </c>
      <c r="C47" s="88" t="s">
        <v>90</v>
      </c>
      <c r="D47" s="100">
        <v>42522</v>
      </c>
      <c r="E47" s="71">
        <v>0.35000000000000003</v>
      </c>
      <c r="F47" s="76">
        <v>1</v>
      </c>
      <c r="G47" s="71">
        <v>0.35347222222222219</v>
      </c>
      <c r="H47" s="71">
        <v>0.95972222222222225</v>
      </c>
      <c r="I47" s="71">
        <v>0.35000000000000003</v>
      </c>
      <c r="J47" s="71">
        <v>0.99236111111111114</v>
      </c>
      <c r="K47" s="71">
        <v>0.3520833333333333</v>
      </c>
      <c r="L47" s="71">
        <v>0.97222222222222221</v>
      </c>
      <c r="M47" s="107" t="s">
        <v>15</v>
      </c>
      <c r="N47" s="125" t="s">
        <v>15</v>
      </c>
      <c r="O47" s="71">
        <v>0.35000000000000003</v>
      </c>
      <c r="P47" s="76">
        <v>1</v>
      </c>
      <c r="Q47" s="71">
        <v>0.3444444444444445</v>
      </c>
      <c r="R47" s="76">
        <v>1</v>
      </c>
      <c r="S47" s="71">
        <v>0.35000000000000003</v>
      </c>
      <c r="T47" s="76">
        <v>1</v>
      </c>
      <c r="U47" s="71">
        <v>0.34930555555555554</v>
      </c>
      <c r="V47" s="76">
        <v>1</v>
      </c>
      <c r="W47" s="71">
        <v>0.35069444444444442</v>
      </c>
      <c r="X47" s="71">
        <v>0.93819444444444444</v>
      </c>
      <c r="Y47" s="76">
        <v>1</v>
      </c>
      <c r="Z47" s="76">
        <v>1</v>
      </c>
      <c r="AA47" s="123">
        <v>0.57916666666666672</v>
      </c>
      <c r="AB47" s="124">
        <v>1</v>
      </c>
      <c r="AC47" s="71">
        <v>0.3527777777777778</v>
      </c>
      <c r="AD47" s="76">
        <v>1</v>
      </c>
      <c r="AE47" s="71">
        <v>0.34861111111111115</v>
      </c>
      <c r="AF47" s="76">
        <v>1</v>
      </c>
      <c r="AG47" s="71">
        <v>0.3520833333333333</v>
      </c>
      <c r="AH47" s="76">
        <v>1</v>
      </c>
      <c r="AI47" s="135"/>
      <c r="AJ47" s="47">
        <v>30</v>
      </c>
      <c r="AK47" s="71">
        <v>0.3527777777777778</v>
      </c>
      <c r="AL47" s="76">
        <v>1</v>
      </c>
      <c r="AM47" s="71">
        <v>0.3527777777777778</v>
      </c>
      <c r="AN47" s="76">
        <v>1</v>
      </c>
      <c r="AO47" s="71">
        <v>0.3520833333333333</v>
      </c>
      <c r="AP47" s="71">
        <v>1.2499999999999999E-2</v>
      </c>
      <c r="AQ47" s="107" t="s">
        <v>15</v>
      </c>
      <c r="AR47" s="125" t="s">
        <v>15</v>
      </c>
      <c r="AS47" s="71">
        <v>0.35347222222222219</v>
      </c>
      <c r="AT47" s="76">
        <v>1</v>
      </c>
      <c r="AU47" s="71">
        <v>0.35694444444444445</v>
      </c>
      <c r="AV47" s="76">
        <v>1</v>
      </c>
      <c r="AW47" s="71">
        <v>0.35416666666666669</v>
      </c>
      <c r="AX47" s="76">
        <v>1</v>
      </c>
      <c r="AY47" s="71">
        <v>0.3520833333333333</v>
      </c>
      <c r="AZ47" s="76">
        <v>1</v>
      </c>
      <c r="BA47" s="71">
        <v>0.33888888888888885</v>
      </c>
      <c r="BB47" s="71">
        <v>0.94236111111111109</v>
      </c>
      <c r="BC47" s="71">
        <v>0.3527777777777778</v>
      </c>
      <c r="BD47" s="76">
        <v>1</v>
      </c>
      <c r="BE47" s="123">
        <v>0.57638888888888895</v>
      </c>
      <c r="BF47" s="123">
        <v>0.93541666666666667</v>
      </c>
      <c r="BG47" s="71">
        <v>0.35138888888888892</v>
      </c>
      <c r="BH47" s="76">
        <v>1</v>
      </c>
      <c r="BI47" s="71">
        <v>0.35069444444444442</v>
      </c>
      <c r="BJ47" s="71">
        <v>0.98611111111111116</v>
      </c>
      <c r="BK47" s="71">
        <v>0.35069444444444442</v>
      </c>
      <c r="BL47" s="71">
        <v>0.35069444444444442</v>
      </c>
      <c r="BM47" s="71">
        <v>0.34861111111111115</v>
      </c>
      <c r="BN47" s="76">
        <v>1</v>
      </c>
      <c r="BO47" s="122">
        <f t="shared" si="15"/>
        <v>30</v>
      </c>
      <c r="BP47" s="75">
        <v>2</v>
      </c>
      <c r="BQ47" s="2">
        <f t="shared" si="17"/>
        <v>28</v>
      </c>
      <c r="BR47" s="3">
        <f t="shared" si="18"/>
        <v>2</v>
      </c>
      <c r="BS47" s="3">
        <f t="shared" si="19"/>
        <v>0</v>
      </c>
      <c r="BT47" s="3">
        <f t="shared" si="20"/>
        <v>0</v>
      </c>
      <c r="BU47" s="3">
        <f t="shared" si="21"/>
        <v>0</v>
      </c>
      <c r="BV47" s="3">
        <f t="shared" si="22"/>
        <v>0</v>
      </c>
      <c r="BW47" s="3">
        <f t="shared" si="23"/>
        <v>0</v>
      </c>
      <c r="BX47" s="3">
        <f t="shared" si="24"/>
        <v>0</v>
      </c>
      <c r="BY47" s="3">
        <f t="shared" si="25"/>
        <v>0</v>
      </c>
      <c r="BZ47" s="3">
        <f t="shared" si="26"/>
        <v>0</v>
      </c>
      <c r="CA47" s="3">
        <f t="shared" si="27"/>
        <v>0</v>
      </c>
      <c r="CB47" s="3">
        <f t="shared" si="28"/>
        <v>0</v>
      </c>
      <c r="CC47" s="4"/>
      <c r="CE47" s="57">
        <v>0</v>
      </c>
      <c r="CF47" s="56">
        <v>0</v>
      </c>
      <c r="CG47" s="56">
        <v>0</v>
      </c>
      <c r="CH47" s="56">
        <v>0</v>
      </c>
      <c r="CI47" s="56">
        <v>0</v>
      </c>
      <c r="CJ47" s="57">
        <v>2</v>
      </c>
      <c r="CK47" s="56">
        <v>0</v>
      </c>
      <c r="CL47" s="57">
        <v>19</v>
      </c>
      <c r="CM47" s="56">
        <v>0</v>
      </c>
      <c r="CN47" s="56">
        <v>0</v>
      </c>
      <c r="CO47" s="157">
        <f t="shared" si="16"/>
        <v>21</v>
      </c>
    </row>
    <row r="48" spans="1:93" ht="21.75" customHeight="1" x14ac:dyDescent="0.25">
      <c r="A48" s="47">
        <v>31</v>
      </c>
      <c r="B48" s="13" t="s">
        <v>91</v>
      </c>
      <c r="C48" s="88" t="s">
        <v>92</v>
      </c>
      <c r="D48" s="100">
        <v>42439</v>
      </c>
      <c r="E48" s="71">
        <v>0.34791666666666665</v>
      </c>
      <c r="F48" s="71">
        <v>0.90902777777777777</v>
      </c>
      <c r="G48" s="84" t="s">
        <v>23</v>
      </c>
      <c r="H48" s="84" t="s">
        <v>23</v>
      </c>
      <c r="I48" s="71">
        <v>0.35416666666666669</v>
      </c>
      <c r="J48" s="71">
        <v>0.94097222222222221</v>
      </c>
      <c r="K48" s="71">
        <v>0.3520833333333333</v>
      </c>
      <c r="L48" s="71">
        <v>0.90486111111111101</v>
      </c>
      <c r="M48" s="123">
        <v>0.58333333333333337</v>
      </c>
      <c r="N48" s="127">
        <v>0.91111111111111109</v>
      </c>
      <c r="O48" s="71">
        <v>0.35555555555555557</v>
      </c>
      <c r="P48" s="71">
        <v>0.9194444444444444</v>
      </c>
      <c r="Q48" s="71">
        <v>0.35138888888888892</v>
      </c>
      <c r="R48" s="71">
        <v>0.90138888888888891</v>
      </c>
      <c r="S48" s="71">
        <v>0.34583333333333338</v>
      </c>
      <c r="T48" s="71">
        <v>0.88055555555555554</v>
      </c>
      <c r="U48" s="71">
        <v>0.35625000000000001</v>
      </c>
      <c r="V48" s="71">
        <v>0.89930555555555547</v>
      </c>
      <c r="W48" s="71">
        <v>0.35555555555555557</v>
      </c>
      <c r="X48" s="71">
        <v>0.91736111111111107</v>
      </c>
      <c r="Y48" s="71">
        <v>0.3520833333333333</v>
      </c>
      <c r="Z48" s="71">
        <v>0.91666666666666663</v>
      </c>
      <c r="AA48" s="107" t="s">
        <v>15</v>
      </c>
      <c r="AB48" s="125" t="s">
        <v>15</v>
      </c>
      <c r="AC48" s="71">
        <v>0.34930555555555554</v>
      </c>
      <c r="AD48" s="71">
        <v>0.91666666666666663</v>
      </c>
      <c r="AE48" s="71">
        <v>0.35694444444444445</v>
      </c>
      <c r="AF48" s="71">
        <v>0.97361111111111109</v>
      </c>
      <c r="AG48" s="71">
        <v>0.35347222222222219</v>
      </c>
      <c r="AH48" s="76">
        <v>1</v>
      </c>
      <c r="AI48" s="135"/>
      <c r="AJ48" s="47">
        <v>31</v>
      </c>
      <c r="AK48" s="71">
        <v>0.3527777777777778</v>
      </c>
      <c r="AL48" s="76">
        <v>1</v>
      </c>
      <c r="AM48" s="71">
        <v>0.35138888888888892</v>
      </c>
      <c r="AN48" s="71">
        <v>0.89097222222222217</v>
      </c>
      <c r="AO48" s="71">
        <v>0.35347222222222219</v>
      </c>
      <c r="AP48" s="71">
        <v>0.92152777777777783</v>
      </c>
      <c r="AQ48" s="123">
        <v>0.57986111111111105</v>
      </c>
      <c r="AR48" s="123">
        <v>0.9159722222222223</v>
      </c>
      <c r="AS48" s="71">
        <v>0.3576388888888889</v>
      </c>
      <c r="AT48" s="71">
        <v>0.89583333333333337</v>
      </c>
      <c r="AU48" s="71">
        <v>0.34930555555555554</v>
      </c>
      <c r="AV48" s="71">
        <v>0.9159722222222223</v>
      </c>
      <c r="AW48" s="71">
        <v>0.35486111111111113</v>
      </c>
      <c r="AX48" s="71">
        <v>0.89097222222222217</v>
      </c>
      <c r="AY48" s="71">
        <v>0.35416666666666669</v>
      </c>
      <c r="AZ48" s="71">
        <v>0.87222222222222223</v>
      </c>
      <c r="BA48" s="71">
        <v>0.35486111111111113</v>
      </c>
      <c r="BB48" s="71">
        <v>0.90694444444444444</v>
      </c>
      <c r="BC48" s="71">
        <v>0.35416666666666669</v>
      </c>
      <c r="BD48" s="71">
        <v>0.91388888888888886</v>
      </c>
      <c r="BE48" s="107" t="s">
        <v>15</v>
      </c>
      <c r="BF48" s="107" t="s">
        <v>15</v>
      </c>
      <c r="BG48" s="71">
        <v>0.3520833333333333</v>
      </c>
      <c r="BH48" s="76">
        <v>1</v>
      </c>
      <c r="BI48" s="71">
        <v>0.35625000000000001</v>
      </c>
      <c r="BJ48" s="76">
        <v>1</v>
      </c>
      <c r="BK48" s="71">
        <v>0.35416666666666669</v>
      </c>
      <c r="BL48" s="71">
        <v>0.90277777777777779</v>
      </c>
      <c r="BM48" s="71">
        <v>0.3527777777777778</v>
      </c>
      <c r="BN48" s="71">
        <v>0.90625</v>
      </c>
      <c r="BO48" s="122">
        <f t="shared" si="15"/>
        <v>29</v>
      </c>
      <c r="BP48" s="75">
        <v>2</v>
      </c>
      <c r="BQ48" s="2">
        <f t="shared" si="17"/>
        <v>27</v>
      </c>
      <c r="BR48" s="3">
        <f t="shared" si="18"/>
        <v>2</v>
      </c>
      <c r="BS48" s="3">
        <f t="shared" si="19"/>
        <v>0</v>
      </c>
      <c r="BT48" s="3">
        <f t="shared" si="20"/>
        <v>0</v>
      </c>
      <c r="BU48" s="3">
        <f t="shared" si="21"/>
        <v>0</v>
      </c>
      <c r="BV48" s="3">
        <f t="shared" si="22"/>
        <v>0</v>
      </c>
      <c r="BW48" s="3">
        <f t="shared" si="23"/>
        <v>0</v>
      </c>
      <c r="BX48" s="3">
        <f t="shared" si="24"/>
        <v>0</v>
      </c>
      <c r="BY48" s="3">
        <f t="shared" si="25"/>
        <v>0</v>
      </c>
      <c r="BZ48" s="3">
        <f t="shared" si="26"/>
        <v>1</v>
      </c>
      <c r="CA48" s="3">
        <f t="shared" si="27"/>
        <v>0</v>
      </c>
      <c r="CB48" s="3">
        <f t="shared" si="28"/>
        <v>0</v>
      </c>
      <c r="CC48" s="4"/>
      <c r="CE48" s="153">
        <v>0</v>
      </c>
      <c r="CF48" s="154">
        <v>0</v>
      </c>
      <c r="CG48" s="153">
        <v>80</v>
      </c>
      <c r="CH48" s="154">
        <v>0</v>
      </c>
      <c r="CI48" s="154">
        <v>0</v>
      </c>
      <c r="CJ48" s="153">
        <v>11</v>
      </c>
      <c r="CK48" s="154">
        <v>0</v>
      </c>
      <c r="CL48" s="154">
        <v>1</v>
      </c>
      <c r="CM48" s="154">
        <v>0</v>
      </c>
      <c r="CN48" s="154">
        <v>0</v>
      </c>
      <c r="CO48" s="156">
        <f t="shared" si="16"/>
        <v>92</v>
      </c>
    </row>
    <row r="49" spans="1:93" ht="23.25" customHeight="1" x14ac:dyDescent="0.25">
      <c r="A49" s="47">
        <v>32</v>
      </c>
      <c r="B49" s="13" t="s">
        <v>93</v>
      </c>
      <c r="C49" s="88" t="s">
        <v>94</v>
      </c>
      <c r="D49" s="100">
        <v>43566</v>
      </c>
      <c r="E49" s="71">
        <v>0.34375</v>
      </c>
      <c r="F49" s="71">
        <v>0.95694444444444438</v>
      </c>
      <c r="G49" s="71">
        <v>0.34375</v>
      </c>
      <c r="H49" s="71">
        <v>0.95000000000000007</v>
      </c>
      <c r="I49" s="71">
        <v>0.34513888888888888</v>
      </c>
      <c r="J49" s="71">
        <v>0.97291666666666676</v>
      </c>
      <c r="K49" s="71">
        <v>0.34375</v>
      </c>
      <c r="L49" s="71">
        <v>0.96666666666666667</v>
      </c>
      <c r="M49" s="107" t="s">
        <v>15</v>
      </c>
      <c r="N49" s="125" t="s">
        <v>15</v>
      </c>
      <c r="O49" s="71">
        <v>0.3444444444444445</v>
      </c>
      <c r="P49" s="71">
        <v>0.96250000000000002</v>
      </c>
      <c r="Q49" s="71">
        <v>0.3444444444444445</v>
      </c>
      <c r="R49" s="71">
        <v>0.96805555555555556</v>
      </c>
      <c r="S49" s="71">
        <v>0.34513888888888888</v>
      </c>
      <c r="T49" s="71">
        <v>0.93819444444444444</v>
      </c>
      <c r="U49" s="71">
        <v>0.3444444444444445</v>
      </c>
      <c r="V49" s="71">
        <v>0.9506944444444444</v>
      </c>
      <c r="W49" s="71">
        <v>0.3444444444444445</v>
      </c>
      <c r="X49" s="71">
        <v>0.94166666666666676</v>
      </c>
      <c r="Y49" s="71">
        <v>0.3444444444444445</v>
      </c>
      <c r="Z49" s="71">
        <v>0.95138888888888884</v>
      </c>
      <c r="AA49" s="123">
        <v>0.58124999999999993</v>
      </c>
      <c r="AB49" s="123">
        <v>0.93194444444444446</v>
      </c>
      <c r="AC49" s="71">
        <v>0.3444444444444445</v>
      </c>
      <c r="AD49" s="76">
        <v>1</v>
      </c>
      <c r="AE49" s="71">
        <v>0.34513888888888888</v>
      </c>
      <c r="AF49" s="71">
        <v>0.98125000000000007</v>
      </c>
      <c r="AG49" s="71">
        <v>0.3444444444444445</v>
      </c>
      <c r="AH49" s="71">
        <v>0.9375</v>
      </c>
      <c r="AI49" s="143"/>
      <c r="AJ49" s="47">
        <v>32</v>
      </c>
      <c r="AK49" s="71">
        <v>0.3444444444444445</v>
      </c>
      <c r="AL49" s="71">
        <v>0.93125000000000002</v>
      </c>
      <c r="AM49" s="71">
        <v>0.34375</v>
      </c>
      <c r="AN49" s="76">
        <v>1</v>
      </c>
      <c r="AO49" s="71">
        <v>0.34375</v>
      </c>
      <c r="AP49" s="71">
        <v>1.0416666666666666E-2</v>
      </c>
      <c r="AQ49" s="107" t="s">
        <v>15</v>
      </c>
      <c r="AR49" s="125" t="s">
        <v>15</v>
      </c>
      <c r="AS49" s="71">
        <v>0.32916666666666666</v>
      </c>
      <c r="AT49" s="71">
        <v>0.91875000000000007</v>
      </c>
      <c r="AU49" s="71">
        <v>0.32430555555555557</v>
      </c>
      <c r="AV49" s="71">
        <v>0.95138888888888884</v>
      </c>
      <c r="AW49" s="71">
        <v>0.32500000000000001</v>
      </c>
      <c r="AX49" s="71">
        <v>0.94236111111111109</v>
      </c>
      <c r="AY49" s="71">
        <v>0.32847222222222222</v>
      </c>
      <c r="AZ49" s="71">
        <v>0.9472222222222223</v>
      </c>
      <c r="BA49" s="71">
        <v>0.3263888888888889</v>
      </c>
      <c r="BB49" s="71">
        <v>0.94374999999999998</v>
      </c>
      <c r="BC49" s="71">
        <v>0.32708333333333334</v>
      </c>
      <c r="BD49" s="71">
        <v>0.98611111111111116</v>
      </c>
      <c r="BE49" s="123">
        <v>0.5625</v>
      </c>
      <c r="BF49" s="123">
        <v>0.93125000000000002</v>
      </c>
      <c r="BG49" s="71">
        <v>0.3430555555555555</v>
      </c>
      <c r="BH49" s="71">
        <v>0.92708333333333337</v>
      </c>
      <c r="BI49" s="71">
        <v>0.3444444444444445</v>
      </c>
      <c r="BJ49" s="71">
        <v>0.98611111111111116</v>
      </c>
      <c r="BK49" s="71">
        <v>0.3444444444444445</v>
      </c>
      <c r="BL49" s="71">
        <v>0.92361111111111116</v>
      </c>
      <c r="BM49" s="71">
        <v>0.3444444444444445</v>
      </c>
      <c r="BN49" s="71">
        <v>0.98125000000000007</v>
      </c>
      <c r="BO49" s="122">
        <f t="shared" si="15"/>
        <v>30</v>
      </c>
      <c r="BP49" s="75">
        <v>2</v>
      </c>
      <c r="BQ49" s="2">
        <f t="shared" si="17"/>
        <v>28</v>
      </c>
      <c r="BR49" s="3">
        <f t="shared" si="18"/>
        <v>2</v>
      </c>
      <c r="BS49" s="3">
        <f t="shared" si="19"/>
        <v>0</v>
      </c>
      <c r="BT49" s="3">
        <f t="shared" si="20"/>
        <v>0</v>
      </c>
      <c r="BU49" s="3">
        <f t="shared" si="21"/>
        <v>0</v>
      </c>
      <c r="BV49" s="3">
        <f t="shared" si="22"/>
        <v>0</v>
      </c>
      <c r="BW49" s="3">
        <f t="shared" si="23"/>
        <v>0</v>
      </c>
      <c r="BX49" s="3">
        <f t="shared" si="24"/>
        <v>0</v>
      </c>
      <c r="BY49" s="3">
        <f t="shared" si="25"/>
        <v>0</v>
      </c>
      <c r="BZ49" s="3">
        <f t="shared" si="26"/>
        <v>0</v>
      </c>
      <c r="CA49" s="3">
        <f t="shared" si="27"/>
        <v>0</v>
      </c>
      <c r="CB49" s="3">
        <f t="shared" si="28"/>
        <v>0</v>
      </c>
      <c r="CC49" s="4"/>
      <c r="CE49" s="57">
        <v>0</v>
      </c>
      <c r="CF49" s="56">
        <v>0</v>
      </c>
      <c r="CG49" s="56">
        <v>0</v>
      </c>
      <c r="CH49" s="57">
        <v>15</v>
      </c>
      <c r="CI49" s="56">
        <v>0</v>
      </c>
      <c r="CJ49" s="57">
        <v>5</v>
      </c>
      <c r="CK49" s="57">
        <v>2</v>
      </c>
      <c r="CL49" s="57">
        <v>1</v>
      </c>
      <c r="CM49" s="56">
        <v>0</v>
      </c>
      <c r="CN49" s="56">
        <v>0</v>
      </c>
      <c r="CO49" s="157">
        <f t="shared" si="16"/>
        <v>23</v>
      </c>
    </row>
    <row r="50" spans="1:93" ht="21.75" customHeight="1" x14ac:dyDescent="0.25">
      <c r="A50" s="47">
        <v>33</v>
      </c>
      <c r="B50" s="13" t="s">
        <v>95</v>
      </c>
      <c r="C50" s="88" t="s">
        <v>96</v>
      </c>
      <c r="D50" s="100">
        <v>45707</v>
      </c>
      <c r="E50" s="71">
        <v>0.33888888888888885</v>
      </c>
      <c r="F50" s="76">
        <v>1</v>
      </c>
      <c r="G50" s="71">
        <v>0.34027777777777773</v>
      </c>
      <c r="H50" s="76">
        <v>1</v>
      </c>
      <c r="I50" s="71">
        <v>0.3347222222222222</v>
      </c>
      <c r="J50" s="76">
        <v>1</v>
      </c>
      <c r="K50" s="71">
        <v>0.35555555555555557</v>
      </c>
      <c r="L50" s="76">
        <v>1</v>
      </c>
      <c r="M50" s="123">
        <v>0.56458333333333333</v>
      </c>
      <c r="N50" s="126">
        <v>1</v>
      </c>
      <c r="O50" s="71">
        <v>0.3347222222222222</v>
      </c>
      <c r="P50" s="76">
        <v>1</v>
      </c>
      <c r="Q50" s="71">
        <v>0.3444444444444445</v>
      </c>
      <c r="R50" s="76">
        <v>1</v>
      </c>
      <c r="S50" s="71">
        <v>0.33819444444444446</v>
      </c>
      <c r="T50" s="76">
        <v>1</v>
      </c>
      <c r="U50" s="71">
        <v>0.33263888888888887</v>
      </c>
      <c r="V50" s="76">
        <v>1</v>
      </c>
      <c r="W50" s="71">
        <v>0.33263888888888887</v>
      </c>
      <c r="X50" s="76">
        <v>1</v>
      </c>
      <c r="Y50" s="71">
        <v>0.33194444444444443</v>
      </c>
      <c r="Z50" s="76">
        <v>1</v>
      </c>
      <c r="AA50" s="107" t="s">
        <v>15</v>
      </c>
      <c r="AB50" s="125" t="s">
        <v>15</v>
      </c>
      <c r="AC50" s="71">
        <v>0.33194444444444443</v>
      </c>
      <c r="AD50" s="76">
        <v>1</v>
      </c>
      <c r="AE50" s="71">
        <v>0.34166666666666662</v>
      </c>
      <c r="AF50" s="76">
        <v>1</v>
      </c>
      <c r="AG50" s="71">
        <v>0.34583333333333338</v>
      </c>
      <c r="AH50" s="76">
        <v>1</v>
      </c>
      <c r="AI50" s="135"/>
      <c r="AJ50" s="47">
        <v>33</v>
      </c>
      <c r="AK50" s="76">
        <v>1</v>
      </c>
      <c r="AL50" s="76">
        <v>1</v>
      </c>
      <c r="AM50" s="71">
        <v>0.33402777777777781</v>
      </c>
      <c r="AN50" s="76">
        <v>1</v>
      </c>
      <c r="AO50" s="71">
        <v>0.34097222222222223</v>
      </c>
      <c r="AP50" s="76">
        <v>1</v>
      </c>
      <c r="AQ50" s="123">
        <v>0.56874999999999998</v>
      </c>
      <c r="AR50" s="124">
        <v>1</v>
      </c>
      <c r="AS50" s="71">
        <v>0.33402777777777781</v>
      </c>
      <c r="AT50" s="76">
        <v>1</v>
      </c>
      <c r="AU50" s="71">
        <v>0.3354166666666667</v>
      </c>
      <c r="AV50" s="76">
        <v>1</v>
      </c>
      <c r="AW50" s="71">
        <v>0.34583333333333338</v>
      </c>
      <c r="AX50" s="76">
        <v>1</v>
      </c>
      <c r="AY50" s="71">
        <v>0.3347222222222222</v>
      </c>
      <c r="AZ50" s="76">
        <v>1</v>
      </c>
      <c r="BA50" s="71">
        <v>0.33263888888888887</v>
      </c>
      <c r="BB50" s="76">
        <v>1</v>
      </c>
      <c r="BC50" s="71">
        <v>0.34722222222222227</v>
      </c>
      <c r="BD50" s="76">
        <v>1</v>
      </c>
      <c r="BE50" s="107" t="s">
        <v>15</v>
      </c>
      <c r="BF50" s="107" t="s">
        <v>15</v>
      </c>
      <c r="BG50" s="71">
        <v>0.34375</v>
      </c>
      <c r="BH50" s="76">
        <v>1</v>
      </c>
      <c r="BI50" s="71">
        <v>0.34375</v>
      </c>
      <c r="BJ50" s="76">
        <v>1</v>
      </c>
      <c r="BK50" s="71">
        <v>0.34652777777777777</v>
      </c>
      <c r="BL50" s="76">
        <v>1</v>
      </c>
      <c r="BM50" s="71">
        <v>0.33333333333333331</v>
      </c>
      <c r="BN50" s="76">
        <v>1</v>
      </c>
      <c r="BO50" s="122">
        <f t="shared" si="15"/>
        <v>30</v>
      </c>
      <c r="BP50" s="75">
        <v>2</v>
      </c>
      <c r="BQ50" s="2">
        <f t="shared" si="17"/>
        <v>28</v>
      </c>
      <c r="BR50" s="3">
        <f t="shared" si="18"/>
        <v>2</v>
      </c>
      <c r="BS50" s="3">
        <f t="shared" si="19"/>
        <v>0</v>
      </c>
      <c r="BT50" s="3">
        <f t="shared" si="20"/>
        <v>0</v>
      </c>
      <c r="BU50" s="3">
        <f t="shared" si="21"/>
        <v>0</v>
      </c>
      <c r="BV50" s="3">
        <f t="shared" si="22"/>
        <v>0</v>
      </c>
      <c r="BW50" s="3">
        <f t="shared" si="23"/>
        <v>0</v>
      </c>
      <c r="BX50" s="3">
        <f t="shared" si="24"/>
        <v>0</v>
      </c>
      <c r="BY50" s="3">
        <f t="shared" si="25"/>
        <v>0</v>
      </c>
      <c r="BZ50" s="3">
        <f t="shared" si="26"/>
        <v>0</v>
      </c>
      <c r="CA50" s="3">
        <f t="shared" si="27"/>
        <v>0</v>
      </c>
      <c r="CB50" s="3">
        <f t="shared" si="28"/>
        <v>0</v>
      </c>
      <c r="CC50" s="4"/>
      <c r="CE50" s="153">
        <v>0</v>
      </c>
      <c r="CF50" s="154">
        <v>0</v>
      </c>
      <c r="CG50" s="154">
        <v>0</v>
      </c>
      <c r="CH50" s="154">
        <v>0</v>
      </c>
      <c r="CI50" s="154">
        <v>0</v>
      </c>
      <c r="CJ50" s="153">
        <v>1</v>
      </c>
      <c r="CK50" s="153">
        <v>0</v>
      </c>
      <c r="CL50" s="153">
        <v>3</v>
      </c>
      <c r="CM50" s="154">
        <v>0</v>
      </c>
      <c r="CN50" s="154">
        <v>0</v>
      </c>
      <c r="CO50" s="156">
        <f t="shared" si="16"/>
        <v>4</v>
      </c>
    </row>
    <row r="51" spans="1:93" ht="21.75" customHeight="1" x14ac:dyDescent="0.25">
      <c r="A51" s="47">
        <v>34</v>
      </c>
      <c r="B51" s="13" t="s">
        <v>97</v>
      </c>
      <c r="C51" s="88" t="s">
        <v>98</v>
      </c>
      <c r="D51" s="100">
        <v>42262</v>
      </c>
      <c r="E51" s="71">
        <v>0.36319444444444443</v>
      </c>
      <c r="F51" s="71">
        <v>0.94374999999999998</v>
      </c>
      <c r="G51" s="71">
        <v>0.35694444444444445</v>
      </c>
      <c r="H51" s="76">
        <v>1</v>
      </c>
      <c r="I51" s="71">
        <v>0.35902777777777778</v>
      </c>
      <c r="J51" s="71">
        <v>0.95208333333333339</v>
      </c>
      <c r="K51" s="71">
        <v>0.34097222222222223</v>
      </c>
      <c r="L51" s="76">
        <v>1</v>
      </c>
      <c r="M51" s="107" t="s">
        <v>15</v>
      </c>
      <c r="N51" s="125" t="s">
        <v>15</v>
      </c>
      <c r="O51" s="71">
        <v>0.41388888888888892</v>
      </c>
      <c r="P51" s="76">
        <v>1</v>
      </c>
      <c r="Q51" s="71">
        <v>0.37013888888888885</v>
      </c>
      <c r="R51" s="76">
        <v>1</v>
      </c>
      <c r="S51" s="71">
        <v>0.37222222222222223</v>
      </c>
      <c r="T51" s="76">
        <v>1</v>
      </c>
      <c r="U51" s="71">
        <v>0.36388888888888887</v>
      </c>
      <c r="V51" s="76">
        <v>1</v>
      </c>
      <c r="W51" s="71">
        <v>0.375</v>
      </c>
      <c r="X51" s="76">
        <v>1</v>
      </c>
      <c r="Y51" s="76">
        <v>1</v>
      </c>
      <c r="Z51" s="76">
        <v>1</v>
      </c>
      <c r="AA51" s="123">
        <v>0.59375</v>
      </c>
      <c r="AB51" s="124">
        <v>1</v>
      </c>
      <c r="AC51" s="76">
        <v>1</v>
      </c>
      <c r="AD51" s="76">
        <v>1</v>
      </c>
      <c r="AE51" s="71">
        <v>0.3972222222222222</v>
      </c>
      <c r="AF51" s="76">
        <v>1</v>
      </c>
      <c r="AG51" s="71">
        <v>0.40347222222222223</v>
      </c>
      <c r="AH51" s="71">
        <v>0.96111111111111114</v>
      </c>
      <c r="AI51" s="143"/>
      <c r="AJ51" s="47">
        <v>34</v>
      </c>
      <c r="AK51" s="71">
        <v>0.38958333333333334</v>
      </c>
      <c r="AL51" s="76">
        <v>1</v>
      </c>
      <c r="AM51" s="71">
        <v>0.32569444444444445</v>
      </c>
      <c r="AN51" s="76">
        <v>1</v>
      </c>
      <c r="AO51" s="71">
        <v>0.39097222222222222</v>
      </c>
      <c r="AP51" s="76">
        <v>1</v>
      </c>
      <c r="AQ51" s="123">
        <v>0.62916666666666665</v>
      </c>
      <c r="AR51" s="123">
        <v>0.94027777777777777</v>
      </c>
      <c r="AS51" s="76">
        <v>1</v>
      </c>
      <c r="AT51" s="76">
        <v>1</v>
      </c>
      <c r="AU51" s="71">
        <v>0.35694444444444445</v>
      </c>
      <c r="AV51" s="71">
        <v>0.94236111111111109</v>
      </c>
      <c r="AW51" s="76">
        <v>1</v>
      </c>
      <c r="AX51" s="76">
        <v>1</v>
      </c>
      <c r="AY51" s="71">
        <v>0.32916666666666666</v>
      </c>
      <c r="AZ51" s="76">
        <v>1</v>
      </c>
      <c r="BA51" s="71">
        <v>0.43888888888888888</v>
      </c>
      <c r="BB51" s="71">
        <v>0.92291666666666661</v>
      </c>
      <c r="BC51" s="71">
        <v>0.3979166666666667</v>
      </c>
      <c r="BD51" s="76">
        <v>1</v>
      </c>
      <c r="BE51" s="107" t="s">
        <v>15</v>
      </c>
      <c r="BF51" s="107" t="s">
        <v>15</v>
      </c>
      <c r="BG51" s="71">
        <v>0.4381944444444445</v>
      </c>
      <c r="BH51" s="71">
        <v>0.93194444444444446</v>
      </c>
      <c r="BI51" s="71">
        <v>0.44513888888888892</v>
      </c>
      <c r="BJ51" s="71">
        <v>0.96111111111111114</v>
      </c>
      <c r="BK51" s="71">
        <v>0.34166666666666662</v>
      </c>
      <c r="BL51" s="76">
        <v>1</v>
      </c>
      <c r="BM51" s="71">
        <v>0.40069444444444446</v>
      </c>
      <c r="BN51" s="71">
        <v>0.97569444444444453</v>
      </c>
      <c r="BO51" s="122">
        <f t="shared" si="15"/>
        <v>30</v>
      </c>
      <c r="BP51" s="75">
        <v>2</v>
      </c>
      <c r="BQ51" s="2">
        <f t="shared" si="17"/>
        <v>28</v>
      </c>
      <c r="BR51" s="3">
        <f t="shared" si="18"/>
        <v>2</v>
      </c>
      <c r="BS51" s="3">
        <f t="shared" si="19"/>
        <v>0</v>
      </c>
      <c r="BT51" s="3">
        <f t="shared" si="20"/>
        <v>0</v>
      </c>
      <c r="BU51" s="3">
        <f t="shared" si="21"/>
        <v>0</v>
      </c>
      <c r="BV51" s="3">
        <f t="shared" si="22"/>
        <v>0</v>
      </c>
      <c r="BW51" s="3">
        <f t="shared" si="23"/>
        <v>0</v>
      </c>
      <c r="BX51" s="3">
        <f t="shared" si="24"/>
        <v>0</v>
      </c>
      <c r="BY51" s="3">
        <f t="shared" si="25"/>
        <v>0</v>
      </c>
      <c r="BZ51" s="3">
        <f t="shared" si="26"/>
        <v>0</v>
      </c>
      <c r="CA51" s="3">
        <f t="shared" si="27"/>
        <v>0</v>
      </c>
      <c r="CB51" s="3">
        <f t="shared" si="28"/>
        <v>0</v>
      </c>
      <c r="CC51" s="79"/>
      <c r="CE51" s="57">
        <v>0</v>
      </c>
      <c r="CF51" s="56">
        <v>0</v>
      </c>
      <c r="CG51" s="57">
        <v>14</v>
      </c>
      <c r="CH51" s="56">
        <v>0</v>
      </c>
      <c r="CI51" s="56">
        <v>0</v>
      </c>
      <c r="CJ51" s="57">
        <v>1</v>
      </c>
      <c r="CK51" s="57">
        <v>0</v>
      </c>
      <c r="CL51" s="56">
        <v>0</v>
      </c>
      <c r="CM51" s="56">
        <v>0</v>
      </c>
      <c r="CN51" s="56">
        <v>0</v>
      </c>
      <c r="CO51" s="157">
        <f t="shared" si="16"/>
        <v>15</v>
      </c>
    </row>
    <row r="52" spans="1:93" ht="21.75" customHeight="1" x14ac:dyDescent="0.25">
      <c r="A52" s="47">
        <v>35</v>
      </c>
      <c r="B52" s="47" t="s">
        <v>103</v>
      </c>
      <c r="C52" s="88" t="s">
        <v>104</v>
      </c>
      <c r="D52" s="100">
        <v>44920</v>
      </c>
      <c r="E52" s="71">
        <v>0.3354166666666667</v>
      </c>
      <c r="F52" s="71">
        <v>0.95833333333333337</v>
      </c>
      <c r="G52" s="71">
        <v>0.33819444444444446</v>
      </c>
      <c r="H52" s="71">
        <v>0.9590277777777777</v>
      </c>
      <c r="I52" s="71">
        <v>0.33194444444444443</v>
      </c>
      <c r="J52" s="71">
        <v>0.98125000000000007</v>
      </c>
      <c r="K52" s="71">
        <v>0.33263888888888887</v>
      </c>
      <c r="L52" s="71">
        <v>0.97222222222222221</v>
      </c>
      <c r="M52" s="107" t="s">
        <v>15</v>
      </c>
      <c r="N52" s="125" t="s">
        <v>15</v>
      </c>
      <c r="O52" s="71">
        <v>0.35347222222222219</v>
      </c>
      <c r="P52" s="71">
        <v>0.96250000000000002</v>
      </c>
      <c r="Q52" s="71">
        <v>0.3527777777777778</v>
      </c>
      <c r="R52" s="71">
        <v>0.96180555555555547</v>
      </c>
      <c r="S52" s="71">
        <v>0.35138888888888892</v>
      </c>
      <c r="T52" s="71">
        <v>0.93819444444444444</v>
      </c>
      <c r="U52" s="71">
        <v>0.3527777777777778</v>
      </c>
      <c r="V52" s="71">
        <v>0.9590277777777777</v>
      </c>
      <c r="W52" s="71">
        <v>0.3520833333333333</v>
      </c>
      <c r="X52" s="71">
        <v>0.93958333333333333</v>
      </c>
      <c r="Y52" s="71">
        <v>0.35347222222222219</v>
      </c>
      <c r="Z52" s="71">
        <v>0.95972222222222225</v>
      </c>
      <c r="AA52" s="123">
        <v>0.58263888888888882</v>
      </c>
      <c r="AB52" s="123">
        <v>0.91736111111111107</v>
      </c>
      <c r="AC52" s="71">
        <v>0.3527777777777778</v>
      </c>
      <c r="AD52" s="76">
        <v>1</v>
      </c>
      <c r="AE52" s="71">
        <v>0.35347222222222219</v>
      </c>
      <c r="AF52" s="71">
        <v>1.0416666666666666E-2</v>
      </c>
      <c r="AG52" s="71">
        <v>0.35625000000000001</v>
      </c>
      <c r="AH52" s="76">
        <v>1</v>
      </c>
      <c r="AI52" s="135"/>
      <c r="AJ52" s="47">
        <v>35</v>
      </c>
      <c r="AK52" s="71">
        <v>0.3527777777777778</v>
      </c>
      <c r="AL52" s="71">
        <v>0.9375</v>
      </c>
      <c r="AM52" s="71">
        <v>0.35486111111111113</v>
      </c>
      <c r="AN52" s="76">
        <v>1</v>
      </c>
      <c r="AO52" s="71">
        <v>0.35138888888888892</v>
      </c>
      <c r="AP52" s="71">
        <v>0.98263888888888884</v>
      </c>
      <c r="AQ52" s="107" t="s">
        <v>15</v>
      </c>
      <c r="AR52" s="125" t="s">
        <v>15</v>
      </c>
      <c r="AS52" s="71">
        <v>0.35000000000000003</v>
      </c>
      <c r="AT52" s="71">
        <v>0.94444444444444453</v>
      </c>
      <c r="AU52" s="71">
        <v>0.35138888888888892</v>
      </c>
      <c r="AV52" s="71">
        <v>0.93888888888888899</v>
      </c>
      <c r="AW52" s="71">
        <v>0.35486111111111113</v>
      </c>
      <c r="AX52" s="71">
        <v>0.94513888888888886</v>
      </c>
      <c r="AY52" s="71">
        <v>0.3520833333333333</v>
      </c>
      <c r="AZ52" s="71">
        <v>0.96180555555555547</v>
      </c>
      <c r="BA52" s="71">
        <v>0.35416666666666669</v>
      </c>
      <c r="BB52" s="71">
        <v>0.94374999999999998</v>
      </c>
      <c r="BC52" s="71">
        <v>0.35486111111111113</v>
      </c>
      <c r="BD52" s="71">
        <v>0.96250000000000002</v>
      </c>
      <c r="BE52" s="123">
        <v>0.57638888888888895</v>
      </c>
      <c r="BF52" s="123">
        <v>0.93541666666666667</v>
      </c>
      <c r="BG52" s="71">
        <v>0.35069444444444442</v>
      </c>
      <c r="BH52" s="71">
        <v>0.93888888888888899</v>
      </c>
      <c r="BI52" s="71">
        <v>0.35416666666666669</v>
      </c>
      <c r="BJ52" s="71">
        <v>0.96944444444444444</v>
      </c>
      <c r="BK52" s="71">
        <v>0.35347222222222219</v>
      </c>
      <c r="BL52" s="71">
        <v>0.95972222222222225</v>
      </c>
      <c r="BM52" s="71">
        <v>0.35486111111111113</v>
      </c>
      <c r="BN52" s="76">
        <v>1</v>
      </c>
      <c r="BO52" s="122">
        <f t="shared" si="15"/>
        <v>30</v>
      </c>
      <c r="BP52" s="75">
        <v>2</v>
      </c>
      <c r="BQ52" s="2">
        <f t="shared" si="17"/>
        <v>28</v>
      </c>
      <c r="BR52" s="3">
        <f t="shared" si="18"/>
        <v>2</v>
      </c>
      <c r="BS52" s="3">
        <f t="shared" si="19"/>
        <v>0</v>
      </c>
      <c r="BT52" s="3">
        <f t="shared" si="20"/>
        <v>0</v>
      </c>
      <c r="BU52" s="3">
        <f t="shared" si="21"/>
        <v>0</v>
      </c>
      <c r="BV52" s="3">
        <f t="shared" si="22"/>
        <v>0</v>
      </c>
      <c r="BW52" s="3">
        <f t="shared" si="23"/>
        <v>0</v>
      </c>
      <c r="BX52" s="3">
        <f t="shared" si="24"/>
        <v>0</v>
      </c>
      <c r="BY52" s="3">
        <f t="shared" si="25"/>
        <v>0</v>
      </c>
      <c r="BZ52" s="3">
        <f t="shared" si="26"/>
        <v>0</v>
      </c>
      <c r="CA52" s="3">
        <f t="shared" si="27"/>
        <v>0</v>
      </c>
      <c r="CB52" s="3">
        <f t="shared" si="28"/>
        <v>0</v>
      </c>
      <c r="CC52" s="4"/>
      <c r="CE52" s="153">
        <v>0</v>
      </c>
      <c r="CF52" s="154">
        <v>0</v>
      </c>
      <c r="CG52" s="154">
        <v>0</v>
      </c>
      <c r="CH52" s="153">
        <v>8</v>
      </c>
      <c r="CI52" s="154">
        <v>0</v>
      </c>
      <c r="CJ52" s="153">
        <v>3</v>
      </c>
      <c r="CK52" s="153">
        <v>0</v>
      </c>
      <c r="CL52" s="153">
        <v>4</v>
      </c>
      <c r="CM52" s="154">
        <v>0</v>
      </c>
      <c r="CN52" s="154">
        <v>0</v>
      </c>
      <c r="CO52" s="156">
        <f t="shared" si="16"/>
        <v>15</v>
      </c>
    </row>
    <row r="53" spans="1:93" ht="21.75" customHeight="1" x14ac:dyDescent="0.25">
      <c r="A53" s="47">
        <v>36</v>
      </c>
      <c r="B53" s="13" t="s">
        <v>105</v>
      </c>
      <c r="C53" s="88" t="s">
        <v>106</v>
      </c>
      <c r="D53" s="100">
        <v>44641</v>
      </c>
      <c r="E53" s="71">
        <v>0.35000000000000003</v>
      </c>
      <c r="F53" s="71">
        <v>0.98125000000000007</v>
      </c>
      <c r="G53" s="71">
        <v>0.3520833333333333</v>
      </c>
      <c r="H53" s="71">
        <v>0.9555555555555556</v>
      </c>
      <c r="I53" s="71">
        <v>0.34930555555555554</v>
      </c>
      <c r="J53" s="71">
        <v>0.99305555555555547</v>
      </c>
      <c r="K53" s="71">
        <v>0.35069444444444442</v>
      </c>
      <c r="L53" s="71">
        <v>0.97361111111111109</v>
      </c>
      <c r="M53" s="107" t="s">
        <v>15</v>
      </c>
      <c r="N53" s="125" t="s">
        <v>15</v>
      </c>
      <c r="O53" s="71">
        <v>0.35000000000000003</v>
      </c>
      <c r="P53" s="71">
        <v>0.96250000000000002</v>
      </c>
      <c r="Q53" s="71">
        <v>0.48194444444444445</v>
      </c>
      <c r="R53" s="71">
        <v>0.48194444444444445</v>
      </c>
      <c r="S53" s="71">
        <v>0.34791666666666665</v>
      </c>
      <c r="T53" s="71">
        <v>0.93819444444444444</v>
      </c>
      <c r="U53" s="71">
        <v>0.34791666666666665</v>
      </c>
      <c r="V53" s="71">
        <v>0.94791666666666663</v>
      </c>
      <c r="W53" s="71">
        <v>0.35000000000000003</v>
      </c>
      <c r="X53" s="71">
        <v>0.93888888888888899</v>
      </c>
      <c r="Y53" s="71">
        <v>0.34722222222222227</v>
      </c>
      <c r="Z53" s="71">
        <v>0.95000000000000007</v>
      </c>
      <c r="AA53" s="123">
        <v>0.57986111111111105</v>
      </c>
      <c r="AB53" s="123">
        <v>0.9194444444444444</v>
      </c>
      <c r="AC53" s="71">
        <v>0.35000000000000003</v>
      </c>
      <c r="AD53" s="71">
        <v>0.9604166666666667</v>
      </c>
      <c r="AE53" s="71">
        <v>0.34930555555555554</v>
      </c>
      <c r="AF53" s="71">
        <v>1.0416666666666666E-2</v>
      </c>
      <c r="AG53" s="71">
        <v>0.35138888888888892</v>
      </c>
      <c r="AH53" s="71">
        <v>0.95972222222222225</v>
      </c>
      <c r="AI53" s="143"/>
      <c r="AJ53" s="47">
        <v>36</v>
      </c>
      <c r="AK53" s="71">
        <v>0.34791666666666665</v>
      </c>
      <c r="AL53" s="71">
        <v>0.9375</v>
      </c>
      <c r="AM53" s="71">
        <v>0.35000000000000003</v>
      </c>
      <c r="AN53" s="71">
        <v>0.98402777777777783</v>
      </c>
      <c r="AO53" s="71">
        <v>0.35000000000000003</v>
      </c>
      <c r="AP53" s="71">
        <v>1.2499999999999999E-2</v>
      </c>
      <c r="AQ53" s="107" t="s">
        <v>15</v>
      </c>
      <c r="AR53" s="125" t="s">
        <v>15</v>
      </c>
      <c r="AS53" s="71">
        <v>0.35069444444444442</v>
      </c>
      <c r="AT53" s="71">
        <v>0.94374999999999998</v>
      </c>
      <c r="AU53" s="71">
        <v>0.34583333333333338</v>
      </c>
      <c r="AV53" s="71">
        <v>0.97361111111111109</v>
      </c>
      <c r="AW53" s="71">
        <v>0.34930555555555554</v>
      </c>
      <c r="AX53" s="71">
        <v>0.95000000000000007</v>
      </c>
      <c r="AY53" s="71">
        <v>0.34930555555555554</v>
      </c>
      <c r="AZ53" s="71">
        <v>0.95833333333333337</v>
      </c>
      <c r="BA53" s="71">
        <v>0.35138888888888892</v>
      </c>
      <c r="BB53" s="71">
        <v>0.9375</v>
      </c>
      <c r="BC53" s="71">
        <v>0.35138888888888892</v>
      </c>
      <c r="BD53" s="71">
        <v>0.98611111111111116</v>
      </c>
      <c r="BE53" s="123">
        <v>0.57986111111111105</v>
      </c>
      <c r="BF53" s="123">
        <v>0.92222222222222217</v>
      </c>
      <c r="BG53" s="71">
        <v>0.34791666666666665</v>
      </c>
      <c r="BH53" s="71">
        <v>0.92569444444444438</v>
      </c>
      <c r="BI53" s="71">
        <v>0.3444444444444445</v>
      </c>
      <c r="BJ53" s="71">
        <v>0.99236111111111114</v>
      </c>
      <c r="BK53" s="71">
        <v>0.34652777777777777</v>
      </c>
      <c r="BL53" s="71">
        <v>0.96666666666666667</v>
      </c>
      <c r="BM53" s="71">
        <v>0.34861111111111115</v>
      </c>
      <c r="BN53" s="71">
        <v>0.98125000000000007</v>
      </c>
      <c r="BO53" s="122">
        <f t="shared" si="15"/>
        <v>30</v>
      </c>
      <c r="BP53" s="75">
        <v>2</v>
      </c>
      <c r="BQ53" s="2">
        <f t="shared" si="17"/>
        <v>28</v>
      </c>
      <c r="BR53" s="3">
        <f t="shared" si="18"/>
        <v>2</v>
      </c>
      <c r="BS53" s="3">
        <f t="shared" si="19"/>
        <v>0</v>
      </c>
      <c r="BT53" s="3">
        <f t="shared" si="20"/>
        <v>0</v>
      </c>
      <c r="BU53" s="3">
        <f t="shared" si="21"/>
        <v>0</v>
      </c>
      <c r="BV53" s="3">
        <f t="shared" si="22"/>
        <v>0</v>
      </c>
      <c r="BW53" s="3">
        <f t="shared" si="23"/>
        <v>0</v>
      </c>
      <c r="BX53" s="3">
        <f t="shared" si="24"/>
        <v>0</v>
      </c>
      <c r="BY53" s="3">
        <f t="shared" si="25"/>
        <v>0</v>
      </c>
      <c r="BZ53" s="3">
        <f t="shared" si="26"/>
        <v>0</v>
      </c>
      <c r="CA53" s="3">
        <f t="shared" si="27"/>
        <v>0</v>
      </c>
      <c r="CB53" s="3">
        <f t="shared" si="28"/>
        <v>0</v>
      </c>
      <c r="CC53" s="4"/>
      <c r="CE53" s="57">
        <v>0</v>
      </c>
      <c r="CF53" s="56">
        <v>0</v>
      </c>
      <c r="CG53" s="56">
        <v>0</v>
      </c>
      <c r="CH53" s="56">
        <v>0</v>
      </c>
      <c r="CI53" s="56">
        <v>0</v>
      </c>
      <c r="CJ53" s="57">
        <v>1</v>
      </c>
      <c r="CK53" s="57">
        <v>0</v>
      </c>
      <c r="CL53" s="57">
        <v>0</v>
      </c>
      <c r="CM53" s="56">
        <v>0</v>
      </c>
      <c r="CN53" s="56">
        <v>0</v>
      </c>
      <c r="CO53" s="157">
        <f t="shared" si="16"/>
        <v>1</v>
      </c>
    </row>
    <row r="54" spans="1:93" ht="21.75" customHeight="1" x14ac:dyDescent="0.25">
      <c r="A54" s="47">
        <v>37</v>
      </c>
      <c r="B54" s="13" t="s">
        <v>107</v>
      </c>
      <c r="C54" s="88" t="s">
        <v>108</v>
      </c>
      <c r="D54" s="100">
        <v>45283</v>
      </c>
      <c r="E54" s="71">
        <v>0.35486111111111113</v>
      </c>
      <c r="F54" s="76">
        <v>1</v>
      </c>
      <c r="G54" s="71">
        <v>0.35486111111111113</v>
      </c>
      <c r="H54" s="71">
        <v>0.94444444444444453</v>
      </c>
      <c r="I54" s="71">
        <v>0.35625000000000001</v>
      </c>
      <c r="J54" s="71">
        <v>0.99305555555555547</v>
      </c>
      <c r="K54" s="71">
        <v>0.35486111111111113</v>
      </c>
      <c r="L54" s="71">
        <v>0.92013888888888884</v>
      </c>
      <c r="M54" s="107" t="s">
        <v>15</v>
      </c>
      <c r="N54" s="125" t="s">
        <v>15</v>
      </c>
      <c r="O54" s="71">
        <v>0.32847222222222222</v>
      </c>
      <c r="P54" s="71">
        <v>0.93055555555555547</v>
      </c>
      <c r="Q54" s="71">
        <v>0.32708333333333334</v>
      </c>
      <c r="R54" s="71">
        <v>0.94097222222222221</v>
      </c>
      <c r="S54" s="71">
        <v>0.33263888888888887</v>
      </c>
      <c r="T54" s="71">
        <v>0.93333333333333324</v>
      </c>
      <c r="U54" s="71">
        <v>0.3298611111111111</v>
      </c>
      <c r="V54" s="71">
        <v>0.91736111111111107</v>
      </c>
      <c r="W54" s="71">
        <v>0.3298611111111111</v>
      </c>
      <c r="X54" s="71">
        <v>0.9375</v>
      </c>
      <c r="Y54" s="71">
        <v>0.3263888888888889</v>
      </c>
      <c r="Z54" s="71">
        <v>0.94027777777777777</v>
      </c>
      <c r="AA54" s="123">
        <v>0.56388888888888888</v>
      </c>
      <c r="AB54" s="123">
        <v>0.91736111111111107</v>
      </c>
      <c r="AC54" s="71">
        <v>0.35555555555555557</v>
      </c>
      <c r="AD54" s="76">
        <v>1</v>
      </c>
      <c r="AE54" s="71">
        <v>0.35347222222222219</v>
      </c>
      <c r="AF54" s="71">
        <v>3.472222222222222E-3</v>
      </c>
      <c r="AG54" s="71">
        <v>0.35972222222222222</v>
      </c>
      <c r="AH54" s="71">
        <v>0.95833333333333337</v>
      </c>
      <c r="AI54" s="143"/>
      <c r="AJ54" s="47">
        <v>37</v>
      </c>
      <c r="AK54" s="71">
        <v>0.35555555555555557</v>
      </c>
      <c r="AL54" s="71">
        <v>0.9375</v>
      </c>
      <c r="AM54" s="71">
        <v>0.36041666666666666</v>
      </c>
      <c r="AN54" s="71">
        <v>0.96875</v>
      </c>
      <c r="AO54" s="71">
        <v>0.35138888888888892</v>
      </c>
      <c r="AP54" s="71">
        <v>1.3194444444444444E-2</v>
      </c>
      <c r="AQ54" s="107" t="s">
        <v>15</v>
      </c>
      <c r="AR54" s="125" t="s">
        <v>15</v>
      </c>
      <c r="AS54" s="71">
        <v>0.35347222222222219</v>
      </c>
      <c r="AT54" s="71">
        <v>0.93333333333333324</v>
      </c>
      <c r="AU54" s="71">
        <v>0.35069444444444442</v>
      </c>
      <c r="AV54" s="71">
        <v>0.93888888888888899</v>
      </c>
      <c r="AW54" s="71">
        <v>0.35486111111111113</v>
      </c>
      <c r="AX54" s="71">
        <v>0.93055555555555547</v>
      </c>
      <c r="AY54" s="71">
        <v>0.35138888888888892</v>
      </c>
      <c r="AZ54" s="71">
        <v>0.95347222222222217</v>
      </c>
      <c r="BA54" s="71">
        <v>0.35416666666666669</v>
      </c>
      <c r="BB54" s="71">
        <v>0.94444444444444453</v>
      </c>
      <c r="BC54" s="71">
        <v>0.35555555555555557</v>
      </c>
      <c r="BD54" s="71">
        <v>0.91805555555555562</v>
      </c>
      <c r="BE54" s="123">
        <v>0.57638888888888895</v>
      </c>
      <c r="BF54" s="123">
        <v>0.93611111111111101</v>
      </c>
      <c r="BG54" s="71">
        <v>0.35000000000000003</v>
      </c>
      <c r="BH54" s="71">
        <v>0.91666666666666663</v>
      </c>
      <c r="BI54" s="71">
        <v>0.35694444444444445</v>
      </c>
      <c r="BJ54" s="76">
        <v>1</v>
      </c>
      <c r="BK54" s="71">
        <v>0.39374999999999999</v>
      </c>
      <c r="BL54" s="71">
        <v>0.9590277777777777</v>
      </c>
      <c r="BM54" s="71">
        <v>0.35902777777777778</v>
      </c>
      <c r="BN54" s="71">
        <v>0.97916666666666663</v>
      </c>
      <c r="BO54" s="122">
        <f t="shared" si="15"/>
        <v>30</v>
      </c>
      <c r="BP54" s="75">
        <v>2</v>
      </c>
      <c r="BQ54" s="2">
        <f t="shared" si="17"/>
        <v>28</v>
      </c>
      <c r="BR54" s="3">
        <f t="shared" si="18"/>
        <v>2</v>
      </c>
      <c r="BS54" s="3">
        <f t="shared" si="19"/>
        <v>0</v>
      </c>
      <c r="BT54" s="3">
        <f t="shared" si="20"/>
        <v>0</v>
      </c>
      <c r="BU54" s="3">
        <f t="shared" si="21"/>
        <v>0</v>
      </c>
      <c r="BV54" s="3">
        <f t="shared" si="22"/>
        <v>0</v>
      </c>
      <c r="BW54" s="3">
        <f t="shared" si="23"/>
        <v>0</v>
      </c>
      <c r="BX54" s="3">
        <f t="shared" si="24"/>
        <v>0</v>
      </c>
      <c r="BY54" s="3">
        <f t="shared" si="25"/>
        <v>0</v>
      </c>
      <c r="BZ54" s="3">
        <f t="shared" si="26"/>
        <v>0</v>
      </c>
      <c r="CA54" s="3">
        <f t="shared" si="27"/>
        <v>0</v>
      </c>
      <c r="CB54" s="3">
        <f t="shared" si="28"/>
        <v>0</v>
      </c>
      <c r="CC54" s="4"/>
      <c r="CE54" s="153">
        <v>0</v>
      </c>
      <c r="CF54" s="154">
        <v>0</v>
      </c>
      <c r="CG54" s="154">
        <v>0</v>
      </c>
      <c r="CH54" s="154">
        <v>0</v>
      </c>
      <c r="CI54" s="154">
        <v>0</v>
      </c>
      <c r="CJ54" s="153">
        <v>3</v>
      </c>
      <c r="CK54" s="153">
        <v>0</v>
      </c>
      <c r="CL54" s="153">
        <v>0</v>
      </c>
      <c r="CM54" s="154">
        <v>0</v>
      </c>
      <c r="CN54" s="154">
        <v>0</v>
      </c>
      <c r="CO54" s="156">
        <f t="shared" si="16"/>
        <v>3</v>
      </c>
    </row>
    <row r="55" spans="1:93" ht="21.75" customHeight="1" x14ac:dyDescent="0.25">
      <c r="A55" s="47">
        <v>38</v>
      </c>
      <c r="B55" s="13" t="s">
        <v>110</v>
      </c>
      <c r="C55" s="88" t="s">
        <v>111</v>
      </c>
      <c r="D55" s="100">
        <v>44990</v>
      </c>
      <c r="E55" s="71">
        <v>0.3527777777777778</v>
      </c>
      <c r="F55" s="71">
        <v>0.97986111111111107</v>
      </c>
      <c r="G55" s="71">
        <v>0.35416666666666669</v>
      </c>
      <c r="H55" s="71">
        <v>0.95694444444444438</v>
      </c>
      <c r="I55" s="71">
        <v>0.35486111111111113</v>
      </c>
      <c r="J55" s="71">
        <v>0.9916666666666667</v>
      </c>
      <c r="K55" s="71">
        <v>0.3527777777777778</v>
      </c>
      <c r="L55" s="71">
        <v>0.97361111111111109</v>
      </c>
      <c r="M55" s="107" t="s">
        <v>15</v>
      </c>
      <c r="N55" s="125" t="s">
        <v>15</v>
      </c>
      <c r="O55" s="71">
        <v>0.35347222222222219</v>
      </c>
      <c r="P55" s="71">
        <v>0.96250000000000002</v>
      </c>
      <c r="Q55" s="71">
        <v>0.35347222222222219</v>
      </c>
      <c r="R55" s="71">
        <v>0.97291666666666676</v>
      </c>
      <c r="S55" s="71">
        <v>0.35347222222222219</v>
      </c>
      <c r="T55" s="71">
        <v>0.93819444444444444</v>
      </c>
      <c r="U55" s="71">
        <v>0.3576388888888889</v>
      </c>
      <c r="V55" s="71">
        <v>0.94791666666666663</v>
      </c>
      <c r="W55" s="71">
        <v>0.35347222222222219</v>
      </c>
      <c r="X55" s="71">
        <v>0.93819444444444444</v>
      </c>
      <c r="Y55" s="71">
        <v>0.35416666666666669</v>
      </c>
      <c r="Z55" s="71">
        <v>0.95000000000000007</v>
      </c>
      <c r="AA55" s="123">
        <v>0.58263888888888882</v>
      </c>
      <c r="AB55" s="123">
        <v>0.91736111111111107</v>
      </c>
      <c r="AC55" s="71">
        <v>0.35138888888888892</v>
      </c>
      <c r="AD55" s="71">
        <v>0.95833333333333337</v>
      </c>
      <c r="AE55" s="71">
        <v>0.35416666666666669</v>
      </c>
      <c r="AF55" s="71">
        <v>9.7222222222222224E-3</v>
      </c>
      <c r="AG55" s="71">
        <v>0.35416666666666669</v>
      </c>
      <c r="AH55" s="71">
        <v>0.95972222222222225</v>
      </c>
      <c r="AI55" s="143"/>
      <c r="AJ55" s="47">
        <v>38</v>
      </c>
      <c r="AK55" s="71">
        <v>0.35416666666666669</v>
      </c>
      <c r="AL55" s="71">
        <v>0.9375</v>
      </c>
      <c r="AM55" s="71">
        <v>0.35555555555555557</v>
      </c>
      <c r="AN55" s="71">
        <v>0.98402777777777783</v>
      </c>
      <c r="AO55" s="71">
        <v>0.3520833333333333</v>
      </c>
      <c r="AP55" s="71">
        <v>1.3194444444444444E-2</v>
      </c>
      <c r="AQ55" s="107" t="s">
        <v>15</v>
      </c>
      <c r="AR55" s="125" t="s">
        <v>15</v>
      </c>
      <c r="AS55" s="71">
        <v>0.35347222222222219</v>
      </c>
      <c r="AT55" s="71">
        <v>0.94374999999999998</v>
      </c>
      <c r="AU55" s="71">
        <v>0.35486111111111113</v>
      </c>
      <c r="AV55" s="71">
        <v>0.97361111111111109</v>
      </c>
      <c r="AW55" s="71">
        <v>0.35416666666666669</v>
      </c>
      <c r="AX55" s="71">
        <v>0.94861111111111107</v>
      </c>
      <c r="AY55" s="71">
        <v>0.35347222222222219</v>
      </c>
      <c r="AZ55" s="71">
        <v>0.95833333333333337</v>
      </c>
      <c r="BA55" s="71">
        <v>0.35416666666666669</v>
      </c>
      <c r="BB55" s="71">
        <v>0.94027777777777777</v>
      </c>
      <c r="BC55" s="71">
        <v>0.3527777777777778</v>
      </c>
      <c r="BD55" s="71">
        <v>0.9868055555555556</v>
      </c>
      <c r="BE55" s="123">
        <v>0.58124999999999993</v>
      </c>
      <c r="BF55" s="123">
        <v>0.92222222222222217</v>
      </c>
      <c r="BG55" s="71">
        <v>0.35347222222222219</v>
      </c>
      <c r="BH55" s="71">
        <v>0.95486111111111116</v>
      </c>
      <c r="BI55" s="71">
        <v>0.35347222222222219</v>
      </c>
      <c r="BJ55" s="71">
        <v>0.99097222222222225</v>
      </c>
      <c r="BK55" s="71">
        <v>0.35347222222222219</v>
      </c>
      <c r="BL55" s="71">
        <v>0.95833333333333337</v>
      </c>
      <c r="BM55" s="71">
        <v>0.35347222222222219</v>
      </c>
      <c r="BN55" s="71">
        <v>0.98125000000000007</v>
      </c>
      <c r="BO55" s="122">
        <f t="shared" si="15"/>
        <v>30</v>
      </c>
      <c r="BP55" s="75">
        <v>2</v>
      </c>
      <c r="BQ55" s="2">
        <f t="shared" si="17"/>
        <v>28</v>
      </c>
      <c r="BR55" s="3">
        <f t="shared" si="18"/>
        <v>2</v>
      </c>
      <c r="BS55" s="3">
        <f t="shared" si="19"/>
        <v>0</v>
      </c>
      <c r="BT55" s="3">
        <f t="shared" si="20"/>
        <v>0</v>
      </c>
      <c r="BU55" s="3">
        <f t="shared" si="21"/>
        <v>0</v>
      </c>
      <c r="BV55" s="3">
        <f t="shared" si="22"/>
        <v>0</v>
      </c>
      <c r="BW55" s="3">
        <f t="shared" si="23"/>
        <v>0</v>
      </c>
      <c r="BX55" s="3">
        <f t="shared" si="24"/>
        <v>0</v>
      </c>
      <c r="BY55" s="3">
        <f t="shared" si="25"/>
        <v>0</v>
      </c>
      <c r="BZ55" s="3">
        <f t="shared" si="26"/>
        <v>0</v>
      </c>
      <c r="CA55" s="3">
        <f t="shared" si="27"/>
        <v>0</v>
      </c>
      <c r="CB55" s="3">
        <f t="shared" si="28"/>
        <v>0</v>
      </c>
      <c r="CC55" s="4"/>
      <c r="CE55" s="57">
        <v>0</v>
      </c>
      <c r="CF55" s="56">
        <v>0</v>
      </c>
      <c r="CG55" s="56">
        <v>0</v>
      </c>
      <c r="CH55" s="56">
        <v>0</v>
      </c>
      <c r="CI55" s="56">
        <v>0</v>
      </c>
      <c r="CJ55" s="57">
        <v>1</v>
      </c>
      <c r="CK55" s="57">
        <v>0</v>
      </c>
      <c r="CL55" s="57">
        <v>2</v>
      </c>
      <c r="CM55" s="56">
        <v>0</v>
      </c>
      <c r="CN55" s="56">
        <v>0</v>
      </c>
      <c r="CO55" s="157">
        <f t="shared" si="16"/>
        <v>3</v>
      </c>
    </row>
    <row r="56" spans="1:93" ht="21.75" customHeight="1" x14ac:dyDescent="0.25">
      <c r="A56" s="47">
        <v>39</v>
      </c>
      <c r="B56" s="13" t="s">
        <v>113</v>
      </c>
      <c r="C56" s="88" t="s">
        <v>185</v>
      </c>
      <c r="D56" s="100">
        <v>45243</v>
      </c>
      <c r="E56" s="71">
        <v>0.35000000000000003</v>
      </c>
      <c r="F56" s="71">
        <v>0.95694444444444438</v>
      </c>
      <c r="G56" s="71">
        <v>0.35069444444444442</v>
      </c>
      <c r="H56" s="71">
        <v>0.94652777777777775</v>
      </c>
      <c r="I56" s="71">
        <v>0.35347222222222219</v>
      </c>
      <c r="J56" s="71">
        <v>0.95972222222222225</v>
      </c>
      <c r="K56" s="71">
        <v>0.3527777777777778</v>
      </c>
      <c r="L56" s="71">
        <v>0.96597222222222223</v>
      </c>
      <c r="M56" s="123">
        <v>0.58194444444444449</v>
      </c>
      <c r="N56" s="126">
        <v>1</v>
      </c>
      <c r="O56" s="71">
        <v>0.35347222222222219</v>
      </c>
      <c r="P56" s="71">
        <v>0.9604166666666667</v>
      </c>
      <c r="Q56" s="71">
        <v>0.35347222222222219</v>
      </c>
      <c r="R56" s="71">
        <v>0.94305555555555554</v>
      </c>
      <c r="S56" s="71">
        <v>0.35486111111111113</v>
      </c>
      <c r="T56" s="71">
        <v>0.93819444444444444</v>
      </c>
      <c r="U56" s="71">
        <v>0.35416666666666669</v>
      </c>
      <c r="V56" s="76">
        <v>1</v>
      </c>
      <c r="W56" s="71">
        <v>0.35138888888888892</v>
      </c>
      <c r="X56" s="71">
        <v>0.93819444444444444</v>
      </c>
      <c r="Y56" s="71">
        <v>0.35416666666666669</v>
      </c>
      <c r="Z56" s="71">
        <v>0.95000000000000007</v>
      </c>
      <c r="AA56" s="107" t="s">
        <v>15</v>
      </c>
      <c r="AB56" s="125" t="s">
        <v>15</v>
      </c>
      <c r="AC56" s="71">
        <v>0.35416666666666669</v>
      </c>
      <c r="AD56" s="71">
        <v>0.95833333333333337</v>
      </c>
      <c r="AE56" s="71">
        <v>0.3527777777777778</v>
      </c>
      <c r="AF56" s="71">
        <v>3.472222222222222E-3</v>
      </c>
      <c r="AG56" s="71">
        <v>0.35486111111111113</v>
      </c>
      <c r="AH56" s="71">
        <v>0.9291666666666667</v>
      </c>
      <c r="AI56" s="143"/>
      <c r="AJ56" s="47">
        <v>39</v>
      </c>
      <c r="AK56" s="71">
        <v>0.35486111111111113</v>
      </c>
      <c r="AL56" s="71">
        <v>0.93819444444444444</v>
      </c>
      <c r="AM56" s="71">
        <v>0.35555555555555557</v>
      </c>
      <c r="AN56" s="71">
        <v>0.95277777777777783</v>
      </c>
      <c r="AO56" s="71">
        <v>0.35416666666666669</v>
      </c>
      <c r="AP56" s="76">
        <v>1</v>
      </c>
      <c r="AQ56" s="123">
        <v>0.5625</v>
      </c>
      <c r="AR56" s="123">
        <v>0.94236111111111109</v>
      </c>
      <c r="AS56" s="71">
        <v>0.35555555555555557</v>
      </c>
      <c r="AT56" s="71">
        <v>0.94374999999999998</v>
      </c>
      <c r="AU56" s="71">
        <v>0.3527777777777778</v>
      </c>
      <c r="AV56" s="71">
        <v>0.95347222222222217</v>
      </c>
      <c r="AW56" s="71">
        <v>0.35555555555555557</v>
      </c>
      <c r="AX56" s="71">
        <v>0.94305555555555554</v>
      </c>
      <c r="AY56" s="71">
        <v>0.3527777777777778</v>
      </c>
      <c r="AZ56" s="71">
        <v>0.94444444444444453</v>
      </c>
      <c r="BA56" s="71">
        <v>0.35416666666666669</v>
      </c>
      <c r="BB56" s="76">
        <v>1</v>
      </c>
      <c r="BC56" s="71">
        <v>0.35486111111111113</v>
      </c>
      <c r="BD56" s="76">
        <v>1</v>
      </c>
      <c r="BE56" s="107" t="s">
        <v>15</v>
      </c>
      <c r="BF56" s="107" t="s">
        <v>15</v>
      </c>
      <c r="BG56" s="71">
        <v>0.35138888888888892</v>
      </c>
      <c r="BH56" s="71">
        <v>0.95486111111111116</v>
      </c>
      <c r="BI56" s="71">
        <v>0.35486111111111113</v>
      </c>
      <c r="BJ56" s="71">
        <v>0.95833333333333337</v>
      </c>
      <c r="BK56" s="71">
        <v>0.35416666666666669</v>
      </c>
      <c r="BL56" s="71">
        <v>0.95347222222222217</v>
      </c>
      <c r="BM56" s="71">
        <v>0.3527777777777778</v>
      </c>
      <c r="BN56" s="71">
        <v>0.96180555555555547</v>
      </c>
      <c r="BO56" s="122">
        <f t="shared" si="15"/>
        <v>30</v>
      </c>
      <c r="BP56" s="75">
        <v>2</v>
      </c>
      <c r="BQ56" s="2">
        <f t="shared" si="17"/>
        <v>28</v>
      </c>
      <c r="BR56" s="3">
        <f t="shared" si="18"/>
        <v>2</v>
      </c>
      <c r="BS56" s="3">
        <f t="shared" si="19"/>
        <v>0</v>
      </c>
      <c r="BT56" s="3">
        <f t="shared" si="20"/>
        <v>0</v>
      </c>
      <c r="BU56" s="3">
        <f t="shared" si="21"/>
        <v>0</v>
      </c>
      <c r="BV56" s="3">
        <f t="shared" si="22"/>
        <v>0</v>
      </c>
      <c r="BW56" s="3">
        <f t="shared" si="23"/>
        <v>0</v>
      </c>
      <c r="BX56" s="3">
        <f t="shared" si="24"/>
        <v>0</v>
      </c>
      <c r="BY56" s="3">
        <f t="shared" si="25"/>
        <v>0</v>
      </c>
      <c r="BZ56" s="3">
        <f t="shared" si="26"/>
        <v>0</v>
      </c>
      <c r="CA56" s="3">
        <f t="shared" si="27"/>
        <v>0</v>
      </c>
      <c r="CB56" s="3">
        <f t="shared" si="28"/>
        <v>0</v>
      </c>
      <c r="CC56" s="4"/>
      <c r="CE56" s="153">
        <v>0</v>
      </c>
      <c r="CF56" s="154">
        <v>0</v>
      </c>
      <c r="CG56" s="154">
        <v>0</v>
      </c>
      <c r="CH56" s="154">
        <v>0</v>
      </c>
      <c r="CI56" s="154">
        <v>0</v>
      </c>
      <c r="CJ56" s="154">
        <v>0</v>
      </c>
      <c r="CK56" s="154">
        <v>0</v>
      </c>
      <c r="CL56" s="154">
        <v>0</v>
      </c>
      <c r="CM56" s="154">
        <v>0</v>
      </c>
      <c r="CN56" s="154">
        <v>0</v>
      </c>
      <c r="CO56" s="156">
        <f t="shared" si="16"/>
        <v>0</v>
      </c>
    </row>
    <row r="57" spans="1:93" ht="21.75" customHeight="1" x14ac:dyDescent="0.25">
      <c r="A57" s="47">
        <v>40</v>
      </c>
      <c r="B57" s="13" t="s">
        <v>114</v>
      </c>
      <c r="C57" s="9" t="s">
        <v>188</v>
      </c>
      <c r="E57" s="71">
        <v>0.34722222222222227</v>
      </c>
      <c r="F57" s="71">
        <v>0.94861111111111107</v>
      </c>
      <c r="G57" s="71">
        <v>0.35069444444444442</v>
      </c>
      <c r="H57" s="71">
        <v>0.9472222222222223</v>
      </c>
      <c r="I57" s="71">
        <v>0.35138888888888892</v>
      </c>
      <c r="J57" s="71">
        <v>0.9458333333333333</v>
      </c>
      <c r="K57" s="71">
        <v>0.3527777777777778</v>
      </c>
      <c r="L57" s="71">
        <v>0.9819444444444444</v>
      </c>
      <c r="M57" s="107" t="s">
        <v>15</v>
      </c>
      <c r="N57" s="125" t="s">
        <v>15</v>
      </c>
      <c r="O57" s="71">
        <v>0.3520833333333333</v>
      </c>
      <c r="P57" s="71">
        <v>0.96250000000000002</v>
      </c>
      <c r="Q57" s="71">
        <v>0.3527777777777778</v>
      </c>
      <c r="R57" s="71">
        <v>0.94444444444444453</v>
      </c>
      <c r="S57" s="71">
        <v>0.35347222222222219</v>
      </c>
      <c r="T57" s="71">
        <v>0.94305555555555554</v>
      </c>
      <c r="U57" s="71">
        <v>0.35486111111111113</v>
      </c>
      <c r="V57" s="71">
        <v>0.94652777777777775</v>
      </c>
      <c r="W57" s="71">
        <v>0.35416666666666669</v>
      </c>
      <c r="X57" s="71">
        <v>0.9472222222222223</v>
      </c>
      <c r="Y57" s="71">
        <v>0.35416666666666669</v>
      </c>
      <c r="Z57" s="71">
        <v>0.96736111111111101</v>
      </c>
      <c r="AA57" s="123">
        <v>0.58124999999999993</v>
      </c>
      <c r="AB57" s="123">
        <v>0.9472222222222223</v>
      </c>
      <c r="AC57" s="71">
        <v>0.35486111111111113</v>
      </c>
      <c r="AD57" s="71">
        <v>0.9604166666666667</v>
      </c>
      <c r="AE57" s="71">
        <v>0.35416666666666669</v>
      </c>
      <c r="AF57" s="71">
        <v>0.97499999999999998</v>
      </c>
      <c r="AG57" s="71">
        <v>0.35486111111111113</v>
      </c>
      <c r="AH57" s="71">
        <v>0.94861111111111107</v>
      </c>
      <c r="AI57" s="143"/>
      <c r="AJ57" s="47">
        <v>40</v>
      </c>
      <c r="AK57" s="71">
        <v>0.35486111111111113</v>
      </c>
      <c r="AL57" s="71">
        <v>0.94444444444444453</v>
      </c>
      <c r="AM57" s="71">
        <v>0.35486111111111113</v>
      </c>
      <c r="AN57" s="71">
        <v>0.94097222222222221</v>
      </c>
      <c r="AO57" s="71">
        <v>0.35486111111111113</v>
      </c>
      <c r="AP57" s="71">
        <v>0.96250000000000002</v>
      </c>
      <c r="AQ57" s="107" t="s">
        <v>15</v>
      </c>
      <c r="AR57" s="125" t="s">
        <v>15</v>
      </c>
      <c r="AS57" s="71">
        <v>0.3527777777777778</v>
      </c>
      <c r="AT57" s="71">
        <v>0.96319444444444446</v>
      </c>
      <c r="AU57" s="71">
        <v>0.35555555555555557</v>
      </c>
      <c r="AV57" s="71">
        <v>0.94305555555555554</v>
      </c>
      <c r="AW57" s="71">
        <v>0.35416666666666669</v>
      </c>
      <c r="AX57" s="71">
        <v>0.94236111111111109</v>
      </c>
      <c r="AY57" s="71">
        <v>0.35416666666666669</v>
      </c>
      <c r="AZ57" s="71">
        <v>0.94236111111111109</v>
      </c>
      <c r="BA57" s="71">
        <v>0.35486111111111113</v>
      </c>
      <c r="BB57" s="71">
        <v>0.94374999999999998</v>
      </c>
      <c r="BC57" s="71">
        <v>0.35416666666666669</v>
      </c>
      <c r="BD57" s="71">
        <v>0.96180555555555547</v>
      </c>
      <c r="BE57" s="123">
        <v>0.57986111111111105</v>
      </c>
      <c r="BF57" s="123">
        <v>0.94652777777777775</v>
      </c>
      <c r="BG57" s="71">
        <v>0.35347222222222219</v>
      </c>
      <c r="BH57" s="71">
        <v>0.9590277777777777</v>
      </c>
      <c r="BI57" s="71">
        <v>0.35486111111111113</v>
      </c>
      <c r="BJ57" s="71">
        <v>0.97291666666666676</v>
      </c>
      <c r="BK57" s="71">
        <v>0.35347222222222219</v>
      </c>
      <c r="BL57" s="71">
        <v>0.94374999999999998</v>
      </c>
      <c r="BM57" s="71">
        <v>0.35486111111111113</v>
      </c>
      <c r="BN57" s="71">
        <v>0.95347222222222217</v>
      </c>
      <c r="BO57" s="122">
        <f t="shared" si="15"/>
        <v>30</v>
      </c>
      <c r="BP57" s="75">
        <v>2</v>
      </c>
      <c r="BQ57" s="2">
        <f t="shared" si="17"/>
        <v>28</v>
      </c>
      <c r="BR57" s="3">
        <f t="shared" si="18"/>
        <v>2</v>
      </c>
      <c r="BS57" s="3">
        <f t="shared" si="19"/>
        <v>0</v>
      </c>
      <c r="BT57" s="3">
        <f t="shared" si="20"/>
        <v>0</v>
      </c>
      <c r="BU57" s="3">
        <f t="shared" si="21"/>
        <v>0</v>
      </c>
      <c r="BV57" s="3">
        <f t="shared" si="22"/>
        <v>0</v>
      </c>
      <c r="BW57" s="3">
        <f t="shared" si="23"/>
        <v>0</v>
      </c>
      <c r="BX57" s="3">
        <f t="shared" si="24"/>
        <v>0</v>
      </c>
      <c r="BY57" s="3">
        <f t="shared" si="25"/>
        <v>0</v>
      </c>
      <c r="BZ57" s="3">
        <f t="shared" si="26"/>
        <v>0</v>
      </c>
      <c r="CA57" s="3">
        <f t="shared" si="27"/>
        <v>0</v>
      </c>
      <c r="CB57" s="3">
        <f t="shared" si="28"/>
        <v>0</v>
      </c>
      <c r="CC57" s="4"/>
      <c r="CE57" s="57">
        <v>0</v>
      </c>
      <c r="CF57" s="56">
        <v>0</v>
      </c>
      <c r="CG57" s="56">
        <v>0</v>
      </c>
      <c r="CH57" s="56">
        <v>0</v>
      </c>
      <c r="CI57" s="56">
        <v>0</v>
      </c>
      <c r="CJ57" s="57">
        <v>-1</v>
      </c>
      <c r="CK57" s="57">
        <v>0</v>
      </c>
      <c r="CL57" s="57">
        <v>-2</v>
      </c>
      <c r="CM57" s="56">
        <v>0</v>
      </c>
      <c r="CN57" s="56">
        <v>0</v>
      </c>
      <c r="CO57" s="157">
        <f t="shared" si="16"/>
        <v>-3</v>
      </c>
    </row>
    <row r="58" spans="1:93" ht="21.75" customHeight="1" x14ac:dyDescent="0.25">
      <c r="A58" s="47">
        <v>41</v>
      </c>
      <c r="B58" s="13" t="s">
        <v>119</v>
      </c>
      <c r="C58" s="88" t="s">
        <v>120</v>
      </c>
      <c r="D58" s="100">
        <v>45371</v>
      </c>
      <c r="E58" s="71">
        <v>0.34652777777777777</v>
      </c>
      <c r="F58" s="71">
        <v>0.9555555555555556</v>
      </c>
      <c r="G58" s="71">
        <v>0.34513888888888888</v>
      </c>
      <c r="H58" s="71">
        <v>0.9458333333333333</v>
      </c>
      <c r="I58" s="71">
        <v>0.34652777777777777</v>
      </c>
      <c r="J58" s="71">
        <v>0.97222222222222221</v>
      </c>
      <c r="K58" s="71">
        <v>0.34722222222222227</v>
      </c>
      <c r="L58" s="71">
        <v>0.96527777777777779</v>
      </c>
      <c r="M58" s="107" t="s">
        <v>15</v>
      </c>
      <c r="N58" s="125" t="s">
        <v>15</v>
      </c>
      <c r="O58" s="71">
        <v>0.34652777777777777</v>
      </c>
      <c r="P58" s="71">
        <v>0.96319444444444446</v>
      </c>
      <c r="Q58" s="71">
        <v>0.34722222222222227</v>
      </c>
      <c r="R58" s="71">
        <v>0.9506944444444444</v>
      </c>
      <c r="S58" s="71">
        <v>0.34791666666666665</v>
      </c>
      <c r="T58" s="71">
        <v>0.94027777777777777</v>
      </c>
      <c r="U58" s="71">
        <v>0.34513888888888888</v>
      </c>
      <c r="V58" s="71">
        <v>0.94444444444444453</v>
      </c>
      <c r="W58" s="71">
        <v>0.34583333333333338</v>
      </c>
      <c r="X58" s="71">
        <v>0.94097222222222221</v>
      </c>
      <c r="Y58" s="71">
        <v>0.3444444444444445</v>
      </c>
      <c r="Z58" s="71">
        <v>0.9604166666666667</v>
      </c>
      <c r="AA58" s="123">
        <v>0.57777777777777783</v>
      </c>
      <c r="AB58" s="123">
        <v>0.94027777777777777</v>
      </c>
      <c r="AC58" s="71">
        <v>0.34722222222222227</v>
      </c>
      <c r="AD58" s="71">
        <v>0.9590277777777777</v>
      </c>
      <c r="AE58" s="71">
        <v>0.35000000000000003</v>
      </c>
      <c r="AF58" s="71">
        <v>0.94930555555555562</v>
      </c>
      <c r="AG58" s="71">
        <v>0.34722222222222227</v>
      </c>
      <c r="AH58" s="71">
        <v>0.96250000000000002</v>
      </c>
      <c r="AI58" s="143"/>
      <c r="AJ58" s="47">
        <v>41</v>
      </c>
      <c r="AK58" s="71">
        <v>0.34791666666666665</v>
      </c>
      <c r="AL58" s="71">
        <v>0.93888888888888899</v>
      </c>
      <c r="AM58" s="71">
        <v>0.34722222222222227</v>
      </c>
      <c r="AN58" s="71">
        <v>0.96805555555555556</v>
      </c>
      <c r="AO58" s="71">
        <v>0.34861111111111115</v>
      </c>
      <c r="AP58" s="71">
        <v>1.3194444444444444E-2</v>
      </c>
      <c r="AQ58" s="107" t="s">
        <v>15</v>
      </c>
      <c r="AR58" s="125" t="s">
        <v>15</v>
      </c>
      <c r="AS58" s="71">
        <v>0.34791666666666665</v>
      </c>
      <c r="AT58" s="71">
        <v>0.9590277777777777</v>
      </c>
      <c r="AU58" s="71">
        <v>0.34791666666666665</v>
      </c>
      <c r="AV58" s="71">
        <v>0.9472222222222223</v>
      </c>
      <c r="AW58" s="71">
        <v>0.34861111111111115</v>
      </c>
      <c r="AX58" s="71">
        <v>0.94166666666666676</v>
      </c>
      <c r="AY58" s="71">
        <v>0.34652777777777777</v>
      </c>
      <c r="AZ58" s="71">
        <v>0.94166666666666676</v>
      </c>
      <c r="BA58" s="71">
        <v>0.34722222222222227</v>
      </c>
      <c r="BB58" s="71">
        <v>0.94097222222222221</v>
      </c>
      <c r="BC58" s="71">
        <v>0.34930555555555554</v>
      </c>
      <c r="BD58" s="71">
        <v>0.97430555555555554</v>
      </c>
      <c r="BE58" s="123">
        <v>0.57291666666666663</v>
      </c>
      <c r="BF58" s="123">
        <v>0.93958333333333333</v>
      </c>
      <c r="BG58" s="71">
        <v>0.34375</v>
      </c>
      <c r="BH58" s="71">
        <v>0.95277777777777783</v>
      </c>
      <c r="BI58" s="71">
        <v>0.34861111111111115</v>
      </c>
      <c r="BJ58" s="71">
        <v>0.94374999999999998</v>
      </c>
      <c r="BK58" s="71">
        <v>0.34236111111111112</v>
      </c>
      <c r="BL58" s="71">
        <v>0.95624999999999993</v>
      </c>
      <c r="BM58" s="71">
        <v>0.34236111111111112</v>
      </c>
      <c r="BN58" s="71">
        <v>0.95208333333333339</v>
      </c>
      <c r="BO58" s="122">
        <f t="shared" si="15"/>
        <v>30</v>
      </c>
      <c r="BP58" s="75">
        <v>2</v>
      </c>
      <c r="BQ58" s="2">
        <f t="shared" si="17"/>
        <v>28</v>
      </c>
      <c r="BR58" s="3">
        <f t="shared" si="18"/>
        <v>2</v>
      </c>
      <c r="BS58" s="3">
        <f t="shared" si="19"/>
        <v>0</v>
      </c>
      <c r="BT58" s="3">
        <f t="shared" si="20"/>
        <v>0</v>
      </c>
      <c r="BU58" s="3">
        <f t="shared" si="21"/>
        <v>0</v>
      </c>
      <c r="BV58" s="3">
        <f t="shared" si="22"/>
        <v>0</v>
      </c>
      <c r="BW58" s="3">
        <f t="shared" si="23"/>
        <v>0</v>
      </c>
      <c r="BX58" s="3">
        <f t="shared" si="24"/>
        <v>0</v>
      </c>
      <c r="BY58" s="3">
        <f t="shared" si="25"/>
        <v>0</v>
      </c>
      <c r="BZ58" s="3">
        <f t="shared" si="26"/>
        <v>0</v>
      </c>
      <c r="CA58" s="3">
        <f t="shared" si="27"/>
        <v>0</v>
      </c>
      <c r="CB58" s="3">
        <f t="shared" si="28"/>
        <v>0</v>
      </c>
      <c r="CC58" s="4"/>
      <c r="CE58" s="57">
        <v>0</v>
      </c>
      <c r="CF58" s="56">
        <v>0</v>
      </c>
      <c r="CG58" s="56">
        <v>0</v>
      </c>
      <c r="CH58" s="56">
        <v>0</v>
      </c>
      <c r="CI58" s="56">
        <v>0</v>
      </c>
      <c r="CJ58" s="56">
        <v>7</v>
      </c>
      <c r="CK58" s="57">
        <v>0</v>
      </c>
      <c r="CL58" s="57">
        <v>4</v>
      </c>
      <c r="CM58" s="56">
        <v>0</v>
      </c>
      <c r="CN58" s="56">
        <v>0</v>
      </c>
      <c r="CO58" s="157">
        <f t="shared" si="16"/>
        <v>11</v>
      </c>
    </row>
    <row r="59" spans="1:93" ht="21.75" customHeight="1" x14ac:dyDescent="0.25">
      <c r="A59" s="47">
        <v>42</v>
      </c>
      <c r="B59" s="51" t="s">
        <v>200</v>
      </c>
      <c r="C59" s="92" t="s">
        <v>199</v>
      </c>
      <c r="D59" s="100">
        <v>45371</v>
      </c>
      <c r="E59" s="71">
        <v>0.34652777777777777</v>
      </c>
      <c r="F59" s="71">
        <v>0.93333333333333324</v>
      </c>
      <c r="G59" s="71">
        <v>0.34791666666666665</v>
      </c>
      <c r="H59" s="71">
        <v>0.89583333333333337</v>
      </c>
      <c r="I59" s="71">
        <v>0.34861111111111115</v>
      </c>
      <c r="J59" s="71">
        <v>0.92986111111111114</v>
      </c>
      <c r="K59" s="71">
        <v>0.34652777777777777</v>
      </c>
      <c r="L59" s="71">
        <v>0.93333333333333324</v>
      </c>
      <c r="M59" s="123">
        <v>0.57152777777777775</v>
      </c>
      <c r="N59" s="127">
        <v>0.9194444444444444</v>
      </c>
      <c r="O59" s="71">
        <v>0.34791666666666665</v>
      </c>
      <c r="P59" s="76">
        <v>1</v>
      </c>
      <c r="Q59" s="71">
        <v>0.34583333333333338</v>
      </c>
      <c r="R59" s="71">
        <v>0.91388888888888886</v>
      </c>
      <c r="S59" s="71">
        <v>0.3444444444444445</v>
      </c>
      <c r="T59" s="71">
        <v>0.91736111111111107</v>
      </c>
      <c r="U59" s="71">
        <v>0.35138888888888892</v>
      </c>
      <c r="V59" s="71">
        <v>0.92083333333333339</v>
      </c>
      <c r="W59" s="71">
        <v>0.35138888888888892</v>
      </c>
      <c r="X59" s="71">
        <v>0.94305555555555554</v>
      </c>
      <c r="Y59" s="71">
        <v>0.3520833333333333</v>
      </c>
      <c r="Z59" s="71">
        <v>0.89444444444444438</v>
      </c>
      <c r="AA59" s="107" t="s">
        <v>15</v>
      </c>
      <c r="AB59" s="125" t="s">
        <v>15</v>
      </c>
      <c r="AC59" s="71">
        <v>0.34861111111111115</v>
      </c>
      <c r="AD59" s="71">
        <v>0.9194444444444444</v>
      </c>
      <c r="AE59" s="71">
        <v>0.34375</v>
      </c>
      <c r="AF59" s="71">
        <v>0.97291666666666676</v>
      </c>
      <c r="AG59" s="71">
        <v>0.34791666666666665</v>
      </c>
      <c r="AH59" s="71">
        <v>0.9277777777777777</v>
      </c>
      <c r="AI59" s="143"/>
      <c r="AJ59" s="47">
        <v>42</v>
      </c>
      <c r="AK59" s="71">
        <v>0.34375</v>
      </c>
      <c r="AL59" s="71">
        <v>0.90416666666666667</v>
      </c>
      <c r="AM59" s="71">
        <v>0.34791666666666665</v>
      </c>
      <c r="AN59" s="71">
        <v>0.89861111111111114</v>
      </c>
      <c r="AO59" s="71">
        <v>0.34722222222222227</v>
      </c>
      <c r="AP59" s="76">
        <v>1</v>
      </c>
      <c r="AQ59" s="123">
        <v>0.56736111111111109</v>
      </c>
      <c r="AR59" s="123">
        <v>0.91180555555555554</v>
      </c>
      <c r="AS59" s="84" t="s">
        <v>23</v>
      </c>
      <c r="AT59" s="71" t="s">
        <v>23</v>
      </c>
      <c r="AU59" s="71">
        <v>0.34513888888888888</v>
      </c>
      <c r="AV59" s="71">
        <v>0.89930555555555547</v>
      </c>
      <c r="AW59" s="71">
        <v>0.34513888888888888</v>
      </c>
      <c r="AX59" s="71">
        <v>0.8965277777777777</v>
      </c>
      <c r="AY59" s="71">
        <v>0.34861111111111115</v>
      </c>
      <c r="AZ59" s="71">
        <v>0.8979166666666667</v>
      </c>
      <c r="BA59" s="71">
        <v>0.34166666666666662</v>
      </c>
      <c r="BB59" s="71">
        <v>0.91111111111111109</v>
      </c>
      <c r="BC59" s="71">
        <v>0.34791666666666665</v>
      </c>
      <c r="BD59" s="71">
        <v>0.90347222222222223</v>
      </c>
      <c r="BE59" s="107" t="s">
        <v>15</v>
      </c>
      <c r="BF59" s="107" t="s">
        <v>15</v>
      </c>
      <c r="BG59" s="71">
        <v>0.34722222222222227</v>
      </c>
      <c r="BH59" s="71">
        <v>0.92222222222222217</v>
      </c>
      <c r="BI59" s="71">
        <v>0.3444444444444445</v>
      </c>
      <c r="BJ59" s="71">
        <v>0.9243055555555556</v>
      </c>
      <c r="BK59" s="71">
        <v>0.34930555555555554</v>
      </c>
      <c r="BL59" s="71">
        <v>0.9159722222222223</v>
      </c>
      <c r="BM59" s="71">
        <v>0.34722222222222227</v>
      </c>
      <c r="BN59" s="71">
        <v>0.90069444444444446</v>
      </c>
      <c r="BO59" s="122">
        <f t="shared" si="15"/>
        <v>29</v>
      </c>
      <c r="BP59" s="75">
        <v>2</v>
      </c>
      <c r="BQ59" s="2">
        <f t="shared" si="17"/>
        <v>27</v>
      </c>
      <c r="BR59" s="3">
        <f t="shared" si="18"/>
        <v>2</v>
      </c>
      <c r="BS59" s="3">
        <f t="shared" si="19"/>
        <v>0</v>
      </c>
      <c r="BT59" s="3">
        <f t="shared" si="20"/>
        <v>0</v>
      </c>
      <c r="BU59" s="3">
        <f t="shared" si="21"/>
        <v>0</v>
      </c>
      <c r="BV59" s="3">
        <f t="shared" si="22"/>
        <v>0</v>
      </c>
      <c r="BW59" s="3">
        <f t="shared" si="23"/>
        <v>0</v>
      </c>
      <c r="BX59" s="3">
        <f t="shared" si="24"/>
        <v>0</v>
      </c>
      <c r="BY59" s="3">
        <f t="shared" si="25"/>
        <v>0</v>
      </c>
      <c r="BZ59" s="3">
        <f t="shared" si="26"/>
        <v>1</v>
      </c>
      <c r="CA59" s="3">
        <f t="shared" si="27"/>
        <v>0</v>
      </c>
      <c r="CB59" s="3">
        <f t="shared" si="28"/>
        <v>0</v>
      </c>
      <c r="CC59" s="4"/>
      <c r="CE59" s="153">
        <v>0</v>
      </c>
      <c r="CF59" s="154">
        <v>0</v>
      </c>
      <c r="CG59" s="154">
        <v>0</v>
      </c>
      <c r="CH59" s="154">
        <v>0</v>
      </c>
      <c r="CI59" s="154">
        <v>0</v>
      </c>
      <c r="CJ59" s="153">
        <v>6</v>
      </c>
      <c r="CK59" s="153">
        <v>1</v>
      </c>
      <c r="CL59" s="153">
        <v>1</v>
      </c>
      <c r="CM59" s="154">
        <v>0</v>
      </c>
      <c r="CN59" s="154">
        <v>0</v>
      </c>
      <c r="CO59" s="156">
        <f t="shared" si="16"/>
        <v>8</v>
      </c>
    </row>
    <row r="60" spans="1:93" ht="21.75" customHeight="1" x14ac:dyDescent="0.25">
      <c r="A60" s="47">
        <v>43</v>
      </c>
      <c r="B60" s="13" t="s">
        <v>121</v>
      </c>
      <c r="C60" s="88" t="s">
        <v>122</v>
      </c>
      <c r="D60" s="100">
        <v>45382</v>
      </c>
      <c r="E60" s="71">
        <v>0.34722222222222227</v>
      </c>
      <c r="F60" s="71">
        <v>0.95416666666666661</v>
      </c>
      <c r="G60" s="71">
        <v>0.34513888888888888</v>
      </c>
      <c r="H60" s="71">
        <v>0.9472222222222223</v>
      </c>
      <c r="I60" s="71">
        <v>0.33749999999999997</v>
      </c>
      <c r="J60" s="71">
        <v>0.95833333333333337</v>
      </c>
      <c r="K60" s="71">
        <v>0.34166666666666662</v>
      </c>
      <c r="L60" s="71">
        <v>0.97569444444444453</v>
      </c>
      <c r="M60" s="123">
        <v>0.57361111111111118</v>
      </c>
      <c r="N60" s="127">
        <v>0.94097222222222221</v>
      </c>
      <c r="O60" s="71">
        <v>0.34930555555555554</v>
      </c>
      <c r="P60" s="71">
        <v>0.9604166666666667</v>
      </c>
      <c r="Q60" s="71">
        <v>0.3444444444444445</v>
      </c>
      <c r="R60" s="71">
        <v>0.9458333333333333</v>
      </c>
      <c r="S60" s="71">
        <v>0.34583333333333338</v>
      </c>
      <c r="T60" s="71">
        <v>0.93888888888888899</v>
      </c>
      <c r="U60" s="71">
        <v>0.34791666666666665</v>
      </c>
      <c r="V60" s="71">
        <v>0.94374999999999998</v>
      </c>
      <c r="W60" s="71">
        <v>0.3430555555555555</v>
      </c>
      <c r="X60" s="71">
        <v>0.94097222222222221</v>
      </c>
      <c r="Y60" s="71">
        <v>0.33611111111111108</v>
      </c>
      <c r="Z60" s="71">
        <v>0.95208333333333339</v>
      </c>
      <c r="AA60" s="107" t="s">
        <v>15</v>
      </c>
      <c r="AB60" s="125" t="s">
        <v>15</v>
      </c>
      <c r="AC60" s="71">
        <v>0.34861111111111115</v>
      </c>
      <c r="AD60" s="71">
        <v>0.34861111111111115</v>
      </c>
      <c r="AE60" s="71">
        <v>0.3430555555555555</v>
      </c>
      <c r="AF60" s="71">
        <v>0.94861111111111107</v>
      </c>
      <c r="AG60" s="71">
        <v>0.34583333333333338</v>
      </c>
      <c r="AH60" s="71">
        <v>0.96180555555555547</v>
      </c>
      <c r="AI60" s="143"/>
      <c r="AJ60" s="47">
        <v>43</v>
      </c>
      <c r="AK60" s="71">
        <v>0.34722222222222227</v>
      </c>
      <c r="AL60" s="71">
        <v>0.9375</v>
      </c>
      <c r="AM60" s="71">
        <v>0.34097222222222223</v>
      </c>
      <c r="AN60" s="71">
        <v>0.9604166666666667</v>
      </c>
      <c r="AO60" s="71">
        <v>0.34791666666666665</v>
      </c>
      <c r="AP60" s="71">
        <v>0.97986111111111107</v>
      </c>
      <c r="AQ60" s="123">
        <v>0.57430555555555551</v>
      </c>
      <c r="AR60" s="123">
        <v>0.94236111111111109</v>
      </c>
      <c r="AS60" s="71">
        <v>0.34166666666666662</v>
      </c>
      <c r="AT60" s="71">
        <v>0.94166666666666676</v>
      </c>
      <c r="AU60" s="71">
        <v>0.34513888888888888</v>
      </c>
      <c r="AV60" s="71">
        <v>0.94861111111111107</v>
      </c>
      <c r="AW60" s="71">
        <v>0.34236111111111112</v>
      </c>
      <c r="AX60" s="71">
        <v>0.94930555555555562</v>
      </c>
      <c r="AY60" s="71">
        <v>0.34236111111111112</v>
      </c>
      <c r="AZ60" s="71">
        <v>0.94236111111111109</v>
      </c>
      <c r="BA60" s="71">
        <v>0.34375</v>
      </c>
      <c r="BB60" s="71">
        <v>0.93888888888888899</v>
      </c>
      <c r="BC60" s="71">
        <v>0.34513888888888888</v>
      </c>
      <c r="BD60" s="71">
        <v>0.96527777777777779</v>
      </c>
      <c r="BE60" s="107" t="s">
        <v>15</v>
      </c>
      <c r="BF60" s="107" t="s">
        <v>15</v>
      </c>
      <c r="BG60" s="71">
        <v>0.3430555555555555</v>
      </c>
      <c r="BH60" s="71">
        <v>0.9472222222222223</v>
      </c>
      <c r="BI60" s="71">
        <v>0.34652777777777777</v>
      </c>
      <c r="BJ60" s="71">
        <v>0.98333333333333339</v>
      </c>
      <c r="BK60" s="71">
        <v>0.34513888888888888</v>
      </c>
      <c r="BL60" s="71">
        <v>0.95763888888888893</v>
      </c>
      <c r="BM60" s="71">
        <v>0.34861111111111115</v>
      </c>
      <c r="BN60" s="71">
        <v>0.97638888888888886</v>
      </c>
      <c r="BO60" s="122">
        <f t="shared" si="15"/>
        <v>30</v>
      </c>
      <c r="BP60" s="75">
        <v>2</v>
      </c>
      <c r="BQ60" s="2">
        <f t="shared" si="17"/>
        <v>28</v>
      </c>
      <c r="BR60" s="3">
        <f t="shared" si="18"/>
        <v>2</v>
      </c>
      <c r="BS60" s="3">
        <f t="shared" si="19"/>
        <v>0</v>
      </c>
      <c r="BT60" s="3">
        <f t="shared" si="20"/>
        <v>0</v>
      </c>
      <c r="BU60" s="3">
        <f t="shared" si="21"/>
        <v>0</v>
      </c>
      <c r="BV60" s="3">
        <f t="shared" si="22"/>
        <v>0</v>
      </c>
      <c r="BW60" s="3">
        <f t="shared" si="23"/>
        <v>0</v>
      </c>
      <c r="BX60" s="3">
        <f t="shared" si="24"/>
        <v>0</v>
      </c>
      <c r="BY60" s="3">
        <f t="shared" si="25"/>
        <v>0</v>
      </c>
      <c r="BZ60" s="3">
        <f t="shared" si="26"/>
        <v>0</v>
      </c>
      <c r="CA60" s="3">
        <f t="shared" si="27"/>
        <v>0</v>
      </c>
      <c r="CB60" s="3">
        <f t="shared" si="28"/>
        <v>0</v>
      </c>
      <c r="CC60" s="4"/>
      <c r="CE60" s="57">
        <v>0</v>
      </c>
      <c r="CF60" s="56">
        <v>0</v>
      </c>
      <c r="CG60" s="56">
        <v>0</v>
      </c>
      <c r="CH60" s="56">
        <v>0</v>
      </c>
      <c r="CI60" s="56">
        <v>0</v>
      </c>
      <c r="CJ60" s="57">
        <v>11</v>
      </c>
      <c r="CK60" s="56">
        <v>0</v>
      </c>
      <c r="CL60" s="56">
        <v>0</v>
      </c>
      <c r="CM60" s="56">
        <v>0</v>
      </c>
      <c r="CN60" s="56">
        <v>0</v>
      </c>
      <c r="CO60" s="157">
        <f t="shared" si="16"/>
        <v>11</v>
      </c>
    </row>
    <row r="61" spans="1:93" ht="21.75" customHeight="1" x14ac:dyDescent="0.25">
      <c r="A61" s="47">
        <v>44</v>
      </c>
      <c r="B61" s="13" t="s">
        <v>123</v>
      </c>
      <c r="C61" s="88" t="s">
        <v>124</v>
      </c>
      <c r="D61" s="100">
        <v>45401</v>
      </c>
      <c r="E61" s="71">
        <v>0.3527777777777778</v>
      </c>
      <c r="F61" s="76">
        <v>1</v>
      </c>
      <c r="G61" s="71">
        <v>0.35486111111111113</v>
      </c>
      <c r="H61" s="71">
        <v>0.94861111111111107</v>
      </c>
      <c r="I61" s="71">
        <v>0.35138888888888892</v>
      </c>
      <c r="J61" s="71">
        <v>0.9916666666666667</v>
      </c>
      <c r="K61" s="71">
        <v>0.3527777777777778</v>
      </c>
      <c r="L61" s="71">
        <v>0.97430555555555554</v>
      </c>
      <c r="M61" s="107" t="s">
        <v>15</v>
      </c>
      <c r="N61" s="125" t="s">
        <v>15</v>
      </c>
      <c r="O61" s="71">
        <v>0.35416666666666669</v>
      </c>
      <c r="P61" s="71">
        <v>0.96180555555555547</v>
      </c>
      <c r="Q61" s="71">
        <v>0.35347222222222219</v>
      </c>
      <c r="R61" s="71">
        <v>0.97361111111111109</v>
      </c>
      <c r="S61" s="71">
        <v>0.35347222222222219</v>
      </c>
      <c r="T61" s="71">
        <v>0.93333333333333324</v>
      </c>
      <c r="U61" s="71">
        <v>0.3527777777777778</v>
      </c>
      <c r="V61" s="71">
        <v>0.9472222222222223</v>
      </c>
      <c r="W61" s="71">
        <v>0.35347222222222219</v>
      </c>
      <c r="X61" s="71">
        <v>0.93263888888888891</v>
      </c>
      <c r="Y61" s="71">
        <v>0.35347222222222219</v>
      </c>
      <c r="Z61" s="71">
        <v>0.9506944444444444</v>
      </c>
      <c r="AA61" s="123">
        <v>0.58194444444444449</v>
      </c>
      <c r="AB61" s="123">
        <v>0.9291666666666667</v>
      </c>
      <c r="AC61" s="71">
        <v>0.3527777777777778</v>
      </c>
      <c r="AD61" s="71">
        <v>0.95833333333333337</v>
      </c>
      <c r="AE61" s="71">
        <v>0.35347222222222219</v>
      </c>
      <c r="AF61" s="71">
        <v>9.7222222222222224E-3</v>
      </c>
      <c r="AG61" s="71">
        <v>0.36388888888888887</v>
      </c>
      <c r="AH61" s="76">
        <v>1</v>
      </c>
      <c r="AI61" s="135"/>
      <c r="AJ61" s="47">
        <v>44</v>
      </c>
      <c r="AK61" s="71">
        <v>0.3520833333333333</v>
      </c>
      <c r="AL61" s="71">
        <v>0.93402777777777779</v>
      </c>
      <c r="AM61" s="71">
        <v>0.35416666666666669</v>
      </c>
      <c r="AN61" s="71">
        <v>0.98402777777777783</v>
      </c>
      <c r="AO61" s="71">
        <v>0.35347222222222219</v>
      </c>
      <c r="AP61" s="71">
        <v>1.2499999999999999E-2</v>
      </c>
      <c r="AQ61" s="107" t="s">
        <v>15</v>
      </c>
      <c r="AR61" s="125" t="s">
        <v>15</v>
      </c>
      <c r="AS61" s="71">
        <v>0.35347222222222219</v>
      </c>
      <c r="AT61" s="71">
        <v>0.93402777777777779</v>
      </c>
      <c r="AU61" s="71">
        <v>0.35416666666666669</v>
      </c>
      <c r="AV61" s="71">
        <v>0.97291666666666676</v>
      </c>
      <c r="AW61" s="71">
        <v>0.35486111111111113</v>
      </c>
      <c r="AX61" s="71">
        <v>0.94930555555555562</v>
      </c>
      <c r="AY61" s="71">
        <v>0.3527777777777778</v>
      </c>
      <c r="AZ61" s="71">
        <v>0.95833333333333337</v>
      </c>
      <c r="BA61" s="71">
        <v>0.35416666666666669</v>
      </c>
      <c r="BB61" s="71">
        <v>0.93402777777777779</v>
      </c>
      <c r="BC61" s="71">
        <v>0.3520833333333333</v>
      </c>
      <c r="BD61" s="71">
        <v>0.97916666666666663</v>
      </c>
      <c r="BE61" s="123">
        <v>0.58124999999999993</v>
      </c>
      <c r="BF61" s="123">
        <v>0.92708333333333337</v>
      </c>
      <c r="BG61" s="71">
        <v>0.35416666666666669</v>
      </c>
      <c r="BH61" s="71">
        <v>0.95416666666666661</v>
      </c>
      <c r="BI61" s="71">
        <v>0.35416666666666669</v>
      </c>
      <c r="BJ61" s="71">
        <v>0.99236111111111114</v>
      </c>
      <c r="BK61" s="71">
        <v>0.35347222222222219</v>
      </c>
      <c r="BL61" s="71">
        <v>0.95763888888888893</v>
      </c>
      <c r="BM61" s="71">
        <v>0.35347222222222219</v>
      </c>
      <c r="BN61" s="71">
        <v>0.98125000000000007</v>
      </c>
      <c r="BO61" s="122">
        <f t="shared" si="15"/>
        <v>30</v>
      </c>
      <c r="BP61" s="75">
        <v>2</v>
      </c>
      <c r="BQ61" s="2">
        <f t="shared" si="17"/>
        <v>28</v>
      </c>
      <c r="BR61" s="3">
        <f t="shared" si="18"/>
        <v>2</v>
      </c>
      <c r="BS61" s="3">
        <f t="shared" si="19"/>
        <v>0</v>
      </c>
      <c r="BT61" s="3">
        <f t="shared" si="20"/>
        <v>0</v>
      </c>
      <c r="BU61" s="3">
        <f t="shared" si="21"/>
        <v>0</v>
      </c>
      <c r="BV61" s="3">
        <f t="shared" si="22"/>
        <v>0</v>
      </c>
      <c r="BW61" s="3">
        <f t="shared" si="23"/>
        <v>0</v>
      </c>
      <c r="BX61" s="3">
        <f t="shared" si="24"/>
        <v>0</v>
      </c>
      <c r="BY61" s="3">
        <f t="shared" si="25"/>
        <v>0</v>
      </c>
      <c r="BZ61" s="3">
        <f t="shared" si="26"/>
        <v>0</v>
      </c>
      <c r="CA61" s="3">
        <f t="shared" si="27"/>
        <v>0</v>
      </c>
      <c r="CB61" s="3">
        <f t="shared" si="28"/>
        <v>0</v>
      </c>
      <c r="CC61" s="4"/>
      <c r="CE61" s="153">
        <v>0</v>
      </c>
      <c r="CF61" s="154">
        <v>0</v>
      </c>
      <c r="CG61" s="154">
        <v>0</v>
      </c>
      <c r="CH61" s="154">
        <v>0</v>
      </c>
      <c r="CI61" s="154">
        <v>0</v>
      </c>
      <c r="CJ61" s="153">
        <v>1</v>
      </c>
      <c r="CK61" s="153">
        <v>1</v>
      </c>
      <c r="CL61" s="154">
        <v>0</v>
      </c>
      <c r="CM61" s="154">
        <v>0</v>
      </c>
      <c r="CN61" s="154">
        <v>0</v>
      </c>
      <c r="CO61" s="156">
        <f t="shared" si="16"/>
        <v>2</v>
      </c>
    </row>
    <row r="62" spans="1:93" ht="21.75" customHeight="1" x14ac:dyDescent="0.25">
      <c r="A62" s="47">
        <v>45</v>
      </c>
      <c r="B62" s="13" t="s">
        <v>125</v>
      </c>
      <c r="C62" s="88" t="s">
        <v>126</v>
      </c>
      <c r="D62" s="100">
        <v>45401</v>
      </c>
      <c r="E62" s="82" t="s">
        <v>181</v>
      </c>
      <c r="F62" s="82" t="s">
        <v>181</v>
      </c>
      <c r="G62" s="71">
        <v>0.35555555555555557</v>
      </c>
      <c r="H62" s="71">
        <v>0.96250000000000002</v>
      </c>
      <c r="I62" s="71">
        <v>0.35069444444444442</v>
      </c>
      <c r="J62" s="71">
        <v>0.92708333333333337</v>
      </c>
      <c r="K62" s="71">
        <v>0.35069444444444442</v>
      </c>
      <c r="L62" s="71">
        <v>0.96111111111111114</v>
      </c>
      <c r="M62" s="107" t="s">
        <v>15</v>
      </c>
      <c r="N62" s="125" t="s">
        <v>15</v>
      </c>
      <c r="O62" s="71">
        <v>0.35138888888888892</v>
      </c>
      <c r="P62" s="71">
        <v>0.95833333333333337</v>
      </c>
      <c r="Q62" s="71">
        <v>0.35069444444444442</v>
      </c>
      <c r="R62" s="71">
        <v>0.9375</v>
      </c>
      <c r="S62" s="71">
        <v>0.3520833333333333</v>
      </c>
      <c r="T62" s="71">
        <v>0.92708333333333337</v>
      </c>
      <c r="U62" s="71">
        <v>0.35138888888888892</v>
      </c>
      <c r="V62" s="71">
        <v>0.95000000000000007</v>
      </c>
      <c r="W62" s="71">
        <v>0.35069444444444442</v>
      </c>
      <c r="X62" s="71">
        <v>0.9375</v>
      </c>
      <c r="Y62" s="71">
        <v>0.35000000000000003</v>
      </c>
      <c r="Z62" s="71">
        <v>0.9506944444444444</v>
      </c>
      <c r="AA62" s="123">
        <v>0.58263888888888882</v>
      </c>
      <c r="AB62" s="123">
        <v>0.91041666666666676</v>
      </c>
      <c r="AC62" s="71">
        <v>0.3527777777777778</v>
      </c>
      <c r="AD62" s="71">
        <v>0.9375</v>
      </c>
      <c r="AE62" s="71">
        <v>0.3520833333333333</v>
      </c>
      <c r="AF62" s="71">
        <v>0.95486111111111116</v>
      </c>
      <c r="AG62" s="71">
        <v>0.34930555555555554</v>
      </c>
      <c r="AH62" s="71">
        <v>0.92361111111111116</v>
      </c>
      <c r="AI62" s="143"/>
      <c r="AJ62" s="47">
        <v>45</v>
      </c>
      <c r="AK62" s="71">
        <v>0.34930555555555554</v>
      </c>
      <c r="AL62" s="71">
        <v>0.9194444444444444</v>
      </c>
      <c r="AM62" s="71">
        <v>0.35416666666666669</v>
      </c>
      <c r="AN62" s="71">
        <v>0.91666666666666663</v>
      </c>
      <c r="AO62" s="71">
        <v>0.34652777777777777</v>
      </c>
      <c r="AP62" s="71">
        <v>0.95000000000000007</v>
      </c>
      <c r="AQ62" s="107" t="s">
        <v>15</v>
      </c>
      <c r="AR62" s="125" t="s">
        <v>15</v>
      </c>
      <c r="AS62" s="71">
        <v>0.35069444444444442</v>
      </c>
      <c r="AT62" s="71">
        <v>0.93055555555555547</v>
      </c>
      <c r="AU62" s="71">
        <v>0.3520833333333333</v>
      </c>
      <c r="AV62" s="71">
        <v>0.92222222222222217</v>
      </c>
      <c r="AW62" s="71">
        <v>0.34722222222222227</v>
      </c>
      <c r="AX62" s="71">
        <v>0.91041666666666676</v>
      </c>
      <c r="AY62" s="71">
        <v>0.35138888888888892</v>
      </c>
      <c r="AZ62" s="71">
        <v>0.92152777777777783</v>
      </c>
      <c r="BA62" s="71">
        <v>0.3520833333333333</v>
      </c>
      <c r="BB62" s="71">
        <v>0.92361111111111116</v>
      </c>
      <c r="BC62" s="71">
        <v>0.34930555555555554</v>
      </c>
      <c r="BD62" s="71">
        <v>0.9375</v>
      </c>
      <c r="BE62" s="123">
        <v>0.57847222222222217</v>
      </c>
      <c r="BF62" s="123">
        <v>0.9291666666666667</v>
      </c>
      <c r="BG62" s="71">
        <v>0.35416666666666669</v>
      </c>
      <c r="BH62" s="71">
        <v>0.94861111111111107</v>
      </c>
      <c r="BI62" s="71">
        <v>0.3444444444444445</v>
      </c>
      <c r="BJ62" s="71">
        <v>0.93055555555555547</v>
      </c>
      <c r="BK62" s="71">
        <v>0.34791666666666665</v>
      </c>
      <c r="BL62" s="71">
        <v>0.95277777777777783</v>
      </c>
      <c r="BM62" s="71">
        <v>0.35000000000000003</v>
      </c>
      <c r="BN62" s="71">
        <v>0.92152777777777783</v>
      </c>
      <c r="BO62" s="122">
        <f t="shared" si="15"/>
        <v>30</v>
      </c>
      <c r="BP62" s="75">
        <v>2</v>
      </c>
      <c r="BQ62" s="2">
        <f t="shared" si="17"/>
        <v>27</v>
      </c>
      <c r="BR62" s="3">
        <f t="shared" si="18"/>
        <v>2</v>
      </c>
      <c r="BS62" s="3">
        <f t="shared" si="19"/>
        <v>0</v>
      </c>
      <c r="BT62" s="3">
        <f t="shared" si="20"/>
        <v>0</v>
      </c>
      <c r="BU62" s="3">
        <f t="shared" si="21"/>
        <v>0</v>
      </c>
      <c r="BV62" s="3">
        <f t="shared" si="22"/>
        <v>0</v>
      </c>
      <c r="BW62" s="3">
        <f t="shared" si="23"/>
        <v>0</v>
      </c>
      <c r="BX62" s="3">
        <f t="shared" si="24"/>
        <v>1</v>
      </c>
      <c r="BY62" s="3">
        <f t="shared" si="25"/>
        <v>0</v>
      </c>
      <c r="BZ62" s="3">
        <f t="shared" si="26"/>
        <v>0</v>
      </c>
      <c r="CA62" s="3">
        <f t="shared" si="27"/>
        <v>0</v>
      </c>
      <c r="CB62" s="3">
        <f t="shared" si="28"/>
        <v>0</v>
      </c>
      <c r="CC62" s="4"/>
      <c r="CE62" s="57">
        <v>0</v>
      </c>
      <c r="CF62" s="56">
        <v>0</v>
      </c>
      <c r="CG62" s="56">
        <v>0</v>
      </c>
      <c r="CH62" s="56">
        <v>0</v>
      </c>
      <c r="CI62" s="56">
        <v>0</v>
      </c>
      <c r="CJ62" s="57">
        <v>2</v>
      </c>
      <c r="CK62" s="56">
        <v>0</v>
      </c>
      <c r="CL62" s="56">
        <v>0</v>
      </c>
      <c r="CM62" s="56">
        <v>0</v>
      </c>
      <c r="CN62" s="56">
        <v>0</v>
      </c>
      <c r="CO62" s="157">
        <f t="shared" si="16"/>
        <v>2</v>
      </c>
    </row>
    <row r="63" spans="1:93" ht="21.75" customHeight="1" x14ac:dyDescent="0.25">
      <c r="A63" s="47">
        <v>46</v>
      </c>
      <c r="B63" s="13" t="s">
        <v>128</v>
      </c>
      <c r="C63" s="88" t="s">
        <v>189</v>
      </c>
      <c r="D63" s="100">
        <v>45447</v>
      </c>
      <c r="E63" s="71">
        <v>0.35000000000000003</v>
      </c>
      <c r="F63" s="71">
        <v>0.92291666666666661</v>
      </c>
      <c r="G63" s="71">
        <v>0.34513888888888888</v>
      </c>
      <c r="H63" s="71">
        <v>0.95347222222222217</v>
      </c>
      <c r="I63" s="71">
        <v>0.34791666666666665</v>
      </c>
      <c r="J63" s="71">
        <v>0.92152777777777783</v>
      </c>
      <c r="K63" s="71">
        <v>0.34513888888888888</v>
      </c>
      <c r="L63" s="71">
        <v>0.94513888888888886</v>
      </c>
      <c r="M63" s="123">
        <v>0.5756944444444444</v>
      </c>
      <c r="N63" s="127">
        <v>0.87986111111111109</v>
      </c>
      <c r="O63" s="71">
        <v>0.34236111111111112</v>
      </c>
      <c r="P63" s="71">
        <v>0.94097222222222221</v>
      </c>
      <c r="Q63" s="71">
        <v>0.34652777777777777</v>
      </c>
      <c r="R63" s="71">
        <v>0.91041666666666676</v>
      </c>
      <c r="S63" s="71">
        <v>0.34652777777777777</v>
      </c>
      <c r="T63" s="71">
        <v>0.90208333333333324</v>
      </c>
      <c r="U63" s="71">
        <v>0.34236111111111112</v>
      </c>
      <c r="V63" s="71">
        <v>0.91319444444444453</v>
      </c>
      <c r="W63" s="71">
        <v>0.34791666666666665</v>
      </c>
      <c r="X63" s="71">
        <v>0.90694444444444444</v>
      </c>
      <c r="Y63" s="71">
        <v>0.34861111111111115</v>
      </c>
      <c r="Z63" s="71">
        <v>0.92708333333333337</v>
      </c>
      <c r="AA63" s="107" t="s">
        <v>15</v>
      </c>
      <c r="AB63" s="125" t="s">
        <v>15</v>
      </c>
      <c r="AC63" s="71">
        <v>0.34652777777777777</v>
      </c>
      <c r="AD63" s="71">
        <v>0.91805555555555562</v>
      </c>
      <c r="AE63" s="71">
        <v>0.35000000000000003</v>
      </c>
      <c r="AF63" s="71">
        <v>0.92847222222222225</v>
      </c>
      <c r="AG63" s="71">
        <v>0.35347222222222219</v>
      </c>
      <c r="AH63" s="71">
        <v>0.90625</v>
      </c>
      <c r="AI63" s="143"/>
      <c r="AJ63" s="47">
        <v>46</v>
      </c>
      <c r="AK63" s="71">
        <v>0.34930555555555554</v>
      </c>
      <c r="AL63" s="71">
        <v>0.8979166666666667</v>
      </c>
      <c r="AM63" s="71">
        <v>0.34722222222222227</v>
      </c>
      <c r="AN63" s="71">
        <v>0.91111111111111109</v>
      </c>
      <c r="AO63" s="71">
        <v>0.34930555555555554</v>
      </c>
      <c r="AP63" s="71">
        <v>0.92569444444444438</v>
      </c>
      <c r="AQ63" s="123">
        <v>0.57361111111111118</v>
      </c>
      <c r="AR63" s="123">
        <v>0.8833333333333333</v>
      </c>
      <c r="AS63" s="71">
        <v>0.34861111111111115</v>
      </c>
      <c r="AT63" s="71">
        <v>0.9194444444444444</v>
      </c>
      <c r="AU63" s="71">
        <v>0.34513888888888888</v>
      </c>
      <c r="AV63" s="71">
        <v>0.89513888888888893</v>
      </c>
      <c r="AW63" s="71">
        <v>0.34652777777777777</v>
      </c>
      <c r="AX63" s="71">
        <v>0.8930555555555556</v>
      </c>
      <c r="AY63" s="71">
        <v>0.34791666666666665</v>
      </c>
      <c r="AZ63" s="71">
        <v>0.90902777777777777</v>
      </c>
      <c r="BA63" s="71">
        <v>0.35000000000000003</v>
      </c>
      <c r="BB63" s="71">
        <v>0.8979166666666667</v>
      </c>
      <c r="BC63" s="71">
        <v>0.3430555555555555</v>
      </c>
      <c r="BD63" s="71">
        <v>0.92361111111111116</v>
      </c>
      <c r="BE63" s="107" t="s">
        <v>15</v>
      </c>
      <c r="BF63" s="107" t="s">
        <v>15</v>
      </c>
      <c r="BG63" s="71">
        <v>0.34375</v>
      </c>
      <c r="BH63" s="71">
        <v>0.93611111111111101</v>
      </c>
      <c r="BI63" s="71">
        <v>0.34236111111111112</v>
      </c>
      <c r="BJ63" s="71">
        <v>0.90486111111111101</v>
      </c>
      <c r="BK63" s="71">
        <v>0.34375</v>
      </c>
      <c r="BL63" s="71">
        <v>0.90694444444444444</v>
      </c>
      <c r="BM63" s="71">
        <v>0.34097222222222223</v>
      </c>
      <c r="BN63" s="71">
        <v>0.91805555555555562</v>
      </c>
      <c r="BO63" s="122">
        <f t="shared" si="15"/>
        <v>30</v>
      </c>
      <c r="BP63" s="75">
        <v>2</v>
      </c>
      <c r="BQ63" s="2">
        <f t="shared" si="17"/>
        <v>28</v>
      </c>
      <c r="BR63" s="3">
        <f t="shared" si="18"/>
        <v>2</v>
      </c>
      <c r="BS63" s="3">
        <f t="shared" si="19"/>
        <v>0</v>
      </c>
      <c r="BT63" s="3">
        <f t="shared" si="20"/>
        <v>0</v>
      </c>
      <c r="BU63" s="3">
        <f t="shared" si="21"/>
        <v>0</v>
      </c>
      <c r="BV63" s="3">
        <f t="shared" si="22"/>
        <v>0</v>
      </c>
      <c r="BW63" s="3">
        <f t="shared" si="23"/>
        <v>0</v>
      </c>
      <c r="BX63" s="3">
        <f t="shared" si="24"/>
        <v>0</v>
      </c>
      <c r="BY63" s="3">
        <f t="shared" si="25"/>
        <v>0</v>
      </c>
      <c r="BZ63" s="3">
        <f t="shared" si="26"/>
        <v>0</v>
      </c>
      <c r="CA63" s="3">
        <f t="shared" si="27"/>
        <v>0</v>
      </c>
      <c r="CB63" s="3">
        <f t="shared" si="28"/>
        <v>0</v>
      </c>
      <c r="CC63" s="4"/>
      <c r="CE63" s="153">
        <v>0</v>
      </c>
      <c r="CF63" s="154">
        <v>0</v>
      </c>
      <c r="CG63" s="154">
        <v>0</v>
      </c>
      <c r="CH63" s="154">
        <v>0</v>
      </c>
      <c r="CI63" s="154">
        <v>0</v>
      </c>
      <c r="CJ63" s="153">
        <v>1</v>
      </c>
      <c r="CK63" s="154">
        <v>0</v>
      </c>
      <c r="CL63" s="154">
        <v>0</v>
      </c>
      <c r="CM63" s="154">
        <v>0</v>
      </c>
      <c r="CN63" s="154">
        <v>0</v>
      </c>
      <c r="CO63" s="156">
        <f t="shared" si="16"/>
        <v>1</v>
      </c>
    </row>
    <row r="64" spans="1:93" ht="21.75" customHeight="1" x14ac:dyDescent="0.25">
      <c r="A64" s="47">
        <v>47</v>
      </c>
      <c r="B64" s="13" t="s">
        <v>129</v>
      </c>
      <c r="C64" s="88" t="s">
        <v>190</v>
      </c>
      <c r="D64" s="100">
        <v>45467</v>
      </c>
      <c r="E64" s="71">
        <v>0.35555555555555557</v>
      </c>
      <c r="F64" s="76">
        <v>1</v>
      </c>
      <c r="G64" s="71">
        <v>0.35555555555555557</v>
      </c>
      <c r="H64" s="76">
        <v>1</v>
      </c>
      <c r="I64" s="71">
        <v>0.35555555555555557</v>
      </c>
      <c r="J64" s="71">
        <v>0.95347222222222217</v>
      </c>
      <c r="K64" s="71">
        <v>0.35555555555555557</v>
      </c>
      <c r="L64" s="71">
        <v>0.35555555555555557</v>
      </c>
      <c r="M64" s="107" t="s">
        <v>15</v>
      </c>
      <c r="N64" s="125" t="s">
        <v>15</v>
      </c>
      <c r="O64" s="71">
        <v>0.35625000000000001</v>
      </c>
      <c r="P64" s="76">
        <v>1</v>
      </c>
      <c r="Q64" s="71">
        <v>0.35555555555555557</v>
      </c>
      <c r="R64" s="71">
        <v>0.95833333333333337</v>
      </c>
      <c r="S64" s="71">
        <v>0.35625000000000001</v>
      </c>
      <c r="T64" s="71">
        <v>0.95277777777777783</v>
      </c>
      <c r="U64" s="71">
        <v>0.35555555555555557</v>
      </c>
      <c r="V64" s="76">
        <v>1</v>
      </c>
      <c r="W64" s="71">
        <v>0.35486111111111113</v>
      </c>
      <c r="X64" s="71">
        <v>0.9506944444444444</v>
      </c>
      <c r="Y64" s="71">
        <v>0.35486111111111113</v>
      </c>
      <c r="Z64" s="71">
        <v>0.97361111111111109</v>
      </c>
      <c r="AA64" s="123">
        <v>0.58611111111111114</v>
      </c>
      <c r="AB64" s="123">
        <v>0.94513888888888886</v>
      </c>
      <c r="AC64" s="71">
        <v>0.35555555555555557</v>
      </c>
      <c r="AD64" s="71">
        <v>0.96944444444444444</v>
      </c>
      <c r="AE64" s="71">
        <v>0.35694444444444445</v>
      </c>
      <c r="AF64" s="71">
        <v>0.95833333333333337</v>
      </c>
      <c r="AG64" s="71">
        <v>0.35555555555555557</v>
      </c>
      <c r="AH64" s="76">
        <v>1</v>
      </c>
      <c r="AI64" s="135"/>
      <c r="AJ64" s="47">
        <v>47</v>
      </c>
      <c r="AK64" s="71">
        <v>0.35902777777777778</v>
      </c>
      <c r="AL64" s="71">
        <v>0.95347222222222217</v>
      </c>
      <c r="AM64" s="71">
        <v>0.35625000000000001</v>
      </c>
      <c r="AN64" s="71">
        <v>0.95347222222222217</v>
      </c>
      <c r="AO64" s="71">
        <v>0.35625000000000001</v>
      </c>
      <c r="AP64" s="76">
        <v>1</v>
      </c>
      <c r="AQ64" s="107" t="s">
        <v>15</v>
      </c>
      <c r="AR64" s="125" t="s">
        <v>15</v>
      </c>
      <c r="AS64" s="71">
        <v>0.35625000000000001</v>
      </c>
      <c r="AT64" s="71">
        <v>0.97083333333333333</v>
      </c>
      <c r="AU64" s="71">
        <v>0.35555555555555557</v>
      </c>
      <c r="AV64" s="71">
        <v>0.94513888888888886</v>
      </c>
      <c r="AW64" s="71">
        <v>0.35555555555555557</v>
      </c>
      <c r="AX64" s="71">
        <v>0.95000000000000007</v>
      </c>
      <c r="AY64" s="71">
        <v>0.35555555555555557</v>
      </c>
      <c r="AZ64" s="71">
        <v>0.9472222222222223</v>
      </c>
      <c r="BA64" s="71">
        <v>0.35555555555555557</v>
      </c>
      <c r="BB64" s="71">
        <v>0.95347222222222217</v>
      </c>
      <c r="BC64" s="71">
        <v>0.35625000000000001</v>
      </c>
      <c r="BD64" s="71">
        <v>0.97152777777777777</v>
      </c>
      <c r="BE64" s="123">
        <v>0.58402777777777781</v>
      </c>
      <c r="BF64" s="123">
        <v>0.95000000000000007</v>
      </c>
      <c r="BG64" s="71">
        <v>0.35625000000000001</v>
      </c>
      <c r="BH64" s="71">
        <v>1.5277777777777777E-2</v>
      </c>
      <c r="BI64" s="71">
        <v>0.35902777777777778</v>
      </c>
      <c r="BJ64" s="71">
        <v>0.94930555555555562</v>
      </c>
      <c r="BK64" s="71">
        <v>0.35694444444444445</v>
      </c>
      <c r="BL64" s="71">
        <v>0.95000000000000007</v>
      </c>
      <c r="BM64" s="71">
        <v>0.35555555555555557</v>
      </c>
      <c r="BN64" s="71">
        <v>0.94861111111111107</v>
      </c>
      <c r="BO64" s="122">
        <f t="shared" si="15"/>
        <v>30</v>
      </c>
      <c r="BP64" s="75">
        <v>2</v>
      </c>
      <c r="BQ64" s="2">
        <f t="shared" si="17"/>
        <v>28</v>
      </c>
      <c r="BR64" s="3">
        <f t="shared" si="18"/>
        <v>2</v>
      </c>
      <c r="BS64" s="3">
        <f t="shared" si="19"/>
        <v>0</v>
      </c>
      <c r="BT64" s="3">
        <f t="shared" si="20"/>
        <v>0</v>
      </c>
      <c r="BU64" s="3">
        <f t="shared" si="21"/>
        <v>0</v>
      </c>
      <c r="BV64" s="3">
        <f t="shared" si="22"/>
        <v>0</v>
      </c>
      <c r="BW64" s="3">
        <f t="shared" si="23"/>
        <v>0</v>
      </c>
      <c r="BX64" s="3">
        <f t="shared" si="24"/>
        <v>0</v>
      </c>
      <c r="BY64" s="3">
        <f t="shared" si="25"/>
        <v>0</v>
      </c>
      <c r="BZ64" s="3">
        <f t="shared" si="26"/>
        <v>0</v>
      </c>
      <c r="CA64" s="3">
        <f t="shared" si="27"/>
        <v>0</v>
      </c>
      <c r="CB64" s="3">
        <f t="shared" si="28"/>
        <v>0</v>
      </c>
      <c r="CC64" s="4"/>
      <c r="CE64" s="57">
        <v>0</v>
      </c>
      <c r="CF64" s="56">
        <v>0</v>
      </c>
      <c r="CG64" s="56">
        <v>0</v>
      </c>
      <c r="CH64" s="56">
        <v>0</v>
      </c>
      <c r="CI64" s="56">
        <v>0</v>
      </c>
      <c r="CJ64" s="57">
        <v>1</v>
      </c>
      <c r="CK64" s="56">
        <v>0</v>
      </c>
      <c r="CL64" s="56">
        <v>0</v>
      </c>
      <c r="CM64" s="56">
        <v>0</v>
      </c>
      <c r="CN64" s="56">
        <v>0</v>
      </c>
      <c r="CO64" s="157">
        <f t="shared" si="16"/>
        <v>1</v>
      </c>
    </row>
    <row r="65" spans="1:93" ht="21.75" customHeight="1" x14ac:dyDescent="0.25">
      <c r="A65" s="47">
        <v>48</v>
      </c>
      <c r="B65" s="13" t="s">
        <v>130</v>
      </c>
      <c r="C65" s="88" t="s">
        <v>131</v>
      </c>
      <c r="D65" s="100">
        <v>45491</v>
      </c>
      <c r="E65" s="71">
        <v>0.35416666666666669</v>
      </c>
      <c r="F65" s="71">
        <v>0.9819444444444444</v>
      </c>
      <c r="G65" s="71">
        <v>0.3576388888888889</v>
      </c>
      <c r="H65" s="71">
        <v>0.95624999999999993</v>
      </c>
      <c r="I65" s="71">
        <v>0.35416666666666669</v>
      </c>
      <c r="J65" s="71">
        <v>0.9506944444444444</v>
      </c>
      <c r="K65" s="71">
        <v>0.35486111111111113</v>
      </c>
      <c r="L65" s="71">
        <v>0.97361111111111109</v>
      </c>
      <c r="M65" s="107" t="s">
        <v>15</v>
      </c>
      <c r="N65" s="125" t="s">
        <v>15</v>
      </c>
      <c r="O65" s="71">
        <v>0.35416666666666669</v>
      </c>
      <c r="P65" s="71">
        <v>0.96319444444444446</v>
      </c>
      <c r="Q65" s="71">
        <v>0.35486111111111113</v>
      </c>
      <c r="R65" s="71">
        <v>0.97361111111111109</v>
      </c>
      <c r="S65" s="71">
        <v>0.35416666666666669</v>
      </c>
      <c r="T65" s="71">
        <v>0.93402777777777779</v>
      </c>
      <c r="U65" s="71">
        <v>0.35486111111111113</v>
      </c>
      <c r="V65" s="71">
        <v>0.94791666666666663</v>
      </c>
      <c r="W65" s="71">
        <v>0.35486111111111113</v>
      </c>
      <c r="X65" s="71">
        <v>0.93402777777777779</v>
      </c>
      <c r="Y65" s="71">
        <v>0.35486111111111113</v>
      </c>
      <c r="Z65" s="76">
        <v>1</v>
      </c>
      <c r="AA65" s="123">
        <v>0.58263888888888882</v>
      </c>
      <c r="AB65" s="123">
        <v>0.91875000000000007</v>
      </c>
      <c r="AC65" s="71">
        <v>0.35416666666666669</v>
      </c>
      <c r="AD65" s="71">
        <v>0.9590277777777777</v>
      </c>
      <c r="AE65" s="71">
        <v>0.35416666666666669</v>
      </c>
      <c r="AF65" s="71">
        <v>9.7222222222222224E-3</v>
      </c>
      <c r="AG65" s="71">
        <v>0.35486111111111113</v>
      </c>
      <c r="AH65" s="71">
        <v>0.96180555555555547</v>
      </c>
      <c r="AI65" s="143"/>
      <c r="AJ65" s="47">
        <v>48</v>
      </c>
      <c r="AK65" s="71">
        <v>0.35486111111111113</v>
      </c>
      <c r="AL65" s="71">
        <v>0.93541666666666667</v>
      </c>
      <c r="AM65" s="71">
        <v>0.35416666666666669</v>
      </c>
      <c r="AN65" s="71">
        <v>0.98472222222222217</v>
      </c>
      <c r="AO65" s="71">
        <v>0.35416666666666669</v>
      </c>
      <c r="AP65" s="71">
        <v>0.98055555555555562</v>
      </c>
      <c r="AQ65" s="107" t="s">
        <v>15</v>
      </c>
      <c r="AR65" s="125" t="s">
        <v>15</v>
      </c>
      <c r="AS65" s="71">
        <v>0.35486111111111113</v>
      </c>
      <c r="AT65" s="71">
        <v>0.94791666666666663</v>
      </c>
      <c r="AU65" s="71">
        <v>0.35486111111111113</v>
      </c>
      <c r="AV65" s="71">
        <v>0.97430555555555554</v>
      </c>
      <c r="AW65" s="71">
        <v>0.35486111111111113</v>
      </c>
      <c r="AX65" s="71">
        <v>0.94930555555555562</v>
      </c>
      <c r="AY65" s="71">
        <v>0.35555555555555557</v>
      </c>
      <c r="AZ65" s="71">
        <v>0.95833333333333337</v>
      </c>
      <c r="BA65" s="71">
        <v>0.35416666666666669</v>
      </c>
      <c r="BB65" s="71">
        <v>0.94374999999999998</v>
      </c>
      <c r="BC65" s="71">
        <v>0.35625000000000001</v>
      </c>
      <c r="BD65" s="71">
        <v>0.97986111111111107</v>
      </c>
      <c r="BE65" s="123">
        <v>0.58194444444444449</v>
      </c>
      <c r="BF65" s="123">
        <v>0.9277777777777777</v>
      </c>
      <c r="BG65" s="71">
        <v>0.35347222222222219</v>
      </c>
      <c r="BH65" s="71">
        <v>0.93125000000000002</v>
      </c>
      <c r="BI65" s="71">
        <v>0.35486111111111113</v>
      </c>
      <c r="BJ65" s="71">
        <v>0.9916666666666667</v>
      </c>
      <c r="BK65" s="71">
        <v>0.35416666666666669</v>
      </c>
      <c r="BL65" s="71">
        <v>0.96666666666666667</v>
      </c>
      <c r="BM65" s="71">
        <v>0.35347222222222219</v>
      </c>
      <c r="BN65" s="76">
        <v>1</v>
      </c>
      <c r="BO65" s="122">
        <f t="shared" si="15"/>
        <v>30</v>
      </c>
      <c r="BP65" s="75">
        <v>2</v>
      </c>
      <c r="BQ65" s="2">
        <f t="shared" si="17"/>
        <v>28</v>
      </c>
      <c r="BR65" s="3">
        <f t="shared" si="18"/>
        <v>2</v>
      </c>
      <c r="BS65" s="3">
        <f t="shared" si="19"/>
        <v>0</v>
      </c>
      <c r="BT65" s="3">
        <f t="shared" si="20"/>
        <v>0</v>
      </c>
      <c r="BU65" s="3">
        <f t="shared" si="21"/>
        <v>0</v>
      </c>
      <c r="BV65" s="3">
        <f t="shared" si="22"/>
        <v>0</v>
      </c>
      <c r="BW65" s="3">
        <f t="shared" si="23"/>
        <v>0</v>
      </c>
      <c r="BX65" s="3">
        <f t="shared" si="24"/>
        <v>0</v>
      </c>
      <c r="BY65" s="3">
        <f t="shared" si="25"/>
        <v>0</v>
      </c>
      <c r="BZ65" s="3">
        <f t="shared" si="26"/>
        <v>0</v>
      </c>
      <c r="CA65" s="3">
        <f t="shared" si="27"/>
        <v>0</v>
      </c>
      <c r="CB65" s="3">
        <f t="shared" si="28"/>
        <v>0</v>
      </c>
      <c r="CC65" s="4"/>
      <c r="CE65" s="153">
        <v>0</v>
      </c>
      <c r="CF65" s="154">
        <v>0</v>
      </c>
      <c r="CG65" s="154">
        <v>0</v>
      </c>
      <c r="CH65" s="154">
        <v>0</v>
      </c>
      <c r="CI65" s="154">
        <v>0</v>
      </c>
      <c r="CJ65" s="153">
        <v>4</v>
      </c>
      <c r="CK65" s="154">
        <v>0</v>
      </c>
      <c r="CL65" s="153">
        <v>5</v>
      </c>
      <c r="CM65" s="154">
        <v>0</v>
      </c>
      <c r="CN65" s="154">
        <v>0</v>
      </c>
      <c r="CO65" s="156">
        <f t="shared" si="16"/>
        <v>9</v>
      </c>
    </row>
    <row r="66" spans="1:93" ht="21.75" customHeight="1" x14ac:dyDescent="0.25">
      <c r="A66" s="47">
        <v>49</v>
      </c>
      <c r="B66" s="13" t="s">
        <v>132</v>
      </c>
      <c r="C66" s="88" t="s">
        <v>133</v>
      </c>
      <c r="D66" s="100">
        <v>45512</v>
      </c>
      <c r="E66" s="71">
        <v>0.35486111111111113</v>
      </c>
      <c r="F66" s="71">
        <v>0.9604166666666667</v>
      </c>
      <c r="G66" s="71">
        <v>0.35347222222222219</v>
      </c>
      <c r="H66" s="71">
        <v>0.9555555555555556</v>
      </c>
      <c r="I66" s="71">
        <v>0.3520833333333333</v>
      </c>
      <c r="J66" s="71">
        <v>0.95416666666666661</v>
      </c>
      <c r="K66" s="71">
        <v>0.35138888888888892</v>
      </c>
      <c r="L66" s="71">
        <v>0.98055555555555562</v>
      </c>
      <c r="M66" s="123">
        <v>0.57986111111111105</v>
      </c>
      <c r="N66" s="127">
        <v>0.95208333333333339</v>
      </c>
      <c r="O66" s="71">
        <v>0.35138888888888892</v>
      </c>
      <c r="P66" s="71">
        <v>0.96944444444444444</v>
      </c>
      <c r="Q66" s="71">
        <v>0.35486111111111113</v>
      </c>
      <c r="R66" s="71">
        <v>0.95486111111111116</v>
      </c>
      <c r="S66" s="71">
        <v>0.35416666666666669</v>
      </c>
      <c r="T66" s="71">
        <v>0.94861111111111107</v>
      </c>
      <c r="U66" s="71">
        <v>0.3527777777777778</v>
      </c>
      <c r="V66" s="71">
        <v>0.95277777777777783</v>
      </c>
      <c r="W66" s="71">
        <v>0.3527777777777778</v>
      </c>
      <c r="X66" s="71">
        <v>0.95486111111111116</v>
      </c>
      <c r="Y66" s="71">
        <v>0.35416666666666669</v>
      </c>
      <c r="Z66" s="71">
        <v>0.97777777777777775</v>
      </c>
      <c r="AA66" s="107" t="s">
        <v>15</v>
      </c>
      <c r="AB66" s="125" t="s">
        <v>15</v>
      </c>
      <c r="AC66" s="71">
        <v>0.43263888888888885</v>
      </c>
      <c r="AD66" s="71">
        <v>0.96944444444444444</v>
      </c>
      <c r="AE66" s="71">
        <v>0.35416666666666669</v>
      </c>
      <c r="AF66" s="71">
        <v>0.97638888888888886</v>
      </c>
      <c r="AG66" s="71">
        <v>0.35347222222222219</v>
      </c>
      <c r="AH66" s="71">
        <v>0.9555555555555556</v>
      </c>
      <c r="AI66" s="143"/>
      <c r="AJ66" s="47">
        <v>49</v>
      </c>
      <c r="AK66" s="71">
        <v>0.35347222222222219</v>
      </c>
      <c r="AL66" s="71">
        <v>0.95138888888888884</v>
      </c>
      <c r="AM66" s="82" t="s">
        <v>181</v>
      </c>
      <c r="AN66" s="82" t="s">
        <v>181</v>
      </c>
      <c r="AO66" s="71">
        <v>0.35347222222222219</v>
      </c>
      <c r="AP66" s="71">
        <v>0.97291666666666676</v>
      </c>
      <c r="AQ66" s="123">
        <v>0.5805555555555556</v>
      </c>
      <c r="AR66" s="123">
        <v>0.9506944444444444</v>
      </c>
      <c r="AS66" s="71">
        <v>0.3527777777777778</v>
      </c>
      <c r="AT66" s="71">
        <v>0.97222222222222221</v>
      </c>
      <c r="AU66" s="71">
        <v>0.35347222222222219</v>
      </c>
      <c r="AV66" s="71">
        <v>0.95138888888888884</v>
      </c>
      <c r="AW66" s="71">
        <v>0.3527777777777778</v>
      </c>
      <c r="AX66" s="71">
        <v>0.94861111111111107</v>
      </c>
      <c r="AY66" s="71">
        <v>0.35138888888888892</v>
      </c>
      <c r="AZ66" s="71">
        <v>0.95277777777777783</v>
      </c>
      <c r="BA66" s="71">
        <v>0.35138888888888892</v>
      </c>
      <c r="BB66" s="71">
        <v>0.95416666666666661</v>
      </c>
      <c r="BC66" s="71">
        <v>0.35000000000000003</v>
      </c>
      <c r="BD66" s="71">
        <v>0.97430555555555554</v>
      </c>
      <c r="BE66" s="107" t="s">
        <v>15</v>
      </c>
      <c r="BF66" s="107" t="s">
        <v>15</v>
      </c>
      <c r="BG66" s="71">
        <v>0.3527777777777778</v>
      </c>
      <c r="BH66" s="71">
        <v>0.96388888888888891</v>
      </c>
      <c r="BI66" s="71">
        <v>0.3520833333333333</v>
      </c>
      <c r="BJ66" s="71">
        <v>0.97916666666666663</v>
      </c>
      <c r="BK66" s="71">
        <v>0.35138888888888892</v>
      </c>
      <c r="BL66" s="71">
        <v>0.95624999999999993</v>
      </c>
      <c r="BM66" s="71">
        <v>0.35347222222222219</v>
      </c>
      <c r="BN66" s="71">
        <v>0.9604166666666667</v>
      </c>
      <c r="BO66" s="122">
        <f t="shared" si="15"/>
        <v>30</v>
      </c>
      <c r="BP66" s="75">
        <v>2</v>
      </c>
      <c r="BQ66" s="2">
        <f t="shared" si="17"/>
        <v>27</v>
      </c>
      <c r="BR66" s="3">
        <f t="shared" si="18"/>
        <v>2</v>
      </c>
      <c r="BS66" s="3">
        <f t="shared" si="19"/>
        <v>0</v>
      </c>
      <c r="BT66" s="3">
        <f t="shared" si="20"/>
        <v>0</v>
      </c>
      <c r="BU66" s="3">
        <f t="shared" si="21"/>
        <v>0</v>
      </c>
      <c r="BV66" s="3">
        <f t="shared" si="22"/>
        <v>0</v>
      </c>
      <c r="BW66" s="3">
        <f t="shared" si="23"/>
        <v>0</v>
      </c>
      <c r="BX66" s="3">
        <f t="shared" si="24"/>
        <v>1</v>
      </c>
      <c r="BY66" s="3">
        <f t="shared" si="25"/>
        <v>0</v>
      </c>
      <c r="BZ66" s="3">
        <f t="shared" si="26"/>
        <v>0</v>
      </c>
      <c r="CA66" s="3">
        <f t="shared" si="27"/>
        <v>0</v>
      </c>
      <c r="CB66" s="3">
        <f t="shared" si="28"/>
        <v>0</v>
      </c>
      <c r="CC66" s="4"/>
      <c r="CE66" s="57">
        <v>0</v>
      </c>
      <c r="CF66" s="56">
        <v>0</v>
      </c>
      <c r="CG66" s="56">
        <v>0</v>
      </c>
      <c r="CH66" s="56">
        <v>0</v>
      </c>
      <c r="CI66" s="56">
        <v>0</v>
      </c>
      <c r="CJ66" s="56">
        <v>6</v>
      </c>
      <c r="CK66" s="56">
        <v>0</v>
      </c>
      <c r="CL66" s="57">
        <v>1</v>
      </c>
      <c r="CM66" s="56">
        <v>0</v>
      </c>
      <c r="CN66" s="56">
        <v>0</v>
      </c>
      <c r="CO66" s="157">
        <f t="shared" si="16"/>
        <v>7</v>
      </c>
    </row>
    <row r="67" spans="1:93" ht="21.75" customHeight="1" x14ac:dyDescent="0.25">
      <c r="A67" s="47">
        <v>50</v>
      </c>
      <c r="B67" s="13" t="s">
        <v>134</v>
      </c>
      <c r="C67" s="88" t="s">
        <v>241</v>
      </c>
      <c r="D67" s="100">
        <v>45536</v>
      </c>
      <c r="E67" s="71">
        <v>0.35138888888888892</v>
      </c>
      <c r="F67" s="71">
        <v>0.97986111111111107</v>
      </c>
      <c r="G67" s="71">
        <v>0.35347222222222219</v>
      </c>
      <c r="H67" s="71">
        <v>0.95694444444444438</v>
      </c>
      <c r="I67" s="71">
        <v>0.35486111111111113</v>
      </c>
      <c r="J67" s="71">
        <v>0.9916666666666667</v>
      </c>
      <c r="K67" s="71">
        <v>0.35486111111111113</v>
      </c>
      <c r="L67" s="71">
        <v>0.97569444444444453</v>
      </c>
      <c r="M67" s="123">
        <v>0.58263888888888882</v>
      </c>
      <c r="N67" s="127">
        <v>0.93888888888888899</v>
      </c>
      <c r="O67" s="71">
        <v>0.35694444444444445</v>
      </c>
      <c r="P67" s="71">
        <v>0.96180555555555547</v>
      </c>
      <c r="Q67" s="71">
        <v>0.3527777777777778</v>
      </c>
      <c r="R67" s="71">
        <v>0.97083333333333333</v>
      </c>
      <c r="S67" s="71">
        <v>0.35486111111111113</v>
      </c>
      <c r="T67" s="71">
        <v>0.93819444444444444</v>
      </c>
      <c r="U67" s="71">
        <v>0.35416666666666669</v>
      </c>
      <c r="V67" s="71">
        <v>0.94791666666666663</v>
      </c>
      <c r="W67" s="71">
        <v>0.35416666666666669</v>
      </c>
      <c r="X67" s="71">
        <v>0.93819444444444444</v>
      </c>
      <c r="Y67" s="71">
        <v>0.35694444444444445</v>
      </c>
      <c r="Z67" s="71">
        <v>0.94930555555555562</v>
      </c>
      <c r="AA67" s="107" t="s">
        <v>15</v>
      </c>
      <c r="AB67" s="125" t="s">
        <v>15</v>
      </c>
      <c r="AC67" s="71">
        <v>0.35625000000000001</v>
      </c>
      <c r="AD67" s="76">
        <v>1</v>
      </c>
      <c r="AE67" s="71">
        <v>0.35347222222222219</v>
      </c>
      <c r="AF67" s="71">
        <v>9.7222222222222224E-3</v>
      </c>
      <c r="AG67" s="71">
        <v>0.35902777777777778</v>
      </c>
      <c r="AH67" s="71">
        <v>0.96180555555555547</v>
      </c>
      <c r="AI67" s="143"/>
      <c r="AJ67" s="47">
        <v>50</v>
      </c>
      <c r="AK67" s="71">
        <v>0.35625000000000001</v>
      </c>
      <c r="AL67" s="71">
        <v>0.93680555555555556</v>
      </c>
      <c r="AM67" s="71">
        <v>0.35555555555555557</v>
      </c>
      <c r="AN67" s="71">
        <v>0.98402777777777783</v>
      </c>
      <c r="AO67" s="71">
        <v>0.35555555555555557</v>
      </c>
      <c r="AP67" s="71">
        <v>6.2499999999999995E-3</v>
      </c>
      <c r="AQ67" s="123">
        <v>0.58402777777777781</v>
      </c>
      <c r="AR67" s="123">
        <v>0.93680555555555556</v>
      </c>
      <c r="AS67" s="71">
        <v>0.35555555555555557</v>
      </c>
      <c r="AT67" s="71">
        <v>0.94097222222222221</v>
      </c>
      <c r="AU67" s="71">
        <v>0.35486111111111113</v>
      </c>
      <c r="AV67" s="71">
        <v>0.97569444444444453</v>
      </c>
      <c r="AW67" s="71">
        <v>0.35625000000000001</v>
      </c>
      <c r="AX67" s="76">
        <v>1</v>
      </c>
      <c r="AY67" s="71">
        <v>0.35625000000000001</v>
      </c>
      <c r="AZ67" s="71">
        <v>0.95694444444444438</v>
      </c>
      <c r="BA67" s="71">
        <v>0.35555555555555557</v>
      </c>
      <c r="BB67" s="71">
        <v>0.93680555555555556</v>
      </c>
      <c r="BC67" s="71">
        <v>0.3576388888888889</v>
      </c>
      <c r="BD67" s="71">
        <v>0.98749999999999993</v>
      </c>
      <c r="BE67" s="107" t="s">
        <v>15</v>
      </c>
      <c r="BF67" s="107" t="s">
        <v>15</v>
      </c>
      <c r="BG67" s="71">
        <v>0.35416666666666669</v>
      </c>
      <c r="BH67" s="71">
        <v>0.94236111111111109</v>
      </c>
      <c r="BI67" s="71">
        <v>0.35486111111111113</v>
      </c>
      <c r="BJ67" s="71">
        <v>0.96805555555555556</v>
      </c>
      <c r="BK67" s="71">
        <v>0.35486111111111113</v>
      </c>
      <c r="BL67" s="71">
        <v>0.96597222222222223</v>
      </c>
      <c r="BM67" s="71">
        <v>0.35416666666666669</v>
      </c>
      <c r="BN67" s="71">
        <v>0.97638888888888886</v>
      </c>
      <c r="BO67" s="122">
        <f t="shared" si="15"/>
        <v>30</v>
      </c>
      <c r="BP67" s="75">
        <v>2</v>
      </c>
      <c r="BQ67" s="2">
        <f t="shared" si="17"/>
        <v>28</v>
      </c>
      <c r="BR67" s="3">
        <f t="shared" si="18"/>
        <v>2</v>
      </c>
      <c r="BS67" s="3">
        <f t="shared" si="19"/>
        <v>0</v>
      </c>
      <c r="BT67" s="3">
        <f t="shared" si="20"/>
        <v>0</v>
      </c>
      <c r="BU67" s="3">
        <f t="shared" si="21"/>
        <v>0</v>
      </c>
      <c r="BV67" s="3">
        <f t="shared" si="22"/>
        <v>0</v>
      </c>
      <c r="BW67" s="3">
        <f t="shared" si="23"/>
        <v>0</v>
      </c>
      <c r="BX67" s="3">
        <f t="shared" si="24"/>
        <v>0</v>
      </c>
      <c r="BY67" s="3">
        <f t="shared" si="25"/>
        <v>0</v>
      </c>
      <c r="BZ67" s="3">
        <f t="shared" si="26"/>
        <v>0</v>
      </c>
      <c r="CA67" s="3">
        <f t="shared" si="27"/>
        <v>0</v>
      </c>
      <c r="CB67" s="3">
        <f t="shared" si="28"/>
        <v>0</v>
      </c>
      <c r="CC67" s="4"/>
      <c r="CE67" s="153">
        <v>0</v>
      </c>
      <c r="CF67" s="154">
        <v>0</v>
      </c>
      <c r="CG67" s="154">
        <v>0</v>
      </c>
      <c r="CH67" s="153">
        <v>8</v>
      </c>
      <c r="CI67" s="154">
        <v>0</v>
      </c>
      <c r="CJ67" s="153">
        <v>4</v>
      </c>
      <c r="CK67" s="154">
        <v>0</v>
      </c>
      <c r="CL67" s="154">
        <v>0</v>
      </c>
      <c r="CM67" s="154">
        <v>0</v>
      </c>
      <c r="CN67" s="154">
        <v>0</v>
      </c>
      <c r="CO67" s="156">
        <f t="shared" si="16"/>
        <v>12</v>
      </c>
    </row>
    <row r="68" spans="1:93" ht="21.75" customHeight="1" x14ac:dyDescent="0.25">
      <c r="A68" s="47">
        <v>51</v>
      </c>
      <c r="B68" s="13" t="s">
        <v>137</v>
      </c>
      <c r="C68" s="88" t="s">
        <v>138</v>
      </c>
      <c r="D68" s="100">
        <v>45562</v>
      </c>
      <c r="E68" s="71">
        <v>0.4291666666666667</v>
      </c>
      <c r="F68" s="71">
        <v>0.94791666666666663</v>
      </c>
      <c r="G68" s="71">
        <v>0.46597222222222223</v>
      </c>
      <c r="H68" s="71">
        <v>0.93055555555555547</v>
      </c>
      <c r="I68" s="71">
        <v>0.52708333333333335</v>
      </c>
      <c r="J68" s="71">
        <v>0.92013888888888884</v>
      </c>
      <c r="K68" s="71">
        <v>0.52152777777777781</v>
      </c>
      <c r="L68" s="76">
        <v>1</v>
      </c>
      <c r="M68" s="123">
        <v>0.57291666666666663</v>
      </c>
      <c r="N68" s="127">
        <v>0.93888888888888899</v>
      </c>
      <c r="O68" s="71">
        <v>0.35069444444444442</v>
      </c>
      <c r="P68" s="71">
        <v>0.92499999999999993</v>
      </c>
      <c r="Q68" s="71">
        <v>0.42430555555555555</v>
      </c>
      <c r="R68" s="71">
        <v>0.9291666666666667</v>
      </c>
      <c r="S68" s="71">
        <v>0.91805555555555562</v>
      </c>
      <c r="T68" s="71">
        <v>0.91805555555555562</v>
      </c>
      <c r="U68" s="71">
        <v>0.38680555555555557</v>
      </c>
      <c r="V68" s="71">
        <v>0.95138888888888884</v>
      </c>
      <c r="W68" s="71">
        <v>0.47152777777777777</v>
      </c>
      <c r="X68" s="76">
        <v>1</v>
      </c>
      <c r="Y68" s="71">
        <v>0.39374999999999999</v>
      </c>
      <c r="Z68" s="76">
        <v>1</v>
      </c>
      <c r="AA68" s="123">
        <v>0.58124999999999993</v>
      </c>
      <c r="AB68" s="124">
        <v>1</v>
      </c>
      <c r="AC68" s="71">
        <v>0.37847222222222227</v>
      </c>
      <c r="AD68" s="71">
        <v>0.91666666666666663</v>
      </c>
      <c r="AE68" s="71">
        <v>0.41875000000000001</v>
      </c>
      <c r="AF68" s="71">
        <v>0.98055555555555562</v>
      </c>
      <c r="AG68" s="71">
        <v>0.41666666666666669</v>
      </c>
      <c r="AH68" s="76">
        <v>1</v>
      </c>
      <c r="AI68" s="135"/>
      <c r="AJ68" s="47">
        <v>51</v>
      </c>
      <c r="AK68" s="71">
        <v>0.35625000000000001</v>
      </c>
      <c r="AL68" s="76">
        <v>1</v>
      </c>
      <c r="AM68" s="71">
        <v>0.91666666666666663</v>
      </c>
      <c r="AN68" s="76">
        <v>1</v>
      </c>
      <c r="AO68" s="71">
        <v>0.38958333333333334</v>
      </c>
      <c r="AP68" s="76">
        <v>1</v>
      </c>
      <c r="AQ68" s="107" t="s">
        <v>15</v>
      </c>
      <c r="AR68" s="125" t="s">
        <v>15</v>
      </c>
      <c r="AS68" s="71">
        <v>0.33680555555555558</v>
      </c>
      <c r="AT68" s="71">
        <v>0.9375</v>
      </c>
      <c r="AU68" s="71">
        <v>0.42499999999999999</v>
      </c>
      <c r="AV68" s="76">
        <v>1</v>
      </c>
      <c r="AW68" s="71">
        <v>0.43124999999999997</v>
      </c>
      <c r="AX68" s="71">
        <v>0.93333333333333324</v>
      </c>
      <c r="AY68" s="71">
        <v>0.44097222222222227</v>
      </c>
      <c r="AZ68" s="76">
        <v>1</v>
      </c>
      <c r="BA68" s="71">
        <v>0.49444444444444446</v>
      </c>
      <c r="BB68" s="71">
        <v>0.93680555555555556</v>
      </c>
      <c r="BC68" s="71">
        <v>0.42083333333333334</v>
      </c>
      <c r="BD68" s="76">
        <v>1</v>
      </c>
      <c r="BE68" s="123">
        <v>0.56527777777777777</v>
      </c>
      <c r="BF68" s="124">
        <v>1</v>
      </c>
      <c r="BG68" s="71">
        <v>0.32847222222222222</v>
      </c>
      <c r="BH68" s="71">
        <v>0.93194444444444446</v>
      </c>
      <c r="BI68" s="71">
        <v>0.42638888888888887</v>
      </c>
      <c r="BJ68" s="71">
        <v>0.95138888888888884</v>
      </c>
      <c r="BK68" s="71">
        <v>0.40416666666666662</v>
      </c>
      <c r="BL68" s="76">
        <v>1</v>
      </c>
      <c r="BM68" s="71">
        <v>0.4201388888888889</v>
      </c>
      <c r="BN68" s="76">
        <v>1</v>
      </c>
      <c r="BO68" s="122">
        <f t="shared" si="15"/>
        <v>30</v>
      </c>
      <c r="BP68" s="75">
        <v>3</v>
      </c>
      <c r="BQ68" s="2">
        <f t="shared" si="17"/>
        <v>29</v>
      </c>
      <c r="BR68" s="3">
        <f t="shared" si="18"/>
        <v>1</v>
      </c>
      <c r="BS68" s="3">
        <f t="shared" si="19"/>
        <v>0</v>
      </c>
      <c r="BT68" s="3">
        <f t="shared" si="20"/>
        <v>0</v>
      </c>
      <c r="BU68" s="3">
        <f t="shared" si="21"/>
        <v>0</v>
      </c>
      <c r="BV68" s="3">
        <f t="shared" si="22"/>
        <v>0</v>
      </c>
      <c r="BW68" s="3">
        <f t="shared" si="23"/>
        <v>0</v>
      </c>
      <c r="BX68" s="3">
        <f t="shared" si="24"/>
        <v>0</v>
      </c>
      <c r="BY68" s="3">
        <f t="shared" si="25"/>
        <v>0</v>
      </c>
      <c r="BZ68" s="3">
        <f t="shared" si="26"/>
        <v>0</v>
      </c>
      <c r="CA68" s="3">
        <f t="shared" si="27"/>
        <v>0</v>
      </c>
      <c r="CB68" s="3">
        <f t="shared" si="28"/>
        <v>0</v>
      </c>
      <c r="CC68" s="79"/>
      <c r="CE68" s="57">
        <v>0</v>
      </c>
      <c r="CF68" s="56">
        <v>0</v>
      </c>
      <c r="CG68" s="56">
        <v>0</v>
      </c>
      <c r="CH68" s="56">
        <v>0</v>
      </c>
      <c r="CI68" s="56">
        <v>0</v>
      </c>
      <c r="CJ68" s="56">
        <v>0</v>
      </c>
      <c r="CK68" s="56">
        <v>0</v>
      </c>
      <c r="CL68" s="56">
        <v>0</v>
      </c>
      <c r="CM68" s="56">
        <v>0</v>
      </c>
      <c r="CN68" s="56">
        <v>0</v>
      </c>
      <c r="CO68" s="157">
        <f t="shared" si="16"/>
        <v>0</v>
      </c>
    </row>
    <row r="69" spans="1:93" ht="21.75" customHeight="1" x14ac:dyDescent="0.25">
      <c r="A69" s="47">
        <v>52</v>
      </c>
      <c r="B69" s="13" t="s">
        <v>183</v>
      </c>
      <c r="C69" s="88" t="s">
        <v>182</v>
      </c>
      <c r="D69" s="100">
        <v>45562</v>
      </c>
      <c r="E69" s="71">
        <v>0.34722222222222227</v>
      </c>
      <c r="F69" s="71">
        <v>0.93472222222222223</v>
      </c>
      <c r="G69" s="71">
        <v>0.35000000000000003</v>
      </c>
      <c r="H69" s="71">
        <v>0.91527777777777775</v>
      </c>
      <c r="I69" s="71">
        <v>0.34652777777777777</v>
      </c>
      <c r="J69" s="71">
        <v>0.93958333333333333</v>
      </c>
      <c r="K69" s="71">
        <v>0.34583333333333338</v>
      </c>
      <c r="L69" s="71">
        <v>0.96597222222222223</v>
      </c>
      <c r="M69" s="107" t="s">
        <v>15</v>
      </c>
      <c r="N69" s="125" t="s">
        <v>15</v>
      </c>
      <c r="O69" s="71">
        <v>0.34861111111111115</v>
      </c>
      <c r="P69" s="71">
        <v>0.94444444444444453</v>
      </c>
      <c r="Q69" s="71">
        <v>0.35000000000000003</v>
      </c>
      <c r="R69" s="71">
        <v>0.92013888888888884</v>
      </c>
      <c r="S69" s="71">
        <v>0.35138888888888892</v>
      </c>
      <c r="T69" s="71">
        <v>0.91666666666666663</v>
      </c>
      <c r="U69" s="71">
        <v>0.34652777777777777</v>
      </c>
      <c r="V69" s="71">
        <v>0.93819444444444444</v>
      </c>
      <c r="W69" s="71">
        <v>0.34583333333333338</v>
      </c>
      <c r="X69" s="71">
        <v>0.9472222222222223</v>
      </c>
      <c r="Y69" s="71">
        <v>0.34861111111111115</v>
      </c>
      <c r="Z69" s="71">
        <v>0.94444444444444453</v>
      </c>
      <c r="AA69" s="123">
        <v>0.58402777777777781</v>
      </c>
      <c r="AB69" s="123">
        <v>0.9145833333333333</v>
      </c>
      <c r="AC69" s="71">
        <v>0.35000000000000003</v>
      </c>
      <c r="AD69" s="71">
        <v>0.93472222222222223</v>
      </c>
      <c r="AE69" s="71">
        <v>0.34583333333333338</v>
      </c>
      <c r="AF69" s="71">
        <v>0.97638888888888886</v>
      </c>
      <c r="AG69" s="71">
        <v>0.34513888888888888</v>
      </c>
      <c r="AH69" s="71">
        <v>0.93402777777777779</v>
      </c>
      <c r="AI69" s="143"/>
      <c r="AJ69" s="47">
        <v>52</v>
      </c>
      <c r="AK69" s="71">
        <v>0.34583333333333338</v>
      </c>
      <c r="AL69" s="71">
        <v>0.90138888888888891</v>
      </c>
      <c r="AM69" s="71">
        <v>0.34722222222222227</v>
      </c>
      <c r="AN69" s="71">
        <v>0.91805555555555562</v>
      </c>
      <c r="AO69" s="71">
        <v>0.34791666666666665</v>
      </c>
      <c r="AP69" s="71">
        <v>0.92152777777777783</v>
      </c>
      <c r="AQ69" s="107" t="s">
        <v>15</v>
      </c>
      <c r="AR69" s="125" t="s">
        <v>15</v>
      </c>
      <c r="AS69" s="71">
        <v>0.34791666666666665</v>
      </c>
      <c r="AT69" s="71">
        <v>0.96319444444444446</v>
      </c>
      <c r="AU69" s="71">
        <v>0.34513888888888888</v>
      </c>
      <c r="AV69" s="71">
        <v>0.91388888888888886</v>
      </c>
      <c r="AW69" s="71">
        <v>0.34861111111111115</v>
      </c>
      <c r="AX69" s="71">
        <v>0.9</v>
      </c>
      <c r="AY69" s="71">
        <v>0.34652777777777777</v>
      </c>
      <c r="AZ69" s="76">
        <v>1</v>
      </c>
      <c r="BA69" s="71">
        <v>0.34930555555555554</v>
      </c>
      <c r="BB69" s="71">
        <v>0.91111111111111109</v>
      </c>
      <c r="BC69" s="71">
        <v>0.34791666666666665</v>
      </c>
      <c r="BD69" s="71">
        <v>0.9243055555555556</v>
      </c>
      <c r="BE69" s="123">
        <v>0.57708333333333328</v>
      </c>
      <c r="BF69" s="123">
        <v>0.90694444444444444</v>
      </c>
      <c r="BG69" s="71">
        <v>0.34791666666666665</v>
      </c>
      <c r="BH69" s="71">
        <v>0.92847222222222225</v>
      </c>
      <c r="BI69" s="71">
        <v>0.34861111111111115</v>
      </c>
      <c r="BJ69" s="71">
        <v>0.91736111111111107</v>
      </c>
      <c r="BK69" s="71">
        <v>0.34861111111111115</v>
      </c>
      <c r="BL69" s="76">
        <v>1</v>
      </c>
      <c r="BM69" s="71">
        <v>0.34930555555555554</v>
      </c>
      <c r="BN69" s="71">
        <v>0.90277777777777779</v>
      </c>
      <c r="BO69" s="122">
        <f t="shared" si="15"/>
        <v>30</v>
      </c>
      <c r="BP69" s="75">
        <v>2</v>
      </c>
      <c r="BQ69" s="2">
        <f t="shared" si="17"/>
        <v>28</v>
      </c>
      <c r="BR69" s="3">
        <f t="shared" si="18"/>
        <v>2</v>
      </c>
      <c r="BS69" s="3">
        <f t="shared" si="19"/>
        <v>0</v>
      </c>
      <c r="BT69" s="3">
        <f t="shared" si="20"/>
        <v>0</v>
      </c>
      <c r="BU69" s="3">
        <f t="shared" si="21"/>
        <v>0</v>
      </c>
      <c r="BV69" s="3">
        <f t="shared" si="22"/>
        <v>0</v>
      </c>
      <c r="BW69" s="3">
        <f t="shared" si="23"/>
        <v>0</v>
      </c>
      <c r="BX69" s="3">
        <f t="shared" si="24"/>
        <v>0</v>
      </c>
      <c r="BY69" s="3">
        <f t="shared" si="25"/>
        <v>0</v>
      </c>
      <c r="BZ69" s="3">
        <f t="shared" si="26"/>
        <v>0</v>
      </c>
      <c r="CA69" s="3">
        <f t="shared" si="27"/>
        <v>0</v>
      </c>
      <c r="CB69" s="3">
        <f t="shared" si="28"/>
        <v>0</v>
      </c>
      <c r="CC69" s="4"/>
      <c r="CE69" s="153">
        <v>0</v>
      </c>
      <c r="CF69" s="154">
        <v>0</v>
      </c>
      <c r="CG69" s="154">
        <v>0</v>
      </c>
      <c r="CH69" s="154">
        <v>0</v>
      </c>
      <c r="CI69" s="154">
        <v>0</v>
      </c>
      <c r="CJ69" s="153">
        <v>3</v>
      </c>
      <c r="CK69" s="154">
        <v>0</v>
      </c>
      <c r="CL69" s="154">
        <v>0</v>
      </c>
      <c r="CM69" s="154">
        <v>0</v>
      </c>
      <c r="CN69" s="154">
        <v>0</v>
      </c>
      <c r="CO69" s="156">
        <f t="shared" si="16"/>
        <v>3</v>
      </c>
    </row>
    <row r="70" spans="1:93" s="81" customFormat="1" ht="21.75" customHeight="1" x14ac:dyDescent="0.25">
      <c r="A70" s="47">
        <v>53</v>
      </c>
      <c r="B70" s="117" t="s">
        <v>143</v>
      </c>
      <c r="C70" s="88" t="s">
        <v>144</v>
      </c>
      <c r="D70" s="118">
        <v>45648</v>
      </c>
      <c r="E70" s="102" t="s">
        <v>18</v>
      </c>
      <c r="F70" s="102" t="s">
        <v>18</v>
      </c>
      <c r="G70" s="102" t="s">
        <v>18</v>
      </c>
      <c r="H70" s="102" t="s">
        <v>18</v>
      </c>
      <c r="I70" s="102" t="s">
        <v>18</v>
      </c>
      <c r="J70" s="102" t="s">
        <v>18</v>
      </c>
      <c r="K70" s="102" t="s">
        <v>18</v>
      </c>
      <c r="L70" s="102" t="s">
        <v>18</v>
      </c>
      <c r="M70" s="102" t="s">
        <v>18</v>
      </c>
      <c r="N70" s="102" t="s">
        <v>18</v>
      </c>
      <c r="O70" s="102" t="s">
        <v>18</v>
      </c>
      <c r="P70" s="102" t="s">
        <v>18</v>
      </c>
      <c r="Q70" s="102" t="s">
        <v>18</v>
      </c>
      <c r="R70" s="102" t="s">
        <v>18</v>
      </c>
      <c r="S70" s="102" t="s">
        <v>18</v>
      </c>
      <c r="T70" s="102" t="s">
        <v>18</v>
      </c>
      <c r="U70" s="102" t="s">
        <v>18</v>
      </c>
      <c r="V70" s="102" t="s">
        <v>18</v>
      </c>
      <c r="W70" s="102" t="s">
        <v>18</v>
      </c>
      <c r="X70" s="102" t="s">
        <v>18</v>
      </c>
      <c r="Y70" s="84" t="s">
        <v>24</v>
      </c>
      <c r="Z70" s="84" t="s">
        <v>24</v>
      </c>
      <c r="AA70" s="84" t="s">
        <v>24</v>
      </c>
      <c r="AB70" s="84" t="s">
        <v>24</v>
      </c>
      <c r="AC70" s="84" t="s">
        <v>24</v>
      </c>
      <c r="AD70" s="84" t="s">
        <v>24</v>
      </c>
      <c r="AE70" s="84" t="s">
        <v>24</v>
      </c>
      <c r="AF70" s="84" t="s">
        <v>24</v>
      </c>
      <c r="AG70" s="84" t="s">
        <v>24</v>
      </c>
      <c r="AH70" s="84" t="s">
        <v>24</v>
      </c>
      <c r="AI70" s="134"/>
      <c r="AJ70" s="47">
        <v>54</v>
      </c>
      <c r="AK70" s="84" t="s">
        <v>24</v>
      </c>
      <c r="AL70" s="84" t="s">
        <v>24</v>
      </c>
      <c r="AM70" s="71">
        <v>0.35000000000000003</v>
      </c>
      <c r="AN70" s="71">
        <v>0.94513888888888886</v>
      </c>
      <c r="AO70" s="71">
        <v>0.35000000000000003</v>
      </c>
      <c r="AP70" s="76">
        <v>1</v>
      </c>
      <c r="AQ70" s="123">
        <v>0.57500000000000007</v>
      </c>
      <c r="AR70" s="123">
        <v>0.93333333333333324</v>
      </c>
      <c r="AS70" s="71">
        <v>0.35069444444444442</v>
      </c>
      <c r="AT70" s="71">
        <v>0.93402777777777779</v>
      </c>
      <c r="AU70" s="71">
        <v>0.35416666666666669</v>
      </c>
      <c r="AV70" s="71">
        <v>0.93611111111111101</v>
      </c>
      <c r="AW70" s="71">
        <v>0.35138888888888892</v>
      </c>
      <c r="AX70" s="71">
        <v>0.93958333333333333</v>
      </c>
      <c r="AY70" s="71">
        <v>0.3520833333333333</v>
      </c>
      <c r="AZ70" s="71">
        <v>0.95347222222222217</v>
      </c>
      <c r="BA70" s="71">
        <v>0.35138888888888892</v>
      </c>
      <c r="BB70" s="71">
        <v>0.94166666666666676</v>
      </c>
      <c r="BC70" s="71">
        <v>0.35069444444444442</v>
      </c>
      <c r="BD70" s="71">
        <v>0.96319444444444446</v>
      </c>
      <c r="BE70" s="123">
        <v>0.57430555555555551</v>
      </c>
      <c r="BF70" s="123">
        <v>0.94513888888888886</v>
      </c>
      <c r="BG70" s="71">
        <v>0.35069444444444442</v>
      </c>
      <c r="BH70" s="71">
        <v>0.94166666666666676</v>
      </c>
      <c r="BI70" s="71">
        <v>0.35138888888888892</v>
      </c>
      <c r="BJ70" s="76">
        <v>1</v>
      </c>
      <c r="BK70" s="71">
        <v>0.37708333333333338</v>
      </c>
      <c r="BL70" s="71">
        <v>0.9458333333333333</v>
      </c>
      <c r="BM70" s="71">
        <v>0.33194444444444443</v>
      </c>
      <c r="BN70" s="76">
        <v>1</v>
      </c>
      <c r="BO70" s="122">
        <f t="shared" si="15"/>
        <v>14</v>
      </c>
      <c r="BP70" s="75">
        <v>2</v>
      </c>
      <c r="BQ70" s="2">
        <f t="shared" si="17"/>
        <v>14</v>
      </c>
      <c r="BR70" s="3">
        <f t="shared" si="18"/>
        <v>0</v>
      </c>
      <c r="BS70" s="3">
        <f t="shared" si="19"/>
        <v>0</v>
      </c>
      <c r="BT70" s="3">
        <f t="shared" si="20"/>
        <v>0</v>
      </c>
      <c r="BU70" s="3">
        <f t="shared" si="21"/>
        <v>10</v>
      </c>
      <c r="BV70" s="3">
        <f t="shared" si="22"/>
        <v>0</v>
      </c>
      <c r="BW70" s="3">
        <f t="shared" si="23"/>
        <v>0</v>
      </c>
      <c r="BX70" s="3">
        <f t="shared" si="24"/>
        <v>0</v>
      </c>
      <c r="BY70" s="3">
        <f t="shared" si="25"/>
        <v>0</v>
      </c>
      <c r="BZ70" s="3">
        <f t="shared" si="26"/>
        <v>0</v>
      </c>
      <c r="CA70" s="3">
        <f t="shared" si="27"/>
        <v>6</v>
      </c>
      <c r="CB70" s="3">
        <f t="shared" si="28"/>
        <v>0</v>
      </c>
      <c r="CC70" s="116"/>
      <c r="CE70" s="153">
        <v>0</v>
      </c>
      <c r="CF70" s="154">
        <v>0</v>
      </c>
      <c r="CG70" s="154">
        <v>30</v>
      </c>
      <c r="CH70" s="154">
        <v>0</v>
      </c>
      <c r="CI70" s="154">
        <v>0</v>
      </c>
      <c r="CJ70" s="153">
        <v>0</v>
      </c>
      <c r="CK70" s="154">
        <v>0</v>
      </c>
      <c r="CL70" s="154">
        <v>0</v>
      </c>
      <c r="CM70" s="154">
        <v>6</v>
      </c>
      <c r="CN70" s="154">
        <v>0</v>
      </c>
      <c r="CO70" s="156">
        <f t="shared" si="16"/>
        <v>36</v>
      </c>
    </row>
    <row r="71" spans="1:93" ht="21.75" customHeight="1" x14ac:dyDescent="0.25">
      <c r="A71" s="47">
        <v>54</v>
      </c>
      <c r="B71" s="13" t="s">
        <v>145</v>
      </c>
      <c r="C71" s="88" t="s">
        <v>146</v>
      </c>
      <c r="D71" s="100">
        <v>45653</v>
      </c>
      <c r="E71" s="71">
        <v>0.34930555555555554</v>
      </c>
      <c r="F71" s="71">
        <v>0.98125000000000007</v>
      </c>
      <c r="G71" s="71">
        <v>0.35138888888888892</v>
      </c>
      <c r="H71" s="71">
        <v>0.94861111111111107</v>
      </c>
      <c r="I71" s="71">
        <v>0.35486111111111113</v>
      </c>
      <c r="J71" s="71">
        <v>0.9916666666666667</v>
      </c>
      <c r="K71" s="71">
        <v>0.34375</v>
      </c>
      <c r="L71" s="71">
        <v>0.97291666666666676</v>
      </c>
      <c r="M71" s="123">
        <v>0.58124999999999993</v>
      </c>
      <c r="N71" s="127">
        <v>0.93888888888888899</v>
      </c>
      <c r="O71" s="71">
        <v>0.34722222222222227</v>
      </c>
      <c r="P71" s="71">
        <v>0.96250000000000002</v>
      </c>
      <c r="Q71" s="71">
        <v>0.34791666666666665</v>
      </c>
      <c r="R71" s="71">
        <v>0.97222222222222221</v>
      </c>
      <c r="S71" s="71">
        <v>0.35000000000000003</v>
      </c>
      <c r="T71" s="71">
        <v>0.9375</v>
      </c>
      <c r="U71" s="71">
        <v>0.3611111111111111</v>
      </c>
      <c r="V71" s="71">
        <v>0.94791666666666663</v>
      </c>
      <c r="W71" s="71">
        <v>0.34930555555555554</v>
      </c>
      <c r="X71" s="71">
        <v>0.93819444444444444</v>
      </c>
      <c r="Y71" s="71">
        <v>0.35000000000000003</v>
      </c>
      <c r="Z71" s="71">
        <v>0.94930555555555562</v>
      </c>
      <c r="AA71" s="107" t="s">
        <v>15</v>
      </c>
      <c r="AB71" s="125" t="s">
        <v>15</v>
      </c>
      <c r="AC71" s="71">
        <v>0.35138888888888892</v>
      </c>
      <c r="AD71" s="71">
        <v>0.95833333333333337</v>
      </c>
      <c r="AE71" s="71">
        <v>0.34861111111111115</v>
      </c>
      <c r="AF71" s="71">
        <v>1.1111111111111112E-2</v>
      </c>
      <c r="AG71" s="71">
        <v>0.35000000000000003</v>
      </c>
      <c r="AH71" s="71">
        <v>0.95972222222222225</v>
      </c>
      <c r="AI71" s="143"/>
      <c r="AJ71" s="47">
        <v>55</v>
      </c>
      <c r="AK71" s="71">
        <v>0.3527777777777778</v>
      </c>
      <c r="AL71" s="71">
        <v>0.93680555555555556</v>
      </c>
      <c r="AM71" s="71">
        <v>0.34791666666666665</v>
      </c>
      <c r="AN71" s="71">
        <v>0.98402777777777783</v>
      </c>
      <c r="AO71" s="71">
        <v>0.35000000000000003</v>
      </c>
      <c r="AP71" s="71">
        <v>1.2499999999999999E-2</v>
      </c>
      <c r="AQ71" s="123">
        <v>0.58263888888888882</v>
      </c>
      <c r="AR71" s="123">
        <v>0.9375</v>
      </c>
      <c r="AS71" s="71">
        <v>0.34930555555555554</v>
      </c>
      <c r="AT71" s="71">
        <v>0.93819444444444444</v>
      </c>
      <c r="AU71" s="71">
        <v>0.35555555555555557</v>
      </c>
      <c r="AV71" s="71">
        <v>0.97291666666666676</v>
      </c>
      <c r="AW71" s="71">
        <v>0.3527777777777778</v>
      </c>
      <c r="AX71" s="71">
        <v>0.94861111111111107</v>
      </c>
      <c r="AY71" s="71">
        <v>0.35347222222222219</v>
      </c>
      <c r="AZ71" s="71">
        <v>0.95833333333333337</v>
      </c>
      <c r="BA71" s="71">
        <v>0.34652777777777777</v>
      </c>
      <c r="BB71" s="71">
        <v>0.9375</v>
      </c>
      <c r="BC71" s="71">
        <v>0.35138888888888892</v>
      </c>
      <c r="BD71" s="71">
        <v>0.98611111111111116</v>
      </c>
      <c r="BE71" s="107" t="s">
        <v>15</v>
      </c>
      <c r="BF71" s="107" t="s">
        <v>15</v>
      </c>
      <c r="BG71" s="71">
        <v>0.34791666666666665</v>
      </c>
      <c r="BH71" s="71">
        <v>0.93958333333333333</v>
      </c>
      <c r="BI71" s="71">
        <v>0.34791666666666665</v>
      </c>
      <c r="BJ71" s="71">
        <v>0.99305555555555547</v>
      </c>
      <c r="BK71" s="71">
        <v>0.34930555555555554</v>
      </c>
      <c r="BL71" s="71">
        <v>0.9590277777777777</v>
      </c>
      <c r="BM71" s="71">
        <v>0.35138888888888892</v>
      </c>
      <c r="BN71" s="76">
        <v>1</v>
      </c>
      <c r="BO71" s="122">
        <f t="shared" si="15"/>
        <v>30</v>
      </c>
      <c r="BP71" s="75">
        <v>2</v>
      </c>
      <c r="BQ71" s="2">
        <f t="shared" si="17"/>
        <v>28</v>
      </c>
      <c r="BR71" s="3">
        <f t="shared" si="18"/>
        <v>2</v>
      </c>
      <c r="BS71" s="3">
        <f t="shared" si="19"/>
        <v>0</v>
      </c>
      <c r="BT71" s="3">
        <f t="shared" si="20"/>
        <v>0</v>
      </c>
      <c r="BU71" s="3">
        <f t="shared" si="21"/>
        <v>0</v>
      </c>
      <c r="BV71" s="3">
        <f t="shared" si="22"/>
        <v>0</v>
      </c>
      <c r="BW71" s="3">
        <f t="shared" si="23"/>
        <v>0</v>
      </c>
      <c r="BX71" s="3">
        <f t="shared" si="24"/>
        <v>0</v>
      </c>
      <c r="BY71" s="3">
        <f t="shared" si="25"/>
        <v>0</v>
      </c>
      <c r="BZ71" s="3">
        <f t="shared" si="26"/>
        <v>0</v>
      </c>
      <c r="CA71" s="3">
        <f t="shared" si="27"/>
        <v>0</v>
      </c>
      <c r="CB71" s="3">
        <f t="shared" si="28"/>
        <v>0</v>
      </c>
      <c r="CC71" s="4"/>
      <c r="CE71" s="153">
        <v>0</v>
      </c>
      <c r="CF71" s="154">
        <v>0</v>
      </c>
      <c r="CG71" s="154">
        <v>0</v>
      </c>
      <c r="CH71" s="154">
        <v>0</v>
      </c>
      <c r="CI71" s="154">
        <v>0</v>
      </c>
      <c r="CJ71" s="153">
        <v>6</v>
      </c>
      <c r="CK71" s="154">
        <v>0</v>
      </c>
      <c r="CL71" s="154">
        <v>0</v>
      </c>
      <c r="CM71" s="154">
        <v>0</v>
      </c>
      <c r="CN71" s="154">
        <v>0</v>
      </c>
      <c r="CO71" s="156">
        <f t="shared" si="16"/>
        <v>6</v>
      </c>
    </row>
    <row r="72" spans="1:93" ht="21.75" customHeight="1" x14ac:dyDescent="0.25">
      <c r="A72" s="47">
        <v>55</v>
      </c>
      <c r="B72" s="13" t="s">
        <v>147</v>
      </c>
      <c r="C72" s="88" t="s">
        <v>148</v>
      </c>
      <c r="D72" s="100">
        <v>45670</v>
      </c>
      <c r="E72" s="71">
        <v>0.3444444444444445</v>
      </c>
      <c r="F72" s="71">
        <v>0.97083333333333333</v>
      </c>
      <c r="G72" s="71">
        <v>0.33749999999999997</v>
      </c>
      <c r="H72" s="71">
        <v>0.96666666666666667</v>
      </c>
      <c r="I72" s="71">
        <v>0.34583333333333338</v>
      </c>
      <c r="J72" s="71">
        <v>0.99444444444444446</v>
      </c>
      <c r="K72" s="71">
        <v>0.34791666666666665</v>
      </c>
      <c r="L72" s="71">
        <v>0.98611111111111116</v>
      </c>
      <c r="M72" s="107" t="s">
        <v>15</v>
      </c>
      <c r="N72" s="125" t="s">
        <v>15</v>
      </c>
      <c r="O72" s="71">
        <v>0.35416666666666669</v>
      </c>
      <c r="P72" s="71">
        <v>0.98263888888888884</v>
      </c>
      <c r="Q72" s="71">
        <v>0.35347222222222219</v>
      </c>
      <c r="R72" s="71">
        <v>0.97499999999999998</v>
      </c>
      <c r="S72" s="71">
        <v>0.35416666666666669</v>
      </c>
      <c r="T72" s="71">
        <v>0.97291666666666676</v>
      </c>
      <c r="U72" s="71">
        <v>0.35069444444444442</v>
      </c>
      <c r="V72" s="71">
        <v>0.96388888888888891</v>
      </c>
      <c r="W72" s="71">
        <v>0.3527777777777778</v>
      </c>
      <c r="X72" s="71">
        <v>0.96527777777777779</v>
      </c>
      <c r="Y72" s="71">
        <v>0.3298611111111111</v>
      </c>
      <c r="Z72" s="71">
        <v>0.97361111111111109</v>
      </c>
      <c r="AA72" s="123">
        <v>0.58124999999999993</v>
      </c>
      <c r="AB72" s="123">
        <v>0.96458333333333324</v>
      </c>
      <c r="AC72" s="71">
        <v>0.33958333333333335</v>
      </c>
      <c r="AD72" s="71">
        <v>0.9916666666666667</v>
      </c>
      <c r="AE72" s="71">
        <v>0.32847222222222222</v>
      </c>
      <c r="AF72" s="71">
        <v>0.97777777777777775</v>
      </c>
      <c r="AG72" s="71">
        <v>0.33124999999999999</v>
      </c>
      <c r="AH72" s="71">
        <v>0.96527777777777779</v>
      </c>
      <c r="AI72" s="143"/>
      <c r="AJ72" s="47">
        <v>56</v>
      </c>
      <c r="AK72" s="71">
        <v>0.33888888888888885</v>
      </c>
      <c r="AL72" s="71">
        <v>0.96805555555555556</v>
      </c>
      <c r="AM72" s="71">
        <v>0.33402777777777781</v>
      </c>
      <c r="AN72" s="71">
        <v>0.9868055555555556</v>
      </c>
      <c r="AO72" s="71">
        <v>0.34513888888888888</v>
      </c>
      <c r="AP72" s="71">
        <v>1.4583333333333332E-2</v>
      </c>
      <c r="AQ72" s="107" t="s">
        <v>15</v>
      </c>
      <c r="AR72" s="125" t="s">
        <v>15</v>
      </c>
      <c r="AS72" s="71">
        <v>0.32916666666666666</v>
      </c>
      <c r="AT72" s="71">
        <v>0.96736111111111101</v>
      </c>
      <c r="AU72" s="71">
        <v>0.35000000000000003</v>
      </c>
      <c r="AV72" s="71">
        <v>0.97986111111111107</v>
      </c>
      <c r="AW72" s="71">
        <v>0.3347222222222222</v>
      </c>
      <c r="AX72" s="71">
        <v>0.96250000000000002</v>
      </c>
      <c r="AY72" s="71">
        <v>0.34513888888888888</v>
      </c>
      <c r="AZ72" s="71">
        <v>0.96111111111111114</v>
      </c>
      <c r="BA72" s="71">
        <v>0.3354166666666667</v>
      </c>
      <c r="BB72" s="71">
        <v>0.96597222222222223</v>
      </c>
      <c r="BC72" s="71">
        <v>0.33124999999999999</v>
      </c>
      <c r="BD72" s="71">
        <v>0.98472222222222217</v>
      </c>
      <c r="BE72" s="123">
        <v>0.57430555555555551</v>
      </c>
      <c r="BF72" s="123">
        <v>0.96250000000000002</v>
      </c>
      <c r="BG72" s="71">
        <v>0.33611111111111108</v>
      </c>
      <c r="BH72" s="71">
        <v>0.96875</v>
      </c>
      <c r="BI72" s="71">
        <v>0.33194444444444443</v>
      </c>
      <c r="BJ72" s="71">
        <v>0.98958333333333337</v>
      </c>
      <c r="BK72" s="71">
        <v>0.32916666666666666</v>
      </c>
      <c r="BL72" s="71">
        <v>0.97013888888888899</v>
      </c>
      <c r="BM72" s="71">
        <v>0.34791666666666665</v>
      </c>
      <c r="BN72" s="71">
        <v>0.97291666666666676</v>
      </c>
      <c r="BO72" s="122">
        <f t="shared" si="15"/>
        <v>30</v>
      </c>
      <c r="BP72" s="75">
        <v>2</v>
      </c>
      <c r="BQ72" s="2">
        <f t="shared" si="17"/>
        <v>28</v>
      </c>
      <c r="BR72" s="3">
        <f t="shared" si="18"/>
        <v>2</v>
      </c>
      <c r="BS72" s="3">
        <f t="shared" si="19"/>
        <v>0</v>
      </c>
      <c r="BT72" s="3">
        <f t="shared" si="20"/>
        <v>0</v>
      </c>
      <c r="BU72" s="3">
        <f t="shared" si="21"/>
        <v>0</v>
      </c>
      <c r="BV72" s="3">
        <f t="shared" si="22"/>
        <v>0</v>
      </c>
      <c r="BW72" s="3">
        <f t="shared" si="23"/>
        <v>0</v>
      </c>
      <c r="BX72" s="3">
        <f t="shared" si="24"/>
        <v>0</v>
      </c>
      <c r="BY72" s="3">
        <f t="shared" si="25"/>
        <v>0</v>
      </c>
      <c r="BZ72" s="3">
        <f t="shared" si="26"/>
        <v>0</v>
      </c>
      <c r="CA72" s="3">
        <f t="shared" si="27"/>
        <v>0</v>
      </c>
      <c r="CB72" s="3">
        <f t="shared" si="28"/>
        <v>0</v>
      </c>
      <c r="CC72" s="4"/>
      <c r="CE72" s="57">
        <v>0</v>
      </c>
      <c r="CF72" s="56">
        <v>0</v>
      </c>
      <c r="CG72" s="56">
        <v>0</v>
      </c>
      <c r="CH72" s="56">
        <v>0</v>
      </c>
      <c r="CI72" s="56">
        <v>0</v>
      </c>
      <c r="CJ72" s="56">
        <v>0</v>
      </c>
      <c r="CK72" s="56">
        <v>0</v>
      </c>
      <c r="CL72" s="56">
        <v>0</v>
      </c>
      <c r="CM72" s="56">
        <v>0</v>
      </c>
      <c r="CN72" s="56">
        <v>0</v>
      </c>
      <c r="CO72" s="157">
        <f t="shared" si="16"/>
        <v>0</v>
      </c>
    </row>
    <row r="73" spans="1:93" ht="21.75" customHeight="1" x14ac:dyDescent="0.25">
      <c r="A73" s="47">
        <v>56</v>
      </c>
      <c r="B73" s="13" t="s">
        <v>149</v>
      </c>
      <c r="C73" s="88" t="s">
        <v>150</v>
      </c>
      <c r="D73" s="100">
        <v>45670</v>
      </c>
      <c r="E73" s="71">
        <v>0.4069444444444445</v>
      </c>
      <c r="F73" s="71">
        <v>0.94791666666666663</v>
      </c>
      <c r="G73" s="71">
        <v>0.39097222222222222</v>
      </c>
      <c r="H73" s="71">
        <v>0.94652777777777775</v>
      </c>
      <c r="I73" s="71">
        <v>0.40486111111111112</v>
      </c>
      <c r="J73" s="71">
        <v>0.94791666666666663</v>
      </c>
      <c r="K73" s="71">
        <v>0.41111111111111115</v>
      </c>
      <c r="L73" s="76">
        <v>1</v>
      </c>
      <c r="M73" s="123">
        <v>0.58124999999999993</v>
      </c>
      <c r="N73" s="127">
        <v>0.88680555555555562</v>
      </c>
      <c r="O73" s="71">
        <v>0.39861111111111108</v>
      </c>
      <c r="P73" s="71">
        <v>0.95833333333333337</v>
      </c>
      <c r="Q73" s="71">
        <v>0.39999999999999997</v>
      </c>
      <c r="R73" s="71">
        <v>0.94652777777777775</v>
      </c>
      <c r="S73" s="71">
        <v>0.41319444444444442</v>
      </c>
      <c r="T73" s="71">
        <v>0.95208333333333339</v>
      </c>
      <c r="U73" s="71">
        <v>0.4145833333333333</v>
      </c>
      <c r="V73" s="76">
        <v>1</v>
      </c>
      <c r="W73" s="71">
        <v>0.40138888888888885</v>
      </c>
      <c r="X73" s="76">
        <v>1</v>
      </c>
      <c r="Y73" s="71">
        <v>0.40347222222222223</v>
      </c>
      <c r="Z73" s="71">
        <v>0.95416666666666661</v>
      </c>
      <c r="AA73" s="123">
        <v>0.57152777777777775</v>
      </c>
      <c r="AB73" s="123">
        <v>0.9291666666666667</v>
      </c>
      <c r="AC73" s="71">
        <v>0.4055555555555555</v>
      </c>
      <c r="AD73" s="71">
        <v>0.95972222222222225</v>
      </c>
      <c r="AE73" s="71">
        <v>0.4145833333333333</v>
      </c>
      <c r="AF73" s="71">
        <v>0.95972222222222225</v>
      </c>
      <c r="AG73" s="71">
        <v>0.42152777777777778</v>
      </c>
      <c r="AH73" s="76">
        <v>1</v>
      </c>
      <c r="AI73" s="135"/>
      <c r="AJ73" s="47">
        <v>57</v>
      </c>
      <c r="AK73" s="71">
        <v>0.40625</v>
      </c>
      <c r="AL73" s="71">
        <v>0.95000000000000007</v>
      </c>
      <c r="AM73" s="71">
        <v>0.40625</v>
      </c>
      <c r="AN73" s="71">
        <v>0.9458333333333333</v>
      </c>
      <c r="AO73" s="71">
        <v>0.4055555555555555</v>
      </c>
      <c r="AP73" s="71">
        <v>0.9604166666666667</v>
      </c>
      <c r="AQ73" s="123">
        <v>0.57291666666666663</v>
      </c>
      <c r="AR73" s="123">
        <v>0.91736111111111107</v>
      </c>
      <c r="AS73" s="71">
        <v>0.40833333333333338</v>
      </c>
      <c r="AT73" s="71">
        <v>0.9590277777777777</v>
      </c>
      <c r="AU73" s="71">
        <v>0.42986111111111108</v>
      </c>
      <c r="AV73" s="71">
        <v>0.94791666666666663</v>
      </c>
      <c r="AW73" s="71">
        <v>0.41180555555555554</v>
      </c>
      <c r="AX73" s="76">
        <v>1</v>
      </c>
      <c r="AY73" s="71">
        <v>0.41319444444444442</v>
      </c>
      <c r="AZ73" s="71">
        <v>0.9472222222222223</v>
      </c>
      <c r="BA73" s="71">
        <v>0.41111111111111115</v>
      </c>
      <c r="BB73" s="71">
        <v>0.94652777777777775</v>
      </c>
      <c r="BC73" s="71">
        <v>0.41875000000000001</v>
      </c>
      <c r="BD73" s="71">
        <v>0.96597222222222223</v>
      </c>
      <c r="BE73" s="123">
        <v>0.56597222222222221</v>
      </c>
      <c r="BF73" s="123">
        <v>0.92638888888888893</v>
      </c>
      <c r="BG73" s="71">
        <v>0.40277777777777773</v>
      </c>
      <c r="BH73" s="71">
        <v>0.96319444444444446</v>
      </c>
      <c r="BI73" s="71">
        <v>0.42222222222222222</v>
      </c>
      <c r="BJ73" s="71">
        <v>0.97430555555555554</v>
      </c>
      <c r="BK73" s="71">
        <v>0.41805555555555557</v>
      </c>
      <c r="BL73" s="71">
        <v>0.94930555555555562</v>
      </c>
      <c r="BM73" s="71">
        <v>0.34236111111111112</v>
      </c>
      <c r="BN73" s="71">
        <v>0.98333333333333339</v>
      </c>
      <c r="BO73" s="122">
        <f t="shared" si="15"/>
        <v>30</v>
      </c>
      <c r="BP73" s="75">
        <v>4</v>
      </c>
      <c r="BQ73" s="2">
        <f t="shared" si="17"/>
        <v>30</v>
      </c>
      <c r="BR73" s="3">
        <f t="shared" si="18"/>
        <v>0</v>
      </c>
      <c r="BS73" s="3">
        <f t="shared" si="19"/>
        <v>0</v>
      </c>
      <c r="BT73" s="3">
        <f t="shared" si="20"/>
        <v>0</v>
      </c>
      <c r="BU73" s="3">
        <f t="shared" si="21"/>
        <v>0</v>
      </c>
      <c r="BV73" s="3">
        <f t="shared" si="22"/>
        <v>0</v>
      </c>
      <c r="BW73" s="3">
        <f t="shared" si="23"/>
        <v>0</v>
      </c>
      <c r="BX73" s="3">
        <f t="shared" si="24"/>
        <v>0</v>
      </c>
      <c r="BY73" s="3">
        <f t="shared" si="25"/>
        <v>0</v>
      </c>
      <c r="BZ73" s="3">
        <f t="shared" si="26"/>
        <v>0</v>
      </c>
      <c r="CA73" s="3">
        <f t="shared" si="27"/>
        <v>0</v>
      </c>
      <c r="CB73" s="3">
        <f t="shared" si="28"/>
        <v>0</v>
      </c>
      <c r="CC73" s="4"/>
      <c r="CE73" s="153">
        <v>0</v>
      </c>
      <c r="CF73" s="154">
        <v>0</v>
      </c>
      <c r="CG73" s="154">
        <v>0</v>
      </c>
      <c r="CH73" s="154">
        <v>0</v>
      </c>
      <c r="CI73" s="154">
        <v>0</v>
      </c>
      <c r="CJ73" s="154">
        <v>0</v>
      </c>
      <c r="CK73" s="154">
        <v>0</v>
      </c>
      <c r="CL73" s="154">
        <v>0</v>
      </c>
      <c r="CM73" s="154">
        <v>0</v>
      </c>
      <c r="CN73" s="154">
        <v>0</v>
      </c>
      <c r="CO73" s="156">
        <f t="shared" si="16"/>
        <v>0</v>
      </c>
    </row>
    <row r="74" spans="1:93" ht="21.75" customHeight="1" x14ac:dyDescent="0.25">
      <c r="A74" s="47">
        <v>57</v>
      </c>
      <c r="B74" s="13" t="s">
        <v>151</v>
      </c>
      <c r="C74" s="88" t="s">
        <v>152</v>
      </c>
      <c r="D74" s="100">
        <v>45670</v>
      </c>
      <c r="E74" s="71">
        <v>0.3430555555555555</v>
      </c>
      <c r="F74" s="71">
        <v>0.97986111111111107</v>
      </c>
      <c r="G74" s="71">
        <v>0.3444444444444445</v>
      </c>
      <c r="H74" s="71">
        <v>0.95624999999999993</v>
      </c>
      <c r="I74" s="71">
        <v>0.34513888888888888</v>
      </c>
      <c r="J74" s="71">
        <v>0.9916666666666667</v>
      </c>
      <c r="K74" s="71">
        <v>0.3430555555555555</v>
      </c>
      <c r="L74" s="71">
        <v>0.97291666666666676</v>
      </c>
      <c r="M74" s="107" t="s">
        <v>15</v>
      </c>
      <c r="N74" s="125" t="s">
        <v>15</v>
      </c>
      <c r="O74" s="71">
        <v>0.3444444444444445</v>
      </c>
      <c r="P74" s="71">
        <v>0.96250000000000002</v>
      </c>
      <c r="Q74" s="71">
        <v>0.34375</v>
      </c>
      <c r="R74" s="71">
        <v>0.97222222222222221</v>
      </c>
      <c r="S74" s="71">
        <v>0.3444444444444445</v>
      </c>
      <c r="T74" s="71">
        <v>0.9375</v>
      </c>
      <c r="U74" s="71">
        <v>0.34375</v>
      </c>
      <c r="V74" s="71">
        <v>0.94791666666666663</v>
      </c>
      <c r="W74" s="71">
        <v>0.34513888888888888</v>
      </c>
      <c r="X74" s="71">
        <v>0.93958333333333333</v>
      </c>
      <c r="Y74" s="71">
        <v>0.34652777777777777</v>
      </c>
      <c r="Z74" s="71">
        <v>0.95000000000000007</v>
      </c>
      <c r="AA74" s="123">
        <v>0.5805555555555556</v>
      </c>
      <c r="AB74" s="123">
        <v>0.91805555555555562</v>
      </c>
      <c r="AC74" s="71">
        <v>0.34513888888888888</v>
      </c>
      <c r="AD74" s="71">
        <v>0.9590277777777777</v>
      </c>
      <c r="AE74" s="71">
        <v>0.34930555555555554</v>
      </c>
      <c r="AF74" s="71">
        <v>9.7222222222222224E-3</v>
      </c>
      <c r="AG74" s="71">
        <v>0.3444444444444445</v>
      </c>
      <c r="AH74" s="71">
        <v>0.9604166666666667</v>
      </c>
      <c r="AI74" s="143"/>
      <c r="AJ74" s="47">
        <v>58</v>
      </c>
      <c r="AK74" s="71">
        <v>0.34375</v>
      </c>
      <c r="AL74" s="71">
        <v>0.93819444444444444</v>
      </c>
      <c r="AM74" s="71">
        <v>0.3444444444444445</v>
      </c>
      <c r="AN74" s="71">
        <v>0.98472222222222217</v>
      </c>
      <c r="AO74" s="71">
        <v>0.34513888888888888</v>
      </c>
      <c r="AP74" s="71">
        <v>1.3194444444444444E-2</v>
      </c>
      <c r="AQ74" s="107" t="s">
        <v>15</v>
      </c>
      <c r="AR74" s="125" t="s">
        <v>15</v>
      </c>
      <c r="AS74" s="71">
        <v>0.34166666666666662</v>
      </c>
      <c r="AT74" s="71">
        <v>0.94374999999999998</v>
      </c>
      <c r="AU74" s="71">
        <v>0.34652777777777777</v>
      </c>
      <c r="AV74" s="71">
        <v>0.97361111111111109</v>
      </c>
      <c r="AW74" s="71">
        <v>0.3444444444444445</v>
      </c>
      <c r="AX74" s="71">
        <v>0.95000000000000007</v>
      </c>
      <c r="AY74" s="71">
        <v>0.34375</v>
      </c>
      <c r="AZ74" s="71">
        <v>0.95833333333333337</v>
      </c>
      <c r="BA74" s="71">
        <v>0.3444444444444445</v>
      </c>
      <c r="BB74" s="71">
        <v>0.9375</v>
      </c>
      <c r="BC74" s="71">
        <v>0.34236111111111112</v>
      </c>
      <c r="BD74" s="71">
        <v>0.9770833333333333</v>
      </c>
      <c r="BE74" s="123">
        <v>0.57847222222222217</v>
      </c>
      <c r="BF74" s="123">
        <v>0.9277777777777777</v>
      </c>
      <c r="BG74" s="71">
        <v>0.34583333333333338</v>
      </c>
      <c r="BH74" s="71">
        <v>0.94930555555555562</v>
      </c>
      <c r="BI74" s="71">
        <v>0.3444444444444445</v>
      </c>
      <c r="BJ74" s="71">
        <v>0.9916666666666667</v>
      </c>
      <c r="BK74" s="71">
        <v>0.3430555555555555</v>
      </c>
      <c r="BL74" s="71">
        <v>0.96666666666666667</v>
      </c>
      <c r="BM74" s="71">
        <v>0.39861111111111108</v>
      </c>
      <c r="BN74" s="71">
        <v>0.95416666666666661</v>
      </c>
      <c r="BO74" s="122">
        <f t="shared" si="15"/>
        <v>30</v>
      </c>
      <c r="BP74" s="75">
        <v>2</v>
      </c>
      <c r="BQ74" s="2">
        <f t="shared" si="17"/>
        <v>28</v>
      </c>
      <c r="BR74" s="3">
        <f t="shared" si="18"/>
        <v>2</v>
      </c>
      <c r="BS74" s="3">
        <f t="shared" si="19"/>
        <v>0</v>
      </c>
      <c r="BT74" s="3">
        <f t="shared" si="20"/>
        <v>0</v>
      </c>
      <c r="BU74" s="3">
        <f t="shared" si="21"/>
        <v>0</v>
      </c>
      <c r="BV74" s="3">
        <f t="shared" si="22"/>
        <v>0</v>
      </c>
      <c r="BW74" s="3">
        <f t="shared" si="23"/>
        <v>0</v>
      </c>
      <c r="BX74" s="3">
        <f t="shared" si="24"/>
        <v>0</v>
      </c>
      <c r="BY74" s="3">
        <f t="shared" si="25"/>
        <v>0</v>
      </c>
      <c r="BZ74" s="3">
        <f t="shared" si="26"/>
        <v>0</v>
      </c>
      <c r="CA74" s="3">
        <f t="shared" si="27"/>
        <v>0</v>
      </c>
      <c r="CB74" s="3">
        <f t="shared" si="28"/>
        <v>0</v>
      </c>
      <c r="CC74" s="4"/>
      <c r="CE74" s="57">
        <v>0</v>
      </c>
      <c r="CF74" s="56">
        <v>0</v>
      </c>
      <c r="CG74" s="56">
        <v>30</v>
      </c>
      <c r="CH74" s="56">
        <v>0</v>
      </c>
      <c r="CI74" s="56">
        <v>0</v>
      </c>
      <c r="CJ74" s="56">
        <v>0</v>
      </c>
      <c r="CK74" s="56">
        <v>0</v>
      </c>
      <c r="CL74" s="56">
        <v>0</v>
      </c>
      <c r="CM74" s="56">
        <v>0</v>
      </c>
      <c r="CN74" s="56">
        <v>0</v>
      </c>
      <c r="CO74" s="157">
        <f t="shared" ref="CO74:CO105" si="29">SUM(CE74:CN74)</f>
        <v>30</v>
      </c>
    </row>
    <row r="75" spans="1:93" ht="21.75" customHeight="1" x14ac:dyDescent="0.25">
      <c r="A75" s="47">
        <v>58</v>
      </c>
      <c r="B75" s="13" t="s">
        <v>153</v>
      </c>
      <c r="C75" s="88" t="s">
        <v>154</v>
      </c>
      <c r="D75" s="100">
        <v>45673</v>
      </c>
      <c r="E75" s="71">
        <v>0.35486111111111113</v>
      </c>
      <c r="F75" s="71">
        <v>0.9604166666666667</v>
      </c>
      <c r="G75" s="71">
        <v>0.35347222222222219</v>
      </c>
      <c r="H75" s="71">
        <v>0.95624999999999993</v>
      </c>
      <c r="I75" s="71">
        <v>0.3520833333333333</v>
      </c>
      <c r="J75" s="71">
        <v>0.95486111111111116</v>
      </c>
      <c r="K75" s="71">
        <v>0.35138888888888892</v>
      </c>
      <c r="L75" s="71">
        <v>0.98055555555555562</v>
      </c>
      <c r="M75" s="107" t="s">
        <v>15</v>
      </c>
      <c r="N75" s="125" t="s">
        <v>15</v>
      </c>
      <c r="O75" s="71">
        <v>0.35138888888888892</v>
      </c>
      <c r="P75" s="71">
        <v>0.96944444444444444</v>
      </c>
      <c r="Q75" s="71">
        <v>0.35486111111111113</v>
      </c>
      <c r="R75" s="71">
        <v>0.95486111111111116</v>
      </c>
      <c r="S75" s="71">
        <v>0.35416666666666669</v>
      </c>
      <c r="T75" s="71">
        <v>0.94861111111111107</v>
      </c>
      <c r="U75" s="71">
        <v>0.3527777777777778</v>
      </c>
      <c r="V75" s="71">
        <v>0.95347222222222217</v>
      </c>
      <c r="W75" s="71">
        <v>0.3527777777777778</v>
      </c>
      <c r="X75" s="71">
        <v>0.9555555555555556</v>
      </c>
      <c r="Y75" s="71">
        <v>0.35416666666666669</v>
      </c>
      <c r="Z75" s="71">
        <v>0.97777777777777775</v>
      </c>
      <c r="AA75" s="123">
        <v>0.57777777777777783</v>
      </c>
      <c r="AB75" s="123">
        <v>0.95208333333333339</v>
      </c>
      <c r="AC75" s="71">
        <v>0.35069444444444442</v>
      </c>
      <c r="AD75" s="71">
        <v>0.96944444444444444</v>
      </c>
      <c r="AE75" s="71">
        <v>0.35416666666666669</v>
      </c>
      <c r="AF75" s="71">
        <v>0.97638888888888886</v>
      </c>
      <c r="AG75" s="71">
        <v>0.35347222222222219</v>
      </c>
      <c r="AH75" s="71">
        <v>0.9555555555555556</v>
      </c>
      <c r="AI75" s="143"/>
      <c r="AJ75" s="47">
        <v>59</v>
      </c>
      <c r="AK75" s="71">
        <v>0.35347222222222219</v>
      </c>
      <c r="AL75" s="71">
        <v>0.95138888888888884</v>
      </c>
      <c r="AM75" s="71">
        <v>0.3527777777777778</v>
      </c>
      <c r="AN75" s="71">
        <v>0.95277777777777783</v>
      </c>
      <c r="AO75" s="71">
        <v>0.35347222222222219</v>
      </c>
      <c r="AP75" s="71">
        <v>0.97291666666666676</v>
      </c>
      <c r="AQ75" s="107" t="s">
        <v>15</v>
      </c>
      <c r="AR75" s="125" t="s">
        <v>15</v>
      </c>
      <c r="AS75" s="71">
        <v>0.3527777777777778</v>
      </c>
      <c r="AT75" s="71">
        <v>0.97222222222222221</v>
      </c>
      <c r="AU75" s="71">
        <v>0.35347222222222219</v>
      </c>
      <c r="AV75" s="71">
        <v>0.95138888888888884</v>
      </c>
      <c r="AW75" s="71">
        <v>0.3527777777777778</v>
      </c>
      <c r="AX75" s="71">
        <v>0.94861111111111107</v>
      </c>
      <c r="AY75" s="71">
        <v>0.35138888888888892</v>
      </c>
      <c r="AZ75" s="71">
        <v>0.95277777777777783</v>
      </c>
      <c r="BA75" s="71">
        <v>0.35138888888888892</v>
      </c>
      <c r="BB75" s="71">
        <v>0.95416666666666661</v>
      </c>
      <c r="BC75" s="71">
        <v>0.35000000000000003</v>
      </c>
      <c r="BD75" s="71">
        <v>0.97430555555555554</v>
      </c>
      <c r="BE75" s="123">
        <v>0.57986111111111105</v>
      </c>
      <c r="BF75" s="123">
        <v>0.95277777777777783</v>
      </c>
      <c r="BG75" s="71">
        <v>0.3527777777777778</v>
      </c>
      <c r="BH75" s="71">
        <v>0.96388888888888891</v>
      </c>
      <c r="BI75" s="71">
        <v>0.3520833333333333</v>
      </c>
      <c r="BJ75" s="71">
        <v>0.97916666666666663</v>
      </c>
      <c r="BK75" s="71">
        <v>0.35138888888888892</v>
      </c>
      <c r="BL75" s="71">
        <v>0.95624999999999993</v>
      </c>
      <c r="BM75" s="71">
        <v>0.35347222222222219</v>
      </c>
      <c r="BN75" s="71">
        <v>0.9604166666666667</v>
      </c>
      <c r="BO75" s="122">
        <f t="shared" si="15"/>
        <v>30</v>
      </c>
      <c r="BP75" s="75">
        <v>2</v>
      </c>
      <c r="BQ75" s="2">
        <f t="shared" si="17"/>
        <v>28</v>
      </c>
      <c r="BR75" s="3">
        <f t="shared" si="18"/>
        <v>2</v>
      </c>
      <c r="BS75" s="3">
        <f t="shared" si="19"/>
        <v>0</v>
      </c>
      <c r="BT75" s="3">
        <f t="shared" si="20"/>
        <v>0</v>
      </c>
      <c r="BU75" s="3">
        <f t="shared" si="21"/>
        <v>0</v>
      </c>
      <c r="BV75" s="3">
        <f t="shared" si="22"/>
        <v>0</v>
      </c>
      <c r="BW75" s="3">
        <f t="shared" si="23"/>
        <v>0</v>
      </c>
      <c r="BX75" s="3">
        <f t="shared" si="24"/>
        <v>0</v>
      </c>
      <c r="BY75" s="3">
        <f t="shared" si="25"/>
        <v>0</v>
      </c>
      <c r="BZ75" s="3">
        <f t="shared" si="26"/>
        <v>0</v>
      </c>
      <c r="CA75" s="3">
        <f t="shared" si="27"/>
        <v>0</v>
      </c>
      <c r="CB75" s="3">
        <f t="shared" si="28"/>
        <v>0</v>
      </c>
      <c r="CC75" s="4"/>
      <c r="CE75" s="153">
        <v>0</v>
      </c>
      <c r="CF75" s="154">
        <v>0</v>
      </c>
      <c r="CG75" s="154">
        <v>0</v>
      </c>
      <c r="CH75" s="154">
        <v>0</v>
      </c>
      <c r="CI75" s="154">
        <v>0</v>
      </c>
      <c r="CJ75" s="154">
        <v>1</v>
      </c>
      <c r="CK75" s="154">
        <v>0</v>
      </c>
      <c r="CL75" s="154">
        <v>0</v>
      </c>
      <c r="CM75" s="154">
        <v>0</v>
      </c>
      <c r="CN75" s="154">
        <v>0</v>
      </c>
      <c r="CO75" s="156">
        <f t="shared" si="29"/>
        <v>1</v>
      </c>
    </row>
    <row r="76" spans="1:93" ht="21.75" customHeight="1" x14ac:dyDescent="0.25">
      <c r="A76" s="47">
        <v>59</v>
      </c>
      <c r="B76" s="13" t="s">
        <v>155</v>
      </c>
      <c r="C76" s="88" t="s">
        <v>156</v>
      </c>
      <c r="D76" s="100">
        <v>45679</v>
      </c>
      <c r="E76" s="71">
        <v>0.3527777777777778</v>
      </c>
      <c r="F76" s="71">
        <v>0.9472222222222223</v>
      </c>
      <c r="G76" s="71">
        <v>0.3520833333333333</v>
      </c>
      <c r="H76" s="71">
        <v>0.9472222222222223</v>
      </c>
      <c r="I76" s="71">
        <v>0.3520833333333333</v>
      </c>
      <c r="J76" s="71">
        <v>0.94513888888888886</v>
      </c>
      <c r="K76" s="71">
        <v>0.3527777777777778</v>
      </c>
      <c r="L76" s="71">
        <v>0.3527777777777778</v>
      </c>
      <c r="M76" s="107" t="s">
        <v>15</v>
      </c>
      <c r="N76" s="125" t="s">
        <v>15</v>
      </c>
      <c r="O76" s="71">
        <v>0.3520833333333333</v>
      </c>
      <c r="P76" s="71">
        <v>0.96736111111111101</v>
      </c>
      <c r="Q76" s="71">
        <v>0.35138888888888892</v>
      </c>
      <c r="R76" s="71">
        <v>0.95000000000000007</v>
      </c>
      <c r="S76" s="71">
        <v>0.3520833333333333</v>
      </c>
      <c r="T76" s="71">
        <v>0.94444444444444453</v>
      </c>
      <c r="U76" s="71">
        <v>0.3520833333333333</v>
      </c>
      <c r="V76" s="71">
        <v>0.95277777777777783</v>
      </c>
      <c r="W76" s="71">
        <v>0.3527777777777778</v>
      </c>
      <c r="X76" s="71">
        <v>0.9458333333333333</v>
      </c>
      <c r="Y76" s="71">
        <v>0.3520833333333333</v>
      </c>
      <c r="Z76" s="71">
        <v>0.97499999999999998</v>
      </c>
      <c r="AA76" s="123">
        <v>0.57986111111111105</v>
      </c>
      <c r="AB76" s="123">
        <v>0.95347222222222217</v>
      </c>
      <c r="AC76" s="71">
        <v>0.35347222222222219</v>
      </c>
      <c r="AD76" s="71">
        <v>0.96875</v>
      </c>
      <c r="AE76" s="71">
        <v>0.35138888888888892</v>
      </c>
      <c r="AF76" s="71">
        <v>0.97638888888888886</v>
      </c>
      <c r="AG76" s="71">
        <v>0.3527777777777778</v>
      </c>
      <c r="AH76" s="71">
        <v>0.94652777777777775</v>
      </c>
      <c r="AI76" s="143"/>
      <c r="AJ76" s="47">
        <v>60</v>
      </c>
      <c r="AK76" s="71">
        <v>0.3520833333333333</v>
      </c>
      <c r="AL76" s="71">
        <v>0.94861111111111107</v>
      </c>
      <c r="AM76" s="71">
        <v>0.35138888888888892</v>
      </c>
      <c r="AN76" s="71">
        <v>0.94444444444444453</v>
      </c>
      <c r="AO76" s="71">
        <v>0.3520833333333333</v>
      </c>
      <c r="AP76" s="71">
        <v>0.96388888888888891</v>
      </c>
      <c r="AQ76" s="107" t="s">
        <v>15</v>
      </c>
      <c r="AR76" s="125" t="s">
        <v>15</v>
      </c>
      <c r="AS76" s="71">
        <v>0.3520833333333333</v>
      </c>
      <c r="AT76" s="71">
        <v>0.96944444444444444</v>
      </c>
      <c r="AU76" s="71">
        <v>0.35138888888888892</v>
      </c>
      <c r="AV76" s="71">
        <v>0.9506944444444444</v>
      </c>
      <c r="AW76" s="71">
        <v>0.3520833333333333</v>
      </c>
      <c r="AX76" s="71">
        <v>0.94305555555555554</v>
      </c>
      <c r="AY76" s="71">
        <v>0.3520833333333333</v>
      </c>
      <c r="AZ76" s="71">
        <v>0.94305555555555554</v>
      </c>
      <c r="BA76" s="71">
        <v>0.3527777777777778</v>
      </c>
      <c r="BB76" s="71">
        <v>0.94861111111111107</v>
      </c>
      <c r="BC76" s="71">
        <v>0.3520833333333333</v>
      </c>
      <c r="BD76" s="71">
        <v>0.96597222222222223</v>
      </c>
      <c r="BE76" s="123">
        <v>0.57916666666666672</v>
      </c>
      <c r="BF76" s="123">
        <v>0.95277777777777783</v>
      </c>
      <c r="BG76" s="71">
        <v>0.3520833333333333</v>
      </c>
      <c r="BH76" s="71">
        <v>0.96319444444444446</v>
      </c>
      <c r="BI76" s="71">
        <v>0.3520833333333333</v>
      </c>
      <c r="BJ76" s="71">
        <v>0.98055555555555562</v>
      </c>
      <c r="BK76" s="71">
        <v>0.3520833333333333</v>
      </c>
      <c r="BL76" s="71">
        <v>0.93888888888888899</v>
      </c>
      <c r="BM76" s="71">
        <v>0.3527777777777778</v>
      </c>
      <c r="BN76" s="71">
        <v>0.95347222222222217</v>
      </c>
      <c r="BO76" s="122">
        <f t="shared" si="15"/>
        <v>30</v>
      </c>
      <c r="BP76" s="75">
        <v>2</v>
      </c>
      <c r="BQ76" s="2">
        <f t="shared" si="17"/>
        <v>28</v>
      </c>
      <c r="BR76" s="3">
        <f t="shared" si="18"/>
        <v>2</v>
      </c>
      <c r="BS76" s="3">
        <f t="shared" si="19"/>
        <v>0</v>
      </c>
      <c r="BT76" s="3">
        <f t="shared" si="20"/>
        <v>0</v>
      </c>
      <c r="BU76" s="3">
        <f t="shared" si="21"/>
        <v>0</v>
      </c>
      <c r="BV76" s="3">
        <f t="shared" si="22"/>
        <v>0</v>
      </c>
      <c r="BW76" s="3">
        <f t="shared" si="23"/>
        <v>0</v>
      </c>
      <c r="BX76" s="3">
        <f t="shared" si="24"/>
        <v>0</v>
      </c>
      <c r="BY76" s="3">
        <f t="shared" si="25"/>
        <v>0</v>
      </c>
      <c r="BZ76" s="3">
        <f t="shared" si="26"/>
        <v>0</v>
      </c>
      <c r="CA76" s="3">
        <f t="shared" si="27"/>
        <v>0</v>
      </c>
      <c r="CB76" s="3">
        <f t="shared" si="28"/>
        <v>0</v>
      </c>
      <c r="CC76" s="4"/>
      <c r="CE76" s="57">
        <v>0</v>
      </c>
      <c r="CF76" s="56">
        <v>0</v>
      </c>
      <c r="CG76" s="56">
        <v>0</v>
      </c>
      <c r="CH76" s="56">
        <v>0</v>
      </c>
      <c r="CI76" s="56">
        <v>0</v>
      </c>
      <c r="CJ76" s="56">
        <v>0</v>
      </c>
      <c r="CK76" s="56">
        <v>0</v>
      </c>
      <c r="CL76" s="56">
        <v>0</v>
      </c>
      <c r="CM76" s="56">
        <v>0</v>
      </c>
      <c r="CN76" s="56">
        <v>0</v>
      </c>
      <c r="CO76" s="157">
        <f t="shared" si="29"/>
        <v>0</v>
      </c>
    </row>
    <row r="77" spans="1:93" ht="21.75" customHeight="1" x14ac:dyDescent="0.25">
      <c r="A77" s="47">
        <v>60</v>
      </c>
      <c r="B77" s="13" t="s">
        <v>157</v>
      </c>
      <c r="C77" s="88" t="s">
        <v>158</v>
      </c>
      <c r="D77" s="100">
        <v>45679</v>
      </c>
      <c r="E77" s="71">
        <v>0.3527777777777778</v>
      </c>
      <c r="F77" s="71">
        <v>0.98055555555555562</v>
      </c>
      <c r="G77" s="71">
        <v>0.3527777777777778</v>
      </c>
      <c r="H77" s="71">
        <v>0.95416666666666661</v>
      </c>
      <c r="I77" s="71">
        <v>0.3527777777777778</v>
      </c>
      <c r="J77" s="71">
        <v>0.97222222222222221</v>
      </c>
      <c r="K77" s="71">
        <v>0.35416666666666669</v>
      </c>
      <c r="L77" s="71">
        <v>0.94930555555555562</v>
      </c>
      <c r="M77" s="123">
        <v>0.58194444444444449</v>
      </c>
      <c r="N77" s="126">
        <v>1</v>
      </c>
      <c r="O77" s="71">
        <v>0.35347222222222219</v>
      </c>
      <c r="P77" s="71">
        <v>0.97569444444444453</v>
      </c>
      <c r="Q77" s="71">
        <v>0.35486111111111113</v>
      </c>
      <c r="R77" s="71">
        <v>0.95277777777777783</v>
      </c>
      <c r="S77" s="71">
        <v>0.35347222222222219</v>
      </c>
      <c r="T77" s="71">
        <v>0.93888888888888899</v>
      </c>
      <c r="U77" s="71">
        <v>0.35416666666666669</v>
      </c>
      <c r="V77" s="71">
        <v>0.9506944444444444</v>
      </c>
      <c r="W77" s="71">
        <v>0.35555555555555557</v>
      </c>
      <c r="X77" s="71">
        <v>0.93958333333333333</v>
      </c>
      <c r="Y77" s="71">
        <v>0.35486111111111113</v>
      </c>
      <c r="Z77" s="71">
        <v>0.95277777777777783</v>
      </c>
      <c r="AA77" s="107" t="s">
        <v>15</v>
      </c>
      <c r="AB77" s="125" t="s">
        <v>15</v>
      </c>
      <c r="AC77" s="71">
        <v>0.3527777777777778</v>
      </c>
      <c r="AD77" s="71">
        <v>0.96250000000000002</v>
      </c>
      <c r="AE77" s="71">
        <v>0.35138888888888892</v>
      </c>
      <c r="AF77" s="71">
        <v>0.98333333333333339</v>
      </c>
      <c r="AG77" s="71">
        <v>0.3527777777777778</v>
      </c>
      <c r="AH77" s="71">
        <v>0.94930555555555562</v>
      </c>
      <c r="AI77" s="143"/>
      <c r="AJ77" s="47">
        <v>61</v>
      </c>
      <c r="AK77" s="71">
        <v>0.35138888888888892</v>
      </c>
      <c r="AL77" s="71">
        <v>0.9375</v>
      </c>
      <c r="AM77" s="71">
        <v>0.35486111111111113</v>
      </c>
      <c r="AN77" s="71">
        <v>0.98055555555555562</v>
      </c>
      <c r="AO77" s="71">
        <v>0.35416666666666669</v>
      </c>
      <c r="AP77" s="71">
        <v>5.5555555555555558E-3</v>
      </c>
      <c r="AQ77" s="123">
        <v>0.5805555555555556</v>
      </c>
      <c r="AR77" s="123">
        <v>0.94097222222222221</v>
      </c>
      <c r="AS77" s="71">
        <v>0.35347222222222219</v>
      </c>
      <c r="AT77" s="71">
        <v>0.94513888888888886</v>
      </c>
      <c r="AU77" s="71">
        <v>0.35416666666666669</v>
      </c>
      <c r="AV77" s="71">
        <v>0.96250000000000002</v>
      </c>
      <c r="AW77" s="71">
        <v>0.35416666666666669</v>
      </c>
      <c r="AX77" s="71">
        <v>0.94513888888888886</v>
      </c>
      <c r="AY77" s="71">
        <v>0.35416666666666669</v>
      </c>
      <c r="AZ77" s="71">
        <v>0.95138888888888884</v>
      </c>
      <c r="BA77" s="71">
        <v>0.34861111111111115</v>
      </c>
      <c r="BB77" s="71">
        <v>0.94444444444444453</v>
      </c>
      <c r="BC77" s="71">
        <v>0.35416666666666669</v>
      </c>
      <c r="BD77" s="71">
        <v>0.97916666666666663</v>
      </c>
      <c r="BE77" s="107" t="s">
        <v>15</v>
      </c>
      <c r="BF77" s="107" t="s">
        <v>15</v>
      </c>
      <c r="BG77" s="71">
        <v>0.35347222222222219</v>
      </c>
      <c r="BH77" s="71">
        <v>0.94791666666666663</v>
      </c>
      <c r="BI77" s="71">
        <v>0.35069444444444442</v>
      </c>
      <c r="BJ77" s="71">
        <v>0.9916666666666667</v>
      </c>
      <c r="BK77" s="71">
        <v>0.35416666666666669</v>
      </c>
      <c r="BL77" s="71">
        <v>0.95833333333333337</v>
      </c>
      <c r="BM77" s="71">
        <v>0.35138888888888892</v>
      </c>
      <c r="BN77" s="71">
        <v>0.98333333333333339</v>
      </c>
      <c r="BO77" s="122">
        <f t="shared" si="15"/>
        <v>30</v>
      </c>
      <c r="BP77" s="75">
        <v>2</v>
      </c>
      <c r="BQ77" s="2">
        <f t="shared" si="17"/>
        <v>28</v>
      </c>
      <c r="BR77" s="3">
        <f t="shared" si="18"/>
        <v>2</v>
      </c>
      <c r="BS77" s="3">
        <f t="shared" si="19"/>
        <v>0</v>
      </c>
      <c r="BT77" s="3">
        <f t="shared" si="20"/>
        <v>0</v>
      </c>
      <c r="BU77" s="3">
        <f t="shared" si="21"/>
        <v>0</v>
      </c>
      <c r="BV77" s="3">
        <f t="shared" si="22"/>
        <v>0</v>
      </c>
      <c r="BW77" s="3">
        <f t="shared" si="23"/>
        <v>0</v>
      </c>
      <c r="BX77" s="3">
        <f t="shared" si="24"/>
        <v>0</v>
      </c>
      <c r="BY77" s="3">
        <f t="shared" si="25"/>
        <v>0</v>
      </c>
      <c r="BZ77" s="3">
        <f t="shared" si="26"/>
        <v>0</v>
      </c>
      <c r="CA77" s="3">
        <f t="shared" si="27"/>
        <v>0</v>
      </c>
      <c r="CB77" s="3">
        <f t="shared" si="28"/>
        <v>0</v>
      </c>
      <c r="CC77" s="4"/>
      <c r="CE77" s="153">
        <v>0</v>
      </c>
      <c r="CF77" s="154">
        <v>0</v>
      </c>
      <c r="CG77" s="154">
        <v>0</v>
      </c>
      <c r="CH77" s="154">
        <v>0</v>
      </c>
      <c r="CI77" s="154">
        <v>0</v>
      </c>
      <c r="CJ77" s="154">
        <v>0</v>
      </c>
      <c r="CK77" s="154">
        <v>0</v>
      </c>
      <c r="CL77" s="154">
        <v>0</v>
      </c>
      <c r="CM77" s="154">
        <v>0</v>
      </c>
      <c r="CN77" s="154">
        <v>0</v>
      </c>
      <c r="CO77" s="156">
        <f t="shared" si="29"/>
        <v>0</v>
      </c>
    </row>
    <row r="78" spans="1:93" ht="21.75" customHeight="1" x14ac:dyDescent="0.25">
      <c r="A78" s="47">
        <v>61</v>
      </c>
      <c r="B78" s="13" t="s">
        <v>159</v>
      </c>
      <c r="C78" s="88" t="s">
        <v>242</v>
      </c>
      <c r="D78" s="100">
        <v>45679</v>
      </c>
      <c r="E78" s="71">
        <v>0.33680555555555558</v>
      </c>
      <c r="F78" s="71">
        <v>0.95694444444444438</v>
      </c>
      <c r="G78" s="71">
        <v>0.33819444444444446</v>
      </c>
      <c r="H78" s="71">
        <v>0.9555555555555556</v>
      </c>
      <c r="I78" s="71">
        <v>0.33749999999999997</v>
      </c>
      <c r="J78" s="71">
        <v>0.95000000000000007</v>
      </c>
      <c r="K78" s="71">
        <v>0.33680555555555558</v>
      </c>
      <c r="L78" s="71">
        <v>0.98333333333333339</v>
      </c>
      <c r="M78" s="123">
        <v>0.5805555555555556</v>
      </c>
      <c r="N78" s="127">
        <v>0.95208333333333339</v>
      </c>
      <c r="O78" s="71">
        <v>0.33888888888888885</v>
      </c>
      <c r="P78" s="71">
        <v>0.96944444444444444</v>
      </c>
      <c r="Q78" s="71">
        <v>0.33888888888888885</v>
      </c>
      <c r="R78" s="71">
        <v>0.95416666666666661</v>
      </c>
      <c r="S78" s="71">
        <v>0.33819444444444446</v>
      </c>
      <c r="T78" s="71">
        <v>0.94791666666666663</v>
      </c>
      <c r="U78" s="71">
        <v>0.33888888888888885</v>
      </c>
      <c r="V78" s="71">
        <v>0.95347222222222217</v>
      </c>
      <c r="W78" s="71">
        <v>0.33888888888888885</v>
      </c>
      <c r="X78" s="71">
        <v>0.95486111111111116</v>
      </c>
      <c r="Y78" s="71">
        <v>0.33888888888888885</v>
      </c>
      <c r="Z78" s="71">
        <v>0.96875</v>
      </c>
      <c r="AA78" s="107" t="s">
        <v>15</v>
      </c>
      <c r="AB78" s="125" t="s">
        <v>15</v>
      </c>
      <c r="AC78" s="71">
        <v>0.3354166666666667</v>
      </c>
      <c r="AD78" s="71">
        <v>0.96944444444444444</v>
      </c>
      <c r="AE78" s="71">
        <v>0.33680555555555558</v>
      </c>
      <c r="AF78" s="71">
        <v>0.97569444444444453</v>
      </c>
      <c r="AG78" s="71">
        <v>0.33749999999999997</v>
      </c>
      <c r="AH78" s="71">
        <v>0.95208333333333339</v>
      </c>
      <c r="AI78" s="143"/>
      <c r="AJ78" s="47">
        <v>62</v>
      </c>
      <c r="AK78" s="71">
        <v>0.33819444444444446</v>
      </c>
      <c r="AL78" s="71">
        <v>0.9506944444444444</v>
      </c>
      <c r="AM78" s="71">
        <v>0.35347222222222219</v>
      </c>
      <c r="AN78" s="71">
        <v>0.95138888888888884</v>
      </c>
      <c r="AO78" s="71">
        <v>0.33819444444444446</v>
      </c>
      <c r="AP78" s="71">
        <v>0.96180555555555547</v>
      </c>
      <c r="AQ78" s="123">
        <v>0.58124999999999993</v>
      </c>
      <c r="AR78" s="123">
        <v>0.94930555555555562</v>
      </c>
      <c r="AS78" s="71">
        <v>0.33888888888888885</v>
      </c>
      <c r="AT78" s="71">
        <v>0.96250000000000002</v>
      </c>
      <c r="AU78" s="71">
        <v>0.33888888888888885</v>
      </c>
      <c r="AV78" s="71">
        <v>0.94791666666666663</v>
      </c>
      <c r="AW78" s="71">
        <v>0.33819444444444446</v>
      </c>
      <c r="AX78" s="71">
        <v>0.94791666666666663</v>
      </c>
      <c r="AY78" s="71">
        <v>0.33611111111111108</v>
      </c>
      <c r="AZ78" s="71">
        <v>0.95000000000000007</v>
      </c>
      <c r="BA78" s="71">
        <v>0.33888888888888885</v>
      </c>
      <c r="BB78" s="71">
        <v>0.94652777777777775</v>
      </c>
      <c r="BC78" s="71">
        <v>0.33819444444444446</v>
      </c>
      <c r="BD78" s="71">
        <v>0.96597222222222223</v>
      </c>
      <c r="BE78" s="107" t="s">
        <v>15</v>
      </c>
      <c r="BF78" s="107" t="s">
        <v>15</v>
      </c>
      <c r="BG78" s="71">
        <v>0.33749999999999997</v>
      </c>
      <c r="BH78" s="71">
        <v>0.95833333333333337</v>
      </c>
      <c r="BI78" s="71">
        <v>0.34027777777777773</v>
      </c>
      <c r="BJ78" s="71">
        <v>0.97638888888888886</v>
      </c>
      <c r="BK78" s="71">
        <v>0.33819444444444446</v>
      </c>
      <c r="BL78" s="71">
        <v>0.95138888888888884</v>
      </c>
      <c r="BM78" s="71">
        <v>0.33888888888888885</v>
      </c>
      <c r="BN78" s="71">
        <v>0.95763888888888893</v>
      </c>
      <c r="BO78" s="122">
        <f t="shared" si="15"/>
        <v>30</v>
      </c>
      <c r="BP78" s="75">
        <v>2</v>
      </c>
      <c r="BQ78" s="2">
        <f t="shared" si="17"/>
        <v>28</v>
      </c>
      <c r="BR78" s="3">
        <f t="shared" si="18"/>
        <v>2</v>
      </c>
      <c r="BS78" s="3">
        <f t="shared" si="19"/>
        <v>0</v>
      </c>
      <c r="BT78" s="3">
        <f t="shared" si="20"/>
        <v>0</v>
      </c>
      <c r="BU78" s="3">
        <f t="shared" si="21"/>
        <v>0</v>
      </c>
      <c r="BV78" s="3">
        <f t="shared" si="22"/>
        <v>0</v>
      </c>
      <c r="BW78" s="3">
        <f t="shared" si="23"/>
        <v>0</v>
      </c>
      <c r="BX78" s="3">
        <f t="shared" si="24"/>
        <v>0</v>
      </c>
      <c r="BY78" s="3">
        <f t="shared" si="25"/>
        <v>0</v>
      </c>
      <c r="BZ78" s="3">
        <f t="shared" si="26"/>
        <v>0</v>
      </c>
      <c r="CA78" s="3">
        <f t="shared" si="27"/>
        <v>0</v>
      </c>
      <c r="CB78" s="3">
        <f t="shared" si="28"/>
        <v>0</v>
      </c>
      <c r="CC78" s="4"/>
      <c r="CE78" s="57">
        <v>0</v>
      </c>
      <c r="CF78" s="56">
        <v>0</v>
      </c>
      <c r="CG78" s="56">
        <v>0</v>
      </c>
      <c r="CH78" s="56">
        <v>0</v>
      </c>
      <c r="CI78" s="56">
        <v>0</v>
      </c>
      <c r="CJ78" s="57">
        <v>14</v>
      </c>
      <c r="CK78" s="57">
        <v>1</v>
      </c>
      <c r="CL78" s="56">
        <v>0</v>
      </c>
      <c r="CM78" s="56">
        <v>0</v>
      </c>
      <c r="CN78" s="56">
        <v>0</v>
      </c>
      <c r="CO78" s="157">
        <f t="shared" si="29"/>
        <v>15</v>
      </c>
    </row>
    <row r="79" spans="1:93" ht="21.75" customHeight="1" x14ac:dyDescent="0.25">
      <c r="A79" s="47">
        <v>62</v>
      </c>
      <c r="B79" s="13" t="s">
        <v>160</v>
      </c>
      <c r="C79" s="88" t="s">
        <v>161</v>
      </c>
      <c r="D79" s="100">
        <v>45812</v>
      </c>
      <c r="E79" s="71">
        <v>0.35138888888888892</v>
      </c>
      <c r="F79" s="71">
        <v>0.92638888888888893</v>
      </c>
      <c r="G79" s="71">
        <v>0.35069444444444442</v>
      </c>
      <c r="H79" s="71">
        <v>0.95277777777777783</v>
      </c>
      <c r="I79" s="71">
        <v>0.3520833333333333</v>
      </c>
      <c r="J79" s="71">
        <v>0.92638888888888893</v>
      </c>
      <c r="K79" s="71">
        <v>0.35347222222222219</v>
      </c>
      <c r="L79" s="71">
        <v>0.94652777777777775</v>
      </c>
      <c r="M79" s="123">
        <v>0.57916666666666672</v>
      </c>
      <c r="N79" s="127">
        <v>0.86319444444444438</v>
      </c>
      <c r="O79" s="71">
        <v>0.34930555555555554</v>
      </c>
      <c r="P79" s="71">
        <v>0.95138888888888884</v>
      </c>
      <c r="Q79" s="71">
        <v>0.35138888888888892</v>
      </c>
      <c r="R79" s="71">
        <v>0.92152777777777783</v>
      </c>
      <c r="S79" s="71">
        <v>0.35416666666666669</v>
      </c>
      <c r="T79" s="71">
        <v>0.90208333333333324</v>
      </c>
      <c r="U79" s="71">
        <v>0.35347222222222219</v>
      </c>
      <c r="V79" s="71">
        <v>0.92499999999999993</v>
      </c>
      <c r="W79" s="71">
        <v>0.35138888888888892</v>
      </c>
      <c r="X79" s="71">
        <v>0.91527777777777775</v>
      </c>
      <c r="Y79" s="71">
        <v>0.3527777777777778</v>
      </c>
      <c r="Z79" s="71">
        <v>0.92708333333333337</v>
      </c>
      <c r="AA79" s="107" t="s">
        <v>15</v>
      </c>
      <c r="AB79" s="125" t="s">
        <v>15</v>
      </c>
      <c r="AC79" s="71">
        <v>0.35000000000000003</v>
      </c>
      <c r="AD79" s="71">
        <v>0.91805555555555562</v>
      </c>
      <c r="AE79" s="71">
        <v>0.35347222222222219</v>
      </c>
      <c r="AF79" s="71">
        <v>0.92847222222222225</v>
      </c>
      <c r="AG79" s="71">
        <v>0.35347222222222219</v>
      </c>
      <c r="AH79" s="71">
        <v>0.90902777777777777</v>
      </c>
      <c r="AI79" s="143"/>
      <c r="AJ79" s="47">
        <v>63</v>
      </c>
      <c r="AK79" s="71">
        <v>0.35347222222222219</v>
      </c>
      <c r="AL79" s="71">
        <v>0.8979166666666667</v>
      </c>
      <c r="AM79" s="71">
        <v>0.35416666666666669</v>
      </c>
      <c r="AN79" s="71">
        <v>0.9145833333333333</v>
      </c>
      <c r="AO79" s="71">
        <v>0.3520833333333333</v>
      </c>
      <c r="AP79" s="71">
        <v>0.92638888888888893</v>
      </c>
      <c r="AQ79" s="123">
        <v>0.57430555555555551</v>
      </c>
      <c r="AR79" s="123">
        <v>0.8833333333333333</v>
      </c>
      <c r="AS79" s="71">
        <v>0.3520833333333333</v>
      </c>
      <c r="AT79" s="71">
        <v>0.9194444444444444</v>
      </c>
      <c r="AU79" s="71">
        <v>0.35069444444444442</v>
      </c>
      <c r="AV79" s="71">
        <v>0.89583333333333337</v>
      </c>
      <c r="AW79" s="71">
        <v>0.35347222222222219</v>
      </c>
      <c r="AX79" s="71">
        <v>0.8930555555555556</v>
      </c>
      <c r="AY79" s="71">
        <v>0.3520833333333333</v>
      </c>
      <c r="AZ79" s="71">
        <v>0.90902777777777777</v>
      </c>
      <c r="BA79" s="71">
        <v>0.3527777777777778</v>
      </c>
      <c r="BB79" s="71">
        <v>0.8979166666666667</v>
      </c>
      <c r="BC79" s="71">
        <v>0.35138888888888892</v>
      </c>
      <c r="BD79" s="71">
        <v>0.92361111111111116</v>
      </c>
      <c r="BE79" s="107" t="s">
        <v>15</v>
      </c>
      <c r="BF79" s="107" t="s">
        <v>15</v>
      </c>
      <c r="BG79" s="71">
        <v>0.3520833333333333</v>
      </c>
      <c r="BH79" s="71">
        <v>0.94861111111111107</v>
      </c>
      <c r="BI79" s="71">
        <v>0.35347222222222219</v>
      </c>
      <c r="BJ79" s="71">
        <v>0.90486111111111101</v>
      </c>
      <c r="BK79" s="71">
        <v>0.34930555555555554</v>
      </c>
      <c r="BL79" s="71">
        <v>0.90694444444444444</v>
      </c>
      <c r="BM79" s="71">
        <v>0.35347222222222219</v>
      </c>
      <c r="BN79" s="71">
        <v>0.91875000000000007</v>
      </c>
      <c r="BO79" s="122">
        <f t="shared" si="15"/>
        <v>30</v>
      </c>
      <c r="BP79" s="75">
        <v>2</v>
      </c>
      <c r="BQ79" s="2">
        <f t="shared" si="17"/>
        <v>28</v>
      </c>
      <c r="BR79" s="3">
        <f t="shared" si="18"/>
        <v>2</v>
      </c>
      <c r="BS79" s="3">
        <f t="shared" si="19"/>
        <v>0</v>
      </c>
      <c r="BT79" s="3">
        <f t="shared" si="20"/>
        <v>0</v>
      </c>
      <c r="BU79" s="3">
        <f t="shared" si="21"/>
        <v>0</v>
      </c>
      <c r="BV79" s="3">
        <f t="shared" si="22"/>
        <v>0</v>
      </c>
      <c r="BW79" s="3">
        <f t="shared" si="23"/>
        <v>0</v>
      </c>
      <c r="BX79" s="3">
        <f t="shared" si="24"/>
        <v>0</v>
      </c>
      <c r="BY79" s="3">
        <f t="shared" si="25"/>
        <v>0</v>
      </c>
      <c r="BZ79" s="3">
        <f t="shared" si="26"/>
        <v>0</v>
      </c>
      <c r="CA79" s="3">
        <f t="shared" si="27"/>
        <v>0</v>
      </c>
      <c r="CB79" s="3">
        <f t="shared" si="28"/>
        <v>0</v>
      </c>
      <c r="CC79" s="4"/>
      <c r="CE79" s="153">
        <v>0</v>
      </c>
      <c r="CF79" s="154">
        <v>0</v>
      </c>
      <c r="CG79" s="154">
        <v>0</v>
      </c>
      <c r="CH79" s="154">
        <v>0</v>
      </c>
      <c r="CI79" s="154">
        <v>0</v>
      </c>
      <c r="CJ79" s="154">
        <v>2</v>
      </c>
      <c r="CK79" s="154">
        <v>0</v>
      </c>
      <c r="CL79" s="153">
        <v>1</v>
      </c>
      <c r="CM79" s="154">
        <v>0</v>
      </c>
      <c r="CN79" s="154">
        <v>0</v>
      </c>
      <c r="CO79" s="156">
        <f t="shared" si="29"/>
        <v>3</v>
      </c>
    </row>
    <row r="80" spans="1:93" ht="21.75" customHeight="1" x14ac:dyDescent="0.25">
      <c r="A80" s="47">
        <v>63</v>
      </c>
      <c r="B80" s="13" t="s">
        <v>162</v>
      </c>
      <c r="C80" s="88" t="s">
        <v>163</v>
      </c>
      <c r="D80" s="100">
        <v>45826</v>
      </c>
      <c r="E80" s="71">
        <v>0.35347222222222219</v>
      </c>
      <c r="F80" s="71">
        <v>0.95694444444444438</v>
      </c>
      <c r="G80" s="71">
        <v>0.35416666666666669</v>
      </c>
      <c r="H80" s="71">
        <v>0.94791666666666663</v>
      </c>
      <c r="I80" s="71">
        <v>0.3527777777777778</v>
      </c>
      <c r="J80" s="71">
        <v>0.94930555555555562</v>
      </c>
      <c r="K80" s="71">
        <v>0.35625000000000001</v>
      </c>
      <c r="L80" s="71">
        <v>0.95972222222222225</v>
      </c>
      <c r="M80" s="123">
        <v>0.58333333333333337</v>
      </c>
      <c r="N80" s="127">
        <v>0.93333333333333324</v>
      </c>
      <c r="O80" s="71">
        <v>0.35347222222222219</v>
      </c>
      <c r="P80" s="71">
        <v>0.97569444444444453</v>
      </c>
      <c r="Q80" s="71">
        <v>0.35555555555555557</v>
      </c>
      <c r="R80" s="71">
        <v>0.94513888888888886</v>
      </c>
      <c r="S80" s="71">
        <v>0.35347222222222219</v>
      </c>
      <c r="T80" s="71">
        <v>0.9375</v>
      </c>
      <c r="U80" s="71">
        <v>0.35555555555555557</v>
      </c>
      <c r="V80" s="71">
        <v>0.96180555555555547</v>
      </c>
      <c r="W80" s="71">
        <v>0.35833333333333334</v>
      </c>
      <c r="X80" s="71">
        <v>0.9375</v>
      </c>
      <c r="Y80" s="71">
        <v>0.35486111111111113</v>
      </c>
      <c r="Z80" s="71">
        <v>0.94027777777777777</v>
      </c>
      <c r="AA80" s="123">
        <v>0.58194444444444449</v>
      </c>
      <c r="AB80" s="124">
        <v>1</v>
      </c>
      <c r="AC80" s="71">
        <v>0.3527777777777778</v>
      </c>
      <c r="AD80" s="71">
        <v>0.94930555555555562</v>
      </c>
      <c r="AE80" s="71">
        <v>0.35555555555555557</v>
      </c>
      <c r="AF80" s="71">
        <v>0.95000000000000007</v>
      </c>
      <c r="AG80" s="71">
        <v>0.35555555555555557</v>
      </c>
      <c r="AH80" s="71">
        <v>0.9506944444444444</v>
      </c>
      <c r="AI80" s="143"/>
      <c r="AJ80" s="47">
        <v>64</v>
      </c>
      <c r="AK80" s="71">
        <v>0.35416666666666669</v>
      </c>
      <c r="AL80" s="71">
        <v>0.93472222222222223</v>
      </c>
      <c r="AM80" s="71">
        <v>0.35486111111111113</v>
      </c>
      <c r="AN80" s="71">
        <v>0.93819444444444444</v>
      </c>
      <c r="AO80" s="71">
        <v>0.35416666666666669</v>
      </c>
      <c r="AP80" s="76">
        <v>1</v>
      </c>
      <c r="AQ80" s="123">
        <v>0.58263888888888882</v>
      </c>
      <c r="AR80" s="123">
        <v>0.93819444444444444</v>
      </c>
      <c r="AS80" s="71">
        <v>0.35486111111111113</v>
      </c>
      <c r="AT80" s="71">
        <v>0.93888888888888899</v>
      </c>
      <c r="AU80" s="71">
        <v>0.34930555555555554</v>
      </c>
      <c r="AV80" s="71">
        <v>0.97222222222222221</v>
      </c>
      <c r="AW80" s="71">
        <v>0.35486111111111113</v>
      </c>
      <c r="AX80" s="71">
        <v>0.9458333333333333</v>
      </c>
      <c r="AY80" s="71">
        <v>0.33749999999999997</v>
      </c>
      <c r="AZ80" s="71">
        <v>0.94513888888888886</v>
      </c>
      <c r="BA80" s="71">
        <v>0.35069444444444442</v>
      </c>
      <c r="BB80" s="76">
        <v>1</v>
      </c>
      <c r="BC80" s="71">
        <v>0.33333333333333331</v>
      </c>
      <c r="BD80" s="71">
        <v>0.94513888888888886</v>
      </c>
      <c r="BE80" s="107" t="s">
        <v>15</v>
      </c>
      <c r="BF80" s="107" t="s">
        <v>15</v>
      </c>
      <c r="BG80" s="71">
        <v>0.34027777777777773</v>
      </c>
      <c r="BH80" s="71">
        <v>0.94097222222222221</v>
      </c>
      <c r="BI80" s="71">
        <v>0.35138888888888892</v>
      </c>
      <c r="BJ80" s="76">
        <v>1</v>
      </c>
      <c r="BK80" s="71">
        <v>0.35486111111111113</v>
      </c>
      <c r="BL80" s="71">
        <v>0.95763888888888893</v>
      </c>
      <c r="BM80" s="71">
        <v>0.35416666666666669</v>
      </c>
      <c r="BN80" s="76">
        <v>1</v>
      </c>
      <c r="BO80" s="122">
        <f t="shared" si="15"/>
        <v>30</v>
      </c>
      <c r="BP80" s="75">
        <v>3</v>
      </c>
      <c r="BQ80" s="2">
        <f t="shared" si="17"/>
        <v>29</v>
      </c>
      <c r="BR80" s="3">
        <f t="shared" si="18"/>
        <v>1</v>
      </c>
      <c r="BS80" s="3">
        <f t="shared" si="19"/>
        <v>0</v>
      </c>
      <c r="BT80" s="3">
        <f t="shared" si="20"/>
        <v>0</v>
      </c>
      <c r="BU80" s="3">
        <f t="shared" si="21"/>
        <v>0</v>
      </c>
      <c r="BV80" s="3">
        <f t="shared" si="22"/>
        <v>0</v>
      </c>
      <c r="BW80" s="3">
        <f t="shared" si="23"/>
        <v>0</v>
      </c>
      <c r="BX80" s="3">
        <f t="shared" si="24"/>
        <v>0</v>
      </c>
      <c r="BY80" s="3">
        <f t="shared" si="25"/>
        <v>0</v>
      </c>
      <c r="BZ80" s="3">
        <f t="shared" si="26"/>
        <v>0</v>
      </c>
      <c r="CA80" s="3">
        <f t="shared" si="27"/>
        <v>0</v>
      </c>
      <c r="CB80" s="3">
        <f t="shared" si="28"/>
        <v>0</v>
      </c>
      <c r="CC80" s="79"/>
      <c r="CE80" s="57">
        <v>0</v>
      </c>
      <c r="CF80" s="56">
        <v>0</v>
      </c>
      <c r="CG80" s="56">
        <v>0</v>
      </c>
      <c r="CH80" s="56">
        <v>0</v>
      </c>
      <c r="CI80" s="56">
        <v>0</v>
      </c>
      <c r="CJ80" s="56">
        <v>0</v>
      </c>
      <c r="CK80" s="56">
        <v>0</v>
      </c>
      <c r="CL80" s="56">
        <v>0</v>
      </c>
      <c r="CM80" s="56">
        <v>0</v>
      </c>
      <c r="CN80" s="56">
        <v>0</v>
      </c>
      <c r="CO80" s="157">
        <f t="shared" si="29"/>
        <v>0</v>
      </c>
    </row>
    <row r="81" spans="1:93" ht="21.75" customHeight="1" x14ac:dyDescent="0.25">
      <c r="A81" s="47">
        <v>64</v>
      </c>
      <c r="B81" s="13" t="s">
        <v>164</v>
      </c>
      <c r="C81" s="88" t="s">
        <v>243</v>
      </c>
      <c r="D81" s="100">
        <v>45841</v>
      </c>
      <c r="E81" s="71">
        <v>0.3520833333333333</v>
      </c>
      <c r="F81" s="71">
        <v>0.98263888888888884</v>
      </c>
      <c r="G81" s="71">
        <v>0.3527777777777778</v>
      </c>
      <c r="H81" s="71">
        <v>0.96666666666666667</v>
      </c>
      <c r="I81" s="71">
        <v>0.3527777777777778</v>
      </c>
      <c r="J81" s="71">
        <v>0.97222222222222221</v>
      </c>
      <c r="K81" s="71">
        <v>0.35000000000000003</v>
      </c>
      <c r="L81" s="71">
        <v>0.98541666666666661</v>
      </c>
      <c r="M81" s="123">
        <v>0.58124999999999993</v>
      </c>
      <c r="N81" s="127">
        <v>0.96180555555555547</v>
      </c>
      <c r="O81" s="71">
        <v>0.35000000000000003</v>
      </c>
      <c r="P81" s="71">
        <v>0.93194444444444446</v>
      </c>
      <c r="Q81" s="71">
        <v>0.52708333333333335</v>
      </c>
      <c r="R81" s="71">
        <v>0.96875</v>
      </c>
      <c r="S81" s="71">
        <v>0.35000000000000003</v>
      </c>
      <c r="T81" s="71">
        <v>0.94097222222222221</v>
      </c>
      <c r="U81" s="71">
        <v>0.35416666666666669</v>
      </c>
      <c r="V81" s="71">
        <v>0.9506944444444444</v>
      </c>
      <c r="W81" s="82" t="s">
        <v>181</v>
      </c>
      <c r="X81" s="82" t="s">
        <v>181</v>
      </c>
      <c r="Y81" s="71">
        <v>0.3527777777777778</v>
      </c>
      <c r="Z81" s="71">
        <v>0.98472222222222217</v>
      </c>
      <c r="AA81" s="107" t="s">
        <v>15</v>
      </c>
      <c r="AB81" s="125" t="s">
        <v>15</v>
      </c>
      <c r="AC81" s="71">
        <v>0.35069444444444442</v>
      </c>
      <c r="AD81" s="71">
        <v>0.99097222222222225</v>
      </c>
      <c r="AE81" s="71">
        <v>0.35000000000000003</v>
      </c>
      <c r="AF81" s="71">
        <v>1.1805555555555555E-2</v>
      </c>
      <c r="AG81" s="71">
        <v>0.35000000000000003</v>
      </c>
      <c r="AH81" s="71">
        <v>0.94930555555555562</v>
      </c>
      <c r="AI81" s="143"/>
      <c r="AJ81" s="47">
        <v>65</v>
      </c>
      <c r="AK81" s="71">
        <v>0.3527777777777778</v>
      </c>
      <c r="AL81" s="71">
        <v>0.93680555555555556</v>
      </c>
      <c r="AM81" s="71">
        <v>0.35000000000000003</v>
      </c>
      <c r="AN81" s="71">
        <v>0.98055555555555562</v>
      </c>
      <c r="AO81" s="71">
        <v>0.35000000000000003</v>
      </c>
      <c r="AP81" s="71">
        <v>5.5555555555555558E-3</v>
      </c>
      <c r="AQ81" s="123">
        <v>0.57916666666666672</v>
      </c>
      <c r="AR81" s="123">
        <v>0.94097222222222221</v>
      </c>
      <c r="AS81" s="71">
        <v>0.35347222222222219</v>
      </c>
      <c r="AT81" s="71">
        <v>0.94652777777777775</v>
      </c>
      <c r="AU81" s="71">
        <v>0.35416666666666669</v>
      </c>
      <c r="AV81" s="76">
        <v>1</v>
      </c>
      <c r="AW81" s="71">
        <v>0.35416666666666669</v>
      </c>
      <c r="AX81" s="71">
        <v>0.94305555555555554</v>
      </c>
      <c r="AY81" s="71">
        <v>0.35347222222222219</v>
      </c>
      <c r="AZ81" s="71">
        <v>0.95138888888888884</v>
      </c>
      <c r="BA81" s="71">
        <v>0.35069444444444442</v>
      </c>
      <c r="BB81" s="71">
        <v>0.94236111111111109</v>
      </c>
      <c r="BC81" s="71">
        <v>0.3520833333333333</v>
      </c>
      <c r="BD81" s="71">
        <v>0.98055555555555562</v>
      </c>
      <c r="BE81" s="107" t="s">
        <v>15</v>
      </c>
      <c r="BF81" s="107" t="s">
        <v>15</v>
      </c>
      <c r="BG81" s="71">
        <v>0.35138888888888892</v>
      </c>
      <c r="BH81" s="71">
        <v>0.94027777777777777</v>
      </c>
      <c r="BI81" s="71">
        <v>0.35069444444444442</v>
      </c>
      <c r="BJ81" s="76">
        <v>1</v>
      </c>
      <c r="BK81" s="71">
        <v>0.35000000000000003</v>
      </c>
      <c r="BL81" s="71">
        <v>0.9590277777777777</v>
      </c>
      <c r="BM81" s="71">
        <v>0.35138888888888892</v>
      </c>
      <c r="BN81" s="71">
        <v>0.98333333333333339</v>
      </c>
      <c r="BO81" s="122">
        <f t="shared" si="15"/>
        <v>30</v>
      </c>
      <c r="BP81" s="75">
        <v>2</v>
      </c>
      <c r="BQ81" s="2">
        <f t="shared" si="17"/>
        <v>27</v>
      </c>
      <c r="BR81" s="3">
        <f t="shared" si="18"/>
        <v>2</v>
      </c>
      <c r="BS81" s="3">
        <f t="shared" si="19"/>
        <v>0</v>
      </c>
      <c r="BT81" s="3">
        <f t="shared" si="20"/>
        <v>0</v>
      </c>
      <c r="BU81" s="3">
        <f t="shared" si="21"/>
        <v>0</v>
      </c>
      <c r="BV81" s="3">
        <f t="shared" si="22"/>
        <v>0</v>
      </c>
      <c r="BW81" s="3">
        <f t="shared" si="23"/>
        <v>0</v>
      </c>
      <c r="BX81" s="3">
        <f t="shared" si="24"/>
        <v>1</v>
      </c>
      <c r="BY81" s="3">
        <f t="shared" si="25"/>
        <v>0</v>
      </c>
      <c r="BZ81" s="3">
        <f t="shared" si="26"/>
        <v>0</v>
      </c>
      <c r="CA81" s="3">
        <f t="shared" si="27"/>
        <v>0</v>
      </c>
      <c r="CB81" s="3">
        <f t="shared" si="28"/>
        <v>0</v>
      </c>
      <c r="CC81" s="4"/>
      <c r="CE81" s="153">
        <v>0</v>
      </c>
      <c r="CF81" s="154">
        <v>0</v>
      </c>
      <c r="CG81" s="154">
        <v>0</v>
      </c>
      <c r="CH81" s="154">
        <v>0</v>
      </c>
      <c r="CI81" s="154">
        <v>0</v>
      </c>
      <c r="CJ81" s="154">
        <v>2</v>
      </c>
      <c r="CK81" s="154">
        <v>0</v>
      </c>
      <c r="CL81" s="154">
        <v>0</v>
      </c>
      <c r="CM81" s="154">
        <v>0</v>
      </c>
      <c r="CN81" s="154">
        <v>0</v>
      </c>
      <c r="CO81" s="156">
        <f t="shared" si="29"/>
        <v>2</v>
      </c>
    </row>
    <row r="82" spans="1:93" ht="21.75" customHeight="1" x14ac:dyDescent="0.25">
      <c r="A82" s="47">
        <v>65</v>
      </c>
      <c r="B82" s="13" t="s">
        <v>165</v>
      </c>
      <c r="C82" s="88" t="s">
        <v>166</v>
      </c>
      <c r="D82" s="100">
        <v>45841</v>
      </c>
      <c r="E82" s="71">
        <v>0.35486111111111113</v>
      </c>
      <c r="F82" s="71">
        <v>0.94444444444444453</v>
      </c>
      <c r="G82" s="71">
        <v>0.35625000000000001</v>
      </c>
      <c r="H82" s="71">
        <v>0.9458333333333333</v>
      </c>
      <c r="I82" s="71">
        <v>0.35694444444444445</v>
      </c>
      <c r="J82" s="71">
        <v>0.9458333333333333</v>
      </c>
      <c r="K82" s="71">
        <v>0.35416666666666669</v>
      </c>
      <c r="L82" s="71">
        <v>0.97986111111111107</v>
      </c>
      <c r="M82" s="123">
        <v>0.58819444444444446</v>
      </c>
      <c r="N82" s="126">
        <v>1</v>
      </c>
      <c r="O82" s="71">
        <v>0.95972222222222225</v>
      </c>
      <c r="P82" s="76">
        <v>1</v>
      </c>
      <c r="Q82" s="71">
        <v>0.35416666666666669</v>
      </c>
      <c r="R82" s="71">
        <v>0.94444444444444453</v>
      </c>
      <c r="S82" s="71">
        <v>0.36874999999999997</v>
      </c>
      <c r="T82" s="71">
        <v>0.94027777777777777</v>
      </c>
      <c r="U82" s="71">
        <v>0.35625000000000001</v>
      </c>
      <c r="V82" s="71">
        <v>0.94513888888888886</v>
      </c>
      <c r="W82" s="71">
        <v>0.35416666666666669</v>
      </c>
      <c r="X82" s="71">
        <v>0.97291666666666676</v>
      </c>
      <c r="Y82" s="71">
        <v>0.35486111111111113</v>
      </c>
      <c r="Z82" s="71">
        <v>0.96944444444444444</v>
      </c>
      <c r="AA82" s="107" t="s">
        <v>15</v>
      </c>
      <c r="AB82" s="125" t="s">
        <v>15</v>
      </c>
      <c r="AC82" s="71">
        <v>0.35486111111111113</v>
      </c>
      <c r="AD82" s="71">
        <v>0.96180555555555547</v>
      </c>
      <c r="AE82" s="71">
        <v>0.35347222222222219</v>
      </c>
      <c r="AF82" s="71">
        <v>0.96875</v>
      </c>
      <c r="AG82" s="71">
        <v>0.35486111111111113</v>
      </c>
      <c r="AH82" s="71">
        <v>0.94513888888888886</v>
      </c>
      <c r="AI82" s="143"/>
      <c r="AJ82" s="47">
        <v>66</v>
      </c>
      <c r="AK82" s="71">
        <v>0.35555555555555557</v>
      </c>
      <c r="AL82" s="71">
        <v>0.94305555555555554</v>
      </c>
      <c r="AM82" s="71">
        <v>0.35555555555555557</v>
      </c>
      <c r="AN82" s="71">
        <v>0.94236111111111109</v>
      </c>
      <c r="AO82" s="71">
        <v>0.35347222222222219</v>
      </c>
      <c r="AP82" s="71">
        <v>0.96458333333333324</v>
      </c>
      <c r="AQ82" s="123">
        <v>0.58333333333333337</v>
      </c>
      <c r="AR82" s="123">
        <v>0.9458333333333333</v>
      </c>
      <c r="AS82" s="71">
        <v>0.35416666666666669</v>
      </c>
      <c r="AT82" s="71">
        <v>0.96111111111111114</v>
      </c>
      <c r="AU82" s="71">
        <v>0.35486111111111113</v>
      </c>
      <c r="AV82" s="71">
        <v>0.94374999999999998</v>
      </c>
      <c r="AW82" s="71">
        <v>0.3527777777777778</v>
      </c>
      <c r="AX82" s="71">
        <v>0.94236111111111109</v>
      </c>
      <c r="AY82" s="71">
        <v>0.35347222222222219</v>
      </c>
      <c r="AZ82" s="71">
        <v>0.94305555555555554</v>
      </c>
      <c r="BA82" s="71">
        <v>0.35416666666666669</v>
      </c>
      <c r="BB82" s="71">
        <v>0.9458333333333333</v>
      </c>
      <c r="BC82" s="71">
        <v>0.3520833333333333</v>
      </c>
      <c r="BD82" s="71">
        <v>0.96805555555555556</v>
      </c>
      <c r="BE82" s="107" t="s">
        <v>15</v>
      </c>
      <c r="BF82" s="107" t="s">
        <v>15</v>
      </c>
      <c r="BG82" s="71">
        <v>0.35069444444444442</v>
      </c>
      <c r="BH82" s="71">
        <v>0.9604166666666667</v>
      </c>
      <c r="BI82" s="71">
        <v>0.35416666666666669</v>
      </c>
      <c r="BJ82" s="71">
        <v>0.97430555555555554</v>
      </c>
      <c r="BK82" s="71">
        <v>0.37083333333333335</v>
      </c>
      <c r="BL82" s="71">
        <v>0.93958333333333333</v>
      </c>
      <c r="BM82" s="71">
        <v>0.36388888888888887</v>
      </c>
      <c r="BN82" s="71">
        <v>0.95416666666666661</v>
      </c>
      <c r="BO82" s="122">
        <f t="shared" si="15"/>
        <v>30</v>
      </c>
      <c r="BP82" s="75">
        <v>2</v>
      </c>
      <c r="BQ82" s="2">
        <f t="shared" si="17"/>
        <v>28</v>
      </c>
      <c r="BR82" s="3">
        <f t="shared" si="18"/>
        <v>2</v>
      </c>
      <c r="BS82" s="3">
        <f t="shared" si="19"/>
        <v>0</v>
      </c>
      <c r="BT82" s="3">
        <f t="shared" si="20"/>
        <v>0</v>
      </c>
      <c r="BU82" s="3">
        <f t="shared" si="21"/>
        <v>0</v>
      </c>
      <c r="BV82" s="3">
        <f t="shared" si="22"/>
        <v>0</v>
      </c>
      <c r="BW82" s="3">
        <f t="shared" si="23"/>
        <v>0</v>
      </c>
      <c r="BX82" s="3">
        <f t="shared" si="24"/>
        <v>0</v>
      </c>
      <c r="BY82" s="3">
        <f t="shared" si="25"/>
        <v>0</v>
      </c>
      <c r="BZ82" s="3">
        <f t="shared" si="26"/>
        <v>0</v>
      </c>
      <c r="CA82" s="3">
        <f t="shared" si="27"/>
        <v>0</v>
      </c>
      <c r="CB82" s="3">
        <f t="shared" si="28"/>
        <v>0</v>
      </c>
      <c r="CC82" s="4"/>
      <c r="CE82" s="57">
        <v>0</v>
      </c>
      <c r="CF82" s="56">
        <v>0</v>
      </c>
      <c r="CG82" s="56">
        <v>0</v>
      </c>
      <c r="CH82" s="56">
        <v>0</v>
      </c>
      <c r="CI82" s="56">
        <v>0</v>
      </c>
      <c r="CJ82" s="57">
        <v>1</v>
      </c>
      <c r="CK82" s="56">
        <v>0</v>
      </c>
      <c r="CL82" s="56">
        <v>0</v>
      </c>
      <c r="CM82" s="56">
        <v>0</v>
      </c>
      <c r="CN82" s="56">
        <v>0</v>
      </c>
      <c r="CO82" s="157">
        <f t="shared" si="29"/>
        <v>1</v>
      </c>
    </row>
    <row r="83" spans="1:93" ht="21.75" customHeight="1" x14ac:dyDescent="0.25">
      <c r="A83" s="47">
        <v>66</v>
      </c>
      <c r="B83" s="13" t="s">
        <v>167</v>
      </c>
      <c r="C83" s="88" t="s">
        <v>168</v>
      </c>
      <c r="D83" s="100">
        <v>45912</v>
      </c>
      <c r="E83" s="71">
        <v>0.35416666666666669</v>
      </c>
      <c r="F83" s="71">
        <v>0.98333333333333339</v>
      </c>
      <c r="G83" s="71">
        <v>0.3520833333333333</v>
      </c>
      <c r="H83" s="71">
        <v>0.96666666666666667</v>
      </c>
      <c r="I83" s="71">
        <v>0.3527777777777778</v>
      </c>
      <c r="J83" s="71">
        <v>0.99444444444444446</v>
      </c>
      <c r="K83" s="71">
        <v>0.35347222222222219</v>
      </c>
      <c r="L83" s="71">
        <v>0.9819444444444444</v>
      </c>
      <c r="M83" s="123">
        <v>0.58124999999999993</v>
      </c>
      <c r="N83" s="127">
        <v>0.96180555555555547</v>
      </c>
      <c r="O83" s="71">
        <v>0.35347222222222219</v>
      </c>
      <c r="P83" s="71">
        <v>0.98263888888888884</v>
      </c>
      <c r="Q83" s="71">
        <v>0.35347222222222219</v>
      </c>
      <c r="R83" s="71">
        <v>0.97499999999999998</v>
      </c>
      <c r="S83" s="71">
        <v>0.35416666666666669</v>
      </c>
      <c r="T83" s="71">
        <v>0.97291666666666676</v>
      </c>
      <c r="U83" s="71">
        <v>0.3527777777777778</v>
      </c>
      <c r="V83" s="71">
        <v>0.96319444444444446</v>
      </c>
      <c r="W83" s="71">
        <v>0.35416666666666669</v>
      </c>
      <c r="X83" s="71">
        <v>0.94374999999999998</v>
      </c>
      <c r="Y83" s="71">
        <v>0.3520833333333333</v>
      </c>
      <c r="Z83" s="71">
        <v>0.98472222222222217</v>
      </c>
      <c r="AA83" s="107" t="s">
        <v>15</v>
      </c>
      <c r="AB83" s="125" t="s">
        <v>15</v>
      </c>
      <c r="AC83" s="71">
        <v>0.35000000000000003</v>
      </c>
      <c r="AD83" s="71">
        <v>0.98958333333333337</v>
      </c>
      <c r="AE83" s="71">
        <v>0.35555555555555557</v>
      </c>
      <c r="AF83" s="71">
        <v>1.2499999999999999E-2</v>
      </c>
      <c r="AG83" s="71">
        <v>0.35625000000000001</v>
      </c>
      <c r="AH83" s="71">
        <v>0.96527777777777779</v>
      </c>
      <c r="AI83" s="143"/>
      <c r="AJ83" s="47">
        <v>67</v>
      </c>
      <c r="AK83" s="71">
        <v>0.35416666666666669</v>
      </c>
      <c r="AL83" s="76">
        <v>1</v>
      </c>
      <c r="AM83" s="71">
        <v>0.35416666666666669</v>
      </c>
      <c r="AN83" s="71">
        <v>0.9868055555555556</v>
      </c>
      <c r="AO83" s="71">
        <v>0.3520833333333333</v>
      </c>
      <c r="AP83" s="71">
        <v>7.6388888888888886E-3</v>
      </c>
      <c r="AQ83" s="123">
        <v>0.57986111111111105</v>
      </c>
      <c r="AR83" s="123">
        <v>0.96319444444444446</v>
      </c>
      <c r="AS83" s="71">
        <v>0.35486111111111113</v>
      </c>
      <c r="AT83" s="71">
        <v>0.98125000000000007</v>
      </c>
      <c r="AU83" s="71">
        <v>0.35000000000000003</v>
      </c>
      <c r="AV83" s="71">
        <v>0.97986111111111107</v>
      </c>
      <c r="AW83" s="71">
        <v>0.35347222222222219</v>
      </c>
      <c r="AX83" s="71">
        <v>0.96805555555555556</v>
      </c>
      <c r="AY83" s="71">
        <v>0.35625000000000001</v>
      </c>
      <c r="AZ83" s="71">
        <v>0.96319444444444446</v>
      </c>
      <c r="BA83" s="71">
        <v>0.35138888888888892</v>
      </c>
      <c r="BB83" s="71">
        <v>0.96597222222222223</v>
      </c>
      <c r="BC83" s="71">
        <v>0.3576388888888889</v>
      </c>
      <c r="BD83" s="71">
        <v>0.98541666666666661</v>
      </c>
      <c r="BE83" s="107" t="s">
        <v>15</v>
      </c>
      <c r="BF83" s="107" t="s">
        <v>15</v>
      </c>
      <c r="BG83" s="71">
        <v>0.35555555555555557</v>
      </c>
      <c r="BH83" s="71">
        <v>0.97361111111111109</v>
      </c>
      <c r="BI83" s="71">
        <v>0.35416666666666669</v>
      </c>
      <c r="BJ83" s="71">
        <v>0.99375000000000002</v>
      </c>
      <c r="BK83" s="71">
        <v>0.35694444444444445</v>
      </c>
      <c r="BL83" s="71">
        <v>0.97222222222222221</v>
      </c>
      <c r="BM83" s="71">
        <v>0.35555555555555557</v>
      </c>
      <c r="BN83" s="71">
        <v>0.98402777777777783</v>
      </c>
      <c r="BO83" s="122">
        <f t="shared" si="15"/>
        <v>30</v>
      </c>
      <c r="BP83" s="75">
        <v>2</v>
      </c>
      <c r="BQ83" s="2">
        <f t="shared" si="17"/>
        <v>28</v>
      </c>
      <c r="BR83" s="3">
        <f t="shared" si="18"/>
        <v>2</v>
      </c>
      <c r="BS83" s="3">
        <f t="shared" si="19"/>
        <v>0</v>
      </c>
      <c r="BT83" s="3">
        <f t="shared" si="20"/>
        <v>0</v>
      </c>
      <c r="BU83" s="3">
        <f t="shared" si="21"/>
        <v>0</v>
      </c>
      <c r="BV83" s="3">
        <f t="shared" si="22"/>
        <v>0</v>
      </c>
      <c r="BW83" s="3">
        <f t="shared" si="23"/>
        <v>0</v>
      </c>
      <c r="BX83" s="3">
        <f t="shared" si="24"/>
        <v>0</v>
      </c>
      <c r="BY83" s="3">
        <f t="shared" si="25"/>
        <v>0</v>
      </c>
      <c r="BZ83" s="3">
        <f t="shared" si="26"/>
        <v>0</v>
      </c>
      <c r="CA83" s="3">
        <f t="shared" si="27"/>
        <v>0</v>
      </c>
      <c r="CB83" s="3">
        <f t="shared" si="28"/>
        <v>0</v>
      </c>
      <c r="CC83" s="4"/>
      <c r="CE83" s="153">
        <v>0</v>
      </c>
      <c r="CF83" s="154">
        <v>0</v>
      </c>
      <c r="CG83" s="154">
        <v>0</v>
      </c>
      <c r="CH83" s="154">
        <v>0</v>
      </c>
      <c r="CI83" s="154">
        <v>0</v>
      </c>
      <c r="CJ83" s="154">
        <v>3</v>
      </c>
      <c r="CK83" s="154">
        <v>0</v>
      </c>
      <c r="CL83" s="154">
        <v>0</v>
      </c>
      <c r="CM83" s="154">
        <v>0</v>
      </c>
      <c r="CN83" s="154">
        <v>0</v>
      </c>
      <c r="CO83" s="156">
        <f t="shared" si="29"/>
        <v>3</v>
      </c>
    </row>
    <row r="84" spans="1:93" ht="21.75" customHeight="1" x14ac:dyDescent="0.25">
      <c r="A84" s="47">
        <v>67</v>
      </c>
      <c r="B84" s="13" t="s">
        <v>169</v>
      </c>
      <c r="C84" s="88" t="s">
        <v>170</v>
      </c>
      <c r="D84" s="100">
        <v>45882</v>
      </c>
      <c r="E84" s="71">
        <v>0.35000000000000003</v>
      </c>
      <c r="F84" s="71">
        <v>0.94652777777777775</v>
      </c>
      <c r="G84" s="71">
        <v>0.35138888888888892</v>
      </c>
      <c r="H84" s="71">
        <v>0.93611111111111101</v>
      </c>
      <c r="I84" s="71">
        <v>0.3430555555555555</v>
      </c>
      <c r="J84" s="71">
        <v>0.95208333333333339</v>
      </c>
      <c r="K84" s="71">
        <v>0.34375</v>
      </c>
      <c r="L84" s="71">
        <v>0.92638888888888893</v>
      </c>
      <c r="M84" s="107" t="s">
        <v>15</v>
      </c>
      <c r="N84" s="125" t="s">
        <v>15</v>
      </c>
      <c r="O84" s="71">
        <v>0.35138888888888892</v>
      </c>
      <c r="P84" s="71">
        <v>0.94166666666666676</v>
      </c>
      <c r="Q84" s="71">
        <v>0.34861111111111115</v>
      </c>
      <c r="R84" s="71">
        <v>0.90138888888888891</v>
      </c>
      <c r="S84" s="71">
        <v>0.35138888888888892</v>
      </c>
      <c r="T84" s="71">
        <v>0.90416666666666667</v>
      </c>
      <c r="U84" s="71">
        <v>0.3520833333333333</v>
      </c>
      <c r="V84" s="71">
        <v>0.94236111111111109</v>
      </c>
      <c r="W84" s="71">
        <v>0.35000000000000003</v>
      </c>
      <c r="X84" s="71">
        <v>0.92986111111111114</v>
      </c>
      <c r="Y84" s="71">
        <v>0.3520833333333333</v>
      </c>
      <c r="Z84" s="71">
        <v>0.93819444444444444</v>
      </c>
      <c r="AA84" s="123">
        <v>0.56458333333333333</v>
      </c>
      <c r="AB84" s="123">
        <v>0.8965277777777777</v>
      </c>
      <c r="AC84" s="71">
        <v>0.3520833333333333</v>
      </c>
      <c r="AD84" s="71">
        <v>0.87777777777777777</v>
      </c>
      <c r="AE84" s="71">
        <v>0.3527777777777778</v>
      </c>
      <c r="AF84" s="71">
        <v>0.97638888888888886</v>
      </c>
      <c r="AG84" s="71">
        <v>0.35347222222222219</v>
      </c>
      <c r="AH84" s="71">
        <v>0.88263888888888886</v>
      </c>
      <c r="AI84" s="143"/>
      <c r="AJ84" s="47">
        <v>68</v>
      </c>
      <c r="AK84" s="82" t="s">
        <v>181</v>
      </c>
      <c r="AL84" s="82" t="s">
        <v>181</v>
      </c>
      <c r="AM84" s="71">
        <v>0.35069444444444442</v>
      </c>
      <c r="AN84" s="76">
        <v>1</v>
      </c>
      <c r="AO84" s="71">
        <v>0.35000000000000003</v>
      </c>
      <c r="AP84" s="71">
        <v>0.92986111111111114</v>
      </c>
      <c r="AQ84" s="107" t="s">
        <v>15</v>
      </c>
      <c r="AR84" s="125" t="s">
        <v>15</v>
      </c>
      <c r="AS84" s="71">
        <v>0.35069444444444442</v>
      </c>
      <c r="AT84" s="71">
        <v>0.94027777777777777</v>
      </c>
      <c r="AU84" s="71">
        <v>0.35069444444444442</v>
      </c>
      <c r="AV84" s="71">
        <v>0.92222222222222217</v>
      </c>
      <c r="AW84" s="71">
        <v>0.34583333333333338</v>
      </c>
      <c r="AX84" s="71">
        <v>0.89236111111111116</v>
      </c>
      <c r="AY84" s="71">
        <v>0.34652777777777777</v>
      </c>
      <c r="AZ84" s="71">
        <v>0.90138888888888891</v>
      </c>
      <c r="BA84" s="71">
        <v>0.35138888888888892</v>
      </c>
      <c r="BB84" s="71">
        <v>0.87777777777777777</v>
      </c>
      <c r="BC84" s="71">
        <v>0.34861111111111115</v>
      </c>
      <c r="BD84" s="71">
        <v>0.92847222222222225</v>
      </c>
      <c r="BE84" s="123">
        <v>0.57708333333333328</v>
      </c>
      <c r="BF84" s="123">
        <v>0.89097222222222217</v>
      </c>
      <c r="BG84" s="71">
        <v>0.35000000000000003</v>
      </c>
      <c r="BH84" s="71">
        <v>0.94652777777777775</v>
      </c>
      <c r="BI84" s="71">
        <v>0.35347222222222219</v>
      </c>
      <c r="BJ84" s="71">
        <v>0.90069444444444446</v>
      </c>
      <c r="BK84" s="71">
        <v>0.3520833333333333</v>
      </c>
      <c r="BL84" s="71">
        <v>0.89583333333333337</v>
      </c>
      <c r="BM84" s="71">
        <v>0.3527777777777778</v>
      </c>
      <c r="BN84" s="71">
        <v>0.90069444444444446</v>
      </c>
      <c r="BO84" s="122">
        <f t="shared" si="15"/>
        <v>30</v>
      </c>
      <c r="BP84" s="75">
        <v>2</v>
      </c>
      <c r="BQ84" s="2">
        <f t="shared" si="17"/>
        <v>27</v>
      </c>
      <c r="BR84" s="3">
        <f t="shared" si="18"/>
        <v>2</v>
      </c>
      <c r="BS84" s="3">
        <f t="shared" si="19"/>
        <v>0</v>
      </c>
      <c r="BT84" s="3">
        <f t="shared" si="20"/>
        <v>0</v>
      </c>
      <c r="BU84" s="3">
        <f t="shared" si="21"/>
        <v>0</v>
      </c>
      <c r="BV84" s="3">
        <f t="shared" si="22"/>
        <v>0</v>
      </c>
      <c r="BW84" s="3">
        <f t="shared" si="23"/>
        <v>0</v>
      </c>
      <c r="BX84" s="3">
        <f t="shared" si="24"/>
        <v>1</v>
      </c>
      <c r="BY84" s="3">
        <f t="shared" si="25"/>
        <v>0</v>
      </c>
      <c r="BZ84" s="3">
        <f t="shared" si="26"/>
        <v>0</v>
      </c>
      <c r="CA84" s="3">
        <f t="shared" si="27"/>
        <v>0</v>
      </c>
      <c r="CB84" s="3">
        <f t="shared" si="28"/>
        <v>0</v>
      </c>
      <c r="CC84" s="4"/>
      <c r="CE84" s="57">
        <v>0</v>
      </c>
      <c r="CF84" s="56">
        <v>0</v>
      </c>
      <c r="CG84" s="56">
        <v>0</v>
      </c>
      <c r="CH84" s="56">
        <v>0</v>
      </c>
      <c r="CI84" s="56">
        <v>0</v>
      </c>
      <c r="CJ84" s="57">
        <v>13</v>
      </c>
      <c r="CK84" s="56">
        <v>0</v>
      </c>
      <c r="CL84" s="56">
        <v>0</v>
      </c>
      <c r="CM84" s="56">
        <v>0</v>
      </c>
      <c r="CN84" s="56">
        <v>0</v>
      </c>
      <c r="CO84" s="157">
        <f t="shared" si="29"/>
        <v>13</v>
      </c>
    </row>
    <row r="85" spans="1:93" ht="22.5" customHeight="1" x14ac:dyDescent="0.25">
      <c r="A85" s="47">
        <v>68</v>
      </c>
      <c r="B85" s="13" t="s">
        <v>171</v>
      </c>
      <c r="C85" s="89" t="s">
        <v>244</v>
      </c>
      <c r="D85" s="100">
        <v>45935</v>
      </c>
      <c r="E85" s="71">
        <v>0.35416666666666669</v>
      </c>
      <c r="F85" s="71">
        <v>0.94930555555555562</v>
      </c>
      <c r="G85" s="71">
        <v>0.3527777777777778</v>
      </c>
      <c r="H85" s="71">
        <v>0.9458333333333333</v>
      </c>
      <c r="I85" s="71">
        <v>0.35555555555555557</v>
      </c>
      <c r="J85" s="71">
        <v>0.94513888888888886</v>
      </c>
      <c r="K85" s="71">
        <v>0.35416666666666669</v>
      </c>
      <c r="L85" s="71">
        <v>0.96111111111111114</v>
      </c>
      <c r="M85" s="123">
        <v>0.56388888888888888</v>
      </c>
      <c r="N85" s="127">
        <v>0.9472222222222223</v>
      </c>
      <c r="O85" s="71">
        <v>0.34930555555555554</v>
      </c>
      <c r="P85" s="71">
        <v>0.96111111111111114</v>
      </c>
      <c r="Q85" s="71">
        <v>0.35486111111111113</v>
      </c>
      <c r="R85" s="71">
        <v>0.95416666666666661</v>
      </c>
      <c r="S85" s="71">
        <v>0.34722222222222227</v>
      </c>
      <c r="T85" s="71">
        <v>0.95347222222222217</v>
      </c>
      <c r="U85" s="71">
        <v>0.34791666666666665</v>
      </c>
      <c r="V85" s="71">
        <v>0.95347222222222217</v>
      </c>
      <c r="W85" s="71">
        <v>0.34791666666666665</v>
      </c>
      <c r="X85" s="71">
        <v>0.95138888888888884</v>
      </c>
      <c r="Y85" s="71">
        <v>0.3520833333333333</v>
      </c>
      <c r="Z85" s="71">
        <v>0.97430555555555554</v>
      </c>
      <c r="AA85" s="107" t="s">
        <v>15</v>
      </c>
      <c r="AB85" s="125" t="s">
        <v>15</v>
      </c>
      <c r="AC85" s="71">
        <v>0.34791666666666665</v>
      </c>
      <c r="AD85" s="76">
        <v>1</v>
      </c>
      <c r="AE85" s="71">
        <v>0.34722222222222227</v>
      </c>
      <c r="AF85" s="71">
        <v>0.94930555555555562</v>
      </c>
      <c r="AG85" s="71">
        <v>0.34652777777777777</v>
      </c>
      <c r="AH85" s="76">
        <v>1</v>
      </c>
      <c r="AI85" s="135"/>
      <c r="AJ85" s="47">
        <v>69</v>
      </c>
      <c r="AK85" s="71">
        <v>0.3520833333333333</v>
      </c>
      <c r="AL85" s="71">
        <v>0.95694444444444438</v>
      </c>
      <c r="AM85" s="71">
        <v>0.34791666666666665</v>
      </c>
      <c r="AN85" s="76">
        <v>1</v>
      </c>
      <c r="AO85" s="71">
        <v>0.35000000000000003</v>
      </c>
      <c r="AP85" s="71">
        <v>0.97083333333333333</v>
      </c>
      <c r="AQ85" s="123">
        <v>0.5805555555555556</v>
      </c>
      <c r="AR85" s="124">
        <v>1</v>
      </c>
      <c r="AS85" s="71">
        <v>0.34652777777777777</v>
      </c>
      <c r="AT85" s="71">
        <v>0.9770833333333333</v>
      </c>
      <c r="AU85" s="71">
        <v>0.35069444444444442</v>
      </c>
      <c r="AV85" s="71">
        <v>0.94652777777777775</v>
      </c>
      <c r="AW85" s="71">
        <v>0.3527777777777778</v>
      </c>
      <c r="AX85" s="71">
        <v>0.94930555555555562</v>
      </c>
      <c r="AY85" s="71">
        <v>0.34583333333333338</v>
      </c>
      <c r="AZ85" s="71">
        <v>0.95416666666666661</v>
      </c>
      <c r="BA85" s="71">
        <v>0.34513888888888888</v>
      </c>
      <c r="BB85" s="71">
        <v>0.95416666666666661</v>
      </c>
      <c r="BC85" s="71">
        <v>0.34583333333333338</v>
      </c>
      <c r="BD85" s="71">
        <v>0.97291666666666676</v>
      </c>
      <c r="BE85" s="107" t="s">
        <v>15</v>
      </c>
      <c r="BF85" s="107" t="s">
        <v>15</v>
      </c>
      <c r="BG85" s="71">
        <v>0.34513888888888888</v>
      </c>
      <c r="BH85" s="71">
        <v>1.7361111111111112E-2</v>
      </c>
      <c r="BI85" s="71">
        <v>0.34583333333333338</v>
      </c>
      <c r="BJ85" s="76">
        <v>1</v>
      </c>
      <c r="BK85" s="71">
        <v>0.34652777777777777</v>
      </c>
      <c r="BL85" s="71">
        <v>0.95277777777777783</v>
      </c>
      <c r="BM85" s="71">
        <v>0.34722222222222227</v>
      </c>
      <c r="BN85" s="71">
        <v>0.94930555555555562</v>
      </c>
      <c r="BO85" s="122">
        <f t="shared" si="15"/>
        <v>30</v>
      </c>
      <c r="BP85" s="75">
        <v>2</v>
      </c>
      <c r="BQ85" s="2">
        <f t="shared" si="17"/>
        <v>28</v>
      </c>
      <c r="BR85" s="3">
        <f t="shared" si="18"/>
        <v>2</v>
      </c>
      <c r="BS85" s="3">
        <f t="shared" si="19"/>
        <v>0</v>
      </c>
      <c r="BT85" s="3">
        <f t="shared" si="20"/>
        <v>0</v>
      </c>
      <c r="BU85" s="3">
        <f t="shared" si="21"/>
        <v>0</v>
      </c>
      <c r="BV85" s="3">
        <f t="shared" si="22"/>
        <v>0</v>
      </c>
      <c r="BW85" s="3">
        <f t="shared" si="23"/>
        <v>0</v>
      </c>
      <c r="BX85" s="3">
        <f t="shared" si="24"/>
        <v>0</v>
      </c>
      <c r="BY85" s="3">
        <f t="shared" si="25"/>
        <v>0</v>
      </c>
      <c r="BZ85" s="3">
        <f t="shared" si="26"/>
        <v>0</v>
      </c>
      <c r="CA85" s="3">
        <f t="shared" si="27"/>
        <v>0</v>
      </c>
      <c r="CB85" s="3">
        <f t="shared" si="28"/>
        <v>0</v>
      </c>
      <c r="CC85" s="4"/>
      <c r="CE85" s="153">
        <v>0</v>
      </c>
      <c r="CF85" s="154">
        <v>0</v>
      </c>
      <c r="CG85" s="154">
        <v>0</v>
      </c>
      <c r="CH85" s="154">
        <v>0</v>
      </c>
      <c r="CI85" s="154">
        <v>0</v>
      </c>
      <c r="CJ85" s="153">
        <v>1</v>
      </c>
      <c r="CK85" s="154">
        <v>0</v>
      </c>
      <c r="CL85" s="154">
        <v>0</v>
      </c>
      <c r="CM85" s="154">
        <v>0</v>
      </c>
      <c r="CN85" s="154">
        <v>0</v>
      </c>
      <c r="CO85" s="156">
        <f t="shared" si="29"/>
        <v>1</v>
      </c>
    </row>
    <row r="86" spans="1:93" ht="21.75" customHeight="1" x14ac:dyDescent="0.25">
      <c r="A86" s="47">
        <v>69</v>
      </c>
      <c r="B86" s="13" t="s">
        <v>172</v>
      </c>
      <c r="C86" s="93" t="s">
        <v>173</v>
      </c>
      <c r="D86" s="100">
        <v>45929</v>
      </c>
      <c r="E86" s="71">
        <v>0.34930555555555554</v>
      </c>
      <c r="F86" s="71">
        <v>0.95972222222222225</v>
      </c>
      <c r="G86" s="71">
        <v>0.35138888888888892</v>
      </c>
      <c r="H86" s="71">
        <v>0.94444444444444453</v>
      </c>
      <c r="I86" s="71">
        <v>0.3527777777777778</v>
      </c>
      <c r="J86" s="71">
        <v>0.96180555555555547</v>
      </c>
      <c r="K86" s="71">
        <v>0.3527777777777778</v>
      </c>
      <c r="L86" s="71">
        <v>0.9375</v>
      </c>
      <c r="M86" s="123">
        <v>0.56180555555555556</v>
      </c>
      <c r="N86" s="127">
        <v>0.93055555555555547</v>
      </c>
      <c r="O86" s="71">
        <v>0.35347222222222219</v>
      </c>
      <c r="P86" s="71">
        <v>0.96527777777777779</v>
      </c>
      <c r="Q86" s="71">
        <v>0.35416666666666669</v>
      </c>
      <c r="R86" s="71">
        <v>0.96180555555555547</v>
      </c>
      <c r="S86" s="71">
        <v>0.35416666666666669</v>
      </c>
      <c r="T86" s="71">
        <v>0.9375</v>
      </c>
      <c r="U86" s="71">
        <v>0.35555555555555557</v>
      </c>
      <c r="V86" s="71">
        <v>0.95138888888888884</v>
      </c>
      <c r="W86" s="71">
        <v>0.35347222222222219</v>
      </c>
      <c r="X86" s="71">
        <v>0.9375</v>
      </c>
      <c r="Y86" s="71">
        <v>0.35347222222222219</v>
      </c>
      <c r="Z86" s="71">
        <v>0.95833333333333337</v>
      </c>
      <c r="AA86" s="107" t="s">
        <v>15</v>
      </c>
      <c r="AB86" s="125" t="s">
        <v>15</v>
      </c>
      <c r="AC86" s="71">
        <v>0.33333333333333331</v>
      </c>
      <c r="AD86" s="71">
        <v>0.9375</v>
      </c>
      <c r="AE86" s="71">
        <v>0.33263888888888887</v>
      </c>
      <c r="AF86" s="71">
        <v>0.93888888888888899</v>
      </c>
      <c r="AG86" s="71">
        <v>0.33263888888888887</v>
      </c>
      <c r="AH86" s="71">
        <v>0.9375</v>
      </c>
      <c r="AI86" s="143"/>
      <c r="AJ86" s="47">
        <v>70</v>
      </c>
      <c r="AK86" s="71">
        <v>0.33194444444444443</v>
      </c>
      <c r="AL86" s="71">
        <v>0.91666666666666663</v>
      </c>
      <c r="AM86" s="71">
        <v>0.33402777777777781</v>
      </c>
      <c r="AN86" s="71">
        <v>0.94791666666666663</v>
      </c>
      <c r="AO86" s="71">
        <v>0.33958333333333335</v>
      </c>
      <c r="AP86" s="71">
        <v>0.93819444444444444</v>
      </c>
      <c r="AQ86" s="123">
        <v>0.57291666666666663</v>
      </c>
      <c r="AR86" s="123">
        <v>0.93680555555555556</v>
      </c>
      <c r="AS86" s="71">
        <v>0.35555555555555557</v>
      </c>
      <c r="AT86" s="71">
        <v>0.92361111111111116</v>
      </c>
      <c r="AU86" s="71">
        <v>0.3527777777777778</v>
      </c>
      <c r="AV86" s="71">
        <v>0.93402777777777779</v>
      </c>
      <c r="AW86" s="71">
        <v>0.35069444444444442</v>
      </c>
      <c r="AX86" s="71">
        <v>0.94861111111111107</v>
      </c>
      <c r="AY86" s="71">
        <v>0.35486111111111113</v>
      </c>
      <c r="AZ86" s="71">
        <v>0.95833333333333337</v>
      </c>
      <c r="BA86" s="71">
        <v>0.35486111111111113</v>
      </c>
      <c r="BB86" s="71">
        <v>0.94097222222222221</v>
      </c>
      <c r="BC86" s="71">
        <v>0.35625000000000001</v>
      </c>
      <c r="BD86" s="71">
        <v>0.96527777777777779</v>
      </c>
      <c r="BE86" s="107" t="s">
        <v>15</v>
      </c>
      <c r="BF86" s="107" t="s">
        <v>15</v>
      </c>
      <c r="BG86" s="71">
        <v>0.3527777777777778</v>
      </c>
      <c r="BH86" s="76">
        <v>1</v>
      </c>
      <c r="BI86" s="71">
        <v>0.35555555555555557</v>
      </c>
      <c r="BJ86" s="71">
        <v>0.96527777777777779</v>
      </c>
      <c r="BK86" s="71">
        <v>0.35555555555555557</v>
      </c>
      <c r="BL86" s="71">
        <v>0.95833333333333337</v>
      </c>
      <c r="BM86" s="71">
        <v>0.35416666666666669</v>
      </c>
      <c r="BN86" s="71">
        <v>0.96597222222222223</v>
      </c>
      <c r="BO86" s="122">
        <f t="shared" si="15"/>
        <v>30</v>
      </c>
      <c r="BP86" s="75">
        <v>2</v>
      </c>
      <c r="BQ86" s="2">
        <f t="shared" si="17"/>
        <v>28</v>
      </c>
      <c r="BR86" s="3">
        <f t="shared" si="18"/>
        <v>2</v>
      </c>
      <c r="BS86" s="3">
        <f t="shared" si="19"/>
        <v>0</v>
      </c>
      <c r="BT86" s="3">
        <f t="shared" si="20"/>
        <v>0</v>
      </c>
      <c r="BU86" s="3">
        <f t="shared" si="21"/>
        <v>0</v>
      </c>
      <c r="BV86" s="3">
        <f t="shared" si="22"/>
        <v>0</v>
      </c>
      <c r="BW86" s="3">
        <f t="shared" si="23"/>
        <v>0</v>
      </c>
      <c r="BX86" s="3">
        <f t="shared" si="24"/>
        <v>0</v>
      </c>
      <c r="BY86" s="3">
        <f t="shared" si="25"/>
        <v>0</v>
      </c>
      <c r="BZ86" s="3">
        <f t="shared" si="26"/>
        <v>0</v>
      </c>
      <c r="CA86" s="3">
        <f t="shared" si="27"/>
        <v>0</v>
      </c>
      <c r="CB86" s="3">
        <f t="shared" si="28"/>
        <v>0</v>
      </c>
      <c r="CC86" s="4"/>
      <c r="CE86" s="57">
        <v>0</v>
      </c>
      <c r="CF86" s="56">
        <v>0</v>
      </c>
      <c r="CG86" s="56">
        <v>0</v>
      </c>
      <c r="CH86" s="56">
        <v>0</v>
      </c>
      <c r="CI86" s="56">
        <v>0</v>
      </c>
      <c r="CJ86" s="56">
        <v>0</v>
      </c>
      <c r="CK86" s="56">
        <v>0</v>
      </c>
      <c r="CL86" s="56">
        <v>0</v>
      </c>
      <c r="CM86" s="56">
        <v>0</v>
      </c>
      <c r="CN86" s="56">
        <v>0</v>
      </c>
      <c r="CO86" s="157">
        <f t="shared" si="29"/>
        <v>0</v>
      </c>
    </row>
    <row r="87" spans="1:93" ht="21.75" customHeight="1" x14ac:dyDescent="0.25">
      <c r="A87" s="47">
        <v>70</v>
      </c>
      <c r="B87" s="13" t="s">
        <v>174</v>
      </c>
      <c r="C87" s="89" t="s">
        <v>175</v>
      </c>
      <c r="D87" s="100">
        <v>45944</v>
      </c>
      <c r="E87" s="71">
        <v>0.34652777777777777</v>
      </c>
      <c r="F87" s="71">
        <v>0.92083333333333339</v>
      </c>
      <c r="G87" s="71">
        <v>0.3444444444444445</v>
      </c>
      <c r="H87" s="71">
        <v>0.93888888888888899</v>
      </c>
      <c r="I87" s="71">
        <v>0.3444444444444445</v>
      </c>
      <c r="J87" s="71">
        <v>0.91736111111111107</v>
      </c>
      <c r="K87" s="71">
        <v>0.34513888888888888</v>
      </c>
      <c r="L87" s="71">
        <v>0.93402777777777779</v>
      </c>
      <c r="M87" s="107" t="s">
        <v>15</v>
      </c>
      <c r="N87" s="125" t="s">
        <v>15</v>
      </c>
      <c r="O87" s="71">
        <v>0.34791666666666665</v>
      </c>
      <c r="P87" s="71">
        <v>0.93125000000000002</v>
      </c>
      <c r="Q87" s="71">
        <v>0.34375</v>
      </c>
      <c r="R87" s="71">
        <v>0.91736111111111107</v>
      </c>
      <c r="S87" s="71">
        <v>0.3444444444444445</v>
      </c>
      <c r="T87" s="71">
        <v>0.9291666666666667</v>
      </c>
      <c r="U87" s="71">
        <v>0.34722222222222227</v>
      </c>
      <c r="V87" s="71">
        <v>0.92499999999999993</v>
      </c>
      <c r="W87" s="71">
        <v>0.34722222222222227</v>
      </c>
      <c r="X87" s="71">
        <v>0.93194444444444446</v>
      </c>
      <c r="Y87" s="71">
        <v>0.34652777777777777</v>
      </c>
      <c r="Z87" s="71">
        <v>0.92152777777777783</v>
      </c>
      <c r="AA87" s="123">
        <v>0.56458333333333333</v>
      </c>
      <c r="AB87" s="123">
        <v>0.89374999999999993</v>
      </c>
      <c r="AC87" s="71">
        <v>0.34513888888888888</v>
      </c>
      <c r="AD87" s="71">
        <v>0.91805555555555562</v>
      </c>
      <c r="AE87" s="71">
        <v>0.3444444444444445</v>
      </c>
      <c r="AF87" s="71">
        <v>0.92222222222222217</v>
      </c>
      <c r="AG87" s="71">
        <v>0.34583333333333338</v>
      </c>
      <c r="AH87" s="71">
        <v>0.8979166666666667</v>
      </c>
      <c r="AI87" s="143"/>
      <c r="AJ87" s="47">
        <v>71</v>
      </c>
      <c r="AK87" s="71">
        <v>0.34375</v>
      </c>
      <c r="AL87" s="71">
        <v>0.91805555555555562</v>
      </c>
      <c r="AM87" s="71">
        <v>0.3430555555555555</v>
      </c>
      <c r="AN87" s="71">
        <v>0.91666666666666663</v>
      </c>
      <c r="AO87" s="71">
        <v>0.34583333333333338</v>
      </c>
      <c r="AP87" s="71">
        <v>0.93055555555555547</v>
      </c>
      <c r="AQ87" s="107" t="s">
        <v>15</v>
      </c>
      <c r="AR87" s="125" t="s">
        <v>15</v>
      </c>
      <c r="AS87" s="71">
        <v>0.33888888888888885</v>
      </c>
      <c r="AT87" s="71">
        <v>0.96319444444444446</v>
      </c>
      <c r="AU87" s="71">
        <v>0.34513888888888888</v>
      </c>
      <c r="AV87" s="71">
        <v>0.92083333333333339</v>
      </c>
      <c r="AW87" s="71">
        <v>0.34166666666666662</v>
      </c>
      <c r="AX87" s="71">
        <v>0.88194444444444453</v>
      </c>
      <c r="AY87" s="71">
        <v>0.3444444444444445</v>
      </c>
      <c r="AZ87" s="71">
        <v>0.92222222222222217</v>
      </c>
      <c r="BA87" s="71">
        <v>0.34236111111111112</v>
      </c>
      <c r="BB87" s="71">
        <v>0.92013888888888884</v>
      </c>
      <c r="BC87" s="71">
        <v>0.3430555555555555</v>
      </c>
      <c r="BD87" s="71">
        <v>0.9291666666666667</v>
      </c>
      <c r="BE87" s="123">
        <v>0.57916666666666672</v>
      </c>
      <c r="BF87" s="123">
        <v>0.89930555555555547</v>
      </c>
      <c r="BG87" s="71">
        <v>0.3444444444444445</v>
      </c>
      <c r="BH87" s="71">
        <v>0.9291666666666667</v>
      </c>
      <c r="BI87" s="71">
        <v>0.34722222222222227</v>
      </c>
      <c r="BJ87" s="71">
        <v>0.93125000000000002</v>
      </c>
      <c r="BK87" s="71">
        <v>0.34583333333333338</v>
      </c>
      <c r="BL87" s="71">
        <v>0.90833333333333333</v>
      </c>
      <c r="BM87" s="71">
        <v>0.34861111111111115</v>
      </c>
      <c r="BN87" s="71">
        <v>0.91736111111111107</v>
      </c>
      <c r="BO87" s="122">
        <f t="shared" si="15"/>
        <v>30</v>
      </c>
      <c r="BP87" s="75">
        <v>2</v>
      </c>
      <c r="BQ87" s="2">
        <f t="shared" si="17"/>
        <v>28</v>
      </c>
      <c r="BR87" s="3">
        <f t="shared" si="18"/>
        <v>2</v>
      </c>
      <c r="BS87" s="3">
        <f t="shared" si="19"/>
        <v>0</v>
      </c>
      <c r="BT87" s="3">
        <f t="shared" si="20"/>
        <v>0</v>
      </c>
      <c r="BU87" s="3">
        <f t="shared" si="21"/>
        <v>0</v>
      </c>
      <c r="BV87" s="3">
        <f t="shared" si="22"/>
        <v>0</v>
      </c>
      <c r="BW87" s="3">
        <f t="shared" si="23"/>
        <v>0</v>
      </c>
      <c r="BX87" s="3">
        <f t="shared" si="24"/>
        <v>0</v>
      </c>
      <c r="BY87" s="3">
        <f t="shared" si="25"/>
        <v>0</v>
      </c>
      <c r="BZ87" s="3">
        <f t="shared" si="26"/>
        <v>0</v>
      </c>
      <c r="CA87" s="3">
        <f t="shared" si="27"/>
        <v>0</v>
      </c>
      <c r="CB87" s="3">
        <f t="shared" si="28"/>
        <v>0</v>
      </c>
      <c r="CC87" s="4"/>
      <c r="CE87" s="153">
        <v>0</v>
      </c>
      <c r="CF87" s="154">
        <v>0</v>
      </c>
      <c r="CG87" s="154">
        <v>0</v>
      </c>
      <c r="CH87" s="154">
        <v>0</v>
      </c>
      <c r="CI87" s="154">
        <v>0</v>
      </c>
      <c r="CJ87" s="154">
        <v>2</v>
      </c>
      <c r="CK87" s="154">
        <v>0</v>
      </c>
      <c r="CL87" s="154">
        <v>0</v>
      </c>
      <c r="CM87" s="154">
        <v>0</v>
      </c>
      <c r="CN87" s="154">
        <v>0</v>
      </c>
      <c r="CO87" s="156">
        <f t="shared" si="29"/>
        <v>2</v>
      </c>
    </row>
    <row r="88" spans="1:93" ht="21.75" customHeight="1" x14ac:dyDescent="0.25">
      <c r="A88" s="47">
        <v>71</v>
      </c>
      <c r="B88" s="50" t="s">
        <v>178</v>
      </c>
      <c r="C88" s="94" t="s">
        <v>179</v>
      </c>
      <c r="D88" s="100">
        <v>45956</v>
      </c>
      <c r="E88" s="71">
        <v>0.35347222222222219</v>
      </c>
      <c r="F88" s="71">
        <v>0.95138888888888884</v>
      </c>
      <c r="G88" s="71">
        <v>0.35138888888888892</v>
      </c>
      <c r="H88" s="71">
        <v>0.9555555555555556</v>
      </c>
      <c r="I88" s="71">
        <v>0.3527777777777778</v>
      </c>
      <c r="J88" s="71">
        <v>0.95347222222222217</v>
      </c>
      <c r="K88" s="71">
        <v>0.35555555555555557</v>
      </c>
      <c r="L88" s="71">
        <v>0.97361111111111109</v>
      </c>
      <c r="M88" s="123">
        <v>0.58333333333333337</v>
      </c>
      <c r="N88" s="126"/>
      <c r="O88" s="71">
        <v>0.35138888888888892</v>
      </c>
      <c r="P88" s="71">
        <v>0.97083333333333333</v>
      </c>
      <c r="Q88" s="71">
        <v>0.3520833333333333</v>
      </c>
      <c r="R88" s="71">
        <v>0.95972222222222225</v>
      </c>
      <c r="S88" s="71">
        <v>0.35138888888888892</v>
      </c>
      <c r="T88" s="71">
        <v>0.95208333333333339</v>
      </c>
      <c r="U88" s="71">
        <v>0.3520833333333333</v>
      </c>
      <c r="V88" s="71">
        <v>0.95208333333333339</v>
      </c>
      <c r="W88" s="71">
        <v>0.35138888888888892</v>
      </c>
      <c r="X88" s="71">
        <v>0.9506944444444444</v>
      </c>
      <c r="Y88" s="71">
        <v>0.3520833333333333</v>
      </c>
      <c r="Z88" s="71">
        <v>0.97291666666666676</v>
      </c>
      <c r="AA88" s="107" t="s">
        <v>15</v>
      </c>
      <c r="AB88" s="125" t="s">
        <v>15</v>
      </c>
      <c r="AC88" s="71">
        <v>0.3527777777777778</v>
      </c>
      <c r="AD88" s="71">
        <v>0.96944444444444444</v>
      </c>
      <c r="AE88" s="71">
        <v>0.35347222222222219</v>
      </c>
      <c r="AF88" s="71">
        <v>0.96319444444444446</v>
      </c>
      <c r="AG88" s="71">
        <v>0.3527777777777778</v>
      </c>
      <c r="AH88" s="76">
        <v>1</v>
      </c>
      <c r="AI88" s="135"/>
      <c r="AJ88" s="47">
        <v>72</v>
      </c>
      <c r="AK88" s="71">
        <v>0.35347222222222219</v>
      </c>
      <c r="AL88" s="71">
        <v>0.95486111111111116</v>
      </c>
      <c r="AM88" s="71">
        <v>0.35416666666666669</v>
      </c>
      <c r="AN88" s="76">
        <v>1</v>
      </c>
      <c r="AO88" s="71">
        <v>0.35486111111111113</v>
      </c>
      <c r="AP88" s="71">
        <v>0.97638888888888886</v>
      </c>
      <c r="AQ88" s="123">
        <v>0.58124999999999993</v>
      </c>
      <c r="AR88" s="123">
        <v>0.9506944444444444</v>
      </c>
      <c r="AS88" s="71">
        <v>0.35416666666666669</v>
      </c>
      <c r="AT88" s="71">
        <v>0.97291666666666676</v>
      </c>
      <c r="AU88" s="71">
        <v>0.35416666666666669</v>
      </c>
      <c r="AV88" s="71">
        <v>0.94513888888888886</v>
      </c>
      <c r="AW88" s="71">
        <v>0.3527777777777778</v>
      </c>
      <c r="AX88" s="71">
        <v>0.94930555555555562</v>
      </c>
      <c r="AY88" s="71">
        <v>0.35416666666666669</v>
      </c>
      <c r="AZ88" s="71">
        <v>0.9472222222222223</v>
      </c>
      <c r="BA88" s="71">
        <v>0.35416666666666669</v>
      </c>
      <c r="BB88" s="71">
        <v>0.95347222222222217</v>
      </c>
      <c r="BC88" s="71">
        <v>0.35486111111111113</v>
      </c>
      <c r="BD88" s="71">
        <v>0.97222222222222221</v>
      </c>
      <c r="BE88" s="107" t="s">
        <v>15</v>
      </c>
      <c r="BF88" s="107" t="s">
        <v>15</v>
      </c>
      <c r="BG88" s="71">
        <v>0.3527777777777778</v>
      </c>
      <c r="BH88" s="71">
        <v>1.5277777777777777E-2</v>
      </c>
      <c r="BI88" s="71">
        <v>0.35555555555555557</v>
      </c>
      <c r="BJ88" s="71">
        <v>0.95138888888888884</v>
      </c>
      <c r="BK88" s="71">
        <v>0.35416666666666669</v>
      </c>
      <c r="BL88" s="71">
        <v>0.94930555555555562</v>
      </c>
      <c r="BM88" s="71">
        <v>0.35416666666666669</v>
      </c>
      <c r="BN88" s="71">
        <v>0.94930555555555562</v>
      </c>
      <c r="BO88" s="122">
        <f t="shared" si="15"/>
        <v>29.5</v>
      </c>
      <c r="BP88" s="75">
        <v>2</v>
      </c>
      <c r="BQ88" s="2">
        <f t="shared" si="17"/>
        <v>27.5</v>
      </c>
      <c r="BR88" s="3">
        <f t="shared" si="18"/>
        <v>2</v>
      </c>
      <c r="BS88" s="3">
        <f t="shared" si="19"/>
        <v>0</v>
      </c>
      <c r="BT88" s="3">
        <f t="shared" si="20"/>
        <v>0</v>
      </c>
      <c r="BU88" s="3">
        <f t="shared" si="21"/>
        <v>0</v>
      </c>
      <c r="BV88" s="3">
        <f t="shared" si="22"/>
        <v>0</v>
      </c>
      <c r="BW88" s="3">
        <f t="shared" si="23"/>
        <v>0</v>
      </c>
      <c r="BX88" s="3">
        <f t="shared" si="24"/>
        <v>0</v>
      </c>
      <c r="BY88" s="3">
        <f t="shared" si="25"/>
        <v>0</v>
      </c>
      <c r="BZ88" s="3">
        <f t="shared" si="26"/>
        <v>0</v>
      </c>
      <c r="CA88" s="3">
        <f t="shared" si="27"/>
        <v>0</v>
      </c>
      <c r="CB88" s="3">
        <f t="shared" si="28"/>
        <v>0</v>
      </c>
      <c r="CC88" s="4"/>
      <c r="CE88" s="57">
        <v>0</v>
      </c>
      <c r="CF88" s="56">
        <v>0</v>
      </c>
      <c r="CG88" s="56">
        <v>0</v>
      </c>
      <c r="CH88" s="56">
        <v>0</v>
      </c>
      <c r="CI88" s="56">
        <v>0</v>
      </c>
      <c r="CJ88" s="56">
        <v>0</v>
      </c>
      <c r="CK88" s="56">
        <v>0</v>
      </c>
      <c r="CL88" s="56">
        <v>0</v>
      </c>
      <c r="CM88" s="56">
        <v>0</v>
      </c>
      <c r="CN88" s="56">
        <v>0</v>
      </c>
      <c r="CO88" s="157">
        <f t="shared" si="29"/>
        <v>0</v>
      </c>
    </row>
    <row r="89" spans="1:93" ht="21.75" customHeight="1" x14ac:dyDescent="0.25">
      <c r="A89" s="47">
        <v>72</v>
      </c>
      <c r="B89" s="47" t="s">
        <v>191</v>
      </c>
      <c r="C89" s="90" t="s">
        <v>192</v>
      </c>
      <c r="D89" s="100">
        <v>45971</v>
      </c>
      <c r="E89" s="71">
        <v>0.35138888888888892</v>
      </c>
      <c r="F89" s="71">
        <v>0.95833333333333337</v>
      </c>
      <c r="G89" s="71">
        <v>0.3520833333333333</v>
      </c>
      <c r="H89" s="71">
        <v>0.94791666666666663</v>
      </c>
      <c r="I89" s="71">
        <v>0.35138888888888892</v>
      </c>
      <c r="J89" s="71">
        <v>0.93888888888888899</v>
      </c>
      <c r="K89" s="71">
        <v>0.35069444444444442</v>
      </c>
      <c r="L89" s="71">
        <v>0.9604166666666667</v>
      </c>
      <c r="M89" s="123">
        <v>0.58124999999999993</v>
      </c>
      <c r="N89" s="127">
        <v>0.93333333333333324</v>
      </c>
      <c r="O89" s="71">
        <v>0.35138888888888892</v>
      </c>
      <c r="P89" s="71">
        <v>0.95972222222222225</v>
      </c>
      <c r="Q89" s="71">
        <v>0.35138888888888892</v>
      </c>
      <c r="R89" s="71">
        <v>0.9375</v>
      </c>
      <c r="S89" s="71">
        <v>0.3520833333333333</v>
      </c>
      <c r="T89" s="71">
        <v>0.9375</v>
      </c>
      <c r="U89" s="71">
        <v>0.35138888888888892</v>
      </c>
      <c r="V89" s="71">
        <v>0.9375</v>
      </c>
      <c r="W89" s="71">
        <v>0.3520833333333333</v>
      </c>
      <c r="X89" s="71">
        <v>0.9375</v>
      </c>
      <c r="Y89" s="71">
        <v>0.35138888888888892</v>
      </c>
      <c r="Z89" s="71">
        <v>0.35138888888888892</v>
      </c>
      <c r="AA89" s="123">
        <v>0.57777777777777783</v>
      </c>
      <c r="AB89" s="124">
        <v>1</v>
      </c>
      <c r="AC89" s="71">
        <v>0.3520833333333333</v>
      </c>
      <c r="AD89" s="71">
        <v>0.9590277777777777</v>
      </c>
      <c r="AE89" s="71">
        <v>0.3520833333333333</v>
      </c>
      <c r="AF89" s="71">
        <v>0.94166666666666676</v>
      </c>
      <c r="AG89" s="71">
        <v>0.35138888888888892</v>
      </c>
      <c r="AH89" s="71">
        <v>0.93819444444444444</v>
      </c>
      <c r="AI89" s="143"/>
      <c r="AJ89" s="47">
        <v>73</v>
      </c>
      <c r="AK89" s="71">
        <v>0.3520833333333333</v>
      </c>
      <c r="AL89" s="71">
        <v>0.94861111111111107</v>
      </c>
      <c r="AM89" s="71">
        <v>0.3520833333333333</v>
      </c>
      <c r="AN89" s="71">
        <v>0.94027777777777777</v>
      </c>
      <c r="AO89" s="71">
        <v>0.35138888888888892</v>
      </c>
      <c r="AP89" s="71">
        <v>0.35138888888888892</v>
      </c>
      <c r="AQ89" s="123">
        <v>0.57986111111111105</v>
      </c>
      <c r="AR89" s="123">
        <v>0.93263888888888891</v>
      </c>
      <c r="AS89" s="71">
        <v>0.35138888888888892</v>
      </c>
      <c r="AT89" s="71">
        <v>0.35138888888888892</v>
      </c>
      <c r="AU89" s="71">
        <v>0.3520833333333333</v>
      </c>
      <c r="AV89" s="71">
        <v>0.9375</v>
      </c>
      <c r="AW89" s="71">
        <v>0.3520833333333333</v>
      </c>
      <c r="AX89" s="71">
        <v>0.93958333333333333</v>
      </c>
      <c r="AY89" s="71">
        <v>0.3527777777777778</v>
      </c>
      <c r="AZ89" s="71">
        <v>0.9375</v>
      </c>
      <c r="BA89" s="71">
        <v>0.3520833333333333</v>
      </c>
      <c r="BB89" s="71">
        <v>0.93819444444444444</v>
      </c>
      <c r="BC89" s="71">
        <v>0.35138888888888892</v>
      </c>
      <c r="BD89" s="71">
        <v>0.96388888888888891</v>
      </c>
      <c r="BE89" s="123">
        <v>0.56805555555555554</v>
      </c>
      <c r="BF89" s="123">
        <v>0.56805555555555554</v>
      </c>
      <c r="BG89" s="71">
        <v>0.35138888888888892</v>
      </c>
      <c r="BH89" s="71">
        <v>0.95486111111111116</v>
      </c>
      <c r="BI89" s="71">
        <v>0.35138888888888892</v>
      </c>
      <c r="BJ89" s="71">
        <v>0.35138888888888892</v>
      </c>
      <c r="BK89" s="71">
        <v>0.3520833333333333</v>
      </c>
      <c r="BL89" s="71">
        <v>0.3520833333333333</v>
      </c>
      <c r="BM89" s="71">
        <v>0.35138888888888892</v>
      </c>
      <c r="BN89" s="71">
        <v>0.35138888888888892</v>
      </c>
      <c r="BO89" s="122">
        <f t="shared" si="15"/>
        <v>30</v>
      </c>
      <c r="BP89" s="75">
        <v>4</v>
      </c>
      <c r="BQ89" s="2">
        <f t="shared" si="17"/>
        <v>30</v>
      </c>
      <c r="BR89" s="3">
        <f t="shared" si="18"/>
        <v>0</v>
      </c>
      <c r="BS89" s="3">
        <f t="shared" si="19"/>
        <v>0</v>
      </c>
      <c r="BT89" s="3">
        <f t="shared" si="20"/>
        <v>0</v>
      </c>
      <c r="BU89" s="3">
        <f t="shared" si="21"/>
        <v>0</v>
      </c>
      <c r="BV89" s="3">
        <f t="shared" si="22"/>
        <v>0</v>
      </c>
      <c r="BW89" s="3">
        <f t="shared" si="23"/>
        <v>0</v>
      </c>
      <c r="BX89" s="3">
        <f t="shared" si="24"/>
        <v>0</v>
      </c>
      <c r="BY89" s="3">
        <f t="shared" si="25"/>
        <v>0</v>
      </c>
      <c r="BZ89" s="3">
        <f t="shared" si="26"/>
        <v>0</v>
      </c>
      <c r="CA89" s="3">
        <f t="shared" si="27"/>
        <v>0</v>
      </c>
      <c r="CB89" s="3">
        <f t="shared" si="28"/>
        <v>0</v>
      </c>
      <c r="CC89" s="4"/>
      <c r="CE89" s="153">
        <v>0</v>
      </c>
      <c r="CF89" s="154">
        <v>0</v>
      </c>
      <c r="CG89" s="154">
        <v>0</v>
      </c>
      <c r="CH89" s="154">
        <v>0</v>
      </c>
      <c r="CI89" s="154">
        <v>0</v>
      </c>
      <c r="CJ89" s="154">
        <v>0</v>
      </c>
      <c r="CK89" s="154">
        <v>0</v>
      </c>
      <c r="CL89" s="154">
        <v>0</v>
      </c>
      <c r="CM89" s="154">
        <v>0</v>
      </c>
      <c r="CN89" s="154">
        <v>0</v>
      </c>
      <c r="CO89" s="156">
        <f t="shared" si="29"/>
        <v>0</v>
      </c>
    </row>
    <row r="90" spans="1:93" ht="21.75" customHeight="1" x14ac:dyDescent="0.25">
      <c r="A90" s="47">
        <v>73</v>
      </c>
      <c r="B90" s="47" t="s">
        <v>193</v>
      </c>
      <c r="C90" s="90" t="s">
        <v>194</v>
      </c>
      <c r="D90" s="100">
        <v>45987</v>
      </c>
      <c r="E90" s="71">
        <v>0.34861111111111115</v>
      </c>
      <c r="F90" s="71">
        <v>0.91666666666666663</v>
      </c>
      <c r="G90" s="71">
        <v>0.3520833333333333</v>
      </c>
      <c r="H90" s="71">
        <v>0.91736111111111107</v>
      </c>
      <c r="I90" s="71">
        <v>0.3520833333333333</v>
      </c>
      <c r="J90" s="71">
        <v>0.93194444444444446</v>
      </c>
      <c r="K90" s="71">
        <v>0.35069444444444442</v>
      </c>
      <c r="L90" s="71">
        <v>0.91249999999999998</v>
      </c>
      <c r="M90" s="123">
        <v>0.5805555555555556</v>
      </c>
      <c r="N90" s="127">
        <v>0.91805555555555562</v>
      </c>
      <c r="O90" s="71">
        <v>0.35138888888888892</v>
      </c>
      <c r="P90" s="71">
        <v>0.92708333333333337</v>
      </c>
      <c r="Q90" s="71">
        <v>0.35069444444444442</v>
      </c>
      <c r="R90" s="71">
        <v>0.8847222222222223</v>
      </c>
      <c r="S90" s="71">
        <v>0.35138888888888892</v>
      </c>
      <c r="T90" s="71">
        <v>0.92291666666666661</v>
      </c>
      <c r="U90" s="71">
        <v>0.3520833333333333</v>
      </c>
      <c r="V90" s="71">
        <v>0.90694444444444444</v>
      </c>
      <c r="W90" s="71">
        <v>0.35416666666666669</v>
      </c>
      <c r="X90" s="71">
        <v>0.94444444444444453</v>
      </c>
      <c r="Y90" s="71">
        <v>0.3520833333333333</v>
      </c>
      <c r="Z90" s="71">
        <v>0.88958333333333339</v>
      </c>
      <c r="AA90" s="107" t="s">
        <v>15</v>
      </c>
      <c r="AB90" s="125" t="s">
        <v>15</v>
      </c>
      <c r="AC90" s="71">
        <v>0.35138888888888892</v>
      </c>
      <c r="AD90" s="71">
        <v>0.92569444444444438</v>
      </c>
      <c r="AE90" s="71">
        <v>0.3520833333333333</v>
      </c>
      <c r="AF90" s="71">
        <v>0.97361111111111109</v>
      </c>
      <c r="AG90" s="71">
        <v>0.35069444444444442</v>
      </c>
      <c r="AH90" s="71">
        <v>0.89930555555555547</v>
      </c>
      <c r="AI90" s="143"/>
      <c r="AJ90" s="47">
        <v>74</v>
      </c>
      <c r="AK90" s="71">
        <v>0.3527777777777778</v>
      </c>
      <c r="AL90" s="71">
        <v>0.87708333333333333</v>
      </c>
      <c r="AM90" s="71">
        <v>0.35347222222222219</v>
      </c>
      <c r="AN90" s="71">
        <v>0.88958333333333339</v>
      </c>
      <c r="AO90" s="71">
        <v>0.35138888888888892</v>
      </c>
      <c r="AP90" s="71">
        <v>0.92638888888888893</v>
      </c>
      <c r="AQ90" s="123">
        <v>0.57638888888888895</v>
      </c>
      <c r="AR90" s="123">
        <v>0.91666666666666663</v>
      </c>
      <c r="AS90" s="71">
        <v>0.34930555555555554</v>
      </c>
      <c r="AT90" s="71">
        <v>0.90555555555555556</v>
      </c>
      <c r="AU90" s="71">
        <v>0.3520833333333333</v>
      </c>
      <c r="AV90" s="71">
        <v>0.89374999999999993</v>
      </c>
      <c r="AW90" s="71">
        <v>0.35069444444444442</v>
      </c>
      <c r="AX90" s="71">
        <v>0.87847222222222221</v>
      </c>
      <c r="AY90" s="71">
        <v>0.35000000000000003</v>
      </c>
      <c r="AZ90" s="71">
        <v>0.8965277777777777</v>
      </c>
      <c r="BA90" s="71">
        <v>0.34722222222222227</v>
      </c>
      <c r="BB90" s="71">
        <v>0.91180555555555554</v>
      </c>
      <c r="BC90" s="71">
        <v>0.34861111111111115</v>
      </c>
      <c r="BD90" s="71">
        <v>0.91666666666666663</v>
      </c>
      <c r="BE90" s="107" t="s">
        <v>15</v>
      </c>
      <c r="BF90" s="107" t="s">
        <v>15</v>
      </c>
      <c r="BG90" s="71">
        <v>0.34513888888888888</v>
      </c>
      <c r="BH90" s="71">
        <v>0.91111111111111109</v>
      </c>
      <c r="BI90" s="71">
        <v>0.34861111111111115</v>
      </c>
      <c r="BJ90" s="71">
        <v>0.91180555555555554</v>
      </c>
      <c r="BK90" s="71">
        <v>0.34791666666666665</v>
      </c>
      <c r="BL90" s="71">
        <v>0.8847222222222223</v>
      </c>
      <c r="BM90" s="71">
        <v>0.34722222222222227</v>
      </c>
      <c r="BN90" s="71">
        <v>0.88263888888888886</v>
      </c>
      <c r="BO90" s="122">
        <f t="shared" si="15"/>
        <v>30</v>
      </c>
      <c r="BP90" s="75">
        <v>2</v>
      </c>
      <c r="BQ90" s="2">
        <f t="shared" si="17"/>
        <v>28</v>
      </c>
      <c r="BR90" s="3">
        <f t="shared" si="18"/>
        <v>2</v>
      </c>
      <c r="BS90" s="3">
        <f t="shared" si="19"/>
        <v>0</v>
      </c>
      <c r="BT90" s="3">
        <f t="shared" si="20"/>
        <v>0</v>
      </c>
      <c r="BU90" s="3">
        <f t="shared" si="21"/>
        <v>0</v>
      </c>
      <c r="BV90" s="3">
        <f t="shared" si="22"/>
        <v>0</v>
      </c>
      <c r="BW90" s="3">
        <f t="shared" si="23"/>
        <v>0</v>
      </c>
      <c r="BX90" s="3">
        <f t="shared" si="24"/>
        <v>0</v>
      </c>
      <c r="BY90" s="3">
        <f t="shared" si="25"/>
        <v>0</v>
      </c>
      <c r="BZ90" s="3">
        <f t="shared" si="26"/>
        <v>0</v>
      </c>
      <c r="CA90" s="3">
        <f t="shared" si="27"/>
        <v>0</v>
      </c>
      <c r="CB90" s="3">
        <f t="shared" si="28"/>
        <v>0</v>
      </c>
      <c r="CC90" s="4"/>
      <c r="CE90" s="57">
        <v>0</v>
      </c>
      <c r="CF90" s="56">
        <v>0</v>
      </c>
      <c r="CG90" s="56">
        <v>0</v>
      </c>
      <c r="CH90" s="56">
        <v>0</v>
      </c>
      <c r="CI90" s="56">
        <v>0</v>
      </c>
      <c r="CJ90" s="56">
        <v>0</v>
      </c>
      <c r="CK90" s="56">
        <v>0</v>
      </c>
      <c r="CL90" s="56">
        <v>0</v>
      </c>
      <c r="CM90" s="56">
        <v>0</v>
      </c>
      <c r="CN90" s="56">
        <v>0</v>
      </c>
      <c r="CO90" s="157">
        <f t="shared" si="29"/>
        <v>0</v>
      </c>
    </row>
    <row r="91" spans="1:93" ht="21.75" customHeight="1" x14ac:dyDescent="0.25">
      <c r="A91" s="47">
        <v>74</v>
      </c>
      <c r="B91" s="47" t="s">
        <v>195</v>
      </c>
      <c r="C91" s="90" t="s">
        <v>196</v>
      </c>
      <c r="D91" s="100"/>
      <c r="E91" s="71">
        <v>0.33888888888888885</v>
      </c>
      <c r="F91" s="76">
        <v>1</v>
      </c>
      <c r="G91" s="71">
        <v>0.33819444444444446</v>
      </c>
      <c r="H91" s="71">
        <v>1</v>
      </c>
      <c r="I91" s="71">
        <v>0.33263888888888887</v>
      </c>
      <c r="J91" s="76">
        <v>1</v>
      </c>
      <c r="K91" s="71">
        <v>0.33958333333333335</v>
      </c>
      <c r="L91" s="76">
        <v>1</v>
      </c>
      <c r="M91" s="123">
        <v>0.58402777777777781</v>
      </c>
      <c r="N91" s="126">
        <v>1</v>
      </c>
      <c r="O91" s="71">
        <v>0.33749999999999997</v>
      </c>
      <c r="P91" s="76">
        <v>1</v>
      </c>
      <c r="Q91" s="71">
        <v>0.33194444444444443</v>
      </c>
      <c r="R91" s="76">
        <v>1</v>
      </c>
      <c r="S91" s="71">
        <v>0.33749999999999997</v>
      </c>
      <c r="T91" s="76">
        <v>1</v>
      </c>
      <c r="U91" s="71">
        <v>0.34583333333333338</v>
      </c>
      <c r="V91" s="76">
        <v>1</v>
      </c>
      <c r="W91" s="71">
        <v>0.33263888888888887</v>
      </c>
      <c r="X91" s="76">
        <v>1</v>
      </c>
      <c r="Y91" s="71">
        <v>0.34166666666666662</v>
      </c>
      <c r="Z91" s="76">
        <v>1</v>
      </c>
      <c r="AA91" s="123">
        <v>0.58124999999999993</v>
      </c>
      <c r="AB91" s="124">
        <v>1</v>
      </c>
      <c r="AC91" s="71">
        <v>0.35486111111111113</v>
      </c>
      <c r="AD91" s="76">
        <v>1</v>
      </c>
      <c r="AE91" s="71">
        <v>0.34375</v>
      </c>
      <c r="AF91" s="76">
        <v>1</v>
      </c>
      <c r="AG91" s="71">
        <v>0.33888888888888885</v>
      </c>
      <c r="AH91" s="76">
        <v>1</v>
      </c>
      <c r="AI91" s="135"/>
      <c r="AJ91" s="47">
        <v>75</v>
      </c>
      <c r="AK91" s="71">
        <v>0.3347222222222222</v>
      </c>
      <c r="AL91" s="76">
        <v>1</v>
      </c>
      <c r="AM91" s="71">
        <v>0.3354166666666667</v>
      </c>
      <c r="AN91" s="76">
        <v>1</v>
      </c>
      <c r="AO91" s="71">
        <v>0.33888888888888885</v>
      </c>
      <c r="AP91" s="76">
        <v>1</v>
      </c>
      <c r="AQ91" s="123">
        <v>0.58124999999999993</v>
      </c>
      <c r="AR91" s="124">
        <v>1</v>
      </c>
      <c r="AS91" s="71">
        <v>0.33263888888888887</v>
      </c>
      <c r="AT91" s="71">
        <v>1</v>
      </c>
      <c r="AU91" s="71">
        <v>0.33263888888888887</v>
      </c>
      <c r="AV91" s="76">
        <v>1</v>
      </c>
      <c r="AW91" s="71">
        <v>0.3354166666666667</v>
      </c>
      <c r="AX91" s="76">
        <v>1</v>
      </c>
      <c r="AY91" s="71">
        <v>0.32847222222222222</v>
      </c>
      <c r="AZ91" s="76">
        <v>1</v>
      </c>
      <c r="BA91" s="71">
        <v>0.33333333333333331</v>
      </c>
      <c r="BB91" s="76">
        <v>1</v>
      </c>
      <c r="BC91" s="71">
        <v>0.33958333333333335</v>
      </c>
      <c r="BD91" s="76">
        <v>1</v>
      </c>
      <c r="BE91" s="123">
        <v>0.58194444444444449</v>
      </c>
      <c r="BF91" s="124">
        <v>1</v>
      </c>
      <c r="BG91" s="71">
        <v>0.33749999999999997</v>
      </c>
      <c r="BH91" s="76">
        <v>1</v>
      </c>
      <c r="BI91" s="71">
        <v>0.33333333333333331</v>
      </c>
      <c r="BJ91" s="76">
        <v>1</v>
      </c>
      <c r="BK91" s="71">
        <v>0.34513888888888888</v>
      </c>
      <c r="BL91" s="76">
        <v>1</v>
      </c>
      <c r="BM91" s="71">
        <v>0.33194444444444443</v>
      </c>
      <c r="BN91" s="76">
        <v>1</v>
      </c>
      <c r="BO91" s="122">
        <f t="shared" si="15"/>
        <v>30</v>
      </c>
      <c r="BP91" s="75">
        <v>0</v>
      </c>
      <c r="BQ91" s="2">
        <f t="shared" si="17"/>
        <v>30</v>
      </c>
      <c r="BR91" s="3">
        <f t="shared" si="18"/>
        <v>0</v>
      </c>
      <c r="BS91" s="3">
        <f t="shared" si="19"/>
        <v>0</v>
      </c>
      <c r="BT91" s="3">
        <f t="shared" si="20"/>
        <v>0</v>
      </c>
      <c r="BU91" s="3">
        <f t="shared" si="21"/>
        <v>0</v>
      </c>
      <c r="BV91" s="3">
        <f t="shared" si="22"/>
        <v>0</v>
      </c>
      <c r="BW91" s="3">
        <f t="shared" si="23"/>
        <v>0</v>
      </c>
      <c r="BX91" s="3">
        <f t="shared" si="24"/>
        <v>0</v>
      </c>
      <c r="BY91" s="3">
        <f t="shared" si="25"/>
        <v>0</v>
      </c>
      <c r="BZ91" s="3">
        <f t="shared" si="26"/>
        <v>0</v>
      </c>
      <c r="CA91" s="3">
        <f t="shared" si="27"/>
        <v>0</v>
      </c>
      <c r="CB91" s="3">
        <f t="shared" si="28"/>
        <v>0</v>
      </c>
      <c r="CC91" s="4"/>
      <c r="CE91" s="153">
        <v>0</v>
      </c>
      <c r="CF91" s="154">
        <v>0</v>
      </c>
      <c r="CG91" s="154">
        <v>0</v>
      </c>
      <c r="CH91" s="154">
        <v>0</v>
      </c>
      <c r="CI91" s="154">
        <v>0</v>
      </c>
      <c r="CJ91" s="154">
        <v>0</v>
      </c>
      <c r="CK91" s="154">
        <v>0</v>
      </c>
      <c r="CL91" s="154">
        <v>0</v>
      </c>
      <c r="CM91" s="154">
        <v>0</v>
      </c>
      <c r="CN91" s="154">
        <v>0</v>
      </c>
      <c r="CO91" s="156">
        <f t="shared" si="29"/>
        <v>0</v>
      </c>
    </row>
    <row r="92" spans="1:93" ht="21.75" customHeight="1" x14ac:dyDescent="0.25">
      <c r="A92" s="47">
        <v>75</v>
      </c>
      <c r="B92" s="47" t="s">
        <v>197</v>
      </c>
      <c r="C92" s="90" t="s">
        <v>198</v>
      </c>
      <c r="D92" s="100">
        <v>45973</v>
      </c>
      <c r="E92" s="71">
        <v>0.35972222222222222</v>
      </c>
      <c r="F92" s="71">
        <v>0.94861111111111107</v>
      </c>
      <c r="G92" s="71">
        <v>0.35138888888888892</v>
      </c>
      <c r="H92" s="71">
        <v>0.94513888888888886</v>
      </c>
      <c r="I92" s="71">
        <v>0.35347222222222219</v>
      </c>
      <c r="J92" s="76">
        <v>1</v>
      </c>
      <c r="K92" s="71">
        <v>0.35138888888888892</v>
      </c>
      <c r="L92" s="71">
        <v>0.96180555555555547</v>
      </c>
      <c r="M92" s="123">
        <v>0.57708333333333328</v>
      </c>
      <c r="N92" s="126">
        <v>1</v>
      </c>
      <c r="O92" s="71">
        <v>0.35347222222222219</v>
      </c>
      <c r="P92" s="76">
        <v>1</v>
      </c>
      <c r="Q92" s="71">
        <v>0.3520833333333333</v>
      </c>
      <c r="R92" s="71">
        <v>0.98333333333333339</v>
      </c>
      <c r="S92" s="71">
        <v>0.35486111111111113</v>
      </c>
      <c r="T92" s="71">
        <v>0.95277777777777783</v>
      </c>
      <c r="U92" s="71">
        <v>0.35138888888888892</v>
      </c>
      <c r="V92" s="76">
        <v>1</v>
      </c>
      <c r="W92" s="76">
        <v>1</v>
      </c>
      <c r="X92" s="76">
        <v>1</v>
      </c>
      <c r="Y92" s="71">
        <v>0.35347222222222219</v>
      </c>
      <c r="Z92" s="71">
        <v>0.95833333333333337</v>
      </c>
      <c r="AA92" s="123">
        <v>0.9243055555555556</v>
      </c>
      <c r="AB92" s="124">
        <v>1</v>
      </c>
      <c r="AC92" s="71">
        <v>0.3527777777777778</v>
      </c>
      <c r="AD92" s="71">
        <v>2.0833333333333332E-2</v>
      </c>
      <c r="AE92" s="71">
        <v>0.35625000000000001</v>
      </c>
      <c r="AF92" s="76">
        <v>1</v>
      </c>
      <c r="AG92" s="71">
        <v>0.95624999999999993</v>
      </c>
      <c r="AH92" s="76">
        <v>1</v>
      </c>
      <c r="AI92" s="135"/>
      <c r="AJ92" s="47">
        <v>76</v>
      </c>
      <c r="AK92" s="71">
        <v>0.35347222222222219</v>
      </c>
      <c r="AL92" s="76">
        <v>1</v>
      </c>
      <c r="AM92" s="71">
        <v>0.35416666666666669</v>
      </c>
      <c r="AN92" s="71">
        <v>0.94513888888888886</v>
      </c>
      <c r="AO92" s="82" t="s">
        <v>181</v>
      </c>
      <c r="AP92" s="82" t="s">
        <v>181</v>
      </c>
      <c r="AQ92" s="123">
        <v>0.5805555555555556</v>
      </c>
      <c r="AR92" s="123">
        <v>0.95138888888888884</v>
      </c>
      <c r="AS92" s="71">
        <v>0.35694444444444445</v>
      </c>
      <c r="AT92" s="71">
        <v>0.95208333333333339</v>
      </c>
      <c r="AU92" s="71">
        <v>0.35347222222222219</v>
      </c>
      <c r="AV92" s="71">
        <v>0.94791666666666663</v>
      </c>
      <c r="AW92" s="71">
        <v>0.35555555555555557</v>
      </c>
      <c r="AX92" s="71">
        <v>0.95416666666666661</v>
      </c>
      <c r="AY92" s="71">
        <v>0.35138888888888892</v>
      </c>
      <c r="AZ92" s="71">
        <v>0.96111111111111114</v>
      </c>
      <c r="BA92" s="71">
        <v>0.35347222222222219</v>
      </c>
      <c r="BB92" s="71">
        <v>0.95833333333333337</v>
      </c>
      <c r="BC92" s="71">
        <v>0.35347222222222219</v>
      </c>
      <c r="BD92" s="71">
        <v>0.96527777777777779</v>
      </c>
      <c r="BE92" s="107" t="s">
        <v>15</v>
      </c>
      <c r="BF92" s="107" t="s">
        <v>15</v>
      </c>
      <c r="BG92" s="71">
        <v>0.35486111111111113</v>
      </c>
      <c r="BH92" s="71">
        <v>0.95833333333333337</v>
      </c>
      <c r="BI92" s="71">
        <v>0.3527777777777778</v>
      </c>
      <c r="BJ92" s="71">
        <v>0.9604166666666667</v>
      </c>
      <c r="BK92" s="71">
        <v>0.35625000000000001</v>
      </c>
      <c r="BL92" s="71">
        <v>0.99652777777777779</v>
      </c>
      <c r="BM92" s="71">
        <v>0.3520833333333333</v>
      </c>
      <c r="BN92" s="71">
        <v>0.95138888888888884</v>
      </c>
      <c r="BO92" s="122">
        <f t="shared" si="15"/>
        <v>30</v>
      </c>
      <c r="BP92" s="75">
        <v>3</v>
      </c>
      <c r="BQ92" s="2">
        <f t="shared" si="17"/>
        <v>28</v>
      </c>
      <c r="BR92" s="3">
        <f t="shared" si="18"/>
        <v>1</v>
      </c>
      <c r="BS92" s="3">
        <f t="shared" si="19"/>
        <v>0</v>
      </c>
      <c r="BT92" s="3">
        <f t="shared" si="20"/>
        <v>0</v>
      </c>
      <c r="BU92" s="3">
        <f t="shared" si="21"/>
        <v>0</v>
      </c>
      <c r="BV92" s="3">
        <f t="shared" si="22"/>
        <v>0</v>
      </c>
      <c r="BW92" s="3">
        <f t="shared" si="23"/>
        <v>0</v>
      </c>
      <c r="BX92" s="3">
        <f t="shared" si="24"/>
        <v>1</v>
      </c>
      <c r="BY92" s="3">
        <f t="shared" si="25"/>
        <v>0</v>
      </c>
      <c r="BZ92" s="3">
        <f t="shared" si="26"/>
        <v>0</v>
      </c>
      <c r="CA92" s="3">
        <f t="shared" si="27"/>
        <v>0</v>
      </c>
      <c r="CB92" s="3">
        <f t="shared" si="28"/>
        <v>0</v>
      </c>
      <c r="CC92" s="4"/>
      <c r="CE92" s="57">
        <v>0</v>
      </c>
      <c r="CF92" s="56">
        <v>0</v>
      </c>
      <c r="CG92" s="56">
        <v>0</v>
      </c>
      <c r="CH92" s="56">
        <v>0</v>
      </c>
      <c r="CI92" s="56">
        <v>0</v>
      </c>
      <c r="CJ92" s="56">
        <v>1</v>
      </c>
      <c r="CK92" s="56">
        <v>0</v>
      </c>
      <c r="CL92" s="56">
        <v>0</v>
      </c>
      <c r="CM92" s="56">
        <v>0</v>
      </c>
      <c r="CN92" s="56">
        <v>0</v>
      </c>
      <c r="CO92" s="157">
        <f t="shared" si="29"/>
        <v>1</v>
      </c>
    </row>
    <row r="93" spans="1:93" ht="19.5" customHeight="1" x14ac:dyDescent="0.25">
      <c r="A93" s="47">
        <v>76</v>
      </c>
      <c r="B93" s="47" t="s">
        <v>203</v>
      </c>
      <c r="C93" s="90" t="s">
        <v>204</v>
      </c>
      <c r="D93" s="100">
        <v>45995</v>
      </c>
      <c r="E93" s="71">
        <v>0.36180555555555555</v>
      </c>
      <c r="F93" s="71">
        <v>0.95347222222222217</v>
      </c>
      <c r="G93" s="71">
        <v>0.36458333333333331</v>
      </c>
      <c r="H93" s="76">
        <v>1</v>
      </c>
      <c r="I93" s="71">
        <v>0.35694444444444445</v>
      </c>
      <c r="J93" s="71">
        <v>0.95416666666666661</v>
      </c>
      <c r="K93" s="71">
        <v>0.36180555555555555</v>
      </c>
      <c r="L93" s="71">
        <v>0.97499999999999998</v>
      </c>
      <c r="M93" s="123">
        <v>0.58333333333333337</v>
      </c>
      <c r="N93" s="127">
        <v>0.95694444444444438</v>
      </c>
      <c r="O93" s="71">
        <v>0.36249999999999999</v>
      </c>
      <c r="P93" s="71">
        <v>0.97083333333333333</v>
      </c>
      <c r="Q93" s="71">
        <v>0.3659722222222222</v>
      </c>
      <c r="R93" s="71">
        <v>0.9604166666666667</v>
      </c>
      <c r="S93" s="71">
        <v>0.3527777777777778</v>
      </c>
      <c r="T93" s="71">
        <v>0.95208333333333339</v>
      </c>
      <c r="U93" s="71">
        <v>0.34930555555555554</v>
      </c>
      <c r="V93" s="71">
        <v>0.9555555555555556</v>
      </c>
      <c r="W93" s="71">
        <v>0.35000000000000003</v>
      </c>
      <c r="X93" s="71">
        <v>0.95347222222222217</v>
      </c>
      <c r="Y93" s="76">
        <v>1</v>
      </c>
      <c r="Z93" s="71">
        <v>0.97916666666666663</v>
      </c>
      <c r="AA93" s="107" t="s">
        <v>15</v>
      </c>
      <c r="AB93" s="125" t="s">
        <v>15</v>
      </c>
      <c r="AC93" s="71">
        <v>0.36041666666666666</v>
      </c>
      <c r="AD93" s="71">
        <v>0.97499999999999998</v>
      </c>
      <c r="AE93" s="71">
        <v>0.35833333333333334</v>
      </c>
      <c r="AF93" s="71">
        <v>0.96388888888888891</v>
      </c>
      <c r="AG93" s="71">
        <v>0.3576388888888889</v>
      </c>
      <c r="AH93" s="76">
        <v>1</v>
      </c>
      <c r="AI93" s="135"/>
      <c r="AJ93" s="47">
        <v>77</v>
      </c>
      <c r="AK93" s="71">
        <v>0.35486111111111113</v>
      </c>
      <c r="AL93" s="71">
        <v>0.95277777777777783</v>
      </c>
      <c r="AM93" s="71">
        <v>0.36388888888888887</v>
      </c>
      <c r="AN93" s="71">
        <v>0.95833333333333337</v>
      </c>
      <c r="AO93" s="71">
        <v>0.45624999999999999</v>
      </c>
      <c r="AP93" s="71">
        <v>0.98402777777777783</v>
      </c>
      <c r="AQ93" s="124">
        <v>1</v>
      </c>
      <c r="AR93" s="124">
        <v>1</v>
      </c>
      <c r="AS93" s="71">
        <v>0.3659722222222222</v>
      </c>
      <c r="AT93" s="71">
        <v>1</v>
      </c>
      <c r="AU93" s="71">
        <v>0.35555555555555557</v>
      </c>
      <c r="AV93" s="76">
        <v>1</v>
      </c>
      <c r="AW93" s="71">
        <v>0.35347222222222219</v>
      </c>
      <c r="AX93" s="71">
        <v>0.96319444444444446</v>
      </c>
      <c r="AY93" s="71">
        <v>0.35416666666666669</v>
      </c>
      <c r="AZ93" s="71">
        <v>0.95416666666666661</v>
      </c>
      <c r="BA93" s="82" t="s">
        <v>181</v>
      </c>
      <c r="BB93" s="82" t="s">
        <v>181</v>
      </c>
      <c r="BC93" s="71">
        <v>0.3520833333333333</v>
      </c>
      <c r="BD93" s="71">
        <v>0.97361111111111109</v>
      </c>
      <c r="BE93" s="107" t="s">
        <v>15</v>
      </c>
      <c r="BF93" s="107" t="s">
        <v>15</v>
      </c>
      <c r="BG93" s="71">
        <v>0.35347222222222219</v>
      </c>
      <c r="BH93" s="71">
        <v>1.4583333333333332E-2</v>
      </c>
      <c r="BI93" s="71">
        <v>0.3527777777777778</v>
      </c>
      <c r="BJ93" s="71">
        <v>0.95694444444444438</v>
      </c>
      <c r="BK93" s="71">
        <v>0.35555555555555557</v>
      </c>
      <c r="BL93" s="71">
        <v>0.9555555555555556</v>
      </c>
      <c r="BM93" s="71">
        <v>0.35416666666666669</v>
      </c>
      <c r="BN93" s="71">
        <v>0.95277777777777783</v>
      </c>
      <c r="BO93" s="122">
        <f t="shared" si="15"/>
        <v>30</v>
      </c>
      <c r="BP93" s="75">
        <v>2</v>
      </c>
      <c r="BQ93" s="2">
        <f t="shared" si="17"/>
        <v>27</v>
      </c>
      <c r="BR93" s="3">
        <f t="shared" si="18"/>
        <v>2</v>
      </c>
      <c r="BS93" s="3">
        <f t="shared" si="19"/>
        <v>0</v>
      </c>
      <c r="BT93" s="3">
        <f t="shared" si="20"/>
        <v>0</v>
      </c>
      <c r="BU93" s="3">
        <f t="shared" si="21"/>
        <v>0</v>
      </c>
      <c r="BV93" s="3">
        <f t="shared" si="22"/>
        <v>0</v>
      </c>
      <c r="BW93" s="3">
        <f t="shared" si="23"/>
        <v>0</v>
      </c>
      <c r="BX93" s="3">
        <f t="shared" si="24"/>
        <v>1</v>
      </c>
      <c r="BY93" s="3">
        <f t="shared" si="25"/>
        <v>0</v>
      </c>
      <c r="BZ93" s="3">
        <f t="shared" si="26"/>
        <v>0</v>
      </c>
      <c r="CA93" s="3">
        <f t="shared" si="27"/>
        <v>0</v>
      </c>
      <c r="CB93" s="3">
        <f t="shared" si="28"/>
        <v>0</v>
      </c>
      <c r="CC93" s="4"/>
      <c r="CE93" s="153">
        <v>0</v>
      </c>
      <c r="CF93" s="153">
        <v>0</v>
      </c>
      <c r="CG93" s="153">
        <v>0</v>
      </c>
      <c r="CH93" s="153">
        <v>0</v>
      </c>
      <c r="CI93" s="153">
        <v>0</v>
      </c>
      <c r="CJ93" s="153">
        <v>2</v>
      </c>
      <c r="CK93" s="153">
        <v>0</v>
      </c>
      <c r="CL93" s="153">
        <v>0</v>
      </c>
      <c r="CM93" s="153">
        <v>0</v>
      </c>
      <c r="CN93" s="153">
        <v>0</v>
      </c>
      <c r="CO93" s="156">
        <f t="shared" si="29"/>
        <v>2</v>
      </c>
    </row>
    <row r="94" spans="1:93" ht="21.75" customHeight="1" x14ac:dyDescent="0.25">
      <c r="A94" s="47">
        <v>77</v>
      </c>
      <c r="B94" s="47" t="s">
        <v>205</v>
      </c>
      <c r="C94" s="90" t="s">
        <v>206</v>
      </c>
      <c r="D94" s="100">
        <v>46004</v>
      </c>
      <c r="E94" s="71">
        <v>0.3527777777777778</v>
      </c>
      <c r="F94" s="71">
        <v>0.95347222222222217</v>
      </c>
      <c r="G94" s="71">
        <v>0.35138888888888892</v>
      </c>
      <c r="H94" s="76">
        <v>1</v>
      </c>
      <c r="I94" s="71">
        <v>0.3527777777777778</v>
      </c>
      <c r="J94" s="71">
        <v>0.95347222222222217</v>
      </c>
      <c r="K94" s="71">
        <v>0.3527777777777778</v>
      </c>
      <c r="L94" s="76">
        <v>1</v>
      </c>
      <c r="M94" s="123">
        <v>0.58263888888888882</v>
      </c>
      <c r="N94" s="127">
        <v>0.95694444444444438</v>
      </c>
      <c r="O94" s="71">
        <v>0.97152777777777777</v>
      </c>
      <c r="P94" s="76">
        <v>1</v>
      </c>
      <c r="Q94" s="71">
        <v>0.35416666666666669</v>
      </c>
      <c r="R94" s="71">
        <v>0.9604166666666667</v>
      </c>
      <c r="S94" s="71">
        <v>0.3527777777777778</v>
      </c>
      <c r="T94" s="71">
        <v>0.95277777777777783</v>
      </c>
      <c r="U94" s="71">
        <v>0.35138888888888892</v>
      </c>
      <c r="V94" s="71">
        <v>0.95486111111111116</v>
      </c>
      <c r="W94" s="71">
        <v>0.35416666666666669</v>
      </c>
      <c r="X94" s="76">
        <v>1</v>
      </c>
      <c r="Y94" s="71">
        <v>0.3527777777777778</v>
      </c>
      <c r="Z94" s="76">
        <v>1</v>
      </c>
      <c r="AA94" s="107" t="s">
        <v>15</v>
      </c>
      <c r="AB94" s="125" t="s">
        <v>15</v>
      </c>
      <c r="AC94" s="71">
        <v>0.3520833333333333</v>
      </c>
      <c r="AD94" s="71">
        <v>0.97430555555555554</v>
      </c>
      <c r="AE94" s="71">
        <v>0.3520833333333333</v>
      </c>
      <c r="AF94" s="71">
        <v>0.96319444444444446</v>
      </c>
      <c r="AG94" s="71">
        <v>0.35347222222222219</v>
      </c>
      <c r="AH94" s="76">
        <v>1</v>
      </c>
      <c r="AI94" s="135"/>
      <c r="AJ94" s="47">
        <v>78</v>
      </c>
      <c r="AK94" s="71">
        <v>0.35416666666666669</v>
      </c>
      <c r="AL94" s="71">
        <v>0.9555555555555556</v>
      </c>
      <c r="AM94" s="71">
        <v>0.35416666666666669</v>
      </c>
      <c r="AN94" s="76">
        <v>1</v>
      </c>
      <c r="AO94" s="71">
        <v>0.3527777777777778</v>
      </c>
      <c r="AP94" s="71">
        <v>0.97916666666666663</v>
      </c>
      <c r="AQ94" s="123">
        <v>0.5805555555555556</v>
      </c>
      <c r="AR94" s="124">
        <v>1</v>
      </c>
      <c r="AS94" s="71">
        <v>0.3527777777777778</v>
      </c>
      <c r="AT94" s="71">
        <v>0.97430555555555554</v>
      </c>
      <c r="AU94" s="71">
        <v>0.35347222222222219</v>
      </c>
      <c r="AV94" s="71">
        <v>0.9472222222222223</v>
      </c>
      <c r="AW94" s="71">
        <v>0.37916666666666665</v>
      </c>
      <c r="AX94" s="71">
        <v>0.96319444444444446</v>
      </c>
      <c r="AY94" s="71">
        <v>0.35486111111111113</v>
      </c>
      <c r="AZ94" s="71">
        <v>0.95347222222222217</v>
      </c>
      <c r="BA94" s="71">
        <v>0.35486111111111113</v>
      </c>
      <c r="BB94" s="71">
        <v>0.95763888888888893</v>
      </c>
      <c r="BC94" s="71">
        <v>0.35486111111111113</v>
      </c>
      <c r="BD94" s="71">
        <v>0.97291666666666676</v>
      </c>
      <c r="BE94" s="107" t="s">
        <v>15</v>
      </c>
      <c r="BF94" s="107" t="s">
        <v>15</v>
      </c>
      <c r="BG94" s="71">
        <v>0.35416666666666669</v>
      </c>
      <c r="BH94" s="76">
        <v>1</v>
      </c>
      <c r="BI94" s="71">
        <v>0.35347222222222219</v>
      </c>
      <c r="BJ94" s="76">
        <v>1</v>
      </c>
      <c r="BK94" s="71">
        <v>0.35416666666666669</v>
      </c>
      <c r="BL94" s="71">
        <v>0.95277777777777783</v>
      </c>
      <c r="BM94" s="71">
        <v>0.35416666666666669</v>
      </c>
      <c r="BN94" s="71">
        <v>0.94930555555555562</v>
      </c>
      <c r="BO94" s="122">
        <f t="shared" si="15"/>
        <v>30</v>
      </c>
      <c r="BP94" s="75">
        <v>2</v>
      </c>
      <c r="BQ94" s="2">
        <f t="shared" si="17"/>
        <v>28</v>
      </c>
      <c r="BR94" s="3">
        <f t="shared" si="18"/>
        <v>2</v>
      </c>
      <c r="BS94" s="3">
        <f t="shared" si="19"/>
        <v>0</v>
      </c>
      <c r="BT94" s="3">
        <f t="shared" si="20"/>
        <v>0</v>
      </c>
      <c r="BU94" s="3">
        <f t="shared" si="21"/>
        <v>0</v>
      </c>
      <c r="BV94" s="3">
        <f t="shared" si="22"/>
        <v>0</v>
      </c>
      <c r="BW94" s="3">
        <f t="shared" si="23"/>
        <v>0</v>
      </c>
      <c r="BX94" s="3">
        <f t="shared" si="24"/>
        <v>0</v>
      </c>
      <c r="BY94" s="3">
        <f t="shared" si="25"/>
        <v>0</v>
      </c>
      <c r="BZ94" s="3">
        <f t="shared" si="26"/>
        <v>0</v>
      </c>
      <c r="CA94" s="3">
        <f t="shared" si="27"/>
        <v>0</v>
      </c>
      <c r="CB94" s="3">
        <f t="shared" si="28"/>
        <v>0</v>
      </c>
      <c r="CC94" s="4"/>
      <c r="CE94" s="77">
        <v>0</v>
      </c>
      <c r="CF94" s="77">
        <v>0</v>
      </c>
      <c r="CG94" s="77">
        <v>0</v>
      </c>
      <c r="CH94" s="77">
        <v>0</v>
      </c>
      <c r="CI94" s="77">
        <v>0</v>
      </c>
      <c r="CJ94" s="77">
        <v>3</v>
      </c>
      <c r="CK94" s="77">
        <v>0</v>
      </c>
      <c r="CL94" s="77">
        <v>0</v>
      </c>
      <c r="CM94" s="77">
        <v>0</v>
      </c>
      <c r="CN94" s="77">
        <v>0</v>
      </c>
      <c r="CO94" s="158">
        <f t="shared" si="29"/>
        <v>3</v>
      </c>
    </row>
    <row r="95" spans="1:93" ht="21.75" customHeight="1" x14ac:dyDescent="0.25">
      <c r="A95" s="47">
        <v>78</v>
      </c>
      <c r="B95" s="47" t="s">
        <v>208</v>
      </c>
      <c r="C95" s="90" t="s">
        <v>210</v>
      </c>
      <c r="D95" s="100">
        <v>46007</v>
      </c>
      <c r="E95" s="71">
        <v>0.35138888888888892</v>
      </c>
      <c r="F95" s="71">
        <v>0.9819444444444444</v>
      </c>
      <c r="G95" s="71">
        <v>0.35138888888888892</v>
      </c>
      <c r="H95" s="71">
        <v>0.95624999999999993</v>
      </c>
      <c r="I95" s="71">
        <v>0.3527777777777778</v>
      </c>
      <c r="J95" s="71">
        <v>0.9916666666666667</v>
      </c>
      <c r="K95" s="71">
        <v>0.34722222222222227</v>
      </c>
      <c r="L95" s="71">
        <v>0.97291666666666676</v>
      </c>
      <c r="M95" s="123">
        <v>0.58194444444444449</v>
      </c>
      <c r="N95" s="127">
        <v>0.93402777777777779</v>
      </c>
      <c r="O95" s="71">
        <v>0.35416666666666669</v>
      </c>
      <c r="P95" s="71">
        <v>0.96319444444444446</v>
      </c>
      <c r="Q95" s="71">
        <v>0.34861111111111115</v>
      </c>
      <c r="R95" s="71">
        <v>0.97361111111111109</v>
      </c>
      <c r="S95" s="71">
        <v>0.3520833333333333</v>
      </c>
      <c r="T95" s="71">
        <v>0.93402777777777779</v>
      </c>
      <c r="U95" s="71">
        <v>0.35069444444444442</v>
      </c>
      <c r="V95" s="71">
        <v>0.94791666666666663</v>
      </c>
      <c r="W95" s="71">
        <v>0.3520833333333333</v>
      </c>
      <c r="X95" s="71">
        <v>0.93819444444444444</v>
      </c>
      <c r="Y95" s="71">
        <v>0.3527777777777778</v>
      </c>
      <c r="Z95" s="76">
        <v>1</v>
      </c>
      <c r="AA95" s="107" t="s">
        <v>15</v>
      </c>
      <c r="AB95" s="125" t="s">
        <v>15</v>
      </c>
      <c r="AC95" s="71">
        <v>0.35138888888888892</v>
      </c>
      <c r="AD95" s="71">
        <v>0.9590277777777777</v>
      </c>
      <c r="AE95" s="71">
        <v>0.34652777777777777</v>
      </c>
      <c r="AF95" s="71">
        <v>1.0416666666666666E-2</v>
      </c>
      <c r="AG95" s="71">
        <v>0.35555555555555557</v>
      </c>
      <c r="AH95" s="71">
        <v>0.96180555555555547</v>
      </c>
      <c r="AI95" s="143"/>
      <c r="AJ95" s="47">
        <v>79</v>
      </c>
      <c r="AK95" s="71">
        <v>0.34930555555555554</v>
      </c>
      <c r="AL95" s="71">
        <v>0.93819444444444444</v>
      </c>
      <c r="AM95" s="71">
        <v>0.3527777777777778</v>
      </c>
      <c r="AN95" s="71">
        <v>0.98402777777777783</v>
      </c>
      <c r="AO95" s="71">
        <v>0.35069444444444442</v>
      </c>
      <c r="AP95" s="71">
        <v>1.2499999999999999E-2</v>
      </c>
      <c r="AQ95" s="123">
        <v>0.57986111111111105</v>
      </c>
      <c r="AR95" s="123">
        <v>0.93888888888888899</v>
      </c>
      <c r="AS95" s="71">
        <v>0.34722222222222227</v>
      </c>
      <c r="AT95" s="71">
        <v>0.94097222222222221</v>
      </c>
      <c r="AU95" s="71">
        <v>0.3527777777777778</v>
      </c>
      <c r="AV95" s="71">
        <v>0.97430555555555554</v>
      </c>
      <c r="AW95" s="71">
        <v>0.35000000000000003</v>
      </c>
      <c r="AX95" s="71">
        <v>0.94930555555555562</v>
      </c>
      <c r="AY95" s="71">
        <v>0.35138888888888892</v>
      </c>
      <c r="AZ95" s="71">
        <v>0.9590277777777777</v>
      </c>
      <c r="BA95" s="71">
        <v>0.35138888888888892</v>
      </c>
      <c r="BB95" s="71">
        <v>0.94444444444444453</v>
      </c>
      <c r="BC95" s="71">
        <v>0.35347222222222219</v>
      </c>
      <c r="BD95" s="71">
        <v>0.98749999999999993</v>
      </c>
      <c r="BE95" s="107" t="s">
        <v>15</v>
      </c>
      <c r="BF95" s="107" t="s">
        <v>15</v>
      </c>
      <c r="BG95" s="71">
        <v>0.35347222222222219</v>
      </c>
      <c r="BH95" s="71">
        <v>0.93958333333333333</v>
      </c>
      <c r="BI95" s="71">
        <v>0.34791666666666665</v>
      </c>
      <c r="BJ95" s="71">
        <v>0.99097222222222225</v>
      </c>
      <c r="BK95" s="71">
        <v>0.34791666666666665</v>
      </c>
      <c r="BL95" s="71">
        <v>0.96666666666666667</v>
      </c>
      <c r="BM95" s="71">
        <v>0.35069444444444442</v>
      </c>
      <c r="BN95" s="71">
        <v>0.35069444444444442</v>
      </c>
      <c r="BO95" s="122">
        <f t="shared" si="15"/>
        <v>30</v>
      </c>
      <c r="BP95" s="75">
        <v>2</v>
      </c>
      <c r="BQ95" s="2">
        <f t="shared" si="17"/>
        <v>28</v>
      </c>
      <c r="BR95" s="3">
        <f t="shared" si="18"/>
        <v>2</v>
      </c>
      <c r="BS95" s="3">
        <f t="shared" si="19"/>
        <v>0</v>
      </c>
      <c r="BT95" s="3">
        <f t="shared" si="20"/>
        <v>0</v>
      </c>
      <c r="BU95" s="3">
        <f t="shared" si="21"/>
        <v>0</v>
      </c>
      <c r="BV95" s="3">
        <f t="shared" si="22"/>
        <v>0</v>
      </c>
      <c r="BW95" s="3">
        <f t="shared" si="23"/>
        <v>0</v>
      </c>
      <c r="BX95" s="3">
        <f t="shared" si="24"/>
        <v>0</v>
      </c>
      <c r="BY95" s="3">
        <f t="shared" si="25"/>
        <v>0</v>
      </c>
      <c r="BZ95" s="3">
        <f t="shared" si="26"/>
        <v>0</v>
      </c>
      <c r="CA95" s="3">
        <f t="shared" si="27"/>
        <v>0</v>
      </c>
      <c r="CB95" s="3">
        <f t="shared" si="28"/>
        <v>0</v>
      </c>
      <c r="CC95" s="4"/>
      <c r="CE95" s="153">
        <v>0</v>
      </c>
      <c r="CF95" s="153">
        <v>0</v>
      </c>
      <c r="CG95" s="153">
        <v>0</v>
      </c>
      <c r="CH95" s="153">
        <v>0</v>
      </c>
      <c r="CI95" s="153">
        <v>0</v>
      </c>
      <c r="CJ95" s="153">
        <v>1</v>
      </c>
      <c r="CK95" s="153">
        <v>0</v>
      </c>
      <c r="CL95" s="153">
        <v>0</v>
      </c>
      <c r="CM95" s="153">
        <v>0</v>
      </c>
      <c r="CN95" s="153">
        <v>0</v>
      </c>
      <c r="CO95" s="156">
        <f t="shared" si="29"/>
        <v>1</v>
      </c>
    </row>
    <row r="96" spans="1:93" ht="22.5" customHeight="1" x14ac:dyDescent="0.25">
      <c r="A96" s="47">
        <v>79</v>
      </c>
      <c r="B96" s="47" t="s">
        <v>209</v>
      </c>
      <c r="C96" s="90" t="s">
        <v>211</v>
      </c>
      <c r="D96" s="100">
        <v>46007</v>
      </c>
      <c r="E96" s="71">
        <v>0.3520833333333333</v>
      </c>
      <c r="F96" s="71">
        <v>0.95138888888888884</v>
      </c>
      <c r="G96" s="71">
        <v>0.3520833333333333</v>
      </c>
      <c r="H96" s="71">
        <v>0.9555555555555556</v>
      </c>
      <c r="I96" s="71">
        <v>0.3527777777777778</v>
      </c>
      <c r="J96" s="71">
        <v>0.95138888888888884</v>
      </c>
      <c r="K96" s="71">
        <v>0.35347222222222219</v>
      </c>
      <c r="L96" s="71">
        <v>0.97291666666666676</v>
      </c>
      <c r="M96" s="124">
        <v>1</v>
      </c>
      <c r="N96" s="126">
        <v>1</v>
      </c>
      <c r="O96" s="71">
        <v>0.35347222222222219</v>
      </c>
      <c r="P96" s="71">
        <v>0.96875</v>
      </c>
      <c r="Q96" s="71">
        <v>0.3527777777777778</v>
      </c>
      <c r="R96" s="71">
        <v>0.9590277777777777</v>
      </c>
      <c r="S96" s="71">
        <v>0.3520833333333333</v>
      </c>
      <c r="T96" s="71">
        <v>0.95138888888888884</v>
      </c>
      <c r="U96" s="71">
        <v>0.35138888888888892</v>
      </c>
      <c r="V96" s="71">
        <v>0.9506944444444444</v>
      </c>
      <c r="W96" s="71">
        <v>0.35347222222222219</v>
      </c>
      <c r="X96" s="71">
        <v>0.95138888888888884</v>
      </c>
      <c r="Y96" s="71">
        <v>0.3527777777777778</v>
      </c>
      <c r="Z96" s="71">
        <v>0.97430555555555554</v>
      </c>
      <c r="AA96" s="123">
        <v>0.58472222222222225</v>
      </c>
      <c r="AB96" s="123">
        <v>0.94513888888888886</v>
      </c>
      <c r="AC96" s="71">
        <v>0.35347222222222219</v>
      </c>
      <c r="AD96" s="71">
        <v>0.97152777777777777</v>
      </c>
      <c r="AE96" s="71">
        <v>0.35069444444444442</v>
      </c>
      <c r="AF96" s="71">
        <v>0.96319444444444446</v>
      </c>
      <c r="AG96" s="71">
        <v>0.35347222222222219</v>
      </c>
      <c r="AH96" s="71">
        <v>0.95763888888888893</v>
      </c>
      <c r="AI96" s="143"/>
      <c r="AJ96" s="47">
        <v>80</v>
      </c>
      <c r="AK96" s="105" t="s">
        <v>16</v>
      </c>
      <c r="AL96" s="105" t="s">
        <v>16</v>
      </c>
      <c r="AM96" s="105" t="s">
        <v>16</v>
      </c>
      <c r="AN96" s="105" t="s">
        <v>16</v>
      </c>
      <c r="AO96" s="71">
        <v>0.35347222222222219</v>
      </c>
      <c r="AP96" s="71">
        <v>0.9784722222222223</v>
      </c>
      <c r="AQ96" s="107" t="s">
        <v>15</v>
      </c>
      <c r="AR96" s="125" t="s">
        <v>15</v>
      </c>
      <c r="AS96" s="71">
        <v>0.35347222222222219</v>
      </c>
      <c r="AT96" s="71">
        <v>0.97361111111111109</v>
      </c>
      <c r="AU96" s="71">
        <v>0.3527777777777778</v>
      </c>
      <c r="AV96" s="71">
        <v>0.95624999999999993</v>
      </c>
      <c r="AW96" s="71">
        <v>0.3527777777777778</v>
      </c>
      <c r="AX96" s="76">
        <v>1</v>
      </c>
      <c r="AY96" s="71">
        <v>0.35416666666666669</v>
      </c>
      <c r="AZ96" s="71">
        <v>0.95416666666666661</v>
      </c>
      <c r="BA96" s="71">
        <v>0.35416666666666669</v>
      </c>
      <c r="BB96" s="71">
        <v>0.95833333333333337</v>
      </c>
      <c r="BC96" s="71">
        <v>0.35347222222222219</v>
      </c>
      <c r="BD96" s="71">
        <v>0.97222222222222221</v>
      </c>
      <c r="BE96" s="123">
        <v>0.58194444444444449</v>
      </c>
      <c r="BF96" s="123">
        <v>0.95000000000000007</v>
      </c>
      <c r="BG96" s="71">
        <v>0.35416666666666669</v>
      </c>
      <c r="BH96" s="76">
        <v>1</v>
      </c>
      <c r="BI96" s="71">
        <v>0.35416666666666669</v>
      </c>
      <c r="BJ96" s="71">
        <v>0.95694444444444438</v>
      </c>
      <c r="BK96" s="71">
        <v>0.35416666666666669</v>
      </c>
      <c r="BL96" s="71">
        <v>0.95138888888888884</v>
      </c>
      <c r="BM96" s="71">
        <v>0.35486111111111113</v>
      </c>
      <c r="BN96" s="76">
        <v>1</v>
      </c>
      <c r="BO96" s="122">
        <f t="shared" si="15"/>
        <v>30</v>
      </c>
      <c r="BP96" s="75">
        <v>3</v>
      </c>
      <c r="BQ96" s="2">
        <f t="shared" si="17"/>
        <v>27</v>
      </c>
      <c r="BR96" s="3">
        <f t="shared" si="18"/>
        <v>1</v>
      </c>
      <c r="BS96" s="3">
        <f t="shared" si="19"/>
        <v>2</v>
      </c>
      <c r="BT96" s="3">
        <f t="shared" si="20"/>
        <v>0</v>
      </c>
      <c r="BU96" s="3">
        <f t="shared" si="21"/>
        <v>0</v>
      </c>
      <c r="BV96" s="3">
        <f t="shared" si="22"/>
        <v>0</v>
      </c>
      <c r="BW96" s="3">
        <f t="shared" si="23"/>
        <v>0</v>
      </c>
      <c r="BX96" s="3">
        <f t="shared" si="24"/>
        <v>0</v>
      </c>
      <c r="BY96" s="3">
        <f t="shared" si="25"/>
        <v>0</v>
      </c>
      <c r="BZ96" s="3">
        <f t="shared" si="26"/>
        <v>0</v>
      </c>
      <c r="CA96" s="3">
        <f t="shared" si="27"/>
        <v>0</v>
      </c>
      <c r="CB96" s="3">
        <f t="shared" si="28"/>
        <v>0</v>
      </c>
      <c r="CC96" s="4"/>
      <c r="CE96" s="77">
        <v>0</v>
      </c>
      <c r="CF96" s="77">
        <v>0</v>
      </c>
      <c r="CG96" s="77">
        <v>0</v>
      </c>
      <c r="CH96" s="77">
        <v>0</v>
      </c>
      <c r="CI96" s="77">
        <v>0</v>
      </c>
      <c r="CJ96" s="77">
        <v>0</v>
      </c>
      <c r="CK96" s="77">
        <v>0</v>
      </c>
      <c r="CL96" s="77">
        <v>0</v>
      </c>
      <c r="CM96" s="77">
        <v>0</v>
      </c>
      <c r="CN96" s="77">
        <v>0</v>
      </c>
      <c r="CO96" s="158">
        <f t="shared" si="29"/>
        <v>0</v>
      </c>
    </row>
    <row r="97" spans="1:93" ht="22.5" customHeight="1" x14ac:dyDescent="0.25">
      <c r="A97" s="47">
        <v>80</v>
      </c>
      <c r="B97" s="47" t="s">
        <v>212</v>
      </c>
      <c r="C97" s="90" t="s">
        <v>213</v>
      </c>
      <c r="D97" s="100">
        <v>46008</v>
      </c>
      <c r="E97" s="71">
        <v>0.3520833333333333</v>
      </c>
      <c r="F97" s="71">
        <v>0.95347222222222217</v>
      </c>
      <c r="G97" s="71">
        <v>0.3520833333333333</v>
      </c>
      <c r="H97" s="71">
        <v>0.96388888888888891</v>
      </c>
      <c r="I97" s="71">
        <v>0.35347222222222219</v>
      </c>
      <c r="J97" s="71">
        <v>0.92708333333333337</v>
      </c>
      <c r="K97" s="71">
        <v>0.3527777777777778</v>
      </c>
      <c r="L97" s="71">
        <v>0.96180555555555547</v>
      </c>
      <c r="M97" s="107" t="s">
        <v>15</v>
      </c>
      <c r="N97" s="125" t="s">
        <v>15</v>
      </c>
      <c r="O97" s="71">
        <v>0.3527777777777778</v>
      </c>
      <c r="P97" s="71">
        <v>0.95833333333333337</v>
      </c>
      <c r="Q97" s="71">
        <v>0.3527777777777778</v>
      </c>
      <c r="R97" s="71">
        <v>0.94652777777777775</v>
      </c>
      <c r="S97" s="71">
        <v>0.3527777777777778</v>
      </c>
      <c r="T97" s="71">
        <v>0.93888888888888899</v>
      </c>
      <c r="U97" s="71">
        <v>0.35416666666666669</v>
      </c>
      <c r="V97" s="71">
        <v>0.95833333333333337</v>
      </c>
      <c r="W97" s="71">
        <v>0.3527777777777778</v>
      </c>
      <c r="X97" s="71">
        <v>0.93888888888888899</v>
      </c>
      <c r="Y97" s="71">
        <v>0.35347222222222219</v>
      </c>
      <c r="Z97" s="71">
        <v>0.95138888888888884</v>
      </c>
      <c r="AA97" s="123">
        <v>0.5805555555555556</v>
      </c>
      <c r="AB97" s="123">
        <v>0.91736111111111107</v>
      </c>
      <c r="AC97" s="71">
        <v>0.35486111111111113</v>
      </c>
      <c r="AD97" s="76">
        <v>1</v>
      </c>
      <c r="AE97" s="82" t="s">
        <v>181</v>
      </c>
      <c r="AF97" s="82" t="s">
        <v>181</v>
      </c>
      <c r="AG97" s="71">
        <v>0.35347222222222219</v>
      </c>
      <c r="AH97" s="71">
        <v>0.92361111111111116</v>
      </c>
      <c r="AI97" s="143"/>
      <c r="AJ97" s="47">
        <v>81</v>
      </c>
      <c r="AK97" s="71">
        <v>0.3527777777777778</v>
      </c>
      <c r="AL97" s="71">
        <v>0.92361111111111116</v>
      </c>
      <c r="AM97" s="71">
        <v>0.35555555555555557</v>
      </c>
      <c r="AN97" s="71">
        <v>0.93819444444444444</v>
      </c>
      <c r="AO97" s="71">
        <v>0.35486111111111113</v>
      </c>
      <c r="AP97" s="71">
        <v>0.9506944444444444</v>
      </c>
      <c r="AQ97" s="107" t="s">
        <v>15</v>
      </c>
      <c r="AR97" s="125" t="s">
        <v>15</v>
      </c>
      <c r="AS97" s="71">
        <v>0.35486111111111113</v>
      </c>
      <c r="AT97" s="71">
        <v>0.93888888888888899</v>
      </c>
      <c r="AU97" s="71">
        <v>0.3527777777777778</v>
      </c>
      <c r="AV97" s="71">
        <v>0.92222222222222217</v>
      </c>
      <c r="AW97" s="71">
        <v>0.35416666666666669</v>
      </c>
      <c r="AX97" s="71">
        <v>0.91041666666666676</v>
      </c>
      <c r="AY97" s="71">
        <v>0.3527777777777778</v>
      </c>
      <c r="AZ97" s="71">
        <v>0.93819444444444444</v>
      </c>
      <c r="BA97" s="71">
        <v>0.35347222222222219</v>
      </c>
      <c r="BB97" s="71">
        <v>0.9375</v>
      </c>
      <c r="BC97" s="71">
        <v>0.35347222222222219</v>
      </c>
      <c r="BD97" s="71">
        <v>0.93819444444444444</v>
      </c>
      <c r="BE97" s="123">
        <v>0.56388888888888888</v>
      </c>
      <c r="BF97" s="123">
        <v>0.9375</v>
      </c>
      <c r="BG97" s="71">
        <v>0.35138888888888892</v>
      </c>
      <c r="BH97" s="71">
        <v>0.94861111111111107</v>
      </c>
      <c r="BI97" s="71">
        <v>0.3527777777777778</v>
      </c>
      <c r="BJ97" s="71">
        <v>0.9375</v>
      </c>
      <c r="BK97" s="71">
        <v>0.35416666666666669</v>
      </c>
      <c r="BL97" s="71">
        <v>0.95277777777777783</v>
      </c>
      <c r="BM97" s="71">
        <v>0.3527777777777778</v>
      </c>
      <c r="BN97" s="71">
        <v>0.9291666666666667</v>
      </c>
      <c r="BO97" s="122">
        <f t="shared" si="15"/>
        <v>30</v>
      </c>
      <c r="BP97" s="75">
        <v>2</v>
      </c>
      <c r="BQ97" s="2">
        <f t="shared" si="17"/>
        <v>27</v>
      </c>
      <c r="BR97" s="3">
        <f t="shared" si="18"/>
        <v>2</v>
      </c>
      <c r="BS97" s="3">
        <f t="shared" si="19"/>
        <v>0</v>
      </c>
      <c r="BT97" s="3">
        <f t="shared" si="20"/>
        <v>0</v>
      </c>
      <c r="BU97" s="3">
        <f t="shared" si="21"/>
        <v>0</v>
      </c>
      <c r="BV97" s="3">
        <f t="shared" si="22"/>
        <v>0</v>
      </c>
      <c r="BW97" s="3">
        <f t="shared" si="23"/>
        <v>0</v>
      </c>
      <c r="BX97" s="3">
        <f t="shared" si="24"/>
        <v>1</v>
      </c>
      <c r="BY97" s="3">
        <f t="shared" si="25"/>
        <v>0</v>
      </c>
      <c r="BZ97" s="3">
        <f t="shared" si="26"/>
        <v>0</v>
      </c>
      <c r="CA97" s="3">
        <f t="shared" si="27"/>
        <v>0</v>
      </c>
      <c r="CB97" s="3">
        <f t="shared" si="28"/>
        <v>0</v>
      </c>
      <c r="CC97" s="4"/>
      <c r="CE97" s="153">
        <v>0</v>
      </c>
      <c r="CF97" s="153">
        <v>0</v>
      </c>
      <c r="CG97" s="153">
        <v>0</v>
      </c>
      <c r="CH97" s="153">
        <v>0</v>
      </c>
      <c r="CI97" s="153">
        <v>0</v>
      </c>
      <c r="CJ97" s="153">
        <v>12</v>
      </c>
      <c r="CK97" s="153">
        <v>0</v>
      </c>
      <c r="CL97" s="153">
        <v>0</v>
      </c>
      <c r="CM97" s="153">
        <v>0</v>
      </c>
      <c r="CN97" s="153">
        <v>0</v>
      </c>
      <c r="CO97" s="156">
        <f t="shared" si="29"/>
        <v>12</v>
      </c>
    </row>
    <row r="98" spans="1:93" ht="22.5" customHeight="1" x14ac:dyDescent="0.25">
      <c r="A98" s="47">
        <v>81</v>
      </c>
      <c r="B98" s="47" t="s">
        <v>214</v>
      </c>
      <c r="C98" s="90" t="s">
        <v>215</v>
      </c>
      <c r="D98" s="100">
        <v>46018</v>
      </c>
      <c r="E98" s="71">
        <v>0.3520833333333333</v>
      </c>
      <c r="F98" s="76">
        <v>1</v>
      </c>
      <c r="G98" s="71">
        <v>0.3520833333333333</v>
      </c>
      <c r="H98" s="71">
        <v>0.95486111111111116</v>
      </c>
      <c r="I98" s="71">
        <v>0.35138888888888892</v>
      </c>
      <c r="J98" s="71">
        <v>0.95486111111111116</v>
      </c>
      <c r="K98" s="71">
        <v>0.3520833333333333</v>
      </c>
      <c r="L98" s="71">
        <v>0.98263888888888884</v>
      </c>
      <c r="M98" s="107" t="s">
        <v>15</v>
      </c>
      <c r="N98" s="125" t="s">
        <v>15</v>
      </c>
      <c r="O98" s="71">
        <v>0.3520833333333333</v>
      </c>
      <c r="P98" s="71">
        <v>0.96875</v>
      </c>
      <c r="Q98" s="71">
        <v>0.35138888888888892</v>
      </c>
      <c r="R98" s="71">
        <v>0.95347222222222217</v>
      </c>
      <c r="S98" s="71">
        <v>0.35069444444444442</v>
      </c>
      <c r="T98" s="71">
        <v>0.94791666666666663</v>
      </c>
      <c r="U98" s="71">
        <v>0.3520833333333333</v>
      </c>
      <c r="V98" s="71">
        <v>0.95208333333333339</v>
      </c>
      <c r="W98" s="71">
        <v>0.3520833333333333</v>
      </c>
      <c r="X98" s="71">
        <v>0.95486111111111116</v>
      </c>
      <c r="Y98" s="71">
        <v>0.3520833333333333</v>
      </c>
      <c r="Z98" s="71">
        <v>0.97361111111111109</v>
      </c>
      <c r="AA98" s="123">
        <v>0.5805555555555556</v>
      </c>
      <c r="AB98" s="123">
        <v>0.95208333333333339</v>
      </c>
      <c r="AC98" s="71">
        <v>0.35138888888888892</v>
      </c>
      <c r="AD98" s="71">
        <v>0.96875</v>
      </c>
      <c r="AE98" s="71">
        <v>0.35138888888888892</v>
      </c>
      <c r="AF98" s="71">
        <v>0.97569444444444453</v>
      </c>
      <c r="AG98" s="71">
        <v>0.3520833333333333</v>
      </c>
      <c r="AH98" s="71">
        <v>0.9555555555555556</v>
      </c>
      <c r="AI98" s="143"/>
      <c r="AJ98" s="47">
        <v>82</v>
      </c>
      <c r="AK98" s="71">
        <v>0.3520833333333333</v>
      </c>
      <c r="AL98" s="71">
        <v>0.95000000000000007</v>
      </c>
      <c r="AM98" s="71">
        <v>0.35138888888888892</v>
      </c>
      <c r="AN98" s="71">
        <v>0.95208333333333339</v>
      </c>
      <c r="AO98" s="71">
        <v>0.3520833333333333</v>
      </c>
      <c r="AP98" s="71">
        <v>0.96944444444444444</v>
      </c>
      <c r="AQ98" s="107" t="s">
        <v>15</v>
      </c>
      <c r="AR98" s="125" t="s">
        <v>15</v>
      </c>
      <c r="AS98" s="71">
        <v>0.35138888888888892</v>
      </c>
      <c r="AT98" s="71">
        <v>0.97083333333333333</v>
      </c>
      <c r="AU98" s="71">
        <v>0.3527777777777778</v>
      </c>
      <c r="AV98" s="71">
        <v>0.9506944444444444</v>
      </c>
      <c r="AW98" s="71">
        <v>0.3520833333333333</v>
      </c>
      <c r="AX98" s="71">
        <v>0.94861111111111107</v>
      </c>
      <c r="AY98" s="71">
        <v>0.3520833333333333</v>
      </c>
      <c r="AZ98" s="71">
        <v>0.95138888888888884</v>
      </c>
      <c r="BA98" s="71">
        <v>0.3527777777777778</v>
      </c>
      <c r="BB98" s="71">
        <v>0.95208333333333339</v>
      </c>
      <c r="BC98" s="71">
        <v>0.3520833333333333</v>
      </c>
      <c r="BD98" s="71">
        <v>0.97430555555555554</v>
      </c>
      <c r="BE98" s="123">
        <v>0.5805555555555556</v>
      </c>
      <c r="BF98" s="123">
        <v>0.95138888888888884</v>
      </c>
      <c r="BG98" s="71">
        <v>0.3527777777777778</v>
      </c>
      <c r="BH98" s="71">
        <v>0.96319444444444446</v>
      </c>
      <c r="BI98" s="71">
        <v>0.3520833333333333</v>
      </c>
      <c r="BJ98" s="71">
        <v>0.97777777777777775</v>
      </c>
      <c r="BK98" s="71">
        <v>0.3520833333333333</v>
      </c>
      <c r="BL98" s="71">
        <v>0.9555555555555556</v>
      </c>
      <c r="BM98" s="71">
        <v>0.3527777777777778</v>
      </c>
      <c r="BN98" s="71">
        <v>0.9604166666666667</v>
      </c>
      <c r="BO98" s="122">
        <f t="shared" si="15"/>
        <v>30</v>
      </c>
      <c r="BP98" s="75">
        <v>2</v>
      </c>
      <c r="BQ98" s="2">
        <f t="shared" si="17"/>
        <v>28</v>
      </c>
      <c r="BR98" s="3">
        <f t="shared" si="18"/>
        <v>2</v>
      </c>
      <c r="BS98" s="3">
        <f t="shared" si="19"/>
        <v>0</v>
      </c>
      <c r="BT98" s="3">
        <f t="shared" si="20"/>
        <v>0</v>
      </c>
      <c r="BU98" s="3">
        <f t="shared" si="21"/>
        <v>0</v>
      </c>
      <c r="BV98" s="3">
        <f t="shared" si="22"/>
        <v>0</v>
      </c>
      <c r="BW98" s="3">
        <f t="shared" si="23"/>
        <v>0</v>
      </c>
      <c r="BX98" s="3">
        <f t="shared" si="24"/>
        <v>0</v>
      </c>
      <c r="BY98" s="3">
        <f t="shared" si="25"/>
        <v>0</v>
      </c>
      <c r="BZ98" s="3">
        <f t="shared" si="26"/>
        <v>0</v>
      </c>
      <c r="CA98" s="3">
        <f t="shared" si="27"/>
        <v>0</v>
      </c>
      <c r="CB98" s="3">
        <f t="shared" si="28"/>
        <v>0</v>
      </c>
      <c r="CC98" s="4"/>
      <c r="CE98" s="77">
        <v>0</v>
      </c>
      <c r="CF98" s="77">
        <v>0</v>
      </c>
      <c r="CG98" s="77">
        <v>0</v>
      </c>
      <c r="CH98" s="77">
        <v>0</v>
      </c>
      <c r="CI98" s="77">
        <v>0</v>
      </c>
      <c r="CJ98" s="77">
        <v>0</v>
      </c>
      <c r="CK98" s="77">
        <v>0</v>
      </c>
      <c r="CL98" s="77">
        <v>0</v>
      </c>
      <c r="CM98" s="77">
        <v>0</v>
      </c>
      <c r="CN98" s="77">
        <v>0</v>
      </c>
      <c r="CO98" s="158">
        <f t="shared" si="29"/>
        <v>0</v>
      </c>
    </row>
    <row r="99" spans="1:93" ht="22.5" customHeight="1" x14ac:dyDescent="0.25">
      <c r="A99" s="47">
        <v>82</v>
      </c>
      <c r="B99" s="47" t="s">
        <v>216</v>
      </c>
      <c r="C99" s="90" t="s">
        <v>218</v>
      </c>
      <c r="D99" s="100">
        <v>46022</v>
      </c>
      <c r="E99" s="71">
        <v>0.34166666666666662</v>
      </c>
      <c r="F99" s="71">
        <v>0.98125000000000007</v>
      </c>
      <c r="G99" s="71">
        <v>0.33888888888888885</v>
      </c>
      <c r="H99" s="71">
        <v>0.94930555555555562</v>
      </c>
      <c r="I99" s="71">
        <v>0.34166666666666662</v>
      </c>
      <c r="J99" s="71">
        <v>0.9916666666666667</v>
      </c>
      <c r="K99" s="71">
        <v>0.34166666666666662</v>
      </c>
      <c r="L99" s="71">
        <v>0.97361111111111109</v>
      </c>
      <c r="M99" s="123">
        <v>0.58194444444444449</v>
      </c>
      <c r="N99" s="127">
        <v>0.93333333333333324</v>
      </c>
      <c r="O99" s="71">
        <v>0.34236111111111112</v>
      </c>
      <c r="P99" s="71">
        <v>0.96250000000000002</v>
      </c>
      <c r="Q99" s="71">
        <v>0.3430555555555555</v>
      </c>
      <c r="R99" s="71">
        <v>0.97430555555555554</v>
      </c>
      <c r="S99" s="71">
        <v>0.34513888888888888</v>
      </c>
      <c r="T99" s="71">
        <v>0.93819444444444444</v>
      </c>
      <c r="U99" s="71">
        <v>0.34236111111111112</v>
      </c>
      <c r="V99" s="71">
        <v>0.94861111111111107</v>
      </c>
      <c r="W99" s="71">
        <v>0.34236111111111112</v>
      </c>
      <c r="X99" s="71">
        <v>0.93819444444444444</v>
      </c>
      <c r="Y99" s="71">
        <v>0.34375</v>
      </c>
      <c r="Z99" s="71">
        <v>0.95138888888888884</v>
      </c>
      <c r="AA99" s="107" t="s">
        <v>15</v>
      </c>
      <c r="AB99" s="125" t="s">
        <v>15</v>
      </c>
      <c r="AC99" s="71">
        <v>0.34027777777777773</v>
      </c>
      <c r="AD99" s="71">
        <v>0.96111111111111114</v>
      </c>
      <c r="AE99" s="71">
        <v>0.3430555555555555</v>
      </c>
      <c r="AF99" s="71">
        <v>1.0416666666666666E-2</v>
      </c>
      <c r="AG99" s="71">
        <v>0.34513888888888888</v>
      </c>
      <c r="AH99" s="71">
        <v>0.96180555555555547</v>
      </c>
      <c r="AI99" s="143"/>
      <c r="AJ99" s="47">
        <v>83</v>
      </c>
      <c r="AK99" s="71">
        <v>0.3444444444444445</v>
      </c>
      <c r="AL99" s="71">
        <v>0.93819444444444444</v>
      </c>
      <c r="AM99" s="71">
        <v>0.34375</v>
      </c>
      <c r="AN99" s="71">
        <v>0.98402777777777783</v>
      </c>
      <c r="AO99" s="71">
        <v>0.3430555555555555</v>
      </c>
      <c r="AP99" s="71">
        <v>1.1805555555555555E-2</v>
      </c>
      <c r="AQ99" s="123">
        <v>0.5805555555555556</v>
      </c>
      <c r="AR99" s="123">
        <v>0.9375</v>
      </c>
      <c r="AS99" s="71">
        <v>0.34513888888888888</v>
      </c>
      <c r="AT99" s="71">
        <v>0.94027777777777777</v>
      </c>
      <c r="AU99" s="71">
        <v>0.3430555555555555</v>
      </c>
      <c r="AV99" s="71">
        <v>0.97430555555555554</v>
      </c>
      <c r="AW99" s="71">
        <v>0.34236111111111112</v>
      </c>
      <c r="AX99" s="71">
        <v>0.94930555555555562</v>
      </c>
      <c r="AY99" s="71">
        <v>0.34236111111111112</v>
      </c>
      <c r="AZ99" s="71">
        <v>0.95833333333333337</v>
      </c>
      <c r="BA99" s="71">
        <v>0.33888888888888885</v>
      </c>
      <c r="BB99" s="71">
        <v>0.94166666666666676</v>
      </c>
      <c r="BC99" s="71">
        <v>0.34236111111111112</v>
      </c>
      <c r="BD99" s="71">
        <v>0.9770833333333333</v>
      </c>
      <c r="BE99" s="107" t="s">
        <v>15</v>
      </c>
      <c r="BF99" s="107" t="s">
        <v>15</v>
      </c>
      <c r="BG99" s="71">
        <v>0.3430555555555555</v>
      </c>
      <c r="BH99" s="71">
        <v>0.94513888888888886</v>
      </c>
      <c r="BI99" s="71">
        <v>0.34236111111111112</v>
      </c>
      <c r="BJ99" s="71">
        <v>0.99236111111111114</v>
      </c>
      <c r="BK99" s="71">
        <v>0.3430555555555555</v>
      </c>
      <c r="BL99" s="71">
        <v>0.96666666666666667</v>
      </c>
      <c r="BM99" s="71">
        <v>0.34375</v>
      </c>
      <c r="BN99" s="76">
        <v>1</v>
      </c>
      <c r="BO99" s="122">
        <f t="shared" si="15"/>
        <v>30</v>
      </c>
      <c r="BP99" s="75">
        <v>2</v>
      </c>
      <c r="BQ99" s="2">
        <f t="shared" si="17"/>
        <v>28</v>
      </c>
      <c r="BR99" s="3">
        <f t="shared" si="18"/>
        <v>2</v>
      </c>
      <c r="BS99" s="3">
        <f t="shared" si="19"/>
        <v>0</v>
      </c>
      <c r="BT99" s="3">
        <f t="shared" si="20"/>
        <v>0</v>
      </c>
      <c r="BU99" s="3">
        <f t="shared" si="21"/>
        <v>0</v>
      </c>
      <c r="BV99" s="3">
        <f t="shared" si="22"/>
        <v>0</v>
      </c>
      <c r="BW99" s="3">
        <f t="shared" si="23"/>
        <v>0</v>
      </c>
      <c r="BX99" s="3">
        <f t="shared" si="24"/>
        <v>0</v>
      </c>
      <c r="BY99" s="3">
        <f t="shared" si="25"/>
        <v>0</v>
      </c>
      <c r="BZ99" s="3">
        <f t="shared" si="26"/>
        <v>0</v>
      </c>
      <c r="CA99" s="3">
        <f t="shared" si="27"/>
        <v>0</v>
      </c>
      <c r="CB99" s="3">
        <f t="shared" si="28"/>
        <v>0</v>
      </c>
      <c r="CC99" s="4"/>
      <c r="CE99" s="153">
        <v>0</v>
      </c>
      <c r="CF99" s="153">
        <v>0</v>
      </c>
      <c r="CG99" s="153">
        <v>0</v>
      </c>
      <c r="CH99" s="153">
        <v>0</v>
      </c>
      <c r="CI99" s="153">
        <v>0</v>
      </c>
      <c r="CJ99" s="153">
        <v>0</v>
      </c>
      <c r="CK99" s="153">
        <v>0</v>
      </c>
      <c r="CL99" s="153">
        <v>0</v>
      </c>
      <c r="CM99" s="153">
        <v>0</v>
      </c>
      <c r="CN99" s="153">
        <v>0</v>
      </c>
      <c r="CO99" s="156">
        <f t="shared" si="29"/>
        <v>0</v>
      </c>
    </row>
    <row r="100" spans="1:93" ht="22.5" customHeight="1" x14ac:dyDescent="0.25">
      <c r="A100" s="47">
        <v>83</v>
      </c>
      <c r="B100" s="47" t="s">
        <v>217</v>
      </c>
      <c r="C100" s="90" t="s">
        <v>219</v>
      </c>
      <c r="D100" s="100">
        <v>46022</v>
      </c>
      <c r="E100" s="71">
        <v>0.34513888888888888</v>
      </c>
      <c r="F100" s="71">
        <v>0.98055555555555562</v>
      </c>
      <c r="G100" s="71">
        <v>0.33888888888888885</v>
      </c>
      <c r="H100" s="71">
        <v>0.95624999999999993</v>
      </c>
      <c r="I100" s="71">
        <v>0.34236111111111112</v>
      </c>
      <c r="J100" s="71">
        <v>0.99097222222222225</v>
      </c>
      <c r="K100" s="71">
        <v>0.34097222222222223</v>
      </c>
      <c r="L100" s="71">
        <v>0.97291666666666676</v>
      </c>
      <c r="M100" s="107" t="s">
        <v>15</v>
      </c>
      <c r="N100" s="125" t="s">
        <v>15</v>
      </c>
      <c r="O100" s="71">
        <v>0.34166666666666662</v>
      </c>
      <c r="P100" s="71">
        <v>0.96250000000000002</v>
      </c>
      <c r="Q100" s="71">
        <v>0.34097222222222223</v>
      </c>
      <c r="R100" s="71">
        <v>0.97361111111111109</v>
      </c>
      <c r="S100" s="71">
        <v>0.34236111111111112</v>
      </c>
      <c r="T100" s="71">
        <v>0.93888888888888899</v>
      </c>
      <c r="U100" s="71">
        <v>0.34375</v>
      </c>
      <c r="V100" s="71">
        <v>0.94791666666666663</v>
      </c>
      <c r="W100" s="71">
        <v>0.34166666666666662</v>
      </c>
      <c r="X100" s="71">
        <v>0.9375</v>
      </c>
      <c r="Y100" s="71">
        <v>0.33958333333333335</v>
      </c>
      <c r="Z100" s="71">
        <v>0.95138888888888884</v>
      </c>
      <c r="AA100" s="107" t="s">
        <v>15</v>
      </c>
      <c r="AB100" s="125" t="s">
        <v>15</v>
      </c>
      <c r="AC100" s="71">
        <v>0.34791666666666665</v>
      </c>
      <c r="AD100" s="71">
        <v>0.95972222222222225</v>
      </c>
      <c r="AE100" s="71">
        <v>0.3430555555555555</v>
      </c>
      <c r="AF100" s="71">
        <v>0.97291666666666676</v>
      </c>
      <c r="AG100" s="71">
        <v>0.34583333333333338</v>
      </c>
      <c r="AH100" s="71">
        <v>0.96180555555555547</v>
      </c>
      <c r="AI100" s="143"/>
      <c r="AJ100" s="47">
        <v>84</v>
      </c>
      <c r="AK100" s="71">
        <v>0.34722222222222227</v>
      </c>
      <c r="AL100" s="71">
        <v>0.93680555555555556</v>
      </c>
      <c r="AM100" s="82" t="s">
        <v>181</v>
      </c>
      <c r="AN100" s="82" t="s">
        <v>181</v>
      </c>
      <c r="AO100" s="82" t="s">
        <v>181</v>
      </c>
      <c r="AP100" s="82" t="s">
        <v>181</v>
      </c>
      <c r="AQ100" s="123">
        <v>0.57986111111111105</v>
      </c>
      <c r="AR100" s="123">
        <v>0.9375</v>
      </c>
      <c r="AS100" s="71">
        <v>0.34166666666666662</v>
      </c>
      <c r="AT100" s="71">
        <v>0.94027777777777777</v>
      </c>
      <c r="AU100" s="71">
        <v>0.34513888888888888</v>
      </c>
      <c r="AV100" s="71">
        <v>0.97430555555555554</v>
      </c>
      <c r="AW100" s="71">
        <v>0.34236111111111112</v>
      </c>
      <c r="AX100" s="71">
        <v>0.94930555555555562</v>
      </c>
      <c r="AY100" s="71">
        <v>0.34236111111111112</v>
      </c>
      <c r="AZ100" s="71">
        <v>0.95833333333333337</v>
      </c>
      <c r="BA100" s="71">
        <v>0.34375</v>
      </c>
      <c r="BB100" s="71">
        <v>0.93819444444444444</v>
      </c>
      <c r="BC100" s="71">
        <v>0.34513888888888888</v>
      </c>
      <c r="BD100" s="71">
        <v>0.97291666666666676</v>
      </c>
      <c r="BE100" s="123">
        <v>0.60277777777777775</v>
      </c>
      <c r="BF100" s="123">
        <v>0.9277777777777777</v>
      </c>
      <c r="BG100" s="71">
        <v>0.3430555555555555</v>
      </c>
      <c r="BH100" s="71">
        <v>0.94097222222222221</v>
      </c>
      <c r="BI100" s="71">
        <v>0.34583333333333338</v>
      </c>
      <c r="BJ100" s="71">
        <v>0.9916666666666667</v>
      </c>
      <c r="BK100" s="71">
        <v>0.34513888888888888</v>
      </c>
      <c r="BL100" s="71">
        <v>0.96666666666666667</v>
      </c>
      <c r="BM100" s="71">
        <v>0.3430555555555555</v>
      </c>
      <c r="BN100" s="76">
        <v>1</v>
      </c>
      <c r="BO100" s="122">
        <f t="shared" si="15"/>
        <v>30</v>
      </c>
      <c r="BP100" s="75">
        <v>2</v>
      </c>
      <c r="BQ100" s="2">
        <f t="shared" si="17"/>
        <v>26</v>
      </c>
      <c r="BR100" s="3">
        <f t="shared" si="18"/>
        <v>2</v>
      </c>
      <c r="BS100" s="3">
        <f t="shared" si="19"/>
        <v>0</v>
      </c>
      <c r="BT100" s="3">
        <f t="shared" si="20"/>
        <v>0</v>
      </c>
      <c r="BU100" s="3">
        <f t="shared" si="21"/>
        <v>0</v>
      </c>
      <c r="BV100" s="3">
        <f t="shared" si="22"/>
        <v>0</v>
      </c>
      <c r="BW100" s="3">
        <f t="shared" si="23"/>
        <v>0</v>
      </c>
      <c r="BX100" s="3">
        <f t="shared" si="24"/>
        <v>2</v>
      </c>
      <c r="BY100" s="3">
        <f t="shared" si="25"/>
        <v>0</v>
      </c>
      <c r="BZ100" s="3">
        <f t="shared" si="26"/>
        <v>0</v>
      </c>
      <c r="CA100" s="3">
        <f t="shared" si="27"/>
        <v>0</v>
      </c>
      <c r="CB100" s="3">
        <f t="shared" si="28"/>
        <v>0</v>
      </c>
      <c r="CC100" s="4"/>
      <c r="CE100" s="57">
        <v>0</v>
      </c>
      <c r="CF100" s="56">
        <v>0</v>
      </c>
      <c r="CG100" s="56">
        <v>0</v>
      </c>
      <c r="CH100" s="56">
        <v>0</v>
      </c>
      <c r="CI100" s="56">
        <v>0</v>
      </c>
      <c r="CJ100" s="56">
        <v>2</v>
      </c>
      <c r="CK100" s="56">
        <v>0</v>
      </c>
      <c r="CL100" s="56">
        <v>0</v>
      </c>
      <c r="CM100" s="56">
        <v>0</v>
      </c>
      <c r="CN100" s="56">
        <v>0</v>
      </c>
      <c r="CO100" s="157">
        <f t="shared" si="29"/>
        <v>2</v>
      </c>
    </row>
    <row r="101" spans="1:93" ht="22.5" customHeight="1" x14ac:dyDescent="0.25">
      <c r="A101" s="47">
        <v>84</v>
      </c>
      <c r="B101" s="47" t="s">
        <v>220</v>
      </c>
      <c r="C101" s="90" t="s">
        <v>221</v>
      </c>
      <c r="D101" s="100">
        <v>46038</v>
      </c>
      <c r="E101" s="71">
        <v>0.35694444444444445</v>
      </c>
      <c r="F101" s="71">
        <v>0.95416666666666661</v>
      </c>
      <c r="G101" s="71">
        <v>0.35486111111111113</v>
      </c>
      <c r="H101" s="71">
        <v>0.9555555555555556</v>
      </c>
      <c r="I101" s="71">
        <v>0.95416666666666661</v>
      </c>
      <c r="J101" s="76">
        <v>1</v>
      </c>
      <c r="K101" s="71">
        <v>0.3576388888888889</v>
      </c>
      <c r="L101" s="76">
        <v>1</v>
      </c>
      <c r="M101" s="107" t="s">
        <v>15</v>
      </c>
      <c r="N101" s="125" t="s">
        <v>15</v>
      </c>
      <c r="O101" s="71">
        <v>0.35833333333333334</v>
      </c>
      <c r="P101" s="71">
        <v>0.97361111111111109</v>
      </c>
      <c r="Q101" s="71">
        <v>0.3576388888888889</v>
      </c>
      <c r="R101" s="71">
        <v>0.95972222222222225</v>
      </c>
      <c r="S101" s="71">
        <v>0.3576388888888889</v>
      </c>
      <c r="T101" s="71">
        <v>0.95208333333333339</v>
      </c>
      <c r="U101" s="71">
        <v>0.35833333333333334</v>
      </c>
      <c r="V101" s="71">
        <v>0.95486111111111116</v>
      </c>
      <c r="W101" s="71">
        <v>0.35902777777777778</v>
      </c>
      <c r="X101" s="71">
        <v>0.95347222222222217</v>
      </c>
      <c r="Y101" s="71">
        <v>0.3576388888888889</v>
      </c>
      <c r="Z101" s="71">
        <v>0.97916666666666663</v>
      </c>
      <c r="AA101" s="123">
        <v>0.58819444444444446</v>
      </c>
      <c r="AB101" s="123">
        <v>0.9458333333333333</v>
      </c>
      <c r="AC101" s="71">
        <v>0.35694444444444445</v>
      </c>
      <c r="AD101" s="71">
        <v>0.97499999999999998</v>
      </c>
      <c r="AE101" s="71">
        <v>0.35625000000000001</v>
      </c>
      <c r="AF101" s="71">
        <v>0.95138888888888884</v>
      </c>
      <c r="AG101" s="71">
        <v>0.35972222222222222</v>
      </c>
      <c r="AH101" s="76">
        <v>1</v>
      </c>
      <c r="AI101" s="135"/>
      <c r="AJ101" s="47">
        <v>85</v>
      </c>
      <c r="AK101" s="71">
        <v>0.35902777777777778</v>
      </c>
      <c r="AL101" s="71">
        <v>0.95624999999999993</v>
      </c>
      <c r="AM101" s="71">
        <v>0.35694444444444445</v>
      </c>
      <c r="AN101" s="71">
        <v>0.95347222222222217</v>
      </c>
      <c r="AO101" s="71">
        <v>0.35902777777777778</v>
      </c>
      <c r="AP101" s="71">
        <v>0.98055555555555562</v>
      </c>
      <c r="AQ101" s="107" t="s">
        <v>15</v>
      </c>
      <c r="AR101" s="125" t="s">
        <v>15</v>
      </c>
      <c r="AS101" s="71">
        <v>0.3576388888888889</v>
      </c>
      <c r="AT101" s="71">
        <v>0.97569444444444453</v>
      </c>
      <c r="AU101" s="71">
        <v>0.35625000000000001</v>
      </c>
      <c r="AV101" s="71">
        <v>0.9555555555555556</v>
      </c>
      <c r="AW101" s="71">
        <v>0.35833333333333334</v>
      </c>
      <c r="AX101" s="71">
        <v>0.9604166666666667</v>
      </c>
      <c r="AY101" s="82" t="s">
        <v>181</v>
      </c>
      <c r="AZ101" s="82" t="s">
        <v>181</v>
      </c>
      <c r="BA101" s="71">
        <v>0.3576388888888889</v>
      </c>
      <c r="BB101" s="71">
        <v>0.95277777777777783</v>
      </c>
      <c r="BC101" s="71">
        <v>0.35694444444444445</v>
      </c>
      <c r="BD101" s="71">
        <v>0.97013888888888899</v>
      </c>
      <c r="BE101" s="123">
        <v>0.58611111111111114</v>
      </c>
      <c r="BF101" s="123">
        <v>0.94791666666666663</v>
      </c>
      <c r="BG101" s="71">
        <v>0.35902777777777778</v>
      </c>
      <c r="BH101" s="76">
        <v>1</v>
      </c>
      <c r="BI101" s="71">
        <v>0.35625000000000001</v>
      </c>
      <c r="BJ101" s="71">
        <v>0.95486111111111116</v>
      </c>
      <c r="BK101" s="71">
        <v>0.35486111111111113</v>
      </c>
      <c r="BL101" s="71">
        <v>0.95347222222222217</v>
      </c>
      <c r="BM101" s="71">
        <v>0.35625000000000001</v>
      </c>
      <c r="BN101" s="71">
        <v>0.95208333333333339</v>
      </c>
      <c r="BO101" s="122">
        <f t="shared" si="15"/>
        <v>30</v>
      </c>
      <c r="BP101" s="75">
        <v>2</v>
      </c>
      <c r="BQ101" s="2">
        <f t="shared" si="17"/>
        <v>27</v>
      </c>
      <c r="BR101" s="3">
        <f t="shared" si="18"/>
        <v>2</v>
      </c>
      <c r="BS101" s="3">
        <f t="shared" si="19"/>
        <v>0</v>
      </c>
      <c r="BT101" s="3">
        <f t="shared" si="20"/>
        <v>0</v>
      </c>
      <c r="BU101" s="3">
        <f t="shared" si="21"/>
        <v>0</v>
      </c>
      <c r="BV101" s="3">
        <f t="shared" si="22"/>
        <v>0</v>
      </c>
      <c r="BW101" s="3">
        <f t="shared" si="23"/>
        <v>0</v>
      </c>
      <c r="BX101" s="3">
        <f t="shared" si="24"/>
        <v>1</v>
      </c>
      <c r="BY101" s="3">
        <f t="shared" si="25"/>
        <v>0</v>
      </c>
      <c r="BZ101" s="3">
        <f t="shared" si="26"/>
        <v>0</v>
      </c>
      <c r="CA101" s="3">
        <f t="shared" si="27"/>
        <v>0</v>
      </c>
      <c r="CB101" s="3">
        <f t="shared" si="28"/>
        <v>0</v>
      </c>
      <c r="CC101" s="4"/>
      <c r="CE101" s="159">
        <v>0</v>
      </c>
      <c r="CF101" s="160">
        <v>0</v>
      </c>
      <c r="CG101" s="160">
        <v>0</v>
      </c>
      <c r="CH101" s="160">
        <v>0</v>
      </c>
      <c r="CI101" s="160">
        <v>0</v>
      </c>
      <c r="CJ101" s="160">
        <v>1</v>
      </c>
      <c r="CK101" s="160">
        <v>0</v>
      </c>
      <c r="CL101" s="160">
        <v>0</v>
      </c>
      <c r="CM101" s="160">
        <v>0</v>
      </c>
      <c r="CN101" s="160">
        <v>0</v>
      </c>
      <c r="CO101" s="156">
        <f t="shared" si="29"/>
        <v>1</v>
      </c>
    </row>
    <row r="102" spans="1:93" ht="22.5" customHeight="1" x14ac:dyDescent="0.25">
      <c r="A102" s="47">
        <v>85</v>
      </c>
      <c r="B102" s="47" t="s">
        <v>223</v>
      </c>
      <c r="C102" s="90" t="s">
        <v>225</v>
      </c>
      <c r="D102" s="100">
        <v>46051</v>
      </c>
      <c r="E102" s="71">
        <v>0.35138888888888892</v>
      </c>
      <c r="F102" s="71">
        <v>0.95694444444444438</v>
      </c>
      <c r="G102" s="71">
        <v>0.3527777777777778</v>
      </c>
      <c r="H102" s="71">
        <v>0.95833333333333337</v>
      </c>
      <c r="I102" s="71">
        <v>0.3527777777777778</v>
      </c>
      <c r="J102" s="71">
        <v>0.96180555555555547</v>
      </c>
      <c r="K102" s="71">
        <v>0.34791666666666665</v>
      </c>
      <c r="L102" s="71">
        <v>0.96944444444444444</v>
      </c>
      <c r="M102" s="107" t="s">
        <v>15</v>
      </c>
      <c r="N102" s="125" t="s">
        <v>15</v>
      </c>
      <c r="O102" s="71">
        <v>0.35069444444444442</v>
      </c>
      <c r="P102" s="71">
        <v>0.95347222222222217</v>
      </c>
      <c r="Q102" s="71">
        <v>0.34930555555555554</v>
      </c>
      <c r="R102" s="71">
        <v>0.96180555555555547</v>
      </c>
      <c r="S102" s="71">
        <v>0.35416666666666669</v>
      </c>
      <c r="T102" s="71">
        <v>0.9375</v>
      </c>
      <c r="U102" s="71">
        <v>0.34930555555555554</v>
      </c>
      <c r="V102" s="71">
        <v>0.95138888888888884</v>
      </c>
      <c r="W102" s="71">
        <v>0.35000000000000003</v>
      </c>
      <c r="X102" s="71">
        <v>0.93888888888888899</v>
      </c>
      <c r="Y102" s="71">
        <v>0.35069444444444442</v>
      </c>
      <c r="Z102" s="71">
        <v>0.95833333333333337</v>
      </c>
      <c r="AA102" s="123">
        <v>0.56458333333333333</v>
      </c>
      <c r="AB102" s="124">
        <v>1</v>
      </c>
      <c r="AC102" s="71">
        <v>0.35416666666666669</v>
      </c>
      <c r="AD102" s="76">
        <v>1</v>
      </c>
      <c r="AE102" s="71">
        <v>0.35138888888888892</v>
      </c>
      <c r="AF102" s="71">
        <v>3.472222222222222E-3</v>
      </c>
      <c r="AG102" s="71">
        <v>0.35347222222222219</v>
      </c>
      <c r="AH102" s="71">
        <v>0.93958333333333333</v>
      </c>
      <c r="AI102" s="143"/>
      <c r="AJ102" s="47">
        <v>86</v>
      </c>
      <c r="AK102" s="71">
        <v>0.3520833333333333</v>
      </c>
      <c r="AL102" s="71">
        <v>0.92847222222222225</v>
      </c>
      <c r="AM102" s="71">
        <v>0.35069444444444442</v>
      </c>
      <c r="AN102" s="71">
        <v>0.9555555555555556</v>
      </c>
      <c r="AO102" s="71">
        <v>0.35000000000000003</v>
      </c>
      <c r="AP102" s="71">
        <v>5.5555555555555558E-3</v>
      </c>
      <c r="AQ102" s="107" t="s">
        <v>15</v>
      </c>
      <c r="AR102" s="125" t="s">
        <v>15</v>
      </c>
      <c r="AS102" s="71">
        <v>0.35555555555555557</v>
      </c>
      <c r="AT102" s="71">
        <v>0.9277777777777777</v>
      </c>
      <c r="AU102" s="71">
        <v>0.35138888888888892</v>
      </c>
      <c r="AV102" s="71">
        <v>0.96388888888888891</v>
      </c>
      <c r="AW102" s="71">
        <v>0.35486111111111113</v>
      </c>
      <c r="AX102" s="71">
        <v>0.94444444444444453</v>
      </c>
      <c r="AY102" s="71">
        <v>0.35555555555555557</v>
      </c>
      <c r="AZ102" s="71">
        <v>0.96250000000000002</v>
      </c>
      <c r="BA102" s="71">
        <v>0.35347222222222219</v>
      </c>
      <c r="BB102" s="71">
        <v>0.94236111111111109</v>
      </c>
      <c r="BC102" s="71">
        <v>0.3527777777777778</v>
      </c>
      <c r="BD102" s="71">
        <v>0.97916666666666663</v>
      </c>
      <c r="BE102" s="123">
        <v>0.5625</v>
      </c>
      <c r="BF102" s="124">
        <v>1</v>
      </c>
      <c r="BG102" s="71">
        <v>0.3520833333333333</v>
      </c>
      <c r="BH102" s="71">
        <v>0.94027777777777777</v>
      </c>
      <c r="BI102" s="71">
        <v>0.3527777777777778</v>
      </c>
      <c r="BJ102" s="71">
        <v>0.9819444444444444</v>
      </c>
      <c r="BK102" s="71">
        <v>0.3520833333333333</v>
      </c>
      <c r="BL102" s="71">
        <v>0.95833333333333337</v>
      </c>
      <c r="BM102" s="71">
        <v>0.35416666666666669</v>
      </c>
      <c r="BN102" s="71">
        <v>0.97013888888888899</v>
      </c>
      <c r="BO102" s="122">
        <f t="shared" si="15"/>
        <v>30</v>
      </c>
      <c r="BP102" s="75">
        <v>2</v>
      </c>
      <c r="BQ102" s="2">
        <f t="shared" si="17"/>
        <v>28</v>
      </c>
      <c r="BR102" s="3">
        <f t="shared" si="18"/>
        <v>2</v>
      </c>
      <c r="BS102" s="3">
        <f t="shared" si="19"/>
        <v>0</v>
      </c>
      <c r="BT102" s="3">
        <f t="shared" si="20"/>
        <v>0</v>
      </c>
      <c r="BU102" s="3">
        <f t="shared" si="21"/>
        <v>0</v>
      </c>
      <c r="BV102" s="3">
        <f t="shared" si="22"/>
        <v>0</v>
      </c>
      <c r="BW102" s="3">
        <f t="shared" si="23"/>
        <v>0</v>
      </c>
      <c r="BX102" s="3">
        <f t="shared" si="24"/>
        <v>0</v>
      </c>
      <c r="BY102" s="3">
        <f t="shared" si="25"/>
        <v>0</v>
      </c>
      <c r="BZ102" s="3">
        <f t="shared" si="26"/>
        <v>0</v>
      </c>
      <c r="CA102" s="3">
        <f t="shared" si="27"/>
        <v>0</v>
      </c>
      <c r="CB102" s="3">
        <f t="shared" si="28"/>
        <v>0</v>
      </c>
      <c r="CC102" s="4"/>
      <c r="CE102" s="57">
        <v>0</v>
      </c>
      <c r="CF102" s="56">
        <v>0</v>
      </c>
      <c r="CG102" s="56">
        <v>0</v>
      </c>
      <c r="CH102" s="56">
        <v>0</v>
      </c>
      <c r="CI102" s="56">
        <v>0</v>
      </c>
      <c r="CJ102" s="56">
        <v>2</v>
      </c>
      <c r="CK102" s="56">
        <v>0</v>
      </c>
      <c r="CL102" s="56">
        <v>1</v>
      </c>
      <c r="CM102" s="56">
        <v>0</v>
      </c>
      <c r="CN102" s="56">
        <v>0</v>
      </c>
      <c r="CO102" s="157">
        <f t="shared" si="29"/>
        <v>3</v>
      </c>
    </row>
    <row r="103" spans="1:93" ht="22.5" customHeight="1" x14ac:dyDescent="0.25">
      <c r="A103" s="47">
        <v>86</v>
      </c>
      <c r="B103" s="47" t="s">
        <v>227</v>
      </c>
      <c r="C103" s="90" t="s">
        <v>228</v>
      </c>
      <c r="D103" s="100">
        <v>46065</v>
      </c>
      <c r="E103" s="71">
        <v>0.34097222222222223</v>
      </c>
      <c r="F103" s="71">
        <v>0.95416666666666661</v>
      </c>
      <c r="G103" s="71">
        <v>0.34583333333333338</v>
      </c>
      <c r="H103" s="71">
        <v>0.94930555555555562</v>
      </c>
      <c r="I103" s="71">
        <v>0.34722222222222227</v>
      </c>
      <c r="J103" s="71">
        <v>0.97152777777777777</v>
      </c>
      <c r="K103" s="71">
        <v>0.34930555555555554</v>
      </c>
      <c r="L103" s="71">
        <v>0.96527777777777779</v>
      </c>
      <c r="M103" s="123">
        <v>0.58124999999999993</v>
      </c>
      <c r="N103" s="127">
        <v>0.94097222222222221</v>
      </c>
      <c r="O103" s="71">
        <v>0.3430555555555555</v>
      </c>
      <c r="P103" s="71">
        <v>0.96180555555555547</v>
      </c>
      <c r="Q103" s="71">
        <v>0.35000000000000003</v>
      </c>
      <c r="R103" s="71">
        <v>0.9506944444444444</v>
      </c>
      <c r="S103" s="71">
        <v>0.34930555555555554</v>
      </c>
      <c r="T103" s="71">
        <v>0.93888888888888899</v>
      </c>
      <c r="U103" s="71">
        <v>0.34722222222222227</v>
      </c>
      <c r="V103" s="71">
        <v>0.94444444444444453</v>
      </c>
      <c r="W103" s="71">
        <v>0.34930555555555554</v>
      </c>
      <c r="X103" s="71">
        <v>0.94097222222222221</v>
      </c>
      <c r="Y103" s="71">
        <v>0.3520833333333333</v>
      </c>
      <c r="Z103" s="71">
        <v>0.95416666666666661</v>
      </c>
      <c r="AA103" s="107" t="s">
        <v>15</v>
      </c>
      <c r="AB103" s="125" t="s">
        <v>15</v>
      </c>
      <c r="AC103" s="71">
        <v>0.35069444444444442</v>
      </c>
      <c r="AD103" s="71">
        <v>0.9590277777777777</v>
      </c>
      <c r="AE103" s="71">
        <v>0.35138888888888892</v>
      </c>
      <c r="AF103" s="71">
        <v>0.95000000000000007</v>
      </c>
      <c r="AG103" s="71">
        <v>0.34722222222222227</v>
      </c>
      <c r="AH103" s="71">
        <v>0.95000000000000007</v>
      </c>
      <c r="AI103" s="143"/>
      <c r="AJ103" s="47">
        <v>87</v>
      </c>
      <c r="AK103" s="71">
        <v>0.35069444444444442</v>
      </c>
      <c r="AL103" s="71">
        <v>0.93819444444444444</v>
      </c>
      <c r="AM103" s="71">
        <v>0.35000000000000003</v>
      </c>
      <c r="AN103" s="71">
        <v>0.94513888888888886</v>
      </c>
      <c r="AO103" s="71">
        <v>0.3520833333333333</v>
      </c>
      <c r="AP103" s="71">
        <v>0.96111111111111114</v>
      </c>
      <c r="AQ103" s="123">
        <v>0.57986111111111105</v>
      </c>
      <c r="AR103" s="123">
        <v>0.94166666666666676</v>
      </c>
      <c r="AS103" s="71">
        <v>0.34930555555555554</v>
      </c>
      <c r="AT103" s="71">
        <v>0.9590277777777777</v>
      </c>
      <c r="AU103" s="71">
        <v>0.34791666666666665</v>
      </c>
      <c r="AV103" s="71">
        <v>0.94097222222222221</v>
      </c>
      <c r="AW103" s="71">
        <v>0.35000000000000003</v>
      </c>
      <c r="AX103" s="71">
        <v>0.94097222222222221</v>
      </c>
      <c r="AY103" s="71">
        <v>0.35069444444444442</v>
      </c>
      <c r="AZ103" s="71">
        <v>0.94166666666666676</v>
      </c>
      <c r="BA103" s="71">
        <v>0.3520833333333333</v>
      </c>
      <c r="BB103" s="71">
        <v>0.94097222222222221</v>
      </c>
      <c r="BC103" s="71">
        <v>0.35000000000000003</v>
      </c>
      <c r="BD103" s="71">
        <v>0.96111111111111114</v>
      </c>
      <c r="BE103" s="107" t="s">
        <v>15</v>
      </c>
      <c r="BF103" s="107" t="s">
        <v>15</v>
      </c>
      <c r="BG103" s="71">
        <v>0.34791666666666665</v>
      </c>
      <c r="BH103" s="71">
        <v>0.94861111111111107</v>
      </c>
      <c r="BI103" s="71">
        <v>0.35138888888888892</v>
      </c>
      <c r="BJ103" s="71">
        <v>0.94374999999999998</v>
      </c>
      <c r="BK103" s="71">
        <v>0.3520833333333333</v>
      </c>
      <c r="BL103" s="71">
        <v>0.95833333333333337</v>
      </c>
      <c r="BM103" s="71">
        <v>0.3520833333333333</v>
      </c>
      <c r="BN103" s="71">
        <v>0.9604166666666667</v>
      </c>
      <c r="BO103" s="122">
        <f t="shared" si="15"/>
        <v>30</v>
      </c>
      <c r="BP103" s="75">
        <v>2</v>
      </c>
      <c r="BQ103" s="2">
        <f t="shared" si="17"/>
        <v>28</v>
      </c>
      <c r="BR103" s="3">
        <f t="shared" si="18"/>
        <v>2</v>
      </c>
      <c r="BS103" s="3">
        <f t="shared" si="19"/>
        <v>0</v>
      </c>
      <c r="BT103" s="3">
        <f t="shared" si="20"/>
        <v>0</v>
      </c>
      <c r="BU103" s="3">
        <f t="shared" si="21"/>
        <v>0</v>
      </c>
      <c r="BV103" s="3">
        <f t="shared" si="22"/>
        <v>0</v>
      </c>
      <c r="BW103" s="3">
        <f t="shared" si="23"/>
        <v>0</v>
      </c>
      <c r="BX103" s="3">
        <f t="shared" si="24"/>
        <v>0</v>
      </c>
      <c r="BY103" s="3">
        <f t="shared" si="25"/>
        <v>0</v>
      </c>
      <c r="BZ103" s="3">
        <f t="shared" si="26"/>
        <v>0</v>
      </c>
      <c r="CA103" s="3">
        <f t="shared" si="27"/>
        <v>0</v>
      </c>
      <c r="CB103" s="3">
        <f t="shared" si="28"/>
        <v>0</v>
      </c>
      <c r="CC103" s="4"/>
      <c r="CE103" s="159">
        <v>0</v>
      </c>
      <c r="CF103" s="160">
        <v>0</v>
      </c>
      <c r="CG103" s="160">
        <v>0</v>
      </c>
      <c r="CH103" s="160">
        <v>0</v>
      </c>
      <c r="CI103" s="160">
        <v>0</v>
      </c>
      <c r="CJ103" s="160">
        <v>1</v>
      </c>
      <c r="CK103" s="160">
        <v>0</v>
      </c>
      <c r="CL103" s="160">
        <v>0</v>
      </c>
      <c r="CM103" s="160">
        <v>0</v>
      </c>
      <c r="CN103" s="160">
        <v>0</v>
      </c>
      <c r="CO103" s="156">
        <f t="shared" si="29"/>
        <v>1</v>
      </c>
    </row>
    <row r="104" spans="1:93" ht="22.5" customHeight="1" x14ac:dyDescent="0.25">
      <c r="A104" s="47">
        <v>87</v>
      </c>
      <c r="B104" s="47" t="s">
        <v>231</v>
      </c>
      <c r="C104" s="90" t="s">
        <v>233</v>
      </c>
      <c r="D104" s="100">
        <v>46069</v>
      </c>
      <c r="E104" s="71">
        <v>0.35347222222222219</v>
      </c>
      <c r="F104" s="71">
        <v>0.92638888888888893</v>
      </c>
      <c r="G104" s="71">
        <v>0.35416666666666669</v>
      </c>
      <c r="H104" s="71">
        <v>0.95347222222222217</v>
      </c>
      <c r="I104" s="71">
        <v>0.35486111111111113</v>
      </c>
      <c r="J104" s="71">
        <v>0.92638888888888893</v>
      </c>
      <c r="K104" s="71">
        <v>0.35416666666666669</v>
      </c>
      <c r="L104" s="71">
        <v>0.94513888888888886</v>
      </c>
      <c r="M104" s="107" t="s">
        <v>15</v>
      </c>
      <c r="N104" s="125" t="s">
        <v>15</v>
      </c>
      <c r="O104" s="71">
        <v>0.35486111111111113</v>
      </c>
      <c r="P104" s="71">
        <v>0.95138888888888884</v>
      </c>
      <c r="Q104" s="71">
        <v>0.35486111111111113</v>
      </c>
      <c r="R104" s="71">
        <v>0.92222222222222217</v>
      </c>
      <c r="S104" s="71">
        <v>0.35416666666666669</v>
      </c>
      <c r="T104" s="71">
        <v>0.90208333333333324</v>
      </c>
      <c r="U104" s="71">
        <v>0.35138888888888892</v>
      </c>
      <c r="V104" s="71">
        <v>0.92638888888888893</v>
      </c>
      <c r="W104" s="71">
        <v>0.35694444444444445</v>
      </c>
      <c r="X104" s="71">
        <v>0.90694444444444444</v>
      </c>
      <c r="Y104" s="71">
        <v>0.3527777777777778</v>
      </c>
      <c r="Z104" s="71">
        <v>0.9277777777777777</v>
      </c>
      <c r="AA104" s="123">
        <v>0.58124999999999993</v>
      </c>
      <c r="AB104" s="123">
        <v>0.8881944444444444</v>
      </c>
      <c r="AC104" s="71">
        <v>0.35625000000000001</v>
      </c>
      <c r="AD104" s="71">
        <v>0.91805555555555562</v>
      </c>
      <c r="AE104" s="71">
        <v>0.35555555555555557</v>
      </c>
      <c r="AF104" s="71">
        <v>0.9291666666666667</v>
      </c>
      <c r="AG104" s="71">
        <v>0.35555555555555557</v>
      </c>
      <c r="AH104" s="71">
        <v>0.90625</v>
      </c>
      <c r="AI104" s="143"/>
      <c r="AJ104" s="47">
        <v>88</v>
      </c>
      <c r="AK104" s="71">
        <v>0.35486111111111113</v>
      </c>
      <c r="AL104" s="71">
        <v>0.89861111111111114</v>
      </c>
      <c r="AM104" s="71">
        <v>0.3527777777777778</v>
      </c>
      <c r="AN104" s="71">
        <v>0.91111111111111109</v>
      </c>
      <c r="AO104" s="71">
        <v>0.35347222222222219</v>
      </c>
      <c r="AP104" s="71">
        <v>0.92708333333333337</v>
      </c>
      <c r="AQ104" s="107" t="s">
        <v>15</v>
      </c>
      <c r="AR104" s="125" t="s">
        <v>15</v>
      </c>
      <c r="AS104" s="71">
        <v>0.35833333333333334</v>
      </c>
      <c r="AT104" s="71">
        <v>0.92013888888888884</v>
      </c>
      <c r="AU104" s="71">
        <v>0.3520833333333333</v>
      </c>
      <c r="AV104" s="71">
        <v>0.89513888888888893</v>
      </c>
      <c r="AW104" s="71">
        <v>0.35833333333333334</v>
      </c>
      <c r="AX104" s="71">
        <v>0.8930555555555556</v>
      </c>
      <c r="AY104" s="71">
        <v>0.35416666666666669</v>
      </c>
      <c r="AZ104" s="71">
        <v>0.90972222222222221</v>
      </c>
      <c r="BA104" s="71">
        <v>0.35347222222222219</v>
      </c>
      <c r="BB104" s="71">
        <v>0.8979166666666667</v>
      </c>
      <c r="BC104" s="71">
        <v>0.35000000000000003</v>
      </c>
      <c r="BD104" s="71">
        <v>0.92361111111111116</v>
      </c>
      <c r="BE104" s="123">
        <v>0.57708333333333328</v>
      </c>
      <c r="BF104" s="123">
        <v>0.91041666666666676</v>
      </c>
      <c r="BG104" s="71">
        <v>0.35138888888888892</v>
      </c>
      <c r="BH104" s="71">
        <v>0.96458333333333324</v>
      </c>
      <c r="BI104" s="71">
        <v>0.35555555555555557</v>
      </c>
      <c r="BJ104" s="71">
        <v>0.93194444444444446</v>
      </c>
      <c r="BK104" s="71">
        <v>0.35138888888888892</v>
      </c>
      <c r="BL104" s="71">
        <v>0.90694444444444444</v>
      </c>
      <c r="BM104" s="71">
        <v>0.35555555555555557</v>
      </c>
      <c r="BN104" s="71">
        <v>0.91875000000000007</v>
      </c>
      <c r="BO104" s="122">
        <f t="shared" si="15"/>
        <v>30</v>
      </c>
      <c r="BP104" s="75">
        <v>2</v>
      </c>
      <c r="BQ104" s="2">
        <f t="shared" si="17"/>
        <v>28</v>
      </c>
      <c r="BR104" s="3">
        <f t="shared" si="18"/>
        <v>2</v>
      </c>
      <c r="BS104" s="3">
        <f t="shared" si="19"/>
        <v>0</v>
      </c>
      <c r="BT104" s="3">
        <f t="shared" si="20"/>
        <v>0</v>
      </c>
      <c r="BU104" s="3">
        <f t="shared" si="21"/>
        <v>0</v>
      </c>
      <c r="BV104" s="3">
        <f t="shared" si="22"/>
        <v>0</v>
      </c>
      <c r="BW104" s="3">
        <f t="shared" si="23"/>
        <v>0</v>
      </c>
      <c r="BX104" s="3">
        <f t="shared" si="24"/>
        <v>0</v>
      </c>
      <c r="BY104" s="3">
        <f t="shared" si="25"/>
        <v>0</v>
      </c>
      <c r="BZ104" s="3">
        <f t="shared" si="26"/>
        <v>0</v>
      </c>
      <c r="CA104" s="3">
        <f t="shared" si="27"/>
        <v>0</v>
      </c>
      <c r="CB104" s="3">
        <f t="shared" si="28"/>
        <v>0</v>
      </c>
      <c r="CC104" s="4"/>
      <c r="CE104" s="57">
        <v>0</v>
      </c>
      <c r="CF104" s="56">
        <v>0</v>
      </c>
      <c r="CG104" s="56">
        <v>0</v>
      </c>
      <c r="CH104" s="56">
        <v>0</v>
      </c>
      <c r="CI104" s="56">
        <v>0</v>
      </c>
      <c r="CJ104" s="56">
        <v>0</v>
      </c>
      <c r="CK104" s="56">
        <v>0</v>
      </c>
      <c r="CL104" s="56">
        <v>0</v>
      </c>
      <c r="CM104" s="56">
        <v>0</v>
      </c>
      <c r="CN104" s="56">
        <v>0</v>
      </c>
      <c r="CO104" s="157">
        <f t="shared" si="29"/>
        <v>0</v>
      </c>
    </row>
    <row r="105" spans="1:93" ht="22.5" customHeight="1" x14ac:dyDescent="0.25">
      <c r="A105" s="47">
        <v>88</v>
      </c>
      <c r="B105" s="47" t="s">
        <v>229</v>
      </c>
      <c r="C105" s="90" t="s">
        <v>234</v>
      </c>
      <c r="D105" s="100">
        <v>46068</v>
      </c>
      <c r="E105" s="71">
        <v>0.34791666666666665</v>
      </c>
      <c r="F105" s="71">
        <v>0.98125000000000007</v>
      </c>
      <c r="G105" s="71">
        <v>0.34652777777777777</v>
      </c>
      <c r="H105" s="71">
        <v>0.95833333333333337</v>
      </c>
      <c r="I105" s="71">
        <v>0.34652777777777777</v>
      </c>
      <c r="J105" s="71">
        <v>0.99305555555555547</v>
      </c>
      <c r="K105" s="71">
        <v>0.34930555555555554</v>
      </c>
      <c r="L105" s="71">
        <v>0.97361111111111109</v>
      </c>
      <c r="M105" s="123">
        <v>0.58472222222222225</v>
      </c>
      <c r="N105" s="127">
        <v>0.9375</v>
      </c>
      <c r="O105" s="71">
        <v>0.34375</v>
      </c>
      <c r="P105" s="71">
        <v>0.96388888888888891</v>
      </c>
      <c r="Q105" s="71">
        <v>0.35069444444444442</v>
      </c>
      <c r="R105" s="71">
        <v>0.97430555555555554</v>
      </c>
      <c r="S105" s="71">
        <v>0.34930555555555554</v>
      </c>
      <c r="T105" s="71">
        <v>0.93819444444444444</v>
      </c>
      <c r="U105" s="71">
        <v>0.34722222222222227</v>
      </c>
      <c r="V105" s="71">
        <v>0.94861111111111107</v>
      </c>
      <c r="W105" s="71">
        <v>0.34791666666666665</v>
      </c>
      <c r="X105" s="71">
        <v>0.93958333333333333</v>
      </c>
      <c r="Y105" s="71">
        <v>0.3520833333333333</v>
      </c>
      <c r="Z105" s="71">
        <v>0.95833333333333337</v>
      </c>
      <c r="AA105" s="107" t="s">
        <v>15</v>
      </c>
      <c r="AB105" s="125" t="s">
        <v>15</v>
      </c>
      <c r="AC105" s="71">
        <v>0.35000000000000003</v>
      </c>
      <c r="AD105" s="71">
        <v>0.96111111111111114</v>
      </c>
      <c r="AE105" s="71">
        <v>0.35138888888888892</v>
      </c>
      <c r="AF105" s="71">
        <v>1.0416666666666666E-2</v>
      </c>
      <c r="AG105" s="71">
        <v>0.34722222222222227</v>
      </c>
      <c r="AH105" s="71">
        <v>0.96180555555555547</v>
      </c>
      <c r="AI105" s="143"/>
      <c r="AJ105" s="47">
        <v>89</v>
      </c>
      <c r="AK105" s="71">
        <v>0.35069444444444442</v>
      </c>
      <c r="AL105" s="71">
        <v>0.93888888888888899</v>
      </c>
      <c r="AM105" s="71">
        <v>0.35000000000000003</v>
      </c>
      <c r="AN105" s="71">
        <v>0.98472222222222217</v>
      </c>
      <c r="AO105" s="71">
        <v>0.3520833333333333</v>
      </c>
      <c r="AP105" s="71">
        <v>1.3888888888888888E-2</v>
      </c>
      <c r="AQ105" s="123">
        <v>0.58680555555555558</v>
      </c>
      <c r="AR105" s="123">
        <v>0.9375</v>
      </c>
      <c r="AS105" s="71">
        <v>0.34930555555555554</v>
      </c>
      <c r="AT105" s="71">
        <v>0.94027777777777777</v>
      </c>
      <c r="AU105" s="71">
        <v>0.34791666666666665</v>
      </c>
      <c r="AV105" s="71">
        <v>0.97361111111111109</v>
      </c>
      <c r="AW105" s="71">
        <v>0.35000000000000003</v>
      </c>
      <c r="AX105" s="71">
        <v>0.94930555555555562</v>
      </c>
      <c r="AY105" s="71">
        <v>0.35069444444444442</v>
      </c>
      <c r="AZ105" s="71">
        <v>0.95694444444444438</v>
      </c>
      <c r="BA105" s="71">
        <v>0.3520833333333333</v>
      </c>
      <c r="BB105" s="76">
        <v>1</v>
      </c>
      <c r="BC105" s="71">
        <v>0.35000000000000003</v>
      </c>
      <c r="BD105" s="71">
        <v>0.97916666666666663</v>
      </c>
      <c r="BE105" s="107" t="s">
        <v>15</v>
      </c>
      <c r="BF105" s="107" t="s">
        <v>15</v>
      </c>
      <c r="BG105" s="71">
        <v>0.34722222222222227</v>
      </c>
      <c r="BH105" s="76">
        <v>1</v>
      </c>
      <c r="BI105" s="71">
        <v>0.35138888888888892</v>
      </c>
      <c r="BJ105" s="76">
        <v>1</v>
      </c>
      <c r="BK105" s="71">
        <v>0.3520833333333333</v>
      </c>
      <c r="BL105" s="71">
        <v>0.96666666666666667</v>
      </c>
      <c r="BM105" s="71">
        <v>0.3520833333333333</v>
      </c>
      <c r="BN105" s="76">
        <v>1</v>
      </c>
      <c r="BO105" s="122">
        <f t="shared" si="15"/>
        <v>30</v>
      </c>
      <c r="BP105" s="75">
        <v>2</v>
      </c>
      <c r="BQ105" s="2">
        <f t="shared" si="17"/>
        <v>28</v>
      </c>
      <c r="BR105" s="3">
        <f t="shared" si="18"/>
        <v>2</v>
      </c>
      <c r="BS105" s="3">
        <f t="shared" si="19"/>
        <v>0</v>
      </c>
      <c r="BT105" s="3">
        <f t="shared" si="20"/>
        <v>0</v>
      </c>
      <c r="BU105" s="3">
        <f t="shared" si="21"/>
        <v>0</v>
      </c>
      <c r="BV105" s="3">
        <f t="shared" si="22"/>
        <v>0</v>
      </c>
      <c r="BW105" s="3">
        <f t="shared" si="23"/>
        <v>0</v>
      </c>
      <c r="BX105" s="3">
        <f t="shared" si="24"/>
        <v>0</v>
      </c>
      <c r="BY105" s="3">
        <f t="shared" si="25"/>
        <v>0</v>
      </c>
      <c r="BZ105" s="3">
        <f t="shared" si="26"/>
        <v>0</v>
      </c>
      <c r="CA105" s="3">
        <f t="shared" si="27"/>
        <v>0</v>
      </c>
      <c r="CB105" s="3">
        <f t="shared" si="28"/>
        <v>0</v>
      </c>
      <c r="CC105" s="4"/>
      <c r="CE105" s="159">
        <v>0</v>
      </c>
      <c r="CF105" s="160">
        <v>0</v>
      </c>
      <c r="CG105" s="160">
        <v>0</v>
      </c>
      <c r="CH105" s="160">
        <v>0</v>
      </c>
      <c r="CI105" s="160">
        <v>0</v>
      </c>
      <c r="CJ105" s="160">
        <v>0</v>
      </c>
      <c r="CK105" s="160">
        <v>0</v>
      </c>
      <c r="CL105" s="160">
        <v>0</v>
      </c>
      <c r="CM105" s="160">
        <v>0</v>
      </c>
      <c r="CN105" s="160">
        <v>0</v>
      </c>
      <c r="CO105" s="156">
        <f t="shared" si="29"/>
        <v>0</v>
      </c>
    </row>
    <row r="106" spans="1:93" ht="22.5" customHeight="1" x14ac:dyDescent="0.25">
      <c r="A106" s="47">
        <v>89</v>
      </c>
      <c r="B106" s="47" t="s">
        <v>230</v>
      </c>
      <c r="C106" s="90" t="s">
        <v>235</v>
      </c>
      <c r="D106" s="100">
        <v>46069</v>
      </c>
      <c r="E106" s="71">
        <v>0.35347222222222219</v>
      </c>
      <c r="F106" s="71">
        <v>0.9784722222222223</v>
      </c>
      <c r="G106" s="71">
        <v>0.35486111111111113</v>
      </c>
      <c r="H106" s="71">
        <v>0.95694444444444438</v>
      </c>
      <c r="I106" s="71">
        <v>0.35486111111111113</v>
      </c>
      <c r="J106" s="76">
        <v>1</v>
      </c>
      <c r="K106" s="71">
        <v>0.35486111111111113</v>
      </c>
      <c r="L106" s="71">
        <v>0.97499999999999998</v>
      </c>
      <c r="M106" s="123">
        <v>0.58124999999999993</v>
      </c>
      <c r="N106" s="127">
        <v>0.9375</v>
      </c>
      <c r="O106" s="71">
        <v>0.35138888888888892</v>
      </c>
      <c r="P106" s="71">
        <v>0.96250000000000002</v>
      </c>
      <c r="Q106" s="71">
        <v>0.35347222222222219</v>
      </c>
      <c r="R106" s="71">
        <v>0.97222222222222221</v>
      </c>
      <c r="S106" s="71">
        <v>0.35347222222222219</v>
      </c>
      <c r="T106" s="71">
        <v>0.9375</v>
      </c>
      <c r="U106" s="71">
        <v>0.35347222222222219</v>
      </c>
      <c r="V106" s="71">
        <v>0.94861111111111107</v>
      </c>
      <c r="W106" s="71">
        <v>0.35416666666666669</v>
      </c>
      <c r="X106" s="71">
        <v>0.9375</v>
      </c>
      <c r="Y106" s="71">
        <v>0.3527777777777778</v>
      </c>
      <c r="Z106" s="71">
        <v>0.95763888888888893</v>
      </c>
      <c r="AA106" s="107" t="s">
        <v>15</v>
      </c>
      <c r="AB106" s="125" t="s">
        <v>15</v>
      </c>
      <c r="AC106" s="71">
        <v>0.3527777777777778</v>
      </c>
      <c r="AD106" s="71">
        <v>0.93263888888888891</v>
      </c>
      <c r="AE106" s="71">
        <v>0.35416666666666669</v>
      </c>
      <c r="AF106" s="71">
        <v>9.7222222222222224E-3</v>
      </c>
      <c r="AG106" s="71">
        <v>0.35555555555555557</v>
      </c>
      <c r="AH106" s="71">
        <v>0.9243055555555556</v>
      </c>
      <c r="AI106" s="143"/>
      <c r="AJ106" s="47">
        <v>90</v>
      </c>
      <c r="AK106" s="71">
        <v>0.35694444444444445</v>
      </c>
      <c r="AL106" s="71">
        <v>0.93055555555555547</v>
      </c>
      <c r="AM106" s="71">
        <v>0.35486111111111113</v>
      </c>
      <c r="AN106" s="71">
        <v>0.92569444444444438</v>
      </c>
      <c r="AO106" s="71">
        <v>0.35486111111111113</v>
      </c>
      <c r="AP106" s="71">
        <v>0.93819444444444444</v>
      </c>
      <c r="AQ106" s="123">
        <v>0.58263888888888882</v>
      </c>
      <c r="AR106" s="123">
        <v>0.91666666666666663</v>
      </c>
      <c r="AS106" s="71">
        <v>0.35416666666666669</v>
      </c>
      <c r="AT106" s="71">
        <v>0.93194444444444446</v>
      </c>
      <c r="AU106" s="71">
        <v>0.35416666666666669</v>
      </c>
      <c r="AV106" s="71">
        <v>0.91805555555555562</v>
      </c>
      <c r="AW106" s="71">
        <v>0.35486111111111113</v>
      </c>
      <c r="AX106" s="71">
        <v>0.91736111111111107</v>
      </c>
      <c r="AY106" s="71">
        <v>0.35486111111111113</v>
      </c>
      <c r="AZ106" s="71">
        <v>0.92152777777777783</v>
      </c>
      <c r="BA106" s="71">
        <v>0.35416666666666669</v>
      </c>
      <c r="BB106" s="71">
        <v>0.91736111111111107</v>
      </c>
      <c r="BC106" s="71">
        <v>0.35416666666666669</v>
      </c>
      <c r="BD106" s="71">
        <v>0.93541666666666667</v>
      </c>
      <c r="BE106" s="107" t="s">
        <v>15</v>
      </c>
      <c r="BF106" s="107" t="s">
        <v>15</v>
      </c>
      <c r="BG106" s="71">
        <v>0.3520833333333333</v>
      </c>
      <c r="BH106" s="71">
        <v>0.94513888888888886</v>
      </c>
      <c r="BI106" s="71">
        <v>0.35069444444444442</v>
      </c>
      <c r="BJ106" s="71">
        <v>0.91666666666666663</v>
      </c>
      <c r="BK106" s="71">
        <v>0.35138888888888892</v>
      </c>
      <c r="BL106" s="71">
        <v>0.91666666666666663</v>
      </c>
      <c r="BM106" s="71">
        <v>0.3527777777777778</v>
      </c>
      <c r="BN106" s="71">
        <v>0.9277777777777777</v>
      </c>
      <c r="BO106" s="122">
        <f t="shared" ref="BO106:BO107" si="30">BQ106+BR106+BT106+BY106+BW106+BX106+CB106+BS106</f>
        <v>30</v>
      </c>
      <c r="BP106" s="75">
        <v>2</v>
      </c>
      <c r="BQ106" s="2">
        <f t="shared" si="17"/>
        <v>28</v>
      </c>
      <c r="BR106" s="3">
        <f t="shared" si="18"/>
        <v>2</v>
      </c>
      <c r="BS106" s="3">
        <f t="shared" si="19"/>
        <v>0</v>
      </c>
      <c r="BT106" s="3">
        <f t="shared" si="20"/>
        <v>0</v>
      </c>
      <c r="BU106" s="3">
        <f t="shared" si="21"/>
        <v>0</v>
      </c>
      <c r="BV106" s="3">
        <f t="shared" si="22"/>
        <v>0</v>
      </c>
      <c r="BW106" s="3">
        <f t="shared" si="23"/>
        <v>0</v>
      </c>
      <c r="BX106" s="3">
        <f t="shared" si="24"/>
        <v>0</v>
      </c>
      <c r="BY106" s="3">
        <f t="shared" si="25"/>
        <v>0</v>
      </c>
      <c r="BZ106" s="3">
        <f t="shared" si="26"/>
        <v>0</v>
      </c>
      <c r="CA106" s="3">
        <f t="shared" si="27"/>
        <v>0</v>
      </c>
      <c r="CB106" s="3">
        <f t="shared" si="28"/>
        <v>0</v>
      </c>
      <c r="CC106" s="4"/>
      <c r="CE106" s="57">
        <v>0</v>
      </c>
      <c r="CF106" s="56">
        <v>0</v>
      </c>
      <c r="CG106" s="56">
        <v>0</v>
      </c>
      <c r="CH106" s="56">
        <v>0</v>
      </c>
      <c r="CI106" s="56">
        <v>0</v>
      </c>
      <c r="CJ106" s="56">
        <v>0</v>
      </c>
      <c r="CK106" s="56">
        <v>0</v>
      </c>
      <c r="CL106" s="56">
        <v>0</v>
      </c>
      <c r="CM106" s="56">
        <v>0</v>
      </c>
      <c r="CN106" s="56">
        <v>0</v>
      </c>
      <c r="CO106" s="157">
        <f t="shared" ref="CO106:CO107" si="31">SUM(CE106:CN106)</f>
        <v>0</v>
      </c>
    </row>
    <row r="107" spans="1:93" ht="22.5" customHeight="1" x14ac:dyDescent="0.25">
      <c r="A107" s="47">
        <v>90</v>
      </c>
      <c r="B107" s="47" t="s">
        <v>251</v>
      </c>
      <c r="C107" s="90" t="s">
        <v>252</v>
      </c>
      <c r="D107" s="100"/>
      <c r="E107" s="71">
        <v>0.35625000000000001</v>
      </c>
      <c r="F107" s="71">
        <v>0.95972222222222225</v>
      </c>
      <c r="G107" s="71">
        <v>0.3576388888888889</v>
      </c>
      <c r="H107" s="71">
        <v>0.94166666666666676</v>
      </c>
      <c r="I107" s="71">
        <v>0.35625000000000001</v>
      </c>
      <c r="J107" s="71">
        <v>0.95972222222222225</v>
      </c>
      <c r="K107" s="71">
        <v>0.35347222222222219</v>
      </c>
      <c r="L107" s="71">
        <v>0.95208333333333339</v>
      </c>
      <c r="M107" s="123">
        <v>0.57986111111111105</v>
      </c>
      <c r="N107" s="127">
        <v>0.94305555555555554</v>
      </c>
      <c r="O107" s="71">
        <v>0.35138888888888892</v>
      </c>
      <c r="P107" s="71">
        <v>0.96319444444444446</v>
      </c>
      <c r="Q107" s="71">
        <v>0.35347222222222219</v>
      </c>
      <c r="R107" s="71">
        <v>0.96597222222222223</v>
      </c>
      <c r="S107" s="71">
        <v>0.35486111111111113</v>
      </c>
      <c r="T107" s="71">
        <v>0.93958333333333333</v>
      </c>
      <c r="U107" s="71">
        <v>0.35347222222222219</v>
      </c>
      <c r="V107" s="71">
        <v>0.95000000000000007</v>
      </c>
      <c r="W107" s="71">
        <v>0.35486111111111113</v>
      </c>
      <c r="X107" s="71">
        <v>0.93888888888888899</v>
      </c>
      <c r="Y107" s="71">
        <v>0.35347222222222219</v>
      </c>
      <c r="Z107" s="71">
        <v>0.95833333333333337</v>
      </c>
      <c r="AA107" s="107" t="s">
        <v>15</v>
      </c>
      <c r="AB107" s="125" t="s">
        <v>15</v>
      </c>
      <c r="AC107" s="71">
        <v>0.3527777777777778</v>
      </c>
      <c r="AD107" s="71">
        <v>0.3527777777777778</v>
      </c>
      <c r="AE107" s="71">
        <v>0.35416666666666669</v>
      </c>
      <c r="AF107" s="71">
        <v>0.98333333333333339</v>
      </c>
      <c r="AG107" s="71">
        <v>0.3527777777777778</v>
      </c>
      <c r="AH107" s="71">
        <v>0.93055555555555547</v>
      </c>
      <c r="AI107" s="143"/>
      <c r="AJ107" s="47">
        <v>91</v>
      </c>
      <c r="AK107" s="71">
        <v>0.3527777777777778</v>
      </c>
      <c r="AL107" s="71">
        <v>0.91805555555555562</v>
      </c>
      <c r="AM107" s="71">
        <v>0.35347222222222219</v>
      </c>
      <c r="AN107" s="71">
        <v>0.93958333333333333</v>
      </c>
      <c r="AO107" s="71">
        <v>0.3527777777777778</v>
      </c>
      <c r="AP107" s="71">
        <v>0.96319444444444446</v>
      </c>
      <c r="AQ107" s="123">
        <v>0.56319444444444444</v>
      </c>
      <c r="AR107" s="124">
        <v>1</v>
      </c>
      <c r="AS107" s="71">
        <v>0.35416666666666669</v>
      </c>
      <c r="AT107" s="71">
        <v>0.94097222222222221</v>
      </c>
      <c r="AU107" s="71">
        <v>0.35416666666666669</v>
      </c>
      <c r="AV107" s="71">
        <v>0.94236111111111109</v>
      </c>
      <c r="AW107" s="71">
        <v>0.35486111111111113</v>
      </c>
      <c r="AX107" s="71">
        <v>0.94513888888888886</v>
      </c>
      <c r="AY107" s="71">
        <v>0.35486111111111113</v>
      </c>
      <c r="AZ107" s="71">
        <v>0.9590277777777777</v>
      </c>
      <c r="BA107" s="71">
        <v>0.35486111111111113</v>
      </c>
      <c r="BB107" s="71">
        <v>0.94374999999999998</v>
      </c>
      <c r="BC107" s="71">
        <v>0.35486111111111113</v>
      </c>
      <c r="BD107" s="76">
        <v>1</v>
      </c>
      <c r="BE107" s="107" t="s">
        <v>15</v>
      </c>
      <c r="BF107" s="107" t="s">
        <v>15</v>
      </c>
      <c r="BG107" s="71">
        <v>0.32847222222222222</v>
      </c>
      <c r="BH107" s="71">
        <v>0.94166666666666676</v>
      </c>
      <c r="BI107" s="71">
        <v>0.3263888888888889</v>
      </c>
      <c r="BJ107" s="71">
        <v>0.92499999999999993</v>
      </c>
      <c r="BK107" s="71">
        <v>0.32916666666666666</v>
      </c>
      <c r="BL107" s="71">
        <v>0.94305555555555554</v>
      </c>
      <c r="BM107" s="71">
        <v>0.32847222222222222</v>
      </c>
      <c r="BN107" s="71">
        <v>0.92152777777777783</v>
      </c>
      <c r="BO107" s="122">
        <f t="shared" si="30"/>
        <v>30</v>
      </c>
      <c r="BP107" s="75">
        <v>2</v>
      </c>
      <c r="BQ107" s="2">
        <f t="shared" ref="BQ107" si="32">COUNT(E107:AH107)/2+COUNT(AK107:BN107)/2</f>
        <v>28</v>
      </c>
      <c r="BR107" s="3">
        <f t="shared" ref="BR107" si="33">COUNTIF(E107:BN107,"OFF")/2</f>
        <v>2</v>
      </c>
      <c r="BS107" s="3">
        <f t="shared" ref="BS107" si="34">COUNTIF(E107:BN107,"MC")/2</f>
        <v>0</v>
      </c>
      <c r="BT107" s="3">
        <f t="shared" ref="BT107" si="35">COUNTIF(E107:BN107,"EL")/2</f>
        <v>0</v>
      </c>
      <c r="BU107" s="3">
        <f t="shared" ref="BU107" si="36">COUNTIF(E107:BN107,"AL")/2</f>
        <v>0</v>
      </c>
      <c r="BV107" s="3">
        <f t="shared" ref="BV107" si="37">COUNTIF(E107:BN107,"SUS")/2</f>
        <v>0</v>
      </c>
      <c r="BW107" s="3">
        <f t="shared" ref="BW107" si="38">COUNTIF(E107:BN107,"FL")/2</f>
        <v>0</v>
      </c>
      <c r="BX107" s="3">
        <f t="shared" ref="BX107" si="39">COUNTIF(E107:BN107,"SICK")/2</f>
        <v>0</v>
      </c>
      <c r="BY107" s="3">
        <f t="shared" ref="BY107" si="40">COUNTIF(E107:BN107,"HD")/2</f>
        <v>0</v>
      </c>
      <c r="BZ107" s="3">
        <f t="shared" ref="BZ107" si="41">COUNTIF(E107:BN107,"AB")/2</f>
        <v>0</v>
      </c>
      <c r="CA107" s="3">
        <f t="shared" ref="CA107" si="42">COUNTIF(E107:BN107,"NL")/2</f>
        <v>0</v>
      </c>
      <c r="CB107" s="3">
        <f t="shared" ref="CB107" si="43">COUNTIF(E107:BN107,"SP")/2</f>
        <v>0</v>
      </c>
      <c r="CC107" s="4"/>
      <c r="CE107" s="153">
        <v>0</v>
      </c>
      <c r="CF107" s="154">
        <v>0</v>
      </c>
      <c r="CG107" s="154">
        <v>0</v>
      </c>
      <c r="CH107" s="154">
        <v>0</v>
      </c>
      <c r="CI107" s="154">
        <v>0</v>
      </c>
      <c r="CJ107" s="154">
        <v>0</v>
      </c>
      <c r="CK107" s="154">
        <v>0</v>
      </c>
      <c r="CL107" s="154">
        <v>0</v>
      </c>
      <c r="CM107" s="154">
        <v>0</v>
      </c>
      <c r="CN107" s="154">
        <v>0</v>
      </c>
      <c r="CO107" s="156">
        <f t="shared" si="31"/>
        <v>0</v>
      </c>
    </row>
    <row r="111" spans="1:93" x14ac:dyDescent="0.25">
      <c r="BP111" s="37" t="s">
        <v>72</v>
      </c>
      <c r="BQ111" s="38"/>
      <c r="BR111" s="38"/>
      <c r="BS111" s="39" t="s">
        <v>16</v>
      </c>
      <c r="BT111" s="40"/>
      <c r="BU111" s="45" t="s">
        <v>73</v>
      </c>
      <c r="BV111" s="46"/>
      <c r="BW111" s="46"/>
      <c r="BX111" s="43"/>
      <c r="BY111" s="44" t="s">
        <v>22</v>
      </c>
    </row>
    <row r="112" spans="1:93" ht="15.75" x14ac:dyDescent="0.25">
      <c r="I112" s="18"/>
      <c r="J112" s="19" t="s">
        <v>62</v>
      </c>
      <c r="K112" s="20"/>
      <c r="L112" s="19"/>
      <c r="M112" s="21"/>
      <c r="P112" s="21"/>
      <c r="Q112" s="22"/>
      <c r="R112" s="23"/>
      <c r="S112" s="23"/>
      <c r="T112" s="24" t="s">
        <v>63</v>
      </c>
      <c r="U112" s="24"/>
      <c r="V112" s="22"/>
      <c r="W112" s="22"/>
      <c r="X112" s="22"/>
      <c r="Y112" s="22"/>
      <c r="Z112" s="22" t="s">
        <v>64</v>
      </c>
      <c r="AA112" s="22"/>
      <c r="AB112" s="22"/>
      <c r="AC112" s="22"/>
      <c r="AD112" s="24" t="s">
        <v>65</v>
      </c>
      <c r="AE112" s="22"/>
      <c r="BP112" s="37" t="s">
        <v>74</v>
      </c>
      <c r="BQ112" s="38"/>
      <c r="BR112" s="38"/>
      <c r="BS112" s="39" t="s">
        <v>17</v>
      </c>
      <c r="BT112" s="40"/>
      <c r="BU112" s="45" t="s">
        <v>75</v>
      </c>
      <c r="BV112" s="46"/>
      <c r="BW112" s="46"/>
      <c r="BX112" s="43"/>
      <c r="BY112" s="44" t="s">
        <v>23</v>
      </c>
    </row>
    <row r="113" spans="9:93" ht="17.25" x14ac:dyDescent="0.25">
      <c r="I113" s="25"/>
      <c r="J113" s="21"/>
      <c r="K113" s="21"/>
      <c r="L113" s="21"/>
      <c r="M113" s="21"/>
      <c r="P113" s="21"/>
      <c r="Q113" s="21"/>
      <c r="R113" s="26"/>
      <c r="S113" s="26"/>
      <c r="T113" s="26"/>
      <c r="U113" s="21"/>
      <c r="V113" s="21"/>
      <c r="W113" s="21"/>
      <c r="X113" s="27"/>
      <c r="Y113" s="27"/>
      <c r="Z113" s="27"/>
      <c r="AA113" s="27"/>
      <c r="AB113" s="27"/>
      <c r="AC113" s="27"/>
      <c r="AD113" s="28"/>
      <c r="AE113" s="28"/>
      <c r="BP113" s="37" t="s">
        <v>76</v>
      </c>
      <c r="BQ113" s="38"/>
      <c r="BR113" s="38"/>
      <c r="BS113" s="39" t="s">
        <v>18</v>
      </c>
      <c r="BT113" s="40"/>
      <c r="BU113" s="41" t="s">
        <v>77</v>
      </c>
      <c r="BV113" s="42"/>
      <c r="BW113" s="42"/>
      <c r="BX113" s="43"/>
      <c r="BY113" s="44" t="s">
        <v>24</v>
      </c>
    </row>
    <row r="114" spans="9:93" ht="17.25" x14ac:dyDescent="0.25">
      <c r="I114" s="25"/>
      <c r="J114" s="29"/>
      <c r="K114" s="21"/>
      <c r="L114" s="29"/>
      <c r="M114" s="21"/>
      <c r="P114" s="21"/>
      <c r="Q114" s="29" t="s">
        <v>64</v>
      </c>
      <c r="R114" s="30"/>
      <c r="S114" s="30"/>
      <c r="T114" s="26"/>
      <c r="U114" s="21"/>
      <c r="V114" s="29"/>
      <c r="W114" s="29"/>
      <c r="X114" s="22"/>
      <c r="Y114" s="21"/>
      <c r="Z114" s="21"/>
      <c r="AA114" s="21"/>
      <c r="AB114" s="21"/>
      <c r="AC114" s="21"/>
      <c r="AD114" s="31"/>
      <c r="AE114" s="31"/>
      <c r="BP114" s="37" t="s">
        <v>78</v>
      </c>
      <c r="BQ114" s="38"/>
      <c r="BR114" s="38"/>
      <c r="BS114" s="39" t="s">
        <v>19</v>
      </c>
      <c r="BT114" s="40"/>
      <c r="BU114" s="41" t="s">
        <v>79</v>
      </c>
      <c r="BV114" s="42"/>
      <c r="BW114" s="42"/>
      <c r="BX114" s="43"/>
      <c r="BY114" s="44" t="s">
        <v>25</v>
      </c>
    </row>
    <row r="115" spans="9:93" ht="17.25" x14ac:dyDescent="0.25">
      <c r="I115" s="32"/>
      <c r="J115" s="29"/>
      <c r="K115" s="21"/>
      <c r="L115" s="29"/>
      <c r="M115" s="21"/>
      <c r="P115" s="21"/>
      <c r="Q115" s="29"/>
      <c r="R115" s="30"/>
      <c r="S115" s="30"/>
      <c r="T115" s="26"/>
      <c r="U115" s="22"/>
      <c r="V115" s="29"/>
      <c r="W115" s="29"/>
      <c r="X115" s="22"/>
      <c r="Y115" s="21"/>
      <c r="Z115" s="21"/>
      <c r="AA115" s="21"/>
      <c r="AB115" s="21"/>
      <c r="AC115" s="21"/>
      <c r="AD115" s="31"/>
      <c r="AE115" s="31"/>
      <c r="BP115" s="37" t="s">
        <v>80</v>
      </c>
      <c r="BQ115" s="38"/>
      <c r="BR115" s="38"/>
      <c r="BS115" s="39" t="s">
        <v>20</v>
      </c>
      <c r="BT115" s="40"/>
      <c r="BU115" s="40"/>
      <c r="BV115" s="40"/>
      <c r="BW115" s="40"/>
      <c r="BX115" s="40"/>
      <c r="BY115" s="40"/>
    </row>
    <row r="116" spans="9:93" ht="17.25" x14ac:dyDescent="0.25">
      <c r="I116" s="33" t="s">
        <v>66</v>
      </c>
      <c r="J116" s="34"/>
      <c r="K116" s="18"/>
      <c r="L116" s="33"/>
      <c r="M116" s="21"/>
      <c r="P116" s="21"/>
      <c r="Q116" s="29"/>
      <c r="R116" s="26"/>
      <c r="S116" s="30"/>
      <c r="T116" s="20" t="s">
        <v>67</v>
      </c>
      <c r="U116" s="21"/>
      <c r="V116" s="29"/>
      <c r="W116" s="22"/>
      <c r="X116" s="21"/>
      <c r="Y116" s="21"/>
      <c r="Z116" s="21"/>
      <c r="AA116" s="21"/>
      <c r="AB116" s="21"/>
      <c r="AC116" s="21"/>
      <c r="AD116" s="20" t="s">
        <v>68</v>
      </c>
      <c r="AE116" s="31"/>
    </row>
    <row r="117" spans="9:93" ht="17.25" x14ac:dyDescent="0.25">
      <c r="I117" s="33"/>
      <c r="J117" s="33" t="s">
        <v>69</v>
      </c>
      <c r="K117" s="32"/>
      <c r="L117" s="32"/>
      <c r="M117" s="21"/>
      <c r="P117" s="21"/>
      <c r="Q117" s="20"/>
      <c r="R117" s="35"/>
      <c r="S117" s="35"/>
      <c r="T117" s="20" t="s">
        <v>70</v>
      </c>
      <c r="U117" s="20"/>
      <c r="V117" s="20"/>
      <c r="W117" s="22"/>
      <c r="X117" s="20"/>
      <c r="Y117" s="21"/>
      <c r="Z117" s="21"/>
      <c r="AA117" s="21"/>
      <c r="AB117" s="21"/>
      <c r="AC117" s="21"/>
      <c r="AD117" s="20" t="s">
        <v>71</v>
      </c>
      <c r="AE117" s="31"/>
      <c r="AJ117" s="73"/>
    </row>
    <row r="118" spans="9:93" x14ac:dyDescent="0.25">
      <c r="AJ118" s="73"/>
    </row>
    <row r="119" spans="9:93" x14ac:dyDescent="0.25">
      <c r="AJ119" s="73"/>
    </row>
    <row r="120" spans="9:93" x14ac:dyDescent="0.25">
      <c r="AJ120" s="73"/>
    </row>
    <row r="123" spans="9:93" ht="15.75" x14ac:dyDescent="0.25">
      <c r="CE123" s="56">
        <v>0</v>
      </c>
      <c r="CF123" s="56">
        <v>0</v>
      </c>
      <c r="CG123" s="56">
        <v>0</v>
      </c>
      <c r="CH123" s="56">
        <v>0</v>
      </c>
      <c r="CI123" s="56">
        <v>0</v>
      </c>
      <c r="CJ123" s="56">
        <v>0</v>
      </c>
      <c r="CK123" s="56">
        <v>0</v>
      </c>
      <c r="CL123" s="56">
        <v>0</v>
      </c>
      <c r="CM123" s="56">
        <v>0</v>
      </c>
      <c r="CN123" s="56">
        <v>0</v>
      </c>
      <c r="CO123" s="58">
        <f>SUM(CE123:CN123)</f>
        <v>0</v>
      </c>
    </row>
    <row r="124" spans="9:93" ht="15.75" x14ac:dyDescent="0.25"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E124" s="56">
        <v>0</v>
      </c>
      <c r="CF124" s="56">
        <v>0</v>
      </c>
      <c r="CG124" s="56">
        <v>60</v>
      </c>
      <c r="CH124" s="56">
        <v>0</v>
      </c>
      <c r="CI124" s="56">
        <v>0</v>
      </c>
      <c r="CJ124" s="56">
        <v>0</v>
      </c>
      <c r="CK124" s="56">
        <v>0</v>
      </c>
      <c r="CL124" s="56">
        <v>0</v>
      </c>
      <c r="CM124" s="56">
        <v>11</v>
      </c>
      <c r="CN124" s="56">
        <v>0</v>
      </c>
      <c r="CO124" s="58">
        <f>SUM(CE124:CN124)</f>
        <v>71</v>
      </c>
    </row>
    <row r="125" spans="9:93" ht="15.75" x14ac:dyDescent="0.25">
      <c r="CE125" s="56">
        <v>0</v>
      </c>
      <c r="CF125" s="56">
        <v>0</v>
      </c>
      <c r="CG125" s="56">
        <v>0</v>
      </c>
      <c r="CH125" s="56">
        <v>0</v>
      </c>
      <c r="CI125" s="56">
        <v>0</v>
      </c>
      <c r="CJ125" s="57">
        <v>7</v>
      </c>
      <c r="CK125" s="57">
        <v>0</v>
      </c>
      <c r="CL125" s="57">
        <v>0</v>
      </c>
      <c r="CM125" s="56">
        <v>0</v>
      </c>
      <c r="CN125" s="56">
        <v>0</v>
      </c>
      <c r="CO125" s="58">
        <f>SUM(CE125:CN125)</f>
        <v>7</v>
      </c>
    </row>
    <row r="128" spans="9:93" ht="15.75" x14ac:dyDescent="0.25">
      <c r="CE128" s="56">
        <v>0</v>
      </c>
      <c r="CF128" s="56">
        <v>0</v>
      </c>
      <c r="CG128" s="56">
        <v>0</v>
      </c>
      <c r="CH128" s="56">
        <v>0</v>
      </c>
      <c r="CI128" s="56">
        <v>0</v>
      </c>
      <c r="CJ128" s="56">
        <v>0</v>
      </c>
      <c r="CK128" s="57">
        <v>0</v>
      </c>
      <c r="CL128" s="57">
        <v>0</v>
      </c>
      <c r="CM128" s="56">
        <v>0</v>
      </c>
      <c r="CN128" s="56">
        <v>0</v>
      </c>
      <c r="CO128" s="58">
        <f t="shared" ref="CO128:CO133" si="44">SUM(CE128:CN128)</f>
        <v>0</v>
      </c>
    </row>
    <row r="129" spans="1:93" ht="15.75" x14ac:dyDescent="0.25">
      <c r="CE129" s="56">
        <v>0</v>
      </c>
      <c r="CF129" s="56">
        <v>0</v>
      </c>
      <c r="CG129" s="56">
        <v>0</v>
      </c>
      <c r="CH129" s="56">
        <v>0</v>
      </c>
      <c r="CI129" s="56">
        <v>0</v>
      </c>
      <c r="CJ129" s="56">
        <v>1</v>
      </c>
      <c r="CK129" s="56">
        <v>0</v>
      </c>
      <c r="CL129" s="56">
        <v>0</v>
      </c>
      <c r="CM129" s="56">
        <v>0</v>
      </c>
      <c r="CN129" s="56">
        <v>0</v>
      </c>
      <c r="CO129" s="58">
        <f t="shared" si="44"/>
        <v>1</v>
      </c>
    </row>
    <row r="130" spans="1:93" ht="15.75" x14ac:dyDescent="0.25">
      <c r="CE130" s="56">
        <v>0</v>
      </c>
      <c r="CF130" s="56">
        <v>0</v>
      </c>
      <c r="CG130" s="56">
        <v>0</v>
      </c>
      <c r="CH130" s="56">
        <v>0</v>
      </c>
      <c r="CI130" s="56">
        <v>1</v>
      </c>
      <c r="CJ130" s="57">
        <v>7</v>
      </c>
      <c r="CK130" s="57">
        <v>1</v>
      </c>
      <c r="CL130" s="56">
        <v>0</v>
      </c>
      <c r="CM130" s="56">
        <v>0</v>
      </c>
      <c r="CN130" s="56">
        <v>0</v>
      </c>
      <c r="CO130" s="58">
        <f t="shared" si="44"/>
        <v>9</v>
      </c>
    </row>
    <row r="131" spans="1:93" ht="15.75" x14ac:dyDescent="0.25">
      <c r="CE131" s="56">
        <v>0</v>
      </c>
      <c r="CF131" s="56">
        <v>0</v>
      </c>
      <c r="CG131" s="56">
        <v>0</v>
      </c>
      <c r="CH131" s="56">
        <v>0</v>
      </c>
      <c r="CI131" s="56">
        <v>0</v>
      </c>
      <c r="CJ131" s="57">
        <v>1</v>
      </c>
      <c r="CK131" s="56">
        <v>0</v>
      </c>
      <c r="CL131" s="56">
        <v>0</v>
      </c>
      <c r="CM131" s="56">
        <v>0</v>
      </c>
      <c r="CN131" s="56">
        <v>0</v>
      </c>
      <c r="CO131" s="58">
        <f t="shared" si="44"/>
        <v>1</v>
      </c>
    </row>
    <row r="132" spans="1:93" ht="24.75" customHeight="1" x14ac:dyDescent="0.25"/>
    <row r="133" spans="1:93" ht="15.75" x14ac:dyDescent="0.25">
      <c r="AH133" s="146">
        <v>0.94930555555555551</v>
      </c>
      <c r="AI133" s="136"/>
      <c r="CE133" s="56">
        <v>0</v>
      </c>
      <c r="CF133" s="56">
        <v>0</v>
      </c>
      <c r="CG133" s="56">
        <v>0</v>
      </c>
      <c r="CH133" s="56">
        <v>0</v>
      </c>
      <c r="CI133" s="56">
        <v>0</v>
      </c>
      <c r="CJ133" s="56">
        <v>0</v>
      </c>
      <c r="CK133" s="56">
        <v>0</v>
      </c>
      <c r="CL133" s="56">
        <v>0</v>
      </c>
      <c r="CM133" s="56">
        <v>0</v>
      </c>
      <c r="CN133" s="56">
        <v>0</v>
      </c>
      <c r="CO133" s="58">
        <f t="shared" si="44"/>
        <v>0</v>
      </c>
    </row>
    <row r="137" spans="1:93" ht="21.75" customHeight="1" x14ac:dyDescent="0.25">
      <c r="A137" s="47">
        <v>37</v>
      </c>
      <c r="B137" s="13" t="s">
        <v>101</v>
      </c>
      <c r="C137" s="88" t="s">
        <v>102</v>
      </c>
      <c r="D137" s="88"/>
      <c r="E137" s="71">
        <v>0.37222222222222223</v>
      </c>
      <c r="F137" s="71">
        <v>5.9722222222222225E-2</v>
      </c>
      <c r="G137" s="71">
        <v>0.37222222222222223</v>
      </c>
      <c r="H137" s="71">
        <v>4.3750000000000004E-2</v>
      </c>
      <c r="I137" s="71">
        <v>0.37152777777777773</v>
      </c>
      <c r="J137" s="71">
        <v>4.4444444444444446E-2</v>
      </c>
      <c r="K137" s="71">
        <v>0.37222222222222223</v>
      </c>
      <c r="L137" s="71">
        <v>0.85138888888888886</v>
      </c>
      <c r="M137" s="71">
        <v>0.37291666666666662</v>
      </c>
      <c r="N137" s="71">
        <v>3.3333333333333333E-2</v>
      </c>
      <c r="O137" s="72">
        <v>0.5756944444444444</v>
      </c>
      <c r="P137" s="72">
        <v>3.4722222222222224E-2</v>
      </c>
      <c r="Q137" s="71">
        <v>0.37291666666666662</v>
      </c>
      <c r="R137" s="71">
        <v>4.0972222222222222E-2</v>
      </c>
      <c r="S137" s="71">
        <v>0.37361111111111112</v>
      </c>
      <c r="T137" s="71">
        <v>4.6527777777777779E-2</v>
      </c>
      <c r="U137" s="71">
        <v>0.37222222222222223</v>
      </c>
      <c r="V137" s="71">
        <v>0.84930555555555554</v>
      </c>
      <c r="W137" s="71">
        <v>0.37152777777777773</v>
      </c>
      <c r="X137" s="71">
        <v>3.3333333333333333E-2</v>
      </c>
      <c r="Y137" s="71">
        <v>0.37222222222222223</v>
      </c>
      <c r="Z137" s="71">
        <v>3.125E-2</v>
      </c>
      <c r="AA137" s="71">
        <v>0.37291666666666662</v>
      </c>
      <c r="AB137" s="71">
        <v>0.99097222222222225</v>
      </c>
      <c r="AC137" s="72">
        <v>0.5756944444444444</v>
      </c>
      <c r="AD137" s="72">
        <v>4.6527777777777779E-2</v>
      </c>
      <c r="AE137" s="71">
        <v>0.37222222222222223</v>
      </c>
      <c r="AF137" s="76">
        <v>1</v>
      </c>
      <c r="AG137" s="71">
        <v>0.37291666666666662</v>
      </c>
      <c r="AH137" s="83">
        <v>3.6805555555555557E-2</v>
      </c>
      <c r="AI137" s="143"/>
      <c r="AJ137" s="151"/>
      <c r="AK137" s="71">
        <v>0.37152777777777773</v>
      </c>
      <c r="AL137" s="71">
        <v>5.2083333333333336E-2</v>
      </c>
      <c r="AM137" s="71">
        <v>0.37152777777777773</v>
      </c>
      <c r="AN137" s="71">
        <v>5.5555555555555552E-2</v>
      </c>
      <c r="AO137" s="71">
        <v>0.37222222222222223</v>
      </c>
      <c r="AP137" s="71">
        <v>4.7222222222222221E-2</v>
      </c>
      <c r="AQ137" s="71">
        <v>0.3756944444444445</v>
      </c>
      <c r="AR137" s="71">
        <v>0.98611111111111116</v>
      </c>
      <c r="AS137" s="86" t="s">
        <v>15</v>
      </c>
      <c r="AT137" s="95" t="s">
        <v>15</v>
      </c>
      <c r="AU137" s="82">
        <v>0.34861111111111115</v>
      </c>
      <c r="AV137" s="84">
        <v>1</v>
      </c>
      <c r="AW137" s="82">
        <v>0.35069444444444442</v>
      </c>
      <c r="AX137" s="82">
        <v>0.93958333333333333</v>
      </c>
      <c r="AY137" s="82">
        <v>0.35069444444444442</v>
      </c>
      <c r="AZ137" s="82">
        <v>0.9868055555555556</v>
      </c>
      <c r="BA137" s="82">
        <v>0.35069444444444442</v>
      </c>
      <c r="BB137" s="82">
        <v>0.96180555555555547</v>
      </c>
      <c r="BC137" s="82">
        <v>0.3520833333333333</v>
      </c>
      <c r="BD137" s="82">
        <v>0.97222222222222221</v>
      </c>
      <c r="BE137" s="82">
        <v>0.34930555555555554</v>
      </c>
      <c r="BF137" s="82">
        <v>0.9472222222222223</v>
      </c>
      <c r="BG137" s="85">
        <v>0.57777777777777783</v>
      </c>
      <c r="BH137" s="96">
        <v>0.88124999999999998</v>
      </c>
      <c r="BI137" s="71">
        <v>0.35000000000000003</v>
      </c>
      <c r="BJ137" s="71">
        <v>0.93402777777777779</v>
      </c>
      <c r="BK137" s="71">
        <v>0.34930555555555554</v>
      </c>
      <c r="BL137" s="71">
        <v>0.92291666666666661</v>
      </c>
      <c r="BM137" s="87"/>
      <c r="BN137" s="87"/>
      <c r="BO137" s="11"/>
      <c r="BP137" s="75">
        <v>3</v>
      </c>
      <c r="BQ137" s="2">
        <f>COUNT(E137:AD137)/2+COUNT(AG137:BN137)/2</f>
        <v>27</v>
      </c>
      <c r="BR137" s="3">
        <f t="shared" ref="BR137:BR146" si="45">COUNTIF(E137:BN137,"OFF")/2</f>
        <v>1</v>
      </c>
      <c r="BS137" s="3">
        <f t="shared" ref="BS137:BS146" si="46">COUNTIF(E137:BN137,"MC")/2</f>
        <v>0</v>
      </c>
      <c r="BT137" s="3">
        <f t="shared" ref="BT137:BT146" si="47">COUNTIF(E137:BN137,"EL")/2</f>
        <v>0</v>
      </c>
      <c r="BU137" s="3">
        <f t="shared" ref="BU137:BU146" si="48">COUNTIF(E137:BN137,"AL")/2</f>
        <v>0</v>
      </c>
      <c r="BV137" s="3">
        <f t="shared" ref="BV137:BV146" si="49">COUNTIF(E137:BN137,"SUS")/2</f>
        <v>0</v>
      </c>
      <c r="BW137" s="3">
        <f t="shared" ref="BW137:BW146" si="50">COUNTIF(E137:BN137,"FL")/2</f>
        <v>0</v>
      </c>
      <c r="BX137" s="3">
        <f t="shared" ref="BX137:BX146" si="51">COUNTIF(E137:BN137,"SICK")/2</f>
        <v>0</v>
      </c>
      <c r="BY137" s="3">
        <f t="shared" ref="BY137:BY146" si="52">COUNTIF(E137:BN137,"HD")/2</f>
        <v>0</v>
      </c>
      <c r="BZ137" s="3">
        <f t="shared" ref="BZ137:BZ146" si="53">COUNTIF(E137:BN137,"AB")/2</f>
        <v>0</v>
      </c>
      <c r="CA137" s="3">
        <f t="shared" ref="CA137:CA146" si="54">COUNTIF(E137:BN137,"NL")/2</f>
        <v>0</v>
      </c>
      <c r="CB137" s="3">
        <f t="shared" ref="CB137:CB146" si="55">COUNTIF(E137:BN137,"SP")/2</f>
        <v>0</v>
      </c>
      <c r="CC137" s="4"/>
    </row>
    <row r="138" spans="1:93" ht="21" customHeight="1" x14ac:dyDescent="0.25">
      <c r="A138" s="12">
        <v>9</v>
      </c>
      <c r="B138" s="13" t="s">
        <v>42</v>
      </c>
      <c r="C138" s="88" t="s">
        <v>43</v>
      </c>
      <c r="D138" s="100">
        <v>45381</v>
      </c>
      <c r="E138" s="109">
        <v>0.56111111111111112</v>
      </c>
      <c r="F138" s="109">
        <v>0.97638888888888886</v>
      </c>
      <c r="G138" s="82">
        <v>0.33402777777777781</v>
      </c>
      <c r="H138" s="84">
        <v>1</v>
      </c>
      <c r="I138" s="82">
        <v>0.3298611111111111</v>
      </c>
      <c r="J138" s="84">
        <v>1</v>
      </c>
      <c r="K138" s="82">
        <v>0.3347222222222222</v>
      </c>
      <c r="L138" s="82">
        <v>0.96527777777777779</v>
      </c>
      <c r="M138" s="82">
        <v>0.34583333333333338</v>
      </c>
      <c r="N138" s="82">
        <v>0.94236111111111109</v>
      </c>
      <c r="O138" s="82">
        <v>0.33958333333333335</v>
      </c>
      <c r="P138" s="82">
        <v>0.97291666666666676</v>
      </c>
      <c r="Q138" s="82">
        <v>0.32569444444444445</v>
      </c>
      <c r="R138" s="82">
        <v>0.95277777777777783</v>
      </c>
      <c r="S138" s="82"/>
      <c r="T138" s="82"/>
      <c r="U138" s="82"/>
      <c r="V138" s="82"/>
      <c r="W138" s="82"/>
      <c r="X138" s="82"/>
      <c r="Y138" s="104"/>
      <c r="Z138" s="105"/>
      <c r="AA138" s="104"/>
      <c r="AB138" s="105"/>
      <c r="AC138" s="104"/>
      <c r="AD138" s="105"/>
      <c r="AE138" s="104"/>
      <c r="AF138" s="104"/>
      <c r="AG138" s="104"/>
      <c r="AH138" s="147"/>
      <c r="AI138" s="144"/>
      <c r="AJ138" s="138">
        <v>9</v>
      </c>
      <c r="AK138" s="104"/>
      <c r="AL138" s="105"/>
      <c r="AM138" s="106"/>
      <c r="AN138" s="106"/>
      <c r="AO138" s="104"/>
      <c r="AP138" s="104"/>
      <c r="AQ138" s="104"/>
      <c r="AR138" s="105"/>
      <c r="AS138" s="104"/>
      <c r="AT138" s="104"/>
      <c r="AU138" s="104"/>
      <c r="AV138" s="104"/>
      <c r="AW138" s="104"/>
      <c r="AX138" s="104"/>
      <c r="AY138" s="104"/>
      <c r="AZ138" s="105"/>
      <c r="BA138" s="107"/>
      <c r="BB138" s="107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1">
        <f t="shared" ref="BO138:BO146" si="56">BQ138+BR138+BT138+BU138+BY138+BW138+BX138+CB138</f>
        <v>7</v>
      </c>
      <c r="BP138" s="75"/>
      <c r="BQ138" s="2">
        <f>COUNT(E138:AH138)/2+COUNT(AK138:BN138)/2</f>
        <v>7</v>
      </c>
      <c r="BR138" s="3">
        <f t="shared" si="45"/>
        <v>0</v>
      </c>
      <c r="BS138" s="3">
        <f t="shared" si="46"/>
        <v>0</v>
      </c>
      <c r="BT138" s="3">
        <f t="shared" si="47"/>
        <v>0</v>
      </c>
      <c r="BU138" s="3">
        <f t="shared" si="48"/>
        <v>0</v>
      </c>
      <c r="BV138" s="3">
        <f t="shared" si="49"/>
        <v>0</v>
      </c>
      <c r="BW138" s="3">
        <f t="shared" si="50"/>
        <v>0</v>
      </c>
      <c r="BX138" s="3">
        <f t="shared" si="51"/>
        <v>0</v>
      </c>
      <c r="BY138" s="3">
        <f t="shared" si="52"/>
        <v>0</v>
      </c>
      <c r="BZ138" s="3">
        <f t="shared" si="53"/>
        <v>0</v>
      </c>
      <c r="CA138" s="3">
        <f t="shared" si="54"/>
        <v>0</v>
      </c>
      <c r="CB138" s="3">
        <f t="shared" si="55"/>
        <v>0</v>
      </c>
      <c r="CC138" s="78"/>
    </row>
    <row r="139" spans="1:93" ht="21" customHeight="1" x14ac:dyDescent="0.25">
      <c r="A139" s="12">
        <v>14</v>
      </c>
      <c r="B139" s="13" t="s">
        <v>51</v>
      </c>
      <c r="C139" s="88" t="s">
        <v>52</v>
      </c>
      <c r="D139" s="98">
        <v>37469</v>
      </c>
      <c r="E139" s="107" t="s">
        <v>15</v>
      </c>
      <c r="F139" s="107" t="s">
        <v>15</v>
      </c>
      <c r="G139" s="82">
        <v>0.35347222222222219</v>
      </c>
      <c r="H139" s="82">
        <v>0.96875</v>
      </c>
      <c r="I139" s="82">
        <v>0.3527777777777778</v>
      </c>
      <c r="J139" s="82">
        <v>0.93125000000000002</v>
      </c>
      <c r="K139" s="82">
        <v>0.35486111111111113</v>
      </c>
      <c r="L139" s="82">
        <v>0.95972222222222225</v>
      </c>
      <c r="M139" s="82">
        <v>0.3527777777777778</v>
      </c>
      <c r="N139" s="82">
        <v>0.93402777777777779</v>
      </c>
      <c r="O139" s="82">
        <v>0.3527777777777778</v>
      </c>
      <c r="P139" s="82">
        <v>0.96805555555555556</v>
      </c>
      <c r="Q139" s="82">
        <v>0.3520833333333333</v>
      </c>
      <c r="R139" s="82">
        <v>0.98263888888888884</v>
      </c>
      <c r="S139" s="82">
        <v>0.58194444444444449</v>
      </c>
      <c r="T139" s="82">
        <v>0.92152777777777783</v>
      </c>
      <c r="U139" s="82">
        <v>0.3520833333333333</v>
      </c>
      <c r="V139" s="82">
        <v>0.94374999999999998</v>
      </c>
      <c r="W139" s="82">
        <v>0.3527777777777778</v>
      </c>
      <c r="X139" s="84">
        <v>1</v>
      </c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48"/>
      <c r="AI139" s="134"/>
      <c r="AJ139" s="138">
        <v>14</v>
      </c>
      <c r="AK139" s="104"/>
      <c r="AL139" s="104"/>
      <c r="AM139" s="107"/>
      <c r="AN139" s="107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6"/>
      <c r="BB139" s="106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1">
        <f t="shared" si="56"/>
        <v>10</v>
      </c>
      <c r="BP139" s="75"/>
      <c r="BQ139" s="2">
        <f>COUNT(E139:AH139)/2+COUNT(AK139:BN139)/2</f>
        <v>9</v>
      </c>
      <c r="BR139" s="3">
        <f t="shared" si="45"/>
        <v>1</v>
      </c>
      <c r="BS139" s="3">
        <f t="shared" si="46"/>
        <v>0</v>
      </c>
      <c r="BT139" s="3">
        <f t="shared" si="47"/>
        <v>0</v>
      </c>
      <c r="BU139" s="3">
        <f t="shared" si="48"/>
        <v>0</v>
      </c>
      <c r="BV139" s="3">
        <f t="shared" si="49"/>
        <v>0</v>
      </c>
      <c r="BW139" s="3">
        <f t="shared" si="50"/>
        <v>0</v>
      </c>
      <c r="BX139" s="3">
        <f t="shared" si="51"/>
        <v>0</v>
      </c>
      <c r="BY139" s="3">
        <f t="shared" si="52"/>
        <v>0</v>
      </c>
      <c r="BZ139" s="3">
        <f t="shared" si="53"/>
        <v>0</v>
      </c>
      <c r="CA139" s="3">
        <f t="shared" si="54"/>
        <v>0</v>
      </c>
      <c r="CB139" s="3">
        <f t="shared" si="55"/>
        <v>0</v>
      </c>
      <c r="CC139" s="78"/>
      <c r="CE139" s="56">
        <v>0</v>
      </c>
      <c r="CF139" s="56">
        <v>0</v>
      </c>
      <c r="CG139" s="56">
        <v>7</v>
      </c>
      <c r="CH139" s="56">
        <v>0</v>
      </c>
      <c r="CI139" s="56">
        <v>0</v>
      </c>
      <c r="CJ139" s="56">
        <v>0</v>
      </c>
      <c r="CK139" s="57">
        <v>0</v>
      </c>
      <c r="CL139" s="57">
        <v>0</v>
      </c>
      <c r="CM139" s="56">
        <v>0</v>
      </c>
      <c r="CN139" s="56">
        <v>0</v>
      </c>
      <c r="CO139" s="58">
        <f>SUM(CE139:CN139)</f>
        <v>7</v>
      </c>
    </row>
    <row r="140" spans="1:93" ht="21.75" customHeight="1" x14ac:dyDescent="0.25">
      <c r="A140" s="47">
        <v>42</v>
      </c>
      <c r="B140" s="13" t="s">
        <v>117</v>
      </c>
      <c r="C140" s="88" t="s">
        <v>237</v>
      </c>
      <c r="D140" s="100">
        <v>45330</v>
      </c>
      <c r="E140" s="107" t="s">
        <v>15</v>
      </c>
      <c r="F140" s="107" t="s">
        <v>15</v>
      </c>
      <c r="G140" s="82">
        <v>0.35416666666666669</v>
      </c>
      <c r="H140" s="82">
        <v>0.96736111111111101</v>
      </c>
      <c r="I140" s="82">
        <v>0.3527777777777778</v>
      </c>
      <c r="J140" s="82">
        <v>0.9291666666666667</v>
      </c>
      <c r="K140" s="82">
        <v>0.35972222222222222</v>
      </c>
      <c r="L140" s="82">
        <v>0.9604166666666667</v>
      </c>
      <c r="M140" s="82">
        <v>0.35625000000000001</v>
      </c>
      <c r="N140" s="82">
        <v>0.94513888888888886</v>
      </c>
      <c r="O140" s="82">
        <v>0.3527777777777778</v>
      </c>
      <c r="P140" s="82">
        <v>0.96527777777777779</v>
      </c>
      <c r="Q140" s="82">
        <v>0.35000000000000003</v>
      </c>
      <c r="R140" s="82">
        <v>0.96944444444444444</v>
      </c>
      <c r="S140" s="82">
        <v>0.5805555555555556</v>
      </c>
      <c r="T140" s="82">
        <v>0.93194444444444446</v>
      </c>
      <c r="U140" s="82">
        <v>0.34930555555555554</v>
      </c>
      <c r="V140" s="82">
        <v>0.94027777777777777</v>
      </c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145"/>
      <c r="AI140" s="134"/>
      <c r="AJ140" s="150">
        <v>42</v>
      </c>
      <c r="AK140" s="82"/>
      <c r="AL140" s="82"/>
      <c r="AM140" s="84"/>
      <c r="AN140" s="84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11">
        <f t="shared" si="56"/>
        <v>9</v>
      </c>
      <c r="BP140" s="75"/>
      <c r="BQ140" s="2">
        <f>COUNT(E140:AH140)/2+COUNT(AK140:BN140)/2</f>
        <v>8</v>
      </c>
      <c r="BR140" s="3">
        <f t="shared" si="45"/>
        <v>1</v>
      </c>
      <c r="BS140" s="3">
        <f t="shared" si="46"/>
        <v>0</v>
      </c>
      <c r="BT140" s="3">
        <f t="shared" si="47"/>
        <v>0</v>
      </c>
      <c r="BU140" s="3">
        <f t="shared" si="48"/>
        <v>0</v>
      </c>
      <c r="BV140" s="3">
        <f t="shared" si="49"/>
        <v>0</v>
      </c>
      <c r="BW140" s="3">
        <f t="shared" si="50"/>
        <v>0</v>
      </c>
      <c r="BX140" s="3">
        <f t="shared" si="51"/>
        <v>0</v>
      </c>
      <c r="BY140" s="3">
        <f t="shared" si="52"/>
        <v>0</v>
      </c>
      <c r="BZ140" s="3">
        <f t="shared" si="53"/>
        <v>0</v>
      </c>
      <c r="CA140" s="3">
        <f t="shared" si="54"/>
        <v>0</v>
      </c>
      <c r="CB140" s="3">
        <f t="shared" si="55"/>
        <v>0</v>
      </c>
      <c r="CC140" s="4"/>
      <c r="CE140" s="56">
        <v>0</v>
      </c>
      <c r="CF140" s="56">
        <v>0</v>
      </c>
      <c r="CG140" s="56">
        <v>0</v>
      </c>
      <c r="CH140" s="56">
        <v>0</v>
      </c>
      <c r="CI140" s="56">
        <v>0</v>
      </c>
      <c r="CJ140" s="56">
        <v>0</v>
      </c>
      <c r="CK140" s="57">
        <v>0</v>
      </c>
      <c r="CL140" s="57">
        <v>0</v>
      </c>
      <c r="CM140" s="56">
        <v>0</v>
      </c>
      <c r="CN140" s="56">
        <v>0</v>
      </c>
      <c r="CO140" s="58">
        <f>SUM(CE140:CN140)</f>
        <v>0</v>
      </c>
    </row>
    <row r="141" spans="1:93" ht="21.75" customHeight="1" x14ac:dyDescent="0.25">
      <c r="A141" s="47">
        <v>33</v>
      </c>
      <c r="B141" s="13" t="s">
        <v>99</v>
      </c>
      <c r="C141" s="88" t="s">
        <v>100</v>
      </c>
      <c r="D141" s="100">
        <v>44485</v>
      </c>
      <c r="E141" s="107" t="s">
        <v>15</v>
      </c>
      <c r="F141" s="107" t="s">
        <v>15</v>
      </c>
      <c r="G141" s="82">
        <v>0.3520833333333333</v>
      </c>
      <c r="H141" s="82">
        <v>0.95833333333333337</v>
      </c>
      <c r="I141" s="82">
        <v>0.3520833333333333</v>
      </c>
      <c r="J141" s="82">
        <v>0.93958333333333333</v>
      </c>
      <c r="K141" s="82">
        <v>0.35486111111111113</v>
      </c>
      <c r="L141" s="82">
        <v>0.95624999999999993</v>
      </c>
      <c r="M141" s="82">
        <v>0.35694444444444445</v>
      </c>
      <c r="N141" s="82">
        <v>0.94166666666666676</v>
      </c>
      <c r="O141" s="82">
        <v>0.36319444444444443</v>
      </c>
      <c r="P141" s="82">
        <v>0.95972222222222225</v>
      </c>
      <c r="Q141" s="82">
        <v>0.35347222222222219</v>
      </c>
      <c r="R141" s="82">
        <v>0.98541666666666661</v>
      </c>
      <c r="S141" s="109">
        <v>0.58402777777777781</v>
      </c>
      <c r="T141" s="109">
        <v>0.94444444444444453</v>
      </c>
      <c r="U141" s="82">
        <v>0.3520833333333333</v>
      </c>
      <c r="V141" s="82">
        <v>0.9555555555555556</v>
      </c>
      <c r="W141" s="82">
        <v>0.35416666666666669</v>
      </c>
      <c r="X141" s="82">
        <v>0.94374999999999998</v>
      </c>
      <c r="Y141" s="82">
        <v>0.3527777777777778</v>
      </c>
      <c r="Z141" s="82">
        <v>0.94166666666666676</v>
      </c>
      <c r="AA141" s="82">
        <v>0.35625000000000001</v>
      </c>
      <c r="AB141" s="82">
        <v>0.93958333333333333</v>
      </c>
      <c r="AC141" s="82">
        <v>0.3527777777777778</v>
      </c>
      <c r="AD141" s="82">
        <v>0.93888888888888899</v>
      </c>
      <c r="AE141" s="82">
        <v>0.35069444444444442</v>
      </c>
      <c r="AF141" s="82">
        <v>0.96180555555555547</v>
      </c>
      <c r="AG141" s="82">
        <v>0.58263888888888882</v>
      </c>
      <c r="AH141" s="145">
        <v>0.94027777777777777</v>
      </c>
      <c r="AI141" s="134"/>
      <c r="AJ141" s="150">
        <v>33</v>
      </c>
      <c r="AK141" s="84">
        <v>1</v>
      </c>
      <c r="AL141" s="84">
        <v>1</v>
      </c>
      <c r="AM141" s="84">
        <v>1</v>
      </c>
      <c r="AN141" s="84">
        <v>1</v>
      </c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11">
        <f t="shared" si="56"/>
        <v>17</v>
      </c>
      <c r="BP141" s="75"/>
      <c r="BQ141" s="2">
        <f>COUNT(E141:AH141)/2+COUNT(AK141:BN141)/2</f>
        <v>16</v>
      </c>
      <c r="BR141" s="3">
        <f t="shared" si="45"/>
        <v>1</v>
      </c>
      <c r="BS141" s="3">
        <f t="shared" si="46"/>
        <v>0</v>
      </c>
      <c r="BT141" s="3">
        <f t="shared" si="47"/>
        <v>0</v>
      </c>
      <c r="BU141" s="3">
        <f t="shared" si="48"/>
        <v>0</v>
      </c>
      <c r="BV141" s="3">
        <f t="shared" si="49"/>
        <v>0</v>
      </c>
      <c r="BW141" s="3">
        <f t="shared" si="50"/>
        <v>0</v>
      </c>
      <c r="BX141" s="3">
        <f t="shared" si="51"/>
        <v>0</v>
      </c>
      <c r="BY141" s="3">
        <f t="shared" si="52"/>
        <v>0</v>
      </c>
      <c r="BZ141" s="3">
        <f t="shared" si="53"/>
        <v>0</v>
      </c>
      <c r="CA141" s="3">
        <f t="shared" si="54"/>
        <v>0</v>
      </c>
      <c r="CB141" s="3">
        <f t="shared" si="55"/>
        <v>0</v>
      </c>
      <c r="CC141" s="4"/>
      <c r="CE141" s="56">
        <v>0</v>
      </c>
      <c r="CF141" s="56">
        <v>0</v>
      </c>
      <c r="CG141" s="56">
        <v>0</v>
      </c>
      <c r="CH141" s="56">
        <v>0</v>
      </c>
      <c r="CI141" s="56">
        <v>0</v>
      </c>
      <c r="CJ141" s="56">
        <v>0</v>
      </c>
      <c r="CK141" s="57">
        <v>0</v>
      </c>
      <c r="CL141" s="57">
        <v>0</v>
      </c>
      <c r="CM141" s="56">
        <v>0</v>
      </c>
      <c r="CN141" s="56">
        <v>0</v>
      </c>
      <c r="CO141" s="58">
        <f>SUM(CE141:CN141)</f>
        <v>0</v>
      </c>
    </row>
    <row r="142" spans="1:93" ht="21.75" customHeight="1" x14ac:dyDescent="0.25">
      <c r="A142" s="47">
        <v>39</v>
      </c>
      <c r="B142" s="13" t="s">
        <v>112</v>
      </c>
      <c r="C142" s="88" t="s">
        <v>186</v>
      </c>
      <c r="D142" s="100">
        <v>45148</v>
      </c>
      <c r="E142" s="107" t="s">
        <v>15</v>
      </c>
      <c r="F142" s="107" t="s">
        <v>15</v>
      </c>
      <c r="G142" s="82">
        <v>0.35486111111111113</v>
      </c>
      <c r="H142" s="82">
        <v>0.92291666666666661</v>
      </c>
      <c r="I142" s="82">
        <v>0.3576388888888889</v>
      </c>
      <c r="J142" s="82">
        <v>0.91249999999999998</v>
      </c>
      <c r="K142" s="82">
        <v>0.35555555555555557</v>
      </c>
      <c r="L142" s="82">
        <v>0.92986111111111114</v>
      </c>
      <c r="M142" s="82">
        <v>0.35694444444444445</v>
      </c>
      <c r="N142" s="84">
        <v>1</v>
      </c>
      <c r="O142" s="82">
        <v>0.35138888888888892</v>
      </c>
      <c r="P142" s="82">
        <v>0.94652777777777775</v>
      </c>
      <c r="Q142" s="82">
        <v>0.3527777777777778</v>
      </c>
      <c r="R142" s="82">
        <v>0.93888888888888899</v>
      </c>
      <c r="S142" s="109">
        <v>0.58124999999999993</v>
      </c>
      <c r="T142" s="109">
        <v>0.90069444444444446</v>
      </c>
      <c r="U142" s="82">
        <v>0.3520833333333333</v>
      </c>
      <c r="V142" s="82">
        <v>0.9277777777777777</v>
      </c>
      <c r="W142" s="82">
        <v>0.35069444444444442</v>
      </c>
      <c r="X142" s="82">
        <v>0.94444444444444453</v>
      </c>
      <c r="Y142" s="82">
        <v>0.35347222222222219</v>
      </c>
      <c r="Z142" s="82">
        <v>0.93402777777777779</v>
      </c>
      <c r="AA142" s="82">
        <v>0.35347222222222219</v>
      </c>
      <c r="AB142" s="84">
        <v>1</v>
      </c>
      <c r="AC142" s="82">
        <v>0.34861111111111115</v>
      </c>
      <c r="AD142" s="84">
        <v>1</v>
      </c>
      <c r="AE142" s="82">
        <v>0.35972222222222222</v>
      </c>
      <c r="AF142" s="84">
        <v>1</v>
      </c>
      <c r="AG142" s="107" t="s">
        <v>15</v>
      </c>
      <c r="AH142" s="125" t="s">
        <v>15</v>
      </c>
      <c r="AI142" s="152"/>
      <c r="AJ142" s="150">
        <v>39</v>
      </c>
      <c r="AK142" s="82"/>
      <c r="AL142" s="82"/>
      <c r="AM142" s="84"/>
      <c r="AN142" s="84"/>
      <c r="AO142" s="82"/>
      <c r="AP142" s="82"/>
      <c r="AQ142" s="82"/>
      <c r="AR142" s="82"/>
      <c r="AS142" s="82"/>
      <c r="AT142" s="84"/>
      <c r="AU142" s="82"/>
      <c r="AV142" s="84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11">
        <f t="shared" si="56"/>
        <v>15</v>
      </c>
      <c r="BP142" s="75"/>
      <c r="BQ142" s="2">
        <f>COUNT(E142:AF142)/2+COUNT(AK142:BN142)/2</f>
        <v>13</v>
      </c>
      <c r="BR142" s="3">
        <f t="shared" si="45"/>
        <v>2</v>
      </c>
      <c r="BS142" s="3">
        <f t="shared" si="46"/>
        <v>0</v>
      </c>
      <c r="BT142" s="3">
        <f t="shared" si="47"/>
        <v>0</v>
      </c>
      <c r="BU142" s="3">
        <f t="shared" si="48"/>
        <v>0</v>
      </c>
      <c r="BV142" s="3">
        <f t="shared" si="49"/>
        <v>0</v>
      </c>
      <c r="BW142" s="3">
        <f t="shared" si="50"/>
        <v>0</v>
      </c>
      <c r="BX142" s="3">
        <f t="shared" si="51"/>
        <v>0</v>
      </c>
      <c r="BY142" s="3">
        <f t="shared" si="52"/>
        <v>0</v>
      </c>
      <c r="BZ142" s="3">
        <f t="shared" si="53"/>
        <v>0</v>
      </c>
      <c r="CA142" s="3">
        <f t="shared" si="54"/>
        <v>0</v>
      </c>
      <c r="CB142" s="3">
        <f t="shared" si="55"/>
        <v>0</v>
      </c>
      <c r="CC142" s="4"/>
      <c r="CE142" s="56">
        <v>0</v>
      </c>
      <c r="CF142" s="56">
        <v>0</v>
      </c>
      <c r="CG142" s="56">
        <v>0</v>
      </c>
      <c r="CH142" s="56">
        <v>0</v>
      </c>
      <c r="CI142" s="56">
        <v>0</v>
      </c>
      <c r="CJ142" s="57">
        <v>4</v>
      </c>
      <c r="CK142" s="57">
        <v>1</v>
      </c>
      <c r="CL142" s="56">
        <v>0</v>
      </c>
      <c r="CM142" s="56">
        <v>0</v>
      </c>
      <c r="CN142" s="56">
        <v>0</v>
      </c>
      <c r="CO142" s="58">
        <f>SUM(CE142:CN142)</f>
        <v>5</v>
      </c>
    </row>
    <row r="143" spans="1:93" ht="21.75" customHeight="1" x14ac:dyDescent="0.25">
      <c r="A143" s="47">
        <v>41</v>
      </c>
      <c r="B143" s="13" t="s">
        <v>115</v>
      </c>
      <c r="C143" s="88" t="s">
        <v>116</v>
      </c>
      <c r="D143" s="100">
        <v>45330</v>
      </c>
      <c r="E143" s="109">
        <v>0.32708333333333334</v>
      </c>
      <c r="F143" s="109">
        <v>0.97152777777777777</v>
      </c>
      <c r="G143" s="82">
        <v>0.35902777777777778</v>
      </c>
      <c r="H143" s="82">
        <v>0.94861111111111107</v>
      </c>
      <c r="I143" s="82">
        <v>0.33611111111111108</v>
      </c>
      <c r="J143" s="82">
        <v>0.95416666666666661</v>
      </c>
      <c r="K143" s="82">
        <v>0.35555555555555557</v>
      </c>
      <c r="L143" s="82">
        <v>0.94791666666666663</v>
      </c>
      <c r="M143" s="84">
        <v>1</v>
      </c>
      <c r="N143" s="84">
        <v>1</v>
      </c>
      <c r="O143" s="82">
        <v>0.33055555555555555</v>
      </c>
      <c r="P143" s="82">
        <v>0.95208333333333339</v>
      </c>
      <c r="Q143" s="82">
        <v>0.33194444444444443</v>
      </c>
      <c r="R143" s="82">
        <v>0.97152777777777777</v>
      </c>
      <c r="S143" s="109">
        <v>0.57708333333333328</v>
      </c>
      <c r="T143" s="109">
        <v>0.95972222222222225</v>
      </c>
      <c r="U143" s="82">
        <v>0.3298611111111111</v>
      </c>
      <c r="V143" s="82">
        <v>0.97013888888888899</v>
      </c>
      <c r="W143" s="82">
        <v>0.32916666666666666</v>
      </c>
      <c r="X143" s="82">
        <v>0.9506944444444444</v>
      </c>
      <c r="Y143" s="82">
        <v>0.3263888888888889</v>
      </c>
      <c r="Z143" s="82">
        <v>0.94930555555555562</v>
      </c>
      <c r="AA143" s="82">
        <v>0.33124999999999999</v>
      </c>
      <c r="AB143" s="82">
        <v>0.95347222222222217</v>
      </c>
      <c r="AC143" s="82">
        <v>0.32847222222222222</v>
      </c>
      <c r="AD143" s="82">
        <v>0.95000000000000007</v>
      </c>
      <c r="AE143" s="82">
        <v>0.3354166666666667</v>
      </c>
      <c r="AF143" s="82">
        <v>0.97222222222222221</v>
      </c>
      <c r="AG143" s="107" t="s">
        <v>15</v>
      </c>
      <c r="AH143" s="125" t="s">
        <v>15</v>
      </c>
      <c r="AI143" s="152"/>
      <c r="AJ143" s="150">
        <v>41</v>
      </c>
      <c r="AK143" s="84">
        <v>1</v>
      </c>
      <c r="AL143" s="84">
        <v>1</v>
      </c>
      <c r="AM143" s="84">
        <v>1</v>
      </c>
      <c r="AN143" s="84">
        <v>1</v>
      </c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11">
        <f t="shared" si="56"/>
        <v>17</v>
      </c>
      <c r="BP143" s="75"/>
      <c r="BQ143" s="2">
        <f>COUNT(E143:AH143)/2+COUNT(AK143:BN143)/2</f>
        <v>16</v>
      </c>
      <c r="BR143" s="3">
        <f t="shared" si="45"/>
        <v>1</v>
      </c>
      <c r="BS143" s="3">
        <f t="shared" si="46"/>
        <v>0</v>
      </c>
      <c r="BT143" s="3">
        <f t="shared" si="47"/>
        <v>0</v>
      </c>
      <c r="BU143" s="3">
        <f t="shared" si="48"/>
        <v>0</v>
      </c>
      <c r="BV143" s="3">
        <f t="shared" si="49"/>
        <v>0</v>
      </c>
      <c r="BW143" s="3">
        <f t="shared" si="50"/>
        <v>0</v>
      </c>
      <c r="BX143" s="3">
        <f t="shared" si="51"/>
        <v>0</v>
      </c>
      <c r="BY143" s="3">
        <f t="shared" si="52"/>
        <v>0</v>
      </c>
      <c r="BZ143" s="3">
        <f t="shared" si="53"/>
        <v>0</v>
      </c>
      <c r="CA143" s="3">
        <f t="shared" si="54"/>
        <v>0</v>
      </c>
      <c r="CB143" s="3">
        <f t="shared" si="55"/>
        <v>0</v>
      </c>
      <c r="CC143" s="4"/>
    </row>
    <row r="144" spans="1:93" ht="21.75" customHeight="1" x14ac:dyDescent="0.25">
      <c r="A144" s="47">
        <v>37</v>
      </c>
      <c r="B144" s="13" t="s">
        <v>118</v>
      </c>
      <c r="C144" s="88" t="s">
        <v>238</v>
      </c>
      <c r="D144" s="100">
        <v>45330</v>
      </c>
      <c r="E144" s="107" t="s">
        <v>15</v>
      </c>
      <c r="F144" s="107" t="s">
        <v>15</v>
      </c>
      <c r="G144" s="82">
        <v>0.34652777777777777</v>
      </c>
      <c r="H144" s="84">
        <v>1</v>
      </c>
      <c r="I144" s="82">
        <v>0.35069444444444442</v>
      </c>
      <c r="J144" s="82">
        <v>0.94097222222222221</v>
      </c>
      <c r="K144" s="82">
        <v>0.3520833333333333</v>
      </c>
      <c r="L144" s="82">
        <v>0.9590277777777777</v>
      </c>
      <c r="M144" s="82">
        <v>0.3520833333333333</v>
      </c>
      <c r="N144" s="82">
        <v>0.95624999999999993</v>
      </c>
      <c r="O144" s="82">
        <v>0.35000000000000003</v>
      </c>
      <c r="P144" s="82">
        <v>0.96250000000000002</v>
      </c>
      <c r="Q144" s="82">
        <v>0.35069444444444442</v>
      </c>
      <c r="R144" s="82">
        <v>0.94027777777777777</v>
      </c>
      <c r="S144" s="109">
        <v>0.55902777777777779</v>
      </c>
      <c r="T144" s="109">
        <v>0.93541666666666667</v>
      </c>
      <c r="U144" s="82">
        <v>0.34791666666666665</v>
      </c>
      <c r="V144" s="82">
        <v>0.94166666666666676</v>
      </c>
      <c r="W144" s="82">
        <v>0.34930555555555554</v>
      </c>
      <c r="X144" s="82">
        <v>0.94444444444444453</v>
      </c>
      <c r="Y144" s="82">
        <v>0.35069444444444442</v>
      </c>
      <c r="Z144" s="82">
        <v>0.94097222222222221</v>
      </c>
      <c r="AA144" s="82">
        <v>0.35069444444444442</v>
      </c>
      <c r="AB144" s="82">
        <v>0.94027777777777777</v>
      </c>
      <c r="AC144" s="82">
        <v>0.34861111111111115</v>
      </c>
      <c r="AD144" s="82">
        <v>0.8881944444444444</v>
      </c>
      <c r="AE144" s="82">
        <v>0.34930555555555554</v>
      </c>
      <c r="AF144" s="82">
        <v>0.95694444444444438</v>
      </c>
      <c r="AG144" s="107" t="s">
        <v>15</v>
      </c>
      <c r="AH144" s="125" t="s">
        <v>15</v>
      </c>
      <c r="AI144" s="152"/>
      <c r="AJ144" s="150">
        <v>43</v>
      </c>
      <c r="AK144" s="82">
        <v>0.35069444444444442</v>
      </c>
      <c r="AL144" s="82">
        <v>0.95138888888888884</v>
      </c>
      <c r="AM144" s="82">
        <v>0.34930555555555554</v>
      </c>
      <c r="AN144" s="82">
        <v>0.93888888888888899</v>
      </c>
      <c r="AO144" s="82">
        <v>0.35138888888888892</v>
      </c>
      <c r="AP144" s="82">
        <v>0.93888888888888899</v>
      </c>
      <c r="AQ144" s="82">
        <v>0.35069444444444442</v>
      </c>
      <c r="AR144" s="82">
        <v>0.93888888888888899</v>
      </c>
      <c r="AS144" s="82">
        <v>0.3527777777777778</v>
      </c>
      <c r="AT144" s="82">
        <v>0.95138888888888884</v>
      </c>
      <c r="AU144" s="82">
        <v>0.35000000000000003</v>
      </c>
      <c r="AV144" s="112">
        <v>1</v>
      </c>
      <c r="AW144" s="111">
        <v>1</v>
      </c>
      <c r="AX144" s="111">
        <v>1</v>
      </c>
      <c r="AY144" s="112">
        <v>1</v>
      </c>
      <c r="AZ144" s="112">
        <v>1</v>
      </c>
      <c r="BA144" s="112">
        <v>1</v>
      </c>
      <c r="BB144" s="112">
        <v>1</v>
      </c>
      <c r="BC144" s="82"/>
      <c r="BD144" s="82"/>
      <c r="BE144" s="82"/>
      <c r="BF144" s="84"/>
      <c r="BG144" s="82"/>
      <c r="BH144" s="82"/>
      <c r="BI144" s="82"/>
      <c r="BJ144" s="82"/>
      <c r="BK144" s="82"/>
      <c r="BL144" s="82"/>
      <c r="BM144" s="82"/>
      <c r="BN144" s="82"/>
      <c r="BO144" s="11">
        <f t="shared" si="56"/>
        <v>20</v>
      </c>
      <c r="BP144" s="75"/>
      <c r="BQ144" s="2">
        <f>COUNT(E144:X144)/2+COUNT(AK144:BN144)/2</f>
        <v>18</v>
      </c>
      <c r="BR144" s="3">
        <f t="shared" si="45"/>
        <v>2</v>
      </c>
      <c r="BS144" s="3">
        <f t="shared" si="46"/>
        <v>0</v>
      </c>
      <c r="BT144" s="3">
        <f t="shared" si="47"/>
        <v>0</v>
      </c>
      <c r="BU144" s="3">
        <f t="shared" si="48"/>
        <v>0</v>
      </c>
      <c r="BV144" s="3">
        <f t="shared" si="49"/>
        <v>0</v>
      </c>
      <c r="BW144" s="3">
        <f t="shared" si="50"/>
        <v>0</v>
      </c>
      <c r="BX144" s="3">
        <f t="shared" si="51"/>
        <v>0</v>
      </c>
      <c r="BY144" s="3">
        <f t="shared" si="52"/>
        <v>0</v>
      </c>
      <c r="BZ144" s="3">
        <f t="shared" si="53"/>
        <v>0</v>
      </c>
      <c r="CA144" s="3">
        <f t="shared" si="54"/>
        <v>0</v>
      </c>
      <c r="CB144" s="3">
        <f t="shared" si="55"/>
        <v>0</v>
      </c>
      <c r="CC144" s="4"/>
      <c r="CE144" s="56">
        <v>0</v>
      </c>
      <c r="CF144" s="56">
        <v>0</v>
      </c>
      <c r="CG144" s="56">
        <v>0</v>
      </c>
      <c r="CH144" s="56">
        <v>0</v>
      </c>
      <c r="CI144" s="56">
        <v>0</v>
      </c>
      <c r="CJ144" s="57">
        <v>3</v>
      </c>
      <c r="CK144" s="57">
        <v>0</v>
      </c>
      <c r="CL144" s="57">
        <v>0</v>
      </c>
      <c r="CM144" s="56">
        <v>0</v>
      </c>
      <c r="CN144" s="56">
        <v>0</v>
      </c>
      <c r="CO144" s="58">
        <f>SUM(CE144:CN144)</f>
        <v>3</v>
      </c>
    </row>
    <row r="145" spans="1:81" ht="21.75" customHeight="1" x14ac:dyDescent="0.25">
      <c r="A145" s="47">
        <v>43</v>
      </c>
      <c r="B145" s="13" t="s">
        <v>127</v>
      </c>
      <c r="C145" s="88" t="s">
        <v>184</v>
      </c>
      <c r="D145" s="100">
        <v>45447</v>
      </c>
      <c r="E145" s="107" t="s">
        <v>15</v>
      </c>
      <c r="F145" s="107" t="s">
        <v>15</v>
      </c>
      <c r="G145" s="82">
        <v>0.34791666666666665</v>
      </c>
      <c r="H145" s="82">
        <v>0.96805555555555556</v>
      </c>
      <c r="I145" s="82">
        <v>0.34652777777777777</v>
      </c>
      <c r="J145" s="82">
        <v>0.94791666666666663</v>
      </c>
      <c r="K145" s="82">
        <v>0.41736111111111113</v>
      </c>
      <c r="L145" s="82">
        <v>0.95624999999999993</v>
      </c>
      <c r="M145" s="84">
        <v>1</v>
      </c>
      <c r="N145" s="82">
        <v>0.95277777777777783</v>
      </c>
      <c r="O145" s="82">
        <v>0.3430555555555555</v>
      </c>
      <c r="P145" s="84">
        <v>1</v>
      </c>
      <c r="Q145" s="82">
        <v>0.34513888888888888</v>
      </c>
      <c r="R145" s="82">
        <v>0.96805555555555556</v>
      </c>
      <c r="S145" s="109">
        <v>0.57291666666666663</v>
      </c>
      <c r="T145" s="109">
        <v>0.95486111111111116</v>
      </c>
      <c r="U145" s="82">
        <v>0.34583333333333338</v>
      </c>
      <c r="V145" s="82">
        <v>0.95833333333333337</v>
      </c>
      <c r="W145" s="82">
        <v>0.34652777777777777</v>
      </c>
      <c r="X145" s="82">
        <v>0.9506944444444444</v>
      </c>
      <c r="Y145" s="82">
        <v>0.34652777777777777</v>
      </c>
      <c r="Z145" s="84">
        <v>1</v>
      </c>
      <c r="AA145" s="82">
        <v>0.34652777777777777</v>
      </c>
      <c r="AB145" s="82">
        <v>0.9555555555555556</v>
      </c>
      <c r="AC145" s="82">
        <v>0.34652777777777777</v>
      </c>
      <c r="AD145" s="84">
        <v>1</v>
      </c>
      <c r="AE145" s="82">
        <v>0.34583333333333338</v>
      </c>
      <c r="AF145" s="82">
        <v>0.96250000000000002</v>
      </c>
      <c r="AG145" s="107" t="s">
        <v>15</v>
      </c>
      <c r="AH145" s="125" t="s">
        <v>15</v>
      </c>
      <c r="AI145" s="152"/>
      <c r="AJ145" s="150">
        <v>49</v>
      </c>
      <c r="AK145" s="82">
        <v>0.34722222222222227</v>
      </c>
      <c r="AL145" s="82">
        <v>0.97013888888888899</v>
      </c>
      <c r="AM145" s="82">
        <v>0.34861111111111115</v>
      </c>
      <c r="AN145" s="82">
        <v>0.94791666666666663</v>
      </c>
      <c r="AO145" s="82">
        <v>0.34722222222222227</v>
      </c>
      <c r="AP145" s="82">
        <v>0.9506944444444444</v>
      </c>
      <c r="AQ145" s="82">
        <v>1</v>
      </c>
      <c r="AR145" s="82">
        <v>1</v>
      </c>
      <c r="AS145" s="82"/>
      <c r="AT145" s="82"/>
      <c r="AU145" s="82"/>
      <c r="AV145" s="84"/>
      <c r="AW145" s="82"/>
      <c r="AX145" s="84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11">
        <f t="shared" si="56"/>
        <v>19</v>
      </c>
      <c r="BP145" s="75"/>
      <c r="BQ145" s="2">
        <f>COUNT(E145:AF145)/2+COUNT(AK145:BN145)/2</f>
        <v>17</v>
      </c>
      <c r="BR145" s="3">
        <f t="shared" si="45"/>
        <v>2</v>
      </c>
      <c r="BS145" s="3">
        <f t="shared" si="46"/>
        <v>0</v>
      </c>
      <c r="BT145" s="3">
        <f t="shared" si="47"/>
        <v>0</v>
      </c>
      <c r="BU145" s="3">
        <f t="shared" si="48"/>
        <v>0</v>
      </c>
      <c r="BV145" s="3">
        <f t="shared" si="49"/>
        <v>0</v>
      </c>
      <c r="BW145" s="3">
        <f t="shared" si="50"/>
        <v>0</v>
      </c>
      <c r="BX145" s="3">
        <f t="shared" si="51"/>
        <v>0</v>
      </c>
      <c r="BY145" s="3">
        <f t="shared" si="52"/>
        <v>0</v>
      </c>
      <c r="BZ145" s="3">
        <f t="shared" si="53"/>
        <v>0</v>
      </c>
      <c r="CA145" s="3">
        <f t="shared" si="54"/>
        <v>0</v>
      </c>
      <c r="CB145" s="3">
        <f t="shared" si="55"/>
        <v>0</v>
      </c>
      <c r="CC145" s="4"/>
    </row>
    <row r="146" spans="1:81" ht="21.75" customHeight="1" x14ac:dyDescent="0.25">
      <c r="A146" s="47">
        <v>37</v>
      </c>
      <c r="B146" s="13" t="s">
        <v>109</v>
      </c>
      <c r="C146" s="88" t="s">
        <v>187</v>
      </c>
      <c r="D146" s="100">
        <v>44987</v>
      </c>
      <c r="E146" s="71">
        <v>0.3520833333333333</v>
      </c>
      <c r="F146" s="71">
        <v>0.92569444444444438</v>
      </c>
      <c r="G146" s="71">
        <v>0.3520833333333333</v>
      </c>
      <c r="H146" s="71">
        <v>0.96250000000000002</v>
      </c>
      <c r="I146" s="71">
        <v>0.3520833333333333</v>
      </c>
      <c r="J146" s="71">
        <v>0.92638888888888893</v>
      </c>
      <c r="K146" s="71">
        <v>0.3520833333333333</v>
      </c>
      <c r="L146" s="71">
        <v>0.94791666666666663</v>
      </c>
      <c r="M146" s="123">
        <v>0.57708333333333328</v>
      </c>
      <c r="N146" s="127">
        <v>0.87986111111111109</v>
      </c>
      <c r="O146" s="71">
        <v>0.3888888888888889</v>
      </c>
      <c r="P146" s="71">
        <v>0.95138888888888884</v>
      </c>
      <c r="Q146" s="71">
        <v>0.35347222222222219</v>
      </c>
      <c r="R146" s="71">
        <v>0.92222222222222217</v>
      </c>
      <c r="S146" s="71">
        <v>0.35138888888888892</v>
      </c>
      <c r="T146" s="71">
        <v>0.90277777777777779</v>
      </c>
      <c r="U146" s="71">
        <v>0.3527777777777778</v>
      </c>
      <c r="V146" s="71">
        <v>0.92569444444444438</v>
      </c>
      <c r="W146" s="71">
        <v>0.35138888888888892</v>
      </c>
      <c r="X146" s="71">
        <v>0.90694444444444444</v>
      </c>
      <c r="Y146" s="71">
        <v>0.35138888888888892</v>
      </c>
      <c r="Z146" s="71">
        <v>0.92708333333333337</v>
      </c>
      <c r="AA146" s="107" t="s">
        <v>15</v>
      </c>
      <c r="AB146" s="125" t="s">
        <v>15</v>
      </c>
      <c r="AC146" s="71">
        <v>0.3520833333333333</v>
      </c>
      <c r="AD146" s="71">
        <v>0.91805555555555562</v>
      </c>
      <c r="AE146" s="71">
        <v>0.3520833333333333</v>
      </c>
      <c r="AF146" s="71">
        <v>0.88958333333333339</v>
      </c>
      <c r="AG146" s="84" t="s">
        <v>23</v>
      </c>
      <c r="AH146" s="137" t="s">
        <v>23</v>
      </c>
      <c r="AI146" s="144"/>
      <c r="AJ146" s="149">
        <v>37</v>
      </c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109"/>
      <c r="AX146" s="109"/>
      <c r="AY146" s="82"/>
      <c r="AZ146" s="82"/>
      <c r="BA146" s="82"/>
      <c r="BB146" s="82"/>
      <c r="BC146" s="82"/>
      <c r="BD146" s="82"/>
      <c r="BE146" s="82"/>
      <c r="BF146" s="82"/>
      <c r="BG146" s="107"/>
      <c r="BH146" s="107"/>
      <c r="BI146" s="82"/>
      <c r="BJ146" s="82"/>
      <c r="BK146" s="107"/>
      <c r="BL146" s="107"/>
      <c r="BM146" s="82"/>
      <c r="BN146" s="82"/>
      <c r="BO146" s="122">
        <f t="shared" si="56"/>
        <v>14</v>
      </c>
      <c r="BP146" s="75"/>
      <c r="BQ146" s="2">
        <f>COUNT(E146:AF146)/2+COUNT(AK146:BN146)/2</f>
        <v>13</v>
      </c>
      <c r="BR146" s="3">
        <f t="shared" si="45"/>
        <v>1</v>
      </c>
      <c r="BS146" s="3">
        <f t="shared" si="46"/>
        <v>0</v>
      </c>
      <c r="BT146" s="3">
        <f t="shared" si="47"/>
        <v>0</v>
      </c>
      <c r="BU146" s="3">
        <f t="shared" si="48"/>
        <v>0</v>
      </c>
      <c r="BV146" s="3">
        <f t="shared" si="49"/>
        <v>0</v>
      </c>
      <c r="BW146" s="3">
        <f t="shared" si="50"/>
        <v>0</v>
      </c>
      <c r="BX146" s="3">
        <f t="shared" si="51"/>
        <v>0</v>
      </c>
      <c r="BY146" s="3">
        <f t="shared" si="52"/>
        <v>0</v>
      </c>
      <c r="BZ146" s="3">
        <f t="shared" si="53"/>
        <v>1</v>
      </c>
      <c r="CA146" s="3">
        <f t="shared" si="54"/>
        <v>0</v>
      </c>
      <c r="CB146" s="3">
        <f t="shared" si="55"/>
        <v>0</v>
      </c>
      <c r="CC146" s="4"/>
    </row>
    <row r="147" spans="1:81" x14ac:dyDescent="0.25">
      <c r="AH147" s="60"/>
      <c r="AI147" s="60"/>
      <c r="AJ147"/>
      <c r="BI147" s="17"/>
      <c r="BJ147" s="17"/>
      <c r="BK147" s="17"/>
      <c r="BL147" s="17"/>
      <c r="BM147" s="17"/>
      <c r="BN147" s="17"/>
      <c r="BO147"/>
    </row>
    <row r="148" spans="1:81" x14ac:dyDescent="0.25">
      <c r="AH148" s="60"/>
      <c r="AI148" s="60"/>
      <c r="AJ148"/>
      <c r="BI148" s="17"/>
      <c r="BJ148" s="17"/>
      <c r="BK148" s="17"/>
      <c r="BL148" s="17"/>
      <c r="BM148" s="17"/>
      <c r="BN148" s="17"/>
      <c r="BO148"/>
    </row>
    <row r="149" spans="1:81" x14ac:dyDescent="0.25">
      <c r="AH149" s="60"/>
      <c r="AI149" s="60"/>
      <c r="AJ149"/>
      <c r="BI149" s="17"/>
      <c r="BJ149" s="17"/>
      <c r="BK149" s="17"/>
      <c r="BL149" s="17"/>
      <c r="BM149" s="17"/>
      <c r="BN149" s="17"/>
      <c r="BO149"/>
    </row>
    <row r="150" spans="1:81" x14ac:dyDescent="0.25">
      <c r="AH150" s="60"/>
      <c r="AI150" s="60"/>
      <c r="AJ150"/>
      <c r="BI150" s="17"/>
      <c r="BJ150" s="17"/>
      <c r="BK150" s="17"/>
      <c r="BL150" s="17"/>
      <c r="BM150" s="17"/>
      <c r="BN150" s="17"/>
      <c r="BO150"/>
    </row>
    <row r="151" spans="1:81" x14ac:dyDescent="0.25">
      <c r="AH151" s="60"/>
      <c r="AI151" s="60"/>
      <c r="AJ151"/>
      <c r="BI151" s="17"/>
      <c r="BJ151" s="17"/>
      <c r="BK151" s="17"/>
      <c r="BL151" s="17"/>
      <c r="BM151" s="17"/>
      <c r="BN151" s="17"/>
      <c r="BO151"/>
    </row>
    <row r="152" spans="1:81" x14ac:dyDescent="0.25">
      <c r="AH152" s="60"/>
      <c r="AI152" s="60"/>
      <c r="AJ152"/>
      <c r="BI152" s="17"/>
      <c r="BJ152" s="17"/>
      <c r="BK152" s="17"/>
      <c r="BL152" s="17"/>
      <c r="BM152" s="17"/>
      <c r="BN152" s="17"/>
      <c r="BO152"/>
    </row>
    <row r="153" spans="1:81" x14ac:dyDescent="0.25">
      <c r="AH153" s="60"/>
      <c r="AI153" s="60"/>
      <c r="AJ153"/>
      <c r="BI153" s="17"/>
      <c r="BJ153" s="17"/>
      <c r="BK153" s="17"/>
      <c r="BL153" s="17"/>
      <c r="BM153" s="17"/>
      <c r="BN153" s="17"/>
      <c r="BO153"/>
    </row>
    <row r="154" spans="1:81" x14ac:dyDescent="0.25">
      <c r="AH154" s="60"/>
      <c r="AI154" s="60"/>
      <c r="AJ154"/>
      <c r="BI154" s="17"/>
      <c r="BJ154" s="17"/>
      <c r="BK154" s="17"/>
      <c r="BL154" s="17"/>
      <c r="BM154" s="17"/>
      <c r="BN154" s="17"/>
      <c r="BO154"/>
    </row>
    <row r="155" spans="1:81" x14ac:dyDescent="0.25">
      <c r="AJ155"/>
      <c r="BI155" s="17"/>
      <c r="BJ155" s="17"/>
      <c r="BK155" s="17"/>
      <c r="BL155" s="17"/>
      <c r="BM155" s="17"/>
      <c r="BN155" s="17"/>
      <c r="BO155"/>
    </row>
  </sheetData>
  <mergeCells count="136">
    <mergeCell ref="AK2:AL2"/>
    <mergeCell ref="AM2:AN2"/>
    <mergeCell ref="U39:V39"/>
    <mergeCell ref="AK3:AL3"/>
    <mergeCell ref="AM3:AN3"/>
    <mergeCell ref="AO2:AP2"/>
    <mergeCell ref="AC2:AD2"/>
    <mergeCell ref="AC39:AD39"/>
    <mergeCell ref="AE39:AF39"/>
    <mergeCell ref="AG39:AH39"/>
    <mergeCell ref="W39:X39"/>
    <mergeCell ref="AA3:AB3"/>
    <mergeCell ref="AC3:AD3"/>
    <mergeCell ref="Y3:Z3"/>
    <mergeCell ref="AG2:AH2"/>
    <mergeCell ref="AO3:AP3"/>
    <mergeCell ref="E28:AB28"/>
    <mergeCell ref="AJ2:AJ4"/>
    <mergeCell ref="I3:J3"/>
    <mergeCell ref="Q3:R3"/>
    <mergeCell ref="W3:X3"/>
    <mergeCell ref="AE3:AF3"/>
    <mergeCell ref="AG3:AH3"/>
    <mergeCell ref="Y40:Z40"/>
    <mergeCell ref="AA40:AB40"/>
    <mergeCell ref="S39:T39"/>
    <mergeCell ref="E40:F40"/>
    <mergeCell ref="AA39:AB39"/>
    <mergeCell ref="E39:F39"/>
    <mergeCell ref="G39:H39"/>
    <mergeCell ref="K3:L3"/>
    <mergeCell ref="M3:N3"/>
    <mergeCell ref="Q39:R39"/>
    <mergeCell ref="S3:T3"/>
    <mergeCell ref="Y39:Z39"/>
    <mergeCell ref="O39:P39"/>
    <mergeCell ref="A38:AH38"/>
    <mergeCell ref="AC40:AD40"/>
    <mergeCell ref="AE40:AF40"/>
    <mergeCell ref="U40:V40"/>
    <mergeCell ref="A39:C40"/>
    <mergeCell ref="O40:P40"/>
    <mergeCell ref="Q40:R40"/>
    <mergeCell ref="S40:T40"/>
    <mergeCell ref="O3:P3"/>
    <mergeCell ref="G40:H40"/>
    <mergeCell ref="I40:J40"/>
    <mergeCell ref="K40:L40"/>
    <mergeCell ref="M40:N40"/>
    <mergeCell ref="AG40:AH40"/>
    <mergeCell ref="CE2:CN2"/>
    <mergeCell ref="CE39:CN39"/>
    <mergeCell ref="I39:J39"/>
    <mergeCell ref="AS39:AT39"/>
    <mergeCell ref="AW39:AX39"/>
    <mergeCell ref="W40:X40"/>
    <mergeCell ref="BQ39:CC39"/>
    <mergeCell ref="BO39:BO41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Q2:CC2"/>
    <mergeCell ref="K39:L39"/>
    <mergeCell ref="M39:N39"/>
    <mergeCell ref="BP2:BP4"/>
    <mergeCell ref="BE2:BF2"/>
    <mergeCell ref="U3:V3"/>
    <mergeCell ref="A1:AH1"/>
    <mergeCell ref="AJ1:BO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E2:AF2"/>
    <mergeCell ref="BC3:BD3"/>
    <mergeCell ref="AS2:AT2"/>
    <mergeCell ref="AU2:AV2"/>
    <mergeCell ref="E3:F3"/>
    <mergeCell ref="G3:H3"/>
    <mergeCell ref="BP39:BP41"/>
    <mergeCell ref="BO2:BO4"/>
    <mergeCell ref="BM40:BN40"/>
    <mergeCell ref="BM39:BN39"/>
    <mergeCell ref="AJ38:BO38"/>
    <mergeCell ref="BK40:BL40"/>
    <mergeCell ref="BK39:BL39"/>
    <mergeCell ref="BI40:BJ40"/>
    <mergeCell ref="BI39:BJ39"/>
    <mergeCell ref="AU39:AV39"/>
    <mergeCell ref="BG39:BH39"/>
    <mergeCell ref="BE40:BF40"/>
    <mergeCell ref="BG40:BH40"/>
    <mergeCell ref="AY39:AZ39"/>
    <mergeCell ref="BA39:BB39"/>
    <mergeCell ref="BC39:BD39"/>
    <mergeCell ref="AK39:AL39"/>
    <mergeCell ref="AM39:AN39"/>
    <mergeCell ref="AO39:AP39"/>
    <mergeCell ref="AQ39:AR39"/>
    <mergeCell ref="BE39:BF39"/>
    <mergeCell ref="BM3:BN3"/>
    <mergeCell ref="BM2:BN2"/>
    <mergeCell ref="BE3:BF3"/>
    <mergeCell ref="BI2:BJ2"/>
    <mergeCell ref="BK3:BL3"/>
    <mergeCell ref="AW2:AX2"/>
    <mergeCell ref="BK2:BL2"/>
    <mergeCell ref="BI3:BJ3"/>
    <mergeCell ref="BA3:BB3"/>
    <mergeCell ref="BC2:BD2"/>
    <mergeCell ref="AQ2:AR2"/>
    <mergeCell ref="AS3:AT3"/>
    <mergeCell ref="BG2:BH2"/>
    <mergeCell ref="BA2:BB2"/>
    <mergeCell ref="BG3:BH3"/>
    <mergeCell ref="AY2:AZ2"/>
    <mergeCell ref="AU3:AV3"/>
    <mergeCell ref="AW3:AX3"/>
    <mergeCell ref="AY3:AZ3"/>
    <mergeCell ref="AQ3:AR3"/>
  </mergeCells>
  <phoneticPr fontId="12" type="noConversion"/>
  <conditionalFormatting sqref="A1 AJ1:BO1">
    <cfRule type="containsText" dxfId="1450" priority="5198" operator="containsText" text="AL">
      <formula>NOT(ISERROR(SEARCH("AL",A1)))</formula>
    </cfRule>
    <cfRule type="containsText" dxfId="1449" priority="5202" operator="containsText" text="SICK">
      <formula>NOT(ISERROR(SEARCH("SICK",A1)))</formula>
    </cfRule>
    <cfRule type="containsText" dxfId="1448" priority="5201" operator="containsText" text="FL">
      <formula>NOT(ISERROR(SEARCH("FL",A1)))</formula>
    </cfRule>
    <cfRule type="containsText" dxfId="1447" priority="5200" operator="containsText" text="AB">
      <formula>NOT(ISERROR(SEARCH("AB",A1)))</formula>
    </cfRule>
    <cfRule type="containsText" dxfId="1446" priority="5199" operator="containsText" text="EL">
      <formula>NOT(ISERROR(SEARCH("EL",A1)))</formula>
    </cfRule>
    <cfRule type="containsText" dxfId="1445" priority="5197" operator="containsText" text="SP">
      <formula>NOT(ISERROR(SEARCH("SP",A1)))</formula>
    </cfRule>
  </conditionalFormatting>
  <conditionalFormatting sqref="A5:A28 A42:A107 AJ137 AJ19:AJ20 AJ42:AJ107 BO5:BO28 A32:D36 AC32:BO36 A37:BO38 A39:D40 AJ39:AJ40 BO39:BO40 A41:BO41 BO42:BO107 A137:A146 BO137:BO146 AJ146">
    <cfRule type="containsText" dxfId="1444" priority="5203" stopIfTrue="1" operator="containsText" text="SP">
      <formula>NOT(ISERROR(SEARCH("SP",A5)))</formula>
    </cfRule>
  </conditionalFormatting>
  <conditionalFormatting sqref="A5:A28 BO5:BO28 AJ19:AJ20 A32:D36 AC32:BO36 A37:BO38 A39:D40 AJ39:AJ40 BO39:BO40 A41:BO41 A42:A107 AJ42:AJ107 BO42:BO107 AJ137 A137:A146 BO137:BO146 AJ146">
    <cfRule type="containsText" dxfId="1443" priority="5208" stopIfTrue="1" operator="containsText" text="SICK">
      <formula>NOT(ISERROR(SEARCH("SICK",A5)))</formula>
    </cfRule>
    <cfRule type="containsText" dxfId="1442" priority="5207" stopIfTrue="1" operator="containsText" text="FL">
      <formula>NOT(ISERROR(SEARCH("FL",A5)))</formula>
    </cfRule>
    <cfRule type="containsText" dxfId="1441" priority="5206" stopIfTrue="1" operator="containsText" text="AB">
      <formula>NOT(ISERROR(SEARCH("AB",A5)))</formula>
    </cfRule>
    <cfRule type="containsText" dxfId="1440" priority="5204" stopIfTrue="1" operator="containsText" text="AL">
      <formula>NOT(ISERROR(SEARCH("AL",A5)))</formula>
    </cfRule>
    <cfRule type="containsText" dxfId="1439" priority="5205" stopIfTrue="1" operator="containsText" text="EL">
      <formula>NOT(ISERROR(SEARCH("EL",A5)))</formula>
    </cfRule>
  </conditionalFormatting>
  <conditionalFormatting sqref="A25:A28 A103:A107">
    <cfRule type="containsText" dxfId="1438" priority="4823" stopIfTrue="1" operator="containsText" text="SP">
      <formula>NOT(ISERROR(SEARCH("SP",A25)))</formula>
    </cfRule>
    <cfRule type="containsText" dxfId="1437" priority="4826" stopIfTrue="1" operator="containsText" text="AB">
      <formula>NOT(ISERROR(SEARCH("AB",A25)))</formula>
    </cfRule>
    <cfRule type="containsText" dxfId="1436" priority="4828" stopIfTrue="1" operator="containsText" text="SICK">
      <formula>NOT(ISERROR(SEARCH("SICK",A25)))</formula>
    </cfRule>
    <cfRule type="containsText" dxfId="1435" priority="4827" stopIfTrue="1" operator="containsText" text="FL">
      <formula>NOT(ISERROR(SEARCH("FL",A25)))</formula>
    </cfRule>
    <cfRule type="containsText" dxfId="1434" priority="4825" stopIfTrue="1" operator="containsText" text="EL">
      <formula>NOT(ISERROR(SEARCH("EL",A25)))</formula>
    </cfRule>
    <cfRule type="containsText" dxfId="1433" priority="4824" stopIfTrue="1" operator="containsText" text="AL">
      <formula>NOT(ISERROR(SEARCH("AL",A25)))</formula>
    </cfRule>
  </conditionalFormatting>
  <conditionalFormatting sqref="C1:C1048576">
    <cfRule type="duplicateValues" dxfId="1432" priority="13403"/>
  </conditionalFormatting>
  <conditionalFormatting sqref="C20">
    <cfRule type="duplicateValues" dxfId="1431" priority="498"/>
  </conditionalFormatting>
  <conditionalFormatting sqref="C107 C28">
    <cfRule type="duplicateValues" dxfId="1430" priority="13360"/>
    <cfRule type="duplicateValues" dxfId="1429" priority="13361"/>
  </conditionalFormatting>
  <conditionalFormatting sqref="C137:C1048576 C110:C125 C127:C133 C21:C28 C1:C19 C30:C107">
    <cfRule type="duplicateValues" dxfId="1428" priority="13373"/>
  </conditionalFormatting>
  <conditionalFormatting sqref="C137:C1048576 C111:C125 C127:C133 C21:C27 C1:C19 C30:C106">
    <cfRule type="duplicateValues" dxfId="1427" priority="13364"/>
  </conditionalFormatting>
  <conditionalFormatting sqref="C140:C146 C42:C44 C46:C56 C58:C73 C111:C113 C75:C106">
    <cfRule type="duplicateValues" dxfId="1426" priority="13383"/>
  </conditionalFormatting>
  <conditionalFormatting sqref="D1:D41 C136:D1048576 C127:D134 C21:C41 C1:C19 C42:D125">
    <cfRule type="duplicateValues" dxfId="1425" priority="13286"/>
  </conditionalFormatting>
  <conditionalFormatting sqref="D5:D28 D42:D56 E57 D58:D107 D138:D146">
    <cfRule type="timePeriod" priority="3917" timePeriod="nextWeek">
      <formula>AND(ROUNDDOWN(D5,0)-TODAY()&gt;(7-WEEKDAY(TODAY())),ROUNDDOWN(D5,0)-TODAY()&lt;(15-WEEKDAY(TODAY())))</formula>
    </cfRule>
  </conditionalFormatting>
  <conditionalFormatting sqref="D5:D28 D138:D139">
    <cfRule type="timePeriod" dxfId="1424" priority="3956" timePeriod="nextWeek">
      <formula>AND(ROUNDDOWN(D5,0)-TODAY()&gt;(7-WEEKDAY(TODAY())),ROUNDDOWN(D5,0)-TODAY()&lt;(15-WEEKDAY(TODAY())))</formula>
    </cfRule>
  </conditionalFormatting>
  <conditionalFormatting sqref="D11:D15 D74 D138">
    <cfRule type="timePeriod" dxfId="1423" priority="3954" timePeriod="thisWeek">
      <formula>AND(TODAY()-ROUNDDOWN(D11,0)&lt;=WEEKDAY(TODAY())-1,ROUNDDOWN(D11,0)-TODAY()&lt;=7-WEEKDAY(TODAY()))</formula>
    </cfRule>
  </conditionalFormatting>
  <conditionalFormatting sqref="D21:D28">
    <cfRule type="timePeriod" dxfId="1422" priority="3916" timePeriod="last7Days">
      <formula>AND(TODAY()-FLOOR(D21,1)&lt;=6,FLOOR(D21,1)&lt;=TODAY())</formula>
    </cfRule>
    <cfRule type="timePeriod" dxfId="1421" priority="3928" timePeriod="thisWeek">
      <formula>AND(TODAY()-ROUNDDOWN(D21,0)&lt;=WEEKDAY(TODAY())-1,ROUNDDOWN(D21,0)-TODAY()&lt;=7-WEEKDAY(TODAY()))</formula>
    </cfRule>
  </conditionalFormatting>
  <conditionalFormatting sqref="D28 D42:D56 E57 D58:D107 D140:D146">
    <cfRule type="timePeriod" dxfId="1420" priority="3979" timePeriod="thisWeek">
      <formula>AND(TODAY()-ROUNDDOWN(D28,0)&lt;=WEEKDAY(TODAY())-1,ROUNDDOWN(D28,0)-TODAY()&lt;=7-WEEKDAY(TODAY()))</formula>
    </cfRule>
    <cfRule type="timePeriod" dxfId="1419" priority="3992" timePeriod="nextWeek">
      <formula>AND(ROUNDDOWN(D28,0)-TODAY()&gt;(7-WEEKDAY(TODAY())),ROUNDDOWN(D28,0)-TODAY()&lt;(15-WEEKDAY(TODAY())))</formula>
    </cfRule>
  </conditionalFormatting>
  <conditionalFormatting sqref="D28 D138 D58:D107 D42:D56 E57 D140:D146">
    <cfRule type="timePeriod" dxfId="1418" priority="3977" timePeriod="last7Days">
      <formula>AND(TODAY()-FLOOR(D28,1)&lt;=6,FLOOR(D28,1)&lt;=TODAY())</formula>
    </cfRule>
  </conditionalFormatting>
  <conditionalFormatting sqref="D74 D11:D15">
    <cfRule type="timePeriod" dxfId="1417" priority="3953" timePeriod="last7Days">
      <formula>AND(TODAY()-FLOOR(D11,1)&lt;=6,FLOOR(D11,1)&lt;=TODAY())</formula>
    </cfRule>
  </conditionalFormatting>
  <conditionalFormatting sqref="D74">
    <cfRule type="timePeriod" dxfId="1416" priority="3942" timePeriod="nextWeek">
      <formula>AND(ROUNDDOWN(D74,0)-TODAY()&gt;(7-WEEKDAY(TODAY())),ROUNDDOWN(D74,0)-TODAY()&lt;(15-WEEKDAY(TODAY())))</formula>
    </cfRule>
  </conditionalFormatting>
  <conditionalFormatting sqref="E62:F62">
    <cfRule type="containsText" dxfId="1415" priority="1019" operator="containsText" text="NL">
      <formula>NOT(ISERROR(SEARCH("NL",E62)))</formula>
    </cfRule>
    <cfRule type="containsText" dxfId="1414" priority="1018" operator="containsText" text="SP">
      <formula>NOT(ISERROR(SEARCH("SP",E62)))</formula>
    </cfRule>
    <cfRule type="containsText" dxfId="1413" priority="1020" operator="containsText" text="SUS">
      <formula>NOT(ISERROR(SEARCH("SUS",E62)))</formula>
    </cfRule>
    <cfRule type="containsText" dxfId="1412" priority="1021" operator="containsText" text="FL">
      <formula>NOT(ISERROR(SEARCH("FL",E62)))</formula>
    </cfRule>
    <cfRule type="containsText" dxfId="1411" priority="1022" operator="containsText" text="EL">
      <formula>NOT(ISERROR(SEARCH("EL",E62)))</formula>
    </cfRule>
    <cfRule type="containsText" dxfId="1410" priority="1026" operator="containsText" text="SICK">
      <formula>NOT(ISERROR(SEARCH("SICK",E62)))</formula>
    </cfRule>
    <cfRule type="containsText" dxfId="1409" priority="1024" operator="containsText" text="OFF">
      <formula>NOT(ISERROR(SEARCH("OFF",E62)))</formula>
    </cfRule>
    <cfRule type="containsText" dxfId="1408" priority="1025" operator="containsText" text="AB">
      <formula>NOT(ISERROR(SEARCH("AB",E62)))</formula>
    </cfRule>
    <cfRule type="containsText" dxfId="1407" priority="1027" operator="containsText" text="AL">
      <formula>NOT(ISERROR(SEARCH("AL",E62)))</formula>
    </cfRule>
    <cfRule type="containsText" dxfId="1406" priority="1023" operator="containsText" text="MC">
      <formula>NOT(ISERROR(SEARCH("MC",E62)))</formula>
    </cfRule>
  </conditionalFormatting>
  <conditionalFormatting sqref="E139:F139">
    <cfRule type="containsText" dxfId="1405" priority="2753" operator="containsText" text="SUS">
      <formula>NOT(ISERROR(SEARCH("SUS",E139)))</formula>
    </cfRule>
    <cfRule type="containsText" dxfId="1404" priority="2754" operator="containsText" text="FL">
      <formula>NOT(ISERROR(SEARCH("FL",E139)))</formula>
    </cfRule>
    <cfRule type="containsText" dxfId="1403" priority="2755" operator="containsText" text="MC">
      <formula>NOT(ISERROR(SEARCH("MC",E139)))</formula>
    </cfRule>
    <cfRule type="containsText" dxfId="1402" priority="2759" operator="containsText" text="AL">
      <formula>NOT(ISERROR(SEARCH("AL",E139)))</formula>
    </cfRule>
    <cfRule type="containsText" dxfId="1401" priority="2758" operator="containsText" text="OFF">
      <formula>NOT(ISERROR(SEARCH("OFF",E139)))</formula>
    </cfRule>
    <cfRule type="containsText" dxfId="1400" priority="2757" operator="containsText" text="Sick">
      <formula>NOT(ISERROR(SEARCH("Sick",E139)))</formula>
    </cfRule>
    <cfRule type="containsText" dxfId="1399" priority="2752" operator="containsText" text="AB">
      <formula>NOT(ISERROR(SEARCH("AB",E139)))</formula>
    </cfRule>
  </conditionalFormatting>
  <conditionalFormatting sqref="E139:F142">
    <cfRule type="containsText" dxfId="1398" priority="2751" operator="containsText" text="EL">
      <formula>NOT(ISERROR(SEARCH("EL",E139)))</formula>
    </cfRule>
    <cfRule type="containsText" dxfId="1397" priority="2756" operator="containsText" text="AB">
      <formula>NOT(ISERROR(SEARCH("AB",E139)))</formula>
    </cfRule>
  </conditionalFormatting>
  <conditionalFormatting sqref="E144:F144 Y138:BN139 AJ5:AJ28">
    <cfRule type="containsText" dxfId="1396" priority="3015" operator="containsText" text="Sick">
      <formula>NOT(ISERROR(SEARCH("Sick",E5)))</formula>
    </cfRule>
  </conditionalFormatting>
  <conditionalFormatting sqref="E144:F144">
    <cfRule type="containsText" dxfId="1395" priority="3014" operator="containsText" text="AB">
      <formula>NOT(ISERROR(SEARCH("AB",E144)))</formula>
    </cfRule>
  </conditionalFormatting>
  <conditionalFormatting sqref="E144:F145 AJ5:AJ28 BG146:BH146 Y138:BN139 AJ138:BN140 AO141:BN141 AJ142:BN142 AO143:BN143 BC144:BN144 AQ145:BN145">
    <cfRule type="containsText" dxfId="1394" priority="2747" operator="containsText" text="AB">
      <formula>NOT(ISERROR(SEARCH("AB",E5)))</formula>
    </cfRule>
  </conditionalFormatting>
  <conditionalFormatting sqref="E145:F145">
    <cfRule type="containsText" dxfId="1393" priority="2746" operator="containsText" text="MC">
      <formula>NOT(ISERROR(SEARCH("MC",E145)))</formula>
    </cfRule>
    <cfRule type="containsText" dxfId="1392" priority="2744" operator="containsText" text="SUS">
      <formula>NOT(ISERROR(SEARCH("SUS",E145)))</formula>
    </cfRule>
    <cfRule type="containsText" dxfId="1391" priority="2743" operator="containsText" text="AB">
      <formula>NOT(ISERROR(SEARCH("AB",E145)))</formula>
    </cfRule>
    <cfRule type="containsText" dxfId="1390" priority="2745" operator="containsText" text="FL">
      <formula>NOT(ISERROR(SEARCH("FL",E145)))</formula>
    </cfRule>
    <cfRule type="containsText" dxfId="1389" priority="2748" operator="containsText" text="Sick">
      <formula>NOT(ISERROR(SEARCH("Sick",E145)))</formula>
    </cfRule>
    <cfRule type="containsText" dxfId="1388" priority="2749" operator="containsText" text="OFF">
      <formula>NOT(ISERROR(SEARCH("OFF",E145)))</formula>
    </cfRule>
    <cfRule type="containsText" dxfId="1387" priority="2750" operator="containsText" text="AL">
      <formula>NOT(ISERROR(SEARCH("AL",E145)))</formula>
    </cfRule>
  </conditionalFormatting>
  <conditionalFormatting sqref="E70:X70">
    <cfRule type="containsText" dxfId="1386" priority="467" operator="containsText" text="OFF">
      <formula>NOT(ISERROR(SEARCH("OFF",E70)))</formula>
    </cfRule>
    <cfRule type="containsText" dxfId="1385" priority="466" operator="containsText" text="Sick">
      <formula>NOT(ISERROR(SEARCH("Sick",E70)))</formula>
    </cfRule>
    <cfRule type="containsText" dxfId="1384" priority="465" operator="containsText" text="AB">
      <formula>NOT(ISERROR(SEARCH("AB",E70)))</formula>
    </cfRule>
    <cfRule type="containsText" dxfId="1383" priority="464" operator="containsText" text="MC">
      <formula>NOT(ISERROR(SEARCH("MC",E70)))</formula>
    </cfRule>
    <cfRule type="containsText" dxfId="1382" priority="463" operator="containsText" text="FL">
      <formula>NOT(ISERROR(SEARCH("FL",E70)))</formula>
    </cfRule>
    <cfRule type="containsText" dxfId="1381" priority="468" operator="containsText" text="AL">
      <formula>NOT(ISERROR(SEARCH("AL",E70)))</formula>
    </cfRule>
    <cfRule type="containsText" dxfId="1380" priority="462" operator="containsText" text="SUS">
      <formula>NOT(ISERROR(SEARCH("SUS",E70)))</formula>
    </cfRule>
  </conditionalFormatting>
  <conditionalFormatting sqref="E20:AI20">
    <cfRule type="containsText" dxfId="1379" priority="488" operator="containsText" text="AL">
      <formula>NOT(ISERROR(SEARCH("AL",E20)))</formula>
    </cfRule>
    <cfRule type="containsText" dxfId="1378" priority="487" operator="containsText" text="SICK">
      <formula>NOT(ISERROR(SEARCH("SICK",E20)))</formula>
    </cfRule>
    <cfRule type="containsText" dxfId="1377" priority="486" operator="containsText" text="AB">
      <formula>NOT(ISERROR(SEARCH("AB",E20)))</formula>
    </cfRule>
    <cfRule type="containsText" dxfId="1376" priority="485" operator="containsText" text="OFF">
      <formula>NOT(ISERROR(SEARCH("OFF",E20)))</formula>
    </cfRule>
    <cfRule type="containsText" dxfId="1375" priority="484" operator="containsText" text="MC">
      <formula>NOT(ISERROR(SEARCH("MC",E20)))</formula>
    </cfRule>
    <cfRule type="containsText" dxfId="1374" priority="483" operator="containsText" text="EL">
      <formula>NOT(ISERROR(SEARCH("EL",E20)))</formula>
    </cfRule>
    <cfRule type="containsText" dxfId="1373" priority="482" operator="containsText" text="FL">
      <formula>NOT(ISERROR(SEARCH("FL",E20)))</formula>
    </cfRule>
    <cfRule type="containsText" dxfId="1372" priority="481" operator="containsText" text="SUS">
      <formula>NOT(ISERROR(SEARCH("SUS",E20)))</formula>
    </cfRule>
    <cfRule type="containsText" dxfId="1371" priority="479" operator="containsText" text="SP">
      <formula>NOT(ISERROR(SEARCH("SP",E20)))</formula>
    </cfRule>
    <cfRule type="containsText" dxfId="1370" priority="480" operator="containsText" text="NL">
      <formula>NOT(ISERROR(SEARCH("NL",E20)))</formula>
    </cfRule>
  </conditionalFormatting>
  <conditionalFormatting sqref="E70:AI70">
    <cfRule type="containsText" dxfId="1369" priority="245" operator="containsText" text="AB">
      <formula>NOT(ISERROR(SEARCH("AB",E70)))</formula>
    </cfRule>
    <cfRule type="containsText" dxfId="1368" priority="242" operator="containsText" text="EL">
      <formula>NOT(ISERROR(SEARCH("EL",E70)))</formula>
    </cfRule>
  </conditionalFormatting>
  <conditionalFormatting sqref="G48:H48">
    <cfRule type="containsText" dxfId="1367" priority="1037" operator="containsText" text="AL">
      <formula>NOT(ISERROR(SEARCH("AL",G48)))</formula>
    </cfRule>
    <cfRule type="containsText" dxfId="1366" priority="1036" operator="containsText" text="SICK">
      <formula>NOT(ISERROR(SEARCH("SICK",G48)))</formula>
    </cfRule>
    <cfRule type="containsText" dxfId="1365" priority="1035" operator="containsText" text="AB">
      <formula>NOT(ISERROR(SEARCH("AB",G48)))</formula>
    </cfRule>
    <cfRule type="containsText" dxfId="1364" priority="1034" operator="containsText" text="OFF">
      <formula>NOT(ISERROR(SEARCH("OFF",G48)))</formula>
    </cfRule>
    <cfRule type="containsText" dxfId="1363" priority="1033" operator="containsText" text="MC">
      <formula>NOT(ISERROR(SEARCH("MC",G48)))</formula>
    </cfRule>
    <cfRule type="containsText" dxfId="1362" priority="1029" operator="containsText" text="NL">
      <formula>NOT(ISERROR(SEARCH("NL",G48)))</formula>
    </cfRule>
    <cfRule type="containsText" dxfId="1361" priority="1032" operator="containsText" text="EL">
      <formula>NOT(ISERROR(SEARCH("EL",G48)))</formula>
    </cfRule>
    <cfRule type="containsText" dxfId="1360" priority="1028" operator="containsText" text="SP">
      <formula>NOT(ISERROR(SEARCH("SP",G48)))</formula>
    </cfRule>
    <cfRule type="containsText" dxfId="1359" priority="1031" operator="containsText" text="FL">
      <formula>NOT(ISERROR(SEARCH("FL",G48)))</formula>
    </cfRule>
    <cfRule type="containsText" dxfId="1358" priority="1030" operator="containsText" text="SUS">
      <formula>NOT(ISERROR(SEARCH("SUS",G48)))</formula>
    </cfRule>
  </conditionalFormatting>
  <conditionalFormatting sqref="K25:L25">
    <cfRule type="containsText" dxfId="1357" priority="1047" operator="containsText" text="AL">
      <formula>NOT(ISERROR(SEARCH("AL",K25)))</formula>
    </cfRule>
    <cfRule type="containsText" dxfId="1356" priority="1038" operator="containsText" text="SP">
      <formula>NOT(ISERROR(SEARCH("SP",K25)))</formula>
    </cfRule>
    <cfRule type="containsText" dxfId="1355" priority="1046" operator="containsText" text="SICK">
      <formula>NOT(ISERROR(SEARCH("SICK",K25)))</formula>
    </cfRule>
    <cfRule type="containsText" dxfId="1354" priority="1039" operator="containsText" text="NL">
      <formula>NOT(ISERROR(SEARCH("NL",K25)))</formula>
    </cfRule>
    <cfRule type="containsText" dxfId="1353" priority="1044" operator="containsText" text="OFF">
      <formula>NOT(ISERROR(SEARCH("OFF",K25)))</formula>
    </cfRule>
    <cfRule type="containsText" dxfId="1352" priority="1043" operator="containsText" text="MC">
      <formula>NOT(ISERROR(SEARCH("MC",K25)))</formula>
    </cfRule>
    <cfRule type="containsText" dxfId="1351" priority="1041" operator="containsText" text="FL">
      <formula>NOT(ISERROR(SEARCH("FL",K25)))</formula>
    </cfRule>
    <cfRule type="containsText" dxfId="1350" priority="1040" operator="containsText" text="SUS">
      <formula>NOT(ISERROR(SEARCH("SUS",K25)))</formula>
    </cfRule>
  </conditionalFormatting>
  <conditionalFormatting sqref="K25:N25">
    <cfRule type="containsText" dxfId="1349" priority="1042" operator="containsText" text="EL">
      <formula>NOT(ISERROR(SEARCH("EL",K25)))</formula>
    </cfRule>
    <cfRule type="containsText" dxfId="1348" priority="1045" operator="containsText" text="AB">
      <formula>NOT(ISERROR(SEARCH("AB",K25)))</formula>
    </cfRule>
  </conditionalFormatting>
  <conditionalFormatting sqref="L31:AA34">
    <cfRule type="containsText" dxfId="1347" priority="1116" stopIfTrue="1" operator="containsText" text="SICK">
      <formula>NOT(ISERROR(SEARCH("SICK",L31)))</formula>
    </cfRule>
    <cfRule type="containsText" priority="1115" stopIfTrue="1" operator="containsText" text="SP">
      <formula>NOT(ISERROR(SEARCH("SP",L31)))</formula>
    </cfRule>
    <cfRule type="containsText" dxfId="1346" priority="1112" stopIfTrue="1" operator="containsText" text="AB">
      <formula>NOT(ISERROR(SEARCH("AB",L31)))</formula>
    </cfRule>
    <cfRule type="containsText" dxfId="1345" priority="1113" stopIfTrue="1" operator="containsText" text="SICK">
      <formula>NOT(ISERROR(SEARCH("SICK",L31)))</formula>
    </cfRule>
    <cfRule type="containsText" dxfId="1344" priority="1114" stopIfTrue="1" operator="containsText" text="SP">
      <formula>NOT(ISERROR(SEARCH("SP",L31)))</formula>
    </cfRule>
  </conditionalFormatting>
  <conditionalFormatting sqref="M5:N5 M69:N69">
    <cfRule type="containsText" dxfId="1343" priority="1094" operator="containsText" text="AB">
      <formula>NOT(ISERROR(SEARCH("AB",M5)))</formula>
    </cfRule>
    <cfRule type="containsText" dxfId="1342" priority="1101" operator="containsText" text="AL">
      <formula>NOT(ISERROR(SEARCH("AL",M5)))</formula>
    </cfRule>
    <cfRule type="containsText" dxfId="1341" priority="1095" operator="containsText" text="SUS">
      <formula>NOT(ISERROR(SEARCH("SUS",M5)))</formula>
    </cfRule>
    <cfRule type="containsText" dxfId="1340" priority="1096" operator="containsText" text="FL">
      <formula>NOT(ISERROR(SEARCH("FL",M5)))</formula>
    </cfRule>
    <cfRule type="containsText" dxfId="1339" priority="1097" operator="containsText" text="MC">
      <formula>NOT(ISERROR(SEARCH("MC",M5)))</formula>
    </cfRule>
    <cfRule type="containsText" dxfId="1338" priority="1098" operator="containsText" text="AB">
      <formula>NOT(ISERROR(SEARCH("AB",M5)))</formula>
    </cfRule>
    <cfRule type="containsText" dxfId="1337" priority="1100" operator="containsText" text="OFF">
      <formula>NOT(ISERROR(SEARCH("OFF",M5)))</formula>
    </cfRule>
    <cfRule type="containsText" dxfId="1336" priority="1099" operator="containsText" text="Sick">
      <formula>NOT(ISERROR(SEARCH("Sick",M5)))</formula>
    </cfRule>
    <cfRule type="containsText" dxfId="1335" priority="1093" operator="containsText" text="EL">
      <formula>NOT(ISERROR(SEARCH("EL",M5)))</formula>
    </cfRule>
  </conditionalFormatting>
  <conditionalFormatting sqref="M11:N13">
    <cfRule type="containsText" dxfId="1334" priority="1091" operator="containsText" text="OFF">
      <formula>NOT(ISERROR(SEARCH("OFF",M11)))</formula>
    </cfRule>
    <cfRule type="containsText" dxfId="1333" priority="1092" operator="containsText" text="AL">
      <formula>NOT(ISERROR(SEARCH("AL",M11)))</formula>
    </cfRule>
    <cfRule type="containsText" dxfId="1332" priority="1089" operator="containsText" text="AB">
      <formula>NOT(ISERROR(SEARCH("AB",M11)))</formula>
    </cfRule>
    <cfRule type="containsText" dxfId="1331" priority="1090" operator="containsText" text="Sick">
      <formula>NOT(ISERROR(SEARCH("Sick",M11)))</formula>
    </cfRule>
    <cfRule type="containsText" dxfId="1330" priority="1085" operator="containsText" text="AB">
      <formula>NOT(ISERROR(SEARCH("AB",M11)))</formula>
    </cfRule>
    <cfRule type="containsText" dxfId="1329" priority="1084" operator="containsText" text="EL">
      <formula>NOT(ISERROR(SEARCH("EL",M11)))</formula>
    </cfRule>
    <cfRule type="containsText" dxfId="1328" priority="1088" operator="containsText" text="MC">
      <formula>NOT(ISERROR(SEARCH("MC",M11)))</formula>
    </cfRule>
    <cfRule type="containsText" dxfId="1327" priority="1087" operator="containsText" text="FL">
      <formula>NOT(ISERROR(SEARCH("FL",M11)))</formula>
    </cfRule>
    <cfRule type="containsText" dxfId="1326" priority="1086" operator="containsText" text="SUS">
      <formula>NOT(ISERROR(SEARCH("SUS",M11)))</formula>
    </cfRule>
  </conditionalFormatting>
  <conditionalFormatting sqref="M17:N19">
    <cfRule type="containsText" dxfId="1325" priority="1075" operator="containsText" text="EL">
      <formula>NOT(ISERROR(SEARCH("EL",M17)))</formula>
    </cfRule>
    <cfRule type="containsText" dxfId="1324" priority="1076" operator="containsText" text="AB">
      <formula>NOT(ISERROR(SEARCH("AB",M17)))</formula>
    </cfRule>
    <cfRule type="containsText" dxfId="1323" priority="1077" operator="containsText" text="SUS">
      <formula>NOT(ISERROR(SEARCH("SUS",M17)))</formula>
    </cfRule>
    <cfRule type="containsText" dxfId="1322" priority="1078" operator="containsText" text="FL">
      <formula>NOT(ISERROR(SEARCH("FL",M17)))</formula>
    </cfRule>
    <cfRule type="containsText" dxfId="1321" priority="1080" operator="containsText" text="AB">
      <formula>NOT(ISERROR(SEARCH("AB",M17)))</formula>
    </cfRule>
    <cfRule type="containsText" dxfId="1320" priority="1081" operator="containsText" text="Sick">
      <formula>NOT(ISERROR(SEARCH("Sick",M17)))</formula>
    </cfRule>
    <cfRule type="containsText" dxfId="1319" priority="1082" operator="containsText" text="OFF">
      <formula>NOT(ISERROR(SEARCH("OFF",M17)))</formula>
    </cfRule>
    <cfRule type="containsText" dxfId="1318" priority="1083" operator="containsText" text="AL">
      <formula>NOT(ISERROR(SEARCH("AL",M17)))</formula>
    </cfRule>
    <cfRule type="containsText" dxfId="1317" priority="1079" operator="containsText" text="MC">
      <formula>NOT(ISERROR(SEARCH("MC",M17)))</formula>
    </cfRule>
  </conditionalFormatting>
  <conditionalFormatting sqref="M22:N22">
    <cfRule type="containsText" dxfId="1316" priority="1069" operator="containsText" text="FL">
      <formula>NOT(ISERROR(SEARCH("FL",M22)))</formula>
    </cfRule>
    <cfRule type="containsText" dxfId="1315" priority="1071" operator="containsText" text="AB">
      <formula>NOT(ISERROR(SEARCH("AB",M22)))</formula>
    </cfRule>
    <cfRule type="containsText" dxfId="1314" priority="1072" operator="containsText" text="Sick">
      <formula>NOT(ISERROR(SEARCH("Sick",M22)))</formula>
    </cfRule>
    <cfRule type="containsText" dxfId="1313" priority="1073" operator="containsText" text="OFF">
      <formula>NOT(ISERROR(SEARCH("OFF",M22)))</formula>
    </cfRule>
    <cfRule type="containsText" dxfId="1312" priority="1074" operator="containsText" text="AL">
      <formula>NOT(ISERROR(SEARCH("AL",M22)))</formula>
    </cfRule>
    <cfRule type="containsText" dxfId="1311" priority="1070" operator="containsText" text="MC">
      <formula>NOT(ISERROR(SEARCH("MC",M22)))</formula>
    </cfRule>
    <cfRule type="containsText" dxfId="1310" priority="1066" operator="containsText" text="EL">
      <formula>NOT(ISERROR(SEARCH("EL",M22)))</formula>
    </cfRule>
    <cfRule type="containsText" dxfId="1309" priority="1067" operator="containsText" text="AB">
      <formula>NOT(ISERROR(SEARCH("AB",M22)))</formula>
    </cfRule>
    <cfRule type="containsText" dxfId="1308" priority="1068" operator="containsText" text="SUS">
      <formula>NOT(ISERROR(SEARCH("SUS",M22)))</formula>
    </cfRule>
  </conditionalFormatting>
  <conditionalFormatting sqref="M25:N25">
    <cfRule type="containsText" dxfId="1307" priority="1063" operator="containsText" text="Sick">
      <formula>NOT(ISERROR(SEARCH("Sick",M25)))</formula>
    </cfRule>
    <cfRule type="containsText" dxfId="1306" priority="1064" operator="containsText" text="OFF">
      <formula>NOT(ISERROR(SEARCH("OFF",M25)))</formula>
    </cfRule>
    <cfRule type="containsText" dxfId="1305" priority="1065" operator="containsText" text="AL">
      <formula>NOT(ISERROR(SEARCH("AL",M25)))</formula>
    </cfRule>
    <cfRule type="containsText" dxfId="1304" priority="1061" operator="containsText" text="MC">
      <formula>NOT(ISERROR(SEARCH("MC",M25)))</formula>
    </cfRule>
    <cfRule type="containsText" dxfId="1303" priority="1059" operator="containsText" text="SUS">
      <formula>NOT(ISERROR(SEARCH("SUS",M25)))</formula>
    </cfRule>
    <cfRule type="containsText" dxfId="1302" priority="1060" operator="containsText" text="FL">
      <formula>NOT(ISERROR(SEARCH("FL",M25)))</formula>
    </cfRule>
    <cfRule type="containsText" dxfId="1301" priority="1062" operator="containsText" text="AB">
      <formula>NOT(ISERROR(SEARCH("AB",M25)))</formula>
    </cfRule>
  </conditionalFormatting>
  <conditionalFormatting sqref="M27:N27">
    <cfRule type="containsText" dxfId="1300" priority="1050" operator="containsText" text="SUS">
      <formula>NOT(ISERROR(SEARCH("SUS",M27)))</formula>
    </cfRule>
    <cfRule type="containsText" dxfId="1299" priority="1051" operator="containsText" text="FL">
      <formula>NOT(ISERROR(SEARCH("FL",M27)))</formula>
    </cfRule>
    <cfRule type="containsText" dxfId="1298" priority="1056" operator="containsText" text="AL">
      <formula>NOT(ISERROR(SEARCH("AL",M27)))</formula>
    </cfRule>
    <cfRule type="containsText" dxfId="1297" priority="1048" operator="containsText" text="EL">
      <formula>NOT(ISERROR(SEARCH("EL",M27)))</formula>
    </cfRule>
    <cfRule type="containsText" dxfId="1296" priority="1049" operator="containsText" text="AB">
      <formula>NOT(ISERROR(SEARCH("AB",M27)))</formula>
    </cfRule>
    <cfRule type="containsText" dxfId="1295" priority="1055" operator="containsText" text="OFF">
      <formula>NOT(ISERROR(SEARCH("OFF",M27)))</formula>
    </cfRule>
    <cfRule type="containsText" dxfId="1294" priority="1054" operator="containsText" text="Sick">
      <formula>NOT(ISERROR(SEARCH("Sick",M27)))</formula>
    </cfRule>
    <cfRule type="containsText" dxfId="1293" priority="1053" operator="containsText" text="AB">
      <formula>NOT(ISERROR(SEARCH("AB",M27)))</formula>
    </cfRule>
    <cfRule type="containsText" dxfId="1292" priority="1052" operator="containsText" text="MC">
      <formula>NOT(ISERROR(SEARCH("MC",M27)))</formula>
    </cfRule>
  </conditionalFormatting>
  <conditionalFormatting sqref="M42:N43">
    <cfRule type="containsText" dxfId="1291" priority="1009" operator="containsText" text="EL">
      <formula>NOT(ISERROR(SEARCH("EL",M42)))</formula>
    </cfRule>
    <cfRule type="containsText" dxfId="1290" priority="1012" operator="containsText" text="FL">
      <formula>NOT(ISERROR(SEARCH("FL",M42)))</formula>
    </cfRule>
    <cfRule type="containsText" dxfId="1289" priority="1013" operator="containsText" text="MC">
      <formula>NOT(ISERROR(SEARCH("MC",M42)))</formula>
    </cfRule>
    <cfRule type="containsText" dxfId="1288" priority="1011" operator="containsText" text="SUS">
      <formula>NOT(ISERROR(SEARCH("SUS",M42)))</formula>
    </cfRule>
    <cfRule type="containsText" dxfId="1287" priority="1014" operator="containsText" text="AB">
      <formula>NOT(ISERROR(SEARCH("AB",M42)))</formula>
    </cfRule>
    <cfRule type="containsText" dxfId="1286" priority="1015" operator="containsText" text="Sick">
      <formula>NOT(ISERROR(SEARCH("Sick",M42)))</formula>
    </cfRule>
    <cfRule type="containsText" dxfId="1285" priority="1016" operator="containsText" text="OFF">
      <formula>NOT(ISERROR(SEARCH("OFF",M42)))</formula>
    </cfRule>
    <cfRule type="containsText" dxfId="1284" priority="1017" operator="containsText" text="AL">
      <formula>NOT(ISERROR(SEARCH("AL",M42)))</formula>
    </cfRule>
    <cfRule type="containsText" dxfId="1283" priority="1010" operator="containsText" text="AB">
      <formula>NOT(ISERROR(SEARCH("AB",M42)))</formula>
    </cfRule>
  </conditionalFormatting>
  <conditionalFormatting sqref="M46:N47">
    <cfRule type="containsText" dxfId="1282" priority="1007" operator="containsText" text="OFF">
      <formula>NOT(ISERROR(SEARCH("OFF",M46)))</formula>
    </cfRule>
    <cfRule type="containsText" dxfId="1281" priority="1006" operator="containsText" text="Sick">
      <formula>NOT(ISERROR(SEARCH("Sick",M46)))</formula>
    </cfRule>
    <cfRule type="containsText" dxfId="1280" priority="1008" operator="containsText" text="AL">
      <formula>NOT(ISERROR(SEARCH("AL",M46)))</formula>
    </cfRule>
    <cfRule type="containsText" dxfId="1279" priority="1000" operator="containsText" text="EL">
      <formula>NOT(ISERROR(SEARCH("EL",M46)))</formula>
    </cfRule>
    <cfRule type="containsText" dxfId="1278" priority="1001" operator="containsText" text="AB">
      <formula>NOT(ISERROR(SEARCH("AB",M46)))</formula>
    </cfRule>
    <cfRule type="containsText" dxfId="1277" priority="1002" operator="containsText" text="SUS">
      <formula>NOT(ISERROR(SEARCH("SUS",M46)))</formula>
    </cfRule>
    <cfRule type="containsText" dxfId="1276" priority="1003" operator="containsText" text="FL">
      <formula>NOT(ISERROR(SEARCH("FL",M46)))</formula>
    </cfRule>
    <cfRule type="containsText" dxfId="1275" priority="1004" operator="containsText" text="MC">
      <formula>NOT(ISERROR(SEARCH("MC",M46)))</formula>
    </cfRule>
    <cfRule type="containsText" dxfId="1274" priority="1005" operator="containsText" text="AB">
      <formula>NOT(ISERROR(SEARCH("AB",M46)))</formula>
    </cfRule>
  </conditionalFormatting>
  <conditionalFormatting sqref="M49:N49">
    <cfRule type="containsText" dxfId="1273" priority="998" operator="containsText" text="OFF">
      <formula>NOT(ISERROR(SEARCH("OFF",M49)))</formula>
    </cfRule>
    <cfRule type="containsText" dxfId="1272" priority="997" operator="containsText" text="Sick">
      <formula>NOT(ISERROR(SEARCH("Sick",M49)))</formula>
    </cfRule>
    <cfRule type="containsText" dxfId="1271" priority="996" operator="containsText" text="AB">
      <formula>NOT(ISERROR(SEARCH("AB",M49)))</formula>
    </cfRule>
    <cfRule type="containsText" dxfId="1270" priority="995" operator="containsText" text="MC">
      <formula>NOT(ISERROR(SEARCH("MC",M49)))</formula>
    </cfRule>
    <cfRule type="containsText" dxfId="1269" priority="994" operator="containsText" text="FL">
      <formula>NOT(ISERROR(SEARCH("FL",M49)))</formula>
    </cfRule>
    <cfRule type="containsText" dxfId="1268" priority="993" operator="containsText" text="SUS">
      <formula>NOT(ISERROR(SEARCH("SUS",M49)))</formula>
    </cfRule>
    <cfRule type="containsText" dxfId="1267" priority="992" operator="containsText" text="AB">
      <formula>NOT(ISERROR(SEARCH("AB",M49)))</formula>
    </cfRule>
    <cfRule type="containsText" dxfId="1266" priority="991" operator="containsText" text="EL">
      <formula>NOT(ISERROR(SEARCH("EL",M49)))</formula>
    </cfRule>
    <cfRule type="containsText" dxfId="1265" priority="999" operator="containsText" text="AL">
      <formula>NOT(ISERROR(SEARCH("AL",M49)))</formula>
    </cfRule>
  </conditionalFormatting>
  <conditionalFormatting sqref="M51:N51">
    <cfRule type="containsText" dxfId="1264" priority="990" operator="containsText" text="AL">
      <formula>NOT(ISERROR(SEARCH("AL",M51)))</formula>
    </cfRule>
    <cfRule type="containsText" dxfId="1263" priority="987" operator="containsText" text="AB">
      <formula>NOT(ISERROR(SEARCH("AB",M51)))</formula>
    </cfRule>
    <cfRule type="containsText" dxfId="1262" priority="986" operator="containsText" text="MC">
      <formula>NOT(ISERROR(SEARCH("MC",M51)))</formula>
    </cfRule>
    <cfRule type="containsText" dxfId="1261" priority="985" operator="containsText" text="FL">
      <formula>NOT(ISERROR(SEARCH("FL",M51)))</formula>
    </cfRule>
    <cfRule type="containsText" dxfId="1260" priority="984" operator="containsText" text="SUS">
      <formula>NOT(ISERROR(SEARCH("SUS",M51)))</formula>
    </cfRule>
    <cfRule type="containsText" dxfId="1259" priority="989" operator="containsText" text="OFF">
      <formula>NOT(ISERROR(SEARCH("OFF",M51)))</formula>
    </cfRule>
    <cfRule type="containsText" dxfId="1258" priority="988" operator="containsText" text="Sick">
      <formula>NOT(ISERROR(SEARCH("Sick",M51)))</formula>
    </cfRule>
  </conditionalFormatting>
  <conditionalFormatting sqref="M51:N54">
    <cfRule type="containsText" dxfId="1257" priority="978" operator="containsText" text="AB">
      <formula>NOT(ISERROR(SEARCH("AB",M51)))</formula>
    </cfRule>
  </conditionalFormatting>
  <conditionalFormatting sqref="M51:N55 AJ138:BN140 AO141:BN141 AJ142:BN142 AO143:BN143 BC144:BN144 AQ145:BN145">
    <cfRule type="containsText" dxfId="1256" priority="964" operator="containsText" text="EL">
      <formula>NOT(ISERROR(SEARCH("EL",M51)))</formula>
    </cfRule>
  </conditionalFormatting>
  <conditionalFormatting sqref="M52:N54">
    <cfRule type="containsText" dxfId="1255" priority="980" operator="containsText" text="OFF">
      <formula>NOT(ISERROR(SEARCH("OFF",M52)))</formula>
    </cfRule>
    <cfRule type="containsText" dxfId="1254" priority="975" operator="containsText" text="SUS">
      <formula>NOT(ISERROR(SEARCH("SUS",M52)))</formula>
    </cfRule>
    <cfRule type="containsText" dxfId="1253" priority="976" operator="containsText" text="FL">
      <formula>NOT(ISERROR(SEARCH("FL",M52)))</formula>
    </cfRule>
    <cfRule type="containsText" dxfId="1252" priority="977" operator="containsText" text="MC">
      <formula>NOT(ISERROR(SEARCH("MC",M52)))</formula>
    </cfRule>
    <cfRule type="containsText" dxfId="1251" priority="979" operator="containsText" text="Sick">
      <formula>NOT(ISERROR(SEARCH("Sick",M52)))</formula>
    </cfRule>
    <cfRule type="containsText" dxfId="1250" priority="981" operator="containsText" text="AL">
      <formula>NOT(ISERROR(SEARCH("AL",M52)))</formula>
    </cfRule>
  </conditionalFormatting>
  <conditionalFormatting sqref="M52:N55">
    <cfRule type="containsText" dxfId="1249" priority="969" operator="containsText" text="AB">
      <formula>NOT(ISERROR(SEARCH("AB",M52)))</formula>
    </cfRule>
  </conditionalFormatting>
  <conditionalFormatting sqref="M55:N55">
    <cfRule type="containsText" dxfId="1248" priority="968" operator="containsText" text="MC">
      <formula>NOT(ISERROR(SEARCH("MC",M55)))</formula>
    </cfRule>
    <cfRule type="containsText" dxfId="1247" priority="970" operator="containsText" text="Sick">
      <formula>NOT(ISERROR(SEARCH("Sick",M55)))</formula>
    </cfRule>
    <cfRule type="containsText" dxfId="1246" priority="971" operator="containsText" text="OFF">
      <formula>NOT(ISERROR(SEARCH("OFF",M55)))</formula>
    </cfRule>
    <cfRule type="containsText" dxfId="1245" priority="972" operator="containsText" text="AL">
      <formula>NOT(ISERROR(SEARCH("AL",M55)))</formula>
    </cfRule>
    <cfRule type="containsText" dxfId="1244" priority="966" operator="containsText" text="SUS">
      <formula>NOT(ISERROR(SEARCH("SUS",M55)))</formula>
    </cfRule>
    <cfRule type="containsText" dxfId="1243" priority="965" operator="containsText" text="AB">
      <formula>NOT(ISERROR(SEARCH("AB",M55)))</formula>
    </cfRule>
    <cfRule type="containsText" dxfId="1242" priority="967" operator="containsText" text="FL">
      <formula>NOT(ISERROR(SEARCH("FL",M55)))</formula>
    </cfRule>
  </conditionalFormatting>
  <conditionalFormatting sqref="M57:N58">
    <cfRule type="containsText" dxfId="1241" priority="963" operator="containsText" text="AL">
      <formula>NOT(ISERROR(SEARCH("AL",M57)))</formula>
    </cfRule>
    <cfRule type="containsText" dxfId="1240" priority="962" operator="containsText" text="OFF">
      <formula>NOT(ISERROR(SEARCH("OFF",M57)))</formula>
    </cfRule>
    <cfRule type="containsText" dxfId="1239" priority="961" operator="containsText" text="Sick">
      <formula>NOT(ISERROR(SEARCH("Sick",M57)))</formula>
    </cfRule>
    <cfRule type="containsText" dxfId="1238" priority="960" operator="containsText" text="AB">
      <formula>NOT(ISERROR(SEARCH("AB",M57)))</formula>
    </cfRule>
    <cfRule type="containsText" dxfId="1237" priority="959" operator="containsText" text="MC">
      <formula>NOT(ISERROR(SEARCH("MC",M57)))</formula>
    </cfRule>
    <cfRule type="containsText" dxfId="1236" priority="958" operator="containsText" text="FL">
      <formula>NOT(ISERROR(SEARCH("FL",M57)))</formula>
    </cfRule>
    <cfRule type="containsText" dxfId="1235" priority="957" operator="containsText" text="SUS">
      <formula>NOT(ISERROR(SEARCH("SUS",M57)))</formula>
    </cfRule>
    <cfRule type="containsText" dxfId="1234" priority="956" operator="containsText" text="AB">
      <formula>NOT(ISERROR(SEARCH("AB",M57)))</formula>
    </cfRule>
    <cfRule type="containsText" dxfId="1233" priority="955" operator="containsText" text="EL">
      <formula>NOT(ISERROR(SEARCH("EL",M57)))</formula>
    </cfRule>
  </conditionalFormatting>
  <conditionalFormatting sqref="M61:N62">
    <cfRule type="containsText" dxfId="1232" priority="954" operator="containsText" text="AL">
      <formula>NOT(ISERROR(SEARCH("AL",M61)))</formula>
    </cfRule>
    <cfRule type="containsText" dxfId="1231" priority="953" operator="containsText" text="OFF">
      <formula>NOT(ISERROR(SEARCH("OFF",M61)))</formula>
    </cfRule>
    <cfRule type="containsText" dxfId="1230" priority="950" operator="containsText" text="MC">
      <formula>NOT(ISERROR(SEARCH("MC",M61)))</formula>
    </cfRule>
    <cfRule type="containsText" dxfId="1229" priority="946" operator="containsText" text="EL">
      <formula>NOT(ISERROR(SEARCH("EL",M61)))</formula>
    </cfRule>
    <cfRule type="containsText" dxfId="1228" priority="947" operator="containsText" text="AB">
      <formula>NOT(ISERROR(SEARCH("AB",M61)))</formula>
    </cfRule>
    <cfRule type="containsText" dxfId="1227" priority="948" operator="containsText" text="SUS">
      <formula>NOT(ISERROR(SEARCH("SUS",M61)))</formula>
    </cfRule>
    <cfRule type="containsText" dxfId="1226" priority="949" operator="containsText" text="FL">
      <formula>NOT(ISERROR(SEARCH("FL",M61)))</formula>
    </cfRule>
    <cfRule type="containsText" dxfId="1225" priority="951" operator="containsText" text="AB">
      <formula>NOT(ISERROR(SEARCH("AB",M61)))</formula>
    </cfRule>
    <cfRule type="containsText" dxfId="1224" priority="952" operator="containsText" text="Sick">
      <formula>NOT(ISERROR(SEARCH("Sick",M61)))</formula>
    </cfRule>
  </conditionalFormatting>
  <conditionalFormatting sqref="M64:N65">
    <cfRule type="containsText" dxfId="1223" priority="943" operator="containsText" text="Sick">
      <formula>NOT(ISERROR(SEARCH("Sick",M64)))</formula>
    </cfRule>
    <cfRule type="containsText" dxfId="1222" priority="942" operator="containsText" text="AB">
      <formula>NOT(ISERROR(SEARCH("AB",M64)))</formula>
    </cfRule>
    <cfRule type="containsText" dxfId="1221" priority="940" operator="containsText" text="FL">
      <formula>NOT(ISERROR(SEARCH("FL",M64)))</formula>
    </cfRule>
    <cfRule type="containsText" dxfId="1220" priority="939" operator="containsText" text="SUS">
      <formula>NOT(ISERROR(SEARCH("SUS",M64)))</formula>
    </cfRule>
    <cfRule type="containsText" dxfId="1219" priority="938" operator="containsText" text="AB">
      <formula>NOT(ISERROR(SEARCH("AB",M64)))</formula>
    </cfRule>
    <cfRule type="containsText" dxfId="1218" priority="937" operator="containsText" text="EL">
      <formula>NOT(ISERROR(SEARCH("EL",M64)))</formula>
    </cfRule>
    <cfRule type="containsText" dxfId="1217" priority="941" operator="containsText" text="MC">
      <formula>NOT(ISERROR(SEARCH("MC",M64)))</formula>
    </cfRule>
    <cfRule type="containsText" dxfId="1216" priority="945" operator="containsText" text="AL">
      <formula>NOT(ISERROR(SEARCH("AL",M64)))</formula>
    </cfRule>
    <cfRule type="containsText" dxfId="1215" priority="944" operator="containsText" text="OFF">
      <formula>NOT(ISERROR(SEARCH("OFF",M64)))</formula>
    </cfRule>
  </conditionalFormatting>
  <conditionalFormatting sqref="M72:N72">
    <cfRule type="containsText" dxfId="1214" priority="924" operator="containsText" text="AB">
      <formula>NOT(ISERROR(SEARCH("AB",M72)))</formula>
    </cfRule>
    <cfRule type="containsText" dxfId="1213" priority="927" operator="containsText" text="AL">
      <formula>NOT(ISERROR(SEARCH("AL",M72)))</formula>
    </cfRule>
    <cfRule type="containsText" dxfId="1212" priority="926" operator="containsText" text="OFF">
      <formula>NOT(ISERROR(SEARCH("OFF",M72)))</formula>
    </cfRule>
    <cfRule type="containsText" dxfId="1211" priority="925" operator="containsText" text="Sick">
      <formula>NOT(ISERROR(SEARCH("Sick",M72)))</formula>
    </cfRule>
    <cfRule type="containsText" dxfId="1210" priority="923" operator="containsText" text="MC">
      <formula>NOT(ISERROR(SEARCH("MC",M72)))</formula>
    </cfRule>
    <cfRule type="containsText" dxfId="1209" priority="922" operator="containsText" text="FL">
      <formula>NOT(ISERROR(SEARCH("FL",M72)))</formula>
    </cfRule>
    <cfRule type="containsText" dxfId="1208" priority="921" operator="containsText" text="SUS">
      <formula>NOT(ISERROR(SEARCH("SUS",M72)))</formula>
    </cfRule>
    <cfRule type="containsText" dxfId="1207" priority="920" operator="containsText" text="AB">
      <formula>NOT(ISERROR(SEARCH("AB",M72)))</formula>
    </cfRule>
    <cfRule type="containsText" dxfId="1206" priority="919" operator="containsText" text="EL">
      <formula>NOT(ISERROR(SEARCH("EL",M72)))</formula>
    </cfRule>
  </conditionalFormatting>
  <conditionalFormatting sqref="M74:N76">
    <cfRule type="containsText" dxfId="1205" priority="916" operator="containsText" text="Sick">
      <formula>NOT(ISERROR(SEARCH("Sick",M74)))</formula>
    </cfRule>
    <cfRule type="containsText" dxfId="1204" priority="912" operator="containsText" text="SUS">
      <formula>NOT(ISERROR(SEARCH("SUS",M74)))</formula>
    </cfRule>
    <cfRule type="containsText" dxfId="1203" priority="910" operator="containsText" text="EL">
      <formula>NOT(ISERROR(SEARCH("EL",M74)))</formula>
    </cfRule>
    <cfRule type="containsText" dxfId="1202" priority="918" operator="containsText" text="AL">
      <formula>NOT(ISERROR(SEARCH("AL",M74)))</formula>
    </cfRule>
    <cfRule type="containsText" dxfId="1201" priority="911" operator="containsText" text="AB">
      <formula>NOT(ISERROR(SEARCH("AB",M74)))</formula>
    </cfRule>
    <cfRule type="containsText" dxfId="1200" priority="917" operator="containsText" text="OFF">
      <formula>NOT(ISERROR(SEARCH("OFF",M74)))</formula>
    </cfRule>
    <cfRule type="containsText" dxfId="1199" priority="913" operator="containsText" text="FL">
      <formula>NOT(ISERROR(SEARCH("FL",M74)))</formula>
    </cfRule>
    <cfRule type="containsText" dxfId="1198" priority="914" operator="containsText" text="MC">
      <formula>NOT(ISERROR(SEARCH("MC",M74)))</formula>
    </cfRule>
    <cfRule type="containsText" dxfId="1197" priority="915" operator="containsText" text="AB">
      <formula>NOT(ISERROR(SEARCH("AB",M74)))</formula>
    </cfRule>
  </conditionalFormatting>
  <conditionalFormatting sqref="M84:N84">
    <cfRule type="containsText" dxfId="1196" priority="904" operator="containsText" text="FL">
      <formula>NOT(ISERROR(SEARCH("FL",M84)))</formula>
    </cfRule>
    <cfRule type="containsText" dxfId="1195" priority="906" operator="containsText" text="AB">
      <formula>NOT(ISERROR(SEARCH("AB",M84)))</formula>
    </cfRule>
    <cfRule type="containsText" dxfId="1194" priority="909" operator="containsText" text="AL">
      <formula>NOT(ISERROR(SEARCH("AL",M84)))</formula>
    </cfRule>
    <cfRule type="containsText" dxfId="1193" priority="907" operator="containsText" text="Sick">
      <formula>NOT(ISERROR(SEARCH("Sick",M84)))</formula>
    </cfRule>
    <cfRule type="containsText" dxfId="1192" priority="908" operator="containsText" text="OFF">
      <formula>NOT(ISERROR(SEARCH("OFF",M84)))</formula>
    </cfRule>
    <cfRule type="containsText" dxfId="1191" priority="905" operator="containsText" text="MC">
      <formula>NOT(ISERROR(SEARCH("MC",M84)))</formula>
    </cfRule>
    <cfRule type="containsText" dxfId="1190" priority="901" operator="containsText" text="EL">
      <formula>NOT(ISERROR(SEARCH("EL",M84)))</formula>
    </cfRule>
    <cfRule type="containsText" dxfId="1189" priority="902" operator="containsText" text="AB">
      <formula>NOT(ISERROR(SEARCH("AB",M84)))</formula>
    </cfRule>
    <cfRule type="containsText" dxfId="1188" priority="903" operator="containsText" text="SUS">
      <formula>NOT(ISERROR(SEARCH("SUS",M84)))</formula>
    </cfRule>
  </conditionalFormatting>
  <conditionalFormatting sqref="M87:N87">
    <cfRule type="containsText" dxfId="1187" priority="893" operator="containsText" text="AB">
      <formula>NOT(ISERROR(SEARCH("AB",M87)))</formula>
    </cfRule>
    <cfRule type="containsText" dxfId="1186" priority="894" operator="containsText" text="SUS">
      <formula>NOT(ISERROR(SEARCH("SUS",M87)))</formula>
    </cfRule>
    <cfRule type="containsText" dxfId="1185" priority="895" operator="containsText" text="FL">
      <formula>NOT(ISERROR(SEARCH("FL",M87)))</formula>
    </cfRule>
    <cfRule type="containsText" dxfId="1184" priority="896" operator="containsText" text="MC">
      <formula>NOT(ISERROR(SEARCH("MC",M87)))</formula>
    </cfRule>
    <cfRule type="containsText" dxfId="1183" priority="897" operator="containsText" text="AB">
      <formula>NOT(ISERROR(SEARCH("AB",M87)))</formula>
    </cfRule>
    <cfRule type="containsText" dxfId="1182" priority="898" operator="containsText" text="Sick">
      <formula>NOT(ISERROR(SEARCH("Sick",M87)))</formula>
    </cfRule>
    <cfRule type="containsText" dxfId="1181" priority="899" operator="containsText" text="OFF">
      <formula>NOT(ISERROR(SEARCH("OFF",M87)))</formula>
    </cfRule>
    <cfRule type="containsText" dxfId="1180" priority="900" operator="containsText" text="AL">
      <formula>NOT(ISERROR(SEARCH("AL",M87)))</formula>
    </cfRule>
    <cfRule type="containsText" dxfId="1179" priority="892" operator="containsText" text="EL">
      <formula>NOT(ISERROR(SEARCH("EL",M87)))</formula>
    </cfRule>
  </conditionalFormatting>
  <conditionalFormatting sqref="M97:N98">
    <cfRule type="containsText" dxfId="1178" priority="884" operator="containsText" text="AB">
      <formula>NOT(ISERROR(SEARCH("AB",M97)))</formula>
    </cfRule>
    <cfRule type="containsText" dxfId="1177" priority="883" operator="containsText" text="EL">
      <formula>NOT(ISERROR(SEARCH("EL",M97)))</formula>
    </cfRule>
    <cfRule type="containsText" dxfId="1176" priority="889" operator="containsText" text="Sick">
      <formula>NOT(ISERROR(SEARCH("Sick",M97)))</formula>
    </cfRule>
    <cfRule type="containsText" dxfId="1175" priority="891" operator="containsText" text="AL">
      <formula>NOT(ISERROR(SEARCH("AL",M97)))</formula>
    </cfRule>
    <cfRule type="containsText" dxfId="1174" priority="886" operator="containsText" text="FL">
      <formula>NOT(ISERROR(SEARCH("FL",M97)))</formula>
    </cfRule>
    <cfRule type="containsText" dxfId="1173" priority="885" operator="containsText" text="SUS">
      <formula>NOT(ISERROR(SEARCH("SUS",M97)))</formula>
    </cfRule>
    <cfRule type="containsText" dxfId="1172" priority="887" operator="containsText" text="MC">
      <formula>NOT(ISERROR(SEARCH("MC",M97)))</formula>
    </cfRule>
    <cfRule type="containsText" dxfId="1171" priority="888" operator="containsText" text="AB">
      <formula>NOT(ISERROR(SEARCH("AB",M97)))</formula>
    </cfRule>
    <cfRule type="containsText" dxfId="1170" priority="890" operator="containsText" text="OFF">
      <formula>NOT(ISERROR(SEARCH("OFF",M97)))</formula>
    </cfRule>
  </conditionalFormatting>
  <conditionalFormatting sqref="M100:N102">
    <cfRule type="containsText" dxfId="1169" priority="882" operator="containsText" text="AL">
      <formula>NOT(ISERROR(SEARCH("AL",M100)))</formula>
    </cfRule>
    <cfRule type="containsText" dxfId="1168" priority="881" operator="containsText" text="OFF">
      <formula>NOT(ISERROR(SEARCH("OFF",M100)))</formula>
    </cfRule>
    <cfRule type="containsText" dxfId="1167" priority="877" operator="containsText" text="FL">
      <formula>NOT(ISERROR(SEARCH("FL",M100)))</formula>
    </cfRule>
    <cfRule type="containsText" dxfId="1166" priority="880" operator="containsText" text="Sick">
      <formula>NOT(ISERROR(SEARCH("Sick",M100)))</formula>
    </cfRule>
    <cfRule type="containsText" dxfId="1165" priority="879" operator="containsText" text="AB">
      <formula>NOT(ISERROR(SEARCH("AB",M100)))</formula>
    </cfRule>
    <cfRule type="containsText" dxfId="1164" priority="876" operator="containsText" text="SUS">
      <formula>NOT(ISERROR(SEARCH("SUS",M100)))</formula>
    </cfRule>
    <cfRule type="containsText" dxfId="1163" priority="878" operator="containsText" text="MC">
      <formula>NOT(ISERROR(SEARCH("MC",M100)))</formula>
    </cfRule>
    <cfRule type="containsText" dxfId="1162" priority="875" operator="containsText" text="AB">
      <formula>NOT(ISERROR(SEARCH("AB",M100)))</formula>
    </cfRule>
    <cfRule type="containsText" dxfId="1161" priority="874" operator="containsText" text="EL">
      <formula>NOT(ISERROR(SEARCH("EL",M100)))</formula>
    </cfRule>
  </conditionalFormatting>
  <conditionalFormatting sqref="M104:N104">
    <cfRule type="containsText" dxfId="1160" priority="873" operator="containsText" text="AL">
      <formula>NOT(ISERROR(SEARCH("AL",M104)))</formula>
    </cfRule>
    <cfRule type="containsText" dxfId="1159" priority="872" operator="containsText" text="OFF">
      <formula>NOT(ISERROR(SEARCH("OFF",M104)))</formula>
    </cfRule>
    <cfRule type="containsText" dxfId="1158" priority="871" operator="containsText" text="Sick">
      <formula>NOT(ISERROR(SEARCH("Sick",M104)))</formula>
    </cfRule>
    <cfRule type="containsText" dxfId="1157" priority="870" operator="containsText" text="AB">
      <formula>NOT(ISERROR(SEARCH("AB",M104)))</formula>
    </cfRule>
    <cfRule type="containsText" dxfId="1156" priority="869" operator="containsText" text="MC">
      <formula>NOT(ISERROR(SEARCH("MC",M104)))</formula>
    </cfRule>
    <cfRule type="containsText" dxfId="1155" priority="868" operator="containsText" text="FL">
      <formula>NOT(ISERROR(SEARCH("FL",M104)))</formula>
    </cfRule>
    <cfRule type="containsText" dxfId="1154" priority="867" operator="containsText" text="SUS">
      <formula>NOT(ISERROR(SEARCH("SUS",M104)))</formula>
    </cfRule>
    <cfRule type="containsText" dxfId="1153" priority="866" operator="containsText" text="AB">
      <formula>NOT(ISERROR(SEARCH("AB",M104)))</formula>
    </cfRule>
    <cfRule type="containsText" dxfId="1152" priority="865" operator="containsText" text="EL">
      <formula>NOT(ISERROR(SEARCH("EL",M104)))</formula>
    </cfRule>
  </conditionalFormatting>
  <conditionalFormatting sqref="P112:AE115 AA122:AA123">
    <cfRule type="containsText" dxfId="1151" priority="7041" stopIfTrue="1" operator="containsText" text="SP">
      <formula>NOT(ISERROR(SEARCH("SP",P112)))</formula>
    </cfRule>
    <cfRule type="containsText" priority="7042" stopIfTrue="1" operator="containsText" text="SP">
      <formula>NOT(ISERROR(SEARCH("SP",P112)))</formula>
    </cfRule>
    <cfRule type="containsText" dxfId="1150" priority="7043" stopIfTrue="1" operator="containsText" text="SICK">
      <formula>NOT(ISERROR(SEARCH("SICK",P112)))</formula>
    </cfRule>
    <cfRule type="containsText" dxfId="1149" priority="7039" stopIfTrue="1" operator="containsText" text="AB">
      <formula>NOT(ISERROR(SEARCH("AB",P112)))</formula>
    </cfRule>
    <cfRule type="containsText" dxfId="1148" priority="7040" stopIfTrue="1" operator="containsText" text="SICK">
      <formula>NOT(ISERROR(SEARCH("SICK",P112)))</formula>
    </cfRule>
  </conditionalFormatting>
  <conditionalFormatting sqref="S25:T25">
    <cfRule type="containsText" dxfId="1147" priority="859" operator="containsText" text="EL">
      <formula>NOT(ISERROR(SEARCH("EL",S25)))</formula>
    </cfRule>
    <cfRule type="containsText" dxfId="1146" priority="857" operator="containsText" text="SUS">
      <formula>NOT(ISERROR(SEARCH("SUS",S25)))</formula>
    </cfRule>
    <cfRule type="containsText" dxfId="1145" priority="855" operator="containsText" text="SP">
      <formula>NOT(ISERROR(SEARCH("SP",S25)))</formula>
    </cfRule>
    <cfRule type="containsText" dxfId="1144" priority="856" operator="containsText" text="NL">
      <formula>NOT(ISERROR(SEARCH("NL",S25)))</formula>
    </cfRule>
    <cfRule type="containsText" dxfId="1143" priority="864" operator="containsText" text="AL">
      <formula>NOT(ISERROR(SEARCH("AL",S25)))</formula>
    </cfRule>
    <cfRule type="containsText" dxfId="1142" priority="863" operator="containsText" text="SICK">
      <formula>NOT(ISERROR(SEARCH("SICK",S25)))</formula>
    </cfRule>
    <cfRule type="containsText" dxfId="1141" priority="862" operator="containsText" text="AB">
      <formula>NOT(ISERROR(SEARCH("AB",S25)))</formula>
    </cfRule>
    <cfRule type="containsText" dxfId="1140" priority="861" operator="containsText" text="OFF">
      <formula>NOT(ISERROR(SEARCH("OFF",S25)))</formula>
    </cfRule>
    <cfRule type="containsText" dxfId="1139" priority="860" operator="containsText" text="MC">
      <formula>NOT(ISERROR(SEARCH("MC",S25)))</formula>
    </cfRule>
    <cfRule type="containsText" dxfId="1138" priority="858" operator="containsText" text="FL">
      <formula>NOT(ISERROR(SEARCH("FL",S25)))</formula>
    </cfRule>
  </conditionalFormatting>
  <conditionalFormatting sqref="U26:V28">
    <cfRule type="containsText" dxfId="1137" priority="835" operator="containsText" text="SP">
      <formula>NOT(ISERROR(SEARCH("SP",U26)))</formula>
    </cfRule>
    <cfRule type="containsText" dxfId="1136" priority="836" operator="containsText" text="NL">
      <formula>NOT(ISERROR(SEARCH("NL",U26)))</formula>
    </cfRule>
    <cfRule type="containsText" dxfId="1135" priority="843" operator="containsText" text="SICK">
      <formula>NOT(ISERROR(SEARCH("SICK",U26)))</formula>
    </cfRule>
    <cfRule type="containsText" dxfId="1134" priority="837" operator="containsText" text="SUS">
      <formula>NOT(ISERROR(SEARCH("SUS",U26)))</formula>
    </cfRule>
    <cfRule type="containsText" dxfId="1133" priority="838" operator="containsText" text="FL">
      <formula>NOT(ISERROR(SEARCH("FL",U26)))</formula>
    </cfRule>
    <cfRule type="containsText" dxfId="1132" priority="840" operator="containsText" text="MC">
      <formula>NOT(ISERROR(SEARCH("MC",U26)))</formula>
    </cfRule>
    <cfRule type="containsText" dxfId="1131" priority="841" operator="containsText" text="OFF">
      <formula>NOT(ISERROR(SEARCH("OFF",U26)))</formula>
    </cfRule>
    <cfRule type="containsText" dxfId="1130" priority="842" operator="containsText" text="AB">
      <formula>NOT(ISERROR(SEARCH("AB",U26)))</formula>
    </cfRule>
    <cfRule type="containsText" dxfId="1129" priority="844" operator="containsText" text="AL">
      <formula>NOT(ISERROR(SEARCH("AL",U26)))</formula>
    </cfRule>
    <cfRule type="containsText" dxfId="1128" priority="839" operator="containsText" text="EL">
      <formula>NOT(ISERROR(SEARCH("EL",U26)))</formula>
    </cfRule>
  </conditionalFormatting>
  <conditionalFormatting sqref="W25:X25">
    <cfRule type="containsText" dxfId="1127" priority="846" operator="containsText" text="NL">
      <formula>NOT(ISERROR(SEARCH("NL",W25)))</formula>
    </cfRule>
    <cfRule type="containsText" dxfId="1126" priority="854" operator="containsText" text="AL">
      <formula>NOT(ISERROR(SEARCH("AL",W25)))</formula>
    </cfRule>
    <cfRule type="containsText" dxfId="1125" priority="845" operator="containsText" text="SP">
      <formula>NOT(ISERROR(SEARCH("SP",W25)))</formula>
    </cfRule>
    <cfRule type="containsText" dxfId="1124" priority="853" operator="containsText" text="SICK">
      <formula>NOT(ISERROR(SEARCH("SICK",W25)))</formula>
    </cfRule>
    <cfRule type="containsText" dxfId="1123" priority="852" operator="containsText" text="AB">
      <formula>NOT(ISERROR(SEARCH("AB",W25)))</formula>
    </cfRule>
    <cfRule type="containsText" dxfId="1122" priority="851" operator="containsText" text="OFF">
      <formula>NOT(ISERROR(SEARCH("OFF",W25)))</formula>
    </cfRule>
    <cfRule type="containsText" dxfId="1121" priority="850" operator="containsText" text="MC">
      <formula>NOT(ISERROR(SEARCH("MC",W25)))</formula>
    </cfRule>
    <cfRule type="containsText" dxfId="1120" priority="849" operator="containsText" text="EL">
      <formula>NOT(ISERROR(SEARCH("EL",W25)))</formula>
    </cfRule>
    <cfRule type="containsText" dxfId="1119" priority="848" operator="containsText" text="FL">
      <formula>NOT(ISERROR(SEARCH("FL",W25)))</formula>
    </cfRule>
    <cfRule type="containsText" dxfId="1118" priority="847" operator="containsText" text="SUS">
      <formula>NOT(ISERROR(SEARCH("SUS",W25)))</formula>
    </cfRule>
  </conditionalFormatting>
  <conditionalFormatting sqref="W81:X81">
    <cfRule type="containsText" dxfId="1117" priority="4" operator="containsText" text="FL">
      <formula>NOT(ISERROR(SEARCH("FL",W81)))</formula>
    </cfRule>
    <cfRule type="containsText" dxfId="1116" priority="5" operator="containsText" text="EL">
      <formula>NOT(ISERROR(SEARCH("EL",W81)))</formula>
    </cfRule>
    <cfRule type="containsText" dxfId="1115" priority="6" operator="containsText" text="MC">
      <formula>NOT(ISERROR(SEARCH("MC",W81)))</formula>
    </cfRule>
    <cfRule type="containsText" dxfId="1114" priority="7" operator="containsText" text="OFF">
      <formula>NOT(ISERROR(SEARCH("OFF",W81)))</formula>
    </cfRule>
    <cfRule type="containsText" dxfId="1113" priority="9" operator="containsText" text="SICK">
      <formula>NOT(ISERROR(SEARCH("SICK",W81)))</formula>
    </cfRule>
    <cfRule type="containsText" dxfId="1112" priority="8" operator="containsText" text="AB">
      <formula>NOT(ISERROR(SEARCH("AB",W81)))</formula>
    </cfRule>
    <cfRule type="containsText" dxfId="1111" priority="10" operator="containsText" text="AL">
      <formula>NOT(ISERROR(SEARCH("AL",W81)))</formula>
    </cfRule>
    <cfRule type="containsText" dxfId="1110" priority="2" operator="containsText" text="NL">
      <formula>NOT(ISERROR(SEARCH("NL",W81)))</formula>
    </cfRule>
    <cfRule type="containsText" dxfId="1109" priority="3" operator="containsText" text="SUS">
      <formula>NOT(ISERROR(SEARCH("SUS",W81)))</formula>
    </cfRule>
    <cfRule type="containsText" dxfId="1108" priority="1" operator="containsText" text="SP">
      <formula>NOT(ISERROR(SEARCH("SP",W81)))</formula>
    </cfRule>
  </conditionalFormatting>
  <conditionalFormatting sqref="W140:AI140 AJ141 AJ143:AJ144">
    <cfRule type="containsText" dxfId="1107" priority="2990" operator="containsText" text="EL">
      <formula>NOT(ISERROR(SEARCH("EL",W140)))</formula>
    </cfRule>
    <cfRule type="containsText" dxfId="1106" priority="2993" operator="containsText" text="AB">
      <formula>NOT(ISERROR(SEARCH("AB",W140)))</formula>
    </cfRule>
  </conditionalFormatting>
  <conditionalFormatting sqref="W140:BN140 AJ141 AJ143:AJ145 AJ5:AJ28 AJ138:BN139 AO141:BN141 AJ142:BN142 AO143:BN143 BC144:BN144 AQ145:BN145">
    <cfRule type="containsText" dxfId="1105" priority="2991" operator="containsText" text="MC">
      <formula>NOT(ISERROR(SEARCH("MC",W5)))</formula>
    </cfRule>
  </conditionalFormatting>
  <conditionalFormatting sqref="W140:BN140 AJ141 AJ143:AJ145 AJ28 AO141:BN141 AJ142:BN142 AO143:BN143 BC144:BN144 AQ145:BN145">
    <cfRule type="containsText" dxfId="1104" priority="2994" operator="containsText" text="SICK">
      <formula>NOT(ISERROR(SEARCH("SICK",W28)))</formula>
    </cfRule>
  </conditionalFormatting>
  <conditionalFormatting sqref="X22">
    <cfRule type="containsText" dxfId="1103" priority="817" operator="containsText" text="NL">
      <formula>NOT(ISERROR(SEARCH("NL",X22)))</formula>
    </cfRule>
    <cfRule type="containsText" dxfId="1102" priority="818" operator="containsText" text="SUS">
      <formula>NOT(ISERROR(SEARCH("SUS",X22)))</formula>
    </cfRule>
    <cfRule type="containsText" dxfId="1101" priority="819" operator="containsText" text="FL">
      <formula>NOT(ISERROR(SEARCH("FL",X22)))</formula>
    </cfRule>
    <cfRule type="containsText" dxfId="1100" priority="821" operator="containsText" text="MC">
      <formula>NOT(ISERROR(SEARCH("MC",X22)))</formula>
    </cfRule>
    <cfRule type="containsText" dxfId="1099" priority="822" operator="containsText" text="OFF">
      <formula>NOT(ISERROR(SEARCH("OFF",X22)))</formula>
    </cfRule>
    <cfRule type="containsText" dxfId="1098" priority="824" operator="containsText" text="SICK">
      <formula>NOT(ISERROR(SEARCH("SICK",X22)))</formula>
    </cfRule>
    <cfRule type="containsText" dxfId="1097" priority="825" operator="containsText" text="AL">
      <formula>NOT(ISERROR(SEARCH("AL",X22)))</formula>
    </cfRule>
    <cfRule type="containsText" dxfId="1096" priority="816" operator="containsText" text="SP">
      <formula>NOT(ISERROR(SEARCH("SP",X22)))</formula>
    </cfRule>
  </conditionalFormatting>
  <conditionalFormatting sqref="X22:Z22">
    <cfRule type="containsText" dxfId="1095" priority="820" operator="containsText" text="EL">
      <formula>NOT(ISERROR(SEARCH("EL",X22)))</formula>
    </cfRule>
    <cfRule type="containsText" dxfId="1094" priority="823" operator="containsText" text="AB">
      <formula>NOT(ISERROR(SEARCH("AB",X22)))</formula>
    </cfRule>
  </conditionalFormatting>
  <conditionalFormatting sqref="Y22:Z22">
    <cfRule type="containsText" dxfId="1093" priority="828" operator="containsText" text="SUS">
      <formula>NOT(ISERROR(SEARCH("SUS",Y22)))</formula>
    </cfRule>
    <cfRule type="containsText" dxfId="1092" priority="829" operator="containsText" text="FL">
      <formula>NOT(ISERROR(SEARCH("FL",Y22)))</formula>
    </cfRule>
    <cfRule type="containsText" dxfId="1091" priority="830" operator="containsText" text="MC">
      <formula>NOT(ISERROR(SEARCH("MC",Y22)))</formula>
    </cfRule>
    <cfRule type="containsText" dxfId="1090" priority="831" operator="containsText" text="AB">
      <formula>NOT(ISERROR(SEARCH("AB",Y22)))</formula>
    </cfRule>
    <cfRule type="containsText" dxfId="1089" priority="832" operator="containsText" text="Sick">
      <formula>NOT(ISERROR(SEARCH("Sick",Y22)))</formula>
    </cfRule>
    <cfRule type="containsText" dxfId="1088" priority="833" operator="containsText" text="OFF">
      <formula>NOT(ISERROR(SEARCH("OFF",Y22)))</formula>
    </cfRule>
    <cfRule type="containsText" dxfId="1087" priority="834" operator="containsText" text="AL">
      <formula>NOT(ISERROR(SEARCH("AL",Y22)))</formula>
    </cfRule>
  </conditionalFormatting>
  <conditionalFormatting sqref="Y138:AI139 E144:F144">
    <cfRule type="containsText" dxfId="1086" priority="3013" operator="containsText" text="MC">
      <formula>NOT(ISERROR(SEARCH("MC",E138)))</formula>
    </cfRule>
  </conditionalFormatting>
  <conditionalFormatting sqref="Y138:AI139">
    <cfRule type="containsText" dxfId="1085" priority="3009" operator="containsText" text="SUS">
      <formula>NOT(ISERROR(SEARCH("SUS",Y138)))</formula>
    </cfRule>
    <cfRule type="containsText" dxfId="1084" priority="3008" operator="containsText" text="AB">
      <formula>NOT(ISERROR(SEARCH("AB",Y138)))</formula>
    </cfRule>
    <cfRule type="containsText" dxfId="1083" priority="3007" operator="containsText" text="EL">
      <formula>NOT(ISERROR(SEARCH("EL",Y138)))</formula>
    </cfRule>
    <cfRule type="containsText" dxfId="1082" priority="3012" operator="containsText" text="FL">
      <formula>NOT(ISERROR(SEARCH("FL",Y138)))</formula>
    </cfRule>
  </conditionalFormatting>
  <conditionalFormatting sqref="Y70:AJ70">
    <cfRule type="containsText" dxfId="1081" priority="239" operator="containsText" text="NL">
      <formula>NOT(ISERROR(SEARCH("NL",Y70)))</formula>
    </cfRule>
    <cfRule type="containsText" dxfId="1080" priority="238" operator="containsText" text="SP">
      <formula>NOT(ISERROR(SEARCH("SP",Y70)))</formula>
    </cfRule>
    <cfRule type="containsText" dxfId="1079" priority="243" operator="containsText" text="MC">
      <formula>NOT(ISERROR(SEARCH("MC",Y70)))</formula>
    </cfRule>
    <cfRule type="containsText" dxfId="1078" priority="246" operator="containsText" text="SICK">
      <formula>NOT(ISERROR(SEARCH("SICK",Y70)))</formula>
    </cfRule>
    <cfRule type="containsText" dxfId="1077" priority="247" operator="containsText" text="AL">
      <formula>NOT(ISERROR(SEARCH("AL",Y70)))</formula>
    </cfRule>
    <cfRule type="containsText" dxfId="1076" priority="241" operator="containsText" text="FL">
      <formula>NOT(ISERROR(SEARCH("FL",Y70)))</formula>
    </cfRule>
    <cfRule type="containsText" dxfId="1075" priority="244" operator="containsText" text="OFF">
      <formula>NOT(ISERROR(SEARCH("OFF",Y70)))</formula>
    </cfRule>
    <cfRule type="containsText" dxfId="1074" priority="240" operator="containsText" text="SUS">
      <formula>NOT(ISERROR(SEARCH("SUS",Y70)))</formula>
    </cfRule>
  </conditionalFormatting>
  <conditionalFormatting sqref="AA5:AB5">
    <cfRule type="containsText" dxfId="1073" priority="815" operator="containsText" text="AL">
      <formula>NOT(ISERROR(SEARCH("AL",AA5)))</formula>
    </cfRule>
    <cfRule type="containsText" dxfId="1072" priority="814" operator="containsText" text="OFF">
      <formula>NOT(ISERROR(SEARCH("OFF",AA5)))</formula>
    </cfRule>
    <cfRule type="containsText" dxfId="1071" priority="813" operator="containsText" text="Sick">
      <formula>NOT(ISERROR(SEARCH("Sick",AA5)))</formula>
    </cfRule>
    <cfRule type="containsText" dxfId="1070" priority="812" operator="containsText" text="AB">
      <formula>NOT(ISERROR(SEARCH("AB",AA5)))</formula>
    </cfRule>
    <cfRule type="containsText" dxfId="1069" priority="811" operator="containsText" text="MC">
      <formula>NOT(ISERROR(SEARCH("MC",AA5)))</formula>
    </cfRule>
    <cfRule type="containsText" dxfId="1068" priority="810" operator="containsText" text="FL">
      <formula>NOT(ISERROR(SEARCH("FL",AA5)))</formula>
    </cfRule>
    <cfRule type="containsText" dxfId="1067" priority="809" operator="containsText" text="SUS">
      <formula>NOT(ISERROR(SEARCH("SUS",AA5)))</formula>
    </cfRule>
    <cfRule type="containsText" dxfId="1066" priority="808" operator="containsText" text="AB">
      <formula>NOT(ISERROR(SEARCH("AB",AA5)))</formula>
    </cfRule>
    <cfRule type="containsText" dxfId="1065" priority="807" operator="containsText" text="EL">
      <formula>NOT(ISERROR(SEARCH("EL",AA5)))</formula>
    </cfRule>
  </conditionalFormatting>
  <conditionalFormatting sqref="AA9:AB12">
    <cfRule type="containsText" dxfId="1064" priority="806" operator="containsText" text="AL">
      <formula>NOT(ISERROR(SEARCH("AL",AA9)))</formula>
    </cfRule>
    <cfRule type="containsText" dxfId="1063" priority="800" operator="containsText" text="SUS">
      <formula>NOT(ISERROR(SEARCH("SUS",AA9)))</formula>
    </cfRule>
    <cfRule type="containsText" dxfId="1062" priority="801" operator="containsText" text="FL">
      <formula>NOT(ISERROR(SEARCH("FL",AA9)))</formula>
    </cfRule>
    <cfRule type="containsText" dxfId="1061" priority="798" operator="containsText" text="EL">
      <formula>NOT(ISERROR(SEARCH("EL",AA9)))</formula>
    </cfRule>
    <cfRule type="containsText" dxfId="1060" priority="799" operator="containsText" text="AB">
      <formula>NOT(ISERROR(SEARCH("AB",AA9)))</formula>
    </cfRule>
    <cfRule type="containsText" dxfId="1059" priority="802" operator="containsText" text="MC">
      <formula>NOT(ISERROR(SEARCH("MC",AA9)))</formula>
    </cfRule>
    <cfRule type="containsText" dxfId="1058" priority="803" operator="containsText" text="AB">
      <formula>NOT(ISERROR(SEARCH("AB",AA9)))</formula>
    </cfRule>
    <cfRule type="containsText" dxfId="1057" priority="804" operator="containsText" text="Sick">
      <formula>NOT(ISERROR(SEARCH("Sick",AA9)))</formula>
    </cfRule>
    <cfRule type="containsText" dxfId="1056" priority="805" operator="containsText" text="OFF">
      <formula>NOT(ISERROR(SEARCH("OFF",AA9)))</formula>
    </cfRule>
  </conditionalFormatting>
  <conditionalFormatting sqref="AA15:AB16">
    <cfRule type="containsText" dxfId="1055" priority="791" operator="containsText" text="SUS">
      <formula>NOT(ISERROR(SEARCH("SUS",AA15)))</formula>
    </cfRule>
    <cfRule type="containsText" dxfId="1054" priority="790" operator="containsText" text="AB">
      <formula>NOT(ISERROR(SEARCH("AB",AA15)))</formula>
    </cfRule>
    <cfRule type="containsText" dxfId="1053" priority="789" operator="containsText" text="EL">
      <formula>NOT(ISERROR(SEARCH("EL",AA15)))</formula>
    </cfRule>
    <cfRule type="containsText" dxfId="1052" priority="793" operator="containsText" text="MC">
      <formula>NOT(ISERROR(SEARCH("MC",AA15)))</formula>
    </cfRule>
    <cfRule type="containsText" dxfId="1051" priority="797" operator="containsText" text="AL">
      <formula>NOT(ISERROR(SEARCH("AL",AA15)))</formula>
    </cfRule>
    <cfRule type="containsText" dxfId="1050" priority="796" operator="containsText" text="OFF">
      <formula>NOT(ISERROR(SEARCH("OFF",AA15)))</formula>
    </cfRule>
    <cfRule type="containsText" dxfId="1049" priority="795" operator="containsText" text="Sick">
      <formula>NOT(ISERROR(SEARCH("Sick",AA15)))</formula>
    </cfRule>
    <cfRule type="containsText" dxfId="1048" priority="794" operator="containsText" text="AB">
      <formula>NOT(ISERROR(SEARCH("AB",AA15)))</formula>
    </cfRule>
    <cfRule type="containsText" dxfId="1047" priority="792" operator="containsText" text="FL">
      <formula>NOT(ISERROR(SEARCH("FL",AA15)))</formula>
    </cfRule>
  </conditionalFormatting>
  <conditionalFormatting sqref="AA24:AB24">
    <cfRule type="containsText" dxfId="1046" priority="787" operator="containsText" text="OFF">
      <formula>NOT(ISERROR(SEARCH("OFF",AA24)))</formula>
    </cfRule>
    <cfRule type="containsText" dxfId="1045" priority="786" operator="containsText" text="Sick">
      <formula>NOT(ISERROR(SEARCH("Sick",AA24)))</formula>
    </cfRule>
    <cfRule type="containsText" dxfId="1044" priority="785" operator="containsText" text="AB">
      <formula>NOT(ISERROR(SEARCH("AB",AA24)))</formula>
    </cfRule>
    <cfRule type="containsText" dxfId="1043" priority="784" operator="containsText" text="MC">
      <formula>NOT(ISERROR(SEARCH("MC",AA24)))</formula>
    </cfRule>
    <cfRule type="containsText" dxfId="1042" priority="783" operator="containsText" text="FL">
      <formula>NOT(ISERROR(SEARCH("FL",AA24)))</formula>
    </cfRule>
    <cfRule type="containsText" dxfId="1041" priority="782" operator="containsText" text="SUS">
      <formula>NOT(ISERROR(SEARCH("SUS",AA24)))</formula>
    </cfRule>
    <cfRule type="containsText" dxfId="1040" priority="780" operator="containsText" text="EL">
      <formula>NOT(ISERROR(SEARCH("EL",AA24)))</formula>
    </cfRule>
    <cfRule type="containsText" dxfId="1039" priority="781" operator="containsText" text="AB">
      <formula>NOT(ISERROR(SEARCH("AB",AA24)))</formula>
    </cfRule>
    <cfRule type="containsText" dxfId="1038" priority="788" operator="containsText" text="AL">
      <formula>NOT(ISERROR(SEARCH("AL",AA24)))</formula>
    </cfRule>
  </conditionalFormatting>
  <conditionalFormatting sqref="AA27:AB27">
    <cfRule type="containsText" dxfId="1037" priority="772" operator="containsText" text="AB">
      <formula>NOT(ISERROR(SEARCH("AB",AA27)))</formula>
    </cfRule>
    <cfRule type="containsText" dxfId="1036" priority="771" operator="containsText" text="EL">
      <formula>NOT(ISERROR(SEARCH("EL",AA27)))</formula>
    </cfRule>
    <cfRule type="containsText" dxfId="1035" priority="776" operator="containsText" text="AB">
      <formula>NOT(ISERROR(SEARCH("AB",AA27)))</formula>
    </cfRule>
    <cfRule type="containsText" dxfId="1034" priority="774" operator="containsText" text="FL">
      <formula>NOT(ISERROR(SEARCH("FL",AA27)))</formula>
    </cfRule>
    <cfRule type="containsText" dxfId="1033" priority="775" operator="containsText" text="MC">
      <formula>NOT(ISERROR(SEARCH("MC",AA27)))</formula>
    </cfRule>
    <cfRule type="containsText" dxfId="1032" priority="777" operator="containsText" text="Sick">
      <formula>NOT(ISERROR(SEARCH("Sick",AA27)))</formula>
    </cfRule>
    <cfRule type="containsText" dxfId="1031" priority="778" operator="containsText" text="OFF">
      <formula>NOT(ISERROR(SEARCH("OFF",AA27)))</formula>
    </cfRule>
    <cfRule type="containsText" dxfId="1030" priority="779" operator="containsText" text="AL">
      <formula>NOT(ISERROR(SEARCH("AL",AA27)))</formula>
    </cfRule>
    <cfRule type="containsText" dxfId="1029" priority="773" operator="containsText" text="SUS">
      <formula>NOT(ISERROR(SEARCH("SUS",AA27)))</formula>
    </cfRule>
  </conditionalFormatting>
  <conditionalFormatting sqref="AA44:AB45">
    <cfRule type="containsText" dxfId="1028" priority="770" operator="containsText" text="AL">
      <formula>NOT(ISERROR(SEARCH("AL",AA44)))</formula>
    </cfRule>
    <cfRule type="containsText" dxfId="1027" priority="769" operator="containsText" text="OFF">
      <formula>NOT(ISERROR(SEARCH("OFF",AA44)))</formula>
    </cfRule>
    <cfRule type="containsText" dxfId="1026" priority="768" operator="containsText" text="Sick">
      <formula>NOT(ISERROR(SEARCH("Sick",AA44)))</formula>
    </cfRule>
    <cfRule type="containsText" dxfId="1025" priority="767" operator="containsText" text="AB">
      <formula>NOT(ISERROR(SEARCH("AB",AA44)))</formula>
    </cfRule>
    <cfRule type="containsText" dxfId="1024" priority="766" operator="containsText" text="MC">
      <formula>NOT(ISERROR(SEARCH("MC",AA44)))</formula>
    </cfRule>
    <cfRule type="containsText" dxfId="1023" priority="765" operator="containsText" text="FL">
      <formula>NOT(ISERROR(SEARCH("FL",AA44)))</formula>
    </cfRule>
    <cfRule type="containsText" dxfId="1022" priority="763" operator="containsText" text="AB">
      <formula>NOT(ISERROR(SEARCH("AB",AA44)))</formula>
    </cfRule>
    <cfRule type="containsText" dxfId="1021" priority="762" operator="containsText" text="EL">
      <formula>NOT(ISERROR(SEARCH("EL",AA44)))</formula>
    </cfRule>
    <cfRule type="containsText" dxfId="1020" priority="764" operator="containsText" text="SUS">
      <formula>NOT(ISERROR(SEARCH("SUS",AA44)))</formula>
    </cfRule>
  </conditionalFormatting>
  <conditionalFormatting sqref="AA48:AB48">
    <cfRule type="containsText" dxfId="1019" priority="761" operator="containsText" text="AL">
      <formula>NOT(ISERROR(SEARCH("AL",AA48)))</formula>
    </cfRule>
    <cfRule type="containsText" dxfId="1018" priority="760" operator="containsText" text="OFF">
      <formula>NOT(ISERROR(SEARCH("OFF",AA48)))</formula>
    </cfRule>
    <cfRule type="containsText" dxfId="1017" priority="759" operator="containsText" text="Sick">
      <formula>NOT(ISERROR(SEARCH("Sick",AA48)))</formula>
    </cfRule>
    <cfRule type="containsText" dxfId="1016" priority="758" operator="containsText" text="AB">
      <formula>NOT(ISERROR(SEARCH("AB",AA48)))</formula>
    </cfRule>
    <cfRule type="containsText" dxfId="1015" priority="757" operator="containsText" text="MC">
      <formula>NOT(ISERROR(SEARCH("MC",AA48)))</formula>
    </cfRule>
    <cfRule type="containsText" dxfId="1014" priority="756" operator="containsText" text="FL">
      <formula>NOT(ISERROR(SEARCH("FL",AA48)))</formula>
    </cfRule>
    <cfRule type="containsText" dxfId="1013" priority="755" operator="containsText" text="SUS">
      <formula>NOT(ISERROR(SEARCH("SUS",AA48)))</formula>
    </cfRule>
    <cfRule type="containsText" dxfId="1012" priority="754" operator="containsText" text="AB">
      <formula>NOT(ISERROR(SEARCH("AB",AA48)))</formula>
    </cfRule>
    <cfRule type="containsText" dxfId="1011" priority="753" operator="containsText" text="EL">
      <formula>NOT(ISERROR(SEARCH("EL",AA48)))</formula>
    </cfRule>
  </conditionalFormatting>
  <conditionalFormatting sqref="AA50:AB50">
    <cfRule type="containsText" dxfId="1010" priority="747" operator="containsText" text="FL">
      <formula>NOT(ISERROR(SEARCH("FL",AA50)))</formula>
    </cfRule>
    <cfRule type="containsText" dxfId="1009" priority="746" operator="containsText" text="SUS">
      <formula>NOT(ISERROR(SEARCH("SUS",AA50)))</formula>
    </cfRule>
    <cfRule type="containsText" dxfId="1008" priority="745" operator="containsText" text="AB">
      <formula>NOT(ISERROR(SEARCH("AB",AA50)))</formula>
    </cfRule>
    <cfRule type="containsText" dxfId="1007" priority="744" operator="containsText" text="EL">
      <formula>NOT(ISERROR(SEARCH("EL",AA50)))</formula>
    </cfRule>
    <cfRule type="containsText" dxfId="1006" priority="749" operator="containsText" text="AB">
      <formula>NOT(ISERROR(SEARCH("AB",AA50)))</formula>
    </cfRule>
    <cfRule type="containsText" dxfId="1005" priority="752" operator="containsText" text="AL">
      <formula>NOT(ISERROR(SEARCH("AL",AA50)))</formula>
    </cfRule>
    <cfRule type="containsText" dxfId="1004" priority="751" operator="containsText" text="OFF">
      <formula>NOT(ISERROR(SEARCH("OFF",AA50)))</formula>
    </cfRule>
    <cfRule type="containsText" dxfId="1003" priority="750" operator="containsText" text="Sick">
      <formula>NOT(ISERROR(SEARCH("Sick",AA50)))</formula>
    </cfRule>
    <cfRule type="containsText" dxfId="1002" priority="748" operator="containsText" text="MC">
      <formula>NOT(ISERROR(SEARCH("MC",AA50)))</formula>
    </cfRule>
  </conditionalFormatting>
  <conditionalFormatting sqref="AA56:AB56">
    <cfRule type="containsText" dxfId="1001" priority="729" operator="containsText" text="FL">
      <formula>NOT(ISERROR(SEARCH("FL",AA56)))</formula>
    </cfRule>
    <cfRule type="containsText" dxfId="1000" priority="728" operator="containsText" text="SUS">
      <formula>NOT(ISERROR(SEARCH("SUS",AA56)))</formula>
    </cfRule>
    <cfRule type="containsText" dxfId="999" priority="726" operator="containsText" text="EL">
      <formula>NOT(ISERROR(SEARCH("EL",AA56)))</formula>
    </cfRule>
    <cfRule type="containsText" dxfId="998" priority="734" operator="containsText" text="AL">
      <formula>NOT(ISERROR(SEARCH("AL",AA56)))</formula>
    </cfRule>
    <cfRule type="containsText" dxfId="997" priority="727" operator="containsText" text="AB">
      <formula>NOT(ISERROR(SEARCH("AB",AA56)))</formula>
    </cfRule>
    <cfRule type="containsText" dxfId="996" priority="733" operator="containsText" text="OFF">
      <formula>NOT(ISERROR(SEARCH("OFF",AA56)))</formula>
    </cfRule>
    <cfRule type="containsText" dxfId="995" priority="732" operator="containsText" text="Sick">
      <formula>NOT(ISERROR(SEARCH("Sick",AA56)))</formula>
    </cfRule>
    <cfRule type="containsText" dxfId="994" priority="731" operator="containsText" text="AB">
      <formula>NOT(ISERROR(SEARCH("AB",AA56)))</formula>
    </cfRule>
    <cfRule type="containsText" dxfId="993" priority="730" operator="containsText" text="MC">
      <formula>NOT(ISERROR(SEARCH("MC",AA56)))</formula>
    </cfRule>
  </conditionalFormatting>
  <conditionalFormatting sqref="AA59:AB60">
    <cfRule type="containsText" dxfId="992" priority="724" operator="containsText" text="OFF">
      <formula>NOT(ISERROR(SEARCH("OFF",AA59)))</formula>
    </cfRule>
    <cfRule type="containsText" dxfId="991" priority="723" operator="containsText" text="Sick">
      <formula>NOT(ISERROR(SEARCH("Sick",AA59)))</formula>
    </cfRule>
    <cfRule type="containsText" dxfId="990" priority="722" operator="containsText" text="AB">
      <formula>NOT(ISERROR(SEARCH("AB",AA59)))</formula>
    </cfRule>
    <cfRule type="containsText" dxfId="989" priority="721" operator="containsText" text="MC">
      <formula>NOT(ISERROR(SEARCH("MC",AA59)))</formula>
    </cfRule>
    <cfRule type="containsText" dxfId="988" priority="720" operator="containsText" text="FL">
      <formula>NOT(ISERROR(SEARCH("FL",AA59)))</formula>
    </cfRule>
    <cfRule type="containsText" dxfId="987" priority="719" operator="containsText" text="SUS">
      <formula>NOT(ISERROR(SEARCH("SUS",AA59)))</formula>
    </cfRule>
    <cfRule type="containsText" dxfId="986" priority="718" operator="containsText" text="AB">
      <formula>NOT(ISERROR(SEARCH("AB",AA59)))</formula>
    </cfRule>
    <cfRule type="containsText" dxfId="985" priority="717" operator="containsText" text="EL">
      <formula>NOT(ISERROR(SEARCH("EL",AA59)))</formula>
    </cfRule>
    <cfRule type="containsText" dxfId="984" priority="725" operator="containsText" text="AL">
      <formula>NOT(ISERROR(SEARCH("AL",AA59)))</formula>
    </cfRule>
  </conditionalFormatting>
  <conditionalFormatting sqref="AA63:AB63">
    <cfRule type="containsText" dxfId="983" priority="715" operator="containsText" text="OFF">
      <formula>NOT(ISERROR(SEARCH("OFF",AA63)))</formula>
    </cfRule>
    <cfRule type="containsText" dxfId="982" priority="716" operator="containsText" text="AL">
      <formula>NOT(ISERROR(SEARCH("AL",AA63)))</formula>
    </cfRule>
    <cfRule type="containsText" dxfId="981" priority="708" operator="containsText" text="EL">
      <formula>NOT(ISERROR(SEARCH("EL",AA63)))</formula>
    </cfRule>
    <cfRule type="containsText" dxfId="980" priority="709" operator="containsText" text="AB">
      <formula>NOT(ISERROR(SEARCH("AB",AA63)))</formula>
    </cfRule>
    <cfRule type="containsText" dxfId="979" priority="710" operator="containsText" text="SUS">
      <formula>NOT(ISERROR(SEARCH("SUS",AA63)))</formula>
    </cfRule>
    <cfRule type="containsText" dxfId="978" priority="711" operator="containsText" text="FL">
      <formula>NOT(ISERROR(SEARCH("FL",AA63)))</formula>
    </cfRule>
    <cfRule type="containsText" dxfId="977" priority="712" operator="containsText" text="MC">
      <formula>NOT(ISERROR(SEARCH("MC",AA63)))</formula>
    </cfRule>
    <cfRule type="containsText" dxfId="976" priority="713" operator="containsText" text="AB">
      <formula>NOT(ISERROR(SEARCH("AB",AA63)))</formula>
    </cfRule>
    <cfRule type="containsText" dxfId="975" priority="714" operator="containsText" text="Sick">
      <formula>NOT(ISERROR(SEARCH("Sick",AA63)))</formula>
    </cfRule>
  </conditionalFormatting>
  <conditionalFormatting sqref="AA66:AB67">
    <cfRule type="containsText" dxfId="974" priority="702" operator="containsText" text="FL">
      <formula>NOT(ISERROR(SEARCH("FL",AA66)))</formula>
    </cfRule>
    <cfRule type="containsText" dxfId="973" priority="701" operator="containsText" text="SUS">
      <formula>NOT(ISERROR(SEARCH("SUS",AA66)))</formula>
    </cfRule>
    <cfRule type="containsText" dxfId="972" priority="700" operator="containsText" text="AB">
      <formula>NOT(ISERROR(SEARCH("AB",AA66)))</formula>
    </cfRule>
    <cfRule type="containsText" dxfId="971" priority="699" operator="containsText" text="EL">
      <formula>NOT(ISERROR(SEARCH("EL",AA66)))</formula>
    </cfRule>
    <cfRule type="containsText" dxfId="970" priority="707" operator="containsText" text="AL">
      <formula>NOT(ISERROR(SEARCH("AL",AA66)))</formula>
    </cfRule>
    <cfRule type="containsText" dxfId="969" priority="706" operator="containsText" text="OFF">
      <formula>NOT(ISERROR(SEARCH("OFF",AA66)))</formula>
    </cfRule>
    <cfRule type="containsText" dxfId="968" priority="705" operator="containsText" text="Sick">
      <formula>NOT(ISERROR(SEARCH("Sick",AA66)))</formula>
    </cfRule>
    <cfRule type="containsText" dxfId="967" priority="703" operator="containsText" text="MC">
      <formula>NOT(ISERROR(SEARCH("MC",AA66)))</formula>
    </cfRule>
    <cfRule type="containsText" dxfId="966" priority="704" operator="containsText" text="AB">
      <formula>NOT(ISERROR(SEARCH("AB",AA66)))</formula>
    </cfRule>
  </conditionalFormatting>
  <conditionalFormatting sqref="AA71:AB71">
    <cfRule type="containsText" dxfId="965" priority="697" operator="containsText" text="OFF">
      <formula>NOT(ISERROR(SEARCH("OFF",AA71)))</formula>
    </cfRule>
    <cfRule type="containsText" dxfId="964" priority="698" operator="containsText" text="AL">
      <formula>NOT(ISERROR(SEARCH("AL",AA71)))</formula>
    </cfRule>
    <cfRule type="containsText" dxfId="963" priority="690" operator="containsText" text="EL">
      <formula>NOT(ISERROR(SEARCH("EL",AA71)))</formula>
    </cfRule>
    <cfRule type="containsText" dxfId="962" priority="696" operator="containsText" text="Sick">
      <formula>NOT(ISERROR(SEARCH("Sick",AA71)))</formula>
    </cfRule>
    <cfRule type="containsText" dxfId="961" priority="695" operator="containsText" text="AB">
      <formula>NOT(ISERROR(SEARCH("AB",AA71)))</formula>
    </cfRule>
    <cfRule type="containsText" dxfId="960" priority="694" operator="containsText" text="MC">
      <formula>NOT(ISERROR(SEARCH("MC",AA71)))</formula>
    </cfRule>
    <cfRule type="containsText" dxfId="959" priority="693" operator="containsText" text="FL">
      <formula>NOT(ISERROR(SEARCH("FL",AA71)))</formula>
    </cfRule>
    <cfRule type="containsText" dxfId="958" priority="692" operator="containsText" text="SUS">
      <formula>NOT(ISERROR(SEARCH("SUS",AA71)))</formula>
    </cfRule>
    <cfRule type="containsText" dxfId="957" priority="691" operator="containsText" text="AB">
      <formula>NOT(ISERROR(SEARCH("AB",AA71)))</formula>
    </cfRule>
  </conditionalFormatting>
  <conditionalFormatting sqref="AA77:AB79">
    <cfRule type="containsText" dxfId="956" priority="688" operator="containsText" text="OFF">
      <formula>NOT(ISERROR(SEARCH("OFF",AA77)))</formula>
    </cfRule>
    <cfRule type="containsText" dxfId="955" priority="689" operator="containsText" text="AL">
      <formula>NOT(ISERROR(SEARCH("AL",AA77)))</formula>
    </cfRule>
    <cfRule type="containsText" dxfId="954" priority="681" operator="containsText" text="EL">
      <formula>NOT(ISERROR(SEARCH("EL",AA77)))</formula>
    </cfRule>
    <cfRule type="containsText" dxfId="953" priority="687" operator="containsText" text="Sick">
      <formula>NOT(ISERROR(SEARCH("Sick",AA77)))</formula>
    </cfRule>
    <cfRule type="containsText" dxfId="952" priority="686" operator="containsText" text="AB">
      <formula>NOT(ISERROR(SEARCH("AB",AA77)))</formula>
    </cfRule>
    <cfRule type="containsText" dxfId="951" priority="685" operator="containsText" text="MC">
      <formula>NOT(ISERROR(SEARCH("MC",AA77)))</formula>
    </cfRule>
    <cfRule type="containsText" dxfId="950" priority="684" operator="containsText" text="FL">
      <formula>NOT(ISERROR(SEARCH("FL",AA77)))</formula>
    </cfRule>
    <cfRule type="containsText" dxfId="949" priority="683" operator="containsText" text="SUS">
      <formula>NOT(ISERROR(SEARCH("SUS",AA77)))</formula>
    </cfRule>
    <cfRule type="containsText" dxfId="948" priority="682" operator="containsText" text="AB">
      <formula>NOT(ISERROR(SEARCH("AB",AA77)))</formula>
    </cfRule>
  </conditionalFormatting>
  <conditionalFormatting sqref="AA81:AB83">
    <cfRule type="containsText" dxfId="947" priority="677" operator="containsText" text="AB">
      <formula>NOT(ISERROR(SEARCH("AB",AA81)))</formula>
    </cfRule>
    <cfRule type="containsText" dxfId="946" priority="676" operator="containsText" text="MC">
      <formula>NOT(ISERROR(SEARCH("MC",AA81)))</formula>
    </cfRule>
    <cfRule type="containsText" dxfId="945" priority="675" operator="containsText" text="FL">
      <formula>NOT(ISERROR(SEARCH("FL",AA81)))</formula>
    </cfRule>
    <cfRule type="containsText" dxfId="944" priority="674" operator="containsText" text="SUS">
      <formula>NOT(ISERROR(SEARCH("SUS",AA81)))</formula>
    </cfRule>
    <cfRule type="containsText" dxfId="943" priority="673" operator="containsText" text="AB">
      <formula>NOT(ISERROR(SEARCH("AB",AA81)))</formula>
    </cfRule>
    <cfRule type="containsText" dxfId="942" priority="672" operator="containsText" text="EL">
      <formula>NOT(ISERROR(SEARCH("EL",AA81)))</formula>
    </cfRule>
    <cfRule type="containsText" dxfId="941" priority="680" operator="containsText" text="AL">
      <formula>NOT(ISERROR(SEARCH("AL",AA81)))</formula>
    </cfRule>
    <cfRule type="containsText" dxfId="940" priority="679" operator="containsText" text="OFF">
      <formula>NOT(ISERROR(SEARCH("OFF",AA81)))</formula>
    </cfRule>
    <cfRule type="containsText" dxfId="939" priority="678" operator="containsText" text="Sick">
      <formula>NOT(ISERROR(SEARCH("Sick",AA81)))</formula>
    </cfRule>
  </conditionalFormatting>
  <conditionalFormatting sqref="AA85:AB86">
    <cfRule type="containsText" dxfId="938" priority="668" operator="containsText" text="AB">
      <formula>NOT(ISERROR(SEARCH("AB",AA85)))</formula>
    </cfRule>
    <cfRule type="containsText" dxfId="937" priority="667" operator="containsText" text="MC">
      <formula>NOT(ISERROR(SEARCH("MC",AA85)))</formula>
    </cfRule>
    <cfRule type="containsText" dxfId="936" priority="666" operator="containsText" text="FL">
      <formula>NOT(ISERROR(SEARCH("FL",AA85)))</formula>
    </cfRule>
    <cfRule type="containsText" dxfId="935" priority="665" operator="containsText" text="SUS">
      <formula>NOT(ISERROR(SEARCH("SUS",AA85)))</formula>
    </cfRule>
    <cfRule type="containsText" dxfId="934" priority="663" operator="containsText" text="EL">
      <formula>NOT(ISERROR(SEARCH("EL",AA85)))</formula>
    </cfRule>
    <cfRule type="containsText" dxfId="933" priority="671" operator="containsText" text="AL">
      <formula>NOT(ISERROR(SEARCH("AL",AA85)))</formula>
    </cfRule>
    <cfRule type="containsText" dxfId="932" priority="664" operator="containsText" text="AB">
      <formula>NOT(ISERROR(SEARCH("AB",AA85)))</formula>
    </cfRule>
    <cfRule type="containsText" dxfId="931" priority="670" operator="containsText" text="OFF">
      <formula>NOT(ISERROR(SEARCH("OFF",AA85)))</formula>
    </cfRule>
    <cfRule type="containsText" dxfId="930" priority="669" operator="containsText" text="Sick">
      <formula>NOT(ISERROR(SEARCH("Sick",AA85)))</formula>
    </cfRule>
  </conditionalFormatting>
  <conditionalFormatting sqref="AA88:AB88">
    <cfRule type="containsText" dxfId="929" priority="662" operator="containsText" text="AL">
      <formula>NOT(ISERROR(SEARCH("AL",AA88)))</formula>
    </cfRule>
    <cfRule type="containsText" dxfId="928" priority="661" operator="containsText" text="OFF">
      <formula>NOT(ISERROR(SEARCH("OFF",AA88)))</formula>
    </cfRule>
    <cfRule type="containsText" dxfId="927" priority="660" operator="containsText" text="Sick">
      <formula>NOT(ISERROR(SEARCH("Sick",AA88)))</formula>
    </cfRule>
    <cfRule type="containsText" dxfId="926" priority="659" operator="containsText" text="AB">
      <formula>NOT(ISERROR(SEARCH("AB",AA88)))</formula>
    </cfRule>
    <cfRule type="containsText" dxfId="925" priority="658" operator="containsText" text="MC">
      <formula>NOT(ISERROR(SEARCH("MC",AA88)))</formula>
    </cfRule>
    <cfRule type="containsText" dxfId="924" priority="657" operator="containsText" text="FL">
      <formula>NOT(ISERROR(SEARCH("FL",AA88)))</formula>
    </cfRule>
    <cfRule type="containsText" dxfId="923" priority="656" operator="containsText" text="SUS">
      <formula>NOT(ISERROR(SEARCH("SUS",AA88)))</formula>
    </cfRule>
    <cfRule type="containsText" dxfId="922" priority="655" operator="containsText" text="AB">
      <formula>NOT(ISERROR(SEARCH("AB",AA88)))</formula>
    </cfRule>
    <cfRule type="containsText" dxfId="921" priority="654" operator="containsText" text="EL">
      <formula>NOT(ISERROR(SEARCH("EL",AA88)))</formula>
    </cfRule>
  </conditionalFormatting>
  <conditionalFormatting sqref="AA90:AB90">
    <cfRule type="containsText" dxfId="920" priority="649" operator="containsText" text="MC">
      <formula>NOT(ISERROR(SEARCH("MC",AA90)))</formula>
    </cfRule>
    <cfRule type="containsText" dxfId="919" priority="653" operator="containsText" text="AL">
      <formula>NOT(ISERROR(SEARCH("AL",AA90)))</formula>
    </cfRule>
    <cfRule type="containsText" dxfId="918" priority="652" operator="containsText" text="OFF">
      <formula>NOT(ISERROR(SEARCH("OFF",AA90)))</formula>
    </cfRule>
    <cfRule type="containsText" dxfId="917" priority="648" operator="containsText" text="FL">
      <formula>NOT(ISERROR(SEARCH("FL",AA90)))</formula>
    </cfRule>
    <cfRule type="containsText" dxfId="916" priority="650" operator="containsText" text="AB">
      <formula>NOT(ISERROR(SEARCH("AB",AA90)))</formula>
    </cfRule>
    <cfRule type="containsText" dxfId="915" priority="645" operator="containsText" text="EL">
      <formula>NOT(ISERROR(SEARCH("EL",AA90)))</formula>
    </cfRule>
    <cfRule type="containsText" dxfId="914" priority="646" operator="containsText" text="AB">
      <formula>NOT(ISERROR(SEARCH("AB",AA90)))</formula>
    </cfRule>
    <cfRule type="containsText" dxfId="913" priority="647" operator="containsText" text="SUS">
      <formula>NOT(ISERROR(SEARCH("SUS",AA90)))</formula>
    </cfRule>
    <cfRule type="containsText" dxfId="912" priority="651" operator="containsText" text="Sick">
      <formula>NOT(ISERROR(SEARCH("Sick",AA90)))</formula>
    </cfRule>
  </conditionalFormatting>
  <conditionalFormatting sqref="AA93:AB95">
    <cfRule type="containsText" dxfId="911" priority="640" operator="containsText" text="MC">
      <formula>NOT(ISERROR(SEARCH("MC",AA93)))</formula>
    </cfRule>
    <cfRule type="containsText" dxfId="910" priority="641" operator="containsText" text="AB">
      <formula>NOT(ISERROR(SEARCH("AB",AA93)))</formula>
    </cfRule>
    <cfRule type="containsText" dxfId="909" priority="642" operator="containsText" text="Sick">
      <formula>NOT(ISERROR(SEARCH("Sick",AA93)))</formula>
    </cfRule>
    <cfRule type="containsText" dxfId="908" priority="643" operator="containsText" text="OFF">
      <formula>NOT(ISERROR(SEARCH("OFF",AA93)))</formula>
    </cfRule>
    <cfRule type="containsText" dxfId="907" priority="644" operator="containsText" text="AL">
      <formula>NOT(ISERROR(SEARCH("AL",AA93)))</formula>
    </cfRule>
    <cfRule type="containsText" dxfId="906" priority="639" operator="containsText" text="FL">
      <formula>NOT(ISERROR(SEARCH("FL",AA93)))</formula>
    </cfRule>
    <cfRule type="containsText" dxfId="905" priority="636" operator="containsText" text="EL">
      <formula>NOT(ISERROR(SEARCH("EL",AA93)))</formula>
    </cfRule>
    <cfRule type="containsText" dxfId="904" priority="637" operator="containsText" text="AB">
      <formula>NOT(ISERROR(SEARCH("AB",AA93)))</formula>
    </cfRule>
    <cfRule type="containsText" dxfId="903" priority="638" operator="containsText" text="SUS">
      <formula>NOT(ISERROR(SEARCH("SUS",AA93)))</formula>
    </cfRule>
  </conditionalFormatting>
  <conditionalFormatting sqref="AA99:AB100">
    <cfRule type="containsText" dxfId="902" priority="611" operator="containsText" text="SUS">
      <formula>NOT(ISERROR(SEARCH("SUS",AA99)))</formula>
    </cfRule>
    <cfRule type="containsText" dxfId="901" priority="612" operator="containsText" text="FL">
      <formula>NOT(ISERROR(SEARCH("FL",AA99)))</formula>
    </cfRule>
    <cfRule type="containsText" dxfId="900" priority="613" operator="containsText" text="MC">
      <formula>NOT(ISERROR(SEARCH("MC",AA99)))</formula>
    </cfRule>
    <cfRule type="containsText" dxfId="899" priority="614" operator="containsText" text="AB">
      <formula>NOT(ISERROR(SEARCH("AB",AA99)))</formula>
    </cfRule>
    <cfRule type="containsText" dxfId="898" priority="615" operator="containsText" text="Sick">
      <formula>NOT(ISERROR(SEARCH("Sick",AA99)))</formula>
    </cfRule>
    <cfRule type="containsText" dxfId="897" priority="609" operator="containsText" text="EL">
      <formula>NOT(ISERROR(SEARCH("EL",AA99)))</formula>
    </cfRule>
    <cfRule type="containsText" dxfId="896" priority="610" operator="containsText" text="AB">
      <formula>NOT(ISERROR(SEARCH("AB",AA99)))</formula>
    </cfRule>
    <cfRule type="containsText" dxfId="895" priority="617" operator="containsText" text="AL">
      <formula>NOT(ISERROR(SEARCH("AL",AA99)))</formula>
    </cfRule>
    <cfRule type="containsText" dxfId="894" priority="616" operator="containsText" text="OFF">
      <formula>NOT(ISERROR(SEARCH("OFF",AA99)))</formula>
    </cfRule>
  </conditionalFormatting>
  <conditionalFormatting sqref="AA103:AB103">
    <cfRule type="containsText" dxfId="893" priority="635" operator="containsText" text="AL">
      <formula>NOT(ISERROR(SEARCH("AL",AA103)))</formula>
    </cfRule>
    <cfRule type="containsText" dxfId="892" priority="634" operator="containsText" text="OFF">
      <formula>NOT(ISERROR(SEARCH("OFF",AA103)))</formula>
    </cfRule>
    <cfRule type="containsText" dxfId="891" priority="633" operator="containsText" text="Sick">
      <formula>NOT(ISERROR(SEARCH("Sick",AA103)))</formula>
    </cfRule>
    <cfRule type="containsText" dxfId="890" priority="632" operator="containsText" text="AB">
      <formula>NOT(ISERROR(SEARCH("AB",AA103)))</formula>
    </cfRule>
    <cfRule type="containsText" dxfId="889" priority="631" operator="containsText" text="MC">
      <formula>NOT(ISERROR(SEARCH("MC",AA103)))</formula>
    </cfRule>
    <cfRule type="containsText" dxfId="888" priority="630" operator="containsText" text="FL">
      <formula>NOT(ISERROR(SEARCH("FL",AA103)))</formula>
    </cfRule>
    <cfRule type="containsText" dxfId="887" priority="629" operator="containsText" text="SUS">
      <formula>NOT(ISERROR(SEARCH("SUS",AA103)))</formula>
    </cfRule>
    <cfRule type="containsText" dxfId="886" priority="628" operator="containsText" text="AB">
      <formula>NOT(ISERROR(SEARCH("AB",AA103)))</formula>
    </cfRule>
    <cfRule type="containsText" dxfId="885" priority="627" operator="containsText" text="EL">
      <formula>NOT(ISERROR(SEARCH("EL",AA103)))</formula>
    </cfRule>
  </conditionalFormatting>
  <conditionalFormatting sqref="AA105:AB107">
    <cfRule type="containsText" dxfId="884" priority="623" operator="containsText" text="AB">
      <formula>NOT(ISERROR(SEARCH("AB",AA105)))</formula>
    </cfRule>
    <cfRule type="containsText" dxfId="883" priority="626" operator="containsText" text="AL">
      <formula>NOT(ISERROR(SEARCH("AL",AA105)))</formula>
    </cfRule>
    <cfRule type="containsText" dxfId="882" priority="625" operator="containsText" text="OFF">
      <formula>NOT(ISERROR(SEARCH("OFF",AA105)))</formula>
    </cfRule>
    <cfRule type="containsText" dxfId="881" priority="624" operator="containsText" text="Sick">
      <formula>NOT(ISERROR(SEARCH("Sick",AA105)))</formula>
    </cfRule>
    <cfRule type="containsText" dxfId="880" priority="622" operator="containsText" text="MC">
      <formula>NOT(ISERROR(SEARCH("MC",AA105)))</formula>
    </cfRule>
    <cfRule type="containsText" dxfId="879" priority="621" operator="containsText" text="FL">
      <formula>NOT(ISERROR(SEARCH("FL",AA105)))</formula>
    </cfRule>
    <cfRule type="containsText" dxfId="878" priority="620" operator="containsText" text="SUS">
      <formula>NOT(ISERROR(SEARCH("SUS",AA105)))</formula>
    </cfRule>
    <cfRule type="containsText" dxfId="877" priority="619" operator="containsText" text="AB">
      <formula>NOT(ISERROR(SEARCH("AB",AA105)))</formula>
    </cfRule>
    <cfRule type="containsText" dxfId="876" priority="618" operator="containsText" text="EL">
      <formula>NOT(ISERROR(SEARCH("EL",AA105)))</formula>
    </cfRule>
  </conditionalFormatting>
  <conditionalFormatting sqref="AA146:AB146">
    <cfRule type="containsText" dxfId="875" priority="739" operator="containsText" text="MC">
      <formula>NOT(ISERROR(SEARCH("MC",AA146)))</formula>
    </cfRule>
    <cfRule type="containsText" dxfId="874" priority="738" operator="containsText" text="FL">
      <formula>NOT(ISERROR(SEARCH("FL",AA146)))</formula>
    </cfRule>
    <cfRule type="containsText" dxfId="873" priority="737" operator="containsText" text="SUS">
      <formula>NOT(ISERROR(SEARCH("SUS",AA146)))</formula>
    </cfRule>
    <cfRule type="containsText" dxfId="872" priority="736" operator="containsText" text="AB">
      <formula>NOT(ISERROR(SEARCH("AB",AA146)))</formula>
    </cfRule>
    <cfRule type="containsText" dxfId="871" priority="735" operator="containsText" text="EL">
      <formula>NOT(ISERROR(SEARCH("EL",AA146)))</formula>
    </cfRule>
    <cfRule type="containsText" dxfId="870" priority="740" operator="containsText" text="AB">
      <formula>NOT(ISERROR(SEARCH("AB",AA146)))</formula>
    </cfRule>
    <cfRule type="containsText" dxfId="869" priority="743" operator="containsText" text="AL">
      <formula>NOT(ISERROR(SEARCH("AL",AA146)))</formula>
    </cfRule>
    <cfRule type="containsText" dxfId="868" priority="742" operator="containsText" text="OFF">
      <formula>NOT(ISERROR(SEARCH("OFF",AA146)))</formula>
    </cfRule>
    <cfRule type="containsText" dxfId="867" priority="741" operator="containsText" text="Sick">
      <formula>NOT(ISERROR(SEARCH("Sick",AA146)))</formula>
    </cfRule>
  </conditionalFormatting>
  <conditionalFormatting sqref="AE97:AF97">
    <cfRule type="containsText" dxfId="866" priority="587" operator="containsText" text="SICK">
      <formula>NOT(ISERROR(SEARCH("SICK",AE97)))</formula>
    </cfRule>
    <cfRule type="containsText" dxfId="865" priority="580" operator="containsText" text="NL">
      <formula>NOT(ISERROR(SEARCH("NL",AE97)))</formula>
    </cfRule>
    <cfRule type="containsText" dxfId="864" priority="579" operator="containsText" text="SP">
      <formula>NOT(ISERROR(SEARCH("SP",AE97)))</formula>
    </cfRule>
    <cfRule type="containsText" dxfId="863" priority="583" operator="containsText" text="EL">
      <formula>NOT(ISERROR(SEARCH("EL",AE97)))</formula>
    </cfRule>
    <cfRule type="containsText" dxfId="862" priority="582" operator="containsText" text="FL">
      <formula>NOT(ISERROR(SEARCH("FL",AE97)))</formula>
    </cfRule>
    <cfRule type="containsText" dxfId="861" priority="588" operator="containsText" text="AL">
      <formula>NOT(ISERROR(SEARCH("AL",AE97)))</formula>
    </cfRule>
    <cfRule type="containsText" dxfId="860" priority="581" operator="containsText" text="SUS">
      <formula>NOT(ISERROR(SEARCH("SUS",AE97)))</formula>
    </cfRule>
    <cfRule type="containsText" dxfId="859" priority="585" operator="containsText" text="OFF">
      <formula>NOT(ISERROR(SEARCH("OFF",AE97)))</formula>
    </cfRule>
    <cfRule type="containsText" dxfId="858" priority="584" operator="containsText" text="MC">
      <formula>NOT(ISERROR(SEARCH("MC",AE97)))</formula>
    </cfRule>
    <cfRule type="containsText" dxfId="857" priority="586" operator="containsText" text="AB">
      <formula>NOT(ISERROR(SEARCH("AB",AE97)))</formula>
    </cfRule>
  </conditionalFormatting>
  <conditionalFormatting sqref="AG145 BG146">
    <cfRule type="containsText" dxfId="856" priority="2731" operator="containsText" text="OFF">
      <formula>NOT(ISERROR(SEARCH("OFF",AG145)))</formula>
    </cfRule>
    <cfRule type="containsText" dxfId="855" priority="2732" operator="containsText" text="AL">
      <formula>NOT(ISERROR(SEARCH("AL",AG145)))</formula>
    </cfRule>
    <cfRule type="containsText" dxfId="854" priority="2726" operator="containsText" text="SUS">
      <formula>NOT(ISERROR(SEARCH("SUS",AG145)))</formula>
    </cfRule>
    <cfRule type="containsText" dxfId="853" priority="2727" operator="containsText" text="FL">
      <formula>NOT(ISERROR(SEARCH("FL",AG145)))</formula>
    </cfRule>
    <cfRule type="containsText" dxfId="852" priority="2728" operator="containsText" text="MC">
      <formula>NOT(ISERROR(SEARCH("MC",AG145)))</formula>
    </cfRule>
    <cfRule type="containsText" dxfId="851" priority="2729" operator="containsText" text="AB">
      <formula>NOT(ISERROR(SEARCH("AB",AG145)))</formula>
    </cfRule>
    <cfRule type="containsText" dxfId="850" priority="2730" operator="containsText" text="Sick">
      <formula>NOT(ISERROR(SEARCH("Sick",AG145)))</formula>
    </cfRule>
  </conditionalFormatting>
  <conditionalFormatting sqref="AG142:AI145 AJ5:AJ28">
    <cfRule type="containsText" dxfId="849" priority="2765" operator="containsText" text="AB">
      <formula>NOT(ISERROR(SEARCH("AB",AG5)))</formula>
    </cfRule>
  </conditionalFormatting>
  <conditionalFormatting sqref="AG146:AI146">
    <cfRule type="containsText" dxfId="848" priority="607" operator="containsText" text="SICK">
      <formula>NOT(ISERROR(SEARCH("SICK",AG146)))</formula>
    </cfRule>
    <cfRule type="containsText" dxfId="847" priority="600" operator="containsText" text="NL">
      <formula>NOT(ISERROR(SEARCH("NL",AG146)))</formula>
    </cfRule>
    <cfRule type="containsText" dxfId="846" priority="601" operator="containsText" text="SUS">
      <formula>NOT(ISERROR(SEARCH("SUS",AG146)))</formula>
    </cfRule>
    <cfRule type="containsText" dxfId="845" priority="602" operator="containsText" text="FL">
      <formula>NOT(ISERROR(SEARCH("FL",AG146)))</formula>
    </cfRule>
    <cfRule type="containsText" dxfId="844" priority="603" operator="containsText" text="EL">
      <formula>NOT(ISERROR(SEARCH("EL",AG146)))</formula>
    </cfRule>
    <cfRule type="containsText" dxfId="843" priority="604" operator="containsText" text="MC">
      <formula>NOT(ISERROR(SEARCH("MC",AG146)))</formula>
    </cfRule>
    <cfRule type="containsText" dxfId="842" priority="605" operator="containsText" text="OFF">
      <formula>NOT(ISERROR(SEARCH("OFF",AG146)))</formula>
    </cfRule>
    <cfRule type="containsText" dxfId="841" priority="606" operator="containsText" text="AB">
      <formula>NOT(ISERROR(SEARCH("AB",AG146)))</formula>
    </cfRule>
    <cfRule type="containsText" dxfId="840" priority="608" operator="containsText" text="AL">
      <formula>NOT(ISERROR(SEARCH("AL",AG146)))</formula>
    </cfRule>
    <cfRule type="containsText" dxfId="839" priority="599" operator="containsText" text="SP">
      <formula>NOT(ISERROR(SEARCH("SP",AG146)))</formula>
    </cfRule>
  </conditionalFormatting>
  <conditionalFormatting sqref="AH133:AI133">
    <cfRule type="containsText" dxfId="838" priority="13098" stopIfTrue="1" operator="containsText" text="Sick">
      <formula>NOT(ISERROR(SEARCH("Sick",AH133)))</formula>
    </cfRule>
    <cfRule type="containsText" dxfId="837" priority="11849" stopIfTrue="1" operator="containsText" text="AB">
      <formula>NOT(ISERROR(SEARCH("AB",AH133)))</formula>
    </cfRule>
    <cfRule type="containsText" dxfId="836" priority="13097" stopIfTrue="1" operator="containsText" text="MC">
      <formula>NOT(ISERROR(SEARCH("MC",AH133)))</formula>
    </cfRule>
  </conditionalFormatting>
  <conditionalFormatting sqref="AH145:AI145 BH146">
    <cfRule type="containsText" dxfId="835" priority="2768" operator="containsText" text="AL">
      <formula>NOT(ISERROR(SEARCH("AL",AH145)))</formula>
    </cfRule>
    <cfRule type="containsText" dxfId="834" priority="2767" operator="containsText" text="OFF">
      <formula>NOT(ISERROR(SEARCH("OFF",AH145)))</formula>
    </cfRule>
    <cfRule type="containsText" dxfId="833" priority="2766" operator="containsText" text="Sick">
      <formula>NOT(ISERROR(SEARCH("Sick",AH145)))</formula>
    </cfRule>
    <cfRule type="containsText" dxfId="832" priority="2764" operator="containsText" text="MC">
      <formula>NOT(ISERROR(SEARCH("MC",AH145)))</formula>
    </cfRule>
    <cfRule type="containsText" dxfId="831" priority="2763" operator="containsText" text="FL">
      <formula>NOT(ISERROR(SEARCH("FL",AH145)))</formula>
    </cfRule>
    <cfRule type="containsText" dxfId="830" priority="2762" operator="containsText" text="SUS">
      <formula>NOT(ISERROR(SEARCH("SUS",AH145)))</formula>
    </cfRule>
  </conditionalFormatting>
  <conditionalFormatting sqref="AH145:AJ145">
    <cfRule type="containsText" dxfId="829" priority="2761" operator="containsText" text="AB">
      <formula>NOT(ISERROR(SEARCH("AB",AH145)))</formula>
    </cfRule>
  </conditionalFormatting>
  <conditionalFormatting sqref="AJ5:AJ28 Y138:BN139 E144:F144">
    <cfRule type="containsText" dxfId="828" priority="3017" operator="containsText" text="AL">
      <formula>NOT(ISERROR(SEARCH("AL",E5)))</formula>
    </cfRule>
    <cfRule type="containsText" dxfId="827" priority="3016" operator="containsText" text="OFF">
      <formula>NOT(ISERROR(SEARCH("OFF",E5)))</formula>
    </cfRule>
  </conditionalFormatting>
  <conditionalFormatting sqref="AJ5:AJ28 Y138:BN139 W140:BN140 AO141:BN141 AJ142:BN142 AO143:BN143 AJ143:AJ145 BC144:BN144 AQ145:BN145">
    <cfRule type="containsText" dxfId="826" priority="2797" operator="containsText" text="NL">
      <formula>NOT(ISERROR(SEARCH("NL",W5)))</formula>
    </cfRule>
  </conditionalFormatting>
  <conditionalFormatting sqref="AJ5:AJ28 AJ143:AJ145 Y138:BN139 W140:BN140 AO141:BN141 AJ142:BN142 AO143:BN143 BC144:BN144 AQ145:BN145">
    <cfRule type="containsText" dxfId="825" priority="2796" operator="containsText" text="SP">
      <formula>NOT(ISERROR(SEARCH("SP",W5)))</formula>
    </cfRule>
  </conditionalFormatting>
  <conditionalFormatting sqref="AJ28 W140:BN140 AJ141 AO141:BN141 AJ142:BN142 AO143:BN143 AJ143:AJ145 BC144:BN144 AQ145:BN145">
    <cfRule type="containsText" dxfId="824" priority="2995" operator="containsText" text="AL">
      <formula>NOT(ISERROR(SEARCH("AL",W28)))</formula>
    </cfRule>
    <cfRule type="containsText" dxfId="823" priority="2992" operator="containsText" text="OFF">
      <formula>NOT(ISERROR(SEARCH("OFF",W28)))</formula>
    </cfRule>
  </conditionalFormatting>
  <conditionalFormatting sqref="AJ28 AG142:AI145 AJ145">
    <cfRule type="containsText" dxfId="822" priority="2760" operator="containsText" text="EL">
      <formula>NOT(ISERROR(SEARCH("EL",AG28)))</formula>
    </cfRule>
  </conditionalFormatting>
  <conditionalFormatting sqref="AJ117:AJ120">
    <cfRule type="containsText" dxfId="821" priority="13096" stopIfTrue="1" operator="containsText" text="AB">
      <formula>NOT(ISERROR(SEARCH("AB",AJ117)))</formula>
    </cfRule>
    <cfRule type="containsText" dxfId="820" priority="13015" stopIfTrue="1" operator="containsText" text="HD">
      <formula>NOT(ISERROR(SEARCH("HD",AJ117)))</formula>
    </cfRule>
    <cfRule type="containsText" dxfId="819" priority="12659" stopIfTrue="1" operator="containsText" text="AB">
      <formula>NOT(ISERROR(SEARCH("AB",AJ117)))</formula>
    </cfRule>
    <cfRule type="containsText" priority="12622" stopIfTrue="1" operator="containsText" text="SP">
      <formula>NOT(ISERROR(SEARCH("SP",AJ117)))</formula>
    </cfRule>
    <cfRule type="containsText" dxfId="818" priority="12621" stopIfTrue="1" operator="containsText" text="SP">
      <formula>NOT(ISERROR(SEARCH("SP",AJ117)))</formula>
    </cfRule>
    <cfRule type="containsText" dxfId="817" priority="7057" stopIfTrue="1" operator="containsText" text="SICK">
      <formula>NOT(ISERROR(SEARCH("SICK",AJ117)))</formula>
    </cfRule>
  </conditionalFormatting>
  <conditionalFormatting sqref="AJ137">
    <cfRule type="containsText" dxfId="816" priority="4451" operator="containsText" text="FL">
      <formula>NOT(ISERROR(SEARCH("FL",AJ137)))</formula>
    </cfRule>
    <cfRule type="containsText" dxfId="815" priority="4455" operator="containsText" text="SICK">
      <formula>NOT(ISERROR(SEARCH("SICK",AJ137)))</formula>
    </cfRule>
    <cfRule type="containsText" dxfId="814" priority="4454" operator="containsText" text="AB">
      <formula>NOT(ISERROR(SEARCH("AB",AJ137)))</formula>
    </cfRule>
    <cfRule type="containsText" dxfId="813" priority="4453" operator="containsText" text="AL">
      <formula>NOT(ISERROR(SEARCH("AL",AJ137)))</formula>
    </cfRule>
    <cfRule type="containsText" dxfId="812" priority="4452" operator="containsText" text="SP">
      <formula>NOT(ISERROR(SEARCH("SP",AJ137)))</formula>
    </cfRule>
  </conditionalFormatting>
  <conditionalFormatting sqref="AJ141 W140:AI140">
    <cfRule type="containsText" dxfId="811" priority="2989" operator="containsText" text="FL">
      <formula>NOT(ISERROR(SEARCH("FL",W140)))</formula>
    </cfRule>
    <cfRule type="containsText" dxfId="810" priority="2988" operator="containsText" text="SUS">
      <formula>NOT(ISERROR(SEARCH("SUS",W140)))</formula>
    </cfRule>
  </conditionalFormatting>
  <conditionalFormatting sqref="AJ141">
    <cfRule type="containsText" dxfId="809" priority="2986" operator="containsText" text="SP">
      <formula>NOT(ISERROR(SEARCH("SP",AJ141)))</formula>
    </cfRule>
    <cfRule type="containsText" dxfId="808" priority="2987" operator="containsText" text="NL">
      <formula>NOT(ISERROR(SEARCH("NL",AJ141)))</formula>
    </cfRule>
  </conditionalFormatting>
  <conditionalFormatting sqref="AJ70:AL70">
    <cfRule type="containsText" dxfId="807" priority="235" operator="containsText" text="AB">
      <formula>NOT(ISERROR(SEARCH("AB",AJ70)))</formula>
    </cfRule>
    <cfRule type="containsText" dxfId="806" priority="232" operator="containsText" text="EL">
      <formula>NOT(ISERROR(SEARCH("EL",AJ70)))</formula>
    </cfRule>
  </conditionalFormatting>
  <conditionalFormatting sqref="AK70:AL70">
    <cfRule type="containsText" dxfId="805" priority="228" operator="containsText" text="SP">
      <formula>NOT(ISERROR(SEARCH("SP",AK70)))</formula>
    </cfRule>
    <cfRule type="containsText" dxfId="804" priority="234" operator="containsText" text="OFF">
      <formula>NOT(ISERROR(SEARCH("OFF",AK70)))</formula>
    </cfRule>
    <cfRule type="containsText" dxfId="803" priority="230" operator="containsText" text="SUS">
      <formula>NOT(ISERROR(SEARCH("SUS",AK70)))</formula>
    </cfRule>
    <cfRule type="containsText" dxfId="802" priority="231" operator="containsText" text="FL">
      <formula>NOT(ISERROR(SEARCH("FL",AK70)))</formula>
    </cfRule>
    <cfRule type="containsText" dxfId="801" priority="233" operator="containsText" text="MC">
      <formula>NOT(ISERROR(SEARCH("MC",AK70)))</formula>
    </cfRule>
    <cfRule type="containsText" dxfId="800" priority="229" operator="containsText" text="NL">
      <formula>NOT(ISERROR(SEARCH("NL",AK70)))</formula>
    </cfRule>
    <cfRule type="containsText" dxfId="799" priority="236" operator="containsText" text="SICK">
      <formula>NOT(ISERROR(SEARCH("SICK",AK70)))</formula>
    </cfRule>
    <cfRule type="containsText" dxfId="798" priority="237" operator="containsText" text="AL">
      <formula>NOT(ISERROR(SEARCH("AL",AK70)))</formula>
    </cfRule>
  </conditionalFormatting>
  <conditionalFormatting sqref="AK84:AL84">
    <cfRule type="containsText" dxfId="797" priority="435" operator="containsText" text="EL">
      <formula>NOT(ISERROR(SEARCH("EL",AK84)))</formula>
    </cfRule>
    <cfRule type="containsText" dxfId="796" priority="440" operator="containsText" text="AL">
      <formula>NOT(ISERROR(SEARCH("AL",AK84)))</formula>
    </cfRule>
    <cfRule type="containsText" dxfId="795" priority="432" operator="containsText" text="NL">
      <formula>NOT(ISERROR(SEARCH("NL",AK84)))</formula>
    </cfRule>
    <cfRule type="containsText" dxfId="794" priority="433" operator="containsText" text="SUS">
      <formula>NOT(ISERROR(SEARCH("SUS",AK84)))</formula>
    </cfRule>
    <cfRule type="containsText" dxfId="793" priority="434" operator="containsText" text="FL">
      <formula>NOT(ISERROR(SEARCH("FL",AK84)))</formula>
    </cfRule>
    <cfRule type="containsText" dxfId="792" priority="436" operator="containsText" text="MC">
      <formula>NOT(ISERROR(SEARCH("MC",AK84)))</formula>
    </cfRule>
    <cfRule type="containsText" dxfId="791" priority="437" operator="containsText" text="OFF">
      <formula>NOT(ISERROR(SEARCH("OFF",AK84)))</formula>
    </cfRule>
    <cfRule type="containsText" dxfId="790" priority="438" operator="containsText" text="AB">
      <formula>NOT(ISERROR(SEARCH("AB",AK84)))</formula>
    </cfRule>
    <cfRule type="containsText" dxfId="789" priority="431" operator="containsText" text="SP">
      <formula>NOT(ISERROR(SEARCH("SP",AK84)))</formula>
    </cfRule>
    <cfRule type="containsText" dxfId="788" priority="439" operator="containsText" text="SICK">
      <formula>NOT(ISERROR(SEARCH("SICK",AK84)))</formula>
    </cfRule>
  </conditionalFormatting>
  <conditionalFormatting sqref="AK96:AN96">
    <cfRule type="containsText" dxfId="787" priority="414" operator="containsText" text="SUS">
      <formula>NOT(ISERROR(SEARCH("SUS",AK96)))</formula>
    </cfRule>
    <cfRule type="containsText" dxfId="786" priority="415" operator="containsText" text="FL">
      <formula>NOT(ISERROR(SEARCH("FL",AK96)))</formula>
    </cfRule>
    <cfRule type="containsText" dxfId="785" priority="416" operator="containsText" text="MC">
      <formula>NOT(ISERROR(SEARCH("MC",AK96)))</formula>
    </cfRule>
    <cfRule type="containsText" dxfId="784" priority="417" operator="containsText" text="AB">
      <formula>NOT(ISERROR(SEARCH("AB",AK96)))</formula>
    </cfRule>
    <cfRule type="containsText" dxfId="783" priority="418" operator="containsText" text="Sick">
      <formula>NOT(ISERROR(SEARCH("Sick",AK96)))</formula>
    </cfRule>
    <cfRule type="containsText" dxfId="782" priority="413" operator="containsText" text="AB">
      <formula>NOT(ISERROR(SEARCH("AB",AK96)))</formula>
    </cfRule>
    <cfRule type="containsText" dxfId="781" priority="420" operator="containsText" text="AL">
      <formula>NOT(ISERROR(SEARCH("AL",AK96)))</formula>
    </cfRule>
    <cfRule type="containsText" dxfId="780" priority="419" operator="containsText" text="OFF">
      <formula>NOT(ISERROR(SEARCH("OFF",AK96)))</formula>
    </cfRule>
    <cfRule type="containsText" dxfId="779" priority="412" operator="containsText" text="EL">
      <formula>NOT(ISERROR(SEARCH("EL",AK96)))</formula>
    </cfRule>
  </conditionalFormatting>
  <conditionalFormatting sqref="AK20:AT20">
    <cfRule type="containsText" dxfId="778" priority="473" operator="containsText" text="EL">
      <formula>NOT(ISERROR(SEARCH("EL",AK20)))</formula>
    </cfRule>
    <cfRule type="containsText" dxfId="777" priority="475" operator="containsText" text="OFF">
      <formula>NOT(ISERROR(SEARCH("OFF",AK20)))</formula>
    </cfRule>
    <cfRule type="containsText" dxfId="776" priority="476" operator="containsText" text="AB">
      <formula>NOT(ISERROR(SEARCH("AB",AK20)))</formula>
    </cfRule>
    <cfRule type="containsText" dxfId="775" priority="477" operator="containsText" text="SICK">
      <formula>NOT(ISERROR(SEARCH("SICK",AK20)))</formula>
    </cfRule>
    <cfRule type="containsText" dxfId="774" priority="478" operator="containsText" text="AL">
      <formula>NOT(ISERROR(SEARCH("AL",AK20)))</formula>
    </cfRule>
    <cfRule type="containsText" dxfId="773" priority="474" operator="containsText" text="MC">
      <formula>NOT(ISERROR(SEARCH("MC",AK20)))</formula>
    </cfRule>
    <cfRule type="containsText" dxfId="772" priority="471" operator="containsText" text="SUS">
      <formula>NOT(ISERROR(SEARCH("SUS",AK20)))</formula>
    </cfRule>
    <cfRule type="containsText" dxfId="771" priority="470" operator="containsText" text="NL">
      <formula>NOT(ISERROR(SEARCH("NL",AK20)))</formula>
    </cfRule>
    <cfRule type="containsText" dxfId="770" priority="472" operator="containsText" text="FL">
      <formula>NOT(ISERROR(SEARCH("FL",AK20)))</formula>
    </cfRule>
    <cfRule type="containsText" dxfId="769" priority="469" operator="containsText" text="SP">
      <formula>NOT(ISERROR(SEARCH("SP",AK20)))</formula>
    </cfRule>
  </conditionalFormatting>
  <conditionalFormatting sqref="AM66:AN66">
    <cfRule type="containsText" dxfId="768" priority="442" operator="containsText" text="NL">
      <formula>NOT(ISERROR(SEARCH("NL",AM66)))</formula>
    </cfRule>
    <cfRule type="containsText" dxfId="767" priority="443" operator="containsText" text="SUS">
      <formula>NOT(ISERROR(SEARCH("SUS",AM66)))</formula>
    </cfRule>
    <cfRule type="containsText" dxfId="766" priority="445" operator="containsText" text="EL">
      <formula>NOT(ISERROR(SEARCH("EL",AM66)))</formula>
    </cfRule>
    <cfRule type="containsText" dxfId="765" priority="446" operator="containsText" text="MC">
      <formula>NOT(ISERROR(SEARCH("MC",AM66)))</formula>
    </cfRule>
    <cfRule type="containsText" dxfId="764" priority="447" operator="containsText" text="OFF">
      <formula>NOT(ISERROR(SEARCH("OFF",AM66)))</formula>
    </cfRule>
    <cfRule type="containsText" dxfId="763" priority="448" operator="containsText" text="AB">
      <formula>NOT(ISERROR(SEARCH("AB",AM66)))</formula>
    </cfRule>
    <cfRule type="containsText" dxfId="762" priority="449" operator="containsText" text="SICK">
      <formula>NOT(ISERROR(SEARCH("SICK",AM66)))</formula>
    </cfRule>
    <cfRule type="containsText" dxfId="761" priority="444" operator="containsText" text="FL">
      <formula>NOT(ISERROR(SEARCH("FL",AM66)))</formula>
    </cfRule>
    <cfRule type="containsText" dxfId="760" priority="441" operator="containsText" text="SP">
      <formula>NOT(ISERROR(SEARCH("SP",AM66)))</formula>
    </cfRule>
    <cfRule type="containsText" dxfId="759" priority="450" operator="containsText" text="AL">
      <formula>NOT(ISERROR(SEARCH("AL",AM66)))</formula>
    </cfRule>
  </conditionalFormatting>
  <conditionalFormatting sqref="AM100:AP100">
    <cfRule type="containsText" dxfId="758" priority="430" operator="containsText" text="AL">
      <formula>NOT(ISERROR(SEARCH("AL",AM100)))</formula>
    </cfRule>
    <cfRule type="containsText" dxfId="757" priority="423" operator="containsText" text="SUS">
      <formula>NOT(ISERROR(SEARCH("SUS",AM100)))</formula>
    </cfRule>
    <cfRule type="containsText" dxfId="756" priority="429" operator="containsText" text="SICK">
      <formula>NOT(ISERROR(SEARCH("SICK",AM100)))</formula>
    </cfRule>
    <cfRule type="containsText" dxfId="755" priority="428" operator="containsText" text="AB">
      <formula>NOT(ISERROR(SEARCH("AB",AM100)))</formula>
    </cfRule>
    <cfRule type="containsText" dxfId="754" priority="426" operator="containsText" text="MC">
      <formula>NOT(ISERROR(SEARCH("MC",AM100)))</formula>
    </cfRule>
    <cfRule type="containsText" dxfId="753" priority="425" operator="containsText" text="EL">
      <formula>NOT(ISERROR(SEARCH("EL",AM100)))</formula>
    </cfRule>
    <cfRule type="containsText" dxfId="752" priority="424" operator="containsText" text="FL">
      <formula>NOT(ISERROR(SEARCH("FL",AM100)))</formula>
    </cfRule>
    <cfRule type="containsText" dxfId="751" priority="422" operator="containsText" text="NL">
      <formula>NOT(ISERROR(SEARCH("NL",AM100)))</formula>
    </cfRule>
    <cfRule type="containsText" dxfId="750" priority="421" operator="containsText" text="SP">
      <formula>NOT(ISERROR(SEARCH("SP",AM100)))</formula>
    </cfRule>
    <cfRule type="containsText" dxfId="749" priority="427" operator="containsText" text="OFF">
      <formula>NOT(ISERROR(SEARCH("OFF",AM100)))</formula>
    </cfRule>
  </conditionalFormatting>
  <conditionalFormatting sqref="AO92:AP92">
    <cfRule type="containsText" dxfId="748" priority="406" operator="containsText" text="EL">
      <formula>NOT(ISERROR(SEARCH("EL",AO92)))</formula>
    </cfRule>
    <cfRule type="containsText" dxfId="747" priority="407" operator="containsText" text="MC">
      <formula>NOT(ISERROR(SEARCH("MC",AO92)))</formula>
    </cfRule>
    <cfRule type="containsText" dxfId="746" priority="408" operator="containsText" text="OFF">
      <formula>NOT(ISERROR(SEARCH("OFF",AO92)))</formula>
    </cfRule>
    <cfRule type="containsText" dxfId="745" priority="409" operator="containsText" text="AB">
      <formula>NOT(ISERROR(SEARCH("AB",AO92)))</formula>
    </cfRule>
    <cfRule type="containsText" dxfId="744" priority="410" operator="containsText" text="SICK">
      <formula>NOT(ISERROR(SEARCH("SICK",AO92)))</formula>
    </cfRule>
    <cfRule type="containsText" dxfId="743" priority="411" operator="containsText" text="AL">
      <formula>NOT(ISERROR(SEARCH("AL",AO92)))</formula>
    </cfRule>
    <cfRule type="containsText" dxfId="742" priority="403" operator="containsText" text="NL">
      <formula>NOT(ISERROR(SEARCH("NL",AO92)))</formula>
    </cfRule>
    <cfRule type="containsText" dxfId="741" priority="402" operator="containsText" text="SP">
      <formula>NOT(ISERROR(SEARCH("SP",AO92)))</formula>
    </cfRule>
    <cfRule type="containsText" dxfId="740" priority="404" operator="containsText" text="SUS">
      <formula>NOT(ISERROR(SEARCH("SUS",AO92)))</formula>
    </cfRule>
    <cfRule type="containsText" dxfId="739" priority="405" operator="containsText" text="FL">
      <formula>NOT(ISERROR(SEARCH("FL",AO92)))</formula>
    </cfRule>
  </conditionalFormatting>
  <conditionalFormatting sqref="AQ5:AR5">
    <cfRule type="containsText" dxfId="738" priority="553" operator="containsText" text="OFF">
      <formula>NOT(ISERROR(SEARCH("OFF",AQ5)))</formula>
    </cfRule>
    <cfRule type="containsText" dxfId="737" priority="551" operator="containsText" text="AB">
      <formula>NOT(ISERROR(SEARCH("AB",AQ5)))</formula>
    </cfRule>
    <cfRule type="containsText" dxfId="736" priority="550" operator="containsText" text="MC">
      <formula>NOT(ISERROR(SEARCH("MC",AQ5)))</formula>
    </cfRule>
    <cfRule type="containsText" dxfId="735" priority="548" operator="containsText" text="SUS">
      <formula>NOT(ISERROR(SEARCH("SUS",AQ5)))</formula>
    </cfRule>
    <cfRule type="containsText" dxfId="734" priority="547" operator="containsText" text="AB">
      <formula>NOT(ISERROR(SEARCH("AB",AQ5)))</formula>
    </cfRule>
    <cfRule type="containsText" dxfId="733" priority="546" operator="containsText" text="EL">
      <formula>NOT(ISERROR(SEARCH("EL",AQ5)))</formula>
    </cfRule>
    <cfRule type="containsText" dxfId="732" priority="549" operator="containsText" text="FL">
      <formula>NOT(ISERROR(SEARCH("FL",AQ5)))</formula>
    </cfRule>
    <cfRule type="containsText" dxfId="731" priority="552" operator="containsText" text="Sick">
      <formula>NOT(ISERROR(SEARCH("Sick",AQ5)))</formula>
    </cfRule>
    <cfRule type="containsText" dxfId="730" priority="554" operator="containsText" text="AL">
      <formula>NOT(ISERROR(SEARCH("AL",AQ5)))</formula>
    </cfRule>
  </conditionalFormatting>
  <conditionalFormatting sqref="AQ10:AR13">
    <cfRule type="containsText" dxfId="729" priority="545" operator="containsText" text="AL">
      <formula>NOT(ISERROR(SEARCH("AL",AQ10)))</formula>
    </cfRule>
    <cfRule type="containsText" dxfId="728" priority="543" operator="containsText" text="Sick">
      <formula>NOT(ISERROR(SEARCH("Sick",AQ10)))</formula>
    </cfRule>
    <cfRule type="containsText" dxfId="727" priority="537" operator="containsText" text="EL">
      <formula>NOT(ISERROR(SEARCH("EL",AQ10)))</formula>
    </cfRule>
    <cfRule type="containsText" dxfId="726" priority="542" operator="containsText" text="AB">
      <formula>NOT(ISERROR(SEARCH("AB",AQ10)))</formula>
    </cfRule>
    <cfRule type="containsText" dxfId="725" priority="541" operator="containsText" text="MC">
      <formula>NOT(ISERROR(SEARCH("MC",AQ10)))</formula>
    </cfRule>
    <cfRule type="containsText" dxfId="724" priority="540" operator="containsText" text="FL">
      <formula>NOT(ISERROR(SEARCH("FL",AQ10)))</formula>
    </cfRule>
    <cfRule type="containsText" dxfId="723" priority="544" operator="containsText" text="OFF">
      <formula>NOT(ISERROR(SEARCH("OFF",AQ10)))</formula>
    </cfRule>
    <cfRule type="containsText" dxfId="722" priority="538" operator="containsText" text="AB">
      <formula>NOT(ISERROR(SEARCH("AB",AQ10)))</formula>
    </cfRule>
    <cfRule type="containsText" dxfId="721" priority="539" operator="containsText" text="SUS">
      <formula>NOT(ISERROR(SEARCH("SUS",AQ10)))</formula>
    </cfRule>
  </conditionalFormatting>
  <conditionalFormatting sqref="AQ17:AR18">
    <cfRule type="containsText" dxfId="720" priority="534" operator="containsText" text="Sick">
      <formula>NOT(ISERROR(SEARCH("Sick",AQ17)))</formula>
    </cfRule>
    <cfRule type="containsText" dxfId="719" priority="533" operator="containsText" text="AB">
      <formula>NOT(ISERROR(SEARCH("AB",AQ17)))</formula>
    </cfRule>
    <cfRule type="containsText" dxfId="718" priority="532" operator="containsText" text="MC">
      <formula>NOT(ISERROR(SEARCH("MC",AQ17)))</formula>
    </cfRule>
    <cfRule type="containsText" dxfId="717" priority="531" operator="containsText" text="FL">
      <formula>NOT(ISERROR(SEARCH("FL",AQ17)))</formula>
    </cfRule>
    <cfRule type="containsText" dxfId="716" priority="528" operator="containsText" text="EL">
      <formula>NOT(ISERROR(SEARCH("EL",AQ17)))</formula>
    </cfRule>
    <cfRule type="containsText" dxfId="715" priority="529" operator="containsText" text="AB">
      <formula>NOT(ISERROR(SEARCH("AB",AQ17)))</formula>
    </cfRule>
    <cfRule type="containsText" dxfId="714" priority="530" operator="containsText" text="SUS">
      <formula>NOT(ISERROR(SEARCH("SUS",AQ17)))</formula>
    </cfRule>
    <cfRule type="containsText" dxfId="713" priority="536" operator="containsText" text="AL">
      <formula>NOT(ISERROR(SEARCH("AL",AQ17)))</formula>
    </cfRule>
    <cfRule type="containsText" dxfId="712" priority="535" operator="containsText" text="OFF">
      <formula>NOT(ISERROR(SEARCH("OFF",AQ17)))</formula>
    </cfRule>
  </conditionalFormatting>
  <conditionalFormatting sqref="AQ25:AR25">
    <cfRule type="containsText" dxfId="711" priority="520" operator="containsText" text="AB">
      <formula>NOT(ISERROR(SEARCH("AB",AQ25)))</formula>
    </cfRule>
    <cfRule type="containsText" dxfId="710" priority="522" operator="containsText" text="FL">
      <formula>NOT(ISERROR(SEARCH("FL",AQ25)))</formula>
    </cfRule>
    <cfRule type="containsText" dxfId="709" priority="523" operator="containsText" text="MC">
      <formula>NOT(ISERROR(SEARCH("MC",AQ25)))</formula>
    </cfRule>
    <cfRule type="containsText" dxfId="708" priority="524" operator="containsText" text="AB">
      <formula>NOT(ISERROR(SEARCH("AB",AQ25)))</formula>
    </cfRule>
    <cfRule type="containsText" dxfId="707" priority="521" operator="containsText" text="SUS">
      <formula>NOT(ISERROR(SEARCH("SUS",AQ25)))</formula>
    </cfRule>
    <cfRule type="containsText" dxfId="706" priority="526" operator="containsText" text="OFF">
      <formula>NOT(ISERROR(SEARCH("OFF",AQ25)))</formula>
    </cfRule>
    <cfRule type="containsText" dxfId="705" priority="525" operator="containsText" text="Sick">
      <formula>NOT(ISERROR(SEARCH("Sick",AQ25)))</formula>
    </cfRule>
    <cfRule type="containsText" dxfId="704" priority="519" operator="containsText" text="EL">
      <formula>NOT(ISERROR(SEARCH("EL",AQ25)))</formula>
    </cfRule>
    <cfRule type="containsText" dxfId="703" priority="527" operator="containsText" text="AL">
      <formula>NOT(ISERROR(SEARCH("AL",AQ25)))</formula>
    </cfRule>
  </conditionalFormatting>
  <conditionalFormatting sqref="AQ27:AR27">
    <cfRule type="containsText" dxfId="702" priority="511" operator="containsText" text="AB">
      <formula>NOT(ISERROR(SEARCH("AB",AQ27)))</formula>
    </cfRule>
    <cfRule type="containsText" dxfId="701" priority="510" operator="containsText" text="EL">
      <formula>NOT(ISERROR(SEARCH("EL",AQ27)))</formula>
    </cfRule>
    <cfRule type="containsText" dxfId="700" priority="517" operator="containsText" text="OFF">
      <formula>NOT(ISERROR(SEARCH("OFF",AQ27)))</formula>
    </cfRule>
    <cfRule type="containsText" dxfId="699" priority="516" operator="containsText" text="Sick">
      <formula>NOT(ISERROR(SEARCH("Sick",AQ27)))</formula>
    </cfRule>
    <cfRule type="containsText" dxfId="698" priority="515" operator="containsText" text="AB">
      <formula>NOT(ISERROR(SEARCH("AB",AQ27)))</formula>
    </cfRule>
    <cfRule type="containsText" dxfId="697" priority="514" operator="containsText" text="MC">
      <formula>NOT(ISERROR(SEARCH("MC",AQ27)))</formula>
    </cfRule>
    <cfRule type="containsText" dxfId="696" priority="513" operator="containsText" text="FL">
      <formula>NOT(ISERROR(SEARCH("FL",AQ27)))</formula>
    </cfRule>
    <cfRule type="containsText" dxfId="695" priority="512" operator="containsText" text="SUS">
      <formula>NOT(ISERROR(SEARCH("SUS",AQ27)))</formula>
    </cfRule>
    <cfRule type="containsText" dxfId="694" priority="518" operator="containsText" text="AL">
      <formula>NOT(ISERROR(SEARCH("AL",AQ27)))</formula>
    </cfRule>
  </conditionalFormatting>
  <conditionalFormatting sqref="AQ42:AR43">
    <cfRule type="containsText" dxfId="693" priority="393" operator="containsText" text="EL">
      <formula>NOT(ISERROR(SEARCH("EL",AQ42)))</formula>
    </cfRule>
    <cfRule type="containsText" dxfId="692" priority="401" operator="containsText" text="AL">
      <formula>NOT(ISERROR(SEARCH("AL",AQ42)))</formula>
    </cfRule>
    <cfRule type="containsText" dxfId="691" priority="398" operator="containsText" text="AB">
      <formula>NOT(ISERROR(SEARCH("AB",AQ42)))</formula>
    </cfRule>
    <cfRule type="containsText" dxfId="690" priority="400" operator="containsText" text="OFF">
      <formula>NOT(ISERROR(SEARCH("OFF",AQ42)))</formula>
    </cfRule>
    <cfRule type="containsText" dxfId="689" priority="399" operator="containsText" text="Sick">
      <formula>NOT(ISERROR(SEARCH("Sick",AQ42)))</formula>
    </cfRule>
    <cfRule type="containsText" dxfId="688" priority="397" operator="containsText" text="MC">
      <formula>NOT(ISERROR(SEARCH("MC",AQ42)))</formula>
    </cfRule>
    <cfRule type="containsText" dxfId="687" priority="396" operator="containsText" text="FL">
      <formula>NOT(ISERROR(SEARCH("FL",AQ42)))</formula>
    </cfRule>
    <cfRule type="containsText" dxfId="686" priority="395" operator="containsText" text="SUS">
      <formula>NOT(ISERROR(SEARCH("SUS",AQ42)))</formula>
    </cfRule>
    <cfRule type="containsText" dxfId="685" priority="394" operator="containsText" text="AB">
      <formula>NOT(ISERROR(SEARCH("AB",AQ42)))</formula>
    </cfRule>
  </conditionalFormatting>
  <conditionalFormatting sqref="AQ46:AR47">
    <cfRule type="containsText" dxfId="684" priority="392" operator="containsText" text="AL">
      <formula>NOT(ISERROR(SEARCH("AL",AQ46)))</formula>
    </cfRule>
    <cfRule type="containsText" dxfId="683" priority="391" operator="containsText" text="OFF">
      <formula>NOT(ISERROR(SEARCH("OFF",AQ46)))</formula>
    </cfRule>
    <cfRule type="containsText" dxfId="682" priority="390" operator="containsText" text="Sick">
      <formula>NOT(ISERROR(SEARCH("Sick",AQ46)))</formula>
    </cfRule>
    <cfRule type="containsText" dxfId="681" priority="388" operator="containsText" text="MC">
      <formula>NOT(ISERROR(SEARCH("MC",AQ46)))</formula>
    </cfRule>
    <cfRule type="containsText" dxfId="680" priority="387" operator="containsText" text="FL">
      <formula>NOT(ISERROR(SEARCH("FL",AQ46)))</formula>
    </cfRule>
    <cfRule type="containsText" dxfId="679" priority="386" operator="containsText" text="SUS">
      <formula>NOT(ISERROR(SEARCH("SUS",AQ46)))</formula>
    </cfRule>
    <cfRule type="containsText" dxfId="678" priority="385" operator="containsText" text="AB">
      <formula>NOT(ISERROR(SEARCH("AB",AQ46)))</formula>
    </cfRule>
    <cfRule type="containsText" dxfId="677" priority="384" operator="containsText" text="EL">
      <formula>NOT(ISERROR(SEARCH("EL",AQ46)))</formula>
    </cfRule>
    <cfRule type="containsText" dxfId="676" priority="389" operator="containsText" text="AB">
      <formula>NOT(ISERROR(SEARCH("AB",AQ46)))</formula>
    </cfRule>
  </conditionalFormatting>
  <conditionalFormatting sqref="AQ49:AR49">
    <cfRule type="containsText" dxfId="675" priority="381" operator="containsText" text="Sick">
      <formula>NOT(ISERROR(SEARCH("Sick",AQ49)))</formula>
    </cfRule>
    <cfRule type="containsText" dxfId="674" priority="383" operator="containsText" text="AL">
      <formula>NOT(ISERROR(SEARCH("AL",AQ49)))</formula>
    </cfRule>
    <cfRule type="containsText" dxfId="673" priority="382" operator="containsText" text="OFF">
      <formula>NOT(ISERROR(SEARCH("OFF",AQ49)))</formula>
    </cfRule>
    <cfRule type="containsText" dxfId="672" priority="380" operator="containsText" text="AB">
      <formula>NOT(ISERROR(SEARCH("AB",AQ49)))</formula>
    </cfRule>
    <cfRule type="containsText" dxfId="671" priority="379" operator="containsText" text="MC">
      <formula>NOT(ISERROR(SEARCH("MC",AQ49)))</formula>
    </cfRule>
    <cfRule type="containsText" dxfId="670" priority="378" operator="containsText" text="FL">
      <formula>NOT(ISERROR(SEARCH("FL",AQ49)))</formula>
    </cfRule>
    <cfRule type="containsText" dxfId="669" priority="377" operator="containsText" text="SUS">
      <formula>NOT(ISERROR(SEARCH("SUS",AQ49)))</formula>
    </cfRule>
    <cfRule type="containsText" dxfId="668" priority="375" operator="containsText" text="EL">
      <formula>NOT(ISERROR(SEARCH("EL",AQ49)))</formula>
    </cfRule>
    <cfRule type="containsText" dxfId="667" priority="376" operator="containsText" text="AB">
      <formula>NOT(ISERROR(SEARCH("AB",AQ49)))</formula>
    </cfRule>
  </conditionalFormatting>
  <conditionalFormatting sqref="AQ52:AR55">
    <cfRule type="containsText" dxfId="666" priority="372" operator="containsText" text="Sick">
      <formula>NOT(ISERROR(SEARCH("Sick",AQ52)))</formula>
    </cfRule>
    <cfRule type="containsText" dxfId="665" priority="366" operator="containsText" text="EL">
      <formula>NOT(ISERROR(SEARCH("EL",AQ52)))</formula>
    </cfRule>
    <cfRule type="containsText" dxfId="664" priority="367" operator="containsText" text="AB">
      <formula>NOT(ISERROR(SEARCH("AB",AQ52)))</formula>
    </cfRule>
    <cfRule type="containsText" dxfId="663" priority="368" operator="containsText" text="SUS">
      <formula>NOT(ISERROR(SEARCH("SUS",AQ52)))</formula>
    </cfRule>
    <cfRule type="containsText" dxfId="662" priority="369" operator="containsText" text="FL">
      <formula>NOT(ISERROR(SEARCH("FL",AQ52)))</formula>
    </cfRule>
    <cfRule type="containsText" dxfId="661" priority="370" operator="containsText" text="MC">
      <formula>NOT(ISERROR(SEARCH("MC",AQ52)))</formula>
    </cfRule>
    <cfRule type="containsText" dxfId="660" priority="371" operator="containsText" text="AB">
      <formula>NOT(ISERROR(SEARCH("AB",AQ52)))</formula>
    </cfRule>
    <cfRule type="containsText" dxfId="659" priority="373" operator="containsText" text="OFF">
      <formula>NOT(ISERROR(SEARCH("OFF",AQ52)))</formula>
    </cfRule>
    <cfRule type="containsText" dxfId="658" priority="374" operator="containsText" text="AL">
      <formula>NOT(ISERROR(SEARCH("AL",AQ52)))</formula>
    </cfRule>
  </conditionalFormatting>
  <conditionalFormatting sqref="AQ57:AR58">
    <cfRule type="containsText" dxfId="657" priority="358" operator="containsText" text="AB">
      <formula>NOT(ISERROR(SEARCH("AB",AQ57)))</formula>
    </cfRule>
    <cfRule type="containsText" dxfId="656" priority="361" operator="containsText" text="MC">
      <formula>NOT(ISERROR(SEARCH("MC",AQ57)))</formula>
    </cfRule>
    <cfRule type="containsText" dxfId="655" priority="360" operator="containsText" text="FL">
      <formula>NOT(ISERROR(SEARCH("FL",AQ57)))</formula>
    </cfRule>
    <cfRule type="containsText" dxfId="654" priority="359" operator="containsText" text="SUS">
      <formula>NOT(ISERROR(SEARCH("SUS",AQ57)))</formula>
    </cfRule>
    <cfRule type="containsText" dxfId="653" priority="365" operator="containsText" text="AL">
      <formula>NOT(ISERROR(SEARCH("AL",AQ57)))</formula>
    </cfRule>
    <cfRule type="containsText" dxfId="652" priority="364" operator="containsText" text="OFF">
      <formula>NOT(ISERROR(SEARCH("OFF",AQ57)))</formula>
    </cfRule>
    <cfRule type="containsText" dxfId="651" priority="357" operator="containsText" text="EL">
      <formula>NOT(ISERROR(SEARCH("EL",AQ57)))</formula>
    </cfRule>
    <cfRule type="containsText" dxfId="650" priority="363" operator="containsText" text="Sick">
      <formula>NOT(ISERROR(SEARCH("Sick",AQ57)))</formula>
    </cfRule>
    <cfRule type="containsText" dxfId="649" priority="362" operator="containsText" text="AB">
      <formula>NOT(ISERROR(SEARCH("AB",AQ57)))</formula>
    </cfRule>
  </conditionalFormatting>
  <conditionalFormatting sqref="AQ61:AR62">
    <cfRule type="containsText" dxfId="648" priority="351" operator="containsText" text="FL">
      <formula>NOT(ISERROR(SEARCH("FL",AQ61)))</formula>
    </cfRule>
    <cfRule type="containsText" dxfId="647" priority="350" operator="containsText" text="SUS">
      <formula>NOT(ISERROR(SEARCH("SUS",AQ61)))</formula>
    </cfRule>
    <cfRule type="containsText" dxfId="646" priority="349" operator="containsText" text="AB">
      <formula>NOT(ISERROR(SEARCH("AB",AQ61)))</formula>
    </cfRule>
    <cfRule type="containsText" dxfId="645" priority="356" operator="containsText" text="AL">
      <formula>NOT(ISERROR(SEARCH("AL",AQ61)))</formula>
    </cfRule>
    <cfRule type="containsText" dxfId="644" priority="348" operator="containsText" text="EL">
      <formula>NOT(ISERROR(SEARCH("EL",AQ61)))</formula>
    </cfRule>
    <cfRule type="containsText" dxfId="643" priority="354" operator="containsText" text="Sick">
      <formula>NOT(ISERROR(SEARCH("Sick",AQ61)))</formula>
    </cfRule>
    <cfRule type="containsText" dxfId="642" priority="353" operator="containsText" text="AB">
      <formula>NOT(ISERROR(SEARCH("AB",AQ61)))</formula>
    </cfRule>
    <cfRule type="containsText" dxfId="641" priority="355" operator="containsText" text="OFF">
      <formula>NOT(ISERROR(SEARCH("OFF",AQ61)))</formula>
    </cfRule>
    <cfRule type="containsText" dxfId="640" priority="352" operator="containsText" text="MC">
      <formula>NOT(ISERROR(SEARCH("MC",AQ61)))</formula>
    </cfRule>
  </conditionalFormatting>
  <conditionalFormatting sqref="AQ64:AR65">
    <cfRule type="containsText" dxfId="639" priority="347" operator="containsText" text="AL">
      <formula>NOT(ISERROR(SEARCH("AL",AQ64)))</formula>
    </cfRule>
    <cfRule type="containsText" dxfId="638" priority="345" operator="containsText" text="Sick">
      <formula>NOT(ISERROR(SEARCH("Sick",AQ64)))</formula>
    </cfRule>
    <cfRule type="containsText" dxfId="637" priority="341" operator="containsText" text="SUS">
      <formula>NOT(ISERROR(SEARCH("SUS",AQ64)))</formula>
    </cfRule>
    <cfRule type="containsText" dxfId="636" priority="339" operator="containsText" text="EL">
      <formula>NOT(ISERROR(SEARCH("EL",AQ64)))</formula>
    </cfRule>
    <cfRule type="containsText" dxfId="635" priority="340" operator="containsText" text="AB">
      <formula>NOT(ISERROR(SEARCH("AB",AQ64)))</formula>
    </cfRule>
    <cfRule type="containsText" dxfId="634" priority="342" operator="containsText" text="FL">
      <formula>NOT(ISERROR(SEARCH("FL",AQ64)))</formula>
    </cfRule>
    <cfRule type="containsText" dxfId="633" priority="343" operator="containsText" text="MC">
      <formula>NOT(ISERROR(SEARCH("MC",AQ64)))</formula>
    </cfRule>
    <cfRule type="containsText" dxfId="632" priority="344" operator="containsText" text="AB">
      <formula>NOT(ISERROR(SEARCH("AB",AQ64)))</formula>
    </cfRule>
    <cfRule type="containsText" dxfId="631" priority="346" operator="containsText" text="OFF">
      <formula>NOT(ISERROR(SEARCH("OFF",AQ64)))</formula>
    </cfRule>
  </conditionalFormatting>
  <conditionalFormatting sqref="AQ68:AR69">
    <cfRule type="containsText" dxfId="630" priority="338" operator="containsText" text="AL">
      <formula>NOT(ISERROR(SEARCH("AL",AQ68)))</formula>
    </cfRule>
    <cfRule type="containsText" dxfId="629" priority="330" operator="containsText" text="EL">
      <formula>NOT(ISERROR(SEARCH("EL",AQ68)))</formula>
    </cfRule>
    <cfRule type="containsText" dxfId="628" priority="332" operator="containsText" text="SUS">
      <formula>NOT(ISERROR(SEARCH("SUS",AQ68)))</formula>
    </cfRule>
    <cfRule type="containsText" dxfId="627" priority="333" operator="containsText" text="FL">
      <formula>NOT(ISERROR(SEARCH("FL",AQ68)))</formula>
    </cfRule>
    <cfRule type="containsText" dxfId="626" priority="334" operator="containsText" text="MC">
      <formula>NOT(ISERROR(SEARCH("MC",AQ68)))</formula>
    </cfRule>
    <cfRule type="containsText" dxfId="625" priority="335" operator="containsText" text="AB">
      <formula>NOT(ISERROR(SEARCH("AB",AQ68)))</formula>
    </cfRule>
    <cfRule type="containsText" dxfId="624" priority="336" operator="containsText" text="Sick">
      <formula>NOT(ISERROR(SEARCH("Sick",AQ68)))</formula>
    </cfRule>
    <cfRule type="containsText" dxfId="623" priority="337" operator="containsText" text="OFF">
      <formula>NOT(ISERROR(SEARCH("OFF",AQ68)))</formula>
    </cfRule>
    <cfRule type="containsText" dxfId="622" priority="331" operator="containsText" text="AB">
      <formula>NOT(ISERROR(SEARCH("AB",AQ68)))</formula>
    </cfRule>
  </conditionalFormatting>
  <conditionalFormatting sqref="AQ72:AR72">
    <cfRule type="containsText" dxfId="621" priority="323" operator="containsText" text="SUS">
      <formula>NOT(ISERROR(SEARCH("SUS",AQ72)))</formula>
    </cfRule>
    <cfRule type="containsText" dxfId="620" priority="325" operator="containsText" text="MC">
      <formula>NOT(ISERROR(SEARCH("MC",AQ72)))</formula>
    </cfRule>
    <cfRule type="containsText" dxfId="619" priority="324" operator="containsText" text="FL">
      <formula>NOT(ISERROR(SEARCH("FL",AQ72)))</formula>
    </cfRule>
    <cfRule type="containsText" dxfId="618" priority="321" operator="containsText" text="EL">
      <formula>NOT(ISERROR(SEARCH("EL",AQ72)))</formula>
    </cfRule>
    <cfRule type="containsText" dxfId="617" priority="329" operator="containsText" text="AL">
      <formula>NOT(ISERROR(SEARCH("AL",AQ72)))</formula>
    </cfRule>
    <cfRule type="containsText" dxfId="616" priority="322" operator="containsText" text="AB">
      <formula>NOT(ISERROR(SEARCH("AB",AQ72)))</formula>
    </cfRule>
    <cfRule type="containsText" dxfId="615" priority="328" operator="containsText" text="OFF">
      <formula>NOT(ISERROR(SEARCH("OFF",AQ72)))</formula>
    </cfRule>
    <cfRule type="containsText" dxfId="614" priority="327" operator="containsText" text="Sick">
      <formula>NOT(ISERROR(SEARCH("Sick",AQ72)))</formula>
    </cfRule>
    <cfRule type="containsText" dxfId="613" priority="326" operator="containsText" text="AB">
      <formula>NOT(ISERROR(SEARCH("AB",AQ72)))</formula>
    </cfRule>
  </conditionalFormatting>
  <conditionalFormatting sqref="AQ74:AR76">
    <cfRule type="containsText" dxfId="612" priority="314" operator="containsText" text="SUS">
      <formula>NOT(ISERROR(SEARCH("SUS",AQ74)))</formula>
    </cfRule>
    <cfRule type="containsText" dxfId="611" priority="313" operator="containsText" text="AB">
      <formula>NOT(ISERROR(SEARCH("AB",AQ74)))</formula>
    </cfRule>
    <cfRule type="containsText" dxfId="610" priority="318" operator="containsText" text="Sick">
      <formula>NOT(ISERROR(SEARCH("Sick",AQ74)))</formula>
    </cfRule>
    <cfRule type="containsText" dxfId="609" priority="312" operator="containsText" text="EL">
      <formula>NOT(ISERROR(SEARCH("EL",AQ74)))</formula>
    </cfRule>
    <cfRule type="containsText" dxfId="608" priority="319" operator="containsText" text="OFF">
      <formula>NOT(ISERROR(SEARCH("OFF",AQ74)))</formula>
    </cfRule>
    <cfRule type="containsText" dxfId="607" priority="317" operator="containsText" text="AB">
      <formula>NOT(ISERROR(SEARCH("AB",AQ74)))</formula>
    </cfRule>
    <cfRule type="containsText" dxfId="606" priority="316" operator="containsText" text="MC">
      <formula>NOT(ISERROR(SEARCH("MC",AQ74)))</formula>
    </cfRule>
    <cfRule type="containsText" dxfId="605" priority="320" operator="containsText" text="AL">
      <formula>NOT(ISERROR(SEARCH("AL",AQ74)))</formula>
    </cfRule>
    <cfRule type="containsText" dxfId="604" priority="315" operator="containsText" text="FL">
      <formula>NOT(ISERROR(SEARCH("FL",AQ74)))</formula>
    </cfRule>
  </conditionalFormatting>
  <conditionalFormatting sqref="AQ84:AR84">
    <cfRule type="containsText" dxfId="603" priority="310" operator="containsText" text="OFF">
      <formula>NOT(ISERROR(SEARCH("OFF",AQ84)))</formula>
    </cfRule>
    <cfRule type="containsText" dxfId="602" priority="303" operator="containsText" text="EL">
      <formula>NOT(ISERROR(SEARCH("EL",AQ84)))</formula>
    </cfRule>
    <cfRule type="containsText" dxfId="601" priority="311" operator="containsText" text="AL">
      <formula>NOT(ISERROR(SEARCH("AL",AQ84)))</formula>
    </cfRule>
    <cfRule type="containsText" dxfId="600" priority="308" operator="containsText" text="AB">
      <formula>NOT(ISERROR(SEARCH("AB",AQ84)))</formula>
    </cfRule>
    <cfRule type="containsText" dxfId="599" priority="307" operator="containsText" text="MC">
      <formula>NOT(ISERROR(SEARCH("MC",AQ84)))</formula>
    </cfRule>
    <cfRule type="containsText" dxfId="598" priority="306" operator="containsText" text="FL">
      <formula>NOT(ISERROR(SEARCH("FL",AQ84)))</formula>
    </cfRule>
    <cfRule type="containsText" dxfId="597" priority="305" operator="containsText" text="SUS">
      <formula>NOT(ISERROR(SEARCH("SUS",AQ84)))</formula>
    </cfRule>
    <cfRule type="containsText" dxfId="596" priority="304" operator="containsText" text="AB">
      <formula>NOT(ISERROR(SEARCH("AB",AQ84)))</formula>
    </cfRule>
    <cfRule type="containsText" dxfId="595" priority="309" operator="containsText" text="Sick">
      <formula>NOT(ISERROR(SEARCH("Sick",AQ84)))</formula>
    </cfRule>
  </conditionalFormatting>
  <conditionalFormatting sqref="AQ87:AR87">
    <cfRule type="containsText" dxfId="594" priority="294" operator="containsText" text="EL">
      <formula>NOT(ISERROR(SEARCH("EL",AQ87)))</formula>
    </cfRule>
    <cfRule type="containsText" dxfId="593" priority="300" operator="containsText" text="Sick">
      <formula>NOT(ISERROR(SEARCH("Sick",AQ87)))</formula>
    </cfRule>
    <cfRule type="containsText" dxfId="592" priority="302" operator="containsText" text="AL">
      <formula>NOT(ISERROR(SEARCH("AL",AQ87)))</formula>
    </cfRule>
    <cfRule type="containsText" dxfId="591" priority="301" operator="containsText" text="OFF">
      <formula>NOT(ISERROR(SEARCH("OFF",AQ87)))</formula>
    </cfRule>
    <cfRule type="containsText" dxfId="590" priority="299" operator="containsText" text="AB">
      <formula>NOT(ISERROR(SEARCH("AB",AQ87)))</formula>
    </cfRule>
    <cfRule type="containsText" dxfId="589" priority="298" operator="containsText" text="MC">
      <formula>NOT(ISERROR(SEARCH("MC",AQ87)))</formula>
    </cfRule>
    <cfRule type="containsText" dxfId="588" priority="297" operator="containsText" text="FL">
      <formula>NOT(ISERROR(SEARCH("FL",AQ87)))</formula>
    </cfRule>
    <cfRule type="containsText" dxfId="587" priority="296" operator="containsText" text="SUS">
      <formula>NOT(ISERROR(SEARCH("SUS",AQ87)))</formula>
    </cfRule>
    <cfRule type="containsText" dxfId="586" priority="295" operator="containsText" text="AB">
      <formula>NOT(ISERROR(SEARCH("AB",AQ87)))</formula>
    </cfRule>
  </conditionalFormatting>
  <conditionalFormatting sqref="AQ96:AR98">
    <cfRule type="containsText" dxfId="585" priority="284" operator="containsText" text="AL">
      <formula>NOT(ISERROR(SEARCH("AL",AQ96)))</formula>
    </cfRule>
    <cfRule type="containsText" dxfId="584" priority="283" operator="containsText" text="OFF">
      <formula>NOT(ISERROR(SEARCH("OFF",AQ96)))</formula>
    </cfRule>
    <cfRule type="containsText" dxfId="583" priority="282" operator="containsText" text="Sick">
      <formula>NOT(ISERROR(SEARCH("Sick",AQ96)))</formula>
    </cfRule>
    <cfRule type="containsText" dxfId="582" priority="281" operator="containsText" text="AB">
      <formula>NOT(ISERROR(SEARCH("AB",AQ96)))</formula>
    </cfRule>
    <cfRule type="containsText" dxfId="581" priority="280" operator="containsText" text="MC">
      <formula>NOT(ISERROR(SEARCH("MC",AQ96)))</formula>
    </cfRule>
    <cfRule type="containsText" dxfId="580" priority="278" operator="containsText" text="SUS">
      <formula>NOT(ISERROR(SEARCH("SUS",AQ96)))</formula>
    </cfRule>
    <cfRule type="containsText" dxfId="579" priority="277" operator="containsText" text="AB">
      <formula>NOT(ISERROR(SEARCH("AB",AQ96)))</formula>
    </cfRule>
    <cfRule type="containsText" dxfId="578" priority="276" operator="containsText" text="EL">
      <formula>NOT(ISERROR(SEARCH("EL",AQ96)))</formula>
    </cfRule>
    <cfRule type="containsText" dxfId="577" priority="279" operator="containsText" text="FL">
      <formula>NOT(ISERROR(SEARCH("FL",AQ96)))</formula>
    </cfRule>
  </conditionalFormatting>
  <conditionalFormatting sqref="AQ101:AR102">
    <cfRule type="containsText" dxfId="576" priority="274" operator="containsText" text="OFF">
      <formula>NOT(ISERROR(SEARCH("OFF",AQ101)))</formula>
    </cfRule>
    <cfRule type="containsText" dxfId="575" priority="273" operator="containsText" text="Sick">
      <formula>NOT(ISERROR(SEARCH("Sick",AQ101)))</formula>
    </cfRule>
    <cfRule type="containsText" dxfId="574" priority="271" operator="containsText" text="MC">
      <formula>NOT(ISERROR(SEARCH("MC",AQ101)))</formula>
    </cfRule>
    <cfRule type="containsText" dxfId="573" priority="267" operator="containsText" text="EL">
      <formula>NOT(ISERROR(SEARCH("EL",AQ101)))</formula>
    </cfRule>
    <cfRule type="containsText" dxfId="572" priority="268" operator="containsText" text="AB">
      <formula>NOT(ISERROR(SEARCH("AB",AQ101)))</formula>
    </cfRule>
    <cfRule type="containsText" dxfId="571" priority="269" operator="containsText" text="SUS">
      <formula>NOT(ISERROR(SEARCH("SUS",AQ101)))</formula>
    </cfRule>
    <cfRule type="containsText" dxfId="570" priority="270" operator="containsText" text="FL">
      <formula>NOT(ISERROR(SEARCH("FL",AQ101)))</formula>
    </cfRule>
    <cfRule type="containsText" dxfId="569" priority="272" operator="containsText" text="AB">
      <formula>NOT(ISERROR(SEARCH("AB",AQ101)))</formula>
    </cfRule>
    <cfRule type="containsText" dxfId="568" priority="275" operator="containsText" text="AL">
      <formula>NOT(ISERROR(SEARCH("AL",AQ101)))</formula>
    </cfRule>
  </conditionalFormatting>
  <conditionalFormatting sqref="AQ104:AR104">
    <cfRule type="containsText" dxfId="567" priority="262" operator="containsText" text="MC">
      <formula>NOT(ISERROR(SEARCH("MC",AQ104)))</formula>
    </cfRule>
    <cfRule type="containsText" dxfId="566" priority="260" operator="containsText" text="SUS">
      <formula>NOT(ISERROR(SEARCH("SUS",AQ104)))</formula>
    </cfRule>
    <cfRule type="containsText" dxfId="565" priority="259" operator="containsText" text="AB">
      <formula>NOT(ISERROR(SEARCH("AB",AQ104)))</formula>
    </cfRule>
    <cfRule type="containsText" dxfId="564" priority="258" operator="containsText" text="EL">
      <formula>NOT(ISERROR(SEARCH("EL",AQ104)))</formula>
    </cfRule>
    <cfRule type="containsText" dxfId="563" priority="263" operator="containsText" text="AB">
      <formula>NOT(ISERROR(SEARCH("AB",AQ104)))</formula>
    </cfRule>
    <cfRule type="containsText" dxfId="562" priority="264" operator="containsText" text="Sick">
      <formula>NOT(ISERROR(SEARCH("Sick",AQ104)))</formula>
    </cfRule>
    <cfRule type="containsText" dxfId="561" priority="265" operator="containsText" text="OFF">
      <formula>NOT(ISERROR(SEARCH("OFF",AQ104)))</formula>
    </cfRule>
    <cfRule type="containsText" dxfId="560" priority="266" operator="containsText" text="AL">
      <formula>NOT(ISERROR(SEARCH("AL",AQ104)))</formula>
    </cfRule>
    <cfRule type="containsText" dxfId="559" priority="261" operator="containsText" text="FL">
      <formula>NOT(ISERROR(SEARCH("FL",AQ104)))</formula>
    </cfRule>
  </conditionalFormatting>
  <conditionalFormatting sqref="AS59">
    <cfRule type="containsText" dxfId="558" priority="256" operator="containsText" text="SICK">
      <formula>NOT(ISERROR(SEARCH("SICK",AS59)))</formula>
    </cfRule>
    <cfRule type="containsText" dxfId="557" priority="253" operator="containsText" text="MC">
      <formula>NOT(ISERROR(SEARCH("MC",AS59)))</formula>
    </cfRule>
    <cfRule type="containsText" dxfId="556" priority="254" operator="containsText" text="OFF">
      <formula>NOT(ISERROR(SEARCH("OFF",AS59)))</formula>
    </cfRule>
    <cfRule type="containsText" dxfId="555" priority="257" operator="containsText" text="AL">
      <formula>NOT(ISERROR(SEARCH("AL",AS59)))</formula>
    </cfRule>
    <cfRule type="containsText" dxfId="554" priority="252" operator="containsText" text="EL">
      <formula>NOT(ISERROR(SEARCH("EL",AS59)))</formula>
    </cfRule>
    <cfRule type="containsText" dxfId="553" priority="251" operator="containsText" text="FL">
      <formula>NOT(ISERROR(SEARCH("FL",AS59)))</formula>
    </cfRule>
    <cfRule type="containsText" dxfId="552" priority="250" operator="containsText" text="SUS">
      <formula>NOT(ISERROR(SEARCH("SUS",AS59)))</formula>
    </cfRule>
    <cfRule type="containsText" dxfId="551" priority="249" operator="containsText" text="NL">
      <formula>NOT(ISERROR(SEARCH("NL",AS59)))</formula>
    </cfRule>
    <cfRule type="containsText" dxfId="550" priority="248" operator="containsText" text="SP">
      <formula>NOT(ISERROR(SEARCH("SP",AS59)))</formula>
    </cfRule>
    <cfRule type="containsText" dxfId="549" priority="255" operator="containsText" text="AB">
      <formula>NOT(ISERROR(SEARCH("AB",AS59)))</formula>
    </cfRule>
  </conditionalFormatting>
  <conditionalFormatting sqref="AS10:AT10">
    <cfRule type="containsText" dxfId="548" priority="509" operator="containsText" text="AL">
      <formula>NOT(ISERROR(SEARCH("AL",AS10)))</formula>
    </cfRule>
    <cfRule type="containsText" dxfId="547" priority="508" operator="containsText" text="OFF">
      <formula>NOT(ISERROR(SEARCH("OFF",AS10)))</formula>
    </cfRule>
    <cfRule type="containsText" dxfId="546" priority="507" operator="containsText" text="Sick">
      <formula>NOT(ISERROR(SEARCH("Sick",AS10)))</formula>
    </cfRule>
    <cfRule type="containsText" dxfId="545" priority="506" operator="containsText" text="AB">
      <formula>NOT(ISERROR(SEARCH("AB",AS10)))</formula>
    </cfRule>
    <cfRule type="containsText" dxfId="544" priority="505" operator="containsText" text="MC">
      <formula>NOT(ISERROR(SEARCH("MC",AS10)))</formula>
    </cfRule>
    <cfRule type="containsText" dxfId="543" priority="504" operator="containsText" text="FL">
      <formula>NOT(ISERROR(SEARCH("FL",AS10)))</formula>
    </cfRule>
    <cfRule type="containsText" dxfId="542" priority="503" operator="containsText" text="SUS">
      <formula>NOT(ISERROR(SEARCH("SUS",AS10)))</formula>
    </cfRule>
    <cfRule type="containsText" dxfId="541" priority="502" operator="containsText" text="AB">
      <formula>NOT(ISERROR(SEARCH("AB",AS10)))</formula>
    </cfRule>
    <cfRule type="containsText" dxfId="540" priority="501" operator="containsText" text="EL">
      <formula>NOT(ISERROR(SEARCH("EL",AS10)))</formula>
    </cfRule>
  </conditionalFormatting>
  <conditionalFormatting sqref="AY101:AZ101">
    <cfRule type="containsText" dxfId="539" priority="169" operator="containsText" text="OFF">
      <formula>NOT(ISERROR(SEARCH("OFF",AY101)))</formula>
    </cfRule>
    <cfRule type="containsText" dxfId="538" priority="172" operator="containsText" text="AL">
      <formula>NOT(ISERROR(SEARCH("AL",AY101)))</formula>
    </cfRule>
    <cfRule type="containsText" dxfId="537" priority="171" operator="containsText" text="SICK">
      <formula>NOT(ISERROR(SEARCH("SICK",AY101)))</formula>
    </cfRule>
    <cfRule type="containsText" dxfId="536" priority="170" operator="containsText" text="AB">
      <formula>NOT(ISERROR(SEARCH("AB",AY101)))</formula>
    </cfRule>
    <cfRule type="containsText" dxfId="535" priority="167" operator="containsText" text="EL">
      <formula>NOT(ISERROR(SEARCH("EL",AY101)))</formula>
    </cfRule>
    <cfRule type="containsText" dxfId="534" priority="166" operator="containsText" text="FL">
      <formula>NOT(ISERROR(SEARCH("FL",AY101)))</formula>
    </cfRule>
    <cfRule type="containsText" dxfId="533" priority="165" operator="containsText" text="SUS">
      <formula>NOT(ISERROR(SEARCH("SUS",AY101)))</formula>
    </cfRule>
    <cfRule type="containsText" dxfId="532" priority="164" operator="containsText" text="NL">
      <formula>NOT(ISERROR(SEARCH("NL",AY101)))</formula>
    </cfRule>
    <cfRule type="containsText" dxfId="531" priority="163" operator="containsText" text="SP">
      <formula>NOT(ISERROR(SEARCH("SP",AY101)))</formula>
    </cfRule>
    <cfRule type="containsText" dxfId="530" priority="168" operator="containsText" text="MC">
      <formula>NOT(ISERROR(SEARCH("MC",AY101)))</formula>
    </cfRule>
  </conditionalFormatting>
  <conditionalFormatting sqref="AY146:AZ146">
    <cfRule type="containsText" dxfId="529" priority="1506" operator="containsText" text="AB">
      <formula>NOT(ISERROR(SEARCH("AB",AY146)))</formula>
    </cfRule>
    <cfRule type="containsText" dxfId="528" priority="1507" operator="containsText" text="SICK">
      <formula>NOT(ISERROR(SEARCH("SICK",AY146)))</formula>
    </cfRule>
    <cfRule type="containsText" dxfId="527" priority="1508" operator="containsText" text="AL">
      <formula>NOT(ISERROR(SEARCH("AL",AY146)))</formula>
    </cfRule>
    <cfRule type="containsText" dxfId="526" priority="1499" operator="containsText" text="SP">
      <formula>NOT(ISERROR(SEARCH("SP",AY146)))</formula>
    </cfRule>
    <cfRule type="containsText" dxfId="525" priority="1500" operator="containsText" text="NL">
      <formula>NOT(ISERROR(SEARCH("NL",AY146)))</formula>
    </cfRule>
    <cfRule type="containsText" dxfId="524" priority="1501" operator="containsText" text="SUS">
      <formula>NOT(ISERROR(SEARCH("SUS",AY146)))</formula>
    </cfRule>
    <cfRule type="containsText" dxfId="523" priority="1502" operator="containsText" text="FL">
      <formula>NOT(ISERROR(SEARCH("FL",AY146)))</formula>
    </cfRule>
    <cfRule type="containsText" dxfId="522" priority="1503" operator="containsText" text="EL">
      <formula>NOT(ISERROR(SEARCH("EL",AY146)))</formula>
    </cfRule>
    <cfRule type="containsText" dxfId="521" priority="1504" operator="containsText" text="MC">
      <formula>NOT(ISERROR(SEARCH("MC",AY146)))</formula>
    </cfRule>
    <cfRule type="containsText" dxfId="520" priority="1505" operator="containsText" text="OFF">
      <formula>NOT(ISERROR(SEARCH("OFF",AY146)))</formula>
    </cfRule>
  </conditionalFormatting>
  <conditionalFormatting sqref="BA93:BB93">
    <cfRule type="containsText" dxfId="519" priority="173" operator="containsText" text="SP">
      <formula>NOT(ISERROR(SEARCH("SP",BA93)))</formula>
    </cfRule>
    <cfRule type="containsText" dxfId="518" priority="174" operator="containsText" text="NL">
      <formula>NOT(ISERROR(SEARCH("NL",BA93)))</formula>
    </cfRule>
    <cfRule type="containsText" dxfId="517" priority="182" operator="containsText" text="AL">
      <formula>NOT(ISERROR(SEARCH("AL",BA93)))</formula>
    </cfRule>
    <cfRule type="containsText" dxfId="516" priority="181" operator="containsText" text="SICK">
      <formula>NOT(ISERROR(SEARCH("SICK",BA93)))</formula>
    </cfRule>
    <cfRule type="containsText" dxfId="515" priority="180" operator="containsText" text="AB">
      <formula>NOT(ISERROR(SEARCH("AB",BA93)))</formula>
    </cfRule>
    <cfRule type="containsText" dxfId="514" priority="179" operator="containsText" text="OFF">
      <formula>NOT(ISERROR(SEARCH("OFF",BA93)))</formula>
    </cfRule>
    <cfRule type="containsText" dxfId="513" priority="178" operator="containsText" text="MC">
      <formula>NOT(ISERROR(SEARCH("MC",BA93)))</formula>
    </cfRule>
    <cfRule type="containsText" dxfId="512" priority="177" operator="containsText" text="EL">
      <formula>NOT(ISERROR(SEARCH("EL",BA93)))</formula>
    </cfRule>
    <cfRule type="containsText" dxfId="511" priority="176" operator="containsText" text="FL">
      <formula>NOT(ISERROR(SEARCH("FL",BA93)))</formula>
    </cfRule>
    <cfRule type="containsText" dxfId="510" priority="175" operator="containsText" text="SUS">
      <formula>NOT(ISERROR(SEARCH("SUS",BA93)))</formula>
    </cfRule>
  </conditionalFormatting>
  <conditionalFormatting sqref="BE5:BF5">
    <cfRule type="containsText" dxfId="509" priority="223" operator="containsText" text="MC">
      <formula>NOT(ISERROR(SEARCH("MC",BE5)))</formula>
    </cfRule>
    <cfRule type="containsText" dxfId="508" priority="222" operator="containsText" text="FL">
      <formula>NOT(ISERROR(SEARCH("FL",BE5)))</formula>
    </cfRule>
    <cfRule type="containsText" dxfId="507" priority="221" operator="containsText" text="SUS">
      <formula>NOT(ISERROR(SEARCH("SUS",BE5)))</formula>
    </cfRule>
    <cfRule type="containsText" dxfId="506" priority="219" operator="containsText" text="EL">
      <formula>NOT(ISERROR(SEARCH("EL",BE5)))</formula>
    </cfRule>
    <cfRule type="containsText" dxfId="505" priority="220" operator="containsText" text="AB">
      <formula>NOT(ISERROR(SEARCH("AB",BE5)))</formula>
    </cfRule>
    <cfRule type="containsText" dxfId="504" priority="227" operator="containsText" text="AL">
      <formula>NOT(ISERROR(SEARCH("AL",BE5)))</formula>
    </cfRule>
    <cfRule type="containsText" dxfId="503" priority="226" operator="containsText" text="OFF">
      <formula>NOT(ISERROR(SEARCH("OFF",BE5)))</formula>
    </cfRule>
    <cfRule type="containsText" dxfId="502" priority="225" operator="containsText" text="Sick">
      <formula>NOT(ISERROR(SEARCH("Sick",BE5)))</formula>
    </cfRule>
    <cfRule type="containsText" dxfId="501" priority="224" operator="containsText" text="AB">
      <formula>NOT(ISERROR(SEARCH("AB",BE5)))</formula>
    </cfRule>
  </conditionalFormatting>
  <conditionalFormatting sqref="BE9:BF13">
    <cfRule type="containsText" dxfId="500" priority="216" operator="containsText" text="Sick">
      <formula>NOT(ISERROR(SEARCH("Sick",BE9)))</formula>
    </cfRule>
    <cfRule type="containsText" dxfId="499" priority="215" operator="containsText" text="AB">
      <formula>NOT(ISERROR(SEARCH("AB",BE9)))</formula>
    </cfRule>
    <cfRule type="containsText" dxfId="498" priority="210" operator="containsText" text="EL">
      <formula>NOT(ISERROR(SEARCH("EL",BE9)))</formula>
    </cfRule>
    <cfRule type="containsText" dxfId="497" priority="213" operator="containsText" text="FL">
      <formula>NOT(ISERROR(SEARCH("FL",BE9)))</formula>
    </cfRule>
    <cfRule type="containsText" dxfId="496" priority="214" operator="containsText" text="MC">
      <formula>NOT(ISERROR(SEARCH("MC",BE9)))</formula>
    </cfRule>
    <cfRule type="containsText" dxfId="495" priority="211" operator="containsText" text="AB">
      <formula>NOT(ISERROR(SEARCH("AB",BE9)))</formula>
    </cfRule>
    <cfRule type="containsText" dxfId="494" priority="212" operator="containsText" text="SUS">
      <formula>NOT(ISERROR(SEARCH("SUS",BE9)))</formula>
    </cfRule>
    <cfRule type="containsText" dxfId="493" priority="218" operator="containsText" text="AL">
      <formula>NOT(ISERROR(SEARCH("AL",BE9)))</formula>
    </cfRule>
    <cfRule type="containsText" dxfId="492" priority="217" operator="containsText" text="OFF">
      <formula>NOT(ISERROR(SEARCH("OFF",BE9)))</formula>
    </cfRule>
  </conditionalFormatting>
  <conditionalFormatting sqref="BE15:BF16">
    <cfRule type="containsText" dxfId="491" priority="201" operator="containsText" text="EL">
      <formula>NOT(ISERROR(SEARCH("EL",BE15)))</formula>
    </cfRule>
    <cfRule type="containsText" dxfId="490" priority="202" operator="containsText" text="AB">
      <formula>NOT(ISERROR(SEARCH("AB",BE15)))</formula>
    </cfRule>
    <cfRule type="containsText" dxfId="489" priority="203" operator="containsText" text="SUS">
      <formula>NOT(ISERROR(SEARCH("SUS",BE15)))</formula>
    </cfRule>
    <cfRule type="containsText" dxfId="488" priority="204" operator="containsText" text="FL">
      <formula>NOT(ISERROR(SEARCH("FL",BE15)))</formula>
    </cfRule>
    <cfRule type="containsText" dxfId="487" priority="207" operator="containsText" text="Sick">
      <formula>NOT(ISERROR(SEARCH("Sick",BE15)))</formula>
    </cfRule>
    <cfRule type="containsText" dxfId="486" priority="208" operator="containsText" text="OFF">
      <formula>NOT(ISERROR(SEARCH("OFF",BE15)))</formula>
    </cfRule>
    <cfRule type="containsText" dxfId="485" priority="209" operator="containsText" text="AL">
      <formula>NOT(ISERROR(SEARCH("AL",BE15)))</formula>
    </cfRule>
    <cfRule type="containsText" dxfId="484" priority="205" operator="containsText" text="MC">
      <formula>NOT(ISERROR(SEARCH("MC",BE15)))</formula>
    </cfRule>
    <cfRule type="containsText" dxfId="483" priority="206" operator="containsText" text="AB">
      <formula>NOT(ISERROR(SEARCH("AB",BE15)))</formula>
    </cfRule>
  </conditionalFormatting>
  <conditionalFormatting sqref="BE24:BF24">
    <cfRule type="containsText" dxfId="482" priority="194" operator="containsText" text="SUS">
      <formula>NOT(ISERROR(SEARCH("SUS",BE24)))</formula>
    </cfRule>
    <cfRule type="containsText" dxfId="481" priority="195" operator="containsText" text="FL">
      <formula>NOT(ISERROR(SEARCH("FL",BE24)))</formula>
    </cfRule>
    <cfRule type="containsText" dxfId="480" priority="196" operator="containsText" text="MC">
      <formula>NOT(ISERROR(SEARCH("MC",BE24)))</formula>
    </cfRule>
    <cfRule type="containsText" dxfId="479" priority="197" operator="containsText" text="AB">
      <formula>NOT(ISERROR(SEARCH("AB",BE24)))</formula>
    </cfRule>
    <cfRule type="containsText" dxfId="478" priority="198" operator="containsText" text="Sick">
      <formula>NOT(ISERROR(SEARCH("Sick",BE24)))</formula>
    </cfRule>
    <cfRule type="containsText" dxfId="477" priority="199" operator="containsText" text="OFF">
      <formula>NOT(ISERROR(SEARCH("OFF",BE24)))</formula>
    </cfRule>
    <cfRule type="containsText" dxfId="476" priority="200" operator="containsText" text="AL">
      <formula>NOT(ISERROR(SEARCH("AL",BE24)))</formula>
    </cfRule>
    <cfRule type="containsText" dxfId="475" priority="193" operator="containsText" text="AB">
      <formula>NOT(ISERROR(SEARCH("AB",BE24)))</formula>
    </cfRule>
    <cfRule type="containsText" dxfId="474" priority="192" operator="containsText" text="EL">
      <formula>NOT(ISERROR(SEARCH("EL",BE24)))</formula>
    </cfRule>
  </conditionalFormatting>
  <conditionalFormatting sqref="BE27:BF27">
    <cfRule type="containsText" dxfId="473" priority="183" operator="containsText" text="EL">
      <formula>NOT(ISERROR(SEARCH("EL",BE27)))</formula>
    </cfRule>
    <cfRule type="containsText" dxfId="472" priority="184" operator="containsText" text="AB">
      <formula>NOT(ISERROR(SEARCH("AB",BE27)))</formula>
    </cfRule>
    <cfRule type="containsText" dxfId="471" priority="191" operator="containsText" text="AL">
      <formula>NOT(ISERROR(SEARCH("AL",BE27)))</formula>
    </cfRule>
    <cfRule type="containsText" dxfId="470" priority="190" operator="containsText" text="OFF">
      <formula>NOT(ISERROR(SEARCH("OFF",BE27)))</formula>
    </cfRule>
    <cfRule type="containsText" dxfId="469" priority="189" operator="containsText" text="Sick">
      <formula>NOT(ISERROR(SEARCH("Sick",BE27)))</formula>
    </cfRule>
    <cfRule type="containsText" dxfId="468" priority="188" operator="containsText" text="AB">
      <formula>NOT(ISERROR(SEARCH("AB",BE27)))</formula>
    </cfRule>
    <cfRule type="containsText" dxfId="467" priority="187" operator="containsText" text="MC">
      <formula>NOT(ISERROR(SEARCH("MC",BE27)))</formula>
    </cfRule>
    <cfRule type="containsText" dxfId="466" priority="186" operator="containsText" text="FL">
      <formula>NOT(ISERROR(SEARCH("FL",BE27)))</formula>
    </cfRule>
    <cfRule type="containsText" dxfId="465" priority="185" operator="containsText" text="SUS">
      <formula>NOT(ISERROR(SEARCH("SUS",BE27)))</formula>
    </cfRule>
  </conditionalFormatting>
  <conditionalFormatting sqref="BE44:BF45">
    <cfRule type="containsText" dxfId="464" priority="157" operator="containsText" text="FL">
      <formula>NOT(ISERROR(SEARCH("FL",BE44)))</formula>
    </cfRule>
    <cfRule type="containsText" dxfId="463" priority="158" operator="containsText" text="MC">
      <formula>NOT(ISERROR(SEARCH("MC",BE44)))</formula>
    </cfRule>
    <cfRule type="containsText" dxfId="462" priority="159" operator="containsText" text="AB">
      <formula>NOT(ISERROR(SEARCH("AB",BE44)))</formula>
    </cfRule>
    <cfRule type="containsText" dxfId="461" priority="160" operator="containsText" text="Sick">
      <formula>NOT(ISERROR(SEARCH("Sick",BE44)))</formula>
    </cfRule>
    <cfRule type="containsText" dxfId="460" priority="161" operator="containsText" text="OFF">
      <formula>NOT(ISERROR(SEARCH("OFF",BE44)))</formula>
    </cfRule>
    <cfRule type="containsText" dxfId="459" priority="162" operator="containsText" text="AL">
      <formula>NOT(ISERROR(SEARCH("AL",BE44)))</formula>
    </cfRule>
    <cfRule type="containsText" dxfId="458" priority="154" operator="containsText" text="EL">
      <formula>NOT(ISERROR(SEARCH("EL",BE44)))</formula>
    </cfRule>
    <cfRule type="containsText" dxfId="457" priority="155" operator="containsText" text="AB">
      <formula>NOT(ISERROR(SEARCH("AB",BE44)))</formula>
    </cfRule>
    <cfRule type="containsText" dxfId="456" priority="156" operator="containsText" text="SUS">
      <formula>NOT(ISERROR(SEARCH("SUS",BE44)))</formula>
    </cfRule>
  </conditionalFormatting>
  <conditionalFormatting sqref="BE48:BF48">
    <cfRule type="containsText" dxfId="455" priority="153" operator="containsText" text="AL">
      <formula>NOT(ISERROR(SEARCH("AL",BE48)))</formula>
    </cfRule>
    <cfRule type="containsText" dxfId="454" priority="147" operator="containsText" text="SUS">
      <formula>NOT(ISERROR(SEARCH("SUS",BE48)))</formula>
    </cfRule>
    <cfRule type="containsText" dxfId="453" priority="146" operator="containsText" text="AB">
      <formula>NOT(ISERROR(SEARCH("AB",BE48)))</formula>
    </cfRule>
    <cfRule type="containsText" dxfId="452" priority="145" operator="containsText" text="EL">
      <formula>NOT(ISERROR(SEARCH("EL",BE48)))</formula>
    </cfRule>
    <cfRule type="containsText" dxfId="451" priority="150" operator="containsText" text="AB">
      <formula>NOT(ISERROR(SEARCH("AB",BE48)))</formula>
    </cfRule>
    <cfRule type="containsText" dxfId="450" priority="149" operator="containsText" text="MC">
      <formula>NOT(ISERROR(SEARCH("MC",BE48)))</formula>
    </cfRule>
    <cfRule type="containsText" dxfId="449" priority="148" operator="containsText" text="FL">
      <formula>NOT(ISERROR(SEARCH("FL",BE48)))</formula>
    </cfRule>
    <cfRule type="containsText" dxfId="448" priority="152" operator="containsText" text="OFF">
      <formula>NOT(ISERROR(SEARCH("OFF",BE48)))</formula>
    </cfRule>
    <cfRule type="containsText" dxfId="447" priority="151" operator="containsText" text="Sick">
      <formula>NOT(ISERROR(SEARCH("Sick",BE48)))</formula>
    </cfRule>
  </conditionalFormatting>
  <conditionalFormatting sqref="BE50:BF51">
    <cfRule type="containsText" dxfId="446" priority="138" operator="containsText" text="SUS">
      <formula>NOT(ISERROR(SEARCH("SUS",BE50)))</formula>
    </cfRule>
    <cfRule type="containsText" dxfId="445" priority="137" operator="containsText" text="AB">
      <formula>NOT(ISERROR(SEARCH("AB",BE50)))</formula>
    </cfRule>
    <cfRule type="containsText" dxfId="444" priority="136" operator="containsText" text="EL">
      <formula>NOT(ISERROR(SEARCH("EL",BE50)))</formula>
    </cfRule>
    <cfRule type="containsText" dxfId="443" priority="143" operator="containsText" text="OFF">
      <formula>NOT(ISERROR(SEARCH("OFF",BE50)))</formula>
    </cfRule>
    <cfRule type="containsText" dxfId="442" priority="142" operator="containsText" text="Sick">
      <formula>NOT(ISERROR(SEARCH("Sick",BE50)))</formula>
    </cfRule>
    <cfRule type="containsText" dxfId="441" priority="141" operator="containsText" text="AB">
      <formula>NOT(ISERROR(SEARCH("AB",BE50)))</formula>
    </cfRule>
    <cfRule type="containsText" dxfId="440" priority="140" operator="containsText" text="MC">
      <formula>NOT(ISERROR(SEARCH("MC",BE50)))</formula>
    </cfRule>
    <cfRule type="containsText" dxfId="439" priority="139" operator="containsText" text="FL">
      <formula>NOT(ISERROR(SEARCH("FL",BE50)))</formula>
    </cfRule>
    <cfRule type="containsText" dxfId="438" priority="144" operator="containsText" text="AL">
      <formula>NOT(ISERROR(SEARCH("AL",BE50)))</formula>
    </cfRule>
  </conditionalFormatting>
  <conditionalFormatting sqref="BE56:BF56">
    <cfRule type="containsText" dxfId="437" priority="128" operator="containsText" text="AB">
      <formula>NOT(ISERROR(SEARCH("AB",BE56)))</formula>
    </cfRule>
    <cfRule type="containsText" dxfId="436" priority="127" operator="containsText" text="EL">
      <formula>NOT(ISERROR(SEARCH("EL",BE56)))</formula>
    </cfRule>
    <cfRule type="containsText" dxfId="435" priority="135" operator="containsText" text="AL">
      <formula>NOT(ISERROR(SEARCH("AL",BE56)))</formula>
    </cfRule>
    <cfRule type="containsText" dxfId="434" priority="134" operator="containsText" text="OFF">
      <formula>NOT(ISERROR(SEARCH("OFF",BE56)))</formula>
    </cfRule>
    <cfRule type="containsText" dxfId="433" priority="133" operator="containsText" text="Sick">
      <formula>NOT(ISERROR(SEARCH("Sick",BE56)))</formula>
    </cfRule>
    <cfRule type="containsText" dxfId="432" priority="132" operator="containsText" text="AB">
      <formula>NOT(ISERROR(SEARCH("AB",BE56)))</formula>
    </cfRule>
    <cfRule type="containsText" dxfId="431" priority="131" operator="containsText" text="MC">
      <formula>NOT(ISERROR(SEARCH("MC",BE56)))</formula>
    </cfRule>
    <cfRule type="containsText" dxfId="430" priority="130" operator="containsText" text="FL">
      <formula>NOT(ISERROR(SEARCH("FL",BE56)))</formula>
    </cfRule>
    <cfRule type="containsText" dxfId="429" priority="129" operator="containsText" text="SUS">
      <formula>NOT(ISERROR(SEARCH("SUS",BE56)))</formula>
    </cfRule>
  </conditionalFormatting>
  <conditionalFormatting sqref="BE59:BF60">
    <cfRule type="containsText" dxfId="428" priority="118" operator="containsText" text="EL">
      <formula>NOT(ISERROR(SEARCH("EL",BE59)))</formula>
    </cfRule>
    <cfRule type="containsText" dxfId="427" priority="120" operator="containsText" text="SUS">
      <formula>NOT(ISERROR(SEARCH("SUS",BE59)))</formula>
    </cfRule>
    <cfRule type="containsText" dxfId="426" priority="121" operator="containsText" text="FL">
      <formula>NOT(ISERROR(SEARCH("FL",BE59)))</formula>
    </cfRule>
    <cfRule type="containsText" dxfId="425" priority="122" operator="containsText" text="MC">
      <formula>NOT(ISERROR(SEARCH("MC",BE59)))</formula>
    </cfRule>
    <cfRule type="containsText" dxfId="424" priority="123" operator="containsText" text="AB">
      <formula>NOT(ISERROR(SEARCH("AB",BE59)))</formula>
    </cfRule>
    <cfRule type="containsText" dxfId="423" priority="124" operator="containsText" text="Sick">
      <formula>NOT(ISERROR(SEARCH("Sick",BE59)))</formula>
    </cfRule>
    <cfRule type="containsText" dxfId="422" priority="125" operator="containsText" text="OFF">
      <formula>NOT(ISERROR(SEARCH("OFF",BE59)))</formula>
    </cfRule>
    <cfRule type="containsText" dxfId="421" priority="126" operator="containsText" text="AL">
      <formula>NOT(ISERROR(SEARCH("AL",BE59)))</formula>
    </cfRule>
    <cfRule type="containsText" dxfId="420" priority="119" operator="containsText" text="AB">
      <formula>NOT(ISERROR(SEARCH("AB",BE59)))</formula>
    </cfRule>
  </conditionalFormatting>
  <conditionalFormatting sqref="BE63:BF63">
    <cfRule type="containsText" dxfId="419" priority="114" operator="containsText" text="AB">
      <formula>NOT(ISERROR(SEARCH("AB",BE63)))</formula>
    </cfRule>
    <cfRule type="containsText" dxfId="418" priority="113" operator="containsText" text="MC">
      <formula>NOT(ISERROR(SEARCH("MC",BE63)))</formula>
    </cfRule>
    <cfRule type="containsText" dxfId="417" priority="112" operator="containsText" text="FL">
      <formula>NOT(ISERROR(SEARCH("FL",BE63)))</formula>
    </cfRule>
    <cfRule type="containsText" dxfId="416" priority="111" operator="containsText" text="SUS">
      <formula>NOT(ISERROR(SEARCH("SUS",BE63)))</formula>
    </cfRule>
    <cfRule type="containsText" dxfId="415" priority="110" operator="containsText" text="AB">
      <formula>NOT(ISERROR(SEARCH("AB",BE63)))</formula>
    </cfRule>
    <cfRule type="containsText" dxfId="414" priority="109" operator="containsText" text="EL">
      <formula>NOT(ISERROR(SEARCH("EL",BE63)))</formula>
    </cfRule>
    <cfRule type="containsText" dxfId="413" priority="117" operator="containsText" text="AL">
      <formula>NOT(ISERROR(SEARCH("AL",BE63)))</formula>
    </cfRule>
    <cfRule type="containsText" dxfId="412" priority="116" operator="containsText" text="OFF">
      <formula>NOT(ISERROR(SEARCH("OFF",BE63)))</formula>
    </cfRule>
    <cfRule type="containsText" dxfId="411" priority="115" operator="containsText" text="Sick">
      <formula>NOT(ISERROR(SEARCH("Sick",BE63)))</formula>
    </cfRule>
  </conditionalFormatting>
  <conditionalFormatting sqref="BE66:BF67">
    <cfRule type="containsText" dxfId="410" priority="108" operator="containsText" text="AL">
      <formula>NOT(ISERROR(SEARCH("AL",BE66)))</formula>
    </cfRule>
    <cfRule type="containsText" dxfId="409" priority="107" operator="containsText" text="OFF">
      <formula>NOT(ISERROR(SEARCH("OFF",BE66)))</formula>
    </cfRule>
    <cfRule type="containsText" dxfId="408" priority="106" operator="containsText" text="Sick">
      <formula>NOT(ISERROR(SEARCH("Sick",BE66)))</formula>
    </cfRule>
    <cfRule type="containsText" dxfId="407" priority="105" operator="containsText" text="AB">
      <formula>NOT(ISERROR(SEARCH("AB",BE66)))</formula>
    </cfRule>
    <cfRule type="containsText" dxfId="406" priority="104" operator="containsText" text="MC">
      <formula>NOT(ISERROR(SEARCH("MC",BE66)))</formula>
    </cfRule>
    <cfRule type="containsText" dxfId="405" priority="103" operator="containsText" text="FL">
      <formula>NOT(ISERROR(SEARCH("FL",BE66)))</formula>
    </cfRule>
    <cfRule type="containsText" dxfId="404" priority="102" operator="containsText" text="SUS">
      <formula>NOT(ISERROR(SEARCH("SUS",BE66)))</formula>
    </cfRule>
    <cfRule type="containsText" dxfId="403" priority="101" operator="containsText" text="AB">
      <formula>NOT(ISERROR(SEARCH("AB",BE66)))</formula>
    </cfRule>
    <cfRule type="containsText" dxfId="402" priority="100" operator="containsText" text="EL">
      <formula>NOT(ISERROR(SEARCH("EL",BE66)))</formula>
    </cfRule>
  </conditionalFormatting>
  <conditionalFormatting sqref="BE71:BF71">
    <cfRule type="containsText" dxfId="401" priority="98" operator="containsText" text="OFF">
      <formula>NOT(ISERROR(SEARCH("OFF",BE71)))</formula>
    </cfRule>
    <cfRule type="containsText" dxfId="400" priority="95" operator="containsText" text="MC">
      <formula>NOT(ISERROR(SEARCH("MC",BE71)))</formula>
    </cfRule>
    <cfRule type="containsText" dxfId="399" priority="99" operator="containsText" text="AL">
      <formula>NOT(ISERROR(SEARCH("AL",BE71)))</formula>
    </cfRule>
    <cfRule type="containsText" dxfId="398" priority="96" operator="containsText" text="AB">
      <formula>NOT(ISERROR(SEARCH("AB",BE71)))</formula>
    </cfRule>
    <cfRule type="containsText" dxfId="397" priority="97" operator="containsText" text="Sick">
      <formula>NOT(ISERROR(SEARCH("Sick",BE71)))</formula>
    </cfRule>
    <cfRule type="containsText" dxfId="396" priority="92" operator="containsText" text="AB">
      <formula>NOT(ISERROR(SEARCH("AB",BE71)))</formula>
    </cfRule>
    <cfRule type="containsText" dxfId="395" priority="91" operator="containsText" text="EL">
      <formula>NOT(ISERROR(SEARCH("EL",BE71)))</formula>
    </cfRule>
    <cfRule type="containsText" dxfId="394" priority="94" operator="containsText" text="FL">
      <formula>NOT(ISERROR(SEARCH("FL",BE71)))</formula>
    </cfRule>
    <cfRule type="containsText" dxfId="393" priority="93" operator="containsText" text="SUS">
      <formula>NOT(ISERROR(SEARCH("SUS",BE71)))</formula>
    </cfRule>
  </conditionalFormatting>
  <conditionalFormatting sqref="BE77:BF83">
    <cfRule type="containsText" dxfId="392" priority="83" operator="containsText" text="AB">
      <formula>NOT(ISERROR(SEARCH("AB",BE77)))</formula>
    </cfRule>
    <cfRule type="containsText" dxfId="391" priority="82" operator="containsText" text="EL">
      <formula>NOT(ISERROR(SEARCH("EL",BE77)))</formula>
    </cfRule>
    <cfRule type="containsText" dxfId="390" priority="84" operator="containsText" text="SUS">
      <formula>NOT(ISERROR(SEARCH("SUS",BE77)))</formula>
    </cfRule>
    <cfRule type="containsText" dxfId="389" priority="85" operator="containsText" text="FL">
      <formula>NOT(ISERROR(SEARCH("FL",BE77)))</formula>
    </cfRule>
    <cfRule type="containsText" dxfId="388" priority="86" operator="containsText" text="MC">
      <formula>NOT(ISERROR(SEARCH("MC",BE77)))</formula>
    </cfRule>
    <cfRule type="containsText" dxfId="387" priority="87" operator="containsText" text="AB">
      <formula>NOT(ISERROR(SEARCH("AB",BE77)))</formula>
    </cfRule>
    <cfRule type="containsText" dxfId="386" priority="88" operator="containsText" text="Sick">
      <formula>NOT(ISERROR(SEARCH("Sick",BE77)))</formula>
    </cfRule>
    <cfRule type="containsText" dxfId="385" priority="89" operator="containsText" text="OFF">
      <formula>NOT(ISERROR(SEARCH("OFF",BE77)))</formula>
    </cfRule>
    <cfRule type="containsText" dxfId="384" priority="90" operator="containsText" text="AL">
      <formula>NOT(ISERROR(SEARCH("AL",BE77)))</formula>
    </cfRule>
  </conditionalFormatting>
  <conditionalFormatting sqref="BE85:BF86">
    <cfRule type="containsText" dxfId="383" priority="80" operator="containsText" text="OFF">
      <formula>NOT(ISERROR(SEARCH("OFF",BE85)))</formula>
    </cfRule>
    <cfRule type="containsText" dxfId="382" priority="79" operator="containsText" text="Sick">
      <formula>NOT(ISERROR(SEARCH("Sick",BE85)))</formula>
    </cfRule>
    <cfRule type="containsText" dxfId="381" priority="78" operator="containsText" text="AB">
      <formula>NOT(ISERROR(SEARCH("AB",BE85)))</formula>
    </cfRule>
    <cfRule type="containsText" dxfId="380" priority="77" operator="containsText" text="MC">
      <formula>NOT(ISERROR(SEARCH("MC",BE85)))</formula>
    </cfRule>
    <cfRule type="containsText" dxfId="379" priority="76" operator="containsText" text="FL">
      <formula>NOT(ISERROR(SEARCH("FL",BE85)))</formula>
    </cfRule>
    <cfRule type="containsText" dxfId="378" priority="75" operator="containsText" text="SUS">
      <formula>NOT(ISERROR(SEARCH("SUS",BE85)))</formula>
    </cfRule>
    <cfRule type="containsText" dxfId="377" priority="74" operator="containsText" text="AB">
      <formula>NOT(ISERROR(SEARCH("AB",BE85)))</formula>
    </cfRule>
    <cfRule type="containsText" dxfId="376" priority="73" operator="containsText" text="EL">
      <formula>NOT(ISERROR(SEARCH("EL",BE85)))</formula>
    </cfRule>
    <cfRule type="containsText" dxfId="375" priority="81" operator="containsText" text="AL">
      <formula>NOT(ISERROR(SEARCH("AL",BE85)))</formula>
    </cfRule>
  </conditionalFormatting>
  <conditionalFormatting sqref="BE88:BF88">
    <cfRule type="containsText" dxfId="374" priority="72" operator="containsText" text="AL">
      <formula>NOT(ISERROR(SEARCH("AL",BE88)))</formula>
    </cfRule>
    <cfRule type="containsText" dxfId="373" priority="71" operator="containsText" text="OFF">
      <formula>NOT(ISERROR(SEARCH("OFF",BE88)))</formula>
    </cfRule>
    <cfRule type="containsText" dxfId="372" priority="70" operator="containsText" text="Sick">
      <formula>NOT(ISERROR(SEARCH("Sick",BE88)))</formula>
    </cfRule>
    <cfRule type="containsText" dxfId="371" priority="68" operator="containsText" text="MC">
      <formula>NOT(ISERROR(SEARCH("MC",BE88)))</formula>
    </cfRule>
    <cfRule type="containsText" dxfId="370" priority="67" operator="containsText" text="FL">
      <formula>NOT(ISERROR(SEARCH("FL",BE88)))</formula>
    </cfRule>
    <cfRule type="containsText" dxfId="369" priority="66" operator="containsText" text="SUS">
      <formula>NOT(ISERROR(SEARCH("SUS",BE88)))</formula>
    </cfRule>
    <cfRule type="containsText" dxfId="368" priority="65" operator="containsText" text="AB">
      <formula>NOT(ISERROR(SEARCH("AB",BE88)))</formula>
    </cfRule>
    <cfRule type="containsText" dxfId="367" priority="64" operator="containsText" text="EL">
      <formula>NOT(ISERROR(SEARCH("EL",BE88)))</formula>
    </cfRule>
    <cfRule type="containsText" dxfId="366" priority="69" operator="containsText" text="AB">
      <formula>NOT(ISERROR(SEARCH("AB",BE88)))</formula>
    </cfRule>
  </conditionalFormatting>
  <conditionalFormatting sqref="BE90:BF90">
    <cfRule type="containsText" dxfId="365" priority="63" operator="containsText" text="AL">
      <formula>NOT(ISERROR(SEARCH("AL",BE90)))</formula>
    </cfRule>
    <cfRule type="containsText" dxfId="364" priority="62" operator="containsText" text="OFF">
      <formula>NOT(ISERROR(SEARCH("OFF",BE90)))</formula>
    </cfRule>
    <cfRule type="containsText" dxfId="363" priority="55" operator="containsText" text="EL">
      <formula>NOT(ISERROR(SEARCH("EL",BE90)))</formula>
    </cfRule>
    <cfRule type="containsText" dxfId="362" priority="56" operator="containsText" text="AB">
      <formula>NOT(ISERROR(SEARCH("AB",BE90)))</formula>
    </cfRule>
    <cfRule type="containsText" dxfId="361" priority="57" operator="containsText" text="SUS">
      <formula>NOT(ISERROR(SEARCH("SUS",BE90)))</formula>
    </cfRule>
    <cfRule type="containsText" dxfId="360" priority="58" operator="containsText" text="FL">
      <formula>NOT(ISERROR(SEARCH("FL",BE90)))</formula>
    </cfRule>
    <cfRule type="containsText" dxfId="359" priority="59" operator="containsText" text="MC">
      <formula>NOT(ISERROR(SEARCH("MC",BE90)))</formula>
    </cfRule>
    <cfRule type="containsText" dxfId="358" priority="60" operator="containsText" text="AB">
      <formula>NOT(ISERROR(SEARCH("AB",BE90)))</formula>
    </cfRule>
    <cfRule type="containsText" dxfId="357" priority="61" operator="containsText" text="Sick">
      <formula>NOT(ISERROR(SEARCH("Sick",BE90)))</formula>
    </cfRule>
  </conditionalFormatting>
  <conditionalFormatting sqref="BE92:BF95">
    <cfRule type="containsText" dxfId="356" priority="50" operator="containsText" text="MC">
      <formula>NOT(ISERROR(SEARCH("MC",BE92)))</formula>
    </cfRule>
    <cfRule type="containsText" dxfId="355" priority="48" operator="containsText" text="SUS">
      <formula>NOT(ISERROR(SEARCH("SUS",BE92)))</formula>
    </cfRule>
    <cfRule type="containsText" dxfId="354" priority="49" operator="containsText" text="FL">
      <formula>NOT(ISERROR(SEARCH("FL",BE92)))</formula>
    </cfRule>
    <cfRule type="containsText" dxfId="353" priority="47" operator="containsText" text="AB">
      <formula>NOT(ISERROR(SEARCH("AB",BE92)))</formula>
    </cfRule>
    <cfRule type="containsText" dxfId="352" priority="51" operator="containsText" text="AB">
      <formula>NOT(ISERROR(SEARCH("AB",BE92)))</formula>
    </cfRule>
    <cfRule type="containsText" dxfId="351" priority="52" operator="containsText" text="Sick">
      <formula>NOT(ISERROR(SEARCH("Sick",BE92)))</formula>
    </cfRule>
    <cfRule type="containsText" dxfId="350" priority="46" operator="containsText" text="EL">
      <formula>NOT(ISERROR(SEARCH("EL",BE92)))</formula>
    </cfRule>
    <cfRule type="containsText" dxfId="349" priority="53" operator="containsText" text="OFF">
      <formula>NOT(ISERROR(SEARCH("OFF",BE92)))</formula>
    </cfRule>
    <cfRule type="containsText" dxfId="348" priority="54" operator="containsText" text="AL">
      <formula>NOT(ISERROR(SEARCH("AL",BE92)))</formula>
    </cfRule>
  </conditionalFormatting>
  <conditionalFormatting sqref="BE99:BF99">
    <cfRule type="containsText" dxfId="347" priority="37" operator="containsText" text="EL">
      <formula>NOT(ISERROR(SEARCH("EL",BE99)))</formula>
    </cfRule>
    <cfRule type="containsText" dxfId="346" priority="39" operator="containsText" text="SUS">
      <formula>NOT(ISERROR(SEARCH("SUS",BE99)))</formula>
    </cfRule>
    <cfRule type="containsText" dxfId="345" priority="40" operator="containsText" text="FL">
      <formula>NOT(ISERROR(SEARCH("FL",BE99)))</formula>
    </cfRule>
    <cfRule type="containsText" dxfId="344" priority="41" operator="containsText" text="MC">
      <formula>NOT(ISERROR(SEARCH("MC",BE99)))</formula>
    </cfRule>
    <cfRule type="containsText" dxfId="343" priority="42" operator="containsText" text="AB">
      <formula>NOT(ISERROR(SEARCH("AB",BE99)))</formula>
    </cfRule>
    <cfRule type="containsText" dxfId="342" priority="43" operator="containsText" text="Sick">
      <formula>NOT(ISERROR(SEARCH("Sick",BE99)))</formula>
    </cfRule>
    <cfRule type="containsText" dxfId="341" priority="44" operator="containsText" text="OFF">
      <formula>NOT(ISERROR(SEARCH("OFF",BE99)))</formula>
    </cfRule>
    <cfRule type="containsText" dxfId="340" priority="45" operator="containsText" text="AL">
      <formula>NOT(ISERROR(SEARCH("AL",BE99)))</formula>
    </cfRule>
    <cfRule type="containsText" dxfId="339" priority="38" operator="containsText" text="AB">
      <formula>NOT(ISERROR(SEARCH("AB",BE99)))</formula>
    </cfRule>
  </conditionalFormatting>
  <conditionalFormatting sqref="BE103:BF103">
    <cfRule type="containsText" dxfId="338" priority="34" operator="containsText" text="Sick">
      <formula>NOT(ISERROR(SEARCH("Sick",BE103)))</formula>
    </cfRule>
    <cfRule type="containsText" dxfId="337" priority="35" operator="containsText" text="OFF">
      <formula>NOT(ISERROR(SEARCH("OFF",BE103)))</formula>
    </cfRule>
    <cfRule type="containsText" dxfId="336" priority="36" operator="containsText" text="AL">
      <formula>NOT(ISERROR(SEARCH("AL",BE103)))</formula>
    </cfRule>
    <cfRule type="containsText" dxfId="335" priority="28" operator="containsText" text="EL">
      <formula>NOT(ISERROR(SEARCH("EL",BE103)))</formula>
    </cfRule>
    <cfRule type="containsText" dxfId="334" priority="30" operator="containsText" text="SUS">
      <formula>NOT(ISERROR(SEARCH("SUS",BE103)))</formula>
    </cfRule>
    <cfRule type="containsText" dxfId="333" priority="31" operator="containsText" text="FL">
      <formula>NOT(ISERROR(SEARCH("FL",BE103)))</formula>
    </cfRule>
    <cfRule type="containsText" dxfId="332" priority="32" operator="containsText" text="MC">
      <formula>NOT(ISERROR(SEARCH("MC",BE103)))</formula>
    </cfRule>
    <cfRule type="containsText" dxfId="331" priority="33" operator="containsText" text="AB">
      <formula>NOT(ISERROR(SEARCH("AB",BE103)))</formula>
    </cfRule>
    <cfRule type="containsText" dxfId="330" priority="29" operator="containsText" text="AB">
      <formula>NOT(ISERROR(SEARCH("AB",BE103)))</formula>
    </cfRule>
  </conditionalFormatting>
  <conditionalFormatting sqref="BE105:BF107">
    <cfRule type="containsText" dxfId="329" priority="26" operator="containsText" text="OFF">
      <formula>NOT(ISERROR(SEARCH("OFF",BE105)))</formula>
    </cfRule>
    <cfRule type="containsText" dxfId="328" priority="24" operator="containsText" text="AB">
      <formula>NOT(ISERROR(SEARCH("AB",BE105)))</formula>
    </cfRule>
    <cfRule type="containsText" dxfId="327" priority="23" operator="containsText" text="MC">
      <formula>NOT(ISERROR(SEARCH("MC",BE105)))</formula>
    </cfRule>
    <cfRule type="containsText" dxfId="326" priority="22" operator="containsText" text="FL">
      <formula>NOT(ISERROR(SEARCH("FL",BE105)))</formula>
    </cfRule>
    <cfRule type="containsText" dxfId="325" priority="21" operator="containsText" text="SUS">
      <formula>NOT(ISERROR(SEARCH("SUS",BE105)))</formula>
    </cfRule>
    <cfRule type="containsText" dxfId="324" priority="20" operator="containsText" text="AB">
      <formula>NOT(ISERROR(SEARCH("AB",BE105)))</formula>
    </cfRule>
    <cfRule type="containsText" dxfId="323" priority="19" operator="containsText" text="EL">
      <formula>NOT(ISERROR(SEARCH("EL",BE105)))</formula>
    </cfRule>
    <cfRule type="containsText" dxfId="322" priority="25" operator="containsText" text="Sick">
      <formula>NOT(ISERROR(SEARCH("Sick",BE105)))</formula>
    </cfRule>
    <cfRule type="containsText" dxfId="321" priority="27" operator="containsText" text="AL">
      <formula>NOT(ISERROR(SEARCH("AL",BE105)))</formula>
    </cfRule>
  </conditionalFormatting>
  <conditionalFormatting sqref="BG146:BH146 AJ5:AJ28 E144:F145">
    <cfRule type="containsText" dxfId="320" priority="2742" operator="containsText" text="EL">
      <formula>NOT(ISERROR(SEARCH("EL",E5)))</formula>
    </cfRule>
  </conditionalFormatting>
  <conditionalFormatting sqref="BK146">
    <cfRule type="containsText" dxfId="319" priority="1354" operator="containsText" text="SUS">
      <formula>NOT(ISERROR(SEARCH("SUS",BK146)))</formula>
    </cfRule>
    <cfRule type="containsText" dxfId="318" priority="1355" operator="containsText" text="FL">
      <formula>NOT(ISERROR(SEARCH("FL",BK146)))</formula>
    </cfRule>
    <cfRule type="containsText" dxfId="317" priority="1356" operator="containsText" text="MC">
      <formula>NOT(ISERROR(SEARCH("MC",BK146)))</formula>
    </cfRule>
    <cfRule type="containsText" dxfId="316" priority="1357" operator="containsText" text="AB">
      <formula>NOT(ISERROR(SEARCH("AB",BK146)))</formula>
    </cfRule>
    <cfRule type="containsText" dxfId="315" priority="1359" operator="containsText" text="OFF">
      <formula>NOT(ISERROR(SEARCH("OFF",BK146)))</formula>
    </cfRule>
    <cfRule type="containsText" dxfId="314" priority="1358" operator="containsText" text="Sick">
      <formula>NOT(ISERROR(SEARCH("Sick",BK146)))</formula>
    </cfRule>
    <cfRule type="containsText" dxfId="313" priority="1360" operator="containsText" text="AL">
      <formula>NOT(ISERROR(SEARCH("AL",BK146)))</formula>
    </cfRule>
  </conditionalFormatting>
  <conditionalFormatting sqref="BK146:BL146">
    <cfRule type="containsText" dxfId="312" priority="1345" operator="containsText" text="EL">
      <formula>NOT(ISERROR(SEARCH("EL",BK146)))</formula>
    </cfRule>
    <cfRule type="containsText" dxfId="311" priority="1350" operator="containsText" text="AB">
      <formula>NOT(ISERROR(SEARCH("AB",BK146)))</formula>
    </cfRule>
  </conditionalFormatting>
  <conditionalFormatting sqref="BL146">
    <cfRule type="containsText" dxfId="310" priority="1348" operator="containsText" text="FL">
      <formula>NOT(ISERROR(SEARCH("FL",BL146)))</formula>
    </cfRule>
    <cfRule type="containsText" dxfId="309" priority="1346" operator="containsText" text="AB">
      <formula>NOT(ISERROR(SEARCH("AB",BL146)))</formula>
    </cfRule>
    <cfRule type="containsText" dxfId="308" priority="1347" operator="containsText" text="SUS">
      <formula>NOT(ISERROR(SEARCH("SUS",BL146)))</formula>
    </cfRule>
    <cfRule type="containsText" dxfId="307" priority="1349" operator="containsText" text="MC">
      <formula>NOT(ISERROR(SEARCH("MC",BL146)))</formula>
    </cfRule>
    <cfRule type="containsText" dxfId="306" priority="1352" operator="containsText" text="OFF">
      <formula>NOT(ISERROR(SEARCH("OFF",BL146)))</formula>
    </cfRule>
    <cfRule type="containsText" dxfId="305" priority="1353" operator="containsText" text="AL">
      <formula>NOT(ISERROR(SEARCH("AL",BL146)))</formula>
    </cfRule>
    <cfRule type="containsText" dxfId="304" priority="1351" operator="containsText" text="Sick">
      <formula>NOT(ISERROR(SEARCH("Sick",BL146)))</formula>
    </cfRule>
  </conditionalFormatting>
  <conditionalFormatting sqref="BP2 BP5:BP28 BP42:BP107 BP137:BP146">
    <cfRule type="cellIs" dxfId="303" priority="13144" stopIfTrue="1" operator="equal">
      <formula>";"</formula>
    </cfRule>
  </conditionalFormatting>
  <conditionalFormatting sqref="BP39">
    <cfRule type="cellIs" dxfId="302" priority="13107" operator="equal">
      <formula>";"</formula>
    </cfRule>
  </conditionalFormatting>
  <conditionalFormatting sqref="BR4">
    <cfRule type="containsText" dxfId="301" priority="2964" operator="containsText" text="AB">
      <formula>NOT(ISERROR(SEARCH("AB",BR4)))</formula>
    </cfRule>
    <cfRule type="containsText" dxfId="300" priority="2961" operator="containsText" text="SUS">
      <formula>NOT(ISERROR(SEARCH("SUS",BR4)))</formula>
    </cfRule>
    <cfRule type="containsText" dxfId="299" priority="2962" operator="containsText" text="FL">
      <formula>NOT(ISERROR(SEARCH("FL",BR4)))</formula>
    </cfRule>
    <cfRule type="containsText" dxfId="298" priority="2965" operator="containsText" text="Sick">
      <formula>NOT(ISERROR(SEARCH("Sick",BR4)))</formula>
    </cfRule>
    <cfRule type="containsText" dxfId="297" priority="2966" operator="containsText" text="OFF">
      <formula>NOT(ISERROR(SEARCH("OFF",BR4)))</formula>
    </cfRule>
    <cfRule type="containsText" dxfId="296" priority="2963" operator="containsText" text="MC">
      <formula>NOT(ISERROR(SEARCH("MC",BR4)))</formula>
    </cfRule>
    <cfRule type="containsText" dxfId="295" priority="2967" operator="containsText" text="AL">
      <formula>NOT(ISERROR(SEARCH("AL",BR4)))</formula>
    </cfRule>
  </conditionalFormatting>
  <conditionalFormatting sqref="BR41">
    <cfRule type="containsText" dxfId="294" priority="2952" operator="containsText" text="SUS">
      <formula>NOT(ISERROR(SEARCH("SUS",BR41)))</formula>
    </cfRule>
    <cfRule type="containsText" dxfId="293" priority="2953" operator="containsText" text="FL">
      <formula>NOT(ISERROR(SEARCH("FL",BR41)))</formula>
    </cfRule>
    <cfRule type="containsText" dxfId="292" priority="2955" operator="containsText" text="AB">
      <formula>NOT(ISERROR(SEARCH("AB",BR41)))</formula>
    </cfRule>
    <cfRule type="containsText" dxfId="291" priority="2956" operator="containsText" text="Sick">
      <formula>NOT(ISERROR(SEARCH("Sick",BR41)))</formula>
    </cfRule>
    <cfRule type="containsText" dxfId="290" priority="2957" operator="containsText" text="OFF">
      <formula>NOT(ISERROR(SEARCH("OFF",BR41)))</formula>
    </cfRule>
    <cfRule type="containsText" dxfId="289" priority="2958" operator="containsText" text="AL">
      <formula>NOT(ISERROR(SEARCH("AL",BR41)))</formula>
    </cfRule>
    <cfRule type="containsText" dxfId="288" priority="2954" operator="containsText" text="MC">
      <formula>NOT(ISERROR(SEARCH("MC",BR41)))</formula>
    </cfRule>
  </conditionalFormatting>
  <conditionalFormatting sqref="BR4:BS4">
    <cfRule type="containsText" dxfId="287" priority="2906" operator="containsText" text="AB">
      <formula>NOT(ISERROR(SEARCH("AB",BR4)))</formula>
    </cfRule>
  </conditionalFormatting>
  <conditionalFormatting sqref="BR41:BS41">
    <cfRule type="containsText" dxfId="286" priority="2812" operator="containsText" text="AB">
      <formula>NOT(ISERROR(SEARCH("AB",BR41)))</formula>
    </cfRule>
  </conditionalFormatting>
  <conditionalFormatting sqref="BR4:BW4">
    <cfRule type="containsText" dxfId="285" priority="2874" operator="containsText" text="EL">
      <formula>NOT(ISERROR(SEARCH("EL",BR4)))</formula>
    </cfRule>
  </conditionalFormatting>
  <conditionalFormatting sqref="BR41:BW41">
    <cfRule type="containsText" dxfId="284" priority="2798" operator="containsText" text="EL">
      <formula>NOT(ISERROR(SEARCH("EL",BR41)))</formula>
    </cfRule>
  </conditionalFormatting>
  <conditionalFormatting sqref="BS4">
    <cfRule type="containsText" dxfId="283" priority="2905" operator="containsText" text="MC">
      <formula>NOT(ISERROR(SEARCH("MC",BS4)))</formula>
    </cfRule>
    <cfRule type="containsText" dxfId="282" priority="2907" operator="containsText" text="Sick">
      <formula>NOT(ISERROR(SEARCH("Sick",BS4)))</formula>
    </cfRule>
    <cfRule type="containsText" dxfId="281" priority="2904" operator="containsText" text="FL">
      <formula>NOT(ISERROR(SEARCH("FL",BS4)))</formula>
    </cfRule>
    <cfRule type="containsText" dxfId="280" priority="2903" operator="containsText" text="SUS">
      <formula>NOT(ISERROR(SEARCH("SUS",BS4)))</formula>
    </cfRule>
    <cfRule type="containsText" dxfId="279" priority="2909" operator="containsText" text="AL">
      <formula>NOT(ISERROR(SEARCH("AL",BS4)))</formula>
    </cfRule>
    <cfRule type="containsText" dxfId="278" priority="2908" operator="containsText" text="OFF">
      <formula>NOT(ISERROR(SEARCH("OFF",BS4)))</formula>
    </cfRule>
  </conditionalFormatting>
  <conditionalFormatting sqref="BS41">
    <cfRule type="containsText" dxfId="277" priority="2809" operator="containsText" text="SUS">
      <formula>NOT(ISERROR(SEARCH("SUS",BS41)))</formula>
    </cfRule>
    <cfRule type="containsText" dxfId="276" priority="2811" operator="containsText" text="MC">
      <formula>NOT(ISERROR(SEARCH("MC",BS41)))</formula>
    </cfRule>
    <cfRule type="containsText" dxfId="275" priority="2810" operator="containsText" text="FL">
      <formula>NOT(ISERROR(SEARCH("FL",BS41)))</formula>
    </cfRule>
    <cfRule type="containsText" dxfId="274" priority="2815" operator="containsText" text="AL">
      <formula>NOT(ISERROR(SEARCH("AL",BS41)))</formula>
    </cfRule>
    <cfRule type="containsText" dxfId="273" priority="2814" operator="containsText" text="OFF">
      <formula>NOT(ISERROR(SEARCH("OFF",BS41)))</formula>
    </cfRule>
    <cfRule type="containsText" dxfId="272" priority="2813" operator="containsText" text="Sick">
      <formula>NOT(ISERROR(SEARCH("Sick",BS41)))</formula>
    </cfRule>
  </conditionalFormatting>
  <conditionalFormatting sqref="BS4:BT4">
    <cfRule type="containsText" dxfId="271" priority="2879" operator="containsText" text="AB">
      <formula>NOT(ISERROR(SEARCH("AB",BS4)))</formula>
    </cfRule>
  </conditionalFormatting>
  <conditionalFormatting sqref="BS41:BT41">
    <cfRule type="containsText" dxfId="270" priority="2803" operator="containsText" text="AB">
      <formula>NOT(ISERROR(SEARCH("AB",BS41)))</formula>
    </cfRule>
  </conditionalFormatting>
  <conditionalFormatting sqref="BT4">
    <cfRule type="containsText" dxfId="269" priority="2875" operator="containsText" text="AB">
      <formula>NOT(ISERROR(SEARCH("AB",BT4)))</formula>
    </cfRule>
    <cfRule type="containsText" dxfId="268" priority="2876" operator="containsText" text="SUS">
      <formula>NOT(ISERROR(SEARCH("SUS",BT4)))</formula>
    </cfRule>
    <cfRule type="containsText" dxfId="267" priority="2877" operator="containsText" text="FL">
      <formula>NOT(ISERROR(SEARCH("FL",BT4)))</formula>
    </cfRule>
    <cfRule type="containsText" dxfId="266" priority="2878" operator="containsText" text="MC">
      <formula>NOT(ISERROR(SEARCH("MC",BT4)))</formula>
    </cfRule>
    <cfRule type="containsText" dxfId="265" priority="2880" operator="containsText" text="Sick">
      <formula>NOT(ISERROR(SEARCH("Sick",BT4)))</formula>
    </cfRule>
    <cfRule type="containsText" dxfId="264" priority="2882" operator="containsText" text="AL">
      <formula>NOT(ISERROR(SEARCH("AL",BT4)))</formula>
    </cfRule>
    <cfRule type="containsText" dxfId="263" priority="2881" operator="containsText" text="OFF">
      <formula>NOT(ISERROR(SEARCH("OFF",BT4)))</formula>
    </cfRule>
  </conditionalFormatting>
  <conditionalFormatting sqref="BT41">
    <cfRule type="containsText" dxfId="262" priority="2799" operator="containsText" text="AB">
      <formula>NOT(ISERROR(SEARCH("AB",BT41)))</formula>
    </cfRule>
    <cfRule type="containsText" dxfId="261" priority="2800" operator="containsText" text="SUS">
      <formula>NOT(ISERROR(SEARCH("SUS",BT41)))</formula>
    </cfRule>
    <cfRule type="containsText" dxfId="260" priority="2801" operator="containsText" text="FL">
      <formula>NOT(ISERROR(SEARCH("FL",BT41)))</formula>
    </cfRule>
    <cfRule type="containsText" dxfId="259" priority="2804" operator="containsText" text="Sick">
      <formula>NOT(ISERROR(SEARCH("Sick",BT41)))</formula>
    </cfRule>
    <cfRule type="containsText" dxfId="258" priority="2806" operator="containsText" text="AL">
      <formula>NOT(ISERROR(SEARCH("AL",BT41)))</formula>
    </cfRule>
    <cfRule type="containsText" dxfId="257" priority="2805" operator="containsText" text="OFF">
      <formula>NOT(ISERROR(SEARCH("OFF",BT41)))</formula>
    </cfRule>
    <cfRule type="containsText" dxfId="256" priority="2802" operator="containsText" text="MC">
      <formula>NOT(ISERROR(SEARCH("MC",BT41)))</formula>
    </cfRule>
  </conditionalFormatting>
  <conditionalFormatting sqref="BU4 E140:F142 AG142:AI144">
    <cfRule type="containsText" dxfId="255" priority="2983" operator="containsText" text="Sick">
      <formula>NOT(ISERROR(SEARCH("Sick",E4)))</formula>
    </cfRule>
    <cfRule type="containsText" dxfId="254" priority="2981" operator="containsText" text="MC">
      <formula>NOT(ISERROR(SEARCH("MC",E4)))</formula>
    </cfRule>
    <cfRule type="containsText" dxfId="253" priority="2982" operator="containsText" text="AB">
      <formula>NOT(ISERROR(SEARCH("AB",E4)))</formula>
    </cfRule>
    <cfRule type="containsText" dxfId="252" priority="2985" operator="containsText" text="AL">
      <formula>NOT(ISERROR(SEARCH("AL",E4)))</formula>
    </cfRule>
    <cfRule type="containsText" dxfId="251" priority="2984" operator="containsText" text="OFF">
      <formula>NOT(ISERROR(SEARCH("OFF",E4)))</formula>
    </cfRule>
  </conditionalFormatting>
  <conditionalFormatting sqref="BU4 AJ5:AJ28 AJ138:BN140 AO141:BN141 AJ142:BN142 AO143:BN143 AJ143:AJ145 BC144:BN144 AQ145:BN145 AG142:AI144 E140:F142 E144:F144">
    <cfRule type="containsText" dxfId="250" priority="2979" operator="containsText" text="SUS">
      <formula>NOT(ISERROR(SEARCH("SUS",E4)))</formula>
    </cfRule>
    <cfRule type="containsText" dxfId="249" priority="2980" operator="containsText" text="FL">
      <formula>NOT(ISERROR(SEARCH("FL",E4)))</formula>
    </cfRule>
  </conditionalFormatting>
  <conditionalFormatting sqref="BU41">
    <cfRule type="containsText" dxfId="248" priority="2972" operator="containsText" text="MC">
      <formula>NOT(ISERROR(SEARCH("MC",BU41)))</formula>
    </cfRule>
    <cfRule type="containsText" dxfId="247" priority="2973" operator="containsText" text="AB">
      <formula>NOT(ISERROR(SEARCH("AB",BU41)))</formula>
    </cfRule>
    <cfRule type="containsText" dxfId="246" priority="2974" operator="containsText" text="Sick">
      <formula>NOT(ISERROR(SEARCH("Sick",BU41)))</formula>
    </cfRule>
    <cfRule type="containsText" dxfId="245" priority="2970" operator="containsText" text="SUS">
      <formula>NOT(ISERROR(SEARCH("SUS",BU41)))</formula>
    </cfRule>
    <cfRule type="containsText" dxfId="244" priority="2971" operator="containsText" text="FL">
      <formula>NOT(ISERROR(SEARCH("FL",BU41)))</formula>
    </cfRule>
    <cfRule type="containsText" dxfId="243" priority="2976" operator="containsText" text="AL">
      <formula>NOT(ISERROR(SEARCH("AL",BU41)))</formula>
    </cfRule>
    <cfRule type="containsText" dxfId="242" priority="2975" operator="containsText" text="OFF">
      <formula>NOT(ISERROR(SEARCH("OFF",BU41)))</formula>
    </cfRule>
  </conditionalFormatting>
  <conditionalFormatting sqref="BU4:BW4">
    <cfRule type="containsText" dxfId="241" priority="2888" operator="containsText" text="AB">
      <formula>NOT(ISERROR(SEARCH("AB",BU4)))</formula>
    </cfRule>
  </conditionalFormatting>
  <conditionalFormatting sqref="BU41:BW41">
    <cfRule type="containsText" dxfId="240" priority="2821" operator="containsText" text="AB">
      <formula>NOT(ISERROR(SEARCH("AB",BU41)))</formula>
    </cfRule>
  </conditionalFormatting>
  <conditionalFormatting sqref="BV4">
    <cfRule type="containsText" dxfId="239" priority="2887" operator="containsText" text="MC">
      <formula>NOT(ISERROR(SEARCH("MC",BV4)))</formula>
    </cfRule>
    <cfRule type="containsText" dxfId="238" priority="2889" operator="containsText" text="Sick">
      <formula>NOT(ISERROR(SEARCH("Sick",BV4)))</formula>
    </cfRule>
    <cfRule type="containsText" dxfId="237" priority="2890" operator="containsText" text="OFF">
      <formula>NOT(ISERROR(SEARCH("OFF",BV4)))</formula>
    </cfRule>
    <cfRule type="containsText" dxfId="236" priority="2891" operator="containsText" text="AL">
      <formula>NOT(ISERROR(SEARCH("AL",BV4)))</formula>
    </cfRule>
    <cfRule type="containsText" dxfId="235" priority="2884" operator="containsText" text="AB">
      <formula>NOT(ISERROR(SEARCH("AB",BV4)))</formula>
    </cfRule>
    <cfRule type="containsText" dxfId="234" priority="2885" operator="containsText" text="SUS">
      <formula>NOT(ISERROR(SEARCH("SUS",BV4)))</formula>
    </cfRule>
    <cfRule type="containsText" dxfId="233" priority="2886" operator="containsText" text="FL">
      <formula>NOT(ISERROR(SEARCH("FL",BV4)))</formula>
    </cfRule>
  </conditionalFormatting>
  <conditionalFormatting sqref="BV41">
    <cfRule type="containsText" dxfId="232" priority="2818" operator="containsText" text="SUS">
      <formula>NOT(ISERROR(SEARCH("SUS",BV41)))</formula>
    </cfRule>
    <cfRule type="containsText" dxfId="231" priority="2817" operator="containsText" text="AB">
      <formula>NOT(ISERROR(SEARCH("AB",BV41)))</formula>
    </cfRule>
    <cfRule type="containsText" dxfId="230" priority="2819" operator="containsText" text="FL">
      <formula>NOT(ISERROR(SEARCH("FL",BV41)))</formula>
    </cfRule>
    <cfRule type="containsText" dxfId="229" priority="2820" operator="containsText" text="MC">
      <formula>NOT(ISERROR(SEARCH("MC",BV41)))</formula>
    </cfRule>
    <cfRule type="containsText" dxfId="228" priority="2822" operator="containsText" text="Sick">
      <formula>NOT(ISERROR(SEARCH("Sick",BV41)))</formula>
    </cfRule>
    <cfRule type="containsText" dxfId="227" priority="2823" operator="containsText" text="OFF">
      <formula>NOT(ISERROR(SEARCH("OFF",BV41)))</formula>
    </cfRule>
    <cfRule type="containsText" dxfId="226" priority="2824" operator="containsText" text="AL">
      <formula>NOT(ISERROR(SEARCH("AL",BV41)))</formula>
    </cfRule>
  </conditionalFormatting>
  <conditionalFormatting sqref="BW4">
    <cfRule type="containsText" dxfId="225" priority="2894" operator="containsText" text="SUS">
      <formula>NOT(ISERROR(SEARCH("SUS",BW4)))</formula>
    </cfRule>
    <cfRule type="containsText" dxfId="224" priority="2900" operator="containsText" text="AL">
      <formula>NOT(ISERROR(SEARCH("AL",BW4)))</formula>
    </cfRule>
    <cfRule type="containsText" dxfId="223" priority="2899" operator="containsText" text="OFF">
      <formula>NOT(ISERROR(SEARCH("OFF",BW4)))</formula>
    </cfRule>
    <cfRule type="containsText" dxfId="222" priority="2897" operator="containsText" text="AB">
      <formula>NOT(ISERROR(SEARCH("AB",BW4)))</formula>
    </cfRule>
    <cfRule type="containsText" dxfId="221" priority="2898" operator="containsText" text="Sick">
      <formula>NOT(ISERROR(SEARCH("Sick",BW4)))</formula>
    </cfRule>
    <cfRule type="containsText" dxfId="220" priority="2895" operator="containsText" text="FL">
      <formula>NOT(ISERROR(SEARCH("FL",BW4)))</formula>
    </cfRule>
    <cfRule type="containsText" dxfId="219" priority="2896" operator="containsText" text="MC">
      <formula>NOT(ISERROR(SEARCH("MC",BW4)))</formula>
    </cfRule>
  </conditionalFormatting>
  <conditionalFormatting sqref="BW41">
    <cfRule type="containsText" dxfId="218" priority="2829" operator="containsText" text="MC">
      <formula>NOT(ISERROR(SEARCH("MC",BW41)))</formula>
    </cfRule>
    <cfRule type="containsText" dxfId="217" priority="2828" operator="containsText" text="FL">
      <formula>NOT(ISERROR(SEARCH("FL",BW41)))</formula>
    </cfRule>
    <cfRule type="containsText" dxfId="216" priority="2827" operator="containsText" text="SUS">
      <formula>NOT(ISERROR(SEARCH("SUS",BW41)))</formula>
    </cfRule>
    <cfRule type="containsText" dxfId="215" priority="2830" operator="containsText" text="AB">
      <formula>NOT(ISERROR(SEARCH("AB",BW41)))</formula>
    </cfRule>
    <cfRule type="containsText" dxfId="214" priority="2833" operator="containsText" text="AL">
      <formula>NOT(ISERROR(SEARCH("AL",BW41)))</formula>
    </cfRule>
    <cfRule type="containsText" dxfId="213" priority="2832" operator="containsText" text="OFF">
      <formula>NOT(ISERROR(SEARCH("OFF",BW41)))</formula>
    </cfRule>
    <cfRule type="containsText" dxfId="212" priority="2831" operator="containsText" text="Sick">
      <formula>NOT(ISERROR(SEARCH("Sick",BW41)))</formula>
    </cfRule>
  </conditionalFormatting>
  <conditionalFormatting sqref="BX4">
    <cfRule type="containsText" dxfId="211" priority="2943" operator="containsText" text="FL">
      <formula>NOT(ISERROR(SEARCH("FL",BX4)))</formula>
    </cfRule>
    <cfRule type="containsText" dxfId="210" priority="2942" operator="containsText" text="SUS">
      <formula>NOT(ISERROR(SEARCH("SUS",BX4)))</formula>
    </cfRule>
    <cfRule type="containsText" dxfId="209" priority="2941" operator="containsText" text="NL">
      <formula>NOT(ISERROR(SEARCH("NL",BX4)))</formula>
    </cfRule>
    <cfRule type="containsText" dxfId="208" priority="2940" operator="containsText" text="SP">
      <formula>NOT(ISERROR(SEARCH("SP",BX4)))</formula>
    </cfRule>
    <cfRule type="containsText" dxfId="207" priority="2949" operator="containsText" text="AL">
      <formula>NOT(ISERROR(SEARCH("AL",BX4)))</formula>
    </cfRule>
    <cfRule type="containsText" dxfId="206" priority="2945" operator="containsText" text="MC">
      <formula>NOT(ISERROR(SEARCH("MC",BX4)))</formula>
    </cfRule>
    <cfRule type="containsText" dxfId="205" priority="2947" operator="containsText" text="AB">
      <formula>NOT(ISERROR(SEARCH("AB",BX4)))</formula>
    </cfRule>
    <cfRule type="containsText" dxfId="204" priority="2946" operator="containsText" text="OFF">
      <formula>NOT(ISERROR(SEARCH("OFF",BX4)))</formula>
    </cfRule>
    <cfRule type="containsText" dxfId="203" priority="2944" operator="containsText" text="EL">
      <formula>NOT(ISERROR(SEARCH("EL",BX4)))</formula>
    </cfRule>
    <cfRule type="containsText" dxfId="202" priority="2948" operator="containsText" text="SICK">
      <formula>NOT(ISERROR(SEARCH("SICK",BX4)))</formula>
    </cfRule>
  </conditionalFormatting>
  <conditionalFormatting sqref="BX41">
    <cfRule type="containsText" dxfId="201" priority="2930" operator="containsText" text="SP">
      <formula>NOT(ISERROR(SEARCH("SP",BX41)))</formula>
    </cfRule>
    <cfRule type="containsText" dxfId="200" priority="2938" operator="containsText" text="SICK">
      <formula>NOT(ISERROR(SEARCH("SICK",BX41)))</formula>
    </cfRule>
    <cfRule type="containsText" dxfId="199" priority="2937" operator="containsText" text="AB">
      <formula>NOT(ISERROR(SEARCH("AB",BX41)))</formula>
    </cfRule>
    <cfRule type="containsText" dxfId="198" priority="2931" operator="containsText" text="NL">
      <formula>NOT(ISERROR(SEARCH("NL",BX41)))</formula>
    </cfRule>
    <cfRule type="containsText" dxfId="197" priority="2932" operator="containsText" text="SUS">
      <formula>NOT(ISERROR(SEARCH("SUS",BX41)))</formula>
    </cfRule>
    <cfRule type="containsText" dxfId="196" priority="2933" operator="containsText" text="FL">
      <formula>NOT(ISERROR(SEARCH("FL",BX41)))</formula>
    </cfRule>
    <cfRule type="containsText" dxfId="195" priority="2934" operator="containsText" text="EL">
      <formula>NOT(ISERROR(SEARCH("EL",BX41)))</formula>
    </cfRule>
    <cfRule type="containsText" dxfId="194" priority="2935" operator="containsText" text="MC">
      <formula>NOT(ISERROR(SEARCH("MC",BX41)))</formula>
    </cfRule>
    <cfRule type="containsText" dxfId="193" priority="2936" operator="containsText" text="OFF">
      <formula>NOT(ISERROR(SEARCH("OFF",BX41)))</formula>
    </cfRule>
    <cfRule type="containsText" dxfId="192" priority="2939" operator="containsText" text="AL">
      <formula>NOT(ISERROR(SEARCH("AL",BX41)))</formula>
    </cfRule>
  </conditionalFormatting>
  <conditionalFormatting sqref="BZ4:CB4">
    <cfRule type="containsText" dxfId="191" priority="2843" operator="containsText" text="AL">
      <formula>NOT(ISERROR(SEARCH("AL",BZ4)))</formula>
    </cfRule>
    <cfRule type="containsText" dxfId="190" priority="2842" operator="containsText" text="SICK">
      <formula>NOT(ISERROR(SEARCH("SICK",BZ4)))</formula>
    </cfRule>
    <cfRule type="containsText" dxfId="189" priority="2841" operator="containsText" text="AB">
      <formula>NOT(ISERROR(SEARCH("AB",BZ4)))</formula>
    </cfRule>
    <cfRule type="containsText" dxfId="188" priority="2840" operator="containsText" text="OFF">
      <formula>NOT(ISERROR(SEARCH("OFF",BZ4)))</formula>
    </cfRule>
    <cfRule type="containsText" dxfId="187" priority="2839" operator="containsText" text="MC">
      <formula>NOT(ISERROR(SEARCH("MC",BZ4)))</formula>
    </cfRule>
    <cfRule type="containsText" dxfId="186" priority="2835" operator="containsText" text="NL">
      <formula>NOT(ISERROR(SEARCH("NL",BZ4)))</formula>
    </cfRule>
    <cfRule type="containsText" dxfId="185" priority="2834" operator="containsText" text="SP">
      <formula>NOT(ISERROR(SEARCH("SP",BZ4)))</formula>
    </cfRule>
    <cfRule type="containsText" dxfId="184" priority="2838" operator="containsText" text="EL">
      <formula>NOT(ISERROR(SEARCH("EL",BZ4)))</formula>
    </cfRule>
    <cfRule type="containsText" dxfId="183" priority="2837" operator="containsText" text="FL">
      <formula>NOT(ISERROR(SEARCH("FL",BZ4)))</formula>
    </cfRule>
    <cfRule type="containsText" dxfId="182" priority="2836" operator="containsText" text="SUS">
      <formula>NOT(ISERROR(SEARCH("SUS",BZ4)))</formula>
    </cfRule>
  </conditionalFormatting>
  <conditionalFormatting sqref="BZ41:CB41">
    <cfRule type="containsText" dxfId="181" priority="2848" operator="containsText" text="EL">
      <formula>NOT(ISERROR(SEARCH("EL",BZ41)))</formula>
    </cfRule>
    <cfRule type="containsText" dxfId="180" priority="2850" operator="containsText" text="OFF">
      <formula>NOT(ISERROR(SEARCH("OFF",BZ41)))</formula>
    </cfRule>
    <cfRule type="containsText" dxfId="179" priority="2851" operator="containsText" text="AB">
      <formula>NOT(ISERROR(SEARCH("AB",BZ41)))</formula>
    </cfRule>
    <cfRule type="containsText" dxfId="178" priority="2853" operator="containsText" text="AL">
      <formula>NOT(ISERROR(SEARCH("AL",BZ41)))</formula>
    </cfRule>
    <cfRule type="containsText" dxfId="177" priority="2852" operator="containsText" text="SICK">
      <formula>NOT(ISERROR(SEARCH("SICK",BZ41)))</formula>
    </cfRule>
    <cfRule type="containsText" dxfId="176" priority="2844" operator="containsText" text="SP">
      <formula>NOT(ISERROR(SEARCH("SP",BZ41)))</formula>
    </cfRule>
    <cfRule type="containsText" dxfId="175" priority="2849" operator="containsText" text="MC">
      <formula>NOT(ISERROR(SEARCH("MC",BZ41)))</formula>
    </cfRule>
    <cfRule type="containsText" dxfId="174" priority="2845" operator="containsText" text="NL">
      <formula>NOT(ISERROR(SEARCH("NL",BZ41)))</formula>
    </cfRule>
    <cfRule type="containsText" dxfId="173" priority="2846" operator="containsText" text="SUS">
      <formula>NOT(ISERROR(SEARCH("SUS",BZ41)))</formula>
    </cfRule>
    <cfRule type="containsText" dxfId="172" priority="2847" operator="containsText" text="FL">
      <formula>NOT(ISERROR(SEARCH("FL",BZ41)))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70C3-59BF-43A5-BE3E-3DE0CC9F13AC}">
  <sheetPr>
    <pageSetUpPr fitToPage="1"/>
  </sheetPr>
  <dimension ref="A1:BK57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S12" sqref="S12"/>
    </sheetView>
  </sheetViews>
  <sheetFormatPr defaultRowHeight="15" x14ac:dyDescent="0.25"/>
  <cols>
    <col min="1" max="1" width="5.140625" style="48" customWidth="1"/>
    <col min="2" max="2" width="12" style="17" customWidth="1"/>
    <col min="3" max="3" width="33.7109375" customWidth="1"/>
    <col min="4" max="4" width="13.42578125" hidden="1" customWidth="1"/>
    <col min="5" max="36" width="6.5703125" customWidth="1"/>
    <col min="37" max="37" width="5.85546875" style="17" customWidth="1"/>
    <col min="38" max="45" width="5" customWidth="1"/>
    <col min="46" max="46" width="5.85546875" customWidth="1"/>
    <col min="47" max="50" width="5" customWidth="1"/>
    <col min="51" max="51" width="21.5703125" customWidth="1"/>
    <col min="53" max="63" width="6" customWidth="1"/>
  </cols>
  <sheetData>
    <row r="1" spans="1:63" ht="25.5" customHeight="1" x14ac:dyDescent="0.25">
      <c r="A1" s="171" t="s">
        <v>259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3"/>
      <c r="AL1" s="61"/>
      <c r="AM1" s="65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7"/>
    </row>
    <row r="2" spans="1:63" ht="22.5" customHeight="1" x14ac:dyDescent="0.25">
      <c r="A2" s="176" t="s">
        <v>180</v>
      </c>
      <c r="B2" s="176"/>
      <c r="C2" s="176"/>
      <c r="D2" s="97"/>
      <c r="E2" s="162" t="s">
        <v>6</v>
      </c>
      <c r="F2" s="162"/>
      <c r="G2" s="162" t="s">
        <v>7</v>
      </c>
      <c r="H2" s="162"/>
      <c r="I2" s="162" t="s">
        <v>1</v>
      </c>
      <c r="J2" s="162"/>
      <c r="K2" s="162" t="s">
        <v>2</v>
      </c>
      <c r="L2" s="162"/>
      <c r="M2" s="162" t="s">
        <v>3</v>
      </c>
      <c r="N2" s="162"/>
      <c r="O2" s="162" t="s">
        <v>4</v>
      </c>
      <c r="P2" s="162"/>
      <c r="Q2" s="162" t="s">
        <v>5</v>
      </c>
      <c r="R2" s="162"/>
      <c r="S2" s="162" t="s">
        <v>6</v>
      </c>
      <c r="T2" s="162"/>
      <c r="U2" s="162" t="s">
        <v>7</v>
      </c>
      <c r="V2" s="162"/>
      <c r="W2" s="162" t="s">
        <v>1</v>
      </c>
      <c r="X2" s="162"/>
      <c r="Y2" s="162" t="s">
        <v>2</v>
      </c>
      <c r="Z2" s="162"/>
      <c r="AA2" s="162" t="s">
        <v>3</v>
      </c>
      <c r="AB2" s="162"/>
      <c r="AC2" s="162" t="s">
        <v>4</v>
      </c>
      <c r="AD2" s="162"/>
      <c r="AE2" s="162" t="s">
        <v>5</v>
      </c>
      <c r="AF2" s="162"/>
      <c r="AG2" s="162" t="s">
        <v>6</v>
      </c>
      <c r="AH2" s="162"/>
      <c r="AI2" s="162" t="s">
        <v>7</v>
      </c>
      <c r="AJ2" s="170"/>
      <c r="AK2" s="175" t="s">
        <v>8</v>
      </c>
      <c r="AL2" s="163" t="s">
        <v>9</v>
      </c>
      <c r="AM2" s="165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7"/>
      <c r="BA2" s="168" t="s">
        <v>201</v>
      </c>
      <c r="BB2" s="168"/>
      <c r="BC2" s="168"/>
      <c r="BD2" s="168"/>
      <c r="BE2" s="168"/>
      <c r="BF2" s="168"/>
      <c r="BG2" s="168"/>
      <c r="BH2" s="168"/>
      <c r="BI2" s="168"/>
      <c r="BJ2" s="168"/>
      <c r="BK2" s="49"/>
    </row>
    <row r="3" spans="1:63" ht="22.5" customHeight="1" x14ac:dyDescent="0.25">
      <c r="A3" s="176"/>
      <c r="B3" s="176"/>
      <c r="C3" s="176"/>
      <c r="D3" s="97"/>
      <c r="E3" s="169">
        <v>46174</v>
      </c>
      <c r="F3" s="169"/>
      <c r="G3" s="169">
        <v>46175</v>
      </c>
      <c r="H3" s="169"/>
      <c r="I3" s="169">
        <v>46176</v>
      </c>
      <c r="J3" s="169"/>
      <c r="K3" s="169">
        <v>46177</v>
      </c>
      <c r="L3" s="169"/>
      <c r="M3" s="169">
        <v>46178</v>
      </c>
      <c r="N3" s="169"/>
      <c r="O3" s="169">
        <v>46179</v>
      </c>
      <c r="P3" s="169"/>
      <c r="Q3" s="169">
        <v>46180</v>
      </c>
      <c r="R3" s="169"/>
      <c r="S3" s="169">
        <v>46181</v>
      </c>
      <c r="T3" s="169"/>
      <c r="U3" s="169">
        <v>46182</v>
      </c>
      <c r="V3" s="169"/>
      <c r="W3" s="169">
        <v>46183</v>
      </c>
      <c r="X3" s="169"/>
      <c r="Y3" s="169">
        <v>46184</v>
      </c>
      <c r="Z3" s="169"/>
      <c r="AA3" s="169">
        <v>46185</v>
      </c>
      <c r="AB3" s="169"/>
      <c r="AC3" s="169">
        <v>46186</v>
      </c>
      <c r="AD3" s="169"/>
      <c r="AE3" s="169">
        <v>46187</v>
      </c>
      <c r="AF3" s="169"/>
      <c r="AG3" s="169">
        <v>46188</v>
      </c>
      <c r="AH3" s="169"/>
      <c r="AI3" s="169">
        <v>46189</v>
      </c>
      <c r="AJ3" s="174"/>
      <c r="AK3" s="175"/>
      <c r="AL3" s="163"/>
      <c r="AM3" s="68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70"/>
      <c r="BA3" s="59" t="s">
        <v>248</v>
      </c>
      <c r="BB3" s="59"/>
      <c r="BC3" s="59"/>
      <c r="BD3" s="59"/>
      <c r="BE3" s="59"/>
      <c r="BF3" s="59"/>
      <c r="BG3" s="59"/>
      <c r="BH3" s="59"/>
      <c r="BI3" s="59"/>
      <c r="BJ3" s="59"/>
      <c r="BK3" s="49"/>
    </row>
    <row r="4" spans="1:63" ht="20.25" customHeight="1" x14ac:dyDescent="0.25">
      <c r="A4" s="5" t="s">
        <v>10</v>
      </c>
      <c r="B4" s="5" t="s">
        <v>11</v>
      </c>
      <c r="C4" s="5" t="s">
        <v>12</v>
      </c>
      <c r="D4" s="15"/>
      <c r="E4" s="15" t="s">
        <v>13</v>
      </c>
      <c r="F4" s="15" t="s">
        <v>14</v>
      </c>
      <c r="G4" s="15" t="s">
        <v>13</v>
      </c>
      <c r="H4" s="15" t="s">
        <v>14</v>
      </c>
      <c r="I4" s="15" t="s">
        <v>13</v>
      </c>
      <c r="J4" s="15" t="s">
        <v>14</v>
      </c>
      <c r="K4" s="15" t="s">
        <v>13</v>
      </c>
      <c r="L4" s="15" t="s">
        <v>14</v>
      </c>
      <c r="M4" s="15" t="s">
        <v>13</v>
      </c>
      <c r="N4" s="15" t="s">
        <v>14</v>
      </c>
      <c r="O4" s="15" t="s">
        <v>13</v>
      </c>
      <c r="P4" s="15" t="s">
        <v>14</v>
      </c>
      <c r="Q4" s="15" t="s">
        <v>13</v>
      </c>
      <c r="R4" s="15" t="s">
        <v>14</v>
      </c>
      <c r="S4" s="15" t="s">
        <v>13</v>
      </c>
      <c r="T4" s="15" t="s">
        <v>14</v>
      </c>
      <c r="U4" s="15" t="s">
        <v>13</v>
      </c>
      <c r="V4" s="15" t="s">
        <v>14</v>
      </c>
      <c r="W4" s="15" t="s">
        <v>13</v>
      </c>
      <c r="X4" s="1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5" t="s">
        <v>13</v>
      </c>
      <c r="AF4" s="5" t="s">
        <v>14</v>
      </c>
      <c r="AG4" s="5" t="s">
        <v>13</v>
      </c>
      <c r="AH4" s="5" t="s">
        <v>14</v>
      </c>
      <c r="AI4" s="5" t="s">
        <v>13</v>
      </c>
      <c r="AJ4" s="5" t="s">
        <v>14</v>
      </c>
      <c r="AK4" s="175"/>
      <c r="AL4" s="164"/>
      <c r="AM4" s="62"/>
      <c r="AN4" s="107" t="s">
        <v>15</v>
      </c>
      <c r="AO4" s="105" t="s">
        <v>16</v>
      </c>
      <c r="AP4" s="105" t="s">
        <v>17</v>
      </c>
      <c r="AQ4" s="102" t="s">
        <v>18</v>
      </c>
      <c r="AR4" s="105" t="s">
        <v>19</v>
      </c>
      <c r="AS4" s="105" t="s">
        <v>20</v>
      </c>
      <c r="AT4" s="82" t="s">
        <v>181</v>
      </c>
      <c r="AU4" s="63" t="s">
        <v>22</v>
      </c>
      <c r="AV4" s="84" t="s">
        <v>23</v>
      </c>
      <c r="AW4" s="84" t="s">
        <v>24</v>
      </c>
      <c r="AX4" s="84" t="s">
        <v>25</v>
      </c>
      <c r="AY4" s="64" t="s">
        <v>26</v>
      </c>
      <c r="BA4" s="53" t="s">
        <v>16</v>
      </c>
      <c r="BB4" s="54" t="s">
        <v>17</v>
      </c>
      <c r="BC4" s="54" t="s">
        <v>18</v>
      </c>
      <c r="BD4" s="54" t="s">
        <v>19</v>
      </c>
      <c r="BE4" s="54" t="s">
        <v>20</v>
      </c>
      <c r="BF4" s="54" t="s">
        <v>21</v>
      </c>
      <c r="BG4" s="54" t="s">
        <v>22</v>
      </c>
      <c r="BH4" s="54" t="s">
        <v>23</v>
      </c>
      <c r="BI4" s="54" t="s">
        <v>24</v>
      </c>
      <c r="BJ4" s="54" t="s">
        <v>25</v>
      </c>
      <c r="BK4" s="55" t="s">
        <v>202</v>
      </c>
    </row>
    <row r="5" spans="1:63" ht="21.75" customHeight="1" x14ac:dyDescent="0.25">
      <c r="A5" s="47">
        <v>37</v>
      </c>
      <c r="B5" s="13" t="s">
        <v>109</v>
      </c>
      <c r="C5" s="88" t="s">
        <v>187</v>
      </c>
      <c r="D5" s="100">
        <v>44987</v>
      </c>
      <c r="E5" s="71">
        <v>0.3520833333333333</v>
      </c>
      <c r="F5" s="71">
        <v>0.92569444444444438</v>
      </c>
      <c r="G5" s="71">
        <v>0.3520833333333333</v>
      </c>
      <c r="H5" s="71">
        <v>0.96250000000000002</v>
      </c>
      <c r="I5" s="71">
        <v>0.3520833333333333</v>
      </c>
      <c r="J5" s="71">
        <v>0.92638888888888893</v>
      </c>
      <c r="K5" s="71">
        <v>0.3520833333333333</v>
      </c>
      <c r="L5" s="71">
        <v>0.94791666666666663</v>
      </c>
      <c r="M5" s="123">
        <v>0.57708333333333328</v>
      </c>
      <c r="N5" s="127">
        <v>0.87986111111111109</v>
      </c>
      <c r="O5" s="71">
        <v>0.3888888888888889</v>
      </c>
      <c r="P5" s="71">
        <v>0.95138888888888884</v>
      </c>
      <c r="Q5" s="71">
        <v>0.35347222222222219</v>
      </c>
      <c r="R5" s="71">
        <v>0.92222222222222217</v>
      </c>
      <c r="S5" s="71">
        <v>0.35138888888888892</v>
      </c>
      <c r="T5" s="71">
        <v>0.90277777777777779</v>
      </c>
      <c r="U5" s="71">
        <v>0.3527777777777778</v>
      </c>
      <c r="V5" s="71">
        <v>0.92569444444444438</v>
      </c>
      <c r="W5" s="71">
        <v>0.35138888888888892</v>
      </c>
      <c r="X5" s="71">
        <v>0.90694444444444444</v>
      </c>
      <c r="Y5" s="71">
        <v>0.35138888888888892</v>
      </c>
      <c r="Z5" s="71">
        <v>0.92708333333333337</v>
      </c>
      <c r="AA5" s="107" t="s">
        <v>15</v>
      </c>
      <c r="AB5" s="125" t="s">
        <v>15</v>
      </c>
      <c r="AC5" s="71">
        <v>0.3520833333333333</v>
      </c>
      <c r="AD5" s="71">
        <v>0.91805555555555562</v>
      </c>
      <c r="AE5" s="84" t="s">
        <v>23</v>
      </c>
      <c r="AF5" s="84" t="s">
        <v>23</v>
      </c>
      <c r="AG5" s="84" t="s">
        <v>23</v>
      </c>
      <c r="AH5" s="84" t="s">
        <v>23</v>
      </c>
      <c r="AI5" s="84" t="s">
        <v>23</v>
      </c>
      <c r="AJ5" s="84" t="s">
        <v>23</v>
      </c>
      <c r="AK5" s="122">
        <f>AM5+AN5+AP5+AQ5+AU5+AS5+AT5+AX5</f>
        <v>13</v>
      </c>
      <c r="AL5" s="75">
        <v>1</v>
      </c>
      <c r="AM5" s="2">
        <f>COUNT(E5:AF5)/2+COUNT(AI5:AJ5)/2</f>
        <v>12</v>
      </c>
      <c r="AN5" s="3">
        <f>COUNTIF(E5:AJ5,"OFF")/2</f>
        <v>1</v>
      </c>
      <c r="AO5" s="3">
        <f>COUNTIF(E5:AJ5,"MC")/2</f>
        <v>0</v>
      </c>
      <c r="AP5" s="3">
        <f>COUNTIF(E5:AJ5,"EL")/2</f>
        <v>0</v>
      </c>
      <c r="AQ5" s="3">
        <f>COUNTIF(E5:AJ5,"AL")/2</f>
        <v>0</v>
      </c>
      <c r="AR5" s="3">
        <f>COUNTIF(E5:AJ5,"SUS")/2</f>
        <v>0</v>
      </c>
      <c r="AS5" s="3">
        <f>COUNTIF(E5:AJ5,"FL")/2</f>
        <v>0</v>
      </c>
      <c r="AT5" s="3">
        <f>COUNTIF(E5:AJ5,"SICK")/2</f>
        <v>0</v>
      </c>
      <c r="AU5" s="3">
        <f>COUNTIF(E5:AJ5,"HD")/2</f>
        <v>0</v>
      </c>
      <c r="AV5" s="3">
        <f>COUNTIF(E5:AJ5,"AB")/2</f>
        <v>3</v>
      </c>
      <c r="AW5" s="3">
        <f>COUNTIF(E5:AJ5,"NL")/2</f>
        <v>0</v>
      </c>
      <c r="AX5" s="3">
        <f>COUNTIF(E5:AJ5,"SP")/2</f>
        <v>0</v>
      </c>
      <c r="AY5" s="4"/>
      <c r="BA5" s="56">
        <v>0</v>
      </c>
      <c r="BB5" s="56">
        <v>0</v>
      </c>
      <c r="BC5" s="56">
        <v>0</v>
      </c>
      <c r="BD5" s="56">
        <v>0</v>
      </c>
      <c r="BE5" s="56">
        <v>0</v>
      </c>
      <c r="BF5" s="57">
        <v>3</v>
      </c>
      <c r="BG5" s="57">
        <v>0</v>
      </c>
      <c r="BH5" s="57">
        <v>0</v>
      </c>
      <c r="BI5" s="56">
        <v>0</v>
      </c>
      <c r="BJ5" s="56">
        <v>0</v>
      </c>
      <c r="BK5" s="58">
        <f t="shared" ref="BK5" si="0">SUM(BA5:BJ5)</f>
        <v>3</v>
      </c>
    </row>
    <row r="7" spans="1:63" ht="15.75" x14ac:dyDescent="0.25">
      <c r="F7" s="128" t="s">
        <v>260</v>
      </c>
      <c r="G7" s="128"/>
      <c r="H7" s="128" t="s">
        <v>262</v>
      </c>
      <c r="I7" s="128"/>
      <c r="J7" s="128"/>
      <c r="K7" s="128"/>
      <c r="L7" s="128"/>
      <c r="M7" s="128"/>
      <c r="N7" s="129"/>
      <c r="O7" s="129"/>
      <c r="P7" s="129"/>
    </row>
    <row r="8" spans="1:63" ht="15.75" x14ac:dyDescent="0.25">
      <c r="F8" s="128" t="s">
        <v>261</v>
      </c>
      <c r="G8" s="128"/>
      <c r="H8" s="128" t="s">
        <v>263</v>
      </c>
      <c r="I8" s="128"/>
      <c r="J8" s="128"/>
      <c r="K8" s="128"/>
      <c r="L8" s="128"/>
      <c r="M8" s="128"/>
      <c r="N8" s="129"/>
      <c r="O8" s="129"/>
      <c r="P8" s="129"/>
    </row>
    <row r="9" spans="1:63" x14ac:dyDescent="0.25">
      <c r="AL9" s="37" t="s">
        <v>72</v>
      </c>
      <c r="AM9" s="38"/>
      <c r="AN9" s="38"/>
      <c r="AO9" s="39" t="s">
        <v>16</v>
      </c>
      <c r="AP9" s="40"/>
      <c r="AQ9" s="45" t="s">
        <v>73</v>
      </c>
      <c r="AR9" s="46"/>
      <c r="AS9" s="46"/>
      <c r="AT9" s="43"/>
      <c r="AU9" s="44" t="s">
        <v>22</v>
      </c>
    </row>
    <row r="10" spans="1:63" x14ac:dyDescent="0.25">
      <c r="AL10" s="37" t="s">
        <v>74</v>
      </c>
      <c r="AM10" s="38"/>
      <c r="AN10" s="38"/>
      <c r="AO10" s="39" t="s">
        <v>17</v>
      </c>
      <c r="AP10" s="40"/>
      <c r="AQ10" s="45" t="s">
        <v>75</v>
      </c>
      <c r="AR10" s="46"/>
      <c r="AS10" s="46"/>
      <c r="AT10" s="43"/>
      <c r="AU10" s="44" t="s">
        <v>23</v>
      </c>
    </row>
    <row r="11" spans="1:63" x14ac:dyDescent="0.25">
      <c r="AL11" s="37" t="s">
        <v>76</v>
      </c>
      <c r="AM11" s="38"/>
      <c r="AN11" s="38"/>
      <c r="AO11" s="39" t="s">
        <v>18</v>
      </c>
      <c r="AP11" s="40"/>
      <c r="AQ11" s="41" t="s">
        <v>77</v>
      </c>
      <c r="AR11" s="42"/>
      <c r="AS11" s="42"/>
      <c r="AT11" s="43"/>
      <c r="AU11" s="44" t="s">
        <v>24</v>
      </c>
    </row>
    <row r="12" spans="1:63" x14ac:dyDescent="0.25">
      <c r="AL12" s="37" t="s">
        <v>78</v>
      </c>
      <c r="AM12" s="38"/>
      <c r="AN12" s="38"/>
      <c r="AO12" s="39" t="s">
        <v>19</v>
      </c>
      <c r="AP12" s="40"/>
      <c r="AQ12" s="41" t="s">
        <v>79</v>
      </c>
      <c r="AR12" s="42"/>
      <c r="AS12" s="42"/>
      <c r="AT12" s="43"/>
      <c r="AU12" s="44" t="s">
        <v>25</v>
      </c>
    </row>
    <row r="13" spans="1:63" ht="15.75" x14ac:dyDescent="0.25">
      <c r="I13" s="18"/>
      <c r="J13" s="19" t="s">
        <v>62</v>
      </c>
      <c r="K13" s="20"/>
      <c r="L13" s="19"/>
      <c r="M13" s="21"/>
      <c r="P13" s="21"/>
      <c r="Q13" s="22"/>
      <c r="R13" s="23"/>
      <c r="S13" s="23"/>
      <c r="T13" s="24" t="s">
        <v>63</v>
      </c>
      <c r="U13" s="24"/>
      <c r="V13" s="22"/>
      <c r="W13" s="22"/>
      <c r="X13" s="22"/>
      <c r="Y13" s="22"/>
      <c r="Z13" s="22" t="s">
        <v>64</v>
      </c>
      <c r="AA13" s="22"/>
      <c r="AB13" s="22"/>
      <c r="AC13" s="22"/>
      <c r="AD13" s="24" t="s">
        <v>65</v>
      </c>
      <c r="AE13" s="22"/>
      <c r="AL13" s="37" t="s">
        <v>80</v>
      </c>
      <c r="AM13" s="38"/>
      <c r="AN13" s="38"/>
      <c r="AO13" s="39" t="s">
        <v>20</v>
      </c>
      <c r="AP13" s="40"/>
      <c r="AQ13" s="40"/>
      <c r="AR13" s="40"/>
      <c r="AS13" s="40"/>
      <c r="AT13" s="40"/>
      <c r="AU13" s="40"/>
    </row>
    <row r="14" spans="1:63" ht="17.25" x14ac:dyDescent="0.25">
      <c r="I14" s="25"/>
      <c r="J14" s="21"/>
      <c r="K14" s="21"/>
      <c r="L14" s="21"/>
      <c r="M14" s="21"/>
      <c r="P14" s="21"/>
      <c r="Q14" s="21"/>
      <c r="R14" s="26"/>
      <c r="S14" s="26"/>
      <c r="T14" s="26"/>
      <c r="U14" s="21"/>
      <c r="V14" s="21"/>
      <c r="W14" s="21"/>
      <c r="X14" s="27"/>
      <c r="Y14" s="27"/>
      <c r="Z14" s="27"/>
      <c r="AA14" s="27"/>
      <c r="AB14" s="27"/>
      <c r="AC14" s="27"/>
      <c r="AD14" s="28"/>
      <c r="AE14" s="28"/>
    </row>
    <row r="15" spans="1:63" ht="17.25" x14ac:dyDescent="0.25">
      <c r="I15" s="25"/>
      <c r="J15" s="29"/>
      <c r="K15" s="21"/>
      <c r="L15" s="29"/>
      <c r="M15" s="21"/>
      <c r="P15" s="21"/>
      <c r="Q15" s="29" t="s">
        <v>64</v>
      </c>
      <c r="R15" s="30"/>
      <c r="S15" s="30"/>
      <c r="T15" s="26"/>
      <c r="U15" s="21"/>
      <c r="V15" s="29"/>
      <c r="W15" s="29"/>
      <c r="X15" s="22"/>
      <c r="Y15" s="21"/>
      <c r="Z15" s="21"/>
      <c r="AA15" s="21"/>
      <c r="AB15" s="21"/>
      <c r="AC15" s="21"/>
      <c r="AD15" s="31"/>
      <c r="AE15" s="31"/>
    </row>
    <row r="16" spans="1:63" ht="17.25" x14ac:dyDescent="0.25">
      <c r="I16" s="32"/>
      <c r="J16" s="29"/>
      <c r="K16" s="21"/>
      <c r="L16" s="29"/>
      <c r="M16" s="21"/>
      <c r="P16" s="21"/>
      <c r="Q16" s="29"/>
      <c r="R16" s="30"/>
      <c r="S16" s="30"/>
      <c r="T16" s="26"/>
      <c r="U16" s="22"/>
      <c r="V16" s="29"/>
      <c r="W16" s="29"/>
      <c r="X16" s="22"/>
      <c r="Y16" s="21"/>
      <c r="Z16" s="21"/>
      <c r="AA16" s="21"/>
      <c r="AB16" s="21"/>
      <c r="AC16" s="21"/>
      <c r="AD16" s="31"/>
      <c r="AE16" s="31"/>
    </row>
    <row r="17" spans="9:63" ht="17.25" x14ac:dyDescent="0.25">
      <c r="I17" s="33" t="s">
        <v>66</v>
      </c>
      <c r="J17" s="34"/>
      <c r="K17" s="18"/>
      <c r="L17" s="33"/>
      <c r="M17" s="21"/>
      <c r="P17" s="21"/>
      <c r="Q17" s="29"/>
      <c r="R17" s="26"/>
      <c r="S17" s="30"/>
      <c r="T17" s="20" t="s">
        <v>67</v>
      </c>
      <c r="U17" s="21"/>
      <c r="V17" s="29"/>
      <c r="W17" s="22"/>
      <c r="X17" s="21"/>
      <c r="Y17" s="21"/>
      <c r="Z17" s="21"/>
      <c r="AA17" s="21"/>
      <c r="AB17" s="21"/>
      <c r="AC17" s="21"/>
      <c r="AD17" s="20" t="s">
        <v>68</v>
      </c>
      <c r="AE17" s="31"/>
    </row>
    <row r="18" spans="9:63" ht="17.25" x14ac:dyDescent="0.25">
      <c r="I18" s="33"/>
      <c r="J18" s="33" t="s">
        <v>69</v>
      </c>
      <c r="K18" s="32"/>
      <c r="L18" s="32"/>
      <c r="M18" s="21"/>
      <c r="P18" s="21"/>
      <c r="Q18" s="20"/>
      <c r="R18" s="35"/>
      <c r="S18" s="35"/>
      <c r="T18" s="20" t="s">
        <v>70</v>
      </c>
      <c r="U18" s="20"/>
      <c r="V18" s="20"/>
      <c r="W18" s="22"/>
      <c r="X18" s="20"/>
      <c r="Y18" s="21"/>
      <c r="Z18" s="21"/>
      <c r="AA18" s="21"/>
      <c r="AB18" s="21"/>
      <c r="AC18" s="21"/>
      <c r="AD18" s="20" t="s">
        <v>71</v>
      </c>
      <c r="AE18" s="31"/>
    </row>
    <row r="22" spans="9:63" x14ac:dyDescent="0.25">
      <c r="AN22" s="40"/>
      <c r="AO22" s="40"/>
      <c r="AP22" s="40"/>
      <c r="AQ22" s="40"/>
      <c r="AR22" s="40"/>
      <c r="AS22" s="40"/>
      <c r="AT22" s="40"/>
      <c r="AU22" s="40"/>
      <c r="AV22" s="40"/>
      <c r="AW22" s="40"/>
    </row>
    <row r="23" spans="9:63" ht="15.75" x14ac:dyDescent="0.25">
      <c r="BA23" s="56">
        <v>0</v>
      </c>
      <c r="BB23" s="56">
        <v>0</v>
      </c>
      <c r="BC23" s="56">
        <v>0</v>
      </c>
      <c r="BD23" s="56">
        <v>0</v>
      </c>
      <c r="BE23" s="56">
        <v>0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8">
        <f>SUM(BA23:BJ23)</f>
        <v>0</v>
      </c>
    </row>
    <row r="24" spans="9:63" ht="15.75" x14ac:dyDescent="0.25">
      <c r="BA24" s="56">
        <v>0</v>
      </c>
      <c r="BB24" s="56">
        <v>0</v>
      </c>
      <c r="BC24" s="56">
        <v>60</v>
      </c>
      <c r="BD24" s="56">
        <v>0</v>
      </c>
      <c r="BE24" s="56">
        <v>0</v>
      </c>
      <c r="BF24" s="56">
        <v>0</v>
      </c>
      <c r="BG24" s="56">
        <v>0</v>
      </c>
      <c r="BH24" s="56">
        <v>0</v>
      </c>
      <c r="BI24" s="56">
        <v>11</v>
      </c>
      <c r="BJ24" s="56">
        <v>0</v>
      </c>
      <c r="BK24" s="58">
        <f>SUM(BA24:BJ24)</f>
        <v>71</v>
      </c>
    </row>
    <row r="25" spans="9:63" ht="15.75" x14ac:dyDescent="0.25">
      <c r="BA25" s="56">
        <v>0</v>
      </c>
      <c r="BB25" s="56">
        <v>0</v>
      </c>
      <c r="BC25" s="56">
        <v>0</v>
      </c>
      <c r="BD25" s="56">
        <v>0</v>
      </c>
      <c r="BE25" s="56">
        <v>0</v>
      </c>
      <c r="BF25" s="57">
        <v>7</v>
      </c>
      <c r="BG25" s="57">
        <v>0</v>
      </c>
      <c r="BH25" s="57">
        <v>0</v>
      </c>
      <c r="BI25" s="56">
        <v>0</v>
      </c>
      <c r="BJ25" s="56">
        <v>0</v>
      </c>
      <c r="BK25" s="58">
        <f>SUM(BA25:BJ25)</f>
        <v>7</v>
      </c>
    </row>
    <row r="28" spans="9:63" ht="15.75" x14ac:dyDescent="0.25">
      <c r="BA28" s="56">
        <v>0</v>
      </c>
      <c r="BB28" s="56">
        <v>0</v>
      </c>
      <c r="BC28" s="56">
        <v>0</v>
      </c>
      <c r="BD28" s="56">
        <v>0</v>
      </c>
      <c r="BE28" s="56">
        <v>0</v>
      </c>
      <c r="BF28" s="56">
        <v>0</v>
      </c>
      <c r="BG28" s="57">
        <v>0</v>
      </c>
      <c r="BH28" s="57">
        <v>0</v>
      </c>
      <c r="BI28" s="56">
        <v>0</v>
      </c>
      <c r="BJ28" s="56">
        <v>0</v>
      </c>
      <c r="BK28" s="58">
        <f t="shared" ref="BK28:BK33" si="1">SUM(BA28:BJ28)</f>
        <v>0</v>
      </c>
    </row>
    <row r="29" spans="9:63" ht="15.75" x14ac:dyDescent="0.25">
      <c r="BA29" s="56">
        <v>0</v>
      </c>
      <c r="BB29" s="56">
        <v>0</v>
      </c>
      <c r="BC29" s="56">
        <v>0</v>
      </c>
      <c r="BD29" s="56">
        <v>0</v>
      </c>
      <c r="BE29" s="56">
        <v>0</v>
      </c>
      <c r="BF29" s="56">
        <v>1</v>
      </c>
      <c r="BG29" s="56">
        <v>0</v>
      </c>
      <c r="BH29" s="56">
        <v>0</v>
      </c>
      <c r="BI29" s="56">
        <v>0</v>
      </c>
      <c r="BJ29" s="56">
        <v>0</v>
      </c>
      <c r="BK29" s="58">
        <f t="shared" si="1"/>
        <v>1</v>
      </c>
    </row>
    <row r="30" spans="9:63" ht="24.75" customHeight="1" x14ac:dyDescent="0.25">
      <c r="BA30" s="56">
        <v>0</v>
      </c>
      <c r="BB30" s="56">
        <v>0</v>
      </c>
      <c r="BC30" s="56">
        <v>0</v>
      </c>
      <c r="BD30" s="56">
        <v>0</v>
      </c>
      <c r="BE30" s="56">
        <v>1</v>
      </c>
      <c r="BF30" s="57">
        <v>7</v>
      </c>
      <c r="BG30" s="57">
        <v>1</v>
      </c>
      <c r="BH30" s="56">
        <v>0</v>
      </c>
      <c r="BI30" s="56">
        <v>0</v>
      </c>
      <c r="BJ30" s="56">
        <v>0</v>
      </c>
      <c r="BK30" s="58">
        <f t="shared" si="1"/>
        <v>9</v>
      </c>
    </row>
    <row r="31" spans="9:63" ht="15.75" x14ac:dyDescent="0.25">
      <c r="AH31" s="10">
        <v>0.94930555555555551</v>
      </c>
      <c r="BA31" s="56">
        <v>0</v>
      </c>
      <c r="BB31" s="56">
        <v>0</v>
      </c>
      <c r="BC31" s="56">
        <v>0</v>
      </c>
      <c r="BD31" s="56">
        <v>0</v>
      </c>
      <c r="BE31" s="56">
        <v>0</v>
      </c>
      <c r="BF31" s="57">
        <v>1</v>
      </c>
      <c r="BG31" s="56">
        <v>0</v>
      </c>
      <c r="BH31" s="56">
        <v>0</v>
      </c>
      <c r="BI31" s="56">
        <v>0</v>
      </c>
      <c r="BJ31" s="56">
        <v>0</v>
      </c>
      <c r="BK31" s="58">
        <f t="shared" si="1"/>
        <v>1</v>
      </c>
    </row>
    <row r="33" spans="1:63" ht="21.75" customHeight="1" x14ac:dyDescent="0.25">
      <c r="A33" s="47">
        <v>37</v>
      </c>
      <c r="B33" s="13" t="s">
        <v>101</v>
      </c>
      <c r="C33" s="88" t="s">
        <v>102</v>
      </c>
      <c r="D33" s="88"/>
      <c r="E33" s="71">
        <v>0.37222222222222223</v>
      </c>
      <c r="F33" s="71">
        <v>5.9722222222222225E-2</v>
      </c>
      <c r="G33" s="71">
        <v>0.37222222222222223</v>
      </c>
      <c r="H33" s="71">
        <v>4.3750000000000004E-2</v>
      </c>
      <c r="I33" s="71">
        <v>0.37152777777777773</v>
      </c>
      <c r="J33" s="71">
        <v>4.4444444444444446E-2</v>
      </c>
      <c r="K33" s="71">
        <v>0.37222222222222223</v>
      </c>
      <c r="L33" s="71">
        <v>0.85138888888888886</v>
      </c>
      <c r="M33" s="71">
        <v>0.37291666666666662</v>
      </c>
      <c r="N33" s="71">
        <v>3.3333333333333333E-2</v>
      </c>
      <c r="O33" s="72">
        <v>0.5756944444444444</v>
      </c>
      <c r="P33" s="72">
        <v>3.4722222222222224E-2</v>
      </c>
      <c r="Q33" s="71">
        <v>0.37291666666666662</v>
      </c>
      <c r="R33" s="71">
        <v>4.0972222222222222E-2</v>
      </c>
      <c r="S33" s="71">
        <v>0.37361111111111112</v>
      </c>
      <c r="T33" s="71">
        <v>4.6527777777777779E-2</v>
      </c>
      <c r="U33" s="71">
        <v>0.37222222222222223</v>
      </c>
      <c r="V33" s="71">
        <v>0.84930555555555554</v>
      </c>
      <c r="W33" s="71">
        <v>0.37152777777777773</v>
      </c>
      <c r="X33" s="71">
        <v>3.3333333333333333E-2</v>
      </c>
      <c r="Y33" s="71">
        <v>0.37222222222222223</v>
      </c>
      <c r="Z33" s="71">
        <v>3.125E-2</v>
      </c>
      <c r="AA33" s="71">
        <v>0.37291666666666662</v>
      </c>
      <c r="AB33" s="71">
        <v>0.99097222222222225</v>
      </c>
      <c r="AC33" s="72">
        <v>0.5756944444444444</v>
      </c>
      <c r="AD33" s="72">
        <v>4.6527777777777779E-2</v>
      </c>
      <c r="AE33" s="71">
        <v>0.37222222222222223</v>
      </c>
      <c r="AF33" s="76">
        <v>1</v>
      </c>
      <c r="AG33" s="71">
        <v>0.37291666666666662</v>
      </c>
      <c r="AH33" s="71">
        <v>3.6805555555555557E-2</v>
      </c>
      <c r="AI33" s="71">
        <v>0.37152777777777773</v>
      </c>
      <c r="AJ33" s="71">
        <v>5.2083333333333336E-2</v>
      </c>
      <c r="AK33" s="11"/>
      <c r="AL33" s="75">
        <v>3</v>
      </c>
      <c r="AM33" s="2">
        <f>COUNT(E33:AD33)/2+COUNT(AG33:AJ33)/2</f>
        <v>15</v>
      </c>
      <c r="AN33" s="3">
        <f>COUNTIF(E33:AJ33,"OFF")/2</f>
        <v>0</v>
      </c>
      <c r="AO33" s="3">
        <f>COUNTIF(E33:AJ33,"MC")/2</f>
        <v>0</v>
      </c>
      <c r="AP33" s="3">
        <f>COUNTIF(E33:AJ33,"EL")/2</f>
        <v>0</v>
      </c>
      <c r="AQ33" s="3">
        <f>COUNTIF(E33:AJ33,"AL")/2</f>
        <v>0</v>
      </c>
      <c r="AR33" s="3">
        <f>COUNTIF(E33:AJ33,"SUS")/2</f>
        <v>0</v>
      </c>
      <c r="AS33" s="3">
        <f>COUNTIF(E33:AJ33,"FL")/2</f>
        <v>0</v>
      </c>
      <c r="AT33" s="3">
        <f>COUNTIF(E33:AJ33,"SICK")/2</f>
        <v>0</v>
      </c>
      <c r="AU33" s="3">
        <f>COUNTIF(E33:AJ33,"HD")/2</f>
        <v>0</v>
      </c>
      <c r="AV33" s="3">
        <f>COUNTIF(E33:AJ33,"AB")/2</f>
        <v>0</v>
      </c>
      <c r="AW33" s="3">
        <f>COUNTIF(E33:AJ33,"NL")/2</f>
        <v>0</v>
      </c>
      <c r="AX33" s="3">
        <f>COUNTIF(E33:AJ33,"SP")/2</f>
        <v>0</v>
      </c>
      <c r="AY33" s="4"/>
      <c r="BA33" s="56">
        <v>0</v>
      </c>
      <c r="BB33" s="56">
        <v>0</v>
      </c>
      <c r="BC33" s="56">
        <v>0</v>
      </c>
      <c r="BD33" s="56">
        <v>0</v>
      </c>
      <c r="BE33" s="56">
        <v>0</v>
      </c>
      <c r="BF33" s="56">
        <v>0</v>
      </c>
      <c r="BG33" s="56">
        <v>0</v>
      </c>
      <c r="BH33" s="56">
        <v>0</v>
      </c>
      <c r="BI33" s="56">
        <v>0</v>
      </c>
      <c r="BJ33" s="56">
        <v>0</v>
      </c>
      <c r="BK33" s="58">
        <f t="shared" si="1"/>
        <v>0</v>
      </c>
    </row>
    <row r="36" spans="1:63" ht="21.75" customHeight="1" x14ac:dyDescent="0.25">
      <c r="A36" s="47">
        <v>64</v>
      </c>
      <c r="B36" s="13" t="s">
        <v>141</v>
      </c>
      <c r="C36" s="88" t="s">
        <v>142</v>
      </c>
      <c r="D36" s="100">
        <v>45644</v>
      </c>
      <c r="E36" s="82">
        <v>0.35416666666666669</v>
      </c>
      <c r="F36" s="82">
        <v>0.9145833333333333</v>
      </c>
      <c r="G36" s="82">
        <v>0.35416666666666669</v>
      </c>
      <c r="H36" s="82">
        <v>0.91666666666666663</v>
      </c>
      <c r="I36" s="86" t="s">
        <v>15</v>
      </c>
      <c r="J36" s="86" t="s">
        <v>15</v>
      </c>
      <c r="K36" s="82">
        <v>0.35416666666666669</v>
      </c>
      <c r="L36" s="82">
        <v>0.90625</v>
      </c>
      <c r="M36" s="82">
        <v>0.35416666666666669</v>
      </c>
      <c r="N36" s="82">
        <v>0.92847222222222225</v>
      </c>
      <c r="O36" s="82">
        <v>0.35347222222222219</v>
      </c>
      <c r="P36" s="82">
        <v>0.90694444444444444</v>
      </c>
      <c r="Q36" s="82">
        <v>0.3527777777777778</v>
      </c>
      <c r="R36" s="82">
        <v>0.8979166666666667</v>
      </c>
      <c r="S36" s="82">
        <v>0.35416666666666669</v>
      </c>
      <c r="T36" s="82">
        <v>0.8965277777777777</v>
      </c>
      <c r="U36" s="82">
        <v>0.35347222222222219</v>
      </c>
      <c r="V36" s="82">
        <v>0.93819444444444444</v>
      </c>
      <c r="W36" s="85">
        <v>0.55972222222222223</v>
      </c>
      <c r="X36" s="86">
        <v>1</v>
      </c>
      <c r="Y36" s="82">
        <v>0.35347222222222219</v>
      </c>
      <c r="Z36" s="82">
        <v>0.91875000000000007</v>
      </c>
      <c r="AA36" s="82">
        <v>0.35416666666666669</v>
      </c>
      <c r="AB36" s="82">
        <v>0.91875000000000007</v>
      </c>
      <c r="AC36" s="82">
        <v>0.35347222222222219</v>
      </c>
      <c r="AD36" s="82">
        <v>0.92222222222222217</v>
      </c>
      <c r="AE36" s="82">
        <v>0.35347222222222219</v>
      </c>
      <c r="AF36" s="84">
        <v>1</v>
      </c>
      <c r="AG36" s="101" t="s">
        <v>18</v>
      </c>
      <c r="AH36" s="101"/>
      <c r="AI36" s="87"/>
      <c r="AJ36" s="87"/>
      <c r="AK36" s="11">
        <f t="shared" ref="AK36:AK45" si="2">AM36+AN36+AP36+AQ36+AU36+AS36+AT36+AX36</f>
        <v>13.5</v>
      </c>
      <c r="AL36" s="75">
        <v>3</v>
      </c>
      <c r="AM36" s="2">
        <f>COUNT(E36:AD36)/2+COUNT(AG36:AJ36)/2</f>
        <v>12</v>
      </c>
      <c r="AN36" s="3">
        <f t="shared" ref="AN36:AN47" si="3">COUNTIF(E36:AJ36,"OFF")/2</f>
        <v>1</v>
      </c>
      <c r="AO36" s="3">
        <f t="shared" ref="AO36:AO47" si="4">COUNTIF(E36:AJ36,"MC")/2</f>
        <v>0</v>
      </c>
      <c r="AP36" s="3">
        <f t="shared" ref="AP36:AP47" si="5">COUNTIF(E36:AJ36,"EL")/2</f>
        <v>0</v>
      </c>
      <c r="AQ36" s="3">
        <f t="shared" ref="AQ36:AQ47" si="6">COUNTIF(E36:AJ36,"AL")/2</f>
        <v>0.5</v>
      </c>
      <c r="AR36" s="3">
        <f t="shared" ref="AR36:AR47" si="7">COUNTIF(E36:AJ36,"SUS")/2</f>
        <v>0</v>
      </c>
      <c r="AS36" s="3">
        <f t="shared" ref="AS36:AS47" si="8">COUNTIF(E36:AJ36,"FL")/2</f>
        <v>0</v>
      </c>
      <c r="AT36" s="3">
        <f t="shared" ref="AT36:AT47" si="9">COUNTIF(E36:AJ36,"SICK")/2</f>
        <v>0</v>
      </c>
      <c r="AU36" s="3">
        <f t="shared" ref="AU36:AU47" si="10">COUNTIF(E36:AJ36,"HD")/2</f>
        <v>0</v>
      </c>
      <c r="AV36" s="3">
        <f t="shared" ref="AV36:AV47" si="11">COUNTIF(E36:AJ36,"AB")/2</f>
        <v>0</v>
      </c>
      <c r="AW36" s="3">
        <f t="shared" ref="AW36:AW47" si="12">COUNTIF(E36:AJ36,"NL")/2</f>
        <v>0</v>
      </c>
      <c r="AX36" s="3">
        <f t="shared" ref="AX36:AX47" si="13">COUNTIF(E36:AJ36,"SP")/2</f>
        <v>0</v>
      </c>
      <c r="AY36" s="4"/>
    </row>
    <row r="37" spans="1:63" ht="21.75" customHeight="1" x14ac:dyDescent="0.25">
      <c r="A37" s="47">
        <v>59</v>
      </c>
      <c r="B37" s="13" t="s">
        <v>135</v>
      </c>
      <c r="C37" s="88" t="s">
        <v>136</v>
      </c>
      <c r="D37" s="100">
        <v>45552</v>
      </c>
      <c r="E37" s="82">
        <v>0.34513888888888888</v>
      </c>
      <c r="F37" s="82">
        <v>0.95138888888888884</v>
      </c>
      <c r="G37" s="82">
        <v>0.34861111111111115</v>
      </c>
      <c r="H37" s="82">
        <v>0.9916666666666667</v>
      </c>
      <c r="I37" s="86" t="s">
        <v>15</v>
      </c>
      <c r="J37" s="86" t="s">
        <v>15</v>
      </c>
      <c r="K37" s="82">
        <v>0.34375</v>
      </c>
      <c r="L37" s="82">
        <v>0.95000000000000007</v>
      </c>
      <c r="M37" s="82">
        <v>0.35138888888888892</v>
      </c>
      <c r="N37" s="82">
        <v>0.97430555555555554</v>
      </c>
      <c r="O37" s="82">
        <v>0.35069444444444442</v>
      </c>
      <c r="P37" s="82">
        <v>0.9555555555555556</v>
      </c>
      <c r="Q37" s="82">
        <v>0.34513888888888888</v>
      </c>
      <c r="R37" s="82">
        <v>0.93611111111111101</v>
      </c>
      <c r="S37" s="82">
        <v>0.34861111111111115</v>
      </c>
      <c r="T37" s="82">
        <v>0.96180555555555547</v>
      </c>
      <c r="U37" s="82">
        <v>0.35138888888888892</v>
      </c>
      <c r="V37" s="82">
        <v>0.98749999999999993</v>
      </c>
      <c r="W37" s="85">
        <v>0.5756944444444444</v>
      </c>
      <c r="X37" s="85">
        <v>0.9194444444444444</v>
      </c>
      <c r="Y37" s="82">
        <v>0.34097222222222223</v>
      </c>
      <c r="Z37" s="82">
        <v>0.94861111111111107</v>
      </c>
      <c r="AA37" s="82">
        <v>0.34583333333333338</v>
      </c>
      <c r="AB37" s="82">
        <v>0.99722222222222223</v>
      </c>
      <c r="AC37" s="82">
        <v>0.34652777777777777</v>
      </c>
      <c r="AD37" s="82">
        <v>0.94236111111111109</v>
      </c>
      <c r="AE37" s="82">
        <v>0.34652777777777777</v>
      </c>
      <c r="AF37" s="82">
        <v>0.94236111111111109</v>
      </c>
      <c r="AG37" s="82">
        <v>0.34791666666666665</v>
      </c>
      <c r="AH37" s="82"/>
      <c r="AK37" s="11">
        <f t="shared" si="2"/>
        <v>13.5</v>
      </c>
      <c r="AL37" s="75">
        <v>3</v>
      </c>
      <c r="AM37" s="2">
        <f>COUNT(E37:AD37)/2+COUNT(AG37:AJ37)/2</f>
        <v>12.5</v>
      </c>
      <c r="AN37" s="3">
        <f t="shared" si="3"/>
        <v>1</v>
      </c>
      <c r="AO37" s="3">
        <f t="shared" si="4"/>
        <v>0</v>
      </c>
      <c r="AP37" s="3">
        <f t="shared" si="5"/>
        <v>0</v>
      </c>
      <c r="AQ37" s="3">
        <f t="shared" si="6"/>
        <v>0</v>
      </c>
      <c r="AR37" s="3">
        <f t="shared" si="7"/>
        <v>0</v>
      </c>
      <c r="AS37" s="3">
        <f t="shared" si="8"/>
        <v>0</v>
      </c>
      <c r="AT37" s="3">
        <f t="shared" si="9"/>
        <v>0</v>
      </c>
      <c r="AU37" s="3">
        <f t="shared" si="10"/>
        <v>0</v>
      </c>
      <c r="AV37" s="3">
        <f t="shared" si="11"/>
        <v>0</v>
      </c>
      <c r="AW37" s="3">
        <f t="shared" si="12"/>
        <v>0</v>
      </c>
      <c r="AX37" s="3">
        <f t="shared" si="13"/>
        <v>0</v>
      </c>
      <c r="AY37" s="4"/>
    </row>
    <row r="38" spans="1:63" ht="21.75" customHeight="1" x14ac:dyDescent="0.25">
      <c r="A38" s="47">
        <v>63</v>
      </c>
      <c r="B38" s="13" t="s">
        <v>139</v>
      </c>
      <c r="C38" s="88" t="s">
        <v>140</v>
      </c>
      <c r="D38" s="100">
        <v>45612</v>
      </c>
      <c r="E38" s="82">
        <v>0.34583333333333338</v>
      </c>
      <c r="F38" s="84">
        <v>1</v>
      </c>
      <c r="G38" s="82">
        <v>0.34375</v>
      </c>
      <c r="H38" s="84">
        <v>1</v>
      </c>
      <c r="I38" s="85">
        <v>0.5708333333333333</v>
      </c>
      <c r="J38" s="86">
        <v>1</v>
      </c>
      <c r="K38" s="82">
        <v>0.34583333333333338</v>
      </c>
      <c r="L38" s="84">
        <v>1</v>
      </c>
      <c r="M38" s="82">
        <v>0.34583333333333338</v>
      </c>
      <c r="N38" s="82">
        <v>0.95208333333333339</v>
      </c>
      <c r="O38" s="84">
        <v>1</v>
      </c>
      <c r="P38" s="84">
        <v>1</v>
      </c>
      <c r="Q38" s="82">
        <v>0.34583333333333338</v>
      </c>
      <c r="R38" s="82">
        <v>0.9555555555555556</v>
      </c>
      <c r="S38" s="82">
        <v>0.34583333333333338</v>
      </c>
      <c r="T38" s="84">
        <v>1</v>
      </c>
      <c r="U38" s="82">
        <v>0.34583333333333338</v>
      </c>
      <c r="V38" s="84">
        <v>1</v>
      </c>
      <c r="W38" s="86" t="s">
        <v>15</v>
      </c>
      <c r="X38" s="86" t="s">
        <v>15</v>
      </c>
      <c r="Y38" s="82">
        <v>0.34652777777777777</v>
      </c>
      <c r="Z38" s="84">
        <v>1</v>
      </c>
      <c r="AA38" s="82">
        <v>0.34583333333333338</v>
      </c>
      <c r="AB38" s="84">
        <v>1</v>
      </c>
      <c r="AC38" s="82">
        <v>0.34513888888888888</v>
      </c>
      <c r="AD38" s="84">
        <v>1</v>
      </c>
      <c r="AE38" s="82">
        <v>0.34583333333333338</v>
      </c>
      <c r="AF38" s="84">
        <v>1</v>
      </c>
      <c r="AG38" s="82">
        <v>0.34513888888888888</v>
      </c>
      <c r="AH38" s="84">
        <v>1</v>
      </c>
      <c r="AI38" s="82">
        <v>0.34652777777777777</v>
      </c>
      <c r="AJ38" s="84">
        <v>1</v>
      </c>
      <c r="AK38" s="11">
        <f t="shared" si="2"/>
        <v>15</v>
      </c>
      <c r="AL38" s="75">
        <v>3</v>
      </c>
      <c r="AM38" s="2">
        <f>COUNT(E38:AD38)/2+COUNT(AG38:AJ38)/2</f>
        <v>14</v>
      </c>
      <c r="AN38" s="3">
        <f t="shared" si="3"/>
        <v>1</v>
      </c>
      <c r="AO38" s="3">
        <f t="shared" si="4"/>
        <v>0</v>
      </c>
      <c r="AP38" s="3">
        <f t="shared" si="5"/>
        <v>0</v>
      </c>
      <c r="AQ38" s="3">
        <f t="shared" si="6"/>
        <v>0</v>
      </c>
      <c r="AR38" s="3">
        <f t="shared" si="7"/>
        <v>0</v>
      </c>
      <c r="AS38" s="3">
        <f t="shared" si="8"/>
        <v>0</v>
      </c>
      <c r="AT38" s="3">
        <f t="shared" si="9"/>
        <v>0</v>
      </c>
      <c r="AU38" s="3">
        <f t="shared" si="10"/>
        <v>0</v>
      </c>
      <c r="AV38" s="3">
        <f t="shared" si="11"/>
        <v>0</v>
      </c>
      <c r="AW38" s="3">
        <f t="shared" si="12"/>
        <v>0</v>
      </c>
      <c r="AX38" s="3">
        <f t="shared" si="13"/>
        <v>0</v>
      </c>
      <c r="AY38" s="4"/>
      <c r="BA38" s="56">
        <v>0</v>
      </c>
      <c r="BB38" s="56">
        <v>0</v>
      </c>
      <c r="BC38" s="57">
        <v>40</v>
      </c>
      <c r="BD38" s="56">
        <v>0</v>
      </c>
      <c r="BE38" s="56">
        <v>0</v>
      </c>
      <c r="BF38" s="56">
        <v>0</v>
      </c>
      <c r="BG38" s="57">
        <v>2</v>
      </c>
      <c r="BH38" s="56">
        <v>0</v>
      </c>
      <c r="BI38" s="56">
        <v>0</v>
      </c>
      <c r="BJ38" s="56">
        <v>0</v>
      </c>
      <c r="BK38" s="58">
        <f t="shared" ref="BK38:BK44" si="14">SUM(BA38:BJ38)</f>
        <v>42</v>
      </c>
    </row>
    <row r="39" spans="1:63" ht="21" customHeight="1" x14ac:dyDescent="0.25">
      <c r="A39" s="12">
        <v>9</v>
      </c>
      <c r="B39" s="13" t="s">
        <v>42</v>
      </c>
      <c r="C39" s="88" t="s">
        <v>43</v>
      </c>
      <c r="D39" s="100">
        <v>45381</v>
      </c>
      <c r="E39" s="109">
        <v>0.56111111111111112</v>
      </c>
      <c r="F39" s="109">
        <v>0.97638888888888886</v>
      </c>
      <c r="G39" s="82">
        <v>0.33402777777777781</v>
      </c>
      <c r="H39" s="84">
        <v>1</v>
      </c>
      <c r="I39" s="82">
        <v>0.3298611111111111</v>
      </c>
      <c r="J39" s="84">
        <v>1</v>
      </c>
      <c r="K39" s="82">
        <v>0.3347222222222222</v>
      </c>
      <c r="L39" s="82">
        <v>0.96527777777777779</v>
      </c>
      <c r="M39" s="82">
        <v>0.34583333333333338</v>
      </c>
      <c r="N39" s="82">
        <v>0.94236111111111109</v>
      </c>
      <c r="O39" s="82">
        <v>0.33958333333333335</v>
      </c>
      <c r="P39" s="82">
        <v>0.97291666666666676</v>
      </c>
      <c r="Q39" s="82">
        <v>0.32569444444444445</v>
      </c>
      <c r="R39" s="82">
        <v>0.95277777777777783</v>
      </c>
      <c r="S39" s="82"/>
      <c r="T39" s="82"/>
      <c r="U39" s="82"/>
      <c r="V39" s="82"/>
      <c r="W39" s="82"/>
      <c r="X39" s="82"/>
      <c r="Y39" s="104"/>
      <c r="Z39" s="105"/>
      <c r="AA39" s="104"/>
      <c r="AB39" s="105"/>
      <c r="AC39" s="104"/>
      <c r="AD39" s="105"/>
      <c r="AE39" s="104"/>
      <c r="AF39" s="104"/>
      <c r="AG39" s="104"/>
      <c r="AH39" s="105"/>
      <c r="AI39" s="104"/>
      <c r="AJ39" s="105"/>
      <c r="AK39" s="11">
        <f t="shared" si="2"/>
        <v>7</v>
      </c>
      <c r="AL39" s="75"/>
      <c r="AM39" s="2">
        <f>COUNT(E39:AH39)/2+COUNT(AI39:AJ39)/2</f>
        <v>7</v>
      </c>
      <c r="AN39" s="3">
        <f t="shared" si="3"/>
        <v>0</v>
      </c>
      <c r="AO39" s="3">
        <f t="shared" si="4"/>
        <v>0</v>
      </c>
      <c r="AP39" s="3">
        <f t="shared" si="5"/>
        <v>0</v>
      </c>
      <c r="AQ39" s="3">
        <f t="shared" si="6"/>
        <v>0</v>
      </c>
      <c r="AR39" s="3">
        <f t="shared" si="7"/>
        <v>0</v>
      </c>
      <c r="AS39" s="3">
        <f t="shared" si="8"/>
        <v>0</v>
      </c>
      <c r="AT39" s="3">
        <f t="shared" si="9"/>
        <v>0</v>
      </c>
      <c r="AU39" s="3">
        <f t="shared" si="10"/>
        <v>0</v>
      </c>
      <c r="AV39" s="3">
        <f t="shared" si="11"/>
        <v>0</v>
      </c>
      <c r="AW39" s="3">
        <f t="shared" si="12"/>
        <v>0</v>
      </c>
      <c r="AX39" s="3">
        <f t="shared" si="13"/>
        <v>0</v>
      </c>
      <c r="AY39" s="78"/>
      <c r="BA39" s="56">
        <v>0</v>
      </c>
      <c r="BB39" s="56">
        <v>0</v>
      </c>
      <c r="BC39" s="56">
        <v>0</v>
      </c>
      <c r="BD39" s="56">
        <v>0</v>
      </c>
      <c r="BE39" s="56">
        <v>0</v>
      </c>
      <c r="BF39" s="57">
        <v>1</v>
      </c>
      <c r="BG39" s="56">
        <v>0</v>
      </c>
      <c r="BH39" s="56">
        <v>0</v>
      </c>
      <c r="BI39" s="56">
        <v>0</v>
      </c>
      <c r="BJ39" s="56">
        <v>0</v>
      </c>
      <c r="BK39" s="58">
        <f t="shared" si="14"/>
        <v>1</v>
      </c>
    </row>
    <row r="40" spans="1:63" ht="21" customHeight="1" x14ac:dyDescent="0.25">
      <c r="A40" s="12">
        <v>14</v>
      </c>
      <c r="B40" s="13" t="s">
        <v>51</v>
      </c>
      <c r="C40" s="88" t="s">
        <v>52</v>
      </c>
      <c r="D40" s="98">
        <v>37469</v>
      </c>
      <c r="E40" s="107" t="s">
        <v>15</v>
      </c>
      <c r="F40" s="107" t="s">
        <v>15</v>
      </c>
      <c r="G40" s="82">
        <v>0.35347222222222219</v>
      </c>
      <c r="H40" s="82">
        <v>0.96875</v>
      </c>
      <c r="I40" s="82">
        <v>0.3527777777777778</v>
      </c>
      <c r="J40" s="82">
        <v>0.93125000000000002</v>
      </c>
      <c r="K40" s="82">
        <v>0.35486111111111113</v>
      </c>
      <c r="L40" s="82">
        <v>0.95972222222222225</v>
      </c>
      <c r="M40" s="82">
        <v>0.3527777777777778</v>
      </c>
      <c r="N40" s="82">
        <v>0.93402777777777779</v>
      </c>
      <c r="O40" s="82">
        <v>0.3527777777777778</v>
      </c>
      <c r="P40" s="82">
        <v>0.96805555555555556</v>
      </c>
      <c r="Q40" s="82">
        <v>0.3520833333333333</v>
      </c>
      <c r="R40" s="82">
        <v>0.98263888888888884</v>
      </c>
      <c r="S40" s="82">
        <v>0.58194444444444449</v>
      </c>
      <c r="T40" s="82">
        <v>0.92152777777777783</v>
      </c>
      <c r="U40" s="82">
        <v>0.3520833333333333</v>
      </c>
      <c r="V40" s="82">
        <v>0.94374999999999998</v>
      </c>
      <c r="W40" s="82">
        <v>0.3527777777777778</v>
      </c>
      <c r="X40" s="84">
        <v>1</v>
      </c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1">
        <f t="shared" si="2"/>
        <v>10</v>
      </c>
      <c r="AL40" s="75"/>
      <c r="AM40" s="2">
        <f>COUNT(E40:AH40)/2+COUNT(AI40:AJ40)/2</f>
        <v>9</v>
      </c>
      <c r="AN40" s="3">
        <f t="shared" si="3"/>
        <v>1</v>
      </c>
      <c r="AO40" s="3">
        <f t="shared" si="4"/>
        <v>0</v>
      </c>
      <c r="AP40" s="3">
        <f t="shared" si="5"/>
        <v>0</v>
      </c>
      <c r="AQ40" s="3">
        <f t="shared" si="6"/>
        <v>0</v>
      </c>
      <c r="AR40" s="3">
        <f t="shared" si="7"/>
        <v>0</v>
      </c>
      <c r="AS40" s="3">
        <f t="shared" si="8"/>
        <v>0</v>
      </c>
      <c r="AT40" s="3">
        <f t="shared" si="9"/>
        <v>0</v>
      </c>
      <c r="AU40" s="3">
        <f t="shared" si="10"/>
        <v>0</v>
      </c>
      <c r="AV40" s="3">
        <f t="shared" si="11"/>
        <v>0</v>
      </c>
      <c r="AW40" s="3">
        <f t="shared" si="12"/>
        <v>0</v>
      </c>
      <c r="AX40" s="3">
        <f t="shared" si="13"/>
        <v>0</v>
      </c>
      <c r="AY40" s="78"/>
      <c r="BA40" s="119">
        <v>0</v>
      </c>
      <c r="BB40" s="119">
        <v>0</v>
      </c>
      <c r="BC40" s="119">
        <v>0</v>
      </c>
      <c r="BD40" s="119">
        <v>0</v>
      </c>
      <c r="BE40" s="119">
        <v>0</v>
      </c>
      <c r="BF40" s="120">
        <v>2</v>
      </c>
      <c r="BG40" s="119">
        <v>0</v>
      </c>
      <c r="BH40" s="119">
        <v>0</v>
      </c>
      <c r="BI40" s="119">
        <v>0</v>
      </c>
      <c r="BJ40" s="119">
        <v>0</v>
      </c>
      <c r="BK40" s="121">
        <f t="shared" si="14"/>
        <v>2</v>
      </c>
    </row>
    <row r="41" spans="1:63" s="81" customFormat="1" ht="21.75" customHeight="1" x14ac:dyDescent="0.25">
      <c r="A41" s="108">
        <v>58</v>
      </c>
      <c r="B41" s="117" t="s">
        <v>143</v>
      </c>
      <c r="C41" s="88" t="s">
        <v>144</v>
      </c>
      <c r="D41" s="118">
        <v>45648</v>
      </c>
      <c r="E41" s="109">
        <v>0.56597222222222221</v>
      </c>
      <c r="F41" s="109">
        <v>0.94097222222222221</v>
      </c>
      <c r="G41" s="82">
        <v>0.37847222222222227</v>
      </c>
      <c r="H41" s="82">
        <v>0.96736111111111101</v>
      </c>
      <c r="I41" s="82">
        <v>0.51388888888888895</v>
      </c>
      <c r="J41" s="82">
        <v>0.93819444444444444</v>
      </c>
      <c r="K41" s="82">
        <v>0.36736111111111108</v>
      </c>
      <c r="L41" s="82">
        <v>0.94305555555555554</v>
      </c>
      <c r="M41" s="82">
        <v>0.35555555555555557</v>
      </c>
      <c r="N41" s="82">
        <v>0.92361111111111116</v>
      </c>
      <c r="S41" s="82"/>
      <c r="T41" s="82"/>
      <c r="U41" s="82"/>
      <c r="V41" s="82"/>
      <c r="W41" s="84"/>
      <c r="X41" s="84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4"/>
      <c r="AK41" s="113">
        <f t="shared" si="2"/>
        <v>5</v>
      </c>
      <c r="AL41" s="75"/>
      <c r="AM41" s="114">
        <f>COUNT(E41:AH41)/2+COUNT(AI41:AJ41)/2</f>
        <v>5</v>
      </c>
      <c r="AN41" s="115">
        <f t="shared" si="3"/>
        <v>0</v>
      </c>
      <c r="AO41" s="115">
        <f t="shared" si="4"/>
        <v>0</v>
      </c>
      <c r="AP41" s="115">
        <f t="shared" si="5"/>
        <v>0</v>
      </c>
      <c r="AQ41" s="115">
        <f t="shared" si="6"/>
        <v>0</v>
      </c>
      <c r="AR41" s="115">
        <f t="shared" si="7"/>
        <v>0</v>
      </c>
      <c r="AS41" s="115">
        <f t="shared" si="8"/>
        <v>0</v>
      </c>
      <c r="AT41" s="115">
        <f t="shared" si="9"/>
        <v>0</v>
      </c>
      <c r="AU41" s="115">
        <f t="shared" si="10"/>
        <v>0</v>
      </c>
      <c r="AV41" s="115">
        <f t="shared" si="11"/>
        <v>0</v>
      </c>
      <c r="AW41" s="115">
        <f t="shared" si="12"/>
        <v>0</v>
      </c>
      <c r="AX41" s="115">
        <f t="shared" si="13"/>
        <v>0</v>
      </c>
      <c r="AY41" s="116"/>
      <c r="BA41" s="56">
        <v>0</v>
      </c>
      <c r="BB41" s="56">
        <v>0</v>
      </c>
      <c r="BC41" s="56">
        <v>0</v>
      </c>
      <c r="BD41" s="56">
        <v>0</v>
      </c>
      <c r="BE41" s="56">
        <v>0</v>
      </c>
      <c r="BF41" s="56">
        <v>0</v>
      </c>
      <c r="BG41" s="57">
        <v>0</v>
      </c>
      <c r="BH41" s="57">
        <v>0</v>
      </c>
      <c r="BI41" s="56">
        <v>0</v>
      </c>
      <c r="BJ41" s="56">
        <v>0</v>
      </c>
      <c r="BK41" s="58">
        <f t="shared" si="14"/>
        <v>0</v>
      </c>
    </row>
    <row r="42" spans="1:63" ht="21.75" customHeight="1" x14ac:dyDescent="0.25">
      <c r="A42" s="47">
        <v>42</v>
      </c>
      <c r="B42" s="13" t="s">
        <v>117</v>
      </c>
      <c r="C42" s="88" t="s">
        <v>237</v>
      </c>
      <c r="D42" s="100">
        <v>45330</v>
      </c>
      <c r="E42" s="107" t="s">
        <v>15</v>
      </c>
      <c r="F42" s="107" t="s">
        <v>15</v>
      </c>
      <c r="G42" s="82">
        <v>0.35416666666666669</v>
      </c>
      <c r="H42" s="82">
        <v>0.96736111111111101</v>
      </c>
      <c r="I42" s="82">
        <v>0.3527777777777778</v>
      </c>
      <c r="J42" s="82">
        <v>0.9291666666666667</v>
      </c>
      <c r="K42" s="82">
        <v>0.35972222222222222</v>
      </c>
      <c r="L42" s="82">
        <v>0.9604166666666667</v>
      </c>
      <c r="M42" s="82">
        <v>0.35625000000000001</v>
      </c>
      <c r="N42" s="82">
        <v>0.94513888888888886</v>
      </c>
      <c r="O42" s="82">
        <v>0.3527777777777778</v>
      </c>
      <c r="P42" s="82">
        <v>0.96527777777777779</v>
      </c>
      <c r="Q42" s="82">
        <v>0.35000000000000003</v>
      </c>
      <c r="R42" s="82">
        <v>0.96944444444444444</v>
      </c>
      <c r="S42" s="82">
        <v>0.5805555555555556</v>
      </c>
      <c r="T42" s="82">
        <v>0.93194444444444446</v>
      </c>
      <c r="U42" s="82">
        <v>0.34930555555555554</v>
      </c>
      <c r="V42" s="82">
        <v>0.94027777777777777</v>
      </c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11">
        <f t="shared" si="2"/>
        <v>9</v>
      </c>
      <c r="AL42" s="75"/>
      <c r="AM42" s="2">
        <f>COUNT(E42:AH42)/2+COUNT(AI42:AJ42)/2</f>
        <v>8</v>
      </c>
      <c r="AN42" s="3">
        <f t="shared" si="3"/>
        <v>1</v>
      </c>
      <c r="AO42" s="3">
        <f t="shared" si="4"/>
        <v>0</v>
      </c>
      <c r="AP42" s="3">
        <f t="shared" si="5"/>
        <v>0</v>
      </c>
      <c r="AQ42" s="3">
        <f t="shared" si="6"/>
        <v>0</v>
      </c>
      <c r="AR42" s="3">
        <f t="shared" si="7"/>
        <v>0</v>
      </c>
      <c r="AS42" s="3">
        <f t="shared" si="8"/>
        <v>0</v>
      </c>
      <c r="AT42" s="3">
        <f t="shared" si="9"/>
        <v>0</v>
      </c>
      <c r="AU42" s="3">
        <f t="shared" si="10"/>
        <v>0</v>
      </c>
      <c r="AV42" s="3">
        <f t="shared" si="11"/>
        <v>0</v>
      </c>
      <c r="AW42" s="3">
        <f t="shared" si="12"/>
        <v>0</v>
      </c>
      <c r="AX42" s="3">
        <f t="shared" si="13"/>
        <v>0</v>
      </c>
      <c r="AY42" s="4"/>
      <c r="BA42" s="56">
        <v>0</v>
      </c>
      <c r="BB42" s="56">
        <v>0</v>
      </c>
      <c r="BC42" s="56">
        <v>7</v>
      </c>
      <c r="BD42" s="56">
        <v>0</v>
      </c>
      <c r="BE42" s="56">
        <v>0</v>
      </c>
      <c r="BF42" s="56">
        <v>0</v>
      </c>
      <c r="BG42" s="57">
        <v>0</v>
      </c>
      <c r="BH42" s="57">
        <v>0</v>
      </c>
      <c r="BI42" s="56">
        <v>0</v>
      </c>
      <c r="BJ42" s="56">
        <v>0</v>
      </c>
      <c r="BK42" s="58">
        <f t="shared" si="14"/>
        <v>7</v>
      </c>
    </row>
    <row r="43" spans="1:63" ht="21.75" customHeight="1" x14ac:dyDescent="0.25">
      <c r="A43" s="47">
        <v>33</v>
      </c>
      <c r="B43" s="13" t="s">
        <v>99</v>
      </c>
      <c r="C43" s="88" t="s">
        <v>100</v>
      </c>
      <c r="D43" s="100">
        <v>44485</v>
      </c>
      <c r="E43" s="107" t="s">
        <v>15</v>
      </c>
      <c r="F43" s="107" t="s">
        <v>15</v>
      </c>
      <c r="G43" s="82">
        <v>0.3520833333333333</v>
      </c>
      <c r="H43" s="82">
        <v>0.95833333333333337</v>
      </c>
      <c r="I43" s="82">
        <v>0.3520833333333333</v>
      </c>
      <c r="J43" s="82">
        <v>0.93958333333333333</v>
      </c>
      <c r="K43" s="82">
        <v>0.35486111111111113</v>
      </c>
      <c r="L43" s="82">
        <v>0.95624999999999993</v>
      </c>
      <c r="M43" s="82">
        <v>0.35694444444444445</v>
      </c>
      <c r="N43" s="82">
        <v>0.94166666666666676</v>
      </c>
      <c r="O43" s="82">
        <v>0.36319444444444443</v>
      </c>
      <c r="P43" s="82">
        <v>0.95972222222222225</v>
      </c>
      <c r="Q43" s="82">
        <v>0.35347222222222219</v>
      </c>
      <c r="R43" s="82">
        <v>0.98541666666666661</v>
      </c>
      <c r="S43" s="109">
        <v>0.58402777777777781</v>
      </c>
      <c r="T43" s="109">
        <v>0.94444444444444453</v>
      </c>
      <c r="U43" s="82">
        <v>0.3520833333333333</v>
      </c>
      <c r="V43" s="82">
        <v>0.9555555555555556</v>
      </c>
      <c r="W43" s="82">
        <v>0.35416666666666669</v>
      </c>
      <c r="X43" s="82">
        <v>0.94374999999999998</v>
      </c>
      <c r="Y43" s="82">
        <v>0.3527777777777778</v>
      </c>
      <c r="Z43" s="82">
        <v>0.94166666666666676</v>
      </c>
      <c r="AA43" s="82">
        <v>0.35625000000000001</v>
      </c>
      <c r="AB43" s="82">
        <v>0.93958333333333333</v>
      </c>
      <c r="AC43" s="82">
        <v>0.3527777777777778</v>
      </c>
      <c r="AD43" s="82">
        <v>0.93888888888888899</v>
      </c>
      <c r="AE43" s="82">
        <v>0.35069444444444442</v>
      </c>
      <c r="AF43" s="82">
        <v>0.96180555555555547</v>
      </c>
      <c r="AG43" s="82">
        <v>0.58263888888888882</v>
      </c>
      <c r="AH43" s="82">
        <v>0.94027777777777777</v>
      </c>
      <c r="AI43" s="84">
        <v>1</v>
      </c>
      <c r="AJ43" s="84">
        <v>1</v>
      </c>
      <c r="AK43" s="11">
        <f t="shared" si="2"/>
        <v>16</v>
      </c>
      <c r="AL43" s="75"/>
      <c r="AM43" s="2">
        <f>COUNT(E43:AH43)/2+COUNT(AI43:AJ43)/2</f>
        <v>15</v>
      </c>
      <c r="AN43" s="3">
        <f t="shared" si="3"/>
        <v>1</v>
      </c>
      <c r="AO43" s="3">
        <f t="shared" si="4"/>
        <v>0</v>
      </c>
      <c r="AP43" s="3">
        <f t="shared" si="5"/>
        <v>0</v>
      </c>
      <c r="AQ43" s="3">
        <f t="shared" si="6"/>
        <v>0</v>
      </c>
      <c r="AR43" s="3">
        <f t="shared" si="7"/>
        <v>0</v>
      </c>
      <c r="AS43" s="3">
        <f t="shared" si="8"/>
        <v>0</v>
      </c>
      <c r="AT43" s="3">
        <f t="shared" si="9"/>
        <v>0</v>
      </c>
      <c r="AU43" s="3">
        <f t="shared" si="10"/>
        <v>0</v>
      </c>
      <c r="AV43" s="3">
        <f t="shared" si="11"/>
        <v>0</v>
      </c>
      <c r="AW43" s="3">
        <f t="shared" si="12"/>
        <v>0</v>
      </c>
      <c r="AX43" s="3">
        <f t="shared" si="13"/>
        <v>0</v>
      </c>
      <c r="AY43" s="4"/>
      <c r="BA43" s="56">
        <v>0</v>
      </c>
      <c r="BB43" s="56">
        <v>0</v>
      </c>
      <c r="BC43" s="56">
        <v>0</v>
      </c>
      <c r="BD43" s="56">
        <v>0</v>
      </c>
      <c r="BE43" s="56">
        <v>0</v>
      </c>
      <c r="BF43" s="56">
        <v>0</v>
      </c>
      <c r="BG43" s="57">
        <v>0</v>
      </c>
      <c r="BH43" s="57">
        <v>0</v>
      </c>
      <c r="BI43" s="56">
        <v>0</v>
      </c>
      <c r="BJ43" s="56">
        <v>0</v>
      </c>
      <c r="BK43" s="58">
        <f t="shared" si="14"/>
        <v>0</v>
      </c>
    </row>
    <row r="44" spans="1:63" ht="21.75" customHeight="1" x14ac:dyDescent="0.25">
      <c r="A44" s="47">
        <v>39</v>
      </c>
      <c r="B44" s="13" t="s">
        <v>112</v>
      </c>
      <c r="C44" s="88" t="s">
        <v>186</v>
      </c>
      <c r="D44" s="100">
        <v>45148</v>
      </c>
      <c r="E44" s="107" t="s">
        <v>15</v>
      </c>
      <c r="F44" s="107" t="s">
        <v>15</v>
      </c>
      <c r="G44" s="82">
        <v>0.35486111111111113</v>
      </c>
      <c r="H44" s="82">
        <v>0.92291666666666661</v>
      </c>
      <c r="I44" s="82">
        <v>0.3576388888888889</v>
      </c>
      <c r="J44" s="82">
        <v>0.91249999999999998</v>
      </c>
      <c r="K44" s="82">
        <v>0.35555555555555557</v>
      </c>
      <c r="L44" s="82">
        <v>0.92986111111111114</v>
      </c>
      <c r="M44" s="82">
        <v>0.35694444444444445</v>
      </c>
      <c r="N44" s="84">
        <v>1</v>
      </c>
      <c r="O44" s="82">
        <v>0.35138888888888892</v>
      </c>
      <c r="P44" s="82">
        <v>0.94652777777777775</v>
      </c>
      <c r="Q44" s="82">
        <v>0.3527777777777778</v>
      </c>
      <c r="R44" s="82">
        <v>0.93888888888888899</v>
      </c>
      <c r="S44" s="109">
        <v>0.58124999999999993</v>
      </c>
      <c r="T44" s="109">
        <v>0.90069444444444446</v>
      </c>
      <c r="U44" s="82">
        <v>0.3520833333333333</v>
      </c>
      <c r="V44" s="82">
        <v>0.9277777777777777</v>
      </c>
      <c r="W44" s="82">
        <v>0.35069444444444442</v>
      </c>
      <c r="X44" s="82">
        <v>0.94444444444444453</v>
      </c>
      <c r="Y44" s="82">
        <v>0.35347222222222219</v>
      </c>
      <c r="Z44" s="82">
        <v>0.93402777777777779</v>
      </c>
      <c r="AA44" s="82">
        <v>0.35347222222222219</v>
      </c>
      <c r="AB44" s="84">
        <v>1</v>
      </c>
      <c r="AC44" s="82">
        <v>0.34861111111111115</v>
      </c>
      <c r="AD44" s="84">
        <v>1</v>
      </c>
      <c r="AE44" s="82">
        <v>0.35972222222222222</v>
      </c>
      <c r="AF44" s="84">
        <v>1</v>
      </c>
      <c r="AG44" s="107" t="s">
        <v>15</v>
      </c>
      <c r="AH44" s="107" t="s">
        <v>15</v>
      </c>
      <c r="AI44" s="82"/>
      <c r="AJ44" s="82"/>
      <c r="AK44" s="11">
        <f t="shared" si="2"/>
        <v>15</v>
      </c>
      <c r="AL44" s="75"/>
      <c r="AM44" s="2">
        <f>COUNT(E44:AF44)/2+COUNT(AI44:AJ44)/2</f>
        <v>13</v>
      </c>
      <c r="AN44" s="3">
        <f t="shared" si="3"/>
        <v>2</v>
      </c>
      <c r="AO44" s="3">
        <f t="shared" si="4"/>
        <v>0</v>
      </c>
      <c r="AP44" s="3">
        <f t="shared" si="5"/>
        <v>0</v>
      </c>
      <c r="AQ44" s="3">
        <f t="shared" si="6"/>
        <v>0</v>
      </c>
      <c r="AR44" s="3">
        <f t="shared" si="7"/>
        <v>0</v>
      </c>
      <c r="AS44" s="3">
        <f t="shared" si="8"/>
        <v>0</v>
      </c>
      <c r="AT44" s="3">
        <f t="shared" si="9"/>
        <v>0</v>
      </c>
      <c r="AU44" s="3">
        <f t="shared" si="10"/>
        <v>0</v>
      </c>
      <c r="AV44" s="3">
        <f t="shared" si="11"/>
        <v>0</v>
      </c>
      <c r="AW44" s="3">
        <f t="shared" si="12"/>
        <v>0</v>
      </c>
      <c r="AX44" s="3">
        <f t="shared" si="13"/>
        <v>0</v>
      </c>
      <c r="AY44" s="4"/>
      <c r="BA44" s="56">
        <v>0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7">
        <v>0</v>
      </c>
      <c r="BH44" s="57">
        <v>0</v>
      </c>
      <c r="BI44" s="56">
        <v>0</v>
      </c>
      <c r="BJ44" s="56">
        <v>0</v>
      </c>
      <c r="BK44" s="58">
        <f t="shared" si="14"/>
        <v>0</v>
      </c>
    </row>
    <row r="45" spans="1:63" ht="21.75" customHeight="1" x14ac:dyDescent="0.25">
      <c r="A45" s="47">
        <v>41</v>
      </c>
      <c r="B45" s="13" t="s">
        <v>115</v>
      </c>
      <c r="C45" s="88" t="s">
        <v>116</v>
      </c>
      <c r="D45" s="100">
        <v>45330</v>
      </c>
      <c r="E45" s="109">
        <v>0.32708333333333334</v>
      </c>
      <c r="F45" s="109">
        <v>0.97152777777777777</v>
      </c>
      <c r="G45" s="82">
        <v>0.35902777777777778</v>
      </c>
      <c r="H45" s="82">
        <v>0.94861111111111107</v>
      </c>
      <c r="I45" s="82">
        <v>0.33611111111111108</v>
      </c>
      <c r="J45" s="82">
        <v>0.95416666666666661</v>
      </c>
      <c r="K45" s="82">
        <v>0.35555555555555557</v>
      </c>
      <c r="L45" s="82">
        <v>0.94791666666666663</v>
      </c>
      <c r="M45" s="84">
        <v>1</v>
      </c>
      <c r="N45" s="84">
        <v>1</v>
      </c>
      <c r="O45" s="82">
        <v>0.33055555555555555</v>
      </c>
      <c r="P45" s="82">
        <v>0.95208333333333339</v>
      </c>
      <c r="Q45" s="82">
        <v>0.33194444444444443</v>
      </c>
      <c r="R45" s="82">
        <v>0.97152777777777777</v>
      </c>
      <c r="S45" s="109">
        <v>0.57708333333333328</v>
      </c>
      <c r="T45" s="109">
        <v>0.95972222222222225</v>
      </c>
      <c r="U45" s="82">
        <v>0.3298611111111111</v>
      </c>
      <c r="V45" s="82">
        <v>0.97013888888888899</v>
      </c>
      <c r="W45" s="82">
        <v>0.32916666666666666</v>
      </c>
      <c r="X45" s="82">
        <v>0.9506944444444444</v>
      </c>
      <c r="Y45" s="82">
        <v>0.3263888888888889</v>
      </c>
      <c r="Z45" s="82">
        <v>0.94930555555555562</v>
      </c>
      <c r="AA45" s="82">
        <v>0.33124999999999999</v>
      </c>
      <c r="AB45" s="82">
        <v>0.95347222222222217</v>
      </c>
      <c r="AC45" s="82">
        <v>0.32847222222222222</v>
      </c>
      <c r="AD45" s="82">
        <v>0.95000000000000007</v>
      </c>
      <c r="AE45" s="82">
        <v>0.3354166666666667</v>
      </c>
      <c r="AF45" s="82">
        <v>0.97222222222222221</v>
      </c>
      <c r="AG45" s="107" t="s">
        <v>15</v>
      </c>
      <c r="AH45" s="107" t="s">
        <v>15</v>
      </c>
      <c r="AI45" s="84">
        <v>1</v>
      </c>
      <c r="AJ45" s="84">
        <v>1</v>
      </c>
      <c r="AK45" s="11">
        <f t="shared" si="2"/>
        <v>16</v>
      </c>
      <c r="AL45" s="75"/>
      <c r="AM45" s="2">
        <f>COUNT(E45:AH45)/2+COUNT(AI45:AJ45)/2</f>
        <v>15</v>
      </c>
      <c r="AN45" s="3">
        <f t="shared" si="3"/>
        <v>1</v>
      </c>
      <c r="AO45" s="3">
        <f t="shared" si="4"/>
        <v>0</v>
      </c>
      <c r="AP45" s="3">
        <f t="shared" si="5"/>
        <v>0</v>
      </c>
      <c r="AQ45" s="3">
        <f t="shared" si="6"/>
        <v>0</v>
      </c>
      <c r="AR45" s="3">
        <f t="shared" si="7"/>
        <v>0</v>
      </c>
      <c r="AS45" s="3">
        <f t="shared" si="8"/>
        <v>0</v>
      </c>
      <c r="AT45" s="3">
        <f t="shared" si="9"/>
        <v>0</v>
      </c>
      <c r="AU45" s="3">
        <f t="shared" si="10"/>
        <v>0</v>
      </c>
      <c r="AV45" s="3">
        <f t="shared" si="11"/>
        <v>0</v>
      </c>
      <c r="AW45" s="3">
        <f t="shared" si="12"/>
        <v>0</v>
      </c>
      <c r="AX45" s="3">
        <f t="shared" si="13"/>
        <v>0</v>
      </c>
      <c r="AY45" s="4"/>
      <c r="BA45" s="56">
        <v>0</v>
      </c>
      <c r="BB45" s="56">
        <v>0</v>
      </c>
      <c r="BC45" s="56">
        <v>0</v>
      </c>
      <c r="BD45" s="56">
        <v>0</v>
      </c>
      <c r="BE45" s="56">
        <v>0</v>
      </c>
      <c r="BF45" s="56">
        <v>0</v>
      </c>
      <c r="BG45" s="57">
        <v>0</v>
      </c>
      <c r="BH45" s="57">
        <v>0</v>
      </c>
      <c r="BI45" s="56">
        <v>0</v>
      </c>
      <c r="BJ45" s="56">
        <v>0</v>
      </c>
      <c r="BK45" s="58">
        <f>SUM(BA45:BJ45)</f>
        <v>0</v>
      </c>
    </row>
    <row r="46" spans="1:63" ht="21.75" customHeight="1" x14ac:dyDescent="0.25">
      <c r="A46" s="47">
        <v>37</v>
      </c>
      <c r="B46" s="13" t="s">
        <v>118</v>
      </c>
      <c r="C46" s="88" t="s">
        <v>238</v>
      </c>
      <c r="D46" s="100">
        <v>45330</v>
      </c>
      <c r="E46" s="107" t="s">
        <v>15</v>
      </c>
      <c r="F46" s="107" t="s">
        <v>15</v>
      </c>
      <c r="G46" s="82">
        <v>0.34652777777777777</v>
      </c>
      <c r="H46" s="84">
        <v>1</v>
      </c>
      <c r="I46" s="82">
        <v>0.35069444444444442</v>
      </c>
      <c r="J46" s="82">
        <v>0.94097222222222221</v>
      </c>
      <c r="K46" s="82">
        <v>0.3520833333333333</v>
      </c>
      <c r="L46" s="82">
        <v>0.9590277777777777</v>
      </c>
      <c r="M46" s="82">
        <v>0.3520833333333333</v>
      </c>
      <c r="N46" s="82">
        <v>0.95624999999999993</v>
      </c>
      <c r="O46" s="82">
        <v>0.35000000000000003</v>
      </c>
      <c r="P46" s="82">
        <v>0.96250000000000002</v>
      </c>
      <c r="Q46" s="82">
        <v>0.35069444444444442</v>
      </c>
      <c r="R46" s="82">
        <v>0.94027777777777777</v>
      </c>
      <c r="S46" s="109">
        <v>0.55902777777777779</v>
      </c>
      <c r="T46" s="109">
        <v>0.93541666666666667</v>
      </c>
      <c r="U46" s="82">
        <v>0.34791666666666665</v>
      </c>
      <c r="V46" s="82">
        <v>0.94166666666666676</v>
      </c>
      <c r="W46" s="82">
        <v>0.34930555555555554</v>
      </c>
      <c r="X46" s="82">
        <v>0.94444444444444453</v>
      </c>
      <c r="Y46" s="82">
        <v>0.35069444444444442</v>
      </c>
      <c r="Z46" s="82">
        <v>0.94097222222222221</v>
      </c>
      <c r="AA46" s="82">
        <v>0.35069444444444442</v>
      </c>
      <c r="AB46" s="82">
        <v>0.94027777777777777</v>
      </c>
      <c r="AC46" s="82">
        <v>0.34861111111111115</v>
      </c>
      <c r="AD46" s="82">
        <v>0.8881944444444444</v>
      </c>
      <c r="AE46" s="82">
        <v>0.34930555555555554</v>
      </c>
      <c r="AF46" s="82">
        <v>0.95694444444444438</v>
      </c>
      <c r="AG46" s="107" t="s">
        <v>15</v>
      </c>
      <c r="AH46" s="107" t="s">
        <v>15</v>
      </c>
      <c r="AI46" s="82">
        <v>0.35069444444444442</v>
      </c>
      <c r="AJ46" s="82">
        <v>0.95138888888888884</v>
      </c>
      <c r="AK46" s="11">
        <f>AM46+AN46+AP46+AQ46+AU46+AS46+AT46+AX46</f>
        <v>12</v>
      </c>
      <c r="AL46" s="75"/>
      <c r="AM46" s="2">
        <f>COUNT(E46:X46)/2+COUNT(AI46:AJ46)/2</f>
        <v>10</v>
      </c>
      <c r="AN46" s="3">
        <f t="shared" si="3"/>
        <v>2</v>
      </c>
      <c r="AO46" s="3">
        <f t="shared" si="4"/>
        <v>0</v>
      </c>
      <c r="AP46" s="3">
        <f t="shared" si="5"/>
        <v>0</v>
      </c>
      <c r="AQ46" s="3">
        <f t="shared" si="6"/>
        <v>0</v>
      </c>
      <c r="AR46" s="3">
        <f t="shared" si="7"/>
        <v>0</v>
      </c>
      <c r="AS46" s="3">
        <f t="shared" si="8"/>
        <v>0</v>
      </c>
      <c r="AT46" s="3">
        <f t="shared" si="9"/>
        <v>0</v>
      </c>
      <c r="AU46" s="3">
        <f t="shared" si="10"/>
        <v>0</v>
      </c>
      <c r="AV46" s="3">
        <f t="shared" si="11"/>
        <v>0</v>
      </c>
      <c r="AW46" s="3">
        <f t="shared" si="12"/>
        <v>0</v>
      </c>
      <c r="AX46" s="3">
        <f t="shared" si="13"/>
        <v>0</v>
      </c>
      <c r="AY46" s="4"/>
      <c r="BA46" s="56">
        <v>0</v>
      </c>
      <c r="BB46" s="56">
        <v>0</v>
      </c>
      <c r="BC46" s="56">
        <v>0</v>
      </c>
      <c r="BD46" s="56">
        <v>0</v>
      </c>
      <c r="BE46" s="56">
        <v>0</v>
      </c>
      <c r="BF46" s="57">
        <v>4</v>
      </c>
      <c r="BG46" s="57">
        <v>1</v>
      </c>
      <c r="BH46" s="56">
        <v>0</v>
      </c>
      <c r="BI46" s="56">
        <v>0</v>
      </c>
      <c r="BJ46" s="56">
        <v>0</v>
      </c>
      <c r="BK46" s="58">
        <f>SUM(BA46:BJ46)</f>
        <v>5</v>
      </c>
    </row>
    <row r="47" spans="1:63" ht="21.75" customHeight="1" x14ac:dyDescent="0.25">
      <c r="A47" s="47">
        <v>43</v>
      </c>
      <c r="B47" s="13" t="s">
        <v>127</v>
      </c>
      <c r="C47" s="88" t="s">
        <v>184</v>
      </c>
      <c r="D47" s="100">
        <v>45447</v>
      </c>
      <c r="E47" s="107" t="s">
        <v>15</v>
      </c>
      <c r="F47" s="107" t="s">
        <v>15</v>
      </c>
      <c r="G47" s="82">
        <v>0.34791666666666665</v>
      </c>
      <c r="H47" s="82">
        <v>0.96805555555555556</v>
      </c>
      <c r="I47" s="82">
        <v>0.34652777777777777</v>
      </c>
      <c r="J47" s="82">
        <v>0.94791666666666663</v>
      </c>
      <c r="K47" s="82">
        <v>0.41736111111111113</v>
      </c>
      <c r="L47" s="82">
        <v>0.95624999999999993</v>
      </c>
      <c r="M47" s="84">
        <v>1</v>
      </c>
      <c r="N47" s="82">
        <v>0.95277777777777783</v>
      </c>
      <c r="O47" s="82">
        <v>0.3430555555555555</v>
      </c>
      <c r="P47" s="84">
        <v>1</v>
      </c>
      <c r="Q47" s="82">
        <v>0.34513888888888888</v>
      </c>
      <c r="R47" s="82">
        <v>0.96805555555555556</v>
      </c>
      <c r="S47" s="109">
        <v>0.57291666666666663</v>
      </c>
      <c r="T47" s="109">
        <v>0.95486111111111116</v>
      </c>
      <c r="U47" s="82">
        <v>0.34583333333333338</v>
      </c>
      <c r="V47" s="82">
        <v>0.95833333333333337</v>
      </c>
      <c r="W47" s="82">
        <v>0.34652777777777777</v>
      </c>
      <c r="X47" s="82">
        <v>0.9506944444444444</v>
      </c>
      <c r="Y47" s="82">
        <v>0.34652777777777777</v>
      </c>
      <c r="Z47" s="84">
        <v>1</v>
      </c>
      <c r="AA47" s="82">
        <v>0.34652777777777777</v>
      </c>
      <c r="AB47" s="82">
        <v>0.9555555555555556</v>
      </c>
      <c r="AC47" s="82">
        <v>0.34652777777777777</v>
      </c>
      <c r="AD47" s="84">
        <v>1</v>
      </c>
      <c r="AE47" s="82">
        <v>0.34583333333333338</v>
      </c>
      <c r="AF47" s="82">
        <v>0.96250000000000002</v>
      </c>
      <c r="AG47" s="107" t="s">
        <v>15</v>
      </c>
      <c r="AH47" s="107" t="s">
        <v>15</v>
      </c>
      <c r="AI47" s="82">
        <v>0.34722222222222227</v>
      </c>
      <c r="AJ47" s="82">
        <v>0.97013888888888899</v>
      </c>
      <c r="AK47" s="11">
        <f>AM47+AN47+AP47+AQ47+AU47+AS47+AT47+AX47</f>
        <v>16</v>
      </c>
      <c r="AL47" s="75"/>
      <c r="AM47" s="2">
        <f>COUNT(E47:AF47)/2+COUNT(AI47:AJ47)/2</f>
        <v>14</v>
      </c>
      <c r="AN47" s="3">
        <f t="shared" si="3"/>
        <v>2</v>
      </c>
      <c r="AO47" s="3">
        <f t="shared" si="4"/>
        <v>0</v>
      </c>
      <c r="AP47" s="3">
        <f t="shared" si="5"/>
        <v>0</v>
      </c>
      <c r="AQ47" s="3">
        <f t="shared" si="6"/>
        <v>0</v>
      </c>
      <c r="AR47" s="3">
        <f t="shared" si="7"/>
        <v>0</v>
      </c>
      <c r="AS47" s="3">
        <f t="shared" si="8"/>
        <v>0</v>
      </c>
      <c r="AT47" s="3">
        <f t="shared" si="9"/>
        <v>0</v>
      </c>
      <c r="AU47" s="3">
        <f t="shared" si="10"/>
        <v>0</v>
      </c>
      <c r="AV47" s="3">
        <f t="shared" si="11"/>
        <v>0</v>
      </c>
      <c r="AW47" s="3">
        <f t="shared" si="12"/>
        <v>0</v>
      </c>
      <c r="AX47" s="3">
        <f t="shared" si="13"/>
        <v>0</v>
      </c>
      <c r="AY47" s="4"/>
    </row>
    <row r="48" spans="1:63" x14ac:dyDescent="0.25">
      <c r="AH48" s="60"/>
      <c r="AK48"/>
    </row>
    <row r="49" spans="34:37" x14ac:dyDescent="0.25">
      <c r="AH49" s="60"/>
      <c r="AK49"/>
    </row>
    <row r="50" spans="34:37" x14ac:dyDescent="0.25">
      <c r="AH50" s="60"/>
      <c r="AK50"/>
    </row>
    <row r="51" spans="34:37" x14ac:dyDescent="0.25">
      <c r="AH51" s="60"/>
      <c r="AK51"/>
    </row>
    <row r="52" spans="34:37" x14ac:dyDescent="0.25">
      <c r="AH52" s="60"/>
      <c r="AK52"/>
    </row>
    <row r="53" spans="34:37" x14ac:dyDescent="0.25">
      <c r="AH53" s="60"/>
      <c r="AK53"/>
    </row>
    <row r="54" spans="34:37" x14ac:dyDescent="0.25">
      <c r="AH54" s="60"/>
      <c r="AK54"/>
    </row>
    <row r="55" spans="34:37" x14ac:dyDescent="0.25">
      <c r="AH55" s="60"/>
      <c r="AK55"/>
    </row>
    <row r="56" spans="34:37" x14ac:dyDescent="0.25">
      <c r="AH56" s="60"/>
      <c r="AK56"/>
    </row>
    <row r="57" spans="34:37" x14ac:dyDescent="0.25">
      <c r="AK57"/>
    </row>
  </sheetData>
  <mergeCells count="38">
    <mergeCell ref="A1:AK1"/>
    <mergeCell ref="AC3:AD3"/>
    <mergeCell ref="AE3:AF3"/>
    <mergeCell ref="AG3:AH3"/>
    <mergeCell ref="AI3:AJ3"/>
    <mergeCell ref="Q3:R3"/>
    <mergeCell ref="S3:T3"/>
    <mergeCell ref="U3:V3"/>
    <mergeCell ref="W3:X3"/>
    <mergeCell ref="Y3:Z3"/>
    <mergeCell ref="AA3:AB3"/>
    <mergeCell ref="AK2:AK4"/>
    <mergeCell ref="W2:X2"/>
    <mergeCell ref="Y2:Z2"/>
    <mergeCell ref="AA2:AB2"/>
    <mergeCell ref="A2:C3"/>
    <mergeCell ref="AL2:AL4"/>
    <mergeCell ref="AM2:AY2"/>
    <mergeCell ref="BA2:BJ2"/>
    <mergeCell ref="E3:F3"/>
    <mergeCell ref="G3:H3"/>
    <mergeCell ref="I3:J3"/>
    <mergeCell ref="K3:L3"/>
    <mergeCell ref="M3:N3"/>
    <mergeCell ref="O3:P3"/>
    <mergeCell ref="AC2:AD2"/>
    <mergeCell ref="AE2:AF2"/>
    <mergeCell ref="AG2:AH2"/>
    <mergeCell ref="AI2:AJ2"/>
    <mergeCell ref="Q2:R2"/>
    <mergeCell ref="S2:T2"/>
    <mergeCell ref="U2:V2"/>
    <mergeCell ref="O2:P2"/>
    <mergeCell ref="E2:F2"/>
    <mergeCell ref="G2:H2"/>
    <mergeCell ref="I2:J2"/>
    <mergeCell ref="K2:L2"/>
    <mergeCell ref="M2:N2"/>
  </mergeCells>
  <conditionalFormatting sqref="A1 A2:D3 AK2:AK3 A4:AK4 A5 AK5 A33 AK33 A36:A47 AK36:AK47">
    <cfRule type="containsText" dxfId="171" priority="1565" stopIfTrue="1" operator="containsText" text="EL">
      <formula>NOT(ISERROR(SEARCH("EL",A1)))</formula>
    </cfRule>
    <cfRule type="containsText" dxfId="170" priority="1566" stopIfTrue="1" operator="containsText" text="AB">
      <formula>NOT(ISERROR(SEARCH("AB",A1)))</formula>
    </cfRule>
    <cfRule type="containsText" dxfId="169" priority="1568" stopIfTrue="1" operator="containsText" text="SICK">
      <formula>NOT(ISERROR(SEARCH("SICK",A1)))</formula>
    </cfRule>
    <cfRule type="containsText" dxfId="168" priority="1567" stopIfTrue="1" operator="containsText" text="FL">
      <formula>NOT(ISERROR(SEARCH("FL",A1)))</formula>
    </cfRule>
    <cfRule type="containsText" dxfId="167" priority="1563" stopIfTrue="1" operator="containsText" text="SP">
      <formula>NOT(ISERROR(SEARCH("SP",A1)))</formula>
    </cfRule>
    <cfRule type="containsText" dxfId="166" priority="1564" stopIfTrue="1" operator="containsText" text="AL">
      <formula>NOT(ISERROR(SEARCH("AL",A1)))</formula>
    </cfRule>
  </conditionalFormatting>
  <conditionalFormatting sqref="C9:C31 C33 C36:C1048576 C2:C5">
    <cfRule type="duplicateValues" dxfId="165" priority="1585"/>
  </conditionalFormatting>
  <conditionalFormatting sqref="C36:C1048576 C33 C8:C31 C2:C5">
    <cfRule type="duplicateValues" dxfId="164" priority="1587"/>
  </conditionalFormatting>
  <conditionalFormatting sqref="C41:C47 C5 C9:C11">
    <cfRule type="duplicateValues" dxfId="163" priority="1586"/>
  </conditionalFormatting>
  <conditionalFormatting sqref="D5 D36:D47">
    <cfRule type="timePeriod" priority="1496" timePeriod="nextWeek">
      <formula>AND(ROUNDDOWN(D5,0)-TODAY()&gt;(7-WEEKDAY(TODAY())),ROUNDDOWN(D5,0)-TODAY()&lt;(15-WEEKDAY(TODAY())))</formula>
    </cfRule>
  </conditionalFormatting>
  <conditionalFormatting sqref="D5 D41:D47">
    <cfRule type="timePeriod" dxfId="162" priority="1502" timePeriod="last7Days">
      <formula>AND(TODAY()-FLOOR(D5,1)&lt;=6,FLOOR(D5,1)&lt;=TODAY())</formula>
    </cfRule>
    <cfRule type="timePeriod" dxfId="161" priority="1503" timePeriod="thisWeek">
      <formula>AND(TODAY()-ROUNDDOWN(D5,0)&lt;=WEEKDAY(TODAY())-1,ROUNDDOWN(D5,0)-TODAY()&lt;=7-WEEKDAY(TODAY()))</formula>
    </cfRule>
    <cfRule type="timePeriod" dxfId="160" priority="1504" timePeriod="nextWeek">
      <formula>AND(ROUNDDOWN(D5,0)-TODAY()&gt;(7-WEEKDAY(TODAY())),ROUNDDOWN(D5,0)-TODAY()&lt;(15-WEEKDAY(TODAY())))</formula>
    </cfRule>
  </conditionalFormatting>
  <conditionalFormatting sqref="D36:D39">
    <cfRule type="timePeriod" dxfId="159" priority="1500" timePeriod="thisWeek">
      <formula>AND(TODAY()-ROUNDDOWN(D36,0)&lt;=WEEKDAY(TODAY())-1,ROUNDDOWN(D36,0)-TODAY()&lt;=7-WEEKDAY(TODAY()))</formula>
    </cfRule>
    <cfRule type="timePeriod" dxfId="158" priority="1499" timePeriod="last7Days">
      <formula>AND(TODAY()-FLOOR(D36,1)&lt;=6,FLOOR(D36,1)&lt;=TODAY())</formula>
    </cfRule>
  </conditionalFormatting>
  <conditionalFormatting sqref="D36:D40">
    <cfRule type="timePeriod" dxfId="157" priority="1501" timePeriod="nextWeek">
      <formula>AND(ROUNDDOWN(D36,0)-TODAY()&gt;(7-WEEKDAY(TODAY())),ROUNDDOWN(D36,0)-TODAY()&lt;(15-WEEKDAY(TODAY())))</formula>
    </cfRule>
  </conditionalFormatting>
  <conditionalFormatting sqref="E40:F40">
    <cfRule type="containsText" dxfId="156" priority="1310" operator="containsText" text="AL">
      <formula>NOT(ISERROR(SEARCH("AL",E40)))</formula>
    </cfRule>
    <cfRule type="containsText" dxfId="155" priority="1309" operator="containsText" text="OFF">
      <formula>NOT(ISERROR(SEARCH("OFF",E40)))</formula>
    </cfRule>
    <cfRule type="containsText" dxfId="154" priority="1308" operator="containsText" text="Sick">
      <formula>NOT(ISERROR(SEARCH("Sick",E40)))</formula>
    </cfRule>
    <cfRule type="containsText" dxfId="153" priority="1307" operator="containsText" text="AB">
      <formula>NOT(ISERROR(SEARCH("AB",E40)))</formula>
    </cfRule>
    <cfRule type="containsText" dxfId="152" priority="1306" operator="containsText" text="MC">
      <formula>NOT(ISERROR(SEARCH("MC",E40)))</formula>
    </cfRule>
    <cfRule type="containsText" dxfId="151" priority="1305" operator="containsText" text="FL">
      <formula>NOT(ISERROR(SEARCH("FL",E40)))</formula>
    </cfRule>
    <cfRule type="containsText" dxfId="150" priority="1304" operator="containsText" text="SUS">
      <formula>NOT(ISERROR(SEARCH("SUS",E40)))</formula>
    </cfRule>
    <cfRule type="containsText" dxfId="149" priority="1303" operator="containsText" text="AB">
      <formula>NOT(ISERROR(SEARCH("AB",E40)))</formula>
    </cfRule>
    <cfRule type="containsText" dxfId="148" priority="1302" operator="containsText" text="EL">
      <formula>NOT(ISERROR(SEARCH("EL",E40)))</formula>
    </cfRule>
  </conditionalFormatting>
  <conditionalFormatting sqref="E42:F44 AG44:AH46">
    <cfRule type="containsText" dxfId="147" priority="1450" operator="containsText" text="AB">
      <formula>NOT(ISERROR(SEARCH("AB",E42)))</formula>
    </cfRule>
    <cfRule type="containsText" dxfId="146" priority="1453" operator="containsText" text="AL">
      <formula>NOT(ISERROR(SEARCH("AL",E42)))</formula>
    </cfRule>
    <cfRule type="containsText" dxfId="145" priority="1452" operator="containsText" text="OFF">
      <formula>NOT(ISERROR(SEARCH("OFF",E42)))</formula>
    </cfRule>
    <cfRule type="containsText" dxfId="144" priority="1451" operator="containsText" text="Sick">
      <formula>NOT(ISERROR(SEARCH("Sick",E42)))</formula>
    </cfRule>
    <cfRule type="containsText" dxfId="143" priority="1449" operator="containsText" text="MC">
      <formula>NOT(ISERROR(SEARCH("MC",E42)))</formula>
    </cfRule>
  </conditionalFormatting>
  <conditionalFormatting sqref="E42:F44 AI39:AJ42 AI44:AJ44 AG44:AH46 E46:F46">
    <cfRule type="containsText" dxfId="142" priority="1448" operator="containsText" text="FL">
      <formula>NOT(ISERROR(SEARCH("FL",E39)))</formula>
    </cfRule>
    <cfRule type="containsText" dxfId="141" priority="1447" operator="containsText" text="SUS">
      <formula>NOT(ISERROR(SEARCH("SUS",E39)))</formula>
    </cfRule>
  </conditionalFormatting>
  <conditionalFormatting sqref="E42:F44">
    <cfRule type="containsText" dxfId="140" priority="1446" operator="containsText" text="AB">
      <formula>NOT(ISERROR(SEARCH("AB",E42)))</formula>
    </cfRule>
    <cfRule type="containsText" dxfId="139" priority="1445" operator="containsText" text="EL">
      <formula>NOT(ISERROR(SEARCH("EL",E42)))</formula>
    </cfRule>
  </conditionalFormatting>
  <conditionalFormatting sqref="E46:F46 Y39:AJ40">
    <cfRule type="containsText" dxfId="138" priority="1470" operator="containsText" text="Sick">
      <formula>NOT(ISERROR(SEARCH("Sick",E39)))</formula>
    </cfRule>
  </conditionalFormatting>
  <conditionalFormatting sqref="E46:F46">
    <cfRule type="containsText" dxfId="137" priority="1469" operator="containsText" text="AB">
      <formula>NOT(ISERROR(SEARCH("AB",E46)))</formula>
    </cfRule>
  </conditionalFormatting>
  <conditionalFormatting sqref="E46:F47">
    <cfRule type="containsText" dxfId="136" priority="1298" operator="containsText" text="AB">
      <formula>NOT(ISERROR(SEARCH("AB",E46)))</formula>
    </cfRule>
    <cfRule type="containsText" dxfId="135" priority="1293" operator="containsText" text="EL">
      <formula>NOT(ISERROR(SEARCH("EL",E46)))</formula>
    </cfRule>
  </conditionalFormatting>
  <conditionalFormatting sqref="E47:F47">
    <cfRule type="containsText" dxfId="134" priority="1301" operator="containsText" text="AL">
      <formula>NOT(ISERROR(SEARCH("AL",E47)))</formula>
    </cfRule>
    <cfRule type="containsText" dxfId="133" priority="1295" operator="containsText" text="SUS">
      <formula>NOT(ISERROR(SEARCH("SUS",E47)))</formula>
    </cfRule>
    <cfRule type="containsText" dxfId="132" priority="1294" operator="containsText" text="AB">
      <formula>NOT(ISERROR(SEARCH("AB",E47)))</formula>
    </cfRule>
    <cfRule type="containsText" dxfId="131" priority="1296" operator="containsText" text="FL">
      <formula>NOT(ISERROR(SEARCH("FL",E47)))</formula>
    </cfRule>
    <cfRule type="containsText" dxfId="130" priority="1297" operator="containsText" text="MC">
      <formula>NOT(ISERROR(SEARCH("MC",E47)))</formula>
    </cfRule>
    <cfRule type="containsText" dxfId="129" priority="1299" operator="containsText" text="Sick">
      <formula>NOT(ISERROR(SEARCH("Sick",E47)))</formula>
    </cfRule>
    <cfRule type="containsText" dxfId="128" priority="1300" operator="containsText" text="OFF">
      <formula>NOT(ISERROR(SEARCH("OFF",E47)))</formula>
    </cfRule>
  </conditionalFormatting>
  <conditionalFormatting sqref="P13:AE16 AA20:AA21">
    <cfRule type="containsText" priority="1572" stopIfTrue="1" operator="containsText" text="SP">
      <formula>NOT(ISERROR(SEARCH("SP",P13)))</formula>
    </cfRule>
    <cfRule type="containsText" dxfId="127" priority="1573" stopIfTrue="1" operator="containsText" text="SICK">
      <formula>NOT(ISERROR(SEARCH("SICK",P13)))</formula>
    </cfRule>
    <cfRule type="containsText" dxfId="126" priority="1569" stopIfTrue="1" operator="containsText" text="AB">
      <formula>NOT(ISERROR(SEARCH("AB",P13)))</formula>
    </cfRule>
    <cfRule type="containsText" dxfId="125" priority="1570" stopIfTrue="1" operator="containsText" text="SICK">
      <formula>NOT(ISERROR(SEARCH("SICK",P13)))</formula>
    </cfRule>
    <cfRule type="containsText" dxfId="124" priority="1571" stopIfTrue="1" operator="containsText" text="SP">
      <formula>NOT(ISERROR(SEARCH("SP",P13)))</formula>
    </cfRule>
  </conditionalFormatting>
  <conditionalFormatting sqref="S41:AH41 W42:AH42 AI39:AJ42 AI44:AJ44">
    <cfRule type="containsText" dxfId="123" priority="1459" operator="containsText" text="MC">
      <formula>NOT(ISERROR(SEARCH("MC",S39)))</formula>
    </cfRule>
  </conditionalFormatting>
  <conditionalFormatting sqref="S41:AH41 W42:AH42 AI41:AJ42 AI44:AJ44">
    <cfRule type="containsText" dxfId="122" priority="1462" operator="containsText" text="SICK">
      <formula>NOT(ISERROR(SEARCH("SICK",S41)))</formula>
    </cfRule>
  </conditionalFormatting>
  <conditionalFormatting sqref="S41:AH41 W42:AH42">
    <cfRule type="containsText" dxfId="121" priority="1454" operator="containsText" text="SP">
      <formula>NOT(ISERROR(SEARCH("SP",S41)))</formula>
    </cfRule>
    <cfRule type="containsText" dxfId="120" priority="1455" operator="containsText" text="NL">
      <formula>NOT(ISERROR(SEARCH("NL",S41)))</formula>
    </cfRule>
    <cfRule type="containsText" dxfId="119" priority="1461" operator="containsText" text="AB">
      <formula>NOT(ISERROR(SEARCH("AB",S41)))</formula>
    </cfRule>
    <cfRule type="containsText" dxfId="118" priority="1458" operator="containsText" text="EL">
      <formula>NOT(ISERROR(SEARCH("EL",S41)))</formula>
    </cfRule>
    <cfRule type="containsText" dxfId="117" priority="1457" operator="containsText" text="FL">
      <formula>NOT(ISERROR(SEARCH("FL",S41)))</formula>
    </cfRule>
    <cfRule type="containsText" dxfId="116" priority="1456" operator="containsText" text="SUS">
      <formula>NOT(ISERROR(SEARCH("SUS",S41)))</formula>
    </cfRule>
  </conditionalFormatting>
  <conditionalFormatting sqref="S41:AH41 AI41:AJ42 W42:AH42 AI44:AJ44">
    <cfRule type="containsText" dxfId="115" priority="1460" operator="containsText" text="OFF">
      <formula>NOT(ISERROR(SEARCH("OFF",S41)))</formula>
    </cfRule>
    <cfRule type="containsText" dxfId="114" priority="1463" operator="containsText" text="AL">
      <formula>NOT(ISERROR(SEARCH("AL",S41)))</formula>
    </cfRule>
  </conditionalFormatting>
  <conditionalFormatting sqref="Y39:AH40 E46:F46">
    <cfRule type="containsText" dxfId="113" priority="1468" operator="containsText" text="MC">
      <formula>NOT(ISERROR(SEARCH("MC",E39)))</formula>
    </cfRule>
  </conditionalFormatting>
  <conditionalFormatting sqref="Y39:AH40 AI39:AJ42 AI44:AJ44">
    <cfRule type="containsText" dxfId="112" priority="1320" operator="containsText" text="SP">
      <formula>NOT(ISERROR(SEARCH("SP",Y39)))</formula>
    </cfRule>
    <cfRule type="containsText" dxfId="111" priority="1321" operator="containsText" text="NL">
      <formula>NOT(ISERROR(SEARCH("NL",Y39)))</formula>
    </cfRule>
  </conditionalFormatting>
  <conditionalFormatting sqref="Y39:AH40">
    <cfRule type="containsText" dxfId="110" priority="1464" operator="containsText" text="EL">
      <formula>NOT(ISERROR(SEARCH("EL",Y39)))</formula>
    </cfRule>
    <cfRule type="containsText" dxfId="109" priority="1467" operator="containsText" text="FL">
      <formula>NOT(ISERROR(SEARCH("FL",Y39)))</formula>
    </cfRule>
    <cfRule type="containsText" dxfId="108" priority="1466" operator="containsText" text="SUS">
      <formula>NOT(ISERROR(SEARCH("SUS",Y39)))</formula>
    </cfRule>
    <cfRule type="containsText" dxfId="107" priority="1465" operator="containsText" text="AB">
      <formula>NOT(ISERROR(SEARCH("AB",Y39)))</formula>
    </cfRule>
  </conditionalFormatting>
  <conditionalFormatting sqref="Y39:AJ40 E46:F46">
    <cfRule type="containsText" dxfId="106" priority="1472" operator="containsText" text="AL">
      <formula>NOT(ISERROR(SEARCH("AL",E39)))</formula>
    </cfRule>
    <cfRule type="containsText" dxfId="105" priority="1471" operator="containsText" text="OFF">
      <formula>NOT(ISERROR(SEARCH("OFF",E39)))</formula>
    </cfRule>
  </conditionalFormatting>
  <conditionalFormatting sqref="AA5:AB5">
    <cfRule type="containsText" dxfId="104" priority="195" operator="containsText" text="SUS">
      <formula>NOT(ISERROR(SEARCH("SUS",AA5)))</formula>
    </cfRule>
    <cfRule type="containsText" dxfId="103" priority="201" operator="containsText" text="AL">
      <formula>NOT(ISERROR(SEARCH("AL",AA5)))</formula>
    </cfRule>
    <cfRule type="containsText" dxfId="102" priority="193" operator="containsText" text="EL">
      <formula>NOT(ISERROR(SEARCH("EL",AA5)))</formula>
    </cfRule>
    <cfRule type="containsText" dxfId="101" priority="197" operator="containsText" text="MC">
      <formula>NOT(ISERROR(SEARCH("MC",AA5)))</formula>
    </cfRule>
    <cfRule type="containsText" dxfId="100" priority="198" operator="containsText" text="AB">
      <formula>NOT(ISERROR(SEARCH("AB",AA5)))</formula>
    </cfRule>
    <cfRule type="containsText" dxfId="99" priority="194" operator="containsText" text="AB">
      <formula>NOT(ISERROR(SEARCH("AB",AA5)))</formula>
    </cfRule>
    <cfRule type="containsText" dxfId="98" priority="196" operator="containsText" text="FL">
      <formula>NOT(ISERROR(SEARCH("FL",AA5)))</formula>
    </cfRule>
    <cfRule type="containsText" dxfId="97" priority="199" operator="containsText" text="Sick">
      <formula>NOT(ISERROR(SEARCH("Sick",AA5)))</formula>
    </cfRule>
    <cfRule type="containsText" dxfId="96" priority="200" operator="containsText" text="OFF">
      <formula>NOT(ISERROR(SEARCH("OFF",AA5)))</formula>
    </cfRule>
  </conditionalFormatting>
  <conditionalFormatting sqref="AE5:AJ5">
    <cfRule type="containsText" dxfId="95" priority="2" operator="containsText" text="NL">
      <formula>NOT(ISERROR(SEARCH("NL",AE5)))</formula>
    </cfRule>
    <cfRule type="containsText" dxfId="94" priority="3" operator="containsText" text="SUS">
      <formula>NOT(ISERROR(SEARCH("SUS",AE5)))</formula>
    </cfRule>
    <cfRule type="containsText" dxfId="93" priority="4" operator="containsText" text="FL">
      <formula>NOT(ISERROR(SEARCH("FL",AE5)))</formula>
    </cfRule>
    <cfRule type="containsText" dxfId="92" priority="5" operator="containsText" text="EL">
      <formula>NOT(ISERROR(SEARCH("EL",AE5)))</formula>
    </cfRule>
    <cfRule type="containsText" dxfId="91" priority="6" operator="containsText" text="MC">
      <formula>NOT(ISERROR(SEARCH("MC",AE5)))</formula>
    </cfRule>
    <cfRule type="containsText" dxfId="90" priority="7" operator="containsText" text="OFF">
      <formula>NOT(ISERROR(SEARCH("OFF",AE5)))</formula>
    </cfRule>
    <cfRule type="containsText" dxfId="89" priority="8" operator="containsText" text="AB">
      <formula>NOT(ISERROR(SEARCH("AB",AE5)))</formula>
    </cfRule>
    <cfRule type="containsText" dxfId="88" priority="9" operator="containsText" text="SICK">
      <formula>NOT(ISERROR(SEARCH("SICK",AE5)))</formula>
    </cfRule>
    <cfRule type="containsText" dxfId="87" priority="10" operator="containsText" text="AL">
      <formula>NOT(ISERROR(SEARCH("AL",AE5)))</formula>
    </cfRule>
    <cfRule type="containsText" dxfId="86" priority="1" operator="containsText" text="SP">
      <formula>NOT(ISERROR(SEARCH("SP",AE5)))</formula>
    </cfRule>
  </conditionalFormatting>
  <conditionalFormatting sqref="AG47">
    <cfRule type="containsText" dxfId="85" priority="1291" operator="containsText" text="OFF">
      <formula>NOT(ISERROR(SEARCH("OFF",AG47)))</formula>
    </cfRule>
    <cfRule type="containsText" dxfId="84" priority="1292" operator="containsText" text="AL">
      <formula>NOT(ISERROR(SEARCH("AL",AG47)))</formula>
    </cfRule>
    <cfRule type="containsText" dxfId="83" priority="1289" operator="containsText" text="AB">
      <formula>NOT(ISERROR(SEARCH("AB",AG47)))</formula>
    </cfRule>
    <cfRule type="containsText" dxfId="82" priority="1286" operator="containsText" text="SUS">
      <formula>NOT(ISERROR(SEARCH("SUS",AG47)))</formula>
    </cfRule>
    <cfRule type="containsText" dxfId="81" priority="1287" operator="containsText" text="FL">
      <formula>NOT(ISERROR(SEARCH("FL",AG47)))</formula>
    </cfRule>
    <cfRule type="containsText" dxfId="80" priority="1288" operator="containsText" text="MC">
      <formula>NOT(ISERROR(SEARCH("MC",AG47)))</formula>
    </cfRule>
    <cfRule type="containsText" dxfId="79" priority="1290" operator="containsText" text="Sick">
      <formula>NOT(ISERROR(SEARCH("Sick",AG47)))</formula>
    </cfRule>
  </conditionalFormatting>
  <conditionalFormatting sqref="AG44:AH47 Y39:AJ40 AI39:AJ42 AI44:AJ44">
    <cfRule type="containsText" dxfId="78" priority="1316" operator="containsText" text="AB">
      <formula>NOT(ISERROR(SEARCH("AB",Y39)))</formula>
    </cfRule>
  </conditionalFormatting>
  <conditionalFormatting sqref="AG44:AH47 AI39:AJ42 AI44:AJ44">
    <cfRule type="containsText" dxfId="77" priority="1311" operator="containsText" text="EL">
      <formula>NOT(ISERROR(SEARCH("EL",AG39)))</formula>
    </cfRule>
  </conditionalFormatting>
  <conditionalFormatting sqref="AH31">
    <cfRule type="containsText" dxfId="76" priority="1582" stopIfTrue="1" operator="containsText" text="Sick">
      <formula>NOT(ISERROR(SEARCH("Sick",AH31)))</formula>
    </cfRule>
    <cfRule type="containsText" dxfId="75" priority="1581" stopIfTrue="1" operator="containsText" text="MC">
      <formula>NOT(ISERROR(SEARCH("MC",AH31)))</formula>
    </cfRule>
    <cfRule type="containsText" dxfId="74" priority="1575" stopIfTrue="1" operator="containsText" text="AB">
      <formula>NOT(ISERROR(SEARCH("AB",AH31)))</formula>
    </cfRule>
  </conditionalFormatting>
  <conditionalFormatting sqref="AH47">
    <cfRule type="containsText" dxfId="73" priority="1315" operator="containsText" text="MC">
      <formula>NOT(ISERROR(SEARCH("MC",AH47)))</formula>
    </cfRule>
    <cfRule type="containsText" dxfId="72" priority="1314" operator="containsText" text="FL">
      <formula>NOT(ISERROR(SEARCH("FL",AH47)))</formula>
    </cfRule>
    <cfRule type="containsText" dxfId="71" priority="1313" operator="containsText" text="SUS">
      <formula>NOT(ISERROR(SEARCH("SUS",AH47)))</formula>
    </cfRule>
    <cfRule type="containsText" dxfId="70" priority="1312" operator="containsText" text="AB">
      <formula>NOT(ISERROR(SEARCH("AB",AH47)))</formula>
    </cfRule>
    <cfRule type="containsText" dxfId="69" priority="1317" operator="containsText" text="Sick">
      <formula>NOT(ISERROR(SEARCH("Sick",AH47)))</formula>
    </cfRule>
    <cfRule type="containsText" dxfId="68" priority="1318" operator="containsText" text="OFF">
      <formula>NOT(ISERROR(SEARCH("OFF",AH47)))</formula>
    </cfRule>
    <cfRule type="containsText" dxfId="67" priority="1319" operator="containsText" text="AL">
      <formula>NOT(ISERROR(SEARCH("AL",AH47)))</formula>
    </cfRule>
  </conditionalFormatting>
  <conditionalFormatting sqref="AL2">
    <cfRule type="cellIs" dxfId="66" priority="1583" operator="equal">
      <formula>";"</formula>
    </cfRule>
  </conditionalFormatting>
  <conditionalFormatting sqref="AL5 AL33 AL36:AL47">
    <cfRule type="cellIs" dxfId="65" priority="1584" stopIfTrue="1" operator="equal">
      <formula>";"</formula>
    </cfRule>
  </conditionalFormatting>
  <conditionalFormatting sqref="AN4">
    <cfRule type="containsText" dxfId="64" priority="1425" operator="containsText" text="FL">
      <formula>NOT(ISERROR(SEARCH("FL",AN4)))</formula>
    </cfRule>
    <cfRule type="containsText" dxfId="63" priority="1430" operator="containsText" text="AL">
      <formula>NOT(ISERROR(SEARCH("AL",AN4)))</formula>
    </cfRule>
    <cfRule type="containsText" dxfId="62" priority="1424" operator="containsText" text="SUS">
      <formula>NOT(ISERROR(SEARCH("SUS",AN4)))</formula>
    </cfRule>
    <cfRule type="containsText" dxfId="61" priority="1429" operator="containsText" text="OFF">
      <formula>NOT(ISERROR(SEARCH("OFF",AN4)))</formula>
    </cfRule>
    <cfRule type="containsText" dxfId="60" priority="1428" operator="containsText" text="Sick">
      <formula>NOT(ISERROR(SEARCH("Sick",AN4)))</formula>
    </cfRule>
    <cfRule type="containsText" dxfId="59" priority="1427" operator="containsText" text="AB">
      <formula>NOT(ISERROR(SEARCH("AB",AN4)))</formula>
    </cfRule>
    <cfRule type="containsText" dxfId="58" priority="1426" operator="containsText" text="MC">
      <formula>NOT(ISERROR(SEARCH("MC",AN4)))</formula>
    </cfRule>
  </conditionalFormatting>
  <conditionalFormatting sqref="AN4:AO4">
    <cfRule type="containsText" dxfId="57" priority="1334" operator="containsText" text="AB">
      <formula>NOT(ISERROR(SEARCH("AB",AN4)))</formula>
    </cfRule>
  </conditionalFormatting>
  <conditionalFormatting sqref="AN4:AS4">
    <cfRule type="containsText" dxfId="56" priority="1322" operator="containsText" text="EL">
      <formula>NOT(ISERROR(SEARCH("EL",AN4)))</formula>
    </cfRule>
  </conditionalFormatting>
  <conditionalFormatting sqref="AO4">
    <cfRule type="containsText" dxfId="55" priority="1333" operator="containsText" text="MC">
      <formula>NOT(ISERROR(SEARCH("MC",AO4)))</formula>
    </cfRule>
    <cfRule type="containsText" dxfId="54" priority="1331" operator="containsText" text="SUS">
      <formula>NOT(ISERROR(SEARCH("SUS",AO4)))</formula>
    </cfRule>
    <cfRule type="containsText" dxfId="53" priority="1332" operator="containsText" text="FL">
      <formula>NOT(ISERROR(SEARCH("FL",AO4)))</formula>
    </cfRule>
    <cfRule type="containsText" dxfId="52" priority="1337" operator="containsText" text="AL">
      <formula>NOT(ISERROR(SEARCH("AL",AO4)))</formula>
    </cfRule>
    <cfRule type="containsText" dxfId="51" priority="1336" operator="containsText" text="OFF">
      <formula>NOT(ISERROR(SEARCH("OFF",AO4)))</formula>
    </cfRule>
    <cfRule type="containsText" dxfId="50" priority="1335" operator="containsText" text="Sick">
      <formula>NOT(ISERROR(SEARCH("Sick",AO4)))</formula>
    </cfRule>
  </conditionalFormatting>
  <conditionalFormatting sqref="AO4:AP4">
    <cfRule type="containsText" dxfId="49" priority="1327" operator="containsText" text="AB">
      <formula>NOT(ISERROR(SEARCH("AB",AO4)))</formula>
    </cfRule>
  </conditionalFormatting>
  <conditionalFormatting sqref="AP4">
    <cfRule type="containsText" dxfId="48" priority="1329" operator="containsText" text="OFF">
      <formula>NOT(ISERROR(SEARCH("OFF",AP4)))</formula>
    </cfRule>
    <cfRule type="containsText" dxfId="47" priority="1328" operator="containsText" text="Sick">
      <formula>NOT(ISERROR(SEARCH("Sick",AP4)))</formula>
    </cfRule>
    <cfRule type="containsText" dxfId="46" priority="1330" operator="containsText" text="AL">
      <formula>NOT(ISERROR(SEARCH("AL",AP4)))</formula>
    </cfRule>
    <cfRule type="containsText" dxfId="45" priority="1326" operator="containsText" text="MC">
      <formula>NOT(ISERROR(SEARCH("MC",AP4)))</formula>
    </cfRule>
    <cfRule type="containsText" dxfId="44" priority="1325" operator="containsText" text="FL">
      <formula>NOT(ISERROR(SEARCH("FL",AP4)))</formula>
    </cfRule>
    <cfRule type="containsText" dxfId="43" priority="1324" operator="containsText" text="SUS">
      <formula>NOT(ISERROR(SEARCH("SUS",AP4)))</formula>
    </cfRule>
    <cfRule type="containsText" dxfId="42" priority="1323" operator="containsText" text="AB">
      <formula>NOT(ISERROR(SEARCH("AB",AP4)))</formula>
    </cfRule>
  </conditionalFormatting>
  <conditionalFormatting sqref="AQ4">
    <cfRule type="containsText" dxfId="41" priority="1444" operator="containsText" text="AL">
      <formula>NOT(ISERROR(SEARCH("AL",AQ4)))</formula>
    </cfRule>
    <cfRule type="containsText" dxfId="40" priority="1443" operator="containsText" text="OFF">
      <formula>NOT(ISERROR(SEARCH("OFF",AQ4)))</formula>
    </cfRule>
    <cfRule type="containsText" dxfId="39" priority="1442" operator="containsText" text="Sick">
      <formula>NOT(ISERROR(SEARCH("Sick",AQ4)))</formula>
    </cfRule>
    <cfRule type="containsText" dxfId="38" priority="1441" operator="containsText" text="AB">
      <formula>NOT(ISERROR(SEARCH("AB",AQ4)))</formula>
    </cfRule>
    <cfRule type="containsText" dxfId="37" priority="1440" operator="containsText" text="MC">
      <formula>NOT(ISERROR(SEARCH("MC",AQ4)))</formula>
    </cfRule>
    <cfRule type="containsText" dxfId="36" priority="1439" operator="containsText" text="FL">
      <formula>NOT(ISERROR(SEARCH("FL",AQ4)))</formula>
    </cfRule>
    <cfRule type="containsText" dxfId="35" priority="1438" operator="containsText" text="SUS">
      <formula>NOT(ISERROR(SEARCH("SUS",AQ4)))</formula>
    </cfRule>
  </conditionalFormatting>
  <conditionalFormatting sqref="AQ4:AS4">
    <cfRule type="containsText" dxfId="34" priority="1342" operator="containsText" text="AB">
      <formula>NOT(ISERROR(SEARCH("AB",AQ4)))</formula>
    </cfRule>
  </conditionalFormatting>
  <conditionalFormatting sqref="AR4">
    <cfRule type="containsText" dxfId="33" priority="1343" operator="containsText" text="Sick">
      <formula>NOT(ISERROR(SEARCH("Sick",AR4)))</formula>
    </cfRule>
    <cfRule type="containsText" dxfId="32" priority="1341" operator="containsText" text="MC">
      <formula>NOT(ISERROR(SEARCH("MC",AR4)))</formula>
    </cfRule>
    <cfRule type="containsText" dxfId="31" priority="1344" operator="containsText" text="OFF">
      <formula>NOT(ISERROR(SEARCH("OFF",AR4)))</formula>
    </cfRule>
    <cfRule type="containsText" dxfId="30" priority="1340" operator="containsText" text="FL">
      <formula>NOT(ISERROR(SEARCH("FL",AR4)))</formula>
    </cfRule>
    <cfRule type="containsText" dxfId="29" priority="1345" operator="containsText" text="AL">
      <formula>NOT(ISERROR(SEARCH("AL",AR4)))</formula>
    </cfRule>
    <cfRule type="containsText" dxfId="28" priority="1339" operator="containsText" text="SUS">
      <formula>NOT(ISERROR(SEARCH("SUS",AR4)))</formula>
    </cfRule>
    <cfRule type="containsText" dxfId="27" priority="1338" operator="containsText" text="AB">
      <formula>NOT(ISERROR(SEARCH("AB",AR4)))</formula>
    </cfRule>
  </conditionalFormatting>
  <conditionalFormatting sqref="AS4">
    <cfRule type="containsText" dxfId="26" priority="1348" operator="containsText" text="MC">
      <formula>NOT(ISERROR(SEARCH("MC",AS4)))</formula>
    </cfRule>
    <cfRule type="containsText" dxfId="25" priority="1352" operator="containsText" text="AL">
      <formula>NOT(ISERROR(SEARCH("AL",AS4)))</formula>
    </cfRule>
    <cfRule type="containsText" dxfId="24" priority="1351" operator="containsText" text="OFF">
      <formula>NOT(ISERROR(SEARCH("OFF",AS4)))</formula>
    </cfRule>
    <cfRule type="containsText" dxfId="23" priority="1350" operator="containsText" text="Sick">
      <formula>NOT(ISERROR(SEARCH("Sick",AS4)))</formula>
    </cfRule>
    <cfRule type="containsText" dxfId="22" priority="1349" operator="containsText" text="AB">
      <formula>NOT(ISERROR(SEARCH("AB",AS4)))</formula>
    </cfRule>
    <cfRule type="containsText" dxfId="21" priority="1347" operator="containsText" text="FL">
      <formula>NOT(ISERROR(SEARCH("FL",AS4)))</formula>
    </cfRule>
    <cfRule type="containsText" dxfId="20" priority="1346" operator="containsText" text="SUS">
      <formula>NOT(ISERROR(SEARCH("SUS",AS4)))</formula>
    </cfRule>
  </conditionalFormatting>
  <conditionalFormatting sqref="AT4">
    <cfRule type="containsText" dxfId="19" priority="1408" operator="containsText" text="EL">
      <formula>NOT(ISERROR(SEARCH("EL",AT4)))</formula>
    </cfRule>
    <cfRule type="containsText" dxfId="18" priority="1413" operator="containsText" text="AL">
      <formula>NOT(ISERROR(SEARCH("AL",AT4)))</formula>
    </cfRule>
    <cfRule type="containsText" dxfId="17" priority="1405" operator="containsText" text="NL">
      <formula>NOT(ISERROR(SEARCH("NL",AT4)))</formula>
    </cfRule>
    <cfRule type="containsText" dxfId="16" priority="1407" operator="containsText" text="FL">
      <formula>NOT(ISERROR(SEARCH("FL",AT4)))</formula>
    </cfRule>
    <cfRule type="containsText" dxfId="15" priority="1412" operator="containsText" text="SICK">
      <formula>NOT(ISERROR(SEARCH("SICK",AT4)))</formula>
    </cfRule>
    <cfRule type="containsText" dxfId="14" priority="1411" operator="containsText" text="AB">
      <formula>NOT(ISERROR(SEARCH("AB",AT4)))</formula>
    </cfRule>
    <cfRule type="containsText" dxfId="13" priority="1410" operator="containsText" text="OFF">
      <formula>NOT(ISERROR(SEARCH("OFF",AT4)))</formula>
    </cfRule>
    <cfRule type="containsText" dxfId="12" priority="1409" operator="containsText" text="MC">
      <formula>NOT(ISERROR(SEARCH("MC",AT4)))</formula>
    </cfRule>
    <cfRule type="containsText" dxfId="11" priority="1406" operator="containsText" text="SUS">
      <formula>NOT(ISERROR(SEARCH("SUS",AT4)))</formula>
    </cfRule>
    <cfRule type="containsText" dxfId="10" priority="1404" operator="containsText" text="SP">
      <formula>NOT(ISERROR(SEARCH("SP",AT4)))</formula>
    </cfRule>
  </conditionalFormatting>
  <conditionalFormatting sqref="AV4:AX4">
    <cfRule type="containsText" dxfId="9" priority="1365" operator="containsText" text="SUS">
      <formula>NOT(ISERROR(SEARCH("SUS",AV4)))</formula>
    </cfRule>
    <cfRule type="containsText" dxfId="8" priority="1366" operator="containsText" text="FL">
      <formula>NOT(ISERROR(SEARCH("FL",AV4)))</formula>
    </cfRule>
    <cfRule type="containsText" dxfId="7" priority="1367" operator="containsText" text="EL">
      <formula>NOT(ISERROR(SEARCH("EL",AV4)))</formula>
    </cfRule>
    <cfRule type="containsText" dxfId="6" priority="1368" operator="containsText" text="MC">
      <formula>NOT(ISERROR(SEARCH("MC",AV4)))</formula>
    </cfRule>
    <cfRule type="containsText" dxfId="5" priority="1369" operator="containsText" text="OFF">
      <formula>NOT(ISERROR(SEARCH("OFF",AV4)))</formula>
    </cfRule>
    <cfRule type="containsText" dxfId="4" priority="1370" operator="containsText" text="AB">
      <formula>NOT(ISERROR(SEARCH("AB",AV4)))</formula>
    </cfRule>
    <cfRule type="containsText" dxfId="3" priority="1372" operator="containsText" text="AL">
      <formula>NOT(ISERROR(SEARCH("AL",AV4)))</formula>
    </cfRule>
    <cfRule type="containsText" dxfId="2" priority="1371" operator="containsText" text="SICK">
      <formula>NOT(ISERROR(SEARCH("SICK",AV4)))</formula>
    </cfRule>
    <cfRule type="containsText" dxfId="1" priority="1363" operator="containsText" text="SP">
      <formula>NOT(ISERROR(SEARCH("SP",AV4)))</formula>
    </cfRule>
    <cfRule type="containsText" dxfId="0" priority="1364" operator="containsText" text="NL">
      <formula>NOT(ISERROR(SEARCH("NL",AV4)))</formula>
    </cfRule>
  </conditionalFormatting>
  <pageMargins left="0.7" right="0.7" top="0.75" bottom="0.75" header="0.3" footer="0.3"/>
  <pageSetup paperSize="9" scale="1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Anuj Mishra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2026-07-01T07:10:30Z</cp:lastPrinted>
  <dcterms:created xsi:type="dcterms:W3CDTF">2025-11-02T11:29:49Z</dcterms:created>
  <dcterms:modified xsi:type="dcterms:W3CDTF">2026-10-30T09:32:24Z</dcterms:modified>
</cp:coreProperties>
</file>