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pril\"/>
    </mc:Choice>
  </mc:AlternateContent>
  <xr:revisionPtr revIDLastSave="0" documentId="13_ncr:1_{BB4AA8A3-255F-4743-969C-48238B5E6B47}" xr6:coauthVersionLast="47" xr6:coauthVersionMax="47" xr10:uidLastSave="{00000000-0000-0000-0000-000000000000}"/>
  <bookViews>
    <workbookView xWindow="-120" yWindow="-120" windowWidth="29040" windowHeight="15840" tabRatio="605" xr2:uid="{8B529D28-677B-4248-8BFD-D731CA8DB518}"/>
  </bookViews>
  <sheets>
    <sheet name="MASTER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7" i="4" l="1"/>
  <c r="BQ8" i="4"/>
  <c r="BQ9" i="4"/>
  <c r="BQ10" i="4"/>
  <c r="BQ11" i="4"/>
  <c r="BQ12" i="4"/>
  <c r="BP7" i="4"/>
  <c r="BR7" i="4"/>
  <c r="BS7" i="4"/>
  <c r="BT7" i="4"/>
  <c r="BU7" i="4"/>
  <c r="BV7" i="4"/>
  <c r="BW7" i="4"/>
  <c r="BX7" i="4"/>
  <c r="BY7" i="4"/>
  <c r="BZ7" i="4"/>
  <c r="CA7" i="4"/>
  <c r="BP8" i="4"/>
  <c r="BR8" i="4"/>
  <c r="BS8" i="4"/>
  <c r="BT8" i="4"/>
  <c r="BU8" i="4"/>
  <c r="BV8" i="4"/>
  <c r="BW8" i="4"/>
  <c r="BX8" i="4"/>
  <c r="BY8" i="4"/>
  <c r="BZ8" i="4"/>
  <c r="CA8" i="4"/>
  <c r="BP9" i="4"/>
  <c r="BR9" i="4"/>
  <c r="BS9" i="4"/>
  <c r="BT9" i="4"/>
  <c r="BU9" i="4"/>
  <c r="BV9" i="4"/>
  <c r="BW9" i="4"/>
  <c r="BX9" i="4"/>
  <c r="BY9" i="4"/>
  <c r="BZ9" i="4"/>
  <c r="CA9" i="4"/>
  <c r="BP10" i="4"/>
  <c r="BR10" i="4"/>
  <c r="BS10" i="4"/>
  <c r="BT10" i="4"/>
  <c r="BU10" i="4"/>
  <c r="BV10" i="4"/>
  <c r="BW10" i="4"/>
  <c r="BX10" i="4"/>
  <c r="BY10" i="4"/>
  <c r="BZ10" i="4"/>
  <c r="CA10" i="4"/>
  <c r="BP11" i="4"/>
  <c r="BR11" i="4"/>
  <c r="BS11" i="4"/>
  <c r="BT11" i="4"/>
  <c r="BU11" i="4"/>
  <c r="BV11" i="4"/>
  <c r="BW11" i="4"/>
  <c r="BX11" i="4"/>
  <c r="BY11" i="4"/>
  <c r="BZ11" i="4"/>
  <c r="CA11" i="4"/>
  <c r="BP12" i="4"/>
  <c r="BR12" i="4"/>
  <c r="BS12" i="4"/>
  <c r="BT12" i="4"/>
  <c r="BU12" i="4"/>
  <c r="BV12" i="4"/>
  <c r="BW12" i="4"/>
  <c r="BX12" i="4"/>
  <c r="BY12" i="4"/>
  <c r="BZ12" i="4"/>
  <c r="CA12" i="4"/>
  <c r="CN12" i="4" l="1"/>
  <c r="CN5" i="4"/>
  <c r="CN10" i="4"/>
  <c r="CN11" i="4"/>
  <c r="CN9" i="4"/>
  <c r="CN8" i="4"/>
  <c r="CN30" i="4"/>
  <c r="CN7" i="4"/>
  <c r="CN6" i="4"/>
  <c r="BQ30" i="4" l="1"/>
  <c r="BR30" i="4"/>
  <c r="BS30" i="4"/>
  <c r="BT30" i="4"/>
  <c r="BU30" i="4"/>
  <c r="BV30" i="4"/>
  <c r="BW30" i="4"/>
  <c r="BX30" i="4"/>
  <c r="BY30" i="4"/>
  <c r="BZ30" i="4"/>
  <c r="CA30" i="4"/>
  <c r="BP6" i="4" l="1"/>
  <c r="BP30" i="4"/>
  <c r="BO30" i="4" l="1"/>
  <c r="BO8" i="4"/>
  <c r="BQ6" i="4"/>
  <c r="BR6" i="4"/>
  <c r="BS6" i="4"/>
  <c r="BT6" i="4"/>
  <c r="BU6" i="4"/>
  <c r="BV6" i="4"/>
  <c r="BW6" i="4"/>
  <c r="BX6" i="4"/>
  <c r="BY6" i="4"/>
  <c r="BZ6" i="4"/>
  <c r="CA6" i="4"/>
  <c r="BO7" i="4" l="1"/>
  <c r="BO6" i="4"/>
  <c r="BO12" i="4"/>
  <c r="BO9" i="4"/>
  <c r="BO10" i="4"/>
  <c r="BO11" i="4"/>
  <c r="BP5" i="4" l="1"/>
  <c r="CA5" i="4" l="1"/>
  <c r="BZ5" i="4"/>
  <c r="BY5" i="4"/>
  <c r="BX5" i="4"/>
  <c r="BW5" i="4"/>
  <c r="BV5" i="4"/>
  <c r="BU5" i="4"/>
  <c r="BT5" i="4"/>
  <c r="BS5" i="4"/>
  <c r="BR5" i="4"/>
  <c r="BQ5" i="4"/>
  <c r="BO5" i="4" l="1"/>
</calcChain>
</file>

<file path=xl/sharedStrings.xml><?xml version="1.0" encoding="utf-8"?>
<sst xmlns="http://schemas.openxmlformats.org/spreadsheetml/2006/main" count="211" uniqueCount="67">
  <si>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</si>
  <si>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</si>
  <si>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</si>
  <si>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</si>
  <si>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</si>
  <si>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</si>
  <si>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</si>
  <si>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</si>
  <si>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</si>
  <si>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</si>
  <si>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</si>
  <si>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</si>
  <si>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</si>
  <si>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</si>
  <si>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</si>
  <si>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</si>
  <si>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</si>
  <si>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</si>
  <si>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</si>
  <si>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</si>
  <si>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</si>
  <si>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</si>
  <si>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</si>
  <si>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</si>
  <si>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</si>
  <si>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</si>
  <si>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MAD0500</t>
  </si>
  <si>
    <t>Ahmed Munawwaru</t>
  </si>
  <si>
    <t>MAD0661</t>
  </si>
  <si>
    <t>Jose Francis</t>
  </si>
  <si>
    <t>MAD0502</t>
  </si>
  <si>
    <t>Kamaludhdheen</t>
  </si>
  <si>
    <t>MAD0503</t>
  </si>
  <si>
    <t>Imamudhdheen</t>
  </si>
  <si>
    <t>MAD0702</t>
  </si>
  <si>
    <t>Mehedi Hasan Emon</t>
  </si>
  <si>
    <t>MAD0553</t>
  </si>
  <si>
    <t>Ajith Paul Raj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</si>
  <si>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</si>
  <si>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</si>
  <si>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</si>
  <si>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</si>
  <si>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</si>
  <si>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</si>
  <si>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</si>
  <si>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</si>
  <si>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</si>
  <si>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</si>
  <si>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</si>
  <si>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>Hussain Mahir</t>
  </si>
  <si>
    <t>Moosa Ahmed</t>
  </si>
  <si>
    <t>Suspended</t>
  </si>
  <si>
    <t>Special Leave</t>
  </si>
  <si>
    <t>HR Executive</t>
  </si>
  <si>
    <t>Office Manager</t>
  </si>
  <si>
    <t>Chairman</t>
  </si>
  <si>
    <t>Family Leave</t>
  </si>
  <si>
    <t>Abu Moosa</t>
  </si>
  <si>
    <t>MAD0501</t>
  </si>
  <si>
    <t>MAD0734</t>
  </si>
  <si>
    <t>MD Morsalin</t>
  </si>
  <si>
    <t>MAD0738</t>
  </si>
  <si>
    <t>Rabbir hossain</t>
  </si>
  <si>
    <t>Pls don’t Remove below data</t>
  </si>
  <si>
    <t>Total</t>
  </si>
  <si>
    <t xml:space="preserve">Used Leave Totals (Running Year, up to end of this month - march 2026) </t>
  </si>
  <si>
    <t>Attendance for MAY 2026 - BATUTA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</si>
</sst>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;@"/>
    <numFmt numFmtId="166" formatCode="[$-409]dd\-mmm\-yy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5" fillId="6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2" fillId="9" borderId="0" xfId="0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10" borderId="0" xfId="0" applyFont="1" applyFill="1" applyAlignment="1">
      <alignment vertical="center"/>
    </xf>
    <xf numFmtId="0" fontId="12" fillId="10" borderId="0" xfId="0" applyFont="1" applyFill="1" applyAlignment="1">
      <alignment horizontal="left" vertical="center"/>
    </xf>
    <xf numFmtId="0" fontId="8" fillId="10" borderId="0" xfId="0" applyFont="1" applyFill="1"/>
    <xf numFmtId="0" fontId="13" fillId="0" borderId="0" xfId="0" applyFont="1" applyAlignment="1">
      <alignment vertical="center"/>
    </xf>
    <xf numFmtId="0" fontId="10" fillId="0" borderId="0" xfId="0" applyFont="1"/>
    <xf numFmtId="165" fontId="1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49" fontId="12" fillId="10" borderId="0" xfId="0" applyNumberFormat="1" applyFont="1" applyFill="1" applyAlignment="1">
      <alignment vertical="center"/>
    </xf>
    <xf numFmtId="49" fontId="12" fillId="10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6" fillId="0" borderId="0" xfId="0" applyFont="1"/>
    <xf numFmtId="165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1" fontId="5" fillId="8" borderId="5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20" fontId="21" fillId="2" borderId="2" xfId="0" applyNumberFormat="1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20" fontId="22" fillId="11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6" fontId="1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974A1-1AF2-4F9D-B0C2-E013BAA21911}" name="Table1" displayName="Table1" ref="CD4:CN12" totalsRowShown="0" headerRowDxfId="39" dataDxfId="37" headerRowBorderDxfId="38" tableBorderDxfId="36" totalsRowBorderDxfId="35">
  <autoFilter ref="CD4:CN12" xr:uid="{336974A1-1AF2-4F9D-B0C2-E013BAA21911}"/>
  <tableColumns count="11">
    <tableColumn id="1" xr3:uid="{AF276F43-DC90-4A43-B260-7D1F790A3043}" name="MC" dataDxfId="34"/>
    <tableColumn id="2" xr3:uid="{8D4BF9CC-AD4D-4BF5-9D29-F040B3153739}" name="EL" dataDxfId="33"/>
    <tableColumn id="3" xr3:uid="{C3C2851F-985A-4FE4-8D05-2ED93CF371D1}" name="AL" dataDxfId="32"/>
    <tableColumn id="4" xr3:uid="{6AB64BAD-683B-454E-ACF6-8358619668D8}" name="SUS" dataDxfId="31"/>
    <tableColumn id="5" xr3:uid="{3B441775-5FD0-488A-8574-CE9D8DC1E2B1}" name="FL" dataDxfId="30"/>
    <tableColumn id="6" xr3:uid="{97EE2EE2-ED3A-4063-B2D4-752CFD9FC535}" name="S" dataDxfId="29"/>
    <tableColumn id="7" xr3:uid="{3CB56D3F-26F3-47E5-8126-76AB67DEBE6B}" name="HD" dataDxfId="28"/>
    <tableColumn id="8" xr3:uid="{63EE083B-FA68-4662-AF50-B133D7B6C410}" name="AB" dataDxfId="27"/>
    <tableColumn id="9" xr3:uid="{840891C7-D329-4D8C-A2AA-8F076D42B3C7}" name="NL" dataDxfId="26"/>
    <tableColumn id="10" xr3:uid="{1A2A79AD-FB97-44C3-BAB8-A30DE6F87716}" name="SP" dataDxfId="25"/>
    <tableColumn id="11" xr3:uid="{6F24779C-FB5E-43C1-BF88-C5D34F571DCF}" name="Total" dataDxfId="2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EB03-D27A-4FD2-8612-F4412D5D88C9}">
  <sheetPr>
    <pageSetUpPr fitToPage="1"/>
  </sheetPr>
  <dimension ref="A1:CO30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14" sqref="F14:I19"/>
    </sheetView>
  </sheetViews>
  <sheetFormatPr defaultRowHeight="15" x14ac:dyDescent="0.25"/>
  <cols>
    <col min="1" max="1" width="5.28515625" customWidth="1"/>
    <col min="2" max="2" width="10.85546875" customWidth="1"/>
    <col min="3" max="3" width="20.85546875" customWidth="1"/>
    <col min="4" max="4" width="13.7109375" hidden="1" customWidth="1"/>
    <col min="5" max="66" width="6.7109375" customWidth="1"/>
    <col min="67" max="79" width="5.42578125" customWidth="1"/>
    <col min="82" max="92" width="7.5703125" customWidth="1"/>
  </cols>
  <sheetData>
    <row r="1" spans="1:93" ht="23.25" customHeight="1" x14ac:dyDescent="0.25">
      <c r="A1" s="65" t="s">
        <v>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 t="s">
        <v>66</v>
      </c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</row>
    <row r="2" spans="1:93" s="42" customFormat="1" ht="19.5" customHeight="1" x14ac:dyDescent="0.25">
      <c r="A2" s="66" t="s">
        <v>0</v>
      </c>
      <c r="B2" s="66"/>
      <c r="C2" s="66"/>
      <c r="D2" s="50"/>
      <c r="E2" s="67" t="s">
        <v>3</v>
      </c>
      <c r="F2" s="67"/>
      <c r="G2" s="67" t="s">
        <v>4</v>
      </c>
      <c r="H2" s="67"/>
      <c r="I2" s="67" t="s">
        <v>5</v>
      </c>
      <c r="J2" s="67"/>
      <c r="K2" s="67" t="s">
        <v>6</v>
      </c>
      <c r="L2" s="67"/>
      <c r="M2" s="67" t="s">
        <v>7</v>
      </c>
      <c r="N2" s="67"/>
      <c r="O2" s="67" t="s">
        <v>1</v>
      </c>
      <c r="P2" s="67"/>
      <c r="Q2" s="67" t="s">
        <v>2</v>
      </c>
      <c r="R2" s="67"/>
      <c r="S2" s="67" t="s">
        <v>3</v>
      </c>
      <c r="T2" s="67"/>
      <c r="U2" s="67" t="s">
        <v>4</v>
      </c>
      <c r="V2" s="67"/>
      <c r="W2" s="67" t="s">
        <v>5</v>
      </c>
      <c r="X2" s="67"/>
      <c r="Y2" s="67" t="s">
        <v>6</v>
      </c>
      <c r="Z2" s="67"/>
      <c r="AA2" s="67" t="s">
        <v>7</v>
      </c>
      <c r="AB2" s="67"/>
      <c r="AC2" s="67" t="s">
        <v>1</v>
      </c>
      <c r="AD2" s="67"/>
      <c r="AE2" s="67" t="s">
        <v>2</v>
      </c>
      <c r="AF2" s="67"/>
      <c r="AG2" s="67" t="s">
        <v>3</v>
      </c>
      <c r="AH2" s="67"/>
      <c r="AI2" s="67" t="s">
        <v>4</v>
      </c>
      <c r="AJ2" s="67"/>
      <c r="AK2" s="67" t="s">
        <v>5</v>
      </c>
      <c r="AL2" s="67"/>
      <c r="AM2" s="67" t="s">
        <v>6</v>
      </c>
      <c r="AN2" s="67"/>
      <c r="AO2" s="67" t="s">
        <v>7</v>
      </c>
      <c r="AP2" s="67"/>
      <c r="AQ2" s="67" t="s">
        <v>1</v>
      </c>
      <c r="AR2" s="67"/>
      <c r="AS2" s="67" t="s">
        <v>2</v>
      </c>
      <c r="AT2" s="67"/>
      <c r="AU2" s="67" t="s">
        <v>3</v>
      </c>
      <c r="AV2" s="67"/>
      <c r="AW2" s="67" t="s">
        <v>4</v>
      </c>
      <c r="AX2" s="67"/>
      <c r="AY2" s="67" t="s">
        <v>5</v>
      </c>
      <c r="AZ2" s="67"/>
      <c r="BA2" s="67" t="s">
        <v>6</v>
      </c>
      <c r="BB2" s="67"/>
      <c r="BC2" s="67" t="s">
        <v>7</v>
      </c>
      <c r="BD2" s="67"/>
      <c r="BE2" s="67" t="s">
        <v>1</v>
      </c>
      <c r="BF2" s="67"/>
      <c r="BG2" s="67" t="s">
        <v>2</v>
      </c>
      <c r="BH2" s="67"/>
      <c r="BI2" s="67" t="s">
        <v>3</v>
      </c>
      <c r="BJ2" s="67"/>
      <c r="BK2" s="67" t="s">
        <v>4</v>
      </c>
      <c r="BL2" s="67"/>
      <c r="BM2" s="67" t="s">
        <v>5</v>
      </c>
      <c r="BN2" s="67"/>
      <c r="BO2" s="68" t="s">
        <v>8</v>
      </c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D2" s="70" t="s">
        <v>63</v>
      </c>
      <c r="CE2" s="70"/>
      <c r="CF2" s="70"/>
      <c r="CG2" s="70"/>
      <c r="CH2" s="70"/>
      <c r="CI2" s="70"/>
      <c r="CJ2" s="70"/>
      <c r="CK2" s="70"/>
      <c r="CL2" s="70"/>
      <c r="CM2" s="70"/>
      <c r="CN2" s="70"/>
    </row>
    <row r="3" spans="1:93" s="42" customFormat="1" ht="19.5" customHeight="1" x14ac:dyDescent="0.25">
      <c r="A3" s="66"/>
      <c r="B3" s="66"/>
      <c r="C3" s="66"/>
      <c r="D3" s="50"/>
      <c r="E3" s="71">
        <v>46143</v>
      </c>
      <c r="F3" s="71"/>
      <c r="G3" s="71">
        <v>46144</v>
      </c>
      <c r="H3" s="71"/>
      <c r="I3" s="71">
        <v>46145</v>
      </c>
      <c r="J3" s="71"/>
      <c r="K3" s="71">
        <v>46146</v>
      </c>
      <c r="L3" s="71"/>
      <c r="M3" s="71">
        <v>46147</v>
      </c>
      <c r="N3" s="71"/>
      <c r="O3" s="71">
        <v>46148</v>
      </c>
      <c r="P3" s="71"/>
      <c r="Q3" s="71">
        <v>46149</v>
      </c>
      <c r="R3" s="71"/>
      <c r="S3" s="71">
        <v>46150</v>
      </c>
      <c r="T3" s="71"/>
      <c r="U3" s="71">
        <v>46151</v>
      </c>
      <c r="V3" s="71"/>
      <c r="W3" s="71">
        <v>46152</v>
      </c>
      <c r="X3" s="71"/>
      <c r="Y3" s="71">
        <v>46153</v>
      </c>
      <c r="Z3" s="71"/>
      <c r="AA3" s="71">
        <v>46154</v>
      </c>
      <c r="AB3" s="71"/>
      <c r="AC3" s="71">
        <v>46155</v>
      </c>
      <c r="AD3" s="71"/>
      <c r="AE3" s="71">
        <v>46156</v>
      </c>
      <c r="AF3" s="71"/>
      <c r="AG3" s="71">
        <v>46157</v>
      </c>
      <c r="AH3" s="71"/>
      <c r="AI3" s="71">
        <v>46158</v>
      </c>
      <c r="AJ3" s="71"/>
      <c r="AK3" s="71">
        <v>46159</v>
      </c>
      <c r="AL3" s="71"/>
      <c r="AM3" s="71">
        <v>46160</v>
      </c>
      <c r="AN3" s="71"/>
      <c r="AO3" s="71">
        <v>46161</v>
      </c>
      <c r="AP3" s="71"/>
      <c r="AQ3" s="71">
        <v>46162</v>
      </c>
      <c r="AR3" s="71"/>
      <c r="AS3" s="71">
        <v>46163</v>
      </c>
      <c r="AT3" s="71"/>
      <c r="AU3" s="71">
        <v>46164</v>
      </c>
      <c r="AV3" s="71"/>
      <c r="AW3" s="71">
        <v>46165</v>
      </c>
      <c r="AX3" s="71"/>
      <c r="AY3" s="71">
        <v>46166</v>
      </c>
      <c r="AZ3" s="71"/>
      <c r="BA3" s="71">
        <v>46167</v>
      </c>
      <c r="BB3" s="71"/>
      <c r="BC3" s="71">
        <v>46168</v>
      </c>
      <c r="BD3" s="71"/>
      <c r="BE3" s="71">
        <v>46169</v>
      </c>
      <c r="BF3" s="71"/>
      <c r="BG3" s="71">
        <v>46170</v>
      </c>
      <c r="BH3" s="71"/>
      <c r="BI3" s="71">
        <v>46171</v>
      </c>
      <c r="BJ3" s="71"/>
      <c r="BK3" s="71">
        <v>46172</v>
      </c>
      <c r="BL3" s="71"/>
      <c r="BM3" s="71">
        <v>46173</v>
      </c>
      <c r="BN3" s="71"/>
      <c r="BO3" s="68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2"/>
      <c r="CD3" s="52" t="s">
        <v>65</v>
      </c>
      <c r="CE3" s="52"/>
      <c r="CF3" s="52"/>
      <c r="CG3" s="52"/>
      <c r="CH3" s="52"/>
      <c r="CI3" s="52"/>
      <c r="CJ3" s="52"/>
      <c r="CK3" s="52"/>
      <c r="CL3" s="52"/>
      <c r="CM3" s="52"/>
      <c r="CN3" s="37"/>
    </row>
    <row r="4" spans="1:93" s="42" customFormat="1" ht="19.5" customHeight="1" x14ac:dyDescent="0.25">
      <c r="A4" s="43" t="s">
        <v>9</v>
      </c>
      <c r="B4" s="44" t="s">
        <v>10</v>
      </c>
      <c r="C4" s="43" t="s">
        <v>11</v>
      </c>
      <c r="D4" s="51"/>
      <c r="E4" s="45" t="s">
        <v>12</v>
      </c>
      <c r="F4" s="45" t="s">
        <v>13</v>
      </c>
      <c r="G4" s="45" t="s">
        <v>12</v>
      </c>
      <c r="H4" s="45" t="s">
        <v>13</v>
      </c>
      <c r="I4" s="45" t="s">
        <v>12</v>
      </c>
      <c r="J4" s="45" t="s">
        <v>13</v>
      </c>
      <c r="K4" s="45" t="s">
        <v>12</v>
      </c>
      <c r="L4" s="45" t="s">
        <v>13</v>
      </c>
      <c r="M4" s="45" t="s">
        <v>12</v>
      </c>
      <c r="N4" s="45" t="s">
        <v>13</v>
      </c>
      <c r="O4" s="45" t="s">
        <v>12</v>
      </c>
      <c r="P4" s="45" t="s">
        <v>13</v>
      </c>
      <c r="Q4" s="45" t="s">
        <v>12</v>
      </c>
      <c r="R4" s="45" t="s">
        <v>13</v>
      </c>
      <c r="S4" s="45" t="s">
        <v>12</v>
      </c>
      <c r="T4" s="45" t="s">
        <v>13</v>
      </c>
      <c r="U4" s="45" t="s">
        <v>12</v>
      </c>
      <c r="V4" s="45" t="s">
        <v>13</v>
      </c>
      <c r="W4" s="45" t="s">
        <v>12</v>
      </c>
      <c r="X4" s="45" t="s">
        <v>13</v>
      </c>
      <c r="Y4" s="45" t="s">
        <v>12</v>
      </c>
      <c r="Z4" s="45" t="s">
        <v>13</v>
      </c>
      <c r="AA4" s="45" t="s">
        <v>12</v>
      </c>
      <c r="AB4" s="45" t="s">
        <v>13</v>
      </c>
      <c r="AC4" s="45" t="s">
        <v>12</v>
      </c>
      <c r="AD4" s="45" t="s">
        <v>13</v>
      </c>
      <c r="AE4" s="45" t="s">
        <v>12</v>
      </c>
      <c r="AF4" s="45" t="s">
        <v>13</v>
      </c>
      <c r="AG4" s="45" t="s">
        <v>12</v>
      </c>
      <c r="AH4" s="45" t="s">
        <v>13</v>
      </c>
      <c r="AI4" s="45" t="s">
        <v>12</v>
      </c>
      <c r="AJ4" s="45" t="s">
        <v>13</v>
      </c>
      <c r="AK4" s="45" t="s">
        <v>12</v>
      </c>
      <c r="AL4" s="45" t="s">
        <v>13</v>
      </c>
      <c r="AM4" s="45" t="s">
        <v>12</v>
      </c>
      <c r="AN4" s="45" t="s">
        <v>13</v>
      </c>
      <c r="AO4" s="45" t="s">
        <v>12</v>
      </c>
      <c r="AP4" s="45" t="s">
        <v>13</v>
      </c>
      <c r="AQ4" s="45" t="s">
        <v>12</v>
      </c>
      <c r="AR4" s="45" t="s">
        <v>13</v>
      </c>
      <c r="AS4" s="45" t="s">
        <v>12</v>
      </c>
      <c r="AT4" s="45" t="s">
        <v>13</v>
      </c>
      <c r="AU4" s="45" t="s">
        <v>12</v>
      </c>
      <c r="AV4" s="45" t="s">
        <v>13</v>
      </c>
      <c r="AW4" s="45" t="s">
        <v>12</v>
      </c>
      <c r="AX4" s="45" t="s">
        <v>13</v>
      </c>
      <c r="AY4" s="45" t="s">
        <v>12</v>
      </c>
      <c r="AZ4" s="45" t="s">
        <v>13</v>
      </c>
      <c r="BA4" s="45" t="s">
        <v>12</v>
      </c>
      <c r="BB4" s="45" t="s">
        <v>13</v>
      </c>
      <c r="BC4" s="45" t="s">
        <v>12</v>
      </c>
      <c r="BD4" s="45" t="s">
        <v>13</v>
      </c>
      <c r="BE4" s="45" t="s">
        <v>12</v>
      </c>
      <c r="BF4" s="45" t="s">
        <v>13</v>
      </c>
      <c r="BG4" s="45" t="s">
        <v>12</v>
      </c>
      <c r="BH4" s="45" t="s">
        <v>13</v>
      </c>
      <c r="BI4" s="45" t="s">
        <v>12</v>
      </c>
      <c r="BJ4" s="45" t="s">
        <v>13</v>
      </c>
      <c r="BK4" s="45" t="s">
        <v>12</v>
      </c>
      <c r="BL4" s="45"/>
      <c r="BM4" s="45"/>
      <c r="BN4" s="45" t="s">
        <v>13</v>
      </c>
      <c r="BO4" s="68"/>
      <c r="BP4" s="3"/>
      <c r="BQ4" s="4" t="s">
        <v>14</v>
      </c>
      <c r="BR4" s="4" t="s">
        <v>15</v>
      </c>
      <c r="BS4" s="4" t="s">
        <v>16</v>
      </c>
      <c r="BT4" s="4" t="s">
        <v>17</v>
      </c>
      <c r="BU4" s="4" t="s">
        <v>18</v>
      </c>
      <c r="BV4" s="4" t="s">
        <v>19</v>
      </c>
      <c r="BW4" s="4" t="s">
        <v>20</v>
      </c>
      <c r="BX4" s="4" t="s">
        <v>21</v>
      </c>
      <c r="BY4" s="4" t="s">
        <v>22</v>
      </c>
      <c r="BZ4" s="4" t="s">
        <v>23</v>
      </c>
      <c r="CA4" s="4" t="s">
        <v>24</v>
      </c>
      <c r="CB4" s="5" t="s">
        <v>25</v>
      </c>
      <c r="CD4" s="53" t="s">
        <v>15</v>
      </c>
      <c r="CE4" s="54" t="s">
        <v>16</v>
      </c>
      <c r="CF4" s="54" t="s">
        <v>17</v>
      </c>
      <c r="CG4" s="54" t="s">
        <v>18</v>
      </c>
      <c r="CH4" s="54" t="s">
        <v>19</v>
      </c>
      <c r="CI4" s="54" t="s">
        <v>20</v>
      </c>
      <c r="CJ4" s="54" t="s">
        <v>21</v>
      </c>
      <c r="CK4" s="54" t="s">
        <v>22</v>
      </c>
      <c r="CL4" s="54" t="s">
        <v>23</v>
      </c>
      <c r="CM4" s="54" t="s">
        <v>24</v>
      </c>
      <c r="CN4" s="55" t="s">
        <v>64</v>
      </c>
    </row>
    <row r="5" spans="1:93" ht="21" customHeight="1" x14ac:dyDescent="0.25">
      <c r="A5" s="6">
        <v>1</v>
      </c>
      <c r="B5" s="48" t="s">
        <v>26</v>
      </c>
      <c r="C5" s="46" t="s">
        <v>27</v>
      </c>
      <c r="D5" s="46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49">
        <f>BP5+BQ5+BR5+BT5+BU5+BY5+BW5+BX5</f>
        <v>0</v>
      </c>
      <c r="BP5" s="7">
        <f t="shared" ref="BP5:BP6" si="0">COUNT(E5:AI5)/2+COUNT(AJ5:BN5)/2</f>
        <v>0</v>
      </c>
      <c r="BQ5" s="48">
        <f t="shared" ref="BQ5:BQ12" si="1">COUNTIF(E5:BN5,"OFF")/2</f>
        <v>0</v>
      </c>
      <c r="BR5" s="48">
        <f t="shared" ref="BR5:BR6" si="2">COUNTIF(E5:BN5,"MC")/2</f>
        <v>0</v>
      </c>
      <c r="BS5" s="48">
        <f t="shared" ref="BS5:BS6" si="3">COUNTIF(E5:BN5,"EL")/2</f>
        <v>0</v>
      </c>
      <c r="BT5" s="48">
        <f t="shared" ref="BT5:BT6" si="4">COUNTIF(E5:BN5,"AL")/2</f>
        <v>0</v>
      </c>
      <c r="BU5" s="48">
        <f t="shared" ref="BU5:BU6" si="5">COUNTIF(E5:BN5,"SUS")/2</f>
        <v>0</v>
      </c>
      <c r="BV5" s="48">
        <f t="shared" ref="BV5:BV6" si="6">COUNTIF(E5:BN5,"FL")/2</f>
        <v>0</v>
      </c>
      <c r="BW5" s="48">
        <f t="shared" ref="BW5:BW6" si="7">COUNTIF(E5:BN5,"SICK")/2</f>
        <v>0</v>
      </c>
      <c r="BX5" s="48">
        <f t="shared" ref="BX5:BX6" si="8">COUNTIF(E5:BN5,"HD")/2</f>
        <v>0</v>
      </c>
      <c r="BY5" s="48">
        <f t="shared" ref="BY5:BY6" si="9">COUNTIF(E5:BN5,"AB")/2</f>
        <v>0</v>
      </c>
      <c r="BZ5" s="48">
        <f t="shared" ref="BZ5:BZ6" si="10">COUNTIF(E5:BN5,"NL")/2</f>
        <v>0</v>
      </c>
      <c r="CA5" s="48">
        <f t="shared" ref="CA5:CA6" si="11">COUNTIF(E5:BN5,"SP")/2</f>
        <v>0</v>
      </c>
      <c r="CB5" s="8"/>
      <c r="CD5" s="57">
        <v>0</v>
      </c>
      <c r="CE5" s="57">
        <v>0</v>
      </c>
      <c r="CF5" s="57">
        <v>0</v>
      </c>
      <c r="CG5" s="57">
        <v>0</v>
      </c>
      <c r="CH5" s="57">
        <v>0</v>
      </c>
      <c r="CI5" s="57">
        <v>0</v>
      </c>
      <c r="CJ5" s="57">
        <v>0</v>
      </c>
      <c r="CK5" s="57">
        <v>0</v>
      </c>
      <c r="CL5" s="57">
        <v>0</v>
      </c>
      <c r="CM5" s="57">
        <v>0</v>
      </c>
      <c r="CN5" s="56">
        <f t="shared" ref="CN5:CN6" si="12">SUM(CD5:CM5)</f>
        <v>0</v>
      </c>
      <c r="CO5" s="42"/>
    </row>
    <row r="6" spans="1:93" ht="21" customHeight="1" x14ac:dyDescent="0.25">
      <c r="A6" s="6">
        <v>2</v>
      </c>
      <c r="B6" s="48" t="s">
        <v>28</v>
      </c>
      <c r="C6" s="46" t="s">
        <v>29</v>
      </c>
      <c r="D6" s="60">
        <v>45624</v>
      </c>
      <c r="E6" s="59"/>
      <c r="F6" s="59"/>
      <c r="G6" s="59"/>
      <c r="H6" s="59"/>
      <c r="I6" s="63"/>
      <c r="J6" s="63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49">
        <f t="shared" ref="BO6:BO12" si="13">BP6+BQ6+BR6+BT6+BU6+BY6+BW6+BX6</f>
        <v>0</v>
      </c>
      <c r="BP6" s="7">
        <f t="shared" si="0"/>
        <v>0</v>
      </c>
      <c r="BQ6" s="48">
        <f t="shared" si="1"/>
        <v>0</v>
      </c>
      <c r="BR6" s="48">
        <f t="shared" si="2"/>
        <v>0</v>
      </c>
      <c r="BS6" s="48">
        <f t="shared" si="3"/>
        <v>0</v>
      </c>
      <c r="BT6" s="48">
        <f t="shared" si="4"/>
        <v>0</v>
      </c>
      <c r="BU6" s="48">
        <f t="shared" si="5"/>
        <v>0</v>
      </c>
      <c r="BV6" s="48">
        <f t="shared" si="6"/>
        <v>0</v>
      </c>
      <c r="BW6" s="48">
        <f t="shared" si="7"/>
        <v>0</v>
      </c>
      <c r="BX6" s="48">
        <f t="shared" si="8"/>
        <v>0</v>
      </c>
      <c r="BY6" s="48">
        <f t="shared" si="9"/>
        <v>0</v>
      </c>
      <c r="BZ6" s="48">
        <f t="shared" si="10"/>
        <v>0</v>
      </c>
      <c r="CA6" s="48">
        <f t="shared" si="11"/>
        <v>0</v>
      </c>
      <c r="CB6" s="8"/>
      <c r="CD6" s="57">
        <v>0</v>
      </c>
      <c r="CE6" s="57">
        <v>0</v>
      </c>
      <c r="CF6" s="57">
        <v>38</v>
      </c>
      <c r="CG6" s="57">
        <v>0</v>
      </c>
      <c r="CH6" s="57">
        <v>0</v>
      </c>
      <c r="CI6" s="57">
        <v>0</v>
      </c>
      <c r="CJ6" s="57">
        <v>0</v>
      </c>
      <c r="CK6" s="57">
        <v>0</v>
      </c>
      <c r="CL6" s="57">
        <v>0</v>
      </c>
      <c r="CM6" s="57">
        <v>0</v>
      </c>
      <c r="CN6" s="56">
        <f t="shared" si="12"/>
        <v>38</v>
      </c>
    </row>
    <row r="7" spans="1:93" ht="21" customHeight="1" x14ac:dyDescent="0.25">
      <c r="A7" s="6">
        <v>3</v>
      </c>
      <c r="B7" s="9" t="s">
        <v>58</v>
      </c>
      <c r="C7" s="46" t="s">
        <v>57</v>
      </c>
      <c r="D7" s="61">
        <v>42382</v>
      </c>
      <c r="E7" s="59"/>
      <c r="F7" s="59"/>
      <c r="G7" s="63"/>
      <c r="H7" s="63"/>
      <c r="I7" s="59"/>
      <c r="J7" s="63"/>
      <c r="K7" s="59"/>
      <c r="L7" s="63"/>
      <c r="M7" s="59"/>
      <c r="N7" s="59"/>
      <c r="O7" s="59"/>
      <c r="P7" s="59"/>
      <c r="Q7" s="63"/>
      <c r="R7" s="63"/>
      <c r="S7" s="59"/>
      <c r="T7" s="59"/>
      <c r="U7" s="59"/>
      <c r="V7" s="63"/>
      <c r="W7" s="59"/>
      <c r="X7" s="59"/>
      <c r="Y7" s="59"/>
      <c r="Z7" s="63"/>
      <c r="AA7" s="59"/>
      <c r="AB7" s="63"/>
      <c r="AC7" s="59"/>
      <c r="AD7" s="59"/>
      <c r="AE7" s="59"/>
      <c r="AF7" s="59"/>
      <c r="AG7" s="59"/>
      <c r="AH7" s="63"/>
      <c r="AI7" s="63"/>
      <c r="AJ7" s="63"/>
      <c r="AK7" s="59"/>
      <c r="AL7" s="59"/>
      <c r="AM7" s="59"/>
      <c r="AN7" s="63"/>
      <c r="AO7" s="59"/>
      <c r="AP7" s="59"/>
      <c r="AQ7" s="59"/>
      <c r="AR7" s="63"/>
      <c r="AS7" s="59"/>
      <c r="AT7" s="59"/>
      <c r="AU7" s="63"/>
      <c r="AV7" s="63"/>
      <c r="AW7" s="59"/>
      <c r="AX7" s="63"/>
      <c r="AY7" s="63"/>
      <c r="AZ7" s="63"/>
      <c r="BA7" s="59"/>
      <c r="BB7" s="59"/>
      <c r="BC7" s="59"/>
      <c r="BD7" s="59"/>
      <c r="BE7" s="59"/>
      <c r="BF7" s="59"/>
      <c r="BG7" s="59"/>
      <c r="BH7" s="63"/>
      <c r="BI7" s="59"/>
      <c r="BJ7" s="59"/>
      <c r="BK7" s="59"/>
      <c r="BL7" s="59"/>
      <c r="BM7" s="59"/>
      <c r="BN7" s="63"/>
      <c r="BO7" s="49">
        <f t="shared" si="13"/>
        <v>0</v>
      </c>
      <c r="BP7" s="7">
        <f t="shared" ref="BP7:BP12" si="14">COUNT(E7:AI7)/2+COUNT(AJ7:BN7)/2</f>
        <v>0</v>
      </c>
      <c r="BQ7" s="48">
        <f t="shared" si="1"/>
        <v>0</v>
      </c>
      <c r="BR7" s="48">
        <f t="shared" ref="BR7:BR12" si="15">COUNTIF(E7:BN7,"MC")/2</f>
        <v>0</v>
      </c>
      <c r="BS7" s="48">
        <f t="shared" ref="BS7:BS12" si="16">COUNTIF(E7:BN7,"EL")/2</f>
        <v>0</v>
      </c>
      <c r="BT7" s="48">
        <f t="shared" ref="BT7:BT12" si="17">COUNTIF(E7:BN7,"AL")/2</f>
        <v>0</v>
      </c>
      <c r="BU7" s="48">
        <f t="shared" ref="BU7:BU12" si="18">COUNTIF(E7:BN7,"SUS")/2</f>
        <v>0</v>
      </c>
      <c r="BV7" s="48">
        <f t="shared" ref="BV7:BV12" si="19">COUNTIF(E7:BN7,"FL")/2</f>
        <v>0</v>
      </c>
      <c r="BW7" s="48">
        <f t="shared" ref="BW7:BW12" si="20">COUNTIF(E7:BN7,"SICK")/2</f>
        <v>0</v>
      </c>
      <c r="BX7" s="48">
        <f t="shared" ref="BX7:BX12" si="21">COUNTIF(E7:BN7,"HD")/2</f>
        <v>0</v>
      </c>
      <c r="BY7" s="48">
        <f t="shared" ref="BY7:BY12" si="22">COUNTIF(E7:BN7,"AB")/2</f>
        <v>0</v>
      </c>
      <c r="BZ7" s="48">
        <f t="shared" ref="BZ7:BZ12" si="23">COUNTIF(E7:BN7,"NL")/2</f>
        <v>0</v>
      </c>
      <c r="CA7" s="48">
        <f t="shared" ref="CA7:CA12" si="24">COUNTIF(E7:BN7,"SP")/2</f>
        <v>0</v>
      </c>
      <c r="CB7" s="8"/>
      <c r="CD7" s="57">
        <v>0</v>
      </c>
      <c r="CE7" s="57">
        <v>0</v>
      </c>
      <c r="CF7" s="57">
        <v>60</v>
      </c>
      <c r="CG7" s="57">
        <v>0</v>
      </c>
      <c r="CH7" s="57">
        <v>0</v>
      </c>
      <c r="CI7" s="57">
        <v>0</v>
      </c>
      <c r="CJ7" s="57">
        <v>0</v>
      </c>
      <c r="CK7" s="57">
        <v>0</v>
      </c>
      <c r="CL7" s="57">
        <v>0</v>
      </c>
      <c r="CM7" s="57">
        <v>0</v>
      </c>
      <c r="CN7" s="56">
        <f t="shared" ref="CN7" si="25">SUM(CD7:CM7)</f>
        <v>60</v>
      </c>
    </row>
    <row r="8" spans="1:93" ht="21" customHeight="1" x14ac:dyDescent="0.25">
      <c r="A8" s="6">
        <v>5</v>
      </c>
      <c r="B8" s="48" t="s">
        <v>32</v>
      </c>
      <c r="C8" s="46" t="s">
        <v>33</v>
      </c>
      <c r="D8" s="61">
        <v>43561</v>
      </c>
      <c r="E8" s="59"/>
      <c r="F8" s="59"/>
      <c r="G8" s="59"/>
      <c r="H8" s="59"/>
      <c r="I8" s="59"/>
      <c r="J8" s="59"/>
      <c r="K8" s="59"/>
      <c r="L8" s="59"/>
      <c r="M8" s="59"/>
      <c r="N8" s="63"/>
      <c r="O8" s="59"/>
      <c r="P8" s="59"/>
      <c r="Q8" s="59"/>
      <c r="R8" s="59"/>
      <c r="S8" s="59"/>
      <c r="T8" s="59"/>
      <c r="U8" s="59"/>
      <c r="V8" s="59"/>
      <c r="W8" s="59"/>
      <c r="X8" s="63"/>
      <c r="Y8" s="59"/>
      <c r="Z8" s="59"/>
      <c r="AA8" s="59"/>
      <c r="AB8" s="59"/>
      <c r="AC8" s="59"/>
      <c r="AD8" s="59"/>
      <c r="AE8" s="59"/>
      <c r="AF8" s="59"/>
      <c r="AG8" s="59"/>
      <c r="AH8" s="63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49">
        <f t="shared" si="13"/>
        <v>0</v>
      </c>
      <c r="BP8" s="7">
        <f t="shared" si="14"/>
        <v>0</v>
      </c>
      <c r="BQ8" s="48">
        <f t="shared" si="1"/>
        <v>0</v>
      </c>
      <c r="BR8" s="48">
        <f t="shared" si="15"/>
        <v>0</v>
      </c>
      <c r="BS8" s="48">
        <f t="shared" si="16"/>
        <v>0</v>
      </c>
      <c r="BT8" s="48">
        <f t="shared" si="17"/>
        <v>0</v>
      </c>
      <c r="BU8" s="48">
        <f t="shared" si="18"/>
        <v>0</v>
      </c>
      <c r="BV8" s="48">
        <f t="shared" si="19"/>
        <v>0</v>
      </c>
      <c r="BW8" s="48">
        <f t="shared" si="20"/>
        <v>0</v>
      </c>
      <c r="BX8" s="48">
        <f t="shared" si="21"/>
        <v>0</v>
      </c>
      <c r="BY8" s="48">
        <f t="shared" si="22"/>
        <v>0</v>
      </c>
      <c r="BZ8" s="48">
        <f t="shared" si="23"/>
        <v>0</v>
      </c>
      <c r="CA8" s="48">
        <f t="shared" si="24"/>
        <v>0</v>
      </c>
      <c r="CB8" s="8"/>
      <c r="CD8" s="57">
        <v>0</v>
      </c>
      <c r="CE8" s="57">
        <v>0</v>
      </c>
      <c r="CF8" s="57">
        <v>0</v>
      </c>
      <c r="CG8" s="57">
        <v>0</v>
      </c>
      <c r="CH8" s="57">
        <v>0</v>
      </c>
      <c r="CI8" s="57">
        <v>0</v>
      </c>
      <c r="CJ8" s="57">
        <v>0</v>
      </c>
      <c r="CK8" s="57">
        <v>0</v>
      </c>
      <c r="CL8" s="57">
        <v>0</v>
      </c>
      <c r="CM8" s="57">
        <v>0</v>
      </c>
      <c r="CN8" s="56">
        <f t="shared" ref="CN8:CN9" si="26">SUM(CD8:CM8)</f>
        <v>0</v>
      </c>
    </row>
    <row r="9" spans="1:93" ht="21" customHeight="1" x14ac:dyDescent="0.25">
      <c r="A9" s="6">
        <v>6</v>
      </c>
      <c r="B9" s="9" t="s">
        <v>34</v>
      </c>
      <c r="C9" s="47" t="s">
        <v>35</v>
      </c>
      <c r="D9" s="60">
        <v>45841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63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49">
        <f t="shared" si="13"/>
        <v>0</v>
      </c>
      <c r="BP9" s="7">
        <f t="shared" si="14"/>
        <v>0</v>
      </c>
      <c r="BQ9" s="48">
        <f t="shared" si="1"/>
        <v>0</v>
      </c>
      <c r="BR9" s="48">
        <f t="shared" si="15"/>
        <v>0</v>
      </c>
      <c r="BS9" s="48">
        <f t="shared" si="16"/>
        <v>0</v>
      </c>
      <c r="BT9" s="48">
        <f t="shared" si="17"/>
        <v>0</v>
      </c>
      <c r="BU9" s="48">
        <f t="shared" si="18"/>
        <v>0</v>
      </c>
      <c r="BV9" s="48">
        <f t="shared" si="19"/>
        <v>0</v>
      </c>
      <c r="BW9" s="48">
        <f t="shared" si="20"/>
        <v>0</v>
      </c>
      <c r="BX9" s="48">
        <f t="shared" si="21"/>
        <v>0</v>
      </c>
      <c r="BY9" s="48">
        <f t="shared" si="22"/>
        <v>0</v>
      </c>
      <c r="BZ9" s="48">
        <f t="shared" si="23"/>
        <v>0</v>
      </c>
      <c r="CA9" s="48">
        <f t="shared" si="24"/>
        <v>0</v>
      </c>
      <c r="CB9" s="8"/>
      <c r="CD9" s="57">
        <v>0</v>
      </c>
      <c r="CE9" s="57">
        <v>0</v>
      </c>
      <c r="CF9" s="57">
        <v>0</v>
      </c>
      <c r="CG9" s="57">
        <v>0</v>
      </c>
      <c r="CH9" s="57">
        <v>0</v>
      </c>
      <c r="CI9" s="57">
        <v>0</v>
      </c>
      <c r="CJ9" s="57">
        <v>0</v>
      </c>
      <c r="CK9" s="57">
        <v>0</v>
      </c>
      <c r="CL9" s="57">
        <v>0</v>
      </c>
      <c r="CM9" s="57">
        <v>0</v>
      </c>
      <c r="CN9" s="58">
        <f t="shared" si="26"/>
        <v>0</v>
      </c>
    </row>
    <row r="10" spans="1:93" ht="21" customHeight="1" x14ac:dyDescent="0.25">
      <c r="A10" s="6">
        <v>7</v>
      </c>
      <c r="B10" s="48" t="s">
        <v>36</v>
      </c>
      <c r="C10" s="47" t="s">
        <v>37</v>
      </c>
      <c r="D10" s="62">
        <v>45231</v>
      </c>
      <c r="E10" s="59"/>
      <c r="F10" s="63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63"/>
      <c r="Y10" s="59"/>
      <c r="Z10" s="59"/>
      <c r="AA10" s="59"/>
      <c r="AB10" s="59"/>
      <c r="AC10" s="59"/>
      <c r="AD10" s="59"/>
      <c r="AE10" s="59"/>
      <c r="AF10" s="59"/>
      <c r="AG10" s="59"/>
      <c r="AH10" s="63"/>
      <c r="AI10" s="59"/>
      <c r="AJ10" s="59"/>
      <c r="AK10" s="59"/>
      <c r="AL10" s="59"/>
      <c r="AM10" s="59"/>
      <c r="AN10" s="59"/>
      <c r="AO10" s="59"/>
      <c r="AP10" s="59"/>
      <c r="AQ10" s="59"/>
      <c r="AR10" s="63"/>
      <c r="AS10" s="59"/>
      <c r="AT10" s="59"/>
      <c r="AU10" s="59"/>
      <c r="AV10" s="63"/>
      <c r="AW10" s="59"/>
      <c r="AX10" s="59"/>
      <c r="AY10" s="59"/>
      <c r="AZ10" s="59"/>
      <c r="BA10" s="59"/>
      <c r="BB10" s="59"/>
      <c r="BC10" s="59"/>
      <c r="BD10" s="63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49">
        <f t="shared" si="13"/>
        <v>0</v>
      </c>
      <c r="BP10" s="7">
        <f t="shared" si="14"/>
        <v>0</v>
      </c>
      <c r="BQ10" s="48">
        <f t="shared" si="1"/>
        <v>0</v>
      </c>
      <c r="BR10" s="48">
        <f t="shared" si="15"/>
        <v>0</v>
      </c>
      <c r="BS10" s="48">
        <f t="shared" si="16"/>
        <v>0</v>
      </c>
      <c r="BT10" s="48">
        <f t="shared" si="17"/>
        <v>0</v>
      </c>
      <c r="BU10" s="48">
        <f t="shared" si="18"/>
        <v>0</v>
      </c>
      <c r="BV10" s="48">
        <f t="shared" si="19"/>
        <v>0</v>
      </c>
      <c r="BW10" s="48">
        <f t="shared" si="20"/>
        <v>0</v>
      </c>
      <c r="BX10" s="48">
        <f t="shared" si="21"/>
        <v>0</v>
      </c>
      <c r="BY10" s="48">
        <f t="shared" si="22"/>
        <v>0</v>
      </c>
      <c r="BZ10" s="48">
        <f t="shared" si="23"/>
        <v>0</v>
      </c>
      <c r="CA10" s="48">
        <f t="shared" si="24"/>
        <v>0</v>
      </c>
      <c r="CB10" s="8"/>
      <c r="CD10" s="57">
        <v>0</v>
      </c>
      <c r="CE10" s="57">
        <v>0</v>
      </c>
      <c r="CF10" s="57">
        <v>0</v>
      </c>
      <c r="CG10" s="57">
        <v>0</v>
      </c>
      <c r="CH10" s="57">
        <v>0</v>
      </c>
      <c r="CI10" s="57">
        <v>0</v>
      </c>
      <c r="CJ10" s="57">
        <v>0</v>
      </c>
      <c r="CK10" s="57">
        <v>0</v>
      </c>
      <c r="CL10" s="57">
        <v>0</v>
      </c>
      <c r="CM10" s="57">
        <v>0</v>
      </c>
      <c r="CN10" s="56">
        <f t="shared" ref="CN10:CN11" si="27">SUM(CD10:CM10)</f>
        <v>0</v>
      </c>
    </row>
    <row r="11" spans="1:93" ht="21" customHeight="1" x14ac:dyDescent="0.25">
      <c r="A11" s="6">
        <v>8</v>
      </c>
      <c r="B11" s="9" t="s">
        <v>59</v>
      </c>
      <c r="C11" s="47" t="s">
        <v>60</v>
      </c>
      <c r="D11" s="60">
        <v>46005</v>
      </c>
      <c r="E11" s="59"/>
      <c r="F11" s="59"/>
      <c r="G11" s="59"/>
      <c r="H11" s="59"/>
      <c r="I11" s="59"/>
      <c r="J11" s="63"/>
      <c r="K11" s="59"/>
      <c r="L11" s="59"/>
      <c r="M11" s="59"/>
      <c r="N11" s="59"/>
      <c r="O11" s="59"/>
      <c r="P11" s="59"/>
      <c r="Q11" s="59"/>
      <c r="R11" s="63"/>
      <c r="S11" s="59"/>
      <c r="T11" s="63"/>
      <c r="U11" s="59"/>
      <c r="V11" s="59"/>
      <c r="W11" s="59"/>
      <c r="X11" s="59"/>
      <c r="Y11" s="59"/>
      <c r="Z11" s="59"/>
      <c r="AA11" s="59"/>
      <c r="AB11" s="63"/>
      <c r="AC11" s="59"/>
      <c r="AD11" s="63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63"/>
      <c r="AQ11" s="59"/>
      <c r="AR11" s="63"/>
      <c r="AS11" s="59"/>
      <c r="AT11" s="59"/>
      <c r="AU11" s="59"/>
      <c r="AV11" s="63"/>
      <c r="AW11" s="59"/>
      <c r="AX11" s="59"/>
      <c r="AY11" s="59"/>
      <c r="AZ11" s="59"/>
      <c r="BA11" s="59"/>
      <c r="BB11" s="63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49">
        <f t="shared" si="13"/>
        <v>0</v>
      </c>
      <c r="BP11" s="7">
        <f t="shared" si="14"/>
        <v>0</v>
      </c>
      <c r="BQ11" s="48">
        <f t="shared" si="1"/>
        <v>0</v>
      </c>
      <c r="BR11" s="48">
        <f t="shared" si="15"/>
        <v>0</v>
      </c>
      <c r="BS11" s="48">
        <f t="shared" si="16"/>
        <v>0</v>
      </c>
      <c r="BT11" s="48">
        <f t="shared" si="17"/>
        <v>0</v>
      </c>
      <c r="BU11" s="48">
        <f t="shared" si="18"/>
        <v>0</v>
      </c>
      <c r="BV11" s="48">
        <f t="shared" si="19"/>
        <v>0</v>
      </c>
      <c r="BW11" s="48">
        <f t="shared" si="20"/>
        <v>0</v>
      </c>
      <c r="BX11" s="48">
        <f t="shared" si="21"/>
        <v>0</v>
      </c>
      <c r="BY11" s="48">
        <f t="shared" si="22"/>
        <v>0</v>
      </c>
      <c r="BZ11" s="48">
        <f t="shared" si="23"/>
        <v>0</v>
      </c>
      <c r="CA11" s="48">
        <f t="shared" si="24"/>
        <v>0</v>
      </c>
      <c r="CB11" s="8"/>
      <c r="CD11" s="57">
        <v>0</v>
      </c>
      <c r="CE11" s="57">
        <v>0</v>
      </c>
      <c r="CF11" s="57">
        <v>0</v>
      </c>
      <c r="CG11" s="57">
        <v>0</v>
      </c>
      <c r="CH11" s="57">
        <v>0</v>
      </c>
      <c r="CI11" s="57">
        <v>4</v>
      </c>
      <c r="CJ11" s="57">
        <v>0</v>
      </c>
      <c r="CK11" s="57">
        <v>0</v>
      </c>
      <c r="CL11" s="57">
        <v>0</v>
      </c>
      <c r="CM11" s="57">
        <v>0</v>
      </c>
      <c r="CN11" s="58">
        <f t="shared" si="27"/>
        <v>4</v>
      </c>
    </row>
    <row r="12" spans="1:93" ht="21" customHeight="1" x14ac:dyDescent="0.25">
      <c r="A12" s="6">
        <v>9</v>
      </c>
      <c r="B12" s="9" t="s">
        <v>61</v>
      </c>
      <c r="C12" s="47" t="s">
        <v>62</v>
      </c>
      <c r="D12" s="60">
        <v>46004</v>
      </c>
      <c r="E12" s="59"/>
      <c r="F12" s="63"/>
      <c r="G12" s="59"/>
      <c r="H12" s="59"/>
      <c r="I12" s="59"/>
      <c r="J12" s="63"/>
      <c r="K12" s="59"/>
      <c r="L12" s="59"/>
      <c r="M12" s="59"/>
      <c r="N12" s="59"/>
      <c r="O12" s="59"/>
      <c r="P12" s="59"/>
      <c r="Q12" s="59"/>
      <c r="R12" s="59"/>
      <c r="S12" s="59"/>
      <c r="T12" s="63"/>
      <c r="U12" s="59"/>
      <c r="V12" s="63"/>
      <c r="W12" s="59"/>
      <c r="X12" s="63"/>
      <c r="Y12" s="59"/>
      <c r="Z12" s="59"/>
      <c r="AA12" s="59"/>
      <c r="AB12" s="59"/>
      <c r="AC12" s="59"/>
      <c r="AD12" s="63"/>
      <c r="AE12" s="59"/>
      <c r="AF12" s="59"/>
      <c r="AG12" s="59"/>
      <c r="AH12" s="63"/>
      <c r="AI12" s="59"/>
      <c r="AJ12" s="63"/>
      <c r="AK12" s="59"/>
      <c r="AL12" s="59"/>
      <c r="AM12" s="59"/>
      <c r="AN12" s="59"/>
      <c r="AO12" s="59"/>
      <c r="AP12" s="59"/>
      <c r="AQ12" s="59"/>
      <c r="AR12" s="63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63"/>
      <c r="BI12" s="59"/>
      <c r="BJ12" s="59"/>
      <c r="BK12" s="59"/>
      <c r="BL12" s="59"/>
      <c r="BM12" s="59"/>
      <c r="BN12" s="59"/>
      <c r="BO12" s="49">
        <f t="shared" si="13"/>
        <v>0</v>
      </c>
      <c r="BP12" s="7">
        <f t="shared" si="14"/>
        <v>0</v>
      </c>
      <c r="BQ12" s="48">
        <f t="shared" si="1"/>
        <v>0</v>
      </c>
      <c r="BR12" s="48">
        <f t="shared" si="15"/>
        <v>0</v>
      </c>
      <c r="BS12" s="48">
        <f t="shared" si="16"/>
        <v>0</v>
      </c>
      <c r="BT12" s="48">
        <f t="shared" si="17"/>
        <v>0</v>
      </c>
      <c r="BU12" s="48">
        <f t="shared" si="18"/>
        <v>0</v>
      </c>
      <c r="BV12" s="48">
        <f t="shared" si="19"/>
        <v>0</v>
      </c>
      <c r="BW12" s="48">
        <f t="shared" si="20"/>
        <v>0</v>
      </c>
      <c r="BX12" s="48">
        <f t="shared" si="21"/>
        <v>0</v>
      </c>
      <c r="BY12" s="48">
        <f t="shared" si="22"/>
        <v>0</v>
      </c>
      <c r="BZ12" s="48">
        <f t="shared" si="23"/>
        <v>0</v>
      </c>
      <c r="CA12" s="48">
        <f t="shared" si="24"/>
        <v>0</v>
      </c>
      <c r="CB12" s="8"/>
      <c r="CD12" s="57">
        <v>0</v>
      </c>
      <c r="CE12" s="57">
        <v>0</v>
      </c>
      <c r="CF12" s="57">
        <v>0</v>
      </c>
      <c r="CG12" s="57">
        <v>0</v>
      </c>
      <c r="CH12" s="57">
        <v>0</v>
      </c>
      <c r="CI12" s="57">
        <v>8</v>
      </c>
      <c r="CJ12" s="57">
        <v>0</v>
      </c>
      <c r="CK12" s="57">
        <v>0</v>
      </c>
      <c r="CL12" s="57">
        <v>0</v>
      </c>
      <c r="CM12" s="57">
        <v>0</v>
      </c>
      <c r="CN12" s="56">
        <f t="shared" ref="CN12" si="28">SUM(CD12:CM12)</f>
        <v>8</v>
      </c>
    </row>
    <row r="13" spans="1:93" x14ac:dyDescent="0.25">
      <c r="B13" s="10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V13" s="11"/>
      <c r="BW13" s="11"/>
      <c r="BX13" s="11"/>
      <c r="BY13" s="11"/>
      <c r="BZ13" s="11"/>
      <c r="CA13" s="11"/>
      <c r="CB13" s="11"/>
    </row>
    <row r="14" spans="1:93" ht="15.75" x14ac:dyDescent="0.25">
      <c r="B14" s="10"/>
      <c r="F14" s="12"/>
      <c r="G14" s="13" t="s">
        <v>38</v>
      </c>
      <c r="H14" s="14"/>
      <c r="I14" s="13"/>
      <c r="J14" s="15"/>
      <c r="K14" s="15"/>
      <c r="L14" s="16"/>
      <c r="M14" s="17"/>
      <c r="N14" s="17"/>
      <c r="O14" s="18" t="s">
        <v>39</v>
      </c>
      <c r="P14" s="18"/>
      <c r="Q14" s="16"/>
      <c r="R14" s="16"/>
      <c r="S14" s="16"/>
      <c r="T14" s="16"/>
      <c r="U14" s="16" t="s">
        <v>40</v>
      </c>
      <c r="V14" s="16"/>
      <c r="W14" s="16"/>
      <c r="X14" s="16"/>
      <c r="Y14" s="18" t="s">
        <v>41</v>
      </c>
      <c r="Z14" s="16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Q14" s="20" t="s">
        <v>42</v>
      </c>
      <c r="BR14" s="21"/>
      <c r="BS14" s="21"/>
      <c r="BT14" s="22" t="s">
        <v>14</v>
      </c>
      <c r="BU14" s="11"/>
      <c r="BV14" s="11"/>
      <c r="BW14" s="23" t="s">
        <v>43</v>
      </c>
      <c r="BX14" s="24"/>
      <c r="BY14" s="24"/>
      <c r="BZ14" s="25"/>
      <c r="CA14" s="26" t="s">
        <v>20</v>
      </c>
      <c r="CB14" s="11"/>
    </row>
    <row r="15" spans="1:93" ht="17.25" x14ac:dyDescent="0.25">
      <c r="F15" s="27"/>
      <c r="G15" s="15"/>
      <c r="H15" s="15"/>
      <c r="I15" s="15"/>
      <c r="J15" s="15"/>
      <c r="K15" s="15"/>
      <c r="L15" s="15"/>
      <c r="M15" s="28"/>
      <c r="N15" s="28"/>
      <c r="O15" s="28"/>
      <c r="P15" s="15"/>
      <c r="Q15" s="15"/>
      <c r="R15" s="15"/>
      <c r="S15" s="29"/>
      <c r="T15" s="29"/>
      <c r="U15" s="29"/>
      <c r="V15" s="29"/>
      <c r="W15" s="29"/>
      <c r="X15" s="29"/>
      <c r="Y15" s="30"/>
      <c r="Z15" s="30"/>
      <c r="BQ15" s="20" t="s">
        <v>44</v>
      </c>
      <c r="BR15" s="21"/>
      <c r="BS15" s="21"/>
      <c r="BT15" s="22" t="s">
        <v>16</v>
      </c>
      <c r="BU15" s="11"/>
      <c r="BV15" s="11"/>
      <c r="BW15" s="31" t="s">
        <v>45</v>
      </c>
      <c r="BX15" s="32"/>
      <c r="BY15" s="32"/>
      <c r="BZ15" s="25"/>
      <c r="CA15" s="26" t="s">
        <v>22</v>
      </c>
    </row>
    <row r="16" spans="1:93" ht="17.25" x14ac:dyDescent="0.25">
      <c r="B16" s="10"/>
      <c r="E16" s="27"/>
      <c r="F16" s="27"/>
      <c r="G16" s="33"/>
      <c r="H16" s="15"/>
      <c r="I16" s="33"/>
      <c r="J16" s="15"/>
      <c r="K16" s="15"/>
      <c r="L16" s="33" t="s">
        <v>40</v>
      </c>
      <c r="M16" s="34"/>
      <c r="N16" s="34"/>
      <c r="O16" s="28"/>
      <c r="P16" s="15"/>
      <c r="Q16" s="33"/>
      <c r="R16" s="33"/>
      <c r="S16" s="16"/>
      <c r="T16" s="15"/>
      <c r="U16" s="15"/>
      <c r="V16" s="15"/>
      <c r="W16" s="15"/>
      <c r="X16" s="15"/>
      <c r="Y16" s="35"/>
      <c r="Z16" s="35"/>
      <c r="AA16" s="19"/>
      <c r="AB16" s="11" t="s">
        <v>40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Q16" s="20" t="s">
        <v>46</v>
      </c>
      <c r="BR16" s="21"/>
      <c r="BS16" s="21"/>
      <c r="BT16" s="22" t="s">
        <v>17</v>
      </c>
      <c r="BU16" s="11"/>
      <c r="BV16" s="11"/>
      <c r="BW16" s="23" t="s">
        <v>47</v>
      </c>
      <c r="BX16" s="24"/>
      <c r="BY16" s="24"/>
      <c r="BZ16" s="25"/>
      <c r="CA16" s="26" t="s">
        <v>23</v>
      </c>
      <c r="CB16" s="11"/>
    </row>
    <row r="17" spans="1:92" ht="17.25" x14ac:dyDescent="0.25">
      <c r="B17" s="10"/>
      <c r="E17" s="27"/>
      <c r="F17" s="36"/>
      <c r="G17" s="33"/>
      <c r="H17" s="15"/>
      <c r="I17" s="33"/>
      <c r="J17" s="15"/>
      <c r="K17" s="15"/>
      <c r="L17" s="33"/>
      <c r="M17" s="34"/>
      <c r="N17" s="34"/>
      <c r="O17" s="28"/>
      <c r="P17" s="16"/>
      <c r="Q17" s="33"/>
      <c r="R17" s="33"/>
      <c r="S17" s="16"/>
      <c r="T17" s="15"/>
      <c r="U17" s="15"/>
      <c r="V17" s="15"/>
      <c r="W17" s="15"/>
      <c r="X17" s="15"/>
      <c r="Y17" s="35"/>
      <c r="Z17" s="35"/>
      <c r="AA17" s="19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BQ17" s="20" t="s">
        <v>51</v>
      </c>
      <c r="BR17" s="21"/>
      <c r="BS17" s="21"/>
      <c r="BT17" s="22" t="s">
        <v>18</v>
      </c>
      <c r="BU17" s="11"/>
      <c r="BV17" s="11"/>
      <c r="BW17" s="23" t="s">
        <v>52</v>
      </c>
      <c r="BX17" s="24"/>
      <c r="BY17" s="24"/>
      <c r="BZ17" s="25"/>
      <c r="CA17" s="26" t="s">
        <v>24</v>
      </c>
      <c r="CB17" s="11"/>
    </row>
    <row r="18" spans="1:92" ht="17.25" x14ac:dyDescent="0.25">
      <c r="B18" s="10"/>
      <c r="C18" t="s">
        <v>40</v>
      </c>
      <c r="E18" s="36"/>
      <c r="F18" s="38" t="s">
        <v>48</v>
      </c>
      <c r="G18" s="39"/>
      <c r="H18" s="12"/>
      <c r="I18" s="38"/>
      <c r="J18" s="15"/>
      <c r="K18" s="15"/>
      <c r="L18" s="33"/>
      <c r="M18" s="28"/>
      <c r="N18" s="34"/>
      <c r="O18" s="14" t="s">
        <v>49</v>
      </c>
      <c r="P18" s="15"/>
      <c r="Q18" s="33"/>
      <c r="R18" s="16"/>
      <c r="S18" s="15"/>
      <c r="T18" s="15"/>
      <c r="U18" s="15"/>
      <c r="V18" s="15"/>
      <c r="W18" s="15"/>
      <c r="X18" s="15"/>
      <c r="Y18" s="14" t="s">
        <v>50</v>
      </c>
      <c r="Z18" s="35"/>
      <c r="AA18" s="37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Q18" s="20" t="s">
        <v>56</v>
      </c>
      <c r="BR18" s="21"/>
      <c r="BS18" s="21"/>
      <c r="BT18" s="22" t="s">
        <v>19</v>
      </c>
      <c r="BU18" s="11"/>
      <c r="BV18" s="11"/>
      <c r="BW18" s="11"/>
      <c r="BX18" s="11"/>
      <c r="BY18" s="11"/>
      <c r="BZ18" s="11"/>
      <c r="CA18" s="11"/>
      <c r="CB18" s="11"/>
    </row>
    <row r="19" spans="1:92" ht="17.25" x14ac:dyDescent="0.25">
      <c r="B19" s="10"/>
      <c r="E19" s="38"/>
      <c r="F19" s="38"/>
      <c r="G19" s="38" t="s">
        <v>53</v>
      </c>
      <c r="H19" s="36"/>
      <c r="I19" s="36"/>
      <c r="J19" s="15"/>
      <c r="K19" s="15"/>
      <c r="L19" s="14"/>
      <c r="M19" s="40"/>
      <c r="N19" s="40"/>
      <c r="O19" s="14" t="s">
        <v>54</v>
      </c>
      <c r="P19" s="14"/>
      <c r="Q19" s="14"/>
      <c r="R19" s="16"/>
      <c r="S19" s="14"/>
      <c r="T19" s="15"/>
      <c r="U19" s="15" t="s">
        <v>40</v>
      </c>
      <c r="V19" s="15"/>
      <c r="W19" s="15"/>
      <c r="X19" s="15"/>
      <c r="Y19" s="14" t="s">
        <v>55</v>
      </c>
      <c r="Z19" s="35"/>
      <c r="AA19" s="37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41"/>
      <c r="AU19" s="11"/>
      <c r="AV19" s="11"/>
      <c r="AW19" s="11"/>
      <c r="AX19" s="11"/>
      <c r="AY19" s="11"/>
      <c r="AZ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CB19" s="11"/>
    </row>
    <row r="21" spans="1:92" x14ac:dyDescent="0.25"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30" spans="1:92" ht="21" customHeight="1" x14ac:dyDescent="0.25">
      <c r="A30" s="6">
        <v>4</v>
      </c>
      <c r="B30" s="48" t="s">
        <v>30</v>
      </c>
      <c r="C30" s="46" t="s">
        <v>31</v>
      </c>
      <c r="D30" s="61">
        <v>42172</v>
      </c>
      <c r="E30" s="59">
        <v>0.27638888888888885</v>
      </c>
      <c r="F30" s="63">
        <v>1</v>
      </c>
      <c r="G30" s="59">
        <v>0.29722222222222222</v>
      </c>
      <c r="H30" s="63">
        <v>1</v>
      </c>
      <c r="I30" s="64">
        <v>0.27847222222222223</v>
      </c>
      <c r="J30" s="64">
        <v>0.95694444444444438</v>
      </c>
      <c r="K30" s="59">
        <v>0.30138888888888887</v>
      </c>
      <c r="L30" s="59">
        <v>0.9243055555555556</v>
      </c>
      <c r="M30" s="59">
        <v>0.32430555555555557</v>
      </c>
      <c r="N30" s="59">
        <v>0.95277777777777783</v>
      </c>
      <c r="O30" s="59">
        <v>0.32222222222222224</v>
      </c>
      <c r="P30" s="59">
        <v>0.9506944444444444</v>
      </c>
      <c r="Q30" s="59">
        <v>0.28958333333333336</v>
      </c>
      <c r="R30" s="59">
        <v>0.92361111111111116</v>
      </c>
      <c r="S30" s="59">
        <v>0.29652777777777778</v>
      </c>
      <c r="T30" s="59">
        <v>0.94027777777777777</v>
      </c>
      <c r="U30" s="59">
        <v>0.27013888888888887</v>
      </c>
      <c r="V30" s="59">
        <v>0.93125000000000002</v>
      </c>
      <c r="W30" s="64">
        <v>0.2951388888888889</v>
      </c>
      <c r="X30" s="64">
        <v>0.92291666666666661</v>
      </c>
      <c r="Y30" s="59">
        <v>0.27847222222222223</v>
      </c>
      <c r="Z30" s="63">
        <v>1</v>
      </c>
      <c r="AA30" s="59" t="s">
        <v>17</v>
      </c>
      <c r="AB30" s="59" t="s">
        <v>17</v>
      </c>
      <c r="AC30" s="59" t="s">
        <v>17</v>
      </c>
      <c r="AD30" s="59" t="s">
        <v>17</v>
      </c>
      <c r="AE30" s="59" t="s">
        <v>17</v>
      </c>
      <c r="AF30" s="59" t="s">
        <v>17</v>
      </c>
      <c r="AG30" s="59" t="s">
        <v>17</v>
      </c>
      <c r="AH30" s="59" t="s">
        <v>17</v>
      </c>
      <c r="AI30" s="59" t="s">
        <v>17</v>
      </c>
      <c r="AJ30" s="59" t="s">
        <v>17</v>
      </c>
      <c r="AK30" s="59" t="s">
        <v>17</v>
      </c>
      <c r="AL30" s="59" t="s">
        <v>17</v>
      </c>
      <c r="AM30" s="59" t="s">
        <v>17</v>
      </c>
      <c r="AN30" s="59" t="s">
        <v>17</v>
      </c>
      <c r="AO30" s="59" t="s">
        <v>17</v>
      </c>
      <c r="AP30" s="59" t="s">
        <v>17</v>
      </c>
      <c r="AQ30" s="59" t="s">
        <v>17</v>
      </c>
      <c r="AR30" s="59" t="s">
        <v>17</v>
      </c>
      <c r="AS30" s="59" t="s">
        <v>17</v>
      </c>
      <c r="AT30" s="59" t="s">
        <v>17</v>
      </c>
      <c r="AU30" s="59" t="s">
        <v>17</v>
      </c>
      <c r="AV30" s="59" t="s">
        <v>17</v>
      </c>
      <c r="AW30" s="59" t="s">
        <v>17</v>
      </c>
      <c r="AX30" s="59" t="s">
        <v>17</v>
      </c>
      <c r="AY30" s="59" t="s">
        <v>17</v>
      </c>
      <c r="AZ30" s="59" t="s">
        <v>17</v>
      </c>
      <c r="BA30" s="59" t="s">
        <v>17</v>
      </c>
      <c r="BB30" s="59" t="s">
        <v>17</v>
      </c>
      <c r="BC30" s="59" t="s">
        <v>17</v>
      </c>
      <c r="BD30" s="59" t="s">
        <v>17</v>
      </c>
      <c r="BE30" s="59" t="s">
        <v>17</v>
      </c>
      <c r="BF30" s="59" t="s">
        <v>17</v>
      </c>
      <c r="BG30" s="59" t="s">
        <v>17</v>
      </c>
      <c r="BH30" s="59" t="s">
        <v>17</v>
      </c>
      <c r="BI30" s="59" t="s">
        <v>17</v>
      </c>
      <c r="BJ30" s="59" t="s">
        <v>17</v>
      </c>
      <c r="BK30" s="59" t="s">
        <v>17</v>
      </c>
      <c r="BL30" s="59"/>
      <c r="BM30" s="59"/>
      <c r="BN30" s="59" t="s">
        <v>17</v>
      </c>
      <c r="BO30" s="49">
        <f>BP30+BQ30+BR30+BT30+BU30+BY30+BW30+BX30</f>
        <v>30</v>
      </c>
      <c r="BP30" s="7">
        <f>COUNT(E30:AI30)/2+COUNT(AJ30:BN30)/2</f>
        <v>11</v>
      </c>
      <c r="BQ30" s="48">
        <f>COUNTIF(E30:BN30,"OFF")/2</f>
        <v>0</v>
      </c>
      <c r="BR30" s="48">
        <f>COUNTIF(E30:BN30,"MC")/2</f>
        <v>0</v>
      </c>
      <c r="BS30" s="48">
        <f>COUNTIF(E30:BN30,"EL")/2</f>
        <v>0</v>
      </c>
      <c r="BT30" s="48">
        <f>COUNTIF(E30:BN30,"AL")/2</f>
        <v>19</v>
      </c>
      <c r="BU30" s="48">
        <f>COUNTIF(E30:BN30,"SUS")/2</f>
        <v>0</v>
      </c>
      <c r="BV30" s="48">
        <f>COUNTIF(E30:BN30,"FL")/2</f>
        <v>0</v>
      </c>
      <c r="BW30" s="48">
        <f>COUNTIF(E30:BN30,"SICK")/2</f>
        <v>0</v>
      </c>
      <c r="BX30" s="48">
        <f>COUNTIF(E30:BN30,"HD")/2</f>
        <v>0</v>
      </c>
      <c r="BY30" s="48">
        <f>COUNTIF(E30:BN30,"AB")/2</f>
        <v>0</v>
      </c>
      <c r="BZ30" s="48">
        <f>COUNTIF(E30:BN30,"NL")/2</f>
        <v>0</v>
      </c>
      <c r="CA30" s="48">
        <f>COUNTIF(E30:BN30,"SP")/2</f>
        <v>0</v>
      </c>
      <c r="CB30" s="8"/>
      <c r="CD30" s="57">
        <v>0</v>
      </c>
      <c r="CE30" s="57">
        <v>0</v>
      </c>
      <c r="CF30" s="57">
        <v>0</v>
      </c>
      <c r="CG30" s="57">
        <v>0</v>
      </c>
      <c r="CH30" s="57">
        <v>0</v>
      </c>
      <c r="CI30" s="57">
        <v>0</v>
      </c>
      <c r="CJ30" s="57">
        <v>0</v>
      </c>
      <c r="CK30" s="57">
        <v>0</v>
      </c>
      <c r="CL30" s="57">
        <v>0</v>
      </c>
      <c r="CM30" s="57">
        <v>0</v>
      </c>
      <c r="CN30" s="56">
        <f>SUM(CD30:CM30)</f>
        <v>0</v>
      </c>
    </row>
  </sheetData>
  <mergeCells count="68">
    <mergeCell ref="A1:AH1"/>
    <mergeCell ref="BI3:BJ3"/>
    <mergeCell ref="BI2:BJ2"/>
    <mergeCell ref="BG3:BH3"/>
    <mergeCell ref="BG2:BH2"/>
    <mergeCell ref="AI1:CB1"/>
    <mergeCell ref="A2:C3"/>
    <mergeCell ref="E2:F2"/>
    <mergeCell ref="G2:H2"/>
    <mergeCell ref="I2:J2"/>
    <mergeCell ref="K2:L2"/>
    <mergeCell ref="M2:N2"/>
    <mergeCell ref="O2:P2"/>
    <mergeCell ref="AK3:AL3"/>
    <mergeCell ref="AM3:AN3"/>
    <mergeCell ref="BO2:BO4"/>
    <mergeCell ref="U2:V2"/>
    <mergeCell ref="W2:X2"/>
    <mergeCell ref="AE2:AF2"/>
    <mergeCell ref="AI2:AJ2"/>
    <mergeCell ref="AK2:AL2"/>
    <mergeCell ref="AM2:AN2"/>
    <mergeCell ref="W3:X3"/>
    <mergeCell ref="Y3:Z3"/>
    <mergeCell ref="AA3:AB3"/>
    <mergeCell ref="AC3:AD3"/>
    <mergeCell ref="AE3:AF3"/>
    <mergeCell ref="AG3:AH3"/>
    <mergeCell ref="BM3:BN3"/>
    <mergeCell ref="BM2:BN2"/>
    <mergeCell ref="BK2:BL2"/>
    <mergeCell ref="BK3:BL3"/>
    <mergeCell ref="BE2:BF2"/>
    <mergeCell ref="AW3:AX3"/>
    <mergeCell ref="AA2:AB2"/>
    <mergeCell ref="AC2:AD2"/>
    <mergeCell ref="AG2:AH2"/>
    <mergeCell ref="AO2:AP2"/>
    <mergeCell ref="AI3:AJ3"/>
    <mergeCell ref="O3:P3"/>
    <mergeCell ref="Q3:R3"/>
    <mergeCell ref="S3:T3"/>
    <mergeCell ref="U3:V3"/>
    <mergeCell ref="BC2:BD2"/>
    <mergeCell ref="Q2:R2"/>
    <mergeCell ref="Y2:Z2"/>
    <mergeCell ref="S2:T2"/>
    <mergeCell ref="E3:F3"/>
    <mergeCell ref="G3:H3"/>
    <mergeCell ref="I3:J3"/>
    <mergeCell ref="K3:L3"/>
    <mergeCell ref="M3:N3"/>
    <mergeCell ref="CD2:CN2"/>
    <mergeCell ref="AO3:AP3"/>
    <mergeCell ref="AQ3:AR3"/>
    <mergeCell ref="AS3:AT3"/>
    <mergeCell ref="AU3:AV3"/>
    <mergeCell ref="AY3:AZ3"/>
    <mergeCell ref="BA3:BB3"/>
    <mergeCell ref="AQ2:AR2"/>
    <mergeCell ref="AS2:AT2"/>
    <mergeCell ref="AU2:AV2"/>
    <mergeCell ref="AW2:AX2"/>
    <mergeCell ref="AY2:AZ2"/>
    <mergeCell ref="BA2:BB2"/>
    <mergeCell ref="BE3:BF3"/>
    <mergeCell ref="BC3:BD3"/>
    <mergeCell ref="BP2:CB2"/>
  </mergeCells>
  <phoneticPr fontId="17" type="noConversion"/>
  <conditionalFormatting sqref="A2">
    <cfRule type="cellIs" dxfId="23" priority="63" operator="equal">
      <formula>";"</formula>
    </cfRule>
  </conditionalFormatting>
  <conditionalFormatting sqref="B7">
    <cfRule type="duplicateValues" dxfId="22" priority="60"/>
  </conditionalFormatting>
  <conditionalFormatting sqref="B9">
    <cfRule type="duplicateValues" dxfId="21" priority="211"/>
  </conditionalFormatting>
  <conditionalFormatting sqref="B11:B12">
    <cfRule type="duplicateValues" dxfId="20" priority="59"/>
  </conditionalFormatting>
  <conditionalFormatting sqref="D6">
    <cfRule type="timePeriod" dxfId="19" priority="5" timePeriod="last7Days">
      <formula>AND(TODAY()-FLOOR(D6,1)&lt;=6,FLOOR(D6,1)&lt;=TODAY())</formula>
    </cfRule>
    <cfRule type="timePeriod" dxfId="18" priority="6" timePeriod="thisWeek">
      <formula>AND(TODAY()-ROUNDDOWN(D6,0)&lt;=WEEKDAY(TODAY())-1,ROUNDDOWN(D6,0)-TODAY()&lt;=7-WEEKDAY(TODAY()))</formula>
    </cfRule>
    <cfRule type="timePeriod" dxfId="17" priority="8" timePeriod="nextWeek">
      <formula>AND(ROUNDDOWN(D6,0)-TODAY()&gt;(7-WEEKDAY(TODAY())),ROUNDDOWN(D6,0)-TODAY()&lt;(15-WEEKDAY(TODAY())))</formula>
    </cfRule>
  </conditionalFormatting>
  <conditionalFormatting sqref="D6:D12 D30">
    <cfRule type="timePeriod" priority="7" timePeriod="nextWeek">
      <formula>AND(ROUNDDOWN(D6,0)-TODAY()&gt;(7-WEEKDAY(TODAY())),ROUNDDOWN(D6,0)-TODAY()&lt;(15-WEEKDAY(TODAY())))</formula>
    </cfRule>
  </conditionalFormatting>
  <conditionalFormatting sqref="D7:D12 D30">
    <cfRule type="timePeriod" dxfId="16" priority="12" timePeriod="nextWeek">
      <formula>AND(ROUNDDOWN(D7,0)-TODAY()&gt;(7-WEEKDAY(TODAY())),ROUNDDOWN(D7,0)-TODAY()&lt;(15-WEEKDAY(TODAY())))</formula>
    </cfRule>
  </conditionalFormatting>
  <conditionalFormatting sqref="D9">
    <cfRule type="timePeriod" dxfId="15" priority="9" timePeriod="last7Days">
      <formula>AND(TODAY()-FLOOR(D9,1)&lt;=6,FLOOR(D9,1)&lt;=TODAY())</formula>
    </cfRule>
    <cfRule type="timePeriod" dxfId="14" priority="10" timePeriod="thisWeek">
      <formula>AND(TODAY()-ROUNDDOWN(D9,0)&lt;=WEEKDAY(TODAY())-1,ROUNDDOWN(D9,0)-TODAY()&lt;=7-WEEKDAY(TODAY()))</formula>
    </cfRule>
  </conditionalFormatting>
  <conditionalFormatting sqref="D10:D11">
    <cfRule type="timePeriod" dxfId="13" priority="15" timePeriod="last7Days">
      <formula>AND(TODAY()-FLOOR(D10,1)&lt;=6,FLOOR(D10,1)&lt;=TODAY())</formula>
    </cfRule>
    <cfRule type="timePeriod" dxfId="12" priority="16" timePeriod="thisWeek">
      <formula>AND(TODAY()-ROUNDDOWN(D10,0)&lt;=WEEKDAY(TODAY())-1,ROUNDDOWN(D10,0)-TODAY()&lt;=7-WEEKDAY(TODAY()))</formula>
    </cfRule>
  </conditionalFormatting>
  <conditionalFormatting sqref="D11:D12">
    <cfRule type="timePeriod" dxfId="11" priority="21" timePeriod="last7Days">
      <formula>AND(TODAY()-FLOOR(D11,1)&lt;=6,FLOOR(D11,1)&lt;=TODAY())</formula>
    </cfRule>
    <cfRule type="timePeriod" dxfId="10" priority="22" timePeriod="thisWeek">
      <formula>AND(TODAY()-ROUNDDOWN(D11,0)&lt;=WEEKDAY(TODAY())-1,ROUNDDOWN(D11,0)-TODAY()&lt;=7-WEEKDAY(TODAY()))</formula>
    </cfRule>
  </conditionalFormatting>
  <conditionalFormatting sqref="E5:BN12">
    <cfRule type="containsText" dxfId="9" priority="1" operator="containsText" text="AL">
      <formula>NOT(ISERROR(SEARCH("AL",E5)))</formula>
    </cfRule>
    <cfRule type="containsText" dxfId="8" priority="2" operator="containsText" text="SICK">
      <formula>NOT(ISERROR(SEARCH("SICK",E5)))</formula>
    </cfRule>
    <cfRule type="containsText" dxfId="7" priority="3" operator="containsText" text="OFF">
      <formula>NOT(ISERROR(SEARCH("OFF",E5)))</formula>
    </cfRule>
  </conditionalFormatting>
  <conditionalFormatting sqref="AA30:BN30">
    <cfRule type="containsText" dxfId="6" priority="4" operator="containsText" text="AL">
      <formula>NOT(ISERROR(SEARCH("AL",AA30)))</formula>
    </cfRule>
  </conditionalFormatting>
  <conditionalFormatting sqref="BO5:BO12 BO30">
    <cfRule type="containsText" dxfId="5" priority="29" stopIfTrue="1" operator="containsText" text="SP">
      <formula>NOT(ISERROR(SEARCH("SP",BO5)))</formula>
    </cfRule>
    <cfRule type="containsText" dxfId="4" priority="30" stopIfTrue="1" operator="containsText" text="AL">
      <formula>NOT(ISERROR(SEARCH("AL",BO5)))</formula>
    </cfRule>
    <cfRule type="containsText" dxfId="3" priority="31" stopIfTrue="1" operator="containsText" text="EL">
      <formula>NOT(ISERROR(SEARCH("EL",BO5)))</formula>
    </cfRule>
    <cfRule type="containsText" dxfId="2" priority="32" stopIfTrue="1" operator="containsText" text="AB">
      <formula>NOT(ISERROR(SEARCH("AB",BO5)))</formula>
    </cfRule>
    <cfRule type="containsText" dxfId="1" priority="33" stopIfTrue="1" operator="containsText" text="FL">
      <formula>NOT(ISERROR(SEARCH("FL",BO5)))</formula>
    </cfRule>
    <cfRule type="containsText" dxfId="0" priority="34" stopIfTrue="1" operator="containsText" text="SICK">
      <formula>NOT(ISERROR(SEARCH("SICK",BO5)))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2026-06-17T07:49:41Z</cp:lastPrinted>
  <dcterms:created xsi:type="dcterms:W3CDTF">2025-11-05T10:24:14Z</dcterms:created>
  <dcterms:modified xsi:type="dcterms:W3CDTF">2026-10-30T09:12:51Z</dcterms:modified>
</cp:coreProperties>
</file>