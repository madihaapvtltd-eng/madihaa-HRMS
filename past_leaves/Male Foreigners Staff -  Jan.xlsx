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"/>
    </mc:Choice>
  </mc:AlternateContent>
  <xr:revisionPtr revIDLastSave="0" documentId="13_ncr:1_{FBAC2CD9-5312-4700-BCE6-3B71F9BADA9D}" xr6:coauthVersionLast="47" xr6:coauthVersionMax="47" xr10:uidLastSave="{00000000-0000-0000-0000-000000000000}"/>
  <bookViews>
    <workbookView xWindow="-120" yWindow="-120" windowWidth="29040" windowHeight="15840" tabRatio="630" xr2:uid="{7B5E2D85-C188-4C2A-B943-BB771193A8A7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R110" i="1" l="1"/>
  <c r="CR109" i="1"/>
  <c r="CR108" i="1"/>
  <c r="CR107" i="1"/>
  <c r="CR106" i="1"/>
  <c r="CR105" i="1"/>
  <c r="CR104" i="1"/>
  <c r="CR103" i="1"/>
  <c r="CR102" i="1"/>
  <c r="CR101" i="1"/>
  <c r="CR100" i="1"/>
  <c r="CR99" i="1"/>
  <c r="CR98" i="1"/>
  <c r="CR97" i="1"/>
  <c r="CR96" i="1"/>
  <c r="CR95" i="1"/>
  <c r="CR94" i="1"/>
  <c r="CR93" i="1"/>
  <c r="CR92" i="1"/>
  <c r="CR91" i="1"/>
  <c r="CR90" i="1"/>
  <c r="CR89" i="1"/>
  <c r="CR88" i="1"/>
  <c r="CR87" i="1"/>
  <c r="CR86" i="1"/>
  <c r="CR85" i="1"/>
  <c r="CR84" i="1"/>
  <c r="CR83" i="1"/>
  <c r="CR82" i="1"/>
  <c r="CR81" i="1"/>
  <c r="CR80" i="1"/>
  <c r="CR79" i="1"/>
  <c r="CR78" i="1"/>
  <c r="CR77" i="1"/>
  <c r="CR76" i="1"/>
  <c r="CR75" i="1"/>
  <c r="CR74" i="1"/>
  <c r="CR73" i="1"/>
  <c r="CR72" i="1"/>
  <c r="CR71" i="1"/>
  <c r="CR70" i="1"/>
  <c r="CR69" i="1"/>
  <c r="CR68" i="1"/>
  <c r="CR67" i="1"/>
  <c r="CR66" i="1"/>
  <c r="CR65" i="1"/>
  <c r="CR64" i="1"/>
  <c r="CR63" i="1"/>
  <c r="CR62" i="1"/>
  <c r="CR61" i="1"/>
  <c r="CR60" i="1"/>
  <c r="CR59" i="1"/>
  <c r="CR58" i="1"/>
  <c r="CR57" i="1"/>
  <c r="CR56" i="1"/>
  <c r="CR55" i="1"/>
  <c r="CR54" i="1"/>
  <c r="CR53" i="1"/>
  <c r="CR52" i="1"/>
  <c r="CR51" i="1"/>
  <c r="CR50" i="1"/>
  <c r="CR49" i="1"/>
  <c r="CR48" i="1"/>
  <c r="CR47" i="1"/>
  <c r="CR46" i="1"/>
  <c r="CR45" i="1"/>
  <c r="CR44" i="1"/>
  <c r="CR43" i="1"/>
  <c r="CR42" i="1"/>
  <c r="CR41" i="1"/>
  <c r="CR26" i="1"/>
  <c r="CR25" i="1"/>
  <c r="CR24" i="1"/>
  <c r="CR23" i="1"/>
  <c r="CR22" i="1"/>
  <c r="CR21" i="1"/>
  <c r="CR20" i="1"/>
  <c r="CR19" i="1"/>
  <c r="CR18" i="1"/>
  <c r="CR17" i="1"/>
  <c r="CR16" i="1"/>
  <c r="CR15" i="1"/>
  <c r="CR14" i="1"/>
  <c r="CR13" i="1"/>
  <c r="CR12" i="1"/>
  <c r="CR11" i="1"/>
  <c r="CR10" i="1"/>
  <c r="CR9" i="1"/>
  <c r="CR8" i="1"/>
  <c r="CR7" i="1"/>
  <c r="CR6" i="1"/>
  <c r="CR5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BR48" i="1"/>
  <c r="BP48" i="1" s="1"/>
  <c r="BS48" i="1"/>
  <c r="BT48" i="1"/>
  <c r="BU48" i="1"/>
  <c r="BV48" i="1"/>
  <c r="BW48" i="1"/>
  <c r="BX48" i="1"/>
  <c r="BY48" i="1"/>
  <c r="BZ48" i="1"/>
  <c r="CA48" i="1"/>
  <c r="CB48" i="1"/>
  <c r="CC48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P41" i="1" s="1"/>
  <c r="BR6" i="1"/>
  <c r="BS6" i="1"/>
  <c r="BT6" i="1"/>
  <c r="BU6" i="1"/>
  <c r="BV6" i="1"/>
  <c r="BW6" i="1"/>
  <c r="BX6" i="1"/>
  <c r="BY6" i="1"/>
  <c r="BZ6" i="1"/>
  <c r="CA6" i="1"/>
  <c r="CB6" i="1"/>
  <c r="CC6" i="1"/>
  <c r="BR7" i="1"/>
  <c r="BS7" i="1"/>
  <c r="BT7" i="1"/>
  <c r="BU7" i="1"/>
  <c r="BV7" i="1"/>
  <c r="BW7" i="1"/>
  <c r="BX7" i="1"/>
  <c r="BY7" i="1"/>
  <c r="BZ7" i="1"/>
  <c r="CA7" i="1"/>
  <c r="CB7" i="1"/>
  <c r="CC7" i="1"/>
  <c r="BR8" i="1"/>
  <c r="BS8" i="1"/>
  <c r="BT8" i="1"/>
  <c r="BU8" i="1"/>
  <c r="BV8" i="1"/>
  <c r="BW8" i="1"/>
  <c r="BX8" i="1"/>
  <c r="BY8" i="1"/>
  <c r="BZ8" i="1"/>
  <c r="CA8" i="1"/>
  <c r="CB8" i="1"/>
  <c r="CC8" i="1"/>
  <c r="BR9" i="1"/>
  <c r="BS9" i="1"/>
  <c r="BT9" i="1"/>
  <c r="BU9" i="1"/>
  <c r="BV9" i="1"/>
  <c r="BW9" i="1"/>
  <c r="BX9" i="1"/>
  <c r="BY9" i="1"/>
  <c r="BZ9" i="1"/>
  <c r="CA9" i="1"/>
  <c r="CB9" i="1"/>
  <c r="CC9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BY5" i="1"/>
  <c r="BR5" i="1"/>
  <c r="BP14" i="1" l="1"/>
  <c r="BP22" i="1"/>
  <c r="BP21" i="1"/>
  <c r="BP13" i="1"/>
  <c r="BP114" i="1"/>
  <c r="BP112" i="1"/>
  <c r="BP111" i="1"/>
  <c r="BP110" i="1"/>
  <c r="BP109" i="1"/>
  <c r="BP108" i="1"/>
  <c r="BP107" i="1"/>
  <c r="BP106" i="1"/>
  <c r="BP105" i="1"/>
  <c r="BP104" i="1"/>
  <c r="BP103" i="1"/>
  <c r="BP102" i="1"/>
  <c r="BP101" i="1"/>
  <c r="BP100" i="1"/>
  <c r="BP99" i="1"/>
  <c r="BP98" i="1"/>
  <c r="BP97" i="1"/>
  <c r="BP96" i="1"/>
  <c r="BP95" i="1"/>
  <c r="BP94" i="1"/>
  <c r="BP93" i="1"/>
  <c r="BP92" i="1"/>
  <c r="BP91" i="1"/>
  <c r="BP90" i="1"/>
  <c r="BP87" i="1"/>
  <c r="BP86" i="1"/>
  <c r="BP85" i="1"/>
  <c r="BP84" i="1"/>
  <c r="BP83" i="1"/>
  <c r="BP82" i="1"/>
  <c r="BP81" i="1"/>
  <c r="BP80" i="1"/>
  <c r="BP79" i="1"/>
  <c r="BP78" i="1"/>
  <c r="BP77" i="1"/>
  <c r="BP76" i="1"/>
  <c r="BP75" i="1"/>
  <c r="BP74" i="1"/>
  <c r="BP73" i="1"/>
  <c r="BP72" i="1"/>
  <c r="BP71" i="1"/>
  <c r="BP70" i="1"/>
  <c r="BP69" i="1"/>
  <c r="BP68" i="1"/>
  <c r="BP67" i="1"/>
  <c r="BP66" i="1"/>
  <c r="BP65" i="1"/>
  <c r="BP64" i="1"/>
  <c r="BP63" i="1"/>
  <c r="BP62" i="1"/>
  <c r="BP61" i="1"/>
  <c r="BP60" i="1"/>
  <c r="BP59" i="1"/>
  <c r="BP58" i="1"/>
  <c r="BP57" i="1"/>
  <c r="BP56" i="1"/>
  <c r="BP55" i="1"/>
  <c r="BP54" i="1"/>
  <c r="BP53" i="1"/>
  <c r="BP52" i="1"/>
  <c r="BP51" i="1"/>
  <c r="BP49" i="1"/>
  <c r="BP47" i="1"/>
  <c r="BP46" i="1"/>
  <c r="BP45" i="1"/>
  <c r="BP44" i="1"/>
  <c r="BP43" i="1"/>
  <c r="BP42" i="1"/>
  <c r="BP88" i="1"/>
  <c r="BP9" i="1"/>
  <c r="BP8" i="1"/>
  <c r="BP50" i="1"/>
  <c r="BP20" i="1"/>
  <c r="BP18" i="1"/>
  <c r="BP17" i="1"/>
  <c r="BP16" i="1"/>
  <c r="BP15" i="1"/>
  <c r="BP10" i="1"/>
  <c r="BP26" i="1"/>
  <c r="BP25" i="1"/>
  <c r="BP19" i="1"/>
  <c r="BP7" i="1"/>
  <c r="BP24" i="1"/>
  <c r="BP23" i="1"/>
  <c r="BP113" i="1"/>
  <c r="BP89" i="1"/>
  <c r="BP12" i="1"/>
  <c r="BP11" i="1"/>
  <c r="BP6" i="1"/>
  <c r="CR113" i="1"/>
  <c r="CR114" i="1"/>
  <c r="BS5" i="1"/>
  <c r="CR112" i="1" l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R111" i="1" l="1"/>
  <c r="CC5" i="1"/>
  <c r="CB5" i="1"/>
  <c r="CA5" i="1"/>
  <c r="BZ5" i="1"/>
  <c r="BX5" i="1"/>
  <c r="BW5" i="1"/>
  <c r="BV5" i="1"/>
  <c r="BU5" i="1"/>
  <c r="BT5" i="1"/>
  <c r="CR134" i="1" l="1"/>
  <c r="CR135" i="1"/>
  <c r="BR135" i="1" l="1"/>
  <c r="BS135" i="1"/>
  <c r="BT135" i="1"/>
  <c r="BU135" i="1"/>
  <c r="BV135" i="1"/>
  <c r="BW135" i="1"/>
  <c r="BX135" i="1"/>
  <c r="BY135" i="1"/>
  <c r="BZ135" i="1"/>
  <c r="CA135" i="1"/>
  <c r="CB135" i="1"/>
  <c r="CC135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BP135" i="1" l="1"/>
  <c r="BP136" i="1"/>
  <c r="CE133" i="1" l="1"/>
  <c r="CD133" i="1"/>
  <c r="CC133" i="1"/>
  <c r="CB133" i="1"/>
  <c r="CA133" i="1"/>
  <c r="BZ133" i="1"/>
  <c r="BY133" i="1"/>
  <c r="BX133" i="1"/>
  <c r="BW133" i="1"/>
  <c r="BV133" i="1"/>
  <c r="BU133" i="1"/>
  <c r="BT133" i="1"/>
  <c r="BR133" i="1" l="1"/>
  <c r="BP134" i="1" l="1"/>
  <c r="BP5" i="1"/>
</calcChain>
</file>

<file path=xl/sharedStrings.xml><?xml version="1.0" encoding="utf-8"?>
<sst xmlns="http://schemas.openxmlformats.org/spreadsheetml/2006/main" count="1194" uniqueCount="263">
  <si>
    <t>FOREIGN SENIOR STAFFS</t>
  </si>
  <si>
    <t>Wed</t>
  </si>
  <si>
    <t>Thu</t>
  </si>
  <si>
    <t>Fri</t>
  </si>
  <si>
    <t>Sat</t>
  </si>
  <si>
    <t>Sun</t>
  </si>
  <si>
    <t>Mon</t>
  </si>
  <si>
    <t>Tue</t>
  </si>
  <si>
    <t>Present Days</t>
  </si>
  <si>
    <t>Fridays</t>
  </si>
  <si>
    <t>S NO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</si>
  <si>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</si>
  <si>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</si>
  <si>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</si>
  <si>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</si>
  <si>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</si>
  <si>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</si>
  <si>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</si>
  <si>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</si>
  <si>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</si>
  <si>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</si>
  <si>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</si>
  <si>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</si>
  <si>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</si>
  <si>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</si>
  <si>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</si>
  <si>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</si>
  <si>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MAD0238</t>
  </si>
  <si>
    <t>Mohammed Fais Hamsa Lebbe</t>
  </si>
  <si>
    <t>MAD0083</t>
  </si>
  <si>
    <t>Rajasekaran Selvaraj</t>
  </si>
  <si>
    <t>MAD0427</t>
  </si>
  <si>
    <t>Janakiraman Sankaralingam</t>
  </si>
  <si>
    <t>MAD0040</t>
  </si>
  <si>
    <t>Younus Miah</t>
  </si>
  <si>
    <t>MAD0029</t>
  </si>
  <si>
    <t>Nazu Ahmed</t>
  </si>
  <si>
    <t>MAD0391</t>
  </si>
  <si>
    <t>Abdul Ameen</t>
  </si>
  <si>
    <t>MAD0541</t>
  </si>
  <si>
    <t>Malini Bal</t>
  </si>
  <si>
    <t>MAD0590</t>
  </si>
  <si>
    <t>Dinuka Asintha Bambarenda</t>
  </si>
  <si>
    <t>MAD0652</t>
  </si>
  <si>
    <t>ADNAN ABDUL MAJEED NAZIR</t>
  </si>
  <si>
    <t>MAD0599</t>
  </si>
  <si>
    <t>Suriya krishnan</t>
  </si>
  <si>
    <t>MAD0606</t>
  </si>
  <si>
    <t>THIRUGNANAM MARUTHAI</t>
  </si>
  <si>
    <t>MAD0707</t>
  </si>
  <si>
    <t>Kesavan Sathiyamoorthy</t>
  </si>
  <si>
    <t>MAD0670</t>
  </si>
  <si>
    <t xml:space="preserve">Mohideen Abdul Rahuman </t>
  </si>
  <si>
    <t>MAD0700</t>
  </si>
  <si>
    <t>Subail Ahmed</t>
  </si>
  <si>
    <t>MAD0016</t>
  </si>
  <si>
    <t>Abdur Rashid</t>
  </si>
  <si>
    <t>MAD0021</t>
  </si>
  <si>
    <t>Karim</t>
  </si>
  <si>
    <t>MAD0024</t>
  </si>
  <si>
    <t>Abul Hossain</t>
  </si>
  <si>
    <t>MAD0133</t>
  </si>
  <si>
    <t>Mir Hossain</t>
  </si>
  <si>
    <t>MAD0268</t>
  </si>
  <si>
    <t>Abdul Karim</t>
  </si>
  <si>
    <t xml:space="preserve">Mohammed Kalifa Mohamed </t>
  </si>
  <si>
    <t>MAD0711</t>
  </si>
  <si>
    <t>Vijayakumar Kaliaraj</t>
  </si>
  <si>
    <t>MAD0717</t>
  </si>
  <si>
    <t>Muneswari</t>
  </si>
  <si>
    <t>Prepared By:</t>
  </si>
  <si>
    <t>Checked By:</t>
  </si>
  <si>
    <t xml:space="preserve"> </t>
  </si>
  <si>
    <t>Approved By</t>
  </si>
  <si>
    <t>MUNESWARI SANDRAPALLI</t>
  </si>
  <si>
    <t>Hussain Mahir</t>
  </si>
  <si>
    <t>Moosa Ahmed</t>
  </si>
  <si>
    <t>HR Executive</t>
  </si>
  <si>
    <t>Office Manager</t>
  </si>
  <si>
    <t>Chairman</t>
  </si>
  <si>
    <t xml:space="preserve">Off                       </t>
  </si>
  <si>
    <t>Sick Leave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</si>
  <si>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</si>
  <si>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</si>
  <si>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</si>
  <si>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</si>
  <si>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</si>
  <si>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</si>
  <si>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Suspended</t>
  </si>
  <si>
    <t>Special Leave</t>
  </si>
  <si>
    <t>Family Leave</t>
  </si>
  <si>
    <t>MAD0027</t>
  </si>
  <si>
    <t>Masom</t>
  </si>
  <si>
    <t>MAD0026</t>
  </si>
  <si>
    <t>Ruhul Amin</t>
  </si>
  <si>
    <t>MAD0232</t>
  </si>
  <si>
    <t>Lokman Hossain</t>
  </si>
  <si>
    <t>MAD0098</t>
  </si>
  <si>
    <t>Dukhu Miah</t>
  </si>
  <si>
    <t>MAD0156</t>
  </si>
  <si>
    <t>Mohammad Rubel Hossain</t>
  </si>
  <si>
    <t>MAD0132</t>
  </si>
  <si>
    <t>Anwar</t>
  </si>
  <si>
    <t>MAD0251</t>
  </si>
  <si>
    <t>Mohammad Akkas Miah</t>
  </si>
  <si>
    <t>MDA0241</t>
  </si>
  <si>
    <t>MD Hafizur Rahman</t>
  </si>
  <si>
    <t>MAD0104</t>
  </si>
  <si>
    <t>Mohammad Selim Raza</t>
  </si>
  <si>
    <t>MDA0418</t>
  </si>
  <si>
    <t>Sumon</t>
  </si>
  <si>
    <t>MDA0396</t>
  </si>
  <si>
    <t>Deepak Yadav</t>
  </si>
  <si>
    <t>MAD0507</t>
  </si>
  <si>
    <t>Nazir Hussain</t>
  </si>
  <si>
    <t>MAD0426</t>
  </si>
  <si>
    <t>Ful Sah</t>
  </si>
  <si>
    <t>MAD0445</t>
  </si>
  <si>
    <t>Mir Rajib</t>
  </si>
  <si>
    <t>MAD0515</t>
  </si>
  <si>
    <t>MAD0517</t>
  </si>
  <si>
    <t>Pradip Kumar</t>
  </si>
  <si>
    <t>MAD0535</t>
  </si>
  <si>
    <t>MAD0559</t>
  </si>
  <si>
    <t>MAD0561</t>
  </si>
  <si>
    <t>Priyanka Subba</t>
  </si>
  <si>
    <t>MAD0580</t>
  </si>
  <si>
    <t>MAD0585</t>
  </si>
  <si>
    <t>Rumi Miah</t>
  </si>
  <si>
    <t>MAD0587</t>
  </si>
  <si>
    <t>Anamul Hoque</t>
  </si>
  <si>
    <t>MAD0586</t>
  </si>
  <si>
    <t>MAD0594</t>
  </si>
  <si>
    <t>Bimol Rajbongshe</t>
  </si>
  <si>
    <t>MAD0601</t>
  </si>
  <si>
    <t>MD Mithu Hossain</t>
  </si>
  <si>
    <t>MAD0602</t>
  </si>
  <si>
    <t>MD Rokon Uddin</t>
  </si>
  <si>
    <t>MAD0603</t>
  </si>
  <si>
    <t>MD Al Amin</t>
  </si>
  <si>
    <t>MAD0612</t>
  </si>
  <si>
    <t>MAD0613</t>
  </si>
  <si>
    <t>MAD0618</t>
  </si>
  <si>
    <t>MAD0623</t>
  </si>
  <si>
    <t>Yabuddin</t>
  </si>
  <si>
    <t>MAD0632</t>
  </si>
  <si>
    <t>Nabina Thapa</t>
  </si>
  <si>
    <t>MAD0636</t>
  </si>
  <si>
    <t>MOHAMMAD AJMAL</t>
  </si>
  <si>
    <t>MAD0642</t>
  </si>
  <si>
    <t>Mohammad Salman</t>
  </si>
  <si>
    <t>MAD0643</t>
  </si>
  <si>
    <t>NAJIR SHEKH</t>
  </si>
  <si>
    <t>MAD0655</t>
  </si>
  <si>
    <t>Arulmani Kumaresan</t>
  </si>
  <si>
    <t>MAD0656</t>
  </si>
  <si>
    <t>Thamaraiselvan Narayanan</t>
  </si>
  <si>
    <t>MAD0667</t>
  </si>
  <si>
    <t>Shameer Sakhariah</t>
  </si>
  <si>
    <t>MAD0668</t>
  </si>
  <si>
    <t>Arun Kumar Vettikattil</t>
  </si>
  <si>
    <t>MAD0669</t>
  </si>
  <si>
    <t>Shekh Kalamudin</t>
  </si>
  <si>
    <t>MAD0675</t>
  </si>
  <si>
    <t>Salam Shaikh</t>
  </si>
  <si>
    <t>MAD0676</t>
  </si>
  <si>
    <t>Atikur Shaikh</t>
  </si>
  <si>
    <t>MAD0677</t>
  </si>
  <si>
    <t>Abdul Odud Shaikh</t>
  </si>
  <si>
    <t>MAD0678</t>
  </si>
  <si>
    <t>Martha Ranapaheli</t>
  </si>
  <si>
    <t>MAD0680</t>
  </si>
  <si>
    <t>MD Farhad Hossain</t>
  </si>
  <si>
    <t>MAD0681</t>
  </si>
  <si>
    <t>MD Humayun Kobir</t>
  </si>
  <si>
    <t>MAD0682</t>
  </si>
  <si>
    <t>RAJU AHMED</t>
  </si>
  <si>
    <t>MAD0684</t>
  </si>
  <si>
    <t>Jayanti Ghimire</t>
  </si>
  <si>
    <t>MAD0694</t>
  </si>
  <si>
    <t>Kazam Uddin</t>
  </si>
  <si>
    <t>MAD0696</t>
  </si>
  <si>
    <t>MD Milon Hossain</t>
  </si>
  <si>
    <t>MAD0701</t>
  </si>
  <si>
    <t>MD NAIM SARDER</t>
  </si>
  <si>
    <t>MAD0706</t>
  </si>
  <si>
    <t>MD Tufajjl Hosen</t>
  </si>
  <si>
    <t>MAD0713</t>
  </si>
  <si>
    <t>MD Suhel Mia</t>
  </si>
  <si>
    <t>MAD0714</t>
  </si>
  <si>
    <t>Ali Hossain</t>
  </si>
  <si>
    <t>MAD0716</t>
  </si>
  <si>
    <t>MD NAHIM GAZI</t>
  </si>
  <si>
    <t>MAD0715</t>
  </si>
  <si>
    <t>Manikandan Selvaraj</t>
  </si>
  <si>
    <t>MAD0718</t>
  </si>
  <si>
    <t>Laikuzzaman Leon</t>
  </si>
  <si>
    <t>MAD0719</t>
  </si>
  <si>
    <t>Vigneshwaran kanagaraj</t>
  </si>
  <si>
    <t>MAD0723</t>
  </si>
  <si>
    <t>MD Sobuj Rana</t>
  </si>
  <si>
    <t>FOREIGN JUNIOR STAFFS</t>
  </si>
  <si>
    <t>SICK</t>
  </si>
  <si>
    <t>MAD0521</t>
  </si>
  <si>
    <t>AJAJ ALI</t>
  </si>
  <si>
    <t>39</t>
  </si>
  <si>
    <t>Biswajit Prasad Sah</t>
  </si>
  <si>
    <t>MAD0644</t>
  </si>
  <si>
    <t>Saswati Kundu Debnath</t>
  </si>
  <si>
    <t>Manik Hossain</t>
  </si>
  <si>
    <t>Rinosan Muhamd</t>
  </si>
  <si>
    <t>MD Sahmad</t>
  </si>
  <si>
    <t>Anuj Mishra</t>
  </si>
  <si>
    <t>MD Ahad Gazi</t>
  </si>
  <si>
    <t>Puja Rai</t>
  </si>
  <si>
    <t>Nasir Ali</t>
  </si>
  <si>
    <t>MAD0726</t>
  </si>
  <si>
    <t>MD Tanvir Miah</t>
  </si>
  <si>
    <t>MAD0727</t>
  </si>
  <si>
    <t>MD Imran</t>
  </si>
  <si>
    <t>MAD0728</t>
  </si>
  <si>
    <t>Mushahid Mia</t>
  </si>
  <si>
    <t>MAD0731</t>
  </si>
  <si>
    <t>Nazmul Chowdhury</t>
  </si>
  <si>
    <t>Hasan Miah</t>
  </si>
  <si>
    <t>MAD0596</t>
  </si>
  <si>
    <t>Pls don’t Remove below data</t>
  </si>
  <si>
    <t xml:space="preserve">Used Leave Totals (Running Year, up to end of this month - Nov 2025) </t>
  </si>
  <si>
    <t>Total</t>
  </si>
  <si>
    <t>MAD0407</t>
  </si>
  <si>
    <t>Pratheesh Prasad</t>
  </si>
  <si>
    <t>MAD0733</t>
  </si>
  <si>
    <t>Sabbir Hossain</t>
  </si>
  <si>
    <t>MAD0233</t>
  </si>
  <si>
    <t>Alam Shahinur</t>
  </si>
  <si>
    <t>MAD0736</t>
  </si>
  <si>
    <t>MAD0737</t>
  </si>
  <si>
    <t>MD Shak Sabik</t>
  </si>
  <si>
    <t>Golam Sarowar Rubel</t>
  </si>
  <si>
    <t>MAD0739</t>
  </si>
  <si>
    <t>MD Sujon</t>
  </si>
  <si>
    <t>MAD0740</t>
  </si>
  <si>
    <t>MD Rayhan Bhuiya</t>
  </si>
  <si>
    <t>MAD0741</t>
  </si>
  <si>
    <t>MAD0742</t>
  </si>
  <si>
    <t>MD Hasana Ali</t>
  </si>
  <si>
    <t>MD Shamim Hoshen</t>
  </si>
  <si>
    <t>NEED TO PAY AL SALARY</t>
  </si>
  <si>
    <t>Attendance for JANUARY 2026  - MALE SENIOR FOREIGN STAFFS</t>
  </si>
  <si>
    <t>Attendance for JANUARY 2026   - MALE JUNIOR FOREIGN STAFFS</t>
  </si>
  <si>
    <t>MAD0746</t>
  </si>
  <si>
    <t>Phoo Wai Myint</t>
  </si>
  <si>
    <t>JOINING ON 16TH JANUARY 2026</t>
  </si>
  <si>
    <t xml:space="preserve">Used Leave Totals (Running Year, up to end of this month - Jan 2026) </t>
  </si>
  <si>
    <t>MAD0672</t>
  </si>
  <si>
    <t>MAD0748</t>
  </si>
  <si>
    <t>MAD0749</t>
  </si>
  <si>
    <t>JOINING ON 29TH JANUARY 2026</t>
  </si>
  <si>
    <t>JOINING ON 30TH JANUARY 2026</t>
  </si>
  <si>
    <t>Pranav Muraleedharannair</t>
  </si>
  <si>
    <t>RamPrasath Ravipugal</t>
  </si>
  <si>
    <t>Need to Pay EL/ SP days Salary</t>
  </si>
  <si>
    <t>Need to Pay AL days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</si>
</sst>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0"/>
      <color theme="1"/>
      <name val="Arial Black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Segoe UI"/>
      <family val="2"/>
    </font>
    <font>
      <b/>
      <sz val="12"/>
      <color theme="1"/>
      <name val="Segoe UI"/>
      <family val="2"/>
    </font>
    <font>
      <sz val="8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sz val="10"/>
      <name val="Segoe U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u/>
      <sz val="14"/>
      <color rgb="FFFF0000"/>
      <name val="Calibri"/>
      <family val="2"/>
      <scheme val="minor"/>
    </font>
    <font>
      <sz val="9.9"/>
      <color theme="1"/>
      <name val="Arial"/>
      <family val="2"/>
    </font>
    <font>
      <b/>
      <sz val="9.9"/>
      <color theme="1"/>
      <name val="Arial"/>
      <family val="2"/>
    </font>
    <font>
      <sz val="6"/>
      <color theme="1"/>
      <name val="Segoe UI"/>
      <family val="2"/>
    </font>
    <font>
      <sz val="10"/>
      <color theme="1"/>
      <name val="Arial"/>
      <family val="2"/>
    </font>
    <font>
      <b/>
      <sz val="8"/>
      <color theme="1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6" fillId="0" borderId="0"/>
  </cellStyleXfs>
  <cellXfs count="169">
    <xf numFmtId="0" fontId="0" fillId="0" borderId="0" xfId="0"/>
    <xf numFmtId="0" fontId="3" fillId="0" borderId="2" xfId="0" applyFont="1" applyBorder="1" applyAlignment="1">
      <alignment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1" fontId="7" fillId="3" borderId="3" xfId="0" applyNumberFormat="1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20" fontId="10" fillId="4" borderId="3" xfId="0" applyNumberFormat="1" applyFont="1" applyFill="1" applyBorder="1" applyAlignment="1">
      <alignment horizontal="center" vertical="center" wrapText="1"/>
    </xf>
    <xf numFmtId="20" fontId="8" fillId="4" borderId="3" xfId="0" applyNumberFormat="1" applyFont="1" applyFill="1" applyBorder="1" applyAlignment="1">
      <alignment horizontal="center" vertical="center" wrapText="1"/>
    </xf>
    <xf numFmtId="1" fontId="7" fillId="5" borderId="5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49" fontId="8" fillId="4" borderId="3" xfId="0" applyNumberFormat="1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/>
    <xf numFmtId="0" fontId="1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164" fontId="17" fillId="0" borderId="0" xfId="0" applyNumberFormat="1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0" borderId="0" xfId="0" applyFont="1"/>
    <xf numFmtId="164" fontId="17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7" fillId="0" borderId="0" xfId="0" applyFont="1"/>
    <xf numFmtId="0" fontId="16" fillId="0" borderId="0" xfId="0" applyFont="1" applyAlignment="1">
      <alignment vertical="center"/>
    </xf>
    <xf numFmtId="0" fontId="20" fillId="0" borderId="0" xfId="0" applyFont="1"/>
    <xf numFmtId="164" fontId="16" fillId="0" borderId="0" xfId="0" applyNumberFormat="1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 wrapText="1"/>
    </xf>
    <xf numFmtId="0" fontId="22" fillId="6" borderId="0" xfId="0" applyFont="1" applyFill="1" applyAlignment="1">
      <alignment vertical="center"/>
    </xf>
    <xf numFmtId="0" fontId="22" fillId="6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2" fillId="7" borderId="0" xfId="0" applyFont="1" applyFill="1" applyAlignment="1">
      <alignment vertical="center"/>
    </xf>
    <xf numFmtId="0" fontId="22" fillId="7" borderId="0" xfId="0" applyFont="1" applyFill="1" applyAlignment="1">
      <alignment horizontal="left" vertical="center"/>
    </xf>
    <xf numFmtId="0" fontId="14" fillId="7" borderId="0" xfId="0" applyFont="1" applyFill="1"/>
    <xf numFmtId="0" fontId="23" fillId="0" borderId="0" xfId="0" applyFont="1" applyAlignment="1">
      <alignment vertical="center"/>
    </xf>
    <xf numFmtId="49" fontId="22" fillId="7" borderId="0" xfId="0" applyNumberFormat="1" applyFont="1" applyFill="1" applyAlignment="1">
      <alignment vertical="center"/>
    </xf>
    <xf numFmtId="49" fontId="22" fillId="7" borderId="0" xfId="0" applyNumberFormat="1" applyFont="1" applyFill="1" applyAlignment="1">
      <alignment horizontal="left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8" fillId="9" borderId="3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20" fontId="11" fillId="10" borderId="3" xfId="0" applyNumberFormat="1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20" fontId="5" fillId="10" borderId="3" xfId="0" applyNumberFormat="1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center" vertical="center" wrapText="1"/>
    </xf>
    <xf numFmtId="1" fontId="9" fillId="0" borderId="7" xfId="0" applyNumberFormat="1" applyFont="1" applyBorder="1" applyAlignment="1">
      <alignment horizontal="left" vertical="center"/>
    </xf>
    <xf numFmtId="49" fontId="10" fillId="11" borderId="3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" fontId="0" fillId="4" borderId="3" xfId="0" applyNumberFormat="1" applyFill="1" applyBorder="1" applyAlignment="1">
      <alignment horizontal="center" vertical="center" wrapText="1"/>
    </xf>
    <xf numFmtId="20" fontId="0" fillId="4" borderId="3" xfId="0" applyNumberForma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 wrapText="1"/>
    </xf>
    <xf numFmtId="0" fontId="0" fillId="4" borderId="3" xfId="0" applyFill="1" applyBorder="1" applyAlignment="1">
      <alignment horizontal="center" vertical="center"/>
    </xf>
    <xf numFmtId="20" fontId="1" fillId="10" borderId="3" xfId="0" applyNumberFormat="1" applyFont="1" applyFill="1" applyBorder="1" applyAlignment="1">
      <alignment horizontal="center" vertical="center" wrapText="1"/>
    </xf>
    <xf numFmtId="20" fontId="1" fillId="4" borderId="3" xfId="0" applyNumberFormat="1" applyFont="1" applyFill="1" applyBorder="1" applyAlignment="1">
      <alignment horizontal="center" vertical="center" wrapText="1"/>
    </xf>
    <xf numFmtId="20" fontId="0" fillId="4" borderId="6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9" fillId="0" borderId="3" xfId="0" applyFont="1" applyBorder="1" applyAlignment="1">
      <alignment vertical="center"/>
    </xf>
    <xf numFmtId="0" fontId="24" fillId="0" borderId="1" xfId="1" applyFont="1" applyBorder="1" applyAlignment="1">
      <alignment horizontal="left" vertical="center" wrapText="1"/>
    </xf>
    <xf numFmtId="0" fontId="24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12" borderId="13" xfId="0" applyFont="1" applyFill="1" applyBorder="1" applyAlignment="1">
      <alignment horizontal="center" vertical="center"/>
    </xf>
    <xf numFmtId="0" fontId="7" fillId="12" borderId="7" xfId="0" applyFont="1" applyFill="1" applyBorder="1" applyAlignment="1">
      <alignment horizontal="center" vertical="center"/>
    </xf>
    <xf numFmtId="0" fontId="7" fillId="12" borderId="8" xfId="0" applyFont="1" applyFill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22" fillId="0" borderId="3" xfId="0" applyFont="1" applyBorder="1" applyAlignment="1">
      <alignment horizontal="left" vertical="center" wrapText="1"/>
    </xf>
    <xf numFmtId="0" fontId="5" fillId="4" borderId="5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3" fillId="0" borderId="1" xfId="0" applyFont="1" applyBorder="1" applyAlignment="1">
      <alignment vertical="center"/>
    </xf>
    <xf numFmtId="1" fontId="7" fillId="3" borderId="7" xfId="0" applyNumberFormat="1" applyFont="1" applyFill="1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" fontId="2" fillId="0" borderId="8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1" fontId="1" fillId="4" borderId="3" xfId="0" applyNumberFormat="1" applyFont="1" applyFill="1" applyBorder="1" applyAlignment="1">
      <alignment horizontal="center" vertical="center" wrapText="1"/>
    </xf>
    <xf numFmtId="20" fontId="28" fillId="4" borderId="3" xfId="0" applyNumberFormat="1" applyFont="1" applyFill="1" applyBorder="1" applyAlignment="1">
      <alignment horizontal="center" vertical="center" wrapText="1"/>
    </xf>
    <xf numFmtId="1" fontId="28" fillId="4" borderId="3" xfId="0" applyNumberFormat="1" applyFont="1" applyFill="1" applyBorder="1" applyAlignment="1">
      <alignment horizontal="center" vertical="center" wrapText="1"/>
    </xf>
    <xf numFmtId="20" fontId="29" fillId="10" borderId="3" xfId="0" applyNumberFormat="1" applyFont="1" applyFill="1" applyBorder="1" applyAlignment="1">
      <alignment horizontal="center" vertical="center" wrapText="1"/>
    </xf>
    <xf numFmtId="1" fontId="29" fillId="10" borderId="3" xfId="0" applyNumberFormat="1" applyFont="1" applyFill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left" vertical="center"/>
    </xf>
    <xf numFmtId="20" fontId="29" fillId="4" borderId="3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0" fillId="0" borderId="3" xfId="0" applyFont="1" applyBorder="1" applyAlignment="1">
      <alignment horizontal="left" vertical="center" wrapText="1"/>
    </xf>
    <xf numFmtId="0" fontId="12" fillId="4" borderId="3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 wrapText="1"/>
    </xf>
    <xf numFmtId="0" fontId="29" fillId="10" borderId="3" xfId="0" applyFont="1" applyFill="1" applyBorder="1" applyAlignment="1">
      <alignment horizontal="center" vertical="center" wrapText="1"/>
    </xf>
    <xf numFmtId="0" fontId="31" fillId="4" borderId="3" xfId="0" applyFont="1" applyFill="1" applyBorder="1" applyAlignment="1">
      <alignment horizontal="center" vertical="center"/>
    </xf>
    <xf numFmtId="15" fontId="8" fillId="2" borderId="3" xfId="0" applyNumberFormat="1" applyFont="1" applyFill="1" applyBorder="1" applyAlignment="1">
      <alignment horizontal="center" vertical="center"/>
    </xf>
    <xf numFmtId="20" fontId="29" fillId="10" borderId="4" xfId="0" applyNumberFormat="1" applyFont="1" applyFill="1" applyBorder="1" applyAlignment="1">
      <alignment horizontal="center" vertical="center" wrapText="1"/>
    </xf>
    <xf numFmtId="1" fontId="29" fillId="10" borderId="4" xfId="0" applyNumberFormat="1" applyFont="1" applyFill="1" applyBorder="1" applyAlignment="1">
      <alignment horizontal="center" vertical="center" wrapText="1"/>
    </xf>
    <xf numFmtId="20" fontId="28" fillId="4" borderId="4" xfId="0" applyNumberFormat="1" applyFont="1" applyFill="1" applyBorder="1" applyAlignment="1">
      <alignment horizontal="center" vertical="center" wrapText="1"/>
    </xf>
    <xf numFmtId="0" fontId="28" fillId="4" borderId="4" xfId="0" applyFont="1" applyFill="1" applyBorder="1" applyAlignment="1">
      <alignment horizontal="center" vertical="center" wrapText="1"/>
    </xf>
    <xf numFmtId="0" fontId="29" fillId="10" borderId="4" xfId="0" applyFont="1" applyFill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20" fontId="29" fillId="4" borderId="1" xfId="0" applyNumberFormat="1" applyFont="1" applyFill="1" applyBorder="1" applyAlignment="1">
      <alignment horizontal="center" vertical="center" wrapText="1"/>
    </xf>
    <xf numFmtId="20" fontId="29" fillId="4" borderId="2" xfId="0" applyNumberFormat="1" applyFont="1" applyFill="1" applyBorder="1" applyAlignment="1">
      <alignment horizontal="center" vertical="center" wrapText="1"/>
    </xf>
    <xf numFmtId="20" fontId="29" fillId="4" borderId="5" xfId="0" applyNumberFormat="1" applyFont="1" applyFill="1" applyBorder="1" applyAlignment="1">
      <alignment horizontal="center" vertical="center" wrapText="1"/>
    </xf>
    <xf numFmtId="20" fontId="29" fillId="4" borderId="4" xfId="0" applyNumberFormat="1" applyFont="1" applyFill="1" applyBorder="1" applyAlignment="1">
      <alignment horizontal="center" vertical="center" wrapText="1"/>
    </xf>
    <xf numFmtId="20" fontId="29" fillId="4" borderId="3" xfId="0" applyNumberFormat="1" applyFont="1" applyFill="1" applyBorder="1" applyAlignment="1">
      <alignment horizontal="center" vertical="center" wrapText="1"/>
    </xf>
    <xf numFmtId="0" fontId="27" fillId="8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5" fontId="8" fillId="2" borderId="3" xfId="0" applyNumberFormat="1" applyFont="1" applyFill="1" applyBorder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textRotation="90" wrapText="1"/>
    </xf>
    <xf numFmtId="0" fontId="5" fillId="0" borderId="7" xfId="0" applyFont="1" applyBorder="1" applyAlignment="1">
      <alignment horizontal="center" vertical="center" textRotation="90" wrapText="1"/>
    </xf>
    <xf numFmtId="0" fontId="6" fillId="3" borderId="4" xfId="0" applyFont="1" applyFill="1" applyBorder="1" applyAlignment="1">
      <alignment horizontal="center" vertical="center" textRotation="90" wrapText="1"/>
    </xf>
    <xf numFmtId="0" fontId="6" fillId="3" borderId="6" xfId="0" applyFont="1" applyFill="1" applyBorder="1" applyAlignment="1">
      <alignment horizontal="center" vertical="center" textRotation="90" wrapText="1"/>
    </xf>
    <xf numFmtId="0" fontId="6" fillId="3" borderId="7" xfId="0" applyFont="1" applyFill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 wrapText="1"/>
    </xf>
    <xf numFmtId="0" fontId="5" fillId="0" borderId="3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/>
    </xf>
    <xf numFmtId="14" fontId="8" fillId="2" borderId="3" xfId="0" applyNumberFormat="1" applyFont="1" applyFill="1" applyBorder="1" applyAlignment="1">
      <alignment horizontal="center" vertical="center"/>
    </xf>
    <xf numFmtId="14" fontId="3" fillId="0" borderId="6" xfId="0" applyNumberFormat="1" applyFont="1" applyBorder="1" applyAlignment="1">
      <alignment vertical="center"/>
    </xf>
    <xf numFmtId="14" fontId="8" fillId="4" borderId="5" xfId="0" applyNumberFormat="1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14" fontId="0" fillId="0" borderId="0" xfId="0" applyNumberFormat="1"/>
    <xf numFmtId="14" fontId="3" fillId="0" borderId="12" xfId="0" applyNumberFormat="1" applyFont="1" applyBorder="1" applyAlignment="1">
      <alignment vertical="center"/>
    </xf>
    <xf numFmtId="14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A4EC3061-B914-4480-9893-F99140BDDDFD}"/>
  </cellStyles>
  <dxfs count="4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309D74-53D8-451C-BBF6-C79A1162CA3E}" name="Table1" displayName="Table1" ref="CH4:CR26" totalsRowShown="0" headerRowDxfId="407" dataDxfId="405" headerRowBorderDxfId="406" tableBorderDxfId="404" totalsRowBorderDxfId="403">
  <autoFilter ref="CH4:CR26" xr:uid="{C5309D74-53D8-451C-BBF6-C79A1162CA3E}"/>
  <tableColumns count="11">
    <tableColumn id="1" xr3:uid="{77A0E13E-5799-4C51-9B9D-764F7EC3B2A2}" name="MC" dataDxfId="402"/>
    <tableColumn id="2" xr3:uid="{EB5D1FE6-2099-48DC-843A-922345D1799C}" name="EL" dataDxfId="401"/>
    <tableColumn id="3" xr3:uid="{273122D7-D3D7-4F6A-9E6D-E93DF2DF0B27}" name="AL" dataDxfId="400"/>
    <tableColumn id="4" xr3:uid="{B7AA7E3F-797D-4E59-ABF4-A10DED797705}" name="SUS" dataDxfId="399"/>
    <tableColumn id="5" xr3:uid="{FF39316F-7211-4A90-81FC-66B156DA3370}" name="FL" dataDxfId="398"/>
    <tableColumn id="6" xr3:uid="{C1AC8A82-6AED-43E8-BC9E-B08DBA59F3CB}" name="S" dataDxfId="397"/>
    <tableColumn id="7" xr3:uid="{9F1B4AC5-FE14-4372-9A6B-3C39BF751A75}" name="HD" dataDxfId="396"/>
    <tableColumn id="8" xr3:uid="{C1782C61-8577-4048-80AA-855C84FC8A55}" name="AB" dataDxfId="395"/>
    <tableColumn id="9" xr3:uid="{06E98CE2-1D98-4581-9F55-176721D2D094}" name="NL" dataDxfId="394"/>
    <tableColumn id="10" xr3:uid="{AD8D1379-4ABC-49D0-8269-2F105F33CF9F}" name="SP" dataDxfId="393"/>
    <tableColumn id="11" xr3:uid="{578C8149-ECDB-4F46-B84E-C814E33BCF50}" name="Total" dataDxfId="39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5A1A2E-9207-48A7-9E2B-652C557C9266}" name="Table13" displayName="Table13" ref="CH40:CR114" totalsRowShown="0" headerRowDxfId="391" dataDxfId="389" headerRowBorderDxfId="390" tableBorderDxfId="388" totalsRowBorderDxfId="387">
  <autoFilter ref="CH40:CR114" xr:uid="{E75A1A2E-9207-48A7-9E2B-652C557C9266}"/>
  <tableColumns count="11">
    <tableColumn id="1" xr3:uid="{C09AF12D-79B9-4AAE-AE40-4F26181C148B}" name="MC" dataDxfId="386"/>
    <tableColumn id="2" xr3:uid="{3D2526A2-6499-4D6D-8AEE-A126EADE84B2}" name="EL" dataDxfId="385"/>
    <tableColumn id="3" xr3:uid="{C5AE97C0-0C27-4ED9-93F2-E3037050652D}" name="AL" dataDxfId="384"/>
    <tableColumn id="4" xr3:uid="{3C7DF5FA-C5B8-4E13-9C02-BBAA6EC3DC90}" name="SUS" dataDxfId="383"/>
    <tableColumn id="5" xr3:uid="{24511860-20CF-45F5-92F7-F4ACD085EEC3}" name="FL" dataDxfId="382"/>
    <tableColumn id="6" xr3:uid="{E42BB61F-37F5-4497-A296-1DF6D3DE3304}" name="S" dataDxfId="381"/>
    <tableColumn id="7" xr3:uid="{C0B9D2A6-DBB2-4D29-9D22-B0666E19E96F}" name="HD" dataDxfId="380"/>
    <tableColumn id="8" xr3:uid="{29667B8F-020A-4767-83B3-F35973126DDB}" name="AB" dataDxfId="379"/>
    <tableColumn id="9" xr3:uid="{99109EE1-B355-406D-97D0-62441D2C7EC3}" name="NL" dataDxfId="378"/>
    <tableColumn id="10" xr3:uid="{B7DDCD9B-BDB2-440A-B4B9-538FC222E55B}" name="SP" dataDxfId="377"/>
    <tableColumn id="11" xr3:uid="{B7572C54-4ADC-403A-8E66-BFB3794D5D62}" name="Total" dataDxfId="376">
      <calculatedColumnFormula>SUM(CH41:CQ41)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8E39F-17DB-4701-914B-A818E8D02BA0}">
  <sheetPr>
    <pageSetUpPr fitToPage="1"/>
  </sheetPr>
  <dimension ref="A1:CR136"/>
  <sheetViews>
    <sheetView tabSelected="1" zoomScaleNormal="100" workbookViewId="0">
      <pane xSplit="3" ySplit="4" topLeftCell="AS104" activePane="bottomRight" state="frozen"/>
      <selection activeCell="AB20" sqref="AB20"/>
      <selection pane="topRight" activeCell="AB20" sqref="AB20"/>
      <selection pane="bottomLeft" activeCell="AB20" sqref="AB20"/>
      <selection pane="bottomRight" activeCell="D3" sqref="A3:XFD3"/>
    </sheetView>
  </sheetViews>
  <sheetFormatPr defaultRowHeight="15" x14ac:dyDescent="0.25"/>
  <cols>
    <col min="1" max="1" width="5.140625" style="57" customWidth="1"/>
    <col min="2" max="2" width="12" style="24" customWidth="1"/>
    <col min="3" max="3" width="28.5703125" customWidth="1"/>
    <col min="4" max="33" width="6.5703125" customWidth="1"/>
    <col min="34" max="34" width="5.5703125" customWidth="1"/>
    <col min="35" max="35" width="5.140625" style="96" customWidth="1"/>
    <col min="36" max="67" width="6.5703125" customWidth="1"/>
    <col min="68" max="68" width="5.85546875" style="24" customWidth="1"/>
    <col min="69" max="81" width="5" customWidth="1"/>
    <col min="82" max="82" width="32.28515625" customWidth="1"/>
    <col min="86" max="96" width="7.85546875" customWidth="1"/>
  </cols>
  <sheetData>
    <row r="1" spans="1:96" ht="25.5" customHeight="1" x14ac:dyDescent="0.25">
      <c r="A1" s="154" t="s">
        <v>248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61"/>
      <c r="AI1" s="155" t="s">
        <v>248</v>
      </c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  <c r="BI1" s="155"/>
      <c r="BJ1" s="155"/>
      <c r="BK1" s="155"/>
      <c r="BL1" s="155"/>
      <c r="BM1" s="155"/>
      <c r="BN1" s="155"/>
      <c r="BO1" s="155"/>
      <c r="BP1" s="155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</row>
    <row r="2" spans="1:96" ht="22.5" customHeight="1" x14ac:dyDescent="0.25">
      <c r="A2" s="156" t="s">
        <v>0</v>
      </c>
      <c r="B2" s="156"/>
      <c r="C2" s="156"/>
      <c r="D2" s="137" t="s">
        <v>2</v>
      </c>
      <c r="E2" s="137"/>
      <c r="F2" s="137" t="s">
        <v>3</v>
      </c>
      <c r="G2" s="137"/>
      <c r="H2" s="137" t="s">
        <v>4</v>
      </c>
      <c r="I2" s="137"/>
      <c r="J2" s="137" t="s">
        <v>5</v>
      </c>
      <c r="K2" s="137"/>
      <c r="L2" s="137" t="s">
        <v>6</v>
      </c>
      <c r="M2" s="137"/>
      <c r="N2" s="137" t="s">
        <v>7</v>
      </c>
      <c r="O2" s="137"/>
      <c r="P2" s="137" t="s">
        <v>1</v>
      </c>
      <c r="Q2" s="137"/>
      <c r="R2" s="137" t="s">
        <v>2</v>
      </c>
      <c r="S2" s="137"/>
      <c r="T2" s="137" t="s">
        <v>3</v>
      </c>
      <c r="U2" s="137"/>
      <c r="V2" s="137" t="s">
        <v>4</v>
      </c>
      <c r="W2" s="137"/>
      <c r="X2" s="137" t="s">
        <v>5</v>
      </c>
      <c r="Y2" s="137"/>
      <c r="Z2" s="137" t="s">
        <v>6</v>
      </c>
      <c r="AA2" s="137"/>
      <c r="AB2" s="137" t="s">
        <v>7</v>
      </c>
      <c r="AC2" s="137"/>
      <c r="AD2" s="137" t="s">
        <v>1</v>
      </c>
      <c r="AE2" s="137"/>
      <c r="AF2" s="137" t="s">
        <v>2</v>
      </c>
      <c r="AG2" s="137"/>
      <c r="AH2" s="62"/>
      <c r="AI2" s="95"/>
      <c r="AJ2" s="137" t="s">
        <v>3</v>
      </c>
      <c r="AK2" s="140"/>
      <c r="AL2" s="137" t="s">
        <v>4</v>
      </c>
      <c r="AM2" s="140"/>
      <c r="AN2" s="137" t="s">
        <v>5</v>
      </c>
      <c r="AO2" s="140"/>
      <c r="AP2" s="137" t="s">
        <v>6</v>
      </c>
      <c r="AQ2" s="140"/>
      <c r="AR2" s="137" t="s">
        <v>7</v>
      </c>
      <c r="AS2" s="140"/>
      <c r="AT2" s="137" t="s">
        <v>1</v>
      </c>
      <c r="AU2" s="140"/>
      <c r="AV2" s="137" t="s">
        <v>2</v>
      </c>
      <c r="AW2" s="140"/>
      <c r="AX2" s="137" t="s">
        <v>3</v>
      </c>
      <c r="AY2" s="140"/>
      <c r="AZ2" s="137" t="s">
        <v>4</v>
      </c>
      <c r="BA2" s="140"/>
      <c r="BB2" s="137" t="s">
        <v>5</v>
      </c>
      <c r="BC2" s="140"/>
      <c r="BD2" s="137" t="s">
        <v>6</v>
      </c>
      <c r="BE2" s="140"/>
      <c r="BF2" s="137" t="s">
        <v>7</v>
      </c>
      <c r="BG2" s="140"/>
      <c r="BH2" s="137" t="s">
        <v>1</v>
      </c>
      <c r="BI2" s="140"/>
      <c r="BJ2" s="137" t="s">
        <v>2</v>
      </c>
      <c r="BK2" s="140"/>
      <c r="BL2" s="137" t="s">
        <v>3</v>
      </c>
      <c r="BM2" s="140"/>
      <c r="BN2" s="137" t="s">
        <v>4</v>
      </c>
      <c r="BO2" s="140"/>
      <c r="BP2" s="151" t="s">
        <v>8</v>
      </c>
      <c r="BQ2" s="148" t="s">
        <v>9</v>
      </c>
      <c r="BR2" s="145"/>
      <c r="BS2" s="146"/>
      <c r="BT2" s="146"/>
      <c r="BU2" s="146"/>
      <c r="BV2" s="146"/>
      <c r="BW2" s="146"/>
      <c r="BX2" s="146"/>
      <c r="BY2" s="146"/>
      <c r="BZ2" s="146"/>
      <c r="CA2" s="146"/>
      <c r="CB2" s="146"/>
      <c r="CC2" s="146"/>
      <c r="CD2" s="147"/>
      <c r="CH2" s="136" t="s">
        <v>226</v>
      </c>
      <c r="CI2" s="136"/>
      <c r="CJ2" s="136"/>
      <c r="CK2" s="136"/>
      <c r="CL2" s="136"/>
      <c r="CM2" s="136"/>
      <c r="CN2" s="136"/>
      <c r="CO2" s="136"/>
      <c r="CP2" s="136"/>
      <c r="CQ2" s="136"/>
      <c r="CR2" s="58"/>
    </row>
    <row r="3" spans="1:96" s="166" customFormat="1" ht="22.5" customHeight="1" x14ac:dyDescent="0.25">
      <c r="A3" s="156"/>
      <c r="B3" s="156"/>
      <c r="C3" s="156"/>
      <c r="D3" s="160">
        <v>46023</v>
      </c>
      <c r="E3" s="160"/>
      <c r="F3" s="160">
        <v>46024</v>
      </c>
      <c r="G3" s="160"/>
      <c r="H3" s="160">
        <v>46025</v>
      </c>
      <c r="I3" s="160"/>
      <c r="J3" s="160">
        <v>46026</v>
      </c>
      <c r="K3" s="160"/>
      <c r="L3" s="160">
        <v>46027</v>
      </c>
      <c r="M3" s="160"/>
      <c r="N3" s="160">
        <v>46028</v>
      </c>
      <c r="O3" s="160"/>
      <c r="P3" s="160">
        <v>46029</v>
      </c>
      <c r="Q3" s="160"/>
      <c r="R3" s="160">
        <v>46030</v>
      </c>
      <c r="S3" s="160"/>
      <c r="T3" s="160">
        <v>46031</v>
      </c>
      <c r="U3" s="160"/>
      <c r="V3" s="160">
        <v>46032</v>
      </c>
      <c r="W3" s="160"/>
      <c r="X3" s="160">
        <v>46033</v>
      </c>
      <c r="Y3" s="160"/>
      <c r="Z3" s="160">
        <v>46034</v>
      </c>
      <c r="AA3" s="160"/>
      <c r="AB3" s="160">
        <v>46035</v>
      </c>
      <c r="AC3" s="160"/>
      <c r="AD3" s="160">
        <v>46036</v>
      </c>
      <c r="AE3" s="160"/>
      <c r="AF3" s="160">
        <v>46037</v>
      </c>
      <c r="AG3" s="160"/>
      <c r="AH3" s="161"/>
      <c r="AI3" s="162"/>
      <c r="AJ3" s="160">
        <v>46038</v>
      </c>
      <c r="AK3" s="163"/>
      <c r="AL3" s="160">
        <v>46039</v>
      </c>
      <c r="AM3" s="163"/>
      <c r="AN3" s="160">
        <v>46040</v>
      </c>
      <c r="AO3" s="163"/>
      <c r="AP3" s="160">
        <v>46041</v>
      </c>
      <c r="AQ3" s="163"/>
      <c r="AR3" s="160">
        <v>46042</v>
      </c>
      <c r="AS3" s="163"/>
      <c r="AT3" s="160">
        <v>46043</v>
      </c>
      <c r="AU3" s="163"/>
      <c r="AV3" s="160">
        <v>46044</v>
      </c>
      <c r="AW3" s="163"/>
      <c r="AX3" s="160">
        <v>46045</v>
      </c>
      <c r="AY3" s="163"/>
      <c r="AZ3" s="160">
        <v>46046</v>
      </c>
      <c r="BA3" s="163"/>
      <c r="BB3" s="160">
        <v>46047</v>
      </c>
      <c r="BC3" s="163"/>
      <c r="BD3" s="160">
        <v>46048</v>
      </c>
      <c r="BE3" s="163"/>
      <c r="BF3" s="160">
        <v>46049</v>
      </c>
      <c r="BG3" s="163"/>
      <c r="BH3" s="160">
        <v>46050</v>
      </c>
      <c r="BI3" s="163"/>
      <c r="BJ3" s="160">
        <v>46051</v>
      </c>
      <c r="BK3" s="163"/>
      <c r="BL3" s="160">
        <v>46052</v>
      </c>
      <c r="BM3" s="163"/>
      <c r="BN3" s="160">
        <v>46053</v>
      </c>
      <c r="BO3" s="163"/>
      <c r="BP3" s="152"/>
      <c r="BQ3" s="149"/>
      <c r="BR3" s="164"/>
      <c r="BS3" s="164"/>
      <c r="BT3" s="164"/>
      <c r="BU3" s="164"/>
      <c r="BV3" s="164"/>
      <c r="BW3" s="164"/>
      <c r="BX3" s="164"/>
      <c r="BY3" s="164"/>
      <c r="BZ3" s="164"/>
      <c r="CA3" s="164"/>
      <c r="CB3" s="164"/>
      <c r="CC3" s="164"/>
      <c r="CD3" s="165"/>
      <c r="CH3" s="167" t="s">
        <v>253</v>
      </c>
      <c r="CI3" s="167"/>
      <c r="CJ3" s="167"/>
      <c r="CK3" s="167"/>
      <c r="CL3" s="167"/>
      <c r="CM3" s="167"/>
      <c r="CN3" s="167"/>
      <c r="CO3" s="167"/>
      <c r="CP3" s="167"/>
      <c r="CQ3" s="167"/>
      <c r="CR3" s="168"/>
    </row>
    <row r="4" spans="1:96" ht="20.25" customHeight="1" x14ac:dyDescent="0.25">
      <c r="A4" s="5" t="s">
        <v>10</v>
      </c>
      <c r="B4" s="5" t="s">
        <v>11</v>
      </c>
      <c r="C4" s="5" t="s">
        <v>12</v>
      </c>
      <c r="D4" s="22" t="s">
        <v>13</v>
      </c>
      <c r="E4" s="22" t="s">
        <v>14</v>
      </c>
      <c r="F4" s="22" t="s">
        <v>13</v>
      </c>
      <c r="G4" s="22" t="s">
        <v>14</v>
      </c>
      <c r="H4" s="22" t="s">
        <v>13</v>
      </c>
      <c r="I4" s="22" t="s">
        <v>14</v>
      </c>
      <c r="J4" s="22" t="s">
        <v>13</v>
      </c>
      <c r="K4" s="22" t="s">
        <v>14</v>
      </c>
      <c r="L4" s="22" t="s">
        <v>13</v>
      </c>
      <c r="M4" s="22" t="s">
        <v>14</v>
      </c>
      <c r="N4" s="22" t="s">
        <v>13</v>
      </c>
      <c r="O4" s="22" t="s">
        <v>14</v>
      </c>
      <c r="P4" s="22" t="s">
        <v>13</v>
      </c>
      <c r="Q4" s="22" t="s">
        <v>14</v>
      </c>
      <c r="R4" s="22" t="s">
        <v>13</v>
      </c>
      <c r="S4" s="22" t="s">
        <v>14</v>
      </c>
      <c r="T4" s="22" t="s">
        <v>13</v>
      </c>
      <c r="U4" s="5" t="s">
        <v>14</v>
      </c>
      <c r="V4" s="5" t="s">
        <v>13</v>
      </c>
      <c r="W4" s="5" t="s">
        <v>14</v>
      </c>
      <c r="X4" s="5" t="s">
        <v>13</v>
      </c>
      <c r="Y4" s="5" t="s">
        <v>14</v>
      </c>
      <c r="Z4" s="22" t="s">
        <v>13</v>
      </c>
      <c r="AA4" s="22" t="s">
        <v>14</v>
      </c>
      <c r="AB4" s="22" t="s">
        <v>13</v>
      </c>
      <c r="AC4" s="22" t="s">
        <v>14</v>
      </c>
      <c r="AD4" s="22" t="s">
        <v>13</v>
      </c>
      <c r="AE4" s="22" t="s">
        <v>14</v>
      </c>
      <c r="AF4" s="22" t="s">
        <v>13</v>
      </c>
      <c r="AG4" s="23" t="s">
        <v>14</v>
      </c>
      <c r="AH4" s="62"/>
      <c r="AI4" s="95"/>
      <c r="AJ4" s="22" t="s">
        <v>13</v>
      </c>
      <c r="AK4" s="23" t="s">
        <v>14</v>
      </c>
      <c r="AL4" s="22" t="s">
        <v>13</v>
      </c>
      <c r="AM4" s="23" t="s">
        <v>14</v>
      </c>
      <c r="AN4" s="22" t="s">
        <v>13</v>
      </c>
      <c r="AO4" s="23" t="s">
        <v>14</v>
      </c>
      <c r="AP4" s="22" t="s">
        <v>13</v>
      </c>
      <c r="AQ4" s="23" t="s">
        <v>14</v>
      </c>
      <c r="AR4" s="22" t="s">
        <v>13</v>
      </c>
      <c r="AS4" s="23" t="s">
        <v>14</v>
      </c>
      <c r="AT4" s="22" t="s">
        <v>13</v>
      </c>
      <c r="AU4" s="23" t="s">
        <v>14</v>
      </c>
      <c r="AV4" s="22" t="s">
        <v>13</v>
      </c>
      <c r="AW4" s="23" t="s">
        <v>14</v>
      </c>
      <c r="AX4" s="22" t="s">
        <v>13</v>
      </c>
      <c r="AY4" s="23" t="s">
        <v>14</v>
      </c>
      <c r="AZ4" s="22" t="s">
        <v>13</v>
      </c>
      <c r="BA4" s="23" t="s">
        <v>14</v>
      </c>
      <c r="BB4" s="22" t="s">
        <v>13</v>
      </c>
      <c r="BC4" s="23" t="s">
        <v>14</v>
      </c>
      <c r="BD4" s="22" t="s">
        <v>13</v>
      </c>
      <c r="BE4" s="23" t="s">
        <v>14</v>
      </c>
      <c r="BF4" s="22" t="s">
        <v>13</v>
      </c>
      <c r="BG4" s="23" t="s">
        <v>14</v>
      </c>
      <c r="BH4" s="22" t="s">
        <v>13</v>
      </c>
      <c r="BI4" s="23" t="s">
        <v>14</v>
      </c>
      <c r="BJ4" s="22" t="s">
        <v>13</v>
      </c>
      <c r="BK4" s="23" t="s">
        <v>14</v>
      </c>
      <c r="BL4" s="22" t="s">
        <v>13</v>
      </c>
      <c r="BM4" s="23" t="s">
        <v>14</v>
      </c>
      <c r="BN4" s="22" t="s">
        <v>13</v>
      </c>
      <c r="BO4" s="23" t="s">
        <v>14</v>
      </c>
      <c r="BP4" s="153"/>
      <c r="BQ4" s="150"/>
      <c r="BR4" s="6"/>
      <c r="BS4" s="7" t="s">
        <v>15</v>
      </c>
      <c r="BT4" s="7" t="s">
        <v>16</v>
      </c>
      <c r="BU4" s="7" t="s">
        <v>17</v>
      </c>
      <c r="BV4" s="7" t="s">
        <v>18</v>
      </c>
      <c r="BW4" s="7" t="s">
        <v>19</v>
      </c>
      <c r="BX4" s="7" t="s">
        <v>20</v>
      </c>
      <c r="BY4" s="7" t="s">
        <v>21</v>
      </c>
      <c r="BZ4" s="7" t="s">
        <v>22</v>
      </c>
      <c r="CA4" s="7" t="s">
        <v>23</v>
      </c>
      <c r="CB4" s="7" t="s">
        <v>24</v>
      </c>
      <c r="CC4" s="7" t="s">
        <v>25</v>
      </c>
      <c r="CD4" s="8" t="s">
        <v>26</v>
      </c>
      <c r="CH4" s="87" t="s">
        <v>16</v>
      </c>
      <c r="CI4" s="88" t="s">
        <v>17</v>
      </c>
      <c r="CJ4" s="88" t="s">
        <v>18</v>
      </c>
      <c r="CK4" s="88" t="s">
        <v>19</v>
      </c>
      <c r="CL4" s="88" t="s">
        <v>20</v>
      </c>
      <c r="CM4" s="88" t="s">
        <v>21</v>
      </c>
      <c r="CN4" s="88" t="s">
        <v>22</v>
      </c>
      <c r="CO4" s="88" t="s">
        <v>23</v>
      </c>
      <c r="CP4" s="88" t="s">
        <v>24</v>
      </c>
      <c r="CQ4" s="88" t="s">
        <v>25</v>
      </c>
      <c r="CR4" s="89" t="s">
        <v>228</v>
      </c>
    </row>
    <row r="5" spans="1:96" ht="22.5" customHeight="1" x14ac:dyDescent="0.25">
      <c r="A5" s="18">
        <v>1</v>
      </c>
      <c r="B5" s="20" t="s">
        <v>27</v>
      </c>
      <c r="C5" s="9" t="s">
        <v>28</v>
      </c>
      <c r="D5" s="108">
        <v>0.4055555555555555</v>
      </c>
      <c r="E5" s="108">
        <v>0.76250000000000007</v>
      </c>
      <c r="F5" s="120" t="s">
        <v>15</v>
      </c>
      <c r="G5" s="120" t="s">
        <v>15</v>
      </c>
      <c r="H5" s="108">
        <v>0.44236111111111115</v>
      </c>
      <c r="I5" s="108">
        <v>0.75902777777777775</v>
      </c>
      <c r="J5" s="108">
        <v>0.39374999999999999</v>
      </c>
      <c r="K5" s="108">
        <v>0.75694444444444453</v>
      </c>
      <c r="L5" s="108">
        <v>0.72499999999999998</v>
      </c>
      <c r="M5" s="119">
        <v>1</v>
      </c>
      <c r="N5" s="108">
        <v>0.38263888888888892</v>
      </c>
      <c r="O5" s="108">
        <v>0.74930555555555556</v>
      </c>
      <c r="P5" s="108">
        <v>0.38125000000000003</v>
      </c>
      <c r="Q5" s="108">
        <v>0.74097222222222225</v>
      </c>
      <c r="R5" s="108">
        <v>0.39097222222222222</v>
      </c>
      <c r="S5" s="108">
        <v>0.74305555555555547</v>
      </c>
      <c r="T5" s="120" t="s">
        <v>15</v>
      </c>
      <c r="U5" s="120" t="s">
        <v>15</v>
      </c>
      <c r="V5" s="108">
        <v>0.43333333333333335</v>
      </c>
      <c r="W5" s="108">
        <v>0.75763888888888886</v>
      </c>
      <c r="X5" s="108">
        <v>0.37916666666666665</v>
      </c>
      <c r="Y5" s="108">
        <v>0.75486111111111109</v>
      </c>
      <c r="Z5" s="108">
        <v>0.39999999999999997</v>
      </c>
      <c r="AA5" s="108">
        <v>0.7416666666666667</v>
      </c>
      <c r="AB5" s="108">
        <v>0.37708333333333338</v>
      </c>
      <c r="AC5" s="108">
        <v>0.74791666666666667</v>
      </c>
      <c r="AD5" s="108">
        <v>0.38611111111111113</v>
      </c>
      <c r="AE5" s="119">
        <v>1</v>
      </c>
      <c r="AF5" s="108">
        <v>0.39583333333333331</v>
      </c>
      <c r="AG5" s="108">
        <v>0.49305555555555558</v>
      </c>
      <c r="AH5" s="62"/>
      <c r="AI5" s="56">
        <v>1</v>
      </c>
      <c r="AJ5" s="110" t="s">
        <v>18</v>
      </c>
      <c r="AK5" s="110" t="s">
        <v>18</v>
      </c>
      <c r="AL5" s="108" t="s">
        <v>18</v>
      </c>
      <c r="AM5" s="108" t="s">
        <v>18</v>
      </c>
      <c r="AN5" s="108" t="s">
        <v>18</v>
      </c>
      <c r="AO5" s="108" t="s">
        <v>18</v>
      </c>
      <c r="AP5" s="108" t="s">
        <v>18</v>
      </c>
      <c r="AQ5" s="108" t="s">
        <v>18</v>
      </c>
      <c r="AR5" s="108" t="s">
        <v>18</v>
      </c>
      <c r="AS5" s="108" t="s">
        <v>18</v>
      </c>
      <c r="AT5" s="108" t="s">
        <v>18</v>
      </c>
      <c r="AU5" s="108" t="s">
        <v>18</v>
      </c>
      <c r="AV5" s="108" t="s">
        <v>18</v>
      </c>
      <c r="AW5" s="108" t="s">
        <v>18</v>
      </c>
      <c r="AX5" s="110" t="s">
        <v>18</v>
      </c>
      <c r="AY5" s="110" t="s">
        <v>18</v>
      </c>
      <c r="AZ5" s="108" t="s">
        <v>18</v>
      </c>
      <c r="BA5" s="108" t="s">
        <v>18</v>
      </c>
      <c r="BB5" s="108" t="s">
        <v>18</v>
      </c>
      <c r="BC5" s="108" t="s">
        <v>18</v>
      </c>
      <c r="BD5" s="108">
        <v>0.38194444444444442</v>
      </c>
      <c r="BE5" s="108">
        <v>0.74236111111111114</v>
      </c>
      <c r="BF5" s="108">
        <v>0.37361111111111112</v>
      </c>
      <c r="BG5" s="108">
        <v>0.75624999999999998</v>
      </c>
      <c r="BH5" s="108">
        <v>0.39999999999999997</v>
      </c>
      <c r="BI5" s="108">
        <v>0.75208333333333333</v>
      </c>
      <c r="BJ5" s="108">
        <v>0.39444444444444443</v>
      </c>
      <c r="BK5" s="108">
        <v>0.74791666666666667</v>
      </c>
      <c r="BL5" s="120" t="s">
        <v>15</v>
      </c>
      <c r="BM5" s="120" t="s">
        <v>15</v>
      </c>
      <c r="BN5" s="108">
        <v>0.44097222222222227</v>
      </c>
      <c r="BO5" s="108">
        <v>0.74583333333333324</v>
      </c>
      <c r="BP5" s="12">
        <f>BR5+BS5+BU5+BV5+BZ5+BX5+BY5+CC5</f>
        <v>31</v>
      </c>
      <c r="BQ5" s="118">
        <v>0</v>
      </c>
      <c r="BR5" s="2">
        <f>COUNT(D5:AG5)/2+COUNT(AJ5:BO5)/2</f>
        <v>18</v>
      </c>
      <c r="BS5" s="3">
        <f>COUNTIF(D5:BO5,"OFF")/2</f>
        <v>3</v>
      </c>
      <c r="BT5" s="3">
        <f>COUNTIF(D5:BO5,"MC")/2</f>
        <v>0</v>
      </c>
      <c r="BU5" s="3">
        <f>COUNTIF(D5:BO5,"EL")/2</f>
        <v>0</v>
      </c>
      <c r="BV5" s="3">
        <f>COUNTIF(D5:BO5,"AL")/2</f>
        <v>10</v>
      </c>
      <c r="BW5" s="3">
        <f>COUNTIF(D5:BO5,"SUS")/2</f>
        <v>0</v>
      </c>
      <c r="BX5" s="3">
        <f>COUNTIF(D5:BO5,"FL")/2</f>
        <v>0</v>
      </c>
      <c r="BY5" s="3">
        <f>COUNTIF(D5:BO5,"SICK")/2</f>
        <v>0</v>
      </c>
      <c r="BZ5" s="3">
        <f>COUNTIF(D5:BO5,"HD")/2</f>
        <v>0</v>
      </c>
      <c r="CA5" s="3">
        <f>COUNTIF(D5:BO5,"AB")/2</f>
        <v>0</v>
      </c>
      <c r="CB5" s="3">
        <f>COUNTIF(D5:BO5,"NL")/2</f>
        <v>0</v>
      </c>
      <c r="CC5" s="3">
        <f>COUNTIF(D5:BO5,"SP")/2</f>
        <v>0</v>
      </c>
      <c r="CD5" s="130" t="s">
        <v>262</v>
      </c>
      <c r="CH5" s="90">
        <v>0</v>
      </c>
      <c r="CI5" s="90">
        <v>0</v>
      </c>
      <c r="CJ5" s="91">
        <v>25</v>
      </c>
      <c r="CK5" s="90">
        <v>0</v>
      </c>
      <c r="CL5" s="91">
        <v>1</v>
      </c>
      <c r="CM5" s="91">
        <v>3</v>
      </c>
      <c r="CN5" s="90">
        <v>0</v>
      </c>
      <c r="CO5" s="90">
        <v>0</v>
      </c>
      <c r="CP5" s="90">
        <v>0</v>
      </c>
      <c r="CQ5" s="90">
        <v>0</v>
      </c>
      <c r="CR5" s="86">
        <f>SUM(CH5:CQ5)</f>
        <v>29</v>
      </c>
    </row>
    <row r="6" spans="1:96" ht="21" customHeight="1" x14ac:dyDescent="0.25">
      <c r="A6" s="18">
        <v>2</v>
      </c>
      <c r="B6" s="20" t="s">
        <v>29</v>
      </c>
      <c r="C6" s="9" t="s">
        <v>30</v>
      </c>
      <c r="D6" s="121" t="s">
        <v>17</v>
      </c>
      <c r="E6" s="121" t="s">
        <v>17</v>
      </c>
      <c r="F6" s="121" t="s">
        <v>17</v>
      </c>
      <c r="G6" s="121" t="s">
        <v>17</v>
      </c>
      <c r="H6" s="121" t="s">
        <v>17</v>
      </c>
      <c r="I6" s="121" t="s">
        <v>17</v>
      </c>
      <c r="J6" s="121" t="s">
        <v>17</v>
      </c>
      <c r="K6" s="121" t="s">
        <v>17</v>
      </c>
      <c r="L6" s="121" t="s">
        <v>17</v>
      </c>
      <c r="M6" s="121" t="s">
        <v>17</v>
      </c>
      <c r="N6" s="121" t="s">
        <v>17</v>
      </c>
      <c r="O6" s="121" t="s">
        <v>17</v>
      </c>
      <c r="P6" s="121" t="s">
        <v>17</v>
      </c>
      <c r="Q6" s="121" t="s">
        <v>17</v>
      </c>
      <c r="R6" s="121" t="s">
        <v>17</v>
      </c>
      <c r="S6" s="121" t="s">
        <v>17</v>
      </c>
      <c r="T6" s="121" t="s">
        <v>17</v>
      </c>
      <c r="U6" s="121" t="s">
        <v>17</v>
      </c>
      <c r="V6" s="121" t="s">
        <v>17</v>
      </c>
      <c r="W6" s="108" t="s">
        <v>17</v>
      </c>
      <c r="X6" s="108" t="s">
        <v>25</v>
      </c>
      <c r="Y6" s="108" t="s">
        <v>25</v>
      </c>
      <c r="Z6" s="108" t="s">
        <v>25</v>
      </c>
      <c r="AA6" s="108" t="s">
        <v>25</v>
      </c>
      <c r="AB6" s="108" t="s">
        <v>25</v>
      </c>
      <c r="AC6" s="108" t="s">
        <v>25</v>
      </c>
      <c r="AD6" s="108" t="s">
        <v>25</v>
      </c>
      <c r="AE6" s="108" t="s">
        <v>25</v>
      </c>
      <c r="AF6" s="108" t="s">
        <v>25</v>
      </c>
      <c r="AG6" s="108" t="s">
        <v>25</v>
      </c>
      <c r="AH6" s="62"/>
      <c r="AI6" s="56">
        <v>2</v>
      </c>
      <c r="AJ6" s="108" t="s">
        <v>25</v>
      </c>
      <c r="AK6" s="108" t="s">
        <v>25</v>
      </c>
      <c r="AL6" s="108" t="s">
        <v>25</v>
      </c>
      <c r="AM6" s="108" t="s">
        <v>25</v>
      </c>
      <c r="AN6" s="108" t="s">
        <v>25</v>
      </c>
      <c r="AO6" s="108" t="s">
        <v>25</v>
      </c>
      <c r="AP6" s="108" t="s">
        <v>25</v>
      </c>
      <c r="AQ6" s="108" t="s">
        <v>25</v>
      </c>
      <c r="AR6" s="108" t="s">
        <v>25</v>
      </c>
      <c r="AS6" s="108" t="s">
        <v>25</v>
      </c>
      <c r="AT6" s="108" t="s">
        <v>25</v>
      </c>
      <c r="AU6" s="108" t="s">
        <v>25</v>
      </c>
      <c r="AV6" s="108" t="s">
        <v>25</v>
      </c>
      <c r="AW6" s="108" t="s">
        <v>25</v>
      </c>
      <c r="AX6" s="108" t="s">
        <v>25</v>
      </c>
      <c r="AY6" s="108" t="s">
        <v>25</v>
      </c>
      <c r="AZ6" s="108" t="s">
        <v>25</v>
      </c>
      <c r="BA6" s="108" t="s">
        <v>25</v>
      </c>
      <c r="BB6" s="108" t="s">
        <v>25</v>
      </c>
      <c r="BC6" s="108" t="s">
        <v>25</v>
      </c>
      <c r="BD6" s="108" t="s">
        <v>25</v>
      </c>
      <c r="BE6" s="108" t="s">
        <v>25</v>
      </c>
      <c r="BF6" s="108" t="s">
        <v>25</v>
      </c>
      <c r="BG6" s="108" t="s">
        <v>25</v>
      </c>
      <c r="BH6" s="108" t="s">
        <v>25</v>
      </c>
      <c r="BI6" s="108" t="s">
        <v>25</v>
      </c>
      <c r="BJ6" s="108" t="s">
        <v>25</v>
      </c>
      <c r="BK6" s="108" t="s">
        <v>25</v>
      </c>
      <c r="BL6" s="108" t="s">
        <v>25</v>
      </c>
      <c r="BM6" s="108" t="s">
        <v>25</v>
      </c>
      <c r="BN6" s="108" t="s">
        <v>25</v>
      </c>
      <c r="BO6" s="108" t="s">
        <v>25</v>
      </c>
      <c r="BP6" s="12">
        <f t="shared" ref="BP6:BP26" si="0">BR6+BS6+BU6+BV6+BZ6+BX6+BY6+CC6</f>
        <v>31</v>
      </c>
      <c r="BQ6" s="118">
        <v>0</v>
      </c>
      <c r="BR6" s="2">
        <f t="shared" ref="BR6:BR26" si="1">COUNT(D6:AG6)/2+COUNT(AJ6:BO6)/2</f>
        <v>0</v>
      </c>
      <c r="BS6" s="3">
        <f t="shared" ref="BS6:BS26" si="2">COUNTIF(D6:BO6,"OFF")/2</f>
        <v>0</v>
      </c>
      <c r="BT6" s="3">
        <f t="shared" ref="BT6:BT26" si="3">COUNTIF(D6:BO6,"MC")/2</f>
        <v>0</v>
      </c>
      <c r="BU6" s="3">
        <f t="shared" ref="BU6:BU26" si="4">COUNTIF(D6:BO6,"EL")/2</f>
        <v>10</v>
      </c>
      <c r="BV6" s="3">
        <f t="shared" ref="BV6:BV26" si="5">COUNTIF(D6:BO6,"AL")/2</f>
        <v>0</v>
      </c>
      <c r="BW6" s="3">
        <f t="shared" ref="BW6:BW26" si="6">COUNTIF(D6:BO6,"SUS")/2</f>
        <v>0</v>
      </c>
      <c r="BX6" s="3">
        <f t="shared" ref="BX6:BX26" si="7">COUNTIF(D6:BO6,"FL")/2</f>
        <v>0</v>
      </c>
      <c r="BY6" s="3">
        <f t="shared" ref="BY6:BY26" si="8">COUNTIF(D6:BO6,"SICK")/2</f>
        <v>0</v>
      </c>
      <c r="BZ6" s="3">
        <f t="shared" ref="BZ6:BZ26" si="9">COUNTIF(D6:BO6,"HD")/2</f>
        <v>0</v>
      </c>
      <c r="CA6" s="3">
        <f t="shared" ref="CA6:CA26" si="10">COUNTIF(D6:BO6,"AB")/2</f>
        <v>0</v>
      </c>
      <c r="CB6" s="3">
        <f t="shared" ref="CB6:CB26" si="11">COUNTIF(D6:BO6,"NL")/2</f>
        <v>0</v>
      </c>
      <c r="CC6" s="3">
        <f t="shared" ref="CC6:CC26" si="12">COUNTIF(D6:BO6,"SP")/2</f>
        <v>21</v>
      </c>
      <c r="CD6" s="130" t="s">
        <v>261</v>
      </c>
      <c r="CH6" s="90">
        <v>0</v>
      </c>
      <c r="CI6" s="90">
        <v>39</v>
      </c>
      <c r="CJ6" s="91">
        <v>0</v>
      </c>
      <c r="CK6" s="90">
        <v>0</v>
      </c>
      <c r="CL6" s="90">
        <v>0</v>
      </c>
      <c r="CM6" s="90">
        <v>1</v>
      </c>
      <c r="CN6" s="90">
        <v>0</v>
      </c>
      <c r="CO6" s="90">
        <v>0</v>
      </c>
      <c r="CP6" s="90">
        <v>0</v>
      </c>
      <c r="CQ6" s="90">
        <v>0</v>
      </c>
      <c r="CR6" s="86">
        <f>SUM(CH6:CQ6)</f>
        <v>40</v>
      </c>
    </row>
    <row r="7" spans="1:96" ht="21" customHeight="1" x14ac:dyDescent="0.25">
      <c r="A7" s="18">
        <v>3</v>
      </c>
      <c r="B7" s="20" t="s">
        <v>31</v>
      </c>
      <c r="C7" s="9" t="s">
        <v>32</v>
      </c>
      <c r="D7" s="108">
        <v>0.3840277777777778</v>
      </c>
      <c r="E7" s="119">
        <v>1</v>
      </c>
      <c r="F7" s="110">
        <v>0.60069444444444442</v>
      </c>
      <c r="G7" s="110">
        <v>0.7631944444444444</v>
      </c>
      <c r="H7" s="108">
        <v>0.41944444444444445</v>
      </c>
      <c r="I7" s="119">
        <v>1</v>
      </c>
      <c r="J7" s="108">
        <v>0.375</v>
      </c>
      <c r="K7" s="119">
        <v>1</v>
      </c>
      <c r="L7" s="108">
        <v>0.37916666666666665</v>
      </c>
      <c r="M7" s="108">
        <v>0.99375000000000002</v>
      </c>
      <c r="N7" s="108">
        <v>0.37777777777777777</v>
      </c>
      <c r="O7" s="108">
        <v>0.76180555555555562</v>
      </c>
      <c r="P7" s="108">
        <v>0.34375</v>
      </c>
      <c r="Q7" s="108">
        <v>0.99375000000000002</v>
      </c>
      <c r="R7" s="108">
        <v>0.42499999999999999</v>
      </c>
      <c r="S7" s="108">
        <v>5.5555555555555558E-3</v>
      </c>
      <c r="T7" s="110">
        <v>0.60625000000000007</v>
      </c>
      <c r="U7" s="110">
        <v>0.76527777777777783</v>
      </c>
      <c r="V7" s="108">
        <v>0.42499999999999999</v>
      </c>
      <c r="W7" s="108">
        <v>7.6388888888888886E-3</v>
      </c>
      <c r="X7" s="108">
        <v>0.38680555555555557</v>
      </c>
      <c r="Y7" s="108">
        <v>0.98611111111111116</v>
      </c>
      <c r="Z7" s="108">
        <v>0.38125000000000003</v>
      </c>
      <c r="AA7" s="108">
        <v>0.99097222222222225</v>
      </c>
      <c r="AB7" s="108">
        <v>0.37847222222222227</v>
      </c>
      <c r="AC7" s="119">
        <v>1</v>
      </c>
      <c r="AD7" s="108">
        <v>0.3840277777777778</v>
      </c>
      <c r="AE7" s="108">
        <v>0.76111111111111107</v>
      </c>
      <c r="AF7" s="108">
        <v>0.38125000000000003</v>
      </c>
      <c r="AG7" s="108">
        <v>0.74861111111111101</v>
      </c>
      <c r="AH7" s="62"/>
      <c r="AI7" s="56">
        <v>3</v>
      </c>
      <c r="AJ7" s="110">
        <v>0.62013888888888891</v>
      </c>
      <c r="AK7" s="120">
        <v>1</v>
      </c>
      <c r="AL7" s="108">
        <v>0.3833333333333333</v>
      </c>
      <c r="AM7" s="108">
        <v>1.1805555555555555E-2</v>
      </c>
      <c r="AN7" s="108">
        <v>0.38194444444444442</v>
      </c>
      <c r="AO7" s="108">
        <v>0.99722222222222223</v>
      </c>
      <c r="AP7" s="108">
        <v>0.37777777777777777</v>
      </c>
      <c r="AQ7" s="108">
        <v>0.99861111111111101</v>
      </c>
      <c r="AR7" s="108">
        <v>0.38263888888888892</v>
      </c>
      <c r="AS7" s="108">
        <v>0.99305555555555547</v>
      </c>
      <c r="AT7" s="108">
        <v>0.3888888888888889</v>
      </c>
      <c r="AU7" s="108">
        <v>0.98958333333333337</v>
      </c>
      <c r="AV7" s="108">
        <v>0.37986111111111115</v>
      </c>
      <c r="AW7" s="108">
        <v>1.2499999999999999E-2</v>
      </c>
      <c r="AX7" s="110">
        <v>0.60138888888888886</v>
      </c>
      <c r="AY7" s="110">
        <v>0.75624999999999998</v>
      </c>
      <c r="AZ7" s="108">
        <v>0.42152777777777778</v>
      </c>
      <c r="BA7" s="108">
        <v>0.76250000000000007</v>
      </c>
      <c r="BB7" s="108">
        <v>0.38125000000000003</v>
      </c>
      <c r="BC7" s="108">
        <v>0.98402777777777783</v>
      </c>
      <c r="BD7" s="108">
        <v>0.37986111111111115</v>
      </c>
      <c r="BE7" s="108">
        <v>0.99513888888888891</v>
      </c>
      <c r="BF7" s="108">
        <v>0.5131944444444444</v>
      </c>
      <c r="BG7" s="108">
        <v>0.99444444444444446</v>
      </c>
      <c r="BH7" s="108">
        <v>0.38055555555555554</v>
      </c>
      <c r="BI7" s="108">
        <v>2.7777777777777779E-3</v>
      </c>
      <c r="BJ7" s="108">
        <v>0.75555555555555554</v>
      </c>
      <c r="BK7" s="119">
        <v>1</v>
      </c>
      <c r="BL7" s="110">
        <v>0.62916666666666665</v>
      </c>
      <c r="BM7" s="110">
        <v>0.74583333333333324</v>
      </c>
      <c r="BN7" s="108">
        <v>0.42430555555555555</v>
      </c>
      <c r="BO7" s="108">
        <v>0.7631944444444444</v>
      </c>
      <c r="BP7" s="12">
        <f t="shared" si="0"/>
        <v>31</v>
      </c>
      <c r="BQ7" s="118">
        <v>5</v>
      </c>
      <c r="BR7" s="2">
        <f t="shared" si="1"/>
        <v>31</v>
      </c>
      <c r="BS7" s="3">
        <f t="shared" si="2"/>
        <v>0</v>
      </c>
      <c r="BT7" s="3">
        <f t="shared" si="3"/>
        <v>0</v>
      </c>
      <c r="BU7" s="3">
        <f t="shared" si="4"/>
        <v>0</v>
      </c>
      <c r="BV7" s="3">
        <f t="shared" si="5"/>
        <v>0</v>
      </c>
      <c r="BW7" s="3">
        <f t="shared" si="6"/>
        <v>0</v>
      </c>
      <c r="BX7" s="3">
        <f t="shared" si="7"/>
        <v>0</v>
      </c>
      <c r="BY7" s="3">
        <f t="shared" si="8"/>
        <v>0</v>
      </c>
      <c r="BZ7" s="3">
        <f t="shared" si="9"/>
        <v>0</v>
      </c>
      <c r="CA7" s="3">
        <f t="shared" si="10"/>
        <v>0</v>
      </c>
      <c r="CB7" s="3">
        <f t="shared" si="11"/>
        <v>0</v>
      </c>
      <c r="CC7" s="3">
        <f t="shared" si="12"/>
        <v>0</v>
      </c>
      <c r="CD7" s="130"/>
      <c r="CH7" s="90">
        <v>0</v>
      </c>
      <c r="CI7" s="90">
        <v>0</v>
      </c>
      <c r="CJ7" s="91">
        <v>65</v>
      </c>
      <c r="CK7" s="90">
        <v>0</v>
      </c>
      <c r="CL7" s="90">
        <v>0</v>
      </c>
      <c r="CM7" s="90">
        <v>2</v>
      </c>
      <c r="CN7" s="90">
        <v>0</v>
      </c>
      <c r="CO7" s="90">
        <v>0</v>
      </c>
      <c r="CP7" s="90">
        <v>0</v>
      </c>
      <c r="CQ7" s="90">
        <v>0</v>
      </c>
      <c r="CR7" s="92">
        <f t="shared" ref="CR7" si="13">SUM(CH7:CQ7)</f>
        <v>67</v>
      </c>
    </row>
    <row r="8" spans="1:96" ht="21" customHeight="1" x14ac:dyDescent="0.25">
      <c r="A8" s="18">
        <v>4</v>
      </c>
      <c r="B8" s="20" t="s">
        <v>33</v>
      </c>
      <c r="C8" s="9" t="s">
        <v>34</v>
      </c>
      <c r="D8" s="108">
        <v>0.36319444444444443</v>
      </c>
      <c r="E8" s="119">
        <v>1</v>
      </c>
      <c r="F8" s="110">
        <v>0.91527777777777775</v>
      </c>
      <c r="G8" s="110">
        <v>0.98749999999999993</v>
      </c>
      <c r="H8" s="108">
        <v>0.35416666666666669</v>
      </c>
      <c r="I8" s="119">
        <v>1</v>
      </c>
      <c r="J8" s="108">
        <v>0.35972222222222222</v>
      </c>
      <c r="K8" s="119">
        <v>1</v>
      </c>
      <c r="L8" s="108">
        <v>0.35347222222222219</v>
      </c>
      <c r="M8" s="108">
        <v>0.99097222222222225</v>
      </c>
      <c r="N8" s="108">
        <v>0.3756944444444445</v>
      </c>
      <c r="O8" s="119">
        <v>1</v>
      </c>
      <c r="P8" s="108">
        <v>0.35416666666666669</v>
      </c>
      <c r="Q8" s="108">
        <v>0.98888888888888893</v>
      </c>
      <c r="R8" s="108">
        <v>0.37222222222222223</v>
      </c>
      <c r="S8" s="119">
        <v>1</v>
      </c>
      <c r="T8" s="110">
        <v>0.57638888888888895</v>
      </c>
      <c r="U8" s="110">
        <v>0.97361111111111109</v>
      </c>
      <c r="V8" s="108">
        <v>0.35625000000000001</v>
      </c>
      <c r="W8" s="108">
        <v>8.3333333333333332E-3</v>
      </c>
      <c r="X8" s="108">
        <v>0.3576388888888889</v>
      </c>
      <c r="Y8" s="108">
        <v>0.98472222222222217</v>
      </c>
      <c r="Z8" s="108">
        <v>0.35416666666666669</v>
      </c>
      <c r="AA8" s="108">
        <v>0.9868055555555556</v>
      </c>
      <c r="AB8" s="108">
        <v>0.3576388888888889</v>
      </c>
      <c r="AC8" s="108">
        <v>0.98541666666666661</v>
      </c>
      <c r="AD8" s="108">
        <v>0.35625000000000001</v>
      </c>
      <c r="AE8" s="108">
        <v>0.9902777777777777</v>
      </c>
      <c r="AF8" s="108">
        <v>0.36736111111111108</v>
      </c>
      <c r="AG8" s="119">
        <v>1</v>
      </c>
      <c r="AH8" s="62"/>
      <c r="AI8" s="56">
        <v>4</v>
      </c>
      <c r="AJ8" s="110">
        <v>0.8979166666666667</v>
      </c>
      <c r="AK8" s="110">
        <v>0.97222222222222221</v>
      </c>
      <c r="AL8" s="108">
        <v>0.3520833333333333</v>
      </c>
      <c r="AM8" s="108">
        <v>1.1111111111111112E-2</v>
      </c>
      <c r="AN8" s="108">
        <v>0.35347222222222219</v>
      </c>
      <c r="AO8" s="108">
        <v>0.98749999999999993</v>
      </c>
      <c r="AP8" s="108">
        <v>0.3527777777777778</v>
      </c>
      <c r="AQ8" s="108">
        <v>0.99861111111111101</v>
      </c>
      <c r="AR8" s="108">
        <v>0.3666666666666667</v>
      </c>
      <c r="AS8" s="108">
        <v>0.99305555555555547</v>
      </c>
      <c r="AT8" s="108">
        <v>0.35972222222222222</v>
      </c>
      <c r="AU8" s="108">
        <v>0.98958333333333337</v>
      </c>
      <c r="AV8" s="108">
        <v>0.35138888888888892</v>
      </c>
      <c r="AW8" s="108">
        <v>1.2499999999999999E-2</v>
      </c>
      <c r="AX8" s="110">
        <v>0.57916666666666672</v>
      </c>
      <c r="AY8" s="110">
        <v>0.9784722222222223</v>
      </c>
      <c r="AZ8" s="108">
        <v>0.35416666666666669</v>
      </c>
      <c r="BA8" s="119">
        <v>1</v>
      </c>
      <c r="BB8" s="108">
        <v>0.3520833333333333</v>
      </c>
      <c r="BC8" s="108">
        <v>0.98055555555555562</v>
      </c>
      <c r="BD8" s="108">
        <v>0.36041666666666666</v>
      </c>
      <c r="BE8" s="108">
        <v>0.99583333333333324</v>
      </c>
      <c r="BF8" s="108">
        <v>0.35902777777777778</v>
      </c>
      <c r="BG8" s="108">
        <v>0.97986111111111107</v>
      </c>
      <c r="BH8" s="108">
        <v>0.3611111111111111</v>
      </c>
      <c r="BI8" s="108">
        <v>0.98055555555555562</v>
      </c>
      <c r="BJ8" s="108">
        <v>0.35625000000000001</v>
      </c>
      <c r="BK8" s="119">
        <v>1</v>
      </c>
      <c r="BL8" s="120" t="s">
        <v>15</v>
      </c>
      <c r="BM8" s="120" t="s">
        <v>15</v>
      </c>
      <c r="BN8" s="108">
        <v>0.3527777777777778</v>
      </c>
      <c r="BO8" s="119">
        <v>1</v>
      </c>
      <c r="BP8" s="12">
        <f>BR8+BS8+BU8+BV8+BZ8+BX8+BY8+CC8</f>
        <v>31</v>
      </c>
      <c r="BQ8" s="118">
        <v>4</v>
      </c>
      <c r="BR8" s="2">
        <f t="shared" si="1"/>
        <v>30</v>
      </c>
      <c r="BS8" s="3">
        <f t="shared" si="2"/>
        <v>1</v>
      </c>
      <c r="BT8" s="3">
        <f t="shared" si="3"/>
        <v>0</v>
      </c>
      <c r="BU8" s="3">
        <f t="shared" si="4"/>
        <v>0</v>
      </c>
      <c r="BV8" s="3">
        <f t="shared" si="5"/>
        <v>0</v>
      </c>
      <c r="BW8" s="3">
        <f t="shared" si="6"/>
        <v>0</v>
      </c>
      <c r="BX8" s="3">
        <f t="shared" si="7"/>
        <v>0</v>
      </c>
      <c r="BY8" s="3">
        <f t="shared" si="8"/>
        <v>0</v>
      </c>
      <c r="BZ8" s="3">
        <f t="shared" si="9"/>
        <v>0</v>
      </c>
      <c r="CA8" s="3">
        <f t="shared" si="10"/>
        <v>0</v>
      </c>
      <c r="CB8" s="3">
        <f t="shared" si="11"/>
        <v>0</v>
      </c>
      <c r="CC8" s="3">
        <f t="shared" si="12"/>
        <v>0</v>
      </c>
      <c r="CD8" s="130"/>
      <c r="CH8" s="90">
        <v>0</v>
      </c>
      <c r="CI8" s="90">
        <v>0</v>
      </c>
      <c r="CJ8" s="91">
        <v>23</v>
      </c>
      <c r="CK8" s="90">
        <v>0</v>
      </c>
      <c r="CL8" s="90">
        <v>0</v>
      </c>
      <c r="CM8" s="90">
        <v>0</v>
      </c>
      <c r="CN8" s="90">
        <v>0</v>
      </c>
      <c r="CO8" s="90">
        <v>0</v>
      </c>
      <c r="CP8" s="90">
        <v>0</v>
      </c>
      <c r="CQ8" s="90">
        <v>0</v>
      </c>
      <c r="CR8" s="92">
        <f t="shared" ref="CR8:CR9" si="14">SUM(CH8:CQ8)</f>
        <v>23</v>
      </c>
    </row>
    <row r="9" spans="1:96" ht="21" customHeight="1" x14ac:dyDescent="0.25">
      <c r="A9" s="18">
        <v>5</v>
      </c>
      <c r="B9" s="20" t="s">
        <v>35</v>
      </c>
      <c r="C9" s="9" t="s">
        <v>36</v>
      </c>
      <c r="D9" s="108">
        <v>0.35694444444444445</v>
      </c>
      <c r="E9" s="108">
        <v>0.98333333333333339</v>
      </c>
      <c r="F9" s="120" t="s">
        <v>15</v>
      </c>
      <c r="G9" s="120" t="s">
        <v>15</v>
      </c>
      <c r="H9" s="108">
        <v>0.35972222222222222</v>
      </c>
      <c r="I9" s="108">
        <v>6.9444444444444447E-4</v>
      </c>
      <c r="J9" s="108">
        <v>0.35347222222222219</v>
      </c>
      <c r="K9" s="108">
        <v>0.94791666666666663</v>
      </c>
      <c r="L9" s="108">
        <v>0.35694444444444445</v>
      </c>
      <c r="M9" s="108">
        <v>0.96388888888888891</v>
      </c>
      <c r="N9" s="108">
        <v>0.35555555555555557</v>
      </c>
      <c r="O9" s="108">
        <v>0.97013888888888899</v>
      </c>
      <c r="P9" s="108">
        <v>0.3527777777777778</v>
      </c>
      <c r="Q9" s="119">
        <v>1</v>
      </c>
      <c r="R9" s="108">
        <v>0.35625000000000001</v>
      </c>
      <c r="S9" s="108">
        <v>0.97986111111111107</v>
      </c>
      <c r="T9" s="110">
        <v>0.57500000000000007</v>
      </c>
      <c r="U9" s="110">
        <v>0.91527777777777775</v>
      </c>
      <c r="V9" s="108">
        <v>0.38819444444444445</v>
      </c>
      <c r="W9" s="108">
        <v>0.95763888888888893</v>
      </c>
      <c r="X9" s="108">
        <v>0.36319444444444443</v>
      </c>
      <c r="Y9" s="108">
        <v>0.9472222222222223</v>
      </c>
      <c r="Z9" s="108">
        <v>0.3611111111111111</v>
      </c>
      <c r="AA9" s="108">
        <v>0.95694444444444438</v>
      </c>
      <c r="AB9" s="108">
        <v>0.36736111111111108</v>
      </c>
      <c r="AC9" s="119">
        <v>1</v>
      </c>
      <c r="AD9" s="108">
        <v>0.35972222222222222</v>
      </c>
      <c r="AE9" s="108">
        <v>0.97638888888888886</v>
      </c>
      <c r="AF9" s="108">
        <v>0.36736111111111108</v>
      </c>
      <c r="AG9" s="108">
        <v>0.97569444444444453</v>
      </c>
      <c r="AH9" s="62"/>
      <c r="AI9" s="56">
        <v>5</v>
      </c>
      <c r="AJ9" s="120" t="s">
        <v>15</v>
      </c>
      <c r="AK9" s="120" t="s">
        <v>15</v>
      </c>
      <c r="AL9" s="108">
        <v>0.35555555555555557</v>
      </c>
      <c r="AM9" s="108">
        <v>0.95833333333333337</v>
      </c>
      <c r="AN9" s="108">
        <v>0.35694444444444445</v>
      </c>
      <c r="AO9" s="108">
        <v>0.97291666666666676</v>
      </c>
      <c r="AP9" s="108">
        <v>0.3611111111111111</v>
      </c>
      <c r="AQ9" s="108">
        <v>0.92222222222222217</v>
      </c>
      <c r="AR9" s="108">
        <v>0.37083333333333335</v>
      </c>
      <c r="AS9" s="119">
        <v>1</v>
      </c>
      <c r="AT9" s="108">
        <v>0.35486111111111113</v>
      </c>
      <c r="AU9" s="108">
        <v>0.95624999999999993</v>
      </c>
      <c r="AV9" s="108">
        <v>0.3520833333333333</v>
      </c>
      <c r="AW9" s="108">
        <v>0.95416666666666661</v>
      </c>
      <c r="AX9" s="110">
        <v>0.57638888888888895</v>
      </c>
      <c r="AY9" s="110">
        <v>0.93611111111111101</v>
      </c>
      <c r="AZ9" s="108">
        <v>0.3527777777777778</v>
      </c>
      <c r="BA9" s="108">
        <v>0.93472222222222223</v>
      </c>
      <c r="BB9" s="108">
        <v>0.38611111111111113</v>
      </c>
      <c r="BC9" s="108">
        <v>0.94861111111111107</v>
      </c>
      <c r="BD9" s="108">
        <v>0.3527777777777778</v>
      </c>
      <c r="BE9" s="108">
        <v>0.94305555555555554</v>
      </c>
      <c r="BF9" s="108">
        <v>0.35416666666666669</v>
      </c>
      <c r="BG9" s="108">
        <v>0.91805555555555562</v>
      </c>
      <c r="BH9" s="108">
        <v>0.34930555555555554</v>
      </c>
      <c r="BI9" s="108">
        <v>0.94652777777777775</v>
      </c>
      <c r="BJ9" s="108">
        <v>0.3611111111111111</v>
      </c>
      <c r="BK9" s="108">
        <v>0.9604166666666667</v>
      </c>
      <c r="BL9" s="120" t="s">
        <v>15</v>
      </c>
      <c r="BM9" s="120" t="s">
        <v>15</v>
      </c>
      <c r="BN9" s="108">
        <v>0.3527777777777778</v>
      </c>
      <c r="BO9" s="108">
        <v>0.94930555555555562</v>
      </c>
      <c r="BP9" s="12">
        <f t="shared" si="0"/>
        <v>31</v>
      </c>
      <c r="BQ9" s="118">
        <v>2</v>
      </c>
      <c r="BR9" s="2">
        <f t="shared" si="1"/>
        <v>28</v>
      </c>
      <c r="BS9" s="3">
        <f t="shared" si="2"/>
        <v>3</v>
      </c>
      <c r="BT9" s="3">
        <f t="shared" si="3"/>
        <v>0</v>
      </c>
      <c r="BU9" s="3">
        <f t="shared" si="4"/>
        <v>0</v>
      </c>
      <c r="BV9" s="3">
        <f t="shared" si="5"/>
        <v>0</v>
      </c>
      <c r="BW9" s="3">
        <f t="shared" si="6"/>
        <v>0</v>
      </c>
      <c r="BX9" s="3">
        <f t="shared" si="7"/>
        <v>0</v>
      </c>
      <c r="BY9" s="3">
        <f t="shared" si="8"/>
        <v>0</v>
      </c>
      <c r="BZ9" s="3">
        <f t="shared" si="9"/>
        <v>0</v>
      </c>
      <c r="CA9" s="3">
        <f t="shared" si="10"/>
        <v>0</v>
      </c>
      <c r="CB9" s="3">
        <f t="shared" si="11"/>
        <v>0</v>
      </c>
      <c r="CC9" s="3">
        <f t="shared" si="12"/>
        <v>0</v>
      </c>
      <c r="CD9" s="129"/>
      <c r="CH9" s="90">
        <v>0</v>
      </c>
      <c r="CI9" s="90">
        <v>0</v>
      </c>
      <c r="CJ9" s="91">
        <v>30</v>
      </c>
      <c r="CK9" s="90">
        <v>0</v>
      </c>
      <c r="CL9" s="90">
        <v>0</v>
      </c>
      <c r="CM9" s="90">
        <v>1</v>
      </c>
      <c r="CN9" s="90">
        <v>0</v>
      </c>
      <c r="CO9" s="90">
        <v>0</v>
      </c>
      <c r="CP9" s="90">
        <v>0</v>
      </c>
      <c r="CQ9" s="90">
        <v>0</v>
      </c>
      <c r="CR9" s="92">
        <f t="shared" si="14"/>
        <v>31</v>
      </c>
    </row>
    <row r="10" spans="1:96" ht="21" customHeight="1" x14ac:dyDescent="0.25">
      <c r="A10" s="18">
        <v>6</v>
      </c>
      <c r="B10" s="20" t="s">
        <v>37</v>
      </c>
      <c r="C10" s="9" t="s">
        <v>38</v>
      </c>
      <c r="D10" s="108">
        <v>0.37222222222222223</v>
      </c>
      <c r="E10" s="108">
        <v>0.76944444444444438</v>
      </c>
      <c r="F10" s="110">
        <v>0.60902777777777783</v>
      </c>
      <c r="G10" s="110">
        <v>0.71388888888888891</v>
      </c>
      <c r="H10" s="108">
        <v>0.57430555555555551</v>
      </c>
      <c r="I10" s="108">
        <v>0.74236111111111114</v>
      </c>
      <c r="J10" s="108">
        <v>0.37152777777777773</v>
      </c>
      <c r="K10" s="108">
        <v>0.76180555555555562</v>
      </c>
      <c r="L10" s="108">
        <v>0.36319444444444443</v>
      </c>
      <c r="M10" s="108">
        <v>0.72430555555555554</v>
      </c>
      <c r="N10" s="108">
        <v>0.37222222222222223</v>
      </c>
      <c r="O10" s="108">
        <v>0.75069444444444444</v>
      </c>
      <c r="P10" s="108">
        <v>0.36805555555555558</v>
      </c>
      <c r="Q10" s="108">
        <v>0.73125000000000007</v>
      </c>
      <c r="R10" s="108">
        <v>0.36805555555555558</v>
      </c>
      <c r="S10" s="108">
        <v>0.76666666666666661</v>
      </c>
      <c r="T10" s="110">
        <v>0.59305555555555556</v>
      </c>
      <c r="U10" s="120">
        <v>1</v>
      </c>
      <c r="V10" s="108">
        <v>0.37013888888888885</v>
      </c>
      <c r="W10" s="108">
        <v>0.84166666666666667</v>
      </c>
      <c r="X10" s="108">
        <v>0.37222222222222223</v>
      </c>
      <c r="Y10" s="108">
        <v>0.81458333333333333</v>
      </c>
      <c r="Z10" s="108">
        <v>0.36388888888888887</v>
      </c>
      <c r="AA10" s="108">
        <v>0.7416666666666667</v>
      </c>
      <c r="AB10" s="108">
        <v>0.33749999999999997</v>
      </c>
      <c r="AC10" s="108">
        <v>0.74097222222222225</v>
      </c>
      <c r="AD10" s="108">
        <v>0.3659722222222222</v>
      </c>
      <c r="AE10" s="108">
        <v>0.7319444444444444</v>
      </c>
      <c r="AF10" s="108" t="s">
        <v>18</v>
      </c>
      <c r="AG10" s="108" t="s">
        <v>18</v>
      </c>
      <c r="AH10" s="62"/>
      <c r="AI10" s="56">
        <v>6</v>
      </c>
      <c r="AJ10" s="110" t="s">
        <v>18</v>
      </c>
      <c r="AK10" s="110" t="s">
        <v>18</v>
      </c>
      <c r="AL10" s="108" t="s">
        <v>18</v>
      </c>
      <c r="AM10" s="108" t="s">
        <v>18</v>
      </c>
      <c r="AN10" s="108" t="s">
        <v>18</v>
      </c>
      <c r="AO10" s="108" t="s">
        <v>18</v>
      </c>
      <c r="AP10" s="108" t="s">
        <v>18</v>
      </c>
      <c r="AQ10" s="108" t="s">
        <v>18</v>
      </c>
      <c r="AR10" s="108" t="s">
        <v>18</v>
      </c>
      <c r="AS10" s="108" t="s">
        <v>18</v>
      </c>
      <c r="AT10" s="108" t="s">
        <v>18</v>
      </c>
      <c r="AU10" s="108" t="s">
        <v>18</v>
      </c>
      <c r="AV10" s="108" t="s">
        <v>18</v>
      </c>
      <c r="AW10" s="108" t="s">
        <v>18</v>
      </c>
      <c r="AX10" s="110" t="s">
        <v>18</v>
      </c>
      <c r="AY10" s="110" t="s">
        <v>18</v>
      </c>
      <c r="AZ10" s="108" t="s">
        <v>18</v>
      </c>
      <c r="BA10" s="108" t="s">
        <v>18</v>
      </c>
      <c r="BB10" s="108">
        <v>0.3756944444444445</v>
      </c>
      <c r="BC10" s="108">
        <v>0.75138888888888899</v>
      </c>
      <c r="BD10" s="108">
        <v>0.37083333333333335</v>
      </c>
      <c r="BE10" s="108">
        <v>0.6020833333333333</v>
      </c>
      <c r="BF10" s="108">
        <v>0.36805555555555558</v>
      </c>
      <c r="BG10" s="108">
        <v>0.74722222222222223</v>
      </c>
      <c r="BH10" s="108">
        <v>0.34513888888888888</v>
      </c>
      <c r="BI10" s="108">
        <v>0.74236111111111114</v>
      </c>
      <c r="BJ10" s="108">
        <v>0.36527777777777781</v>
      </c>
      <c r="BK10" s="108">
        <v>0.76736111111111116</v>
      </c>
      <c r="BL10" s="110">
        <v>0.6069444444444444</v>
      </c>
      <c r="BM10" s="110">
        <v>0.65833333333333333</v>
      </c>
      <c r="BN10" s="108">
        <v>0.41944444444444445</v>
      </c>
      <c r="BO10" s="108">
        <v>0.73541666666666661</v>
      </c>
      <c r="BP10" s="12">
        <f t="shared" si="0"/>
        <v>31</v>
      </c>
      <c r="BQ10" s="118">
        <v>3</v>
      </c>
      <c r="BR10" s="2">
        <f t="shared" si="1"/>
        <v>21</v>
      </c>
      <c r="BS10" s="3">
        <f t="shared" si="2"/>
        <v>0</v>
      </c>
      <c r="BT10" s="3">
        <f t="shared" si="3"/>
        <v>0</v>
      </c>
      <c r="BU10" s="3">
        <f t="shared" si="4"/>
        <v>0</v>
      </c>
      <c r="BV10" s="3">
        <f t="shared" si="5"/>
        <v>10</v>
      </c>
      <c r="BW10" s="3">
        <f t="shared" si="6"/>
        <v>0</v>
      </c>
      <c r="BX10" s="3">
        <f t="shared" si="7"/>
        <v>0</v>
      </c>
      <c r="BY10" s="3">
        <f t="shared" si="8"/>
        <v>0</v>
      </c>
      <c r="BZ10" s="3">
        <f t="shared" si="9"/>
        <v>0</v>
      </c>
      <c r="CA10" s="3">
        <f t="shared" si="10"/>
        <v>0</v>
      </c>
      <c r="CB10" s="3">
        <f t="shared" si="11"/>
        <v>0</v>
      </c>
      <c r="CC10" s="3">
        <f t="shared" si="12"/>
        <v>0</v>
      </c>
      <c r="CD10" s="130" t="s">
        <v>247</v>
      </c>
      <c r="CH10" s="90">
        <v>0</v>
      </c>
      <c r="CI10" s="90">
        <v>0</v>
      </c>
      <c r="CJ10" s="91">
        <v>22</v>
      </c>
      <c r="CK10" s="90">
        <v>0</v>
      </c>
      <c r="CL10" s="91">
        <v>2</v>
      </c>
      <c r="CM10" s="91">
        <v>1</v>
      </c>
      <c r="CN10" s="91">
        <v>4</v>
      </c>
      <c r="CO10" s="90">
        <v>0</v>
      </c>
      <c r="CP10" s="90">
        <v>0</v>
      </c>
      <c r="CQ10" s="90">
        <v>0</v>
      </c>
      <c r="CR10" s="92">
        <f t="shared" ref="CR10:CR26" si="15">SUM(CH10:CQ10)</f>
        <v>29</v>
      </c>
    </row>
    <row r="11" spans="1:96" ht="21" customHeight="1" x14ac:dyDescent="0.25">
      <c r="A11" s="18">
        <v>7</v>
      </c>
      <c r="B11" s="20" t="s">
        <v>39</v>
      </c>
      <c r="C11" s="9" t="s">
        <v>40</v>
      </c>
      <c r="D11" s="108">
        <v>0.4236111111111111</v>
      </c>
      <c r="E11" s="108">
        <v>0.7680555555555556</v>
      </c>
      <c r="F11" s="110">
        <v>0.57708333333333328</v>
      </c>
      <c r="G11" s="110">
        <v>0.78541666666666676</v>
      </c>
      <c r="H11" s="108">
        <v>0.73333333333333339</v>
      </c>
      <c r="I11" s="119">
        <v>1</v>
      </c>
      <c r="J11" s="108">
        <v>0.37152777777777773</v>
      </c>
      <c r="K11" s="108">
        <v>0.77361111111111114</v>
      </c>
      <c r="L11" s="108">
        <v>0.37222222222222223</v>
      </c>
      <c r="M11" s="108">
        <v>0.67361111111111116</v>
      </c>
      <c r="N11" s="108">
        <v>0.37083333333333335</v>
      </c>
      <c r="O11" s="108">
        <v>0.7631944444444444</v>
      </c>
      <c r="P11" s="108">
        <v>0.37152777777777773</v>
      </c>
      <c r="Q11" s="108">
        <v>0.73055555555555562</v>
      </c>
      <c r="R11" s="108">
        <v>0.36874999999999997</v>
      </c>
      <c r="S11" s="108">
        <v>0.72777777777777775</v>
      </c>
      <c r="T11" s="120" t="s">
        <v>15</v>
      </c>
      <c r="U11" s="120" t="s">
        <v>15</v>
      </c>
      <c r="V11" s="108">
        <v>0.39930555555555558</v>
      </c>
      <c r="W11" s="108">
        <v>0.77083333333333337</v>
      </c>
      <c r="X11" s="108">
        <v>0.37222222222222223</v>
      </c>
      <c r="Y11" s="108">
        <v>0.73055555555555562</v>
      </c>
      <c r="Z11" s="108">
        <v>0.36874999999999997</v>
      </c>
      <c r="AA11" s="108">
        <v>0.74097222222222225</v>
      </c>
      <c r="AB11" s="108">
        <v>0.37222222222222223</v>
      </c>
      <c r="AC11" s="108">
        <v>0.73402777777777783</v>
      </c>
      <c r="AD11" s="108">
        <v>0.3833333333333333</v>
      </c>
      <c r="AE11" s="108">
        <v>0.7284722222222223</v>
      </c>
      <c r="AF11" s="108">
        <v>0.37361111111111112</v>
      </c>
      <c r="AG11" s="108">
        <v>0.73402777777777783</v>
      </c>
      <c r="AH11" s="62"/>
      <c r="AI11" s="56">
        <v>7</v>
      </c>
      <c r="AJ11" s="110">
        <v>0.70000000000000007</v>
      </c>
      <c r="AK11" s="120">
        <v>1</v>
      </c>
      <c r="AL11" s="108">
        <v>0.39583333333333331</v>
      </c>
      <c r="AM11" s="108">
        <v>0.72152777777777777</v>
      </c>
      <c r="AN11" s="108">
        <v>0.37291666666666662</v>
      </c>
      <c r="AO11" s="108">
        <v>0.73958333333333337</v>
      </c>
      <c r="AP11" s="108">
        <v>0.37291666666666662</v>
      </c>
      <c r="AQ11" s="108">
        <v>0.73402777777777783</v>
      </c>
      <c r="AR11" s="108">
        <v>0.37222222222222223</v>
      </c>
      <c r="AS11" s="108">
        <v>0.73472222222222217</v>
      </c>
      <c r="AT11" s="108">
        <v>0.36944444444444446</v>
      </c>
      <c r="AU11" s="108">
        <v>0.71666666666666667</v>
      </c>
      <c r="AV11" s="108" t="s">
        <v>202</v>
      </c>
      <c r="AW11" s="108" t="s">
        <v>202</v>
      </c>
      <c r="AX11" s="120" t="s">
        <v>15</v>
      </c>
      <c r="AY11" s="120" t="s">
        <v>15</v>
      </c>
      <c r="AZ11" s="108" t="s">
        <v>202</v>
      </c>
      <c r="BA11" s="108" t="s">
        <v>202</v>
      </c>
      <c r="BB11" s="108" t="s">
        <v>202</v>
      </c>
      <c r="BC11" s="108" t="s">
        <v>202</v>
      </c>
      <c r="BD11" s="108" t="s">
        <v>202</v>
      </c>
      <c r="BE11" s="108" t="s">
        <v>202</v>
      </c>
      <c r="BF11" s="108" t="s">
        <v>202</v>
      </c>
      <c r="BG11" s="108" t="s">
        <v>202</v>
      </c>
      <c r="BH11" s="108" t="s">
        <v>202</v>
      </c>
      <c r="BI11" s="108" t="s">
        <v>202</v>
      </c>
      <c r="BJ11" s="108" t="s">
        <v>202</v>
      </c>
      <c r="BK11" s="108" t="s">
        <v>202</v>
      </c>
      <c r="BL11" s="120" t="s">
        <v>15</v>
      </c>
      <c r="BM11" s="120" t="s">
        <v>15</v>
      </c>
      <c r="BN11" s="108" t="s">
        <v>202</v>
      </c>
      <c r="BO11" s="108" t="s">
        <v>202</v>
      </c>
      <c r="BP11" s="12">
        <f t="shared" si="0"/>
        <v>31</v>
      </c>
      <c r="BQ11" s="118">
        <v>2</v>
      </c>
      <c r="BR11" s="2">
        <f t="shared" si="1"/>
        <v>20</v>
      </c>
      <c r="BS11" s="3">
        <f t="shared" si="2"/>
        <v>3</v>
      </c>
      <c r="BT11" s="3">
        <f t="shared" si="3"/>
        <v>0</v>
      </c>
      <c r="BU11" s="3">
        <f t="shared" si="4"/>
        <v>0</v>
      </c>
      <c r="BV11" s="3">
        <f t="shared" si="5"/>
        <v>0</v>
      </c>
      <c r="BW11" s="3">
        <f t="shared" si="6"/>
        <v>0</v>
      </c>
      <c r="BX11" s="3">
        <f t="shared" si="7"/>
        <v>0</v>
      </c>
      <c r="BY11" s="3">
        <f t="shared" si="8"/>
        <v>8</v>
      </c>
      <c r="BZ11" s="3">
        <f t="shared" si="9"/>
        <v>0</v>
      </c>
      <c r="CA11" s="3">
        <f t="shared" si="10"/>
        <v>0</v>
      </c>
      <c r="CB11" s="3">
        <f t="shared" si="11"/>
        <v>0</v>
      </c>
      <c r="CC11" s="3">
        <f t="shared" si="12"/>
        <v>0</v>
      </c>
      <c r="CD11" s="130"/>
      <c r="CH11" s="90">
        <v>0</v>
      </c>
      <c r="CI11" s="90">
        <v>0</v>
      </c>
      <c r="CJ11" s="90">
        <v>0</v>
      </c>
      <c r="CK11" s="90">
        <v>0</v>
      </c>
      <c r="CL11" s="90">
        <v>0</v>
      </c>
      <c r="CM11" s="90">
        <v>10</v>
      </c>
      <c r="CN11" s="90">
        <v>0</v>
      </c>
      <c r="CO11" s="90">
        <v>0</v>
      </c>
      <c r="CP11" s="90">
        <v>0</v>
      </c>
      <c r="CQ11" s="90">
        <v>0</v>
      </c>
      <c r="CR11" s="92">
        <f t="shared" si="15"/>
        <v>10</v>
      </c>
    </row>
    <row r="12" spans="1:96" ht="21" customHeight="1" x14ac:dyDescent="0.25">
      <c r="A12" s="18">
        <v>8</v>
      </c>
      <c r="B12" s="20" t="s">
        <v>43</v>
      </c>
      <c r="C12" s="9" t="s">
        <v>44</v>
      </c>
      <c r="D12" s="108" t="s">
        <v>18</v>
      </c>
      <c r="E12" s="108" t="s">
        <v>18</v>
      </c>
      <c r="F12" s="110" t="s">
        <v>18</v>
      </c>
      <c r="G12" s="110" t="s">
        <v>18</v>
      </c>
      <c r="H12" s="108" t="s">
        <v>18</v>
      </c>
      <c r="I12" s="108" t="s">
        <v>18</v>
      </c>
      <c r="J12" s="108" t="s">
        <v>18</v>
      </c>
      <c r="K12" s="108" t="s">
        <v>18</v>
      </c>
      <c r="L12" s="108" t="s">
        <v>18</v>
      </c>
      <c r="M12" s="108" t="s">
        <v>18</v>
      </c>
      <c r="N12" s="108" t="s">
        <v>18</v>
      </c>
      <c r="O12" s="108" t="s">
        <v>18</v>
      </c>
      <c r="P12" s="108" t="s">
        <v>18</v>
      </c>
      <c r="Q12" s="108" t="s">
        <v>18</v>
      </c>
      <c r="R12" s="108" t="s">
        <v>18</v>
      </c>
      <c r="S12" s="108" t="s">
        <v>18</v>
      </c>
      <c r="T12" s="110" t="s">
        <v>18</v>
      </c>
      <c r="U12" s="110" t="s">
        <v>18</v>
      </c>
      <c r="V12" s="108" t="s">
        <v>18</v>
      </c>
      <c r="W12" s="108" t="s">
        <v>18</v>
      </c>
      <c r="X12" s="108">
        <v>0.3840277777777778</v>
      </c>
      <c r="Y12" s="108">
        <v>0.73888888888888893</v>
      </c>
      <c r="Z12" s="108">
        <v>0.38194444444444442</v>
      </c>
      <c r="AA12" s="108">
        <v>0.74097222222222225</v>
      </c>
      <c r="AB12" s="108">
        <v>0.3840277777777778</v>
      </c>
      <c r="AC12" s="108">
        <v>0.7368055555555556</v>
      </c>
      <c r="AD12" s="108">
        <v>0.38263888888888892</v>
      </c>
      <c r="AE12" s="108">
        <v>0.72638888888888886</v>
      </c>
      <c r="AF12" s="108">
        <v>0.38750000000000001</v>
      </c>
      <c r="AG12" s="108">
        <v>0.71805555555555556</v>
      </c>
      <c r="AH12" s="62"/>
      <c r="AI12" s="56">
        <v>8</v>
      </c>
      <c r="AJ12" s="120" t="s">
        <v>15</v>
      </c>
      <c r="AK12" s="120" t="s">
        <v>15</v>
      </c>
      <c r="AL12" s="108">
        <v>0.41666666666666669</v>
      </c>
      <c r="AM12" s="119">
        <v>1</v>
      </c>
      <c r="AN12" s="108">
        <v>0.38680555555555557</v>
      </c>
      <c r="AO12" s="108">
        <v>0.80763888888888891</v>
      </c>
      <c r="AP12" s="108">
        <v>0.38611111111111113</v>
      </c>
      <c r="AQ12" s="108">
        <v>0.73333333333333339</v>
      </c>
      <c r="AR12" s="108">
        <v>0.38680555555555557</v>
      </c>
      <c r="AS12" s="108">
        <v>0.73611111111111116</v>
      </c>
      <c r="AT12" s="108">
        <v>0.38750000000000001</v>
      </c>
      <c r="AU12" s="108">
        <v>0.71666666666666667</v>
      </c>
      <c r="AV12" s="108">
        <v>0.38750000000000001</v>
      </c>
      <c r="AW12" s="108">
        <v>0.73888888888888893</v>
      </c>
      <c r="AX12" s="120" t="s">
        <v>15</v>
      </c>
      <c r="AY12" s="120" t="s">
        <v>15</v>
      </c>
      <c r="AZ12" s="108">
        <v>0.41875000000000001</v>
      </c>
      <c r="BA12" s="108">
        <v>0.7583333333333333</v>
      </c>
      <c r="BB12" s="108" t="s">
        <v>202</v>
      </c>
      <c r="BC12" s="108" t="s">
        <v>202</v>
      </c>
      <c r="BD12" s="108" t="s">
        <v>202</v>
      </c>
      <c r="BE12" s="108" t="s">
        <v>202</v>
      </c>
      <c r="BF12" s="108" t="s">
        <v>202</v>
      </c>
      <c r="BG12" s="108" t="s">
        <v>202</v>
      </c>
      <c r="BH12" s="108" t="s">
        <v>202</v>
      </c>
      <c r="BI12" s="108" t="s">
        <v>202</v>
      </c>
      <c r="BJ12" s="108" t="s">
        <v>202</v>
      </c>
      <c r="BK12" s="108" t="s">
        <v>202</v>
      </c>
      <c r="BL12" s="120" t="s">
        <v>15</v>
      </c>
      <c r="BM12" s="120" t="s">
        <v>15</v>
      </c>
      <c r="BN12" s="108" t="s">
        <v>202</v>
      </c>
      <c r="BO12" s="108" t="s">
        <v>202</v>
      </c>
      <c r="BP12" s="12">
        <f t="shared" si="0"/>
        <v>31</v>
      </c>
      <c r="BQ12" s="118">
        <v>0</v>
      </c>
      <c r="BR12" s="2">
        <f t="shared" si="1"/>
        <v>12</v>
      </c>
      <c r="BS12" s="3">
        <f t="shared" si="2"/>
        <v>3</v>
      </c>
      <c r="BT12" s="3">
        <f t="shared" si="3"/>
        <v>0</v>
      </c>
      <c r="BU12" s="3">
        <f t="shared" si="4"/>
        <v>0</v>
      </c>
      <c r="BV12" s="3">
        <f t="shared" si="5"/>
        <v>10</v>
      </c>
      <c r="BW12" s="3">
        <f t="shared" si="6"/>
        <v>0</v>
      </c>
      <c r="BX12" s="3">
        <f t="shared" si="7"/>
        <v>0</v>
      </c>
      <c r="BY12" s="3">
        <f t="shared" si="8"/>
        <v>6</v>
      </c>
      <c r="BZ12" s="3">
        <f t="shared" si="9"/>
        <v>0</v>
      </c>
      <c r="CA12" s="3">
        <f t="shared" si="10"/>
        <v>0</v>
      </c>
      <c r="CB12" s="3">
        <f t="shared" si="11"/>
        <v>0</v>
      </c>
      <c r="CC12" s="3">
        <f t="shared" si="12"/>
        <v>0</v>
      </c>
      <c r="CD12" s="130" t="s">
        <v>247</v>
      </c>
      <c r="CH12" s="90">
        <v>0</v>
      </c>
      <c r="CI12" s="90">
        <v>0</v>
      </c>
      <c r="CJ12" s="90">
        <v>38</v>
      </c>
      <c r="CK12" s="90">
        <v>0</v>
      </c>
      <c r="CL12" s="90">
        <v>0</v>
      </c>
      <c r="CM12" s="91">
        <v>9</v>
      </c>
      <c r="CN12" s="91">
        <v>0</v>
      </c>
      <c r="CO12" s="91">
        <v>0</v>
      </c>
      <c r="CP12" s="90">
        <v>0</v>
      </c>
      <c r="CQ12" s="90">
        <v>0</v>
      </c>
      <c r="CR12" s="92">
        <f>SUM(CH12:CQ12)</f>
        <v>47</v>
      </c>
    </row>
    <row r="13" spans="1:96" ht="21" customHeight="1" x14ac:dyDescent="0.25">
      <c r="A13" s="18">
        <v>9</v>
      </c>
      <c r="B13" s="20" t="s">
        <v>41</v>
      </c>
      <c r="C13" s="9" t="s">
        <v>42</v>
      </c>
      <c r="D13" s="108">
        <v>0.43263888888888885</v>
      </c>
      <c r="E13" s="108">
        <v>0.74444444444444446</v>
      </c>
      <c r="F13" s="110">
        <v>0.86597222222222225</v>
      </c>
      <c r="G13" s="120">
        <v>1</v>
      </c>
      <c r="H13" s="108">
        <v>0.4201388888888889</v>
      </c>
      <c r="I13" s="108">
        <v>0.80902777777777779</v>
      </c>
      <c r="J13" s="108">
        <v>0.37986111111111115</v>
      </c>
      <c r="K13" s="108">
        <v>0.83819444444444446</v>
      </c>
      <c r="L13" s="108">
        <v>0.38194444444444442</v>
      </c>
      <c r="M13" s="108">
        <v>0.9784722222222223</v>
      </c>
      <c r="N13" s="108">
        <v>0.3888888888888889</v>
      </c>
      <c r="O13" s="108">
        <v>0.74097222222222225</v>
      </c>
      <c r="P13" s="108">
        <v>0.45416666666666666</v>
      </c>
      <c r="Q13" s="108">
        <v>0.82152777777777775</v>
      </c>
      <c r="R13" s="108">
        <v>0.37916666666666665</v>
      </c>
      <c r="S13" s="108">
        <v>0.75763888888888886</v>
      </c>
      <c r="T13" s="110">
        <v>0.74722222222222223</v>
      </c>
      <c r="U13" s="120">
        <v>1</v>
      </c>
      <c r="V13" s="108">
        <v>0.41666666666666669</v>
      </c>
      <c r="W13" s="108">
        <v>0.82708333333333339</v>
      </c>
      <c r="X13" s="108">
        <v>0.3923611111111111</v>
      </c>
      <c r="Y13" s="108">
        <v>0.79583333333333339</v>
      </c>
      <c r="Z13" s="108" t="s">
        <v>202</v>
      </c>
      <c r="AA13" s="108" t="s">
        <v>202</v>
      </c>
      <c r="AB13" s="108">
        <v>0.38194444444444442</v>
      </c>
      <c r="AC13" s="108">
        <v>0.88124999999999998</v>
      </c>
      <c r="AD13" s="108">
        <v>0.38611111111111113</v>
      </c>
      <c r="AE13" s="108">
        <v>0.83333333333333337</v>
      </c>
      <c r="AF13" s="108">
        <v>0.39097222222222222</v>
      </c>
      <c r="AG13" s="108">
        <v>0.77638888888888891</v>
      </c>
      <c r="AH13" s="62"/>
      <c r="AI13" s="56">
        <v>9</v>
      </c>
      <c r="AJ13" s="110">
        <v>0.74097222222222225</v>
      </c>
      <c r="AK13" s="120">
        <v>1</v>
      </c>
      <c r="AL13" s="108">
        <v>0.4236111111111111</v>
      </c>
      <c r="AM13" s="108">
        <v>0.77777777777777779</v>
      </c>
      <c r="AN13" s="108">
        <v>0.39513888888888887</v>
      </c>
      <c r="AO13" s="108">
        <v>0.57777777777777783</v>
      </c>
      <c r="AP13" s="108">
        <v>0.38263888888888892</v>
      </c>
      <c r="AQ13" s="108">
        <v>0.97013888888888899</v>
      </c>
      <c r="AR13" s="108">
        <v>0.3923611111111111</v>
      </c>
      <c r="AS13" s="108">
        <v>0.5708333333333333</v>
      </c>
      <c r="AT13" s="108">
        <v>0.37916666666666665</v>
      </c>
      <c r="AU13" s="108">
        <v>0.89513888888888893</v>
      </c>
      <c r="AV13" s="108">
        <v>0.39166666666666666</v>
      </c>
      <c r="AW13" s="108">
        <v>0.74791666666666667</v>
      </c>
      <c r="AX13" s="110">
        <v>0.75208333333333333</v>
      </c>
      <c r="AY13" s="120">
        <v>1</v>
      </c>
      <c r="AZ13" s="108">
        <v>0.43541666666666662</v>
      </c>
      <c r="BA13" s="108">
        <v>0.73333333333333339</v>
      </c>
      <c r="BB13" s="108">
        <v>0.39305555555555555</v>
      </c>
      <c r="BC13" s="108">
        <v>0.94097222222222221</v>
      </c>
      <c r="BD13" s="108">
        <v>0.39930555555555558</v>
      </c>
      <c r="BE13" s="108">
        <v>0.82638888888888884</v>
      </c>
      <c r="BF13" s="108">
        <v>0.38541666666666669</v>
      </c>
      <c r="BG13" s="108">
        <v>0.84305555555555556</v>
      </c>
      <c r="BH13" s="108">
        <v>0.37777777777777777</v>
      </c>
      <c r="BI13" s="108">
        <v>0.74305555555555547</v>
      </c>
      <c r="BJ13" s="108">
        <v>0.53263888888888888</v>
      </c>
      <c r="BK13" s="108">
        <v>0.74583333333333324</v>
      </c>
      <c r="BL13" s="120">
        <v>1</v>
      </c>
      <c r="BM13" s="110">
        <v>0.92499999999999993</v>
      </c>
      <c r="BN13" s="108">
        <v>0.40486111111111112</v>
      </c>
      <c r="BO13" s="108">
        <v>0.9277777777777777</v>
      </c>
      <c r="BP13" s="12">
        <f t="shared" si="0"/>
        <v>31</v>
      </c>
      <c r="BQ13" s="118">
        <v>5</v>
      </c>
      <c r="BR13" s="2">
        <f t="shared" si="1"/>
        <v>30</v>
      </c>
      <c r="BS13" s="3">
        <f t="shared" si="2"/>
        <v>0</v>
      </c>
      <c r="BT13" s="3">
        <f t="shared" si="3"/>
        <v>0</v>
      </c>
      <c r="BU13" s="3">
        <f t="shared" si="4"/>
        <v>0</v>
      </c>
      <c r="BV13" s="3">
        <f t="shared" si="5"/>
        <v>0</v>
      </c>
      <c r="BW13" s="3">
        <f t="shared" si="6"/>
        <v>0</v>
      </c>
      <c r="BX13" s="3">
        <f t="shared" si="7"/>
        <v>0</v>
      </c>
      <c r="BY13" s="3">
        <f t="shared" si="8"/>
        <v>1</v>
      </c>
      <c r="BZ13" s="3">
        <f t="shared" si="9"/>
        <v>0</v>
      </c>
      <c r="CA13" s="3">
        <f t="shared" si="10"/>
        <v>0</v>
      </c>
      <c r="CB13" s="3">
        <f t="shared" si="11"/>
        <v>0</v>
      </c>
      <c r="CC13" s="3">
        <f t="shared" si="12"/>
        <v>0</v>
      </c>
      <c r="CD13" s="130"/>
      <c r="CH13" s="90">
        <v>0</v>
      </c>
      <c r="CI13" s="90">
        <v>0</v>
      </c>
      <c r="CJ13" s="91">
        <v>2</v>
      </c>
      <c r="CK13" s="90">
        <v>0</v>
      </c>
      <c r="CL13" s="91">
        <v>2</v>
      </c>
      <c r="CM13" s="91">
        <v>2</v>
      </c>
      <c r="CN13" s="91">
        <v>1</v>
      </c>
      <c r="CO13" s="90">
        <v>0</v>
      </c>
      <c r="CP13" s="90">
        <v>0</v>
      </c>
      <c r="CQ13" s="91">
        <v>1</v>
      </c>
      <c r="CR13" s="92">
        <f t="shared" si="15"/>
        <v>8</v>
      </c>
    </row>
    <row r="14" spans="1:96" ht="21" customHeight="1" x14ac:dyDescent="0.25">
      <c r="A14" s="18">
        <v>10</v>
      </c>
      <c r="B14" s="20" t="s">
        <v>45</v>
      </c>
      <c r="C14" s="9" t="s">
        <v>46</v>
      </c>
      <c r="D14" s="108">
        <v>0.34027777777777773</v>
      </c>
      <c r="E14" s="108">
        <v>0.97499999999999998</v>
      </c>
      <c r="F14" s="110">
        <v>0.57152777777777775</v>
      </c>
      <c r="G14" s="110">
        <v>0.9458333333333333</v>
      </c>
      <c r="H14" s="108">
        <v>0.3215277777777778</v>
      </c>
      <c r="I14" s="108">
        <v>0.3215277777777778</v>
      </c>
      <c r="J14" s="108">
        <v>0.32222222222222224</v>
      </c>
      <c r="K14" s="108">
        <v>0.94652777777777775</v>
      </c>
      <c r="L14" s="108">
        <v>0.31875000000000003</v>
      </c>
      <c r="M14" s="108">
        <v>0.94652777777777775</v>
      </c>
      <c r="N14" s="108">
        <v>0.33749999999999997</v>
      </c>
      <c r="O14" s="108">
        <v>0.94236111111111109</v>
      </c>
      <c r="P14" s="108">
        <v>0.34097222222222223</v>
      </c>
      <c r="Q14" s="108">
        <v>0.92847222222222225</v>
      </c>
      <c r="R14" s="108">
        <v>0.35138888888888892</v>
      </c>
      <c r="S14" s="108">
        <v>0.9916666666666667</v>
      </c>
      <c r="T14" s="110">
        <v>0.58194444444444449</v>
      </c>
      <c r="U14" s="110">
        <v>0.95972222222222225</v>
      </c>
      <c r="V14" s="108">
        <v>0.32222222222222224</v>
      </c>
      <c r="W14" s="108">
        <v>0.94097222222222221</v>
      </c>
      <c r="X14" s="108">
        <v>0.35833333333333334</v>
      </c>
      <c r="Y14" s="108">
        <v>0.94791666666666663</v>
      </c>
      <c r="Z14" s="108">
        <v>0.32013888888888892</v>
      </c>
      <c r="AA14" s="108">
        <v>0.94236111111111109</v>
      </c>
      <c r="AB14" s="108">
        <v>0.3520833333333333</v>
      </c>
      <c r="AC14" s="108">
        <v>0.96319444444444446</v>
      </c>
      <c r="AD14" s="108">
        <v>0.3430555555555555</v>
      </c>
      <c r="AE14" s="108">
        <v>0.3430555555555555</v>
      </c>
      <c r="AF14" s="108">
        <v>0.34027777777777773</v>
      </c>
      <c r="AG14" s="108">
        <v>0.9784722222222223</v>
      </c>
      <c r="AH14" s="62"/>
      <c r="AI14" s="56">
        <v>10</v>
      </c>
      <c r="AJ14" s="110">
        <v>0.56805555555555554</v>
      </c>
      <c r="AK14" s="110">
        <v>0.97152777777777777</v>
      </c>
      <c r="AL14" s="108">
        <v>0.31388888888888888</v>
      </c>
      <c r="AM14" s="108">
        <v>0.92152777777777783</v>
      </c>
      <c r="AN14" s="108">
        <v>0.33888888888888885</v>
      </c>
      <c r="AO14" s="108">
        <v>0.95347222222222217</v>
      </c>
      <c r="AP14" s="108">
        <v>0.32013888888888892</v>
      </c>
      <c r="AQ14" s="108">
        <v>0.94513888888888886</v>
      </c>
      <c r="AR14" s="108">
        <v>0.36249999999999999</v>
      </c>
      <c r="AS14" s="108">
        <v>0.93402777777777779</v>
      </c>
      <c r="AT14" s="108">
        <v>0.31875000000000003</v>
      </c>
      <c r="AU14" s="108">
        <v>0.97777777777777775</v>
      </c>
      <c r="AV14" s="108">
        <v>0.35416666666666669</v>
      </c>
      <c r="AW14" s="108">
        <v>0.98333333333333339</v>
      </c>
      <c r="AX14" s="110">
        <v>0.56874999999999998</v>
      </c>
      <c r="AY14" s="110">
        <v>0.95486111111111116</v>
      </c>
      <c r="AZ14" s="108">
        <v>0.36736111111111108</v>
      </c>
      <c r="BA14" s="108">
        <v>0.95972222222222225</v>
      </c>
      <c r="BB14" s="108">
        <v>0.35694444444444445</v>
      </c>
      <c r="BC14" s="108">
        <v>0.98333333333333339</v>
      </c>
      <c r="BD14" s="108">
        <v>0.35625000000000001</v>
      </c>
      <c r="BE14" s="108">
        <v>0.94930555555555562</v>
      </c>
      <c r="BF14" s="108">
        <v>0.36319444444444443</v>
      </c>
      <c r="BG14" s="108">
        <v>0.94861111111111107</v>
      </c>
      <c r="BH14" s="108">
        <v>0.35138888888888892</v>
      </c>
      <c r="BI14" s="108">
        <v>0.94027777777777777</v>
      </c>
      <c r="BJ14" s="108">
        <v>0.36388888888888887</v>
      </c>
      <c r="BK14" s="108">
        <v>0.99722222222222223</v>
      </c>
      <c r="BL14" s="110">
        <v>0.56527777777777777</v>
      </c>
      <c r="BM14" s="110">
        <v>0.8881944444444444</v>
      </c>
      <c r="BN14" s="108">
        <v>0.32569444444444445</v>
      </c>
      <c r="BO14" s="108">
        <v>0.9555555555555556</v>
      </c>
      <c r="BP14" s="12">
        <f t="shared" si="0"/>
        <v>31</v>
      </c>
      <c r="BQ14" s="118">
        <v>5</v>
      </c>
      <c r="BR14" s="2">
        <f t="shared" si="1"/>
        <v>31</v>
      </c>
      <c r="BS14" s="3">
        <f t="shared" si="2"/>
        <v>0</v>
      </c>
      <c r="BT14" s="3">
        <f t="shared" si="3"/>
        <v>0</v>
      </c>
      <c r="BU14" s="3">
        <f t="shared" si="4"/>
        <v>0</v>
      </c>
      <c r="BV14" s="3">
        <f t="shared" si="5"/>
        <v>0</v>
      </c>
      <c r="BW14" s="3">
        <f t="shared" si="6"/>
        <v>0</v>
      </c>
      <c r="BX14" s="3">
        <f t="shared" si="7"/>
        <v>0</v>
      </c>
      <c r="BY14" s="3">
        <f t="shared" si="8"/>
        <v>0</v>
      </c>
      <c r="BZ14" s="3">
        <f t="shared" si="9"/>
        <v>0</v>
      </c>
      <c r="CA14" s="3">
        <f t="shared" si="10"/>
        <v>0</v>
      </c>
      <c r="CB14" s="3">
        <f t="shared" si="11"/>
        <v>0</v>
      </c>
      <c r="CC14" s="3">
        <f t="shared" si="12"/>
        <v>0</v>
      </c>
      <c r="CD14" s="4"/>
      <c r="CH14" s="90">
        <v>0</v>
      </c>
      <c r="CI14" s="90">
        <v>0</v>
      </c>
      <c r="CJ14" s="91">
        <v>40</v>
      </c>
      <c r="CK14" s="90">
        <v>0</v>
      </c>
      <c r="CL14" s="90">
        <v>0</v>
      </c>
      <c r="CM14" s="90">
        <v>0</v>
      </c>
      <c r="CN14" s="91">
        <v>2</v>
      </c>
      <c r="CO14" s="90">
        <v>0</v>
      </c>
      <c r="CP14" s="90">
        <v>0</v>
      </c>
      <c r="CQ14" s="90">
        <v>0</v>
      </c>
      <c r="CR14" s="92">
        <f t="shared" si="15"/>
        <v>42</v>
      </c>
    </row>
    <row r="15" spans="1:96" ht="21" customHeight="1" x14ac:dyDescent="0.25">
      <c r="A15" s="18">
        <v>11</v>
      </c>
      <c r="B15" s="20" t="s">
        <v>47</v>
      </c>
      <c r="C15" s="9" t="s">
        <v>48</v>
      </c>
      <c r="D15" s="108">
        <v>0.35902777777777778</v>
      </c>
      <c r="E15" s="108">
        <v>0.97222222222222221</v>
      </c>
      <c r="F15" s="110">
        <v>0.56041666666666667</v>
      </c>
      <c r="G15" s="110">
        <v>0.97361111111111109</v>
      </c>
      <c r="H15" s="108">
        <v>0.35416666666666669</v>
      </c>
      <c r="I15" s="108">
        <v>6.9444444444444447E-4</v>
      </c>
      <c r="J15" s="108">
        <v>0.35486111111111113</v>
      </c>
      <c r="K15" s="108">
        <v>0.9819444444444444</v>
      </c>
      <c r="L15" s="108">
        <v>0.35486111111111113</v>
      </c>
      <c r="M15" s="119">
        <v>1</v>
      </c>
      <c r="N15" s="108">
        <v>0.35486111111111113</v>
      </c>
      <c r="O15" s="108">
        <v>0.35486111111111113</v>
      </c>
      <c r="P15" s="108">
        <v>0.35486111111111113</v>
      </c>
      <c r="Q15" s="108">
        <v>0.96875</v>
      </c>
      <c r="R15" s="108">
        <v>0.35486111111111113</v>
      </c>
      <c r="S15" s="108">
        <v>0.97222222222222221</v>
      </c>
      <c r="T15" s="120" t="s">
        <v>15</v>
      </c>
      <c r="U15" s="120" t="s">
        <v>15</v>
      </c>
      <c r="V15" s="108">
        <v>0.35555555555555557</v>
      </c>
      <c r="W15" s="108">
        <v>0.99375000000000002</v>
      </c>
      <c r="X15" s="108">
        <v>0.35486111111111113</v>
      </c>
      <c r="Y15" s="119">
        <v>1</v>
      </c>
      <c r="Z15" s="108">
        <v>0.35416666666666669</v>
      </c>
      <c r="AA15" s="108">
        <v>0.95208333333333339</v>
      </c>
      <c r="AB15" s="108">
        <v>0.35416666666666669</v>
      </c>
      <c r="AC15" s="108">
        <v>0.94236111111111109</v>
      </c>
      <c r="AD15" s="108">
        <v>0.35416666666666669</v>
      </c>
      <c r="AE15" s="108">
        <v>0.98333333333333339</v>
      </c>
      <c r="AF15" s="108">
        <v>0.35625000000000001</v>
      </c>
      <c r="AG15" s="108">
        <v>0.97222222222222221</v>
      </c>
      <c r="AH15" s="62"/>
      <c r="AI15" s="56">
        <v>11</v>
      </c>
      <c r="AJ15" s="120">
        <v>1</v>
      </c>
      <c r="AK15" s="110">
        <v>0.96458333333333324</v>
      </c>
      <c r="AL15" s="108">
        <v>0.3527777777777778</v>
      </c>
      <c r="AM15" s="108">
        <v>0.9916666666666667</v>
      </c>
      <c r="AN15" s="108">
        <v>0.35486111111111113</v>
      </c>
      <c r="AO15" s="108">
        <v>1.8749999999999999E-2</v>
      </c>
      <c r="AP15" s="108">
        <v>0.35416666666666669</v>
      </c>
      <c r="AQ15" s="108">
        <v>0.97916666666666663</v>
      </c>
      <c r="AR15" s="108">
        <v>0.35486111111111113</v>
      </c>
      <c r="AS15" s="108">
        <v>0.35486111111111113</v>
      </c>
      <c r="AT15" s="108">
        <v>0.35486111111111113</v>
      </c>
      <c r="AU15" s="108">
        <v>0.95486111111111116</v>
      </c>
      <c r="AV15" s="108">
        <v>0.35347222222222219</v>
      </c>
      <c r="AW15" s="108">
        <v>0.35347222222222219</v>
      </c>
      <c r="AX15" s="120" t="s">
        <v>15</v>
      </c>
      <c r="AY15" s="120" t="s">
        <v>15</v>
      </c>
      <c r="AZ15" s="108">
        <v>0.35416666666666669</v>
      </c>
      <c r="BA15" s="119">
        <v>1</v>
      </c>
      <c r="BB15" s="108">
        <v>0.96944444444444444</v>
      </c>
      <c r="BC15" s="108">
        <v>0.96944444444444444</v>
      </c>
      <c r="BD15" s="108">
        <v>0.35347222222222219</v>
      </c>
      <c r="BE15" s="108">
        <v>0.95763888888888893</v>
      </c>
      <c r="BF15" s="108">
        <v>0.3527777777777778</v>
      </c>
      <c r="BG15" s="108">
        <v>0.95208333333333339</v>
      </c>
      <c r="BH15" s="108">
        <v>0.35347222222222219</v>
      </c>
      <c r="BI15" s="108">
        <v>8.3333333333333332E-3</v>
      </c>
      <c r="BJ15" s="108">
        <v>0.35347222222222219</v>
      </c>
      <c r="BK15" s="108">
        <v>0.35347222222222219</v>
      </c>
      <c r="BL15" s="110">
        <v>0.58333333333333337</v>
      </c>
      <c r="BM15" s="120">
        <v>1</v>
      </c>
      <c r="BN15" s="108">
        <v>0.35555555555555557</v>
      </c>
      <c r="BO15" s="108">
        <v>0.35555555555555557</v>
      </c>
      <c r="BP15" s="12">
        <f t="shared" si="0"/>
        <v>31</v>
      </c>
      <c r="BQ15" s="118">
        <v>3</v>
      </c>
      <c r="BR15" s="2">
        <f t="shared" si="1"/>
        <v>29</v>
      </c>
      <c r="BS15" s="3">
        <f t="shared" si="2"/>
        <v>2</v>
      </c>
      <c r="BT15" s="3">
        <f t="shared" si="3"/>
        <v>0</v>
      </c>
      <c r="BU15" s="3">
        <f t="shared" si="4"/>
        <v>0</v>
      </c>
      <c r="BV15" s="3">
        <f t="shared" si="5"/>
        <v>0</v>
      </c>
      <c r="BW15" s="3">
        <f t="shared" si="6"/>
        <v>0</v>
      </c>
      <c r="BX15" s="3">
        <f t="shared" si="7"/>
        <v>0</v>
      </c>
      <c r="BY15" s="3">
        <f t="shared" si="8"/>
        <v>0</v>
      </c>
      <c r="BZ15" s="3">
        <f t="shared" si="9"/>
        <v>0</v>
      </c>
      <c r="CA15" s="3">
        <f t="shared" si="10"/>
        <v>0</v>
      </c>
      <c r="CB15" s="3">
        <f t="shared" si="11"/>
        <v>0</v>
      </c>
      <c r="CC15" s="3">
        <f t="shared" si="12"/>
        <v>0</v>
      </c>
      <c r="CD15" s="4"/>
      <c r="CH15" s="90">
        <v>0</v>
      </c>
      <c r="CI15" s="90">
        <v>0</v>
      </c>
      <c r="CJ15" s="91">
        <v>28</v>
      </c>
      <c r="CK15" s="90">
        <v>0</v>
      </c>
      <c r="CL15" s="90">
        <v>0</v>
      </c>
      <c r="CM15" s="91">
        <v>1</v>
      </c>
      <c r="CN15" s="90">
        <v>0</v>
      </c>
      <c r="CO15" s="90">
        <v>0</v>
      </c>
      <c r="CP15" s="90">
        <v>0</v>
      </c>
      <c r="CQ15" s="90">
        <v>0</v>
      </c>
      <c r="CR15" s="92">
        <f t="shared" si="15"/>
        <v>29</v>
      </c>
    </row>
    <row r="16" spans="1:96" ht="21" customHeight="1" x14ac:dyDescent="0.25">
      <c r="A16" s="18">
        <v>12</v>
      </c>
      <c r="B16" s="20" t="s">
        <v>49</v>
      </c>
      <c r="C16" s="9" t="s">
        <v>50</v>
      </c>
      <c r="D16" s="108">
        <v>0.35138888888888892</v>
      </c>
      <c r="E16" s="108">
        <v>0.98819444444444438</v>
      </c>
      <c r="F16" s="120" t="s">
        <v>15</v>
      </c>
      <c r="G16" s="120" t="s">
        <v>15</v>
      </c>
      <c r="H16" s="108">
        <v>0.3520833333333333</v>
      </c>
      <c r="I16" s="108">
        <v>0.97986111111111107</v>
      </c>
      <c r="J16" s="108">
        <v>0.3527777777777778</v>
      </c>
      <c r="K16" s="108">
        <v>0.98541666666666661</v>
      </c>
      <c r="L16" s="108">
        <v>0.3527777777777778</v>
      </c>
      <c r="M16" s="108">
        <v>0.9916666666666667</v>
      </c>
      <c r="N16" s="108">
        <v>0.3527777777777778</v>
      </c>
      <c r="O16" s="108">
        <v>0.98125000000000007</v>
      </c>
      <c r="P16" s="108">
        <v>0.35347222222222219</v>
      </c>
      <c r="Q16" s="108">
        <v>0.97291666666666676</v>
      </c>
      <c r="R16" s="108">
        <v>0.3527777777777778</v>
      </c>
      <c r="S16" s="108">
        <v>0.97430555555555554</v>
      </c>
      <c r="T16" s="110">
        <v>0.5805555555555556</v>
      </c>
      <c r="U16" s="110">
        <v>0.95208333333333339</v>
      </c>
      <c r="V16" s="108">
        <v>0.3527777777777778</v>
      </c>
      <c r="W16" s="108">
        <v>0.99652777777777779</v>
      </c>
      <c r="X16" s="108">
        <v>0.35347222222222219</v>
      </c>
      <c r="Y16" s="108">
        <v>0.96944444444444444</v>
      </c>
      <c r="Z16" s="108">
        <v>0.35138888888888892</v>
      </c>
      <c r="AA16" s="108">
        <v>0.9590277777777777</v>
      </c>
      <c r="AB16" s="108">
        <v>0.35416666666666669</v>
      </c>
      <c r="AC16" s="108">
        <v>0.96319444444444446</v>
      </c>
      <c r="AD16" s="108">
        <v>0.3527777777777778</v>
      </c>
      <c r="AE16" s="108">
        <v>0.98263888888888884</v>
      </c>
      <c r="AF16" s="108">
        <v>0.35347222222222219</v>
      </c>
      <c r="AG16" s="108">
        <v>0.97916666666666663</v>
      </c>
      <c r="AH16" s="62"/>
      <c r="AI16" s="56">
        <v>12</v>
      </c>
      <c r="AJ16" s="120" t="s">
        <v>15</v>
      </c>
      <c r="AK16" s="120" t="s">
        <v>15</v>
      </c>
      <c r="AL16" s="108">
        <v>0.34930555555555554</v>
      </c>
      <c r="AM16" s="108">
        <v>0.99305555555555547</v>
      </c>
      <c r="AN16" s="108">
        <v>0.35347222222222219</v>
      </c>
      <c r="AO16" s="108">
        <v>1.8055555555555557E-2</v>
      </c>
      <c r="AP16" s="108">
        <v>0.3527777777777778</v>
      </c>
      <c r="AQ16" s="108">
        <v>0.98333333333333339</v>
      </c>
      <c r="AR16" s="108">
        <v>0.35347222222222219</v>
      </c>
      <c r="AS16" s="108">
        <v>0.98333333333333339</v>
      </c>
      <c r="AT16" s="108">
        <v>0.35347222222222219</v>
      </c>
      <c r="AU16" s="108">
        <v>0.96597222222222223</v>
      </c>
      <c r="AV16" s="108">
        <v>0.35347222222222219</v>
      </c>
      <c r="AW16" s="108">
        <v>7.6388888888888886E-3</v>
      </c>
      <c r="AX16" s="110">
        <v>0.57986111111111105</v>
      </c>
      <c r="AY16" s="110">
        <v>0.96666666666666667</v>
      </c>
      <c r="AZ16" s="108">
        <v>0.34791666666666665</v>
      </c>
      <c r="BA16" s="119">
        <v>1</v>
      </c>
      <c r="BB16" s="108">
        <v>0.3527777777777778</v>
      </c>
      <c r="BC16" s="108">
        <v>0.98333333333333339</v>
      </c>
      <c r="BD16" s="108">
        <v>0.3520833333333333</v>
      </c>
      <c r="BE16" s="108">
        <v>0.95833333333333337</v>
      </c>
      <c r="BF16" s="108">
        <v>0.3520833333333333</v>
      </c>
      <c r="BG16" s="108">
        <v>0.96666666666666667</v>
      </c>
      <c r="BH16" s="108">
        <v>0.35347222222222219</v>
      </c>
      <c r="BI16" s="108">
        <v>8.3333333333333332E-3</v>
      </c>
      <c r="BJ16" s="108">
        <v>0.35347222222222219</v>
      </c>
      <c r="BK16" s="119">
        <v>1</v>
      </c>
      <c r="BL16" s="120" t="s">
        <v>15</v>
      </c>
      <c r="BM16" s="120" t="s">
        <v>15</v>
      </c>
      <c r="BN16" s="108">
        <v>0.3527777777777778</v>
      </c>
      <c r="BO16" s="119">
        <v>1</v>
      </c>
      <c r="BP16" s="12">
        <f t="shared" si="0"/>
        <v>31</v>
      </c>
      <c r="BQ16" s="118">
        <v>2</v>
      </c>
      <c r="BR16" s="2">
        <f t="shared" si="1"/>
        <v>28</v>
      </c>
      <c r="BS16" s="3">
        <f t="shared" si="2"/>
        <v>3</v>
      </c>
      <c r="BT16" s="3">
        <f t="shared" si="3"/>
        <v>0</v>
      </c>
      <c r="BU16" s="3">
        <f t="shared" si="4"/>
        <v>0</v>
      </c>
      <c r="BV16" s="3">
        <f t="shared" si="5"/>
        <v>0</v>
      </c>
      <c r="BW16" s="3">
        <f t="shared" si="6"/>
        <v>0</v>
      </c>
      <c r="BX16" s="3">
        <f t="shared" si="7"/>
        <v>0</v>
      </c>
      <c r="BY16" s="3">
        <f t="shared" si="8"/>
        <v>0</v>
      </c>
      <c r="BZ16" s="3">
        <f t="shared" si="9"/>
        <v>0</v>
      </c>
      <c r="CA16" s="3">
        <f t="shared" si="10"/>
        <v>0</v>
      </c>
      <c r="CB16" s="3">
        <f t="shared" si="11"/>
        <v>0</v>
      </c>
      <c r="CC16" s="3">
        <f t="shared" si="12"/>
        <v>0</v>
      </c>
      <c r="CD16" s="4"/>
      <c r="CH16" s="90">
        <v>0</v>
      </c>
      <c r="CI16" s="90">
        <v>0</v>
      </c>
      <c r="CJ16" s="90">
        <v>0</v>
      </c>
      <c r="CK16" s="90">
        <v>0</v>
      </c>
      <c r="CL16" s="90">
        <v>0</v>
      </c>
      <c r="CM16" s="91">
        <v>1</v>
      </c>
      <c r="CN16" s="90">
        <v>0</v>
      </c>
      <c r="CO16" s="90">
        <v>0</v>
      </c>
      <c r="CP16" s="90">
        <v>0</v>
      </c>
      <c r="CQ16" s="90">
        <v>0</v>
      </c>
      <c r="CR16" s="92">
        <f t="shared" si="15"/>
        <v>1</v>
      </c>
    </row>
    <row r="17" spans="1:96" ht="21" customHeight="1" x14ac:dyDescent="0.25">
      <c r="A17" s="18">
        <v>13</v>
      </c>
      <c r="B17" s="20" t="s">
        <v>51</v>
      </c>
      <c r="C17" s="9" t="s">
        <v>52</v>
      </c>
      <c r="D17" s="108" t="s">
        <v>202</v>
      </c>
      <c r="E17" s="108" t="s">
        <v>202</v>
      </c>
      <c r="F17" s="110">
        <v>0.55902777777777779</v>
      </c>
      <c r="G17" s="110">
        <v>0.95416666666666661</v>
      </c>
      <c r="H17" s="108">
        <v>0.3444444444444445</v>
      </c>
      <c r="I17" s="108">
        <v>0.96805555555555556</v>
      </c>
      <c r="J17" s="108">
        <v>0.3444444444444445</v>
      </c>
      <c r="K17" s="108">
        <v>0.93194444444444446</v>
      </c>
      <c r="L17" s="108">
        <v>0.3430555555555555</v>
      </c>
      <c r="M17" s="108">
        <v>0.95416666666666661</v>
      </c>
      <c r="N17" s="108">
        <v>0.34375</v>
      </c>
      <c r="O17" s="108">
        <v>0.9375</v>
      </c>
      <c r="P17" s="108">
        <v>0.34652777777777777</v>
      </c>
      <c r="Q17" s="108">
        <v>0.93958333333333333</v>
      </c>
      <c r="R17" s="108">
        <v>0.34513888888888888</v>
      </c>
      <c r="S17" s="108">
        <v>0.93958333333333333</v>
      </c>
      <c r="T17" s="120" t="s">
        <v>15</v>
      </c>
      <c r="U17" s="120" t="s">
        <v>15</v>
      </c>
      <c r="V17" s="108">
        <v>0.34375</v>
      </c>
      <c r="W17" s="108">
        <v>0.94236111111111109</v>
      </c>
      <c r="X17" s="108">
        <v>0.34027777777777773</v>
      </c>
      <c r="Y17" s="108">
        <v>0.9159722222222223</v>
      </c>
      <c r="Z17" s="108">
        <v>0.34513888888888888</v>
      </c>
      <c r="AA17" s="108">
        <v>0.94861111111111107</v>
      </c>
      <c r="AB17" s="108">
        <v>0.34513888888888888</v>
      </c>
      <c r="AC17" s="108">
        <v>0.93958333333333333</v>
      </c>
      <c r="AD17" s="108">
        <v>0.3444444444444445</v>
      </c>
      <c r="AE17" s="108">
        <v>0.96666666666666667</v>
      </c>
      <c r="AF17" s="108">
        <v>0.34375</v>
      </c>
      <c r="AG17" s="108">
        <v>0.93819444444444444</v>
      </c>
      <c r="AH17" s="62"/>
      <c r="AI17" s="56">
        <v>13</v>
      </c>
      <c r="AJ17" s="110">
        <v>0.57500000000000007</v>
      </c>
      <c r="AK17" s="110">
        <v>0.96944444444444444</v>
      </c>
      <c r="AL17" s="108">
        <v>0.34513888888888888</v>
      </c>
      <c r="AM17" s="108">
        <v>0.94236111111111109</v>
      </c>
      <c r="AN17" s="108">
        <v>0.3444444444444445</v>
      </c>
      <c r="AO17" s="108">
        <v>0.9277777777777777</v>
      </c>
      <c r="AP17" s="108">
        <v>0.34166666666666662</v>
      </c>
      <c r="AQ17" s="108">
        <v>0.94513888888888886</v>
      </c>
      <c r="AR17" s="108">
        <v>0.34375</v>
      </c>
      <c r="AS17" s="108">
        <v>0.97152777777777777</v>
      </c>
      <c r="AT17" s="108">
        <v>0.3430555555555555</v>
      </c>
      <c r="AU17" s="108">
        <v>0.95347222222222217</v>
      </c>
      <c r="AV17" s="108">
        <v>0.34513888888888888</v>
      </c>
      <c r="AW17" s="108">
        <v>0.92361111111111116</v>
      </c>
      <c r="AX17" s="120" t="s">
        <v>15</v>
      </c>
      <c r="AY17" s="120" t="s">
        <v>15</v>
      </c>
      <c r="AZ17" s="108">
        <v>0.34375</v>
      </c>
      <c r="BA17" s="108">
        <v>0.94652777777777775</v>
      </c>
      <c r="BB17" s="108">
        <v>0.3430555555555555</v>
      </c>
      <c r="BC17" s="119">
        <v>1</v>
      </c>
      <c r="BD17" s="108">
        <v>0.34513888888888888</v>
      </c>
      <c r="BE17" s="108">
        <v>0.94652777777777775</v>
      </c>
      <c r="BF17" s="108">
        <v>0.34513888888888888</v>
      </c>
      <c r="BG17" s="108">
        <v>0.9506944444444444</v>
      </c>
      <c r="BH17" s="108">
        <v>0.3444444444444445</v>
      </c>
      <c r="BI17" s="108">
        <v>0.95277777777777783</v>
      </c>
      <c r="BJ17" s="108">
        <v>0.3444444444444445</v>
      </c>
      <c r="BK17" s="108">
        <v>0.97569444444444453</v>
      </c>
      <c r="BL17" s="110">
        <v>0.5756944444444444</v>
      </c>
      <c r="BM17" s="110">
        <v>0.95416666666666661</v>
      </c>
      <c r="BN17" s="108">
        <v>0.34166666666666662</v>
      </c>
      <c r="BO17" s="108">
        <v>0.93888888888888899</v>
      </c>
      <c r="BP17" s="12">
        <f t="shared" si="0"/>
        <v>31</v>
      </c>
      <c r="BQ17" s="118">
        <v>3</v>
      </c>
      <c r="BR17" s="2">
        <f t="shared" si="1"/>
        <v>28</v>
      </c>
      <c r="BS17" s="3">
        <f t="shared" si="2"/>
        <v>2</v>
      </c>
      <c r="BT17" s="3">
        <f t="shared" si="3"/>
        <v>0</v>
      </c>
      <c r="BU17" s="3">
        <f t="shared" si="4"/>
        <v>0</v>
      </c>
      <c r="BV17" s="3">
        <f t="shared" si="5"/>
        <v>0</v>
      </c>
      <c r="BW17" s="3">
        <f t="shared" si="6"/>
        <v>0</v>
      </c>
      <c r="BX17" s="3">
        <f t="shared" si="7"/>
        <v>0</v>
      </c>
      <c r="BY17" s="3">
        <f t="shared" si="8"/>
        <v>1</v>
      </c>
      <c r="BZ17" s="3">
        <f t="shared" si="9"/>
        <v>0</v>
      </c>
      <c r="CA17" s="3">
        <f t="shared" si="10"/>
        <v>0</v>
      </c>
      <c r="CB17" s="3">
        <f t="shared" si="11"/>
        <v>0</v>
      </c>
      <c r="CC17" s="3">
        <f t="shared" si="12"/>
        <v>0</v>
      </c>
      <c r="CD17" s="4"/>
      <c r="CH17" s="90">
        <v>0</v>
      </c>
      <c r="CI17" s="90">
        <v>0</v>
      </c>
      <c r="CJ17" s="90">
        <v>0</v>
      </c>
      <c r="CK17" s="90">
        <v>0</v>
      </c>
      <c r="CL17" s="90">
        <v>0</v>
      </c>
      <c r="CM17" s="91">
        <v>3</v>
      </c>
      <c r="CN17" s="90">
        <v>0</v>
      </c>
      <c r="CO17" s="90">
        <v>0</v>
      </c>
      <c r="CP17" s="90">
        <v>0</v>
      </c>
      <c r="CQ17" s="90">
        <v>0</v>
      </c>
      <c r="CR17" s="92">
        <f t="shared" si="15"/>
        <v>3</v>
      </c>
    </row>
    <row r="18" spans="1:96" ht="21" customHeight="1" x14ac:dyDescent="0.25">
      <c r="A18" s="18">
        <v>14</v>
      </c>
      <c r="B18" s="20" t="s">
        <v>53</v>
      </c>
      <c r="C18" s="9" t="s">
        <v>54</v>
      </c>
      <c r="D18" s="108">
        <v>0.43541666666666662</v>
      </c>
      <c r="E18" s="119">
        <v>1</v>
      </c>
      <c r="F18" s="110">
        <v>0.57361111111111118</v>
      </c>
      <c r="G18" s="120">
        <v>1</v>
      </c>
      <c r="H18" s="108">
        <v>0.4201388888888889</v>
      </c>
      <c r="I18" s="119">
        <v>1</v>
      </c>
      <c r="J18" s="108">
        <v>0.37152777777777773</v>
      </c>
      <c r="K18" s="108">
        <v>0.97152777777777777</v>
      </c>
      <c r="L18" s="108">
        <v>0.35694444444444445</v>
      </c>
      <c r="M18" s="108">
        <v>0.35694444444444445</v>
      </c>
      <c r="N18" s="108">
        <v>0.375</v>
      </c>
      <c r="O18" s="119">
        <v>1</v>
      </c>
      <c r="P18" s="108">
        <v>0.36736111111111108</v>
      </c>
      <c r="Q18" s="108">
        <v>3.472222222222222E-3</v>
      </c>
      <c r="R18" s="108">
        <v>0.3756944444444445</v>
      </c>
      <c r="S18" s="108">
        <v>0.96250000000000002</v>
      </c>
      <c r="T18" s="120" t="s">
        <v>15</v>
      </c>
      <c r="U18" s="120" t="s">
        <v>15</v>
      </c>
      <c r="V18" s="108">
        <v>0.36249999999999999</v>
      </c>
      <c r="W18" s="108">
        <v>0.99791666666666667</v>
      </c>
      <c r="X18" s="108">
        <v>0.38819444444444445</v>
      </c>
      <c r="Y18" s="119">
        <v>1</v>
      </c>
      <c r="Z18" s="108">
        <v>0.38541666666666669</v>
      </c>
      <c r="AA18" s="108">
        <v>0.96458333333333324</v>
      </c>
      <c r="AB18" s="108">
        <v>0.36319444444444443</v>
      </c>
      <c r="AC18" s="119">
        <v>1</v>
      </c>
      <c r="AD18" s="108">
        <v>0.35347222222222219</v>
      </c>
      <c r="AE18" s="119">
        <v>1</v>
      </c>
      <c r="AF18" s="108">
        <v>0.36736111111111108</v>
      </c>
      <c r="AG18" s="119">
        <v>1</v>
      </c>
      <c r="AH18" s="62"/>
      <c r="AI18" s="56">
        <v>14</v>
      </c>
      <c r="AJ18" s="110">
        <v>0.58124999999999993</v>
      </c>
      <c r="AK18" s="120">
        <v>1</v>
      </c>
      <c r="AL18" s="108">
        <v>0.33819444444444446</v>
      </c>
      <c r="AM18" s="108">
        <v>0.92291666666666661</v>
      </c>
      <c r="AN18" s="108">
        <v>0.36736111111111108</v>
      </c>
      <c r="AO18" s="108">
        <v>0.96388888888888891</v>
      </c>
      <c r="AP18" s="108">
        <v>0.36041666666666666</v>
      </c>
      <c r="AQ18" s="108">
        <v>0.36041666666666666</v>
      </c>
      <c r="AR18" s="108">
        <v>0.36874999999999997</v>
      </c>
      <c r="AS18" s="108">
        <v>0.96666666666666667</v>
      </c>
      <c r="AT18" s="108">
        <v>0.3659722222222222</v>
      </c>
      <c r="AU18" s="108">
        <v>0.96388888888888891</v>
      </c>
      <c r="AV18" s="108">
        <v>0.375</v>
      </c>
      <c r="AW18" s="108">
        <v>0.98055555555555562</v>
      </c>
      <c r="AX18" s="120" t="s">
        <v>15</v>
      </c>
      <c r="AY18" s="120" t="s">
        <v>15</v>
      </c>
      <c r="AZ18" s="108">
        <v>0.36180555555555555</v>
      </c>
      <c r="BA18" s="108">
        <v>0.4069444444444445</v>
      </c>
      <c r="BB18" s="108">
        <v>0.4465277777777778</v>
      </c>
      <c r="BC18" s="108">
        <v>0.89722222222222225</v>
      </c>
      <c r="BD18" s="108">
        <v>0.36944444444444446</v>
      </c>
      <c r="BE18" s="119">
        <v>1</v>
      </c>
      <c r="BF18" s="108">
        <v>0.37222222222222223</v>
      </c>
      <c r="BG18" s="119">
        <v>1</v>
      </c>
      <c r="BH18" s="108">
        <v>0.37152777777777773</v>
      </c>
      <c r="BI18" s="108">
        <v>0.37152777777777773</v>
      </c>
      <c r="BJ18" s="108">
        <v>0.38125000000000003</v>
      </c>
      <c r="BK18" s="119">
        <v>1</v>
      </c>
      <c r="BL18" s="110">
        <v>0.57500000000000007</v>
      </c>
      <c r="BM18" s="110">
        <v>0.97986111111111107</v>
      </c>
      <c r="BN18" s="108">
        <v>0.35972222222222222</v>
      </c>
      <c r="BO18" s="108">
        <v>0.94097222222222221</v>
      </c>
      <c r="BP18" s="12">
        <f t="shared" si="0"/>
        <v>31</v>
      </c>
      <c r="BQ18" s="118">
        <v>3</v>
      </c>
      <c r="BR18" s="2">
        <f t="shared" si="1"/>
        <v>29</v>
      </c>
      <c r="BS18" s="3">
        <f t="shared" si="2"/>
        <v>2</v>
      </c>
      <c r="BT18" s="3">
        <f t="shared" si="3"/>
        <v>0</v>
      </c>
      <c r="BU18" s="3">
        <f t="shared" si="4"/>
        <v>0</v>
      </c>
      <c r="BV18" s="3">
        <f t="shared" si="5"/>
        <v>0</v>
      </c>
      <c r="BW18" s="3">
        <f t="shared" si="6"/>
        <v>0</v>
      </c>
      <c r="BX18" s="3">
        <f t="shared" si="7"/>
        <v>0</v>
      </c>
      <c r="BY18" s="3">
        <f t="shared" si="8"/>
        <v>0</v>
      </c>
      <c r="BZ18" s="3">
        <f t="shared" si="9"/>
        <v>0</v>
      </c>
      <c r="CA18" s="3">
        <f t="shared" si="10"/>
        <v>0</v>
      </c>
      <c r="CB18" s="3">
        <f t="shared" si="11"/>
        <v>0</v>
      </c>
      <c r="CC18" s="3">
        <f t="shared" si="12"/>
        <v>0</v>
      </c>
      <c r="CD18" s="4"/>
      <c r="CH18" s="90">
        <v>0</v>
      </c>
      <c r="CI18" s="90">
        <v>0</v>
      </c>
      <c r="CJ18" s="90">
        <v>0</v>
      </c>
      <c r="CK18" s="90">
        <v>0</v>
      </c>
      <c r="CL18" s="90">
        <v>0</v>
      </c>
      <c r="CM18" s="90">
        <v>0</v>
      </c>
      <c r="CN18" s="90">
        <v>0</v>
      </c>
      <c r="CO18" s="90">
        <v>0</v>
      </c>
      <c r="CP18" s="90">
        <v>0</v>
      </c>
      <c r="CQ18" s="90">
        <v>0</v>
      </c>
      <c r="CR18" s="92">
        <f t="shared" si="15"/>
        <v>0</v>
      </c>
    </row>
    <row r="19" spans="1:96" ht="21" customHeight="1" x14ac:dyDescent="0.25">
      <c r="A19" s="18">
        <v>15</v>
      </c>
      <c r="B19" s="20" t="s">
        <v>55</v>
      </c>
      <c r="C19" s="9" t="s">
        <v>56</v>
      </c>
      <c r="D19" s="108">
        <v>0.37777777777777777</v>
      </c>
      <c r="E19" s="108">
        <v>0.99930555555555556</v>
      </c>
      <c r="F19" s="110">
        <v>0.55833333333333335</v>
      </c>
      <c r="G19" s="120">
        <v>1</v>
      </c>
      <c r="H19" s="108">
        <v>0.36180555555555555</v>
      </c>
      <c r="I19" s="119">
        <v>1</v>
      </c>
      <c r="J19" s="108">
        <v>0.36249999999999999</v>
      </c>
      <c r="K19" s="108">
        <v>0.98333333333333339</v>
      </c>
      <c r="L19" s="108">
        <v>0.35833333333333334</v>
      </c>
      <c r="M19" s="108">
        <v>0.99375000000000002</v>
      </c>
      <c r="N19" s="108">
        <v>0.35138888888888892</v>
      </c>
      <c r="O19" s="108">
        <v>0.3527777777777778</v>
      </c>
      <c r="P19" s="108">
        <v>0.36458333333333331</v>
      </c>
      <c r="Q19" s="108">
        <v>0.96805555555555556</v>
      </c>
      <c r="R19" s="108">
        <v>0.35833333333333334</v>
      </c>
      <c r="S19" s="108">
        <v>0.98541666666666661</v>
      </c>
      <c r="T19" s="120" t="s">
        <v>15</v>
      </c>
      <c r="U19" s="120" t="s">
        <v>15</v>
      </c>
      <c r="V19" s="108">
        <v>0.3527777777777778</v>
      </c>
      <c r="W19" s="108">
        <v>0.99444444444444446</v>
      </c>
      <c r="X19" s="108">
        <v>0.3520833333333333</v>
      </c>
      <c r="Y19" s="108">
        <v>0.96597222222222223</v>
      </c>
      <c r="Z19" s="108">
        <v>0.35555555555555557</v>
      </c>
      <c r="AA19" s="108">
        <v>0.96388888888888891</v>
      </c>
      <c r="AB19" s="108">
        <v>0.3520833333333333</v>
      </c>
      <c r="AC19" s="108">
        <v>0.96180555555555547</v>
      </c>
      <c r="AD19" s="108">
        <v>0.3520833333333333</v>
      </c>
      <c r="AE19" s="108">
        <v>0.98333333333333339</v>
      </c>
      <c r="AF19" s="108">
        <v>0.3520833333333333</v>
      </c>
      <c r="AG19" s="108">
        <v>0.98472222222222217</v>
      </c>
      <c r="AH19" s="62"/>
      <c r="AI19" s="56">
        <v>15</v>
      </c>
      <c r="AJ19" s="120" t="s">
        <v>15</v>
      </c>
      <c r="AK19" s="120" t="s">
        <v>15</v>
      </c>
      <c r="AL19" s="108">
        <v>0.34861111111111115</v>
      </c>
      <c r="AM19" s="108">
        <v>0.9916666666666667</v>
      </c>
      <c r="AN19" s="108">
        <v>0.35625000000000001</v>
      </c>
      <c r="AO19" s="108">
        <v>1.7361111111111112E-2</v>
      </c>
      <c r="AP19" s="108">
        <v>0.37013888888888885</v>
      </c>
      <c r="AQ19" s="108">
        <v>0.97986111111111107</v>
      </c>
      <c r="AR19" s="108">
        <v>0.34861111111111115</v>
      </c>
      <c r="AS19" s="108">
        <v>0.98055555555555562</v>
      </c>
      <c r="AT19" s="108">
        <v>0.3527777777777778</v>
      </c>
      <c r="AU19" s="108">
        <v>0.96666666666666667</v>
      </c>
      <c r="AV19" s="108">
        <v>0.35416666666666669</v>
      </c>
      <c r="AW19" s="108">
        <v>4.8611111111111112E-3</v>
      </c>
      <c r="AX19" s="110">
        <v>0.57847222222222217</v>
      </c>
      <c r="AY19" s="120">
        <v>1</v>
      </c>
      <c r="AZ19" s="108">
        <v>0.37013888888888885</v>
      </c>
      <c r="BA19" s="119">
        <v>1</v>
      </c>
      <c r="BB19" s="108">
        <v>0.35416666666666669</v>
      </c>
      <c r="BC19" s="108">
        <v>0.97499999999999998</v>
      </c>
      <c r="BD19" s="108">
        <v>0.3527777777777778</v>
      </c>
      <c r="BE19" s="108">
        <v>0.92499999999999993</v>
      </c>
      <c r="BF19" s="108">
        <v>0.3527777777777778</v>
      </c>
      <c r="BG19" s="108">
        <v>0.35416666666666669</v>
      </c>
      <c r="BH19" s="108">
        <v>0.36944444444444446</v>
      </c>
      <c r="BI19" s="108">
        <v>8.3333333333333332E-3</v>
      </c>
      <c r="BJ19" s="108">
        <v>0.35347222222222219</v>
      </c>
      <c r="BK19" s="108">
        <v>0.99791666666666667</v>
      </c>
      <c r="BL19" s="110">
        <v>0.57916666666666672</v>
      </c>
      <c r="BM19" s="120">
        <v>1</v>
      </c>
      <c r="BN19" s="108">
        <v>0.38541666666666669</v>
      </c>
      <c r="BO19" s="119">
        <v>1</v>
      </c>
      <c r="BP19" s="12">
        <f t="shared" si="0"/>
        <v>31</v>
      </c>
      <c r="BQ19" s="118">
        <v>3</v>
      </c>
      <c r="BR19" s="2">
        <f t="shared" si="1"/>
        <v>29</v>
      </c>
      <c r="BS19" s="3">
        <f t="shared" si="2"/>
        <v>2</v>
      </c>
      <c r="BT19" s="3">
        <f t="shared" si="3"/>
        <v>0</v>
      </c>
      <c r="BU19" s="3">
        <f t="shared" si="4"/>
        <v>0</v>
      </c>
      <c r="BV19" s="3">
        <f t="shared" si="5"/>
        <v>0</v>
      </c>
      <c r="BW19" s="3">
        <f t="shared" si="6"/>
        <v>0</v>
      </c>
      <c r="BX19" s="3">
        <f t="shared" si="7"/>
        <v>0</v>
      </c>
      <c r="BY19" s="3">
        <f t="shared" si="8"/>
        <v>0</v>
      </c>
      <c r="BZ19" s="3">
        <f t="shared" si="9"/>
        <v>0</v>
      </c>
      <c r="CA19" s="3">
        <f t="shared" si="10"/>
        <v>0</v>
      </c>
      <c r="CB19" s="3">
        <f t="shared" si="11"/>
        <v>0</v>
      </c>
      <c r="CC19" s="3">
        <f t="shared" si="12"/>
        <v>0</v>
      </c>
      <c r="CD19" s="4"/>
      <c r="CH19" s="90">
        <v>0</v>
      </c>
      <c r="CI19" s="91">
        <v>5</v>
      </c>
      <c r="CJ19" s="90">
        <v>0</v>
      </c>
      <c r="CK19" s="90">
        <v>0</v>
      </c>
      <c r="CL19" s="90">
        <v>0</v>
      </c>
      <c r="CM19" s="90">
        <v>0</v>
      </c>
      <c r="CN19" s="90">
        <v>0</v>
      </c>
      <c r="CO19" s="90">
        <v>0</v>
      </c>
      <c r="CP19" s="90">
        <v>0</v>
      </c>
      <c r="CQ19" s="90">
        <v>0</v>
      </c>
      <c r="CR19" s="92">
        <f t="shared" si="15"/>
        <v>5</v>
      </c>
    </row>
    <row r="20" spans="1:96" ht="21" customHeight="1" x14ac:dyDescent="0.25">
      <c r="A20" s="18">
        <v>16</v>
      </c>
      <c r="B20" s="20" t="s">
        <v>57</v>
      </c>
      <c r="C20" s="9" t="s">
        <v>58</v>
      </c>
      <c r="D20" s="108">
        <v>0.35416666666666669</v>
      </c>
      <c r="E20" s="108">
        <v>0.96527777777777779</v>
      </c>
      <c r="F20" s="110">
        <v>0.58124999999999993</v>
      </c>
      <c r="G20" s="110">
        <v>0.96944444444444444</v>
      </c>
      <c r="H20" s="108">
        <v>0.34791666666666665</v>
      </c>
      <c r="I20" s="108">
        <v>0.98125000000000007</v>
      </c>
      <c r="J20" s="108">
        <v>0.35347222222222219</v>
      </c>
      <c r="K20" s="108">
        <v>0.98263888888888884</v>
      </c>
      <c r="L20" s="108">
        <v>0.35000000000000003</v>
      </c>
      <c r="M20" s="108">
        <v>0.35000000000000003</v>
      </c>
      <c r="N20" s="108">
        <v>0.34375</v>
      </c>
      <c r="O20" s="108">
        <v>0.34375</v>
      </c>
      <c r="P20" s="108">
        <v>0.3520833333333333</v>
      </c>
      <c r="Q20" s="108">
        <v>0.96458333333333324</v>
      </c>
      <c r="R20" s="108">
        <v>0.3527777777777778</v>
      </c>
      <c r="S20" s="108">
        <v>0.96805555555555556</v>
      </c>
      <c r="T20" s="120" t="s">
        <v>15</v>
      </c>
      <c r="U20" s="120" t="s">
        <v>15</v>
      </c>
      <c r="V20" s="108">
        <v>0.34791666666666665</v>
      </c>
      <c r="W20" s="108">
        <v>0.34791666666666665</v>
      </c>
      <c r="X20" s="108">
        <v>0.35069444444444442</v>
      </c>
      <c r="Y20" s="108">
        <v>0.35069444444444442</v>
      </c>
      <c r="Z20" s="108">
        <v>0.35069444444444442</v>
      </c>
      <c r="AA20" s="108">
        <v>0.94791666666666663</v>
      </c>
      <c r="AB20" s="108">
        <v>0.34861111111111115</v>
      </c>
      <c r="AC20" s="108">
        <v>0.93888888888888899</v>
      </c>
      <c r="AD20" s="108">
        <v>0.35069444444444442</v>
      </c>
      <c r="AE20" s="108">
        <v>0.97777777777777775</v>
      </c>
      <c r="AF20" s="108">
        <v>0.35069444444444442</v>
      </c>
      <c r="AG20" s="108">
        <v>0.95833333333333337</v>
      </c>
      <c r="AH20" s="62"/>
      <c r="AI20" s="56">
        <v>16</v>
      </c>
      <c r="AJ20" s="110">
        <v>0.58194444444444449</v>
      </c>
      <c r="AK20" s="110">
        <v>0.9604166666666667</v>
      </c>
      <c r="AL20" s="108">
        <v>0.3527777777777778</v>
      </c>
      <c r="AM20" s="108">
        <v>0.9458333333333333</v>
      </c>
      <c r="AN20" s="108">
        <v>0.35000000000000003</v>
      </c>
      <c r="AO20" s="108">
        <v>0.97638888888888886</v>
      </c>
      <c r="AP20" s="108">
        <v>0.35347222222222219</v>
      </c>
      <c r="AQ20" s="108">
        <v>0.97916666666666663</v>
      </c>
      <c r="AR20" s="108">
        <v>0.35138888888888892</v>
      </c>
      <c r="AS20" s="108">
        <v>0.97916666666666663</v>
      </c>
      <c r="AT20" s="108">
        <v>0.35069444444444442</v>
      </c>
      <c r="AU20" s="108">
        <v>0.95972222222222225</v>
      </c>
      <c r="AV20" s="108">
        <v>0.3527777777777778</v>
      </c>
      <c r="AW20" s="108">
        <v>2.0833333333333333E-3</v>
      </c>
      <c r="AX20" s="120" t="s">
        <v>15</v>
      </c>
      <c r="AY20" s="120" t="s">
        <v>15</v>
      </c>
      <c r="AZ20" s="108">
        <v>0.35069444444444442</v>
      </c>
      <c r="BA20" s="108">
        <v>0.35069444444444442</v>
      </c>
      <c r="BB20" s="108">
        <v>0.34791666666666665</v>
      </c>
      <c r="BC20" s="108">
        <v>0.97083333333333333</v>
      </c>
      <c r="BD20" s="108">
        <v>0.3527777777777778</v>
      </c>
      <c r="BE20" s="108">
        <v>0.95624999999999993</v>
      </c>
      <c r="BF20" s="108">
        <v>0.35069444444444442</v>
      </c>
      <c r="BG20" s="108">
        <v>0.94444444444444453</v>
      </c>
      <c r="BH20" s="108">
        <v>0.35069444444444442</v>
      </c>
      <c r="BI20" s="108">
        <v>6.9444444444444441E-3</v>
      </c>
      <c r="BJ20" s="108">
        <v>0.3520833333333333</v>
      </c>
      <c r="BK20" s="108">
        <v>0.99444444444444446</v>
      </c>
      <c r="BL20" s="110">
        <v>0.5805555555555556</v>
      </c>
      <c r="BM20" s="110">
        <v>0.5805555555555556</v>
      </c>
      <c r="BN20" s="108">
        <v>0.35138888888888892</v>
      </c>
      <c r="BO20" s="108">
        <v>0.96458333333333324</v>
      </c>
      <c r="BP20" s="12">
        <f t="shared" si="0"/>
        <v>31</v>
      </c>
      <c r="BQ20" s="118">
        <v>3</v>
      </c>
      <c r="BR20" s="2">
        <f t="shared" si="1"/>
        <v>29</v>
      </c>
      <c r="BS20" s="3">
        <f t="shared" si="2"/>
        <v>2</v>
      </c>
      <c r="BT20" s="3">
        <f t="shared" si="3"/>
        <v>0</v>
      </c>
      <c r="BU20" s="3">
        <f t="shared" si="4"/>
        <v>0</v>
      </c>
      <c r="BV20" s="3">
        <f t="shared" si="5"/>
        <v>0</v>
      </c>
      <c r="BW20" s="3">
        <f t="shared" si="6"/>
        <v>0</v>
      </c>
      <c r="BX20" s="3">
        <f t="shared" si="7"/>
        <v>0</v>
      </c>
      <c r="BY20" s="3">
        <f t="shared" si="8"/>
        <v>0</v>
      </c>
      <c r="BZ20" s="3">
        <f t="shared" si="9"/>
        <v>0</v>
      </c>
      <c r="CA20" s="3">
        <f t="shared" si="10"/>
        <v>0</v>
      </c>
      <c r="CB20" s="3">
        <f t="shared" si="11"/>
        <v>0</v>
      </c>
      <c r="CC20" s="3">
        <f t="shared" si="12"/>
        <v>0</v>
      </c>
      <c r="CD20" s="4"/>
      <c r="CH20" s="90">
        <v>0</v>
      </c>
      <c r="CI20" s="90">
        <v>0</v>
      </c>
      <c r="CJ20" s="90">
        <v>0</v>
      </c>
      <c r="CK20" s="90">
        <v>0</v>
      </c>
      <c r="CL20" s="90">
        <v>0</v>
      </c>
      <c r="CM20" s="91">
        <v>1</v>
      </c>
      <c r="CN20" s="90">
        <v>0</v>
      </c>
      <c r="CO20" s="90">
        <v>0</v>
      </c>
      <c r="CP20" s="90">
        <v>0</v>
      </c>
      <c r="CQ20" s="90">
        <v>0</v>
      </c>
      <c r="CR20" s="92">
        <f t="shared" si="15"/>
        <v>1</v>
      </c>
    </row>
    <row r="21" spans="1:96" ht="21" customHeight="1" x14ac:dyDescent="0.25">
      <c r="A21" s="18">
        <v>17</v>
      </c>
      <c r="B21" s="21" t="s">
        <v>59</v>
      </c>
      <c r="C21" s="9" t="s">
        <v>60</v>
      </c>
      <c r="D21" s="108">
        <v>0.3520833333333333</v>
      </c>
      <c r="E21" s="108">
        <v>0.97638888888888886</v>
      </c>
      <c r="F21" s="120" t="s">
        <v>15</v>
      </c>
      <c r="G21" s="120" t="s">
        <v>15</v>
      </c>
      <c r="H21" s="108">
        <v>0.34861111111111115</v>
      </c>
      <c r="I21" s="108">
        <v>0.95833333333333337</v>
      </c>
      <c r="J21" s="108">
        <v>0.34861111111111115</v>
      </c>
      <c r="K21" s="108">
        <v>0.98333333333333339</v>
      </c>
      <c r="L21" s="108">
        <v>0.3444444444444445</v>
      </c>
      <c r="M21" s="108">
        <v>0.95972222222222225</v>
      </c>
      <c r="N21" s="108">
        <v>0.3444444444444445</v>
      </c>
      <c r="O21" s="119">
        <v>1</v>
      </c>
      <c r="P21" s="108">
        <v>0.34583333333333338</v>
      </c>
      <c r="Q21" s="108">
        <v>0.96944444444444444</v>
      </c>
      <c r="R21" s="108">
        <v>0.34652777777777777</v>
      </c>
      <c r="S21" s="108">
        <v>0.98472222222222217</v>
      </c>
      <c r="T21" s="110">
        <v>0.58194444444444449</v>
      </c>
      <c r="U21" s="110">
        <v>0.94305555555555554</v>
      </c>
      <c r="V21" s="108">
        <v>0.35138888888888892</v>
      </c>
      <c r="W21" s="108">
        <v>0.99444444444444446</v>
      </c>
      <c r="X21" s="108">
        <v>0.3444444444444445</v>
      </c>
      <c r="Y21" s="108">
        <v>0.95208333333333339</v>
      </c>
      <c r="Z21" s="108">
        <v>0.34930555555555554</v>
      </c>
      <c r="AA21" s="108">
        <v>0.94791666666666663</v>
      </c>
      <c r="AB21" s="108">
        <v>0.34722222222222227</v>
      </c>
      <c r="AC21" s="108">
        <v>0.95208333333333339</v>
      </c>
      <c r="AD21" s="108">
        <v>0.34097222222222223</v>
      </c>
      <c r="AE21" s="108">
        <v>0.98333333333333339</v>
      </c>
      <c r="AF21" s="108">
        <v>0.3520833333333333</v>
      </c>
      <c r="AG21" s="108">
        <v>0.96875</v>
      </c>
      <c r="AH21" s="62"/>
      <c r="AI21" s="56">
        <v>17</v>
      </c>
      <c r="AJ21" s="120" t="s">
        <v>15</v>
      </c>
      <c r="AK21" s="120" t="s">
        <v>15</v>
      </c>
      <c r="AL21" s="108">
        <v>0.3527777777777778</v>
      </c>
      <c r="AM21" s="108">
        <v>0.98749999999999993</v>
      </c>
      <c r="AN21" s="108">
        <v>0.33958333333333335</v>
      </c>
      <c r="AO21" s="108">
        <v>0.97569444444444453</v>
      </c>
      <c r="AP21" s="108">
        <v>0.33958333333333335</v>
      </c>
      <c r="AQ21" s="108">
        <v>0.98055555555555562</v>
      </c>
      <c r="AR21" s="108">
        <v>0.34097222222222223</v>
      </c>
      <c r="AS21" s="108">
        <v>0.97152777777777777</v>
      </c>
      <c r="AT21" s="108">
        <v>0.3444444444444445</v>
      </c>
      <c r="AU21" s="119">
        <v>1</v>
      </c>
      <c r="AV21" s="108">
        <v>0.3430555555555555</v>
      </c>
      <c r="AW21" s="108">
        <v>4.1666666666666666E-3</v>
      </c>
      <c r="AX21" s="110">
        <v>0.58194444444444449</v>
      </c>
      <c r="AY21" s="110">
        <v>0.9506944444444444</v>
      </c>
      <c r="AZ21" s="108">
        <v>0.34236111111111112</v>
      </c>
      <c r="BA21" s="119">
        <v>1</v>
      </c>
      <c r="BB21" s="108">
        <v>0.3430555555555555</v>
      </c>
      <c r="BC21" s="108">
        <v>0.96805555555555556</v>
      </c>
      <c r="BD21" s="108">
        <v>0.3444444444444445</v>
      </c>
      <c r="BE21" s="108">
        <v>0.95694444444444438</v>
      </c>
      <c r="BF21" s="108">
        <v>0.34861111111111115</v>
      </c>
      <c r="BG21" s="108">
        <v>0.95763888888888893</v>
      </c>
      <c r="BH21" s="108">
        <v>0.34583333333333338</v>
      </c>
      <c r="BI21" s="108">
        <v>1.0416666666666666E-2</v>
      </c>
      <c r="BJ21" s="108">
        <v>0.3444444444444445</v>
      </c>
      <c r="BK21" s="108">
        <v>0.97777777777777775</v>
      </c>
      <c r="BL21" s="120" t="s">
        <v>15</v>
      </c>
      <c r="BM21" s="120" t="s">
        <v>15</v>
      </c>
      <c r="BN21" s="108">
        <v>0.35069444444444442</v>
      </c>
      <c r="BO21" s="119">
        <v>1</v>
      </c>
      <c r="BP21" s="12">
        <f t="shared" si="0"/>
        <v>31</v>
      </c>
      <c r="BQ21" s="118">
        <v>2</v>
      </c>
      <c r="BR21" s="2">
        <f t="shared" si="1"/>
        <v>28</v>
      </c>
      <c r="BS21" s="3">
        <f t="shared" si="2"/>
        <v>3</v>
      </c>
      <c r="BT21" s="3">
        <f t="shared" si="3"/>
        <v>0</v>
      </c>
      <c r="BU21" s="3">
        <f t="shared" si="4"/>
        <v>0</v>
      </c>
      <c r="BV21" s="3">
        <f t="shared" si="5"/>
        <v>0</v>
      </c>
      <c r="BW21" s="3">
        <f t="shared" si="6"/>
        <v>0</v>
      </c>
      <c r="BX21" s="3">
        <f t="shared" si="7"/>
        <v>0</v>
      </c>
      <c r="BY21" s="3">
        <f t="shared" si="8"/>
        <v>0</v>
      </c>
      <c r="BZ21" s="3">
        <f t="shared" si="9"/>
        <v>0</v>
      </c>
      <c r="CA21" s="3">
        <f t="shared" si="10"/>
        <v>0</v>
      </c>
      <c r="CB21" s="3">
        <f t="shared" si="11"/>
        <v>0</v>
      </c>
      <c r="CC21" s="3">
        <f t="shared" si="12"/>
        <v>0</v>
      </c>
      <c r="CD21" s="4"/>
      <c r="CH21" s="90">
        <v>0</v>
      </c>
      <c r="CI21" s="90">
        <v>0</v>
      </c>
      <c r="CJ21" s="90">
        <v>0</v>
      </c>
      <c r="CK21" s="90">
        <v>0</v>
      </c>
      <c r="CL21" s="90">
        <v>0</v>
      </c>
      <c r="CM21" s="91">
        <v>1</v>
      </c>
      <c r="CN21" s="90">
        <v>0</v>
      </c>
      <c r="CO21" s="90">
        <v>0</v>
      </c>
      <c r="CP21" s="90">
        <v>0</v>
      </c>
      <c r="CQ21" s="90">
        <v>0</v>
      </c>
      <c r="CR21" s="92">
        <f t="shared" si="15"/>
        <v>1</v>
      </c>
    </row>
    <row r="22" spans="1:96" ht="21" customHeight="1" x14ac:dyDescent="0.25">
      <c r="A22" s="18">
        <v>18</v>
      </c>
      <c r="B22" s="20" t="s">
        <v>61</v>
      </c>
      <c r="C22" s="9" t="s">
        <v>62</v>
      </c>
      <c r="D22" s="108">
        <v>0.35069444444444442</v>
      </c>
      <c r="E22" s="108">
        <v>0.94027777777777777</v>
      </c>
      <c r="F22" s="110">
        <v>0.57361111111111118</v>
      </c>
      <c r="G22" s="110">
        <v>0.94305555555555554</v>
      </c>
      <c r="H22" s="108">
        <v>0.34861111111111115</v>
      </c>
      <c r="I22" s="119">
        <v>1</v>
      </c>
      <c r="J22" s="108">
        <v>0.34722222222222227</v>
      </c>
      <c r="K22" s="108">
        <v>0.91111111111111109</v>
      </c>
      <c r="L22" s="108">
        <v>0.34861111111111115</v>
      </c>
      <c r="M22" s="108">
        <v>0.34861111111111115</v>
      </c>
      <c r="N22" s="108">
        <v>0.35000000000000003</v>
      </c>
      <c r="O22" s="108">
        <v>0.92847222222222225</v>
      </c>
      <c r="P22" s="108">
        <v>0.34583333333333338</v>
      </c>
      <c r="Q22" s="119">
        <v>1</v>
      </c>
      <c r="R22" s="108">
        <v>0.34652777777777777</v>
      </c>
      <c r="S22" s="119">
        <v>1</v>
      </c>
      <c r="T22" s="120" t="s">
        <v>15</v>
      </c>
      <c r="U22" s="120" t="s">
        <v>15</v>
      </c>
      <c r="V22" s="108">
        <v>0.34722222222222227</v>
      </c>
      <c r="W22" s="119">
        <v>1</v>
      </c>
      <c r="X22" s="108">
        <v>0.34861111111111115</v>
      </c>
      <c r="Y22" s="108">
        <v>0.9159722222222223</v>
      </c>
      <c r="Z22" s="108">
        <v>0.34930555555555554</v>
      </c>
      <c r="AA22" s="108">
        <v>0.91736111111111107</v>
      </c>
      <c r="AB22" s="108">
        <v>0.34930555555555554</v>
      </c>
      <c r="AC22" s="108">
        <v>0.93680555555555556</v>
      </c>
      <c r="AD22" s="108">
        <v>0.35000000000000003</v>
      </c>
      <c r="AE22" s="119">
        <v>1</v>
      </c>
      <c r="AF22" s="108">
        <v>0.35000000000000003</v>
      </c>
      <c r="AG22" s="119">
        <v>1</v>
      </c>
      <c r="AH22" s="62"/>
      <c r="AI22" s="56">
        <v>18</v>
      </c>
      <c r="AJ22" s="110">
        <v>0.57152777777777775</v>
      </c>
      <c r="AK22" s="110">
        <v>0.90555555555555556</v>
      </c>
      <c r="AL22" s="108">
        <v>0.34791666666666665</v>
      </c>
      <c r="AM22" s="119">
        <v>1</v>
      </c>
      <c r="AN22" s="108">
        <v>0.34861111111111115</v>
      </c>
      <c r="AO22" s="108">
        <v>0.97291666666666676</v>
      </c>
      <c r="AP22" s="108">
        <v>0.34930555555555554</v>
      </c>
      <c r="AQ22" s="119">
        <v>1</v>
      </c>
      <c r="AR22" s="108">
        <v>0.34930555555555554</v>
      </c>
      <c r="AS22" s="119">
        <v>1</v>
      </c>
      <c r="AT22" s="108">
        <v>0.35000000000000003</v>
      </c>
      <c r="AU22" s="119">
        <v>1</v>
      </c>
      <c r="AV22" s="108">
        <v>0.35000000000000003</v>
      </c>
      <c r="AW22" s="108">
        <v>0.91805555555555562</v>
      </c>
      <c r="AX22" s="120" t="s">
        <v>15</v>
      </c>
      <c r="AY22" s="120" t="s">
        <v>15</v>
      </c>
      <c r="AZ22" s="108">
        <v>0.34791666666666665</v>
      </c>
      <c r="BA22" s="108">
        <v>0.92499999999999993</v>
      </c>
      <c r="BB22" s="108">
        <v>0.34583333333333338</v>
      </c>
      <c r="BC22" s="119">
        <v>1</v>
      </c>
      <c r="BD22" s="108">
        <v>0.34930555555555554</v>
      </c>
      <c r="BE22" s="119">
        <v>1</v>
      </c>
      <c r="BF22" s="108">
        <v>0.34583333333333338</v>
      </c>
      <c r="BG22" s="119">
        <v>1</v>
      </c>
      <c r="BH22" s="108">
        <v>0.34930555555555554</v>
      </c>
      <c r="BI22" s="108">
        <v>0.35000000000000003</v>
      </c>
      <c r="BJ22" s="108">
        <v>0.35069444444444442</v>
      </c>
      <c r="BK22" s="108">
        <v>0.95763888888888893</v>
      </c>
      <c r="BL22" s="110">
        <v>0.57222222222222219</v>
      </c>
      <c r="BM22" s="120">
        <v>1</v>
      </c>
      <c r="BN22" s="108">
        <v>0.34583333333333338</v>
      </c>
      <c r="BO22" s="119">
        <v>1</v>
      </c>
      <c r="BP22" s="12">
        <f t="shared" si="0"/>
        <v>31</v>
      </c>
      <c r="BQ22" s="118">
        <v>3</v>
      </c>
      <c r="BR22" s="2">
        <f t="shared" si="1"/>
        <v>29</v>
      </c>
      <c r="BS22" s="3">
        <f t="shared" si="2"/>
        <v>2</v>
      </c>
      <c r="BT22" s="3">
        <f t="shared" si="3"/>
        <v>0</v>
      </c>
      <c r="BU22" s="3">
        <f t="shared" si="4"/>
        <v>0</v>
      </c>
      <c r="BV22" s="3">
        <f t="shared" si="5"/>
        <v>0</v>
      </c>
      <c r="BW22" s="3">
        <f t="shared" si="6"/>
        <v>0</v>
      </c>
      <c r="BX22" s="3">
        <f t="shared" si="7"/>
        <v>0</v>
      </c>
      <c r="BY22" s="3">
        <f t="shared" si="8"/>
        <v>0</v>
      </c>
      <c r="BZ22" s="3">
        <f t="shared" si="9"/>
        <v>0</v>
      </c>
      <c r="CA22" s="3">
        <f t="shared" si="10"/>
        <v>0</v>
      </c>
      <c r="CB22" s="3">
        <f t="shared" si="11"/>
        <v>0</v>
      </c>
      <c r="CC22" s="3">
        <f t="shared" si="12"/>
        <v>0</v>
      </c>
      <c r="CD22" s="4"/>
      <c r="CH22" s="90">
        <v>0</v>
      </c>
      <c r="CI22" s="90">
        <v>0</v>
      </c>
      <c r="CJ22" s="91">
        <v>2</v>
      </c>
      <c r="CK22" s="90">
        <v>0</v>
      </c>
      <c r="CL22" s="90">
        <v>0</v>
      </c>
      <c r="CM22" s="90">
        <v>0</v>
      </c>
      <c r="CN22" s="90">
        <v>0</v>
      </c>
      <c r="CO22" s="90">
        <v>0</v>
      </c>
      <c r="CP22" s="90">
        <v>0</v>
      </c>
      <c r="CQ22" s="90">
        <v>0</v>
      </c>
      <c r="CR22" s="92">
        <f t="shared" si="15"/>
        <v>2</v>
      </c>
    </row>
    <row r="23" spans="1:96" ht="21" customHeight="1" x14ac:dyDescent="0.25">
      <c r="A23" s="18">
        <v>19</v>
      </c>
      <c r="B23" s="20" t="s">
        <v>63</v>
      </c>
      <c r="C23" s="9" t="s">
        <v>64</v>
      </c>
      <c r="D23" s="119">
        <v>1</v>
      </c>
      <c r="E23" s="119">
        <v>1</v>
      </c>
      <c r="F23" s="110">
        <v>0.57222222222222219</v>
      </c>
      <c r="G23" s="120">
        <v>1</v>
      </c>
      <c r="H23" s="108">
        <v>0.34652777777777777</v>
      </c>
      <c r="I23" s="119">
        <v>1</v>
      </c>
      <c r="J23" s="108">
        <v>0.34930555555555554</v>
      </c>
      <c r="K23" s="119">
        <v>1</v>
      </c>
      <c r="L23" s="108">
        <v>0.34722222222222227</v>
      </c>
      <c r="M23" s="119">
        <v>1</v>
      </c>
      <c r="N23" s="108">
        <v>0.34861111111111115</v>
      </c>
      <c r="O23" s="119">
        <v>1</v>
      </c>
      <c r="P23" s="108">
        <v>0.35902777777777778</v>
      </c>
      <c r="Q23" s="119">
        <v>1</v>
      </c>
      <c r="R23" s="108">
        <v>0.34861111111111115</v>
      </c>
      <c r="S23" s="119">
        <v>1</v>
      </c>
      <c r="T23" s="120" t="s">
        <v>15</v>
      </c>
      <c r="U23" s="120" t="s">
        <v>15</v>
      </c>
      <c r="V23" s="108" t="s">
        <v>202</v>
      </c>
      <c r="W23" s="108" t="s">
        <v>202</v>
      </c>
      <c r="X23" s="108">
        <v>0.77013888888888893</v>
      </c>
      <c r="Y23" s="108">
        <v>0.77013888888888893</v>
      </c>
      <c r="Z23" s="108">
        <v>0.3444444444444445</v>
      </c>
      <c r="AA23" s="119">
        <v>1</v>
      </c>
      <c r="AB23" s="108">
        <v>0.34930555555555554</v>
      </c>
      <c r="AC23" s="119">
        <v>1</v>
      </c>
      <c r="AD23" s="108">
        <v>0.34583333333333338</v>
      </c>
      <c r="AE23" s="119">
        <v>1</v>
      </c>
      <c r="AF23" s="108">
        <v>0.34791666666666665</v>
      </c>
      <c r="AG23" s="119">
        <v>1</v>
      </c>
      <c r="AH23" s="62"/>
      <c r="AI23" s="56">
        <v>19</v>
      </c>
      <c r="AJ23" s="110">
        <v>0.57430555555555551</v>
      </c>
      <c r="AK23" s="120">
        <v>1</v>
      </c>
      <c r="AL23" s="108">
        <v>0.35000000000000003</v>
      </c>
      <c r="AM23" s="119">
        <v>1</v>
      </c>
      <c r="AN23" s="108">
        <v>0.34583333333333338</v>
      </c>
      <c r="AO23" s="119">
        <v>1</v>
      </c>
      <c r="AP23" s="108">
        <v>0.34583333333333338</v>
      </c>
      <c r="AQ23" s="119">
        <v>1</v>
      </c>
      <c r="AR23" s="108">
        <v>0.34930555555555554</v>
      </c>
      <c r="AS23" s="119">
        <v>1</v>
      </c>
      <c r="AT23" s="108">
        <v>0.34583333333333338</v>
      </c>
      <c r="AU23" s="119">
        <v>1</v>
      </c>
      <c r="AV23" s="108">
        <v>0.34652777777777777</v>
      </c>
      <c r="AW23" s="119">
        <v>1</v>
      </c>
      <c r="AX23" s="120" t="s">
        <v>15</v>
      </c>
      <c r="AY23" s="120" t="s">
        <v>15</v>
      </c>
      <c r="AZ23" s="108">
        <v>0.34791666666666665</v>
      </c>
      <c r="BA23" s="119">
        <v>1</v>
      </c>
      <c r="BB23" s="108">
        <v>0.34791666666666665</v>
      </c>
      <c r="BC23" s="119">
        <v>1</v>
      </c>
      <c r="BD23" s="108">
        <v>0.34513888888888888</v>
      </c>
      <c r="BE23" s="119">
        <v>1</v>
      </c>
      <c r="BF23" s="108">
        <v>0.34583333333333338</v>
      </c>
      <c r="BG23" s="119">
        <v>1</v>
      </c>
      <c r="BH23" s="108">
        <v>0.34583333333333338</v>
      </c>
      <c r="BI23" s="119">
        <v>1</v>
      </c>
      <c r="BJ23" s="108">
        <v>0.34930555555555554</v>
      </c>
      <c r="BK23" s="119">
        <v>1</v>
      </c>
      <c r="BL23" s="110">
        <v>0.57361111111111118</v>
      </c>
      <c r="BM23" s="120">
        <v>1</v>
      </c>
      <c r="BN23" s="108">
        <v>0.3444444444444445</v>
      </c>
      <c r="BO23" s="119">
        <v>1</v>
      </c>
      <c r="BP23" s="12">
        <f t="shared" si="0"/>
        <v>31</v>
      </c>
      <c r="BQ23" s="118">
        <v>3</v>
      </c>
      <c r="BR23" s="2">
        <f t="shared" si="1"/>
        <v>28</v>
      </c>
      <c r="BS23" s="3">
        <f t="shared" si="2"/>
        <v>2</v>
      </c>
      <c r="BT23" s="3">
        <f t="shared" si="3"/>
        <v>0</v>
      </c>
      <c r="BU23" s="3">
        <f t="shared" si="4"/>
        <v>0</v>
      </c>
      <c r="BV23" s="3">
        <f t="shared" si="5"/>
        <v>0</v>
      </c>
      <c r="BW23" s="3">
        <f t="shared" si="6"/>
        <v>0</v>
      </c>
      <c r="BX23" s="3">
        <f t="shared" si="7"/>
        <v>0</v>
      </c>
      <c r="BY23" s="3">
        <f t="shared" si="8"/>
        <v>1</v>
      </c>
      <c r="BZ23" s="3">
        <f t="shared" si="9"/>
        <v>0</v>
      </c>
      <c r="CA23" s="3">
        <f t="shared" si="10"/>
        <v>0</v>
      </c>
      <c r="CB23" s="3">
        <f t="shared" si="11"/>
        <v>0</v>
      </c>
      <c r="CC23" s="3">
        <f t="shared" si="12"/>
        <v>0</v>
      </c>
      <c r="CD23" s="4"/>
      <c r="CH23" s="90">
        <v>0</v>
      </c>
      <c r="CI23" s="90">
        <v>0</v>
      </c>
      <c r="CJ23" s="90">
        <v>0</v>
      </c>
      <c r="CK23" s="90">
        <v>0</v>
      </c>
      <c r="CL23" s="90">
        <v>0</v>
      </c>
      <c r="CM23" s="90">
        <v>1</v>
      </c>
      <c r="CN23" s="90">
        <v>0</v>
      </c>
      <c r="CO23" s="90">
        <v>0</v>
      </c>
      <c r="CP23" s="90">
        <v>0</v>
      </c>
      <c r="CQ23" s="90">
        <v>0</v>
      </c>
      <c r="CR23" s="92">
        <f t="shared" si="15"/>
        <v>1</v>
      </c>
    </row>
    <row r="24" spans="1:96" ht="21" customHeight="1" x14ac:dyDescent="0.25">
      <c r="A24" s="18">
        <v>20</v>
      </c>
      <c r="B24" s="20" t="s">
        <v>254</v>
      </c>
      <c r="C24" s="9" t="s">
        <v>65</v>
      </c>
      <c r="D24" s="108">
        <v>0.45624999999999999</v>
      </c>
      <c r="E24" s="108">
        <v>0.97222222222222221</v>
      </c>
      <c r="F24" s="120" t="s">
        <v>15</v>
      </c>
      <c r="G24" s="120" t="s">
        <v>15</v>
      </c>
      <c r="H24" s="108">
        <v>0.35138888888888892</v>
      </c>
      <c r="I24" s="119">
        <v>1</v>
      </c>
      <c r="J24" s="108">
        <v>0.35347222222222219</v>
      </c>
      <c r="K24" s="119">
        <v>1</v>
      </c>
      <c r="L24" s="119" t="s">
        <v>202</v>
      </c>
      <c r="M24" s="119" t="s">
        <v>202</v>
      </c>
      <c r="N24" s="108">
        <v>0.3527777777777778</v>
      </c>
      <c r="O24" s="108">
        <v>0.97083333333333333</v>
      </c>
      <c r="P24" s="108">
        <v>0.3527777777777778</v>
      </c>
      <c r="Q24" s="108">
        <v>0.96875</v>
      </c>
      <c r="R24" s="108">
        <v>0.3520833333333333</v>
      </c>
      <c r="S24" s="108">
        <v>0.97291666666666676</v>
      </c>
      <c r="T24" s="110">
        <v>0.57638888888888895</v>
      </c>
      <c r="U24" s="110">
        <v>0.93472222222222223</v>
      </c>
      <c r="V24" s="108">
        <v>0.3520833333333333</v>
      </c>
      <c r="W24" s="119">
        <v>1</v>
      </c>
      <c r="X24" s="108" t="s">
        <v>20</v>
      </c>
      <c r="Y24" s="108" t="s">
        <v>20</v>
      </c>
      <c r="Z24" s="108">
        <v>0.3527777777777778</v>
      </c>
      <c r="AA24" s="108">
        <v>0.94861111111111107</v>
      </c>
      <c r="AB24" s="108">
        <v>0.3520833333333333</v>
      </c>
      <c r="AC24" s="108">
        <v>0.93958333333333333</v>
      </c>
      <c r="AD24" s="108">
        <v>0.3527777777777778</v>
      </c>
      <c r="AE24" s="108">
        <v>0.97777777777777775</v>
      </c>
      <c r="AF24" s="108">
        <v>0.3527777777777778</v>
      </c>
      <c r="AG24" s="108">
        <v>0.95972222222222225</v>
      </c>
      <c r="AH24" s="62"/>
      <c r="AI24" s="56">
        <v>20</v>
      </c>
      <c r="AJ24" s="120" t="s">
        <v>15</v>
      </c>
      <c r="AK24" s="120" t="s">
        <v>15</v>
      </c>
      <c r="AL24" s="108">
        <v>0.3527777777777778</v>
      </c>
      <c r="AM24" s="108">
        <v>0.98958333333333337</v>
      </c>
      <c r="AN24" s="108">
        <v>0.3520833333333333</v>
      </c>
      <c r="AO24" s="108">
        <v>1.8749999999999999E-2</v>
      </c>
      <c r="AP24" s="108">
        <v>0.3527777777777778</v>
      </c>
      <c r="AQ24" s="108">
        <v>0.97916666666666663</v>
      </c>
      <c r="AR24" s="108">
        <v>0.3527777777777778</v>
      </c>
      <c r="AS24" s="108">
        <v>0.98055555555555562</v>
      </c>
      <c r="AT24" s="108">
        <v>0.3527777777777778</v>
      </c>
      <c r="AU24" s="108">
        <v>0.95208333333333339</v>
      </c>
      <c r="AV24" s="108">
        <v>0.3527777777777778</v>
      </c>
      <c r="AW24" s="108">
        <v>4.8611111111111112E-3</v>
      </c>
      <c r="AX24" s="110">
        <v>0.56319444444444444</v>
      </c>
      <c r="AY24" s="110">
        <v>0.95624999999999993</v>
      </c>
      <c r="AZ24" s="108">
        <v>0.3520833333333333</v>
      </c>
      <c r="BA24" s="119">
        <v>1</v>
      </c>
      <c r="BB24" s="108">
        <v>0.3520833333333333</v>
      </c>
      <c r="BC24" s="108">
        <v>0.97430555555555554</v>
      </c>
      <c r="BD24" s="108">
        <v>0.3520833333333333</v>
      </c>
      <c r="BE24" s="108">
        <v>0.95277777777777783</v>
      </c>
      <c r="BF24" s="108">
        <v>0.3520833333333333</v>
      </c>
      <c r="BG24" s="108">
        <v>0.95138888888888884</v>
      </c>
      <c r="BH24" s="108">
        <v>0.3527777777777778</v>
      </c>
      <c r="BI24" s="108">
        <v>7.6388888888888886E-3</v>
      </c>
      <c r="BJ24" s="108">
        <v>0.3527777777777778</v>
      </c>
      <c r="BK24" s="119">
        <v>1</v>
      </c>
      <c r="BL24" s="120" t="s">
        <v>15</v>
      </c>
      <c r="BM24" s="120" t="s">
        <v>15</v>
      </c>
      <c r="BN24" s="108">
        <v>0.3527777777777778</v>
      </c>
      <c r="BO24" s="119">
        <v>1</v>
      </c>
      <c r="BP24" s="12">
        <f t="shared" si="0"/>
        <v>31</v>
      </c>
      <c r="BQ24" s="118">
        <v>2</v>
      </c>
      <c r="BR24" s="2">
        <f t="shared" si="1"/>
        <v>26</v>
      </c>
      <c r="BS24" s="3">
        <f t="shared" si="2"/>
        <v>3</v>
      </c>
      <c r="BT24" s="3">
        <f t="shared" si="3"/>
        <v>0</v>
      </c>
      <c r="BU24" s="3">
        <f t="shared" si="4"/>
        <v>0</v>
      </c>
      <c r="BV24" s="3">
        <f t="shared" si="5"/>
        <v>0</v>
      </c>
      <c r="BW24" s="3">
        <f t="shared" si="6"/>
        <v>0</v>
      </c>
      <c r="BX24" s="3">
        <f t="shared" si="7"/>
        <v>1</v>
      </c>
      <c r="BY24" s="3">
        <f t="shared" si="8"/>
        <v>1</v>
      </c>
      <c r="BZ24" s="3">
        <f t="shared" si="9"/>
        <v>0</v>
      </c>
      <c r="CA24" s="3">
        <f t="shared" si="10"/>
        <v>0</v>
      </c>
      <c r="CB24" s="3">
        <f t="shared" si="11"/>
        <v>0</v>
      </c>
      <c r="CC24" s="3">
        <f t="shared" si="12"/>
        <v>0</v>
      </c>
      <c r="CD24" s="4"/>
      <c r="CH24" s="90">
        <v>0</v>
      </c>
      <c r="CI24" s="90">
        <v>0</v>
      </c>
      <c r="CJ24" s="90">
        <v>0</v>
      </c>
      <c r="CK24" s="90">
        <v>0</v>
      </c>
      <c r="CL24" s="90">
        <v>1</v>
      </c>
      <c r="CM24" s="91">
        <v>7</v>
      </c>
      <c r="CN24" s="91">
        <v>1</v>
      </c>
      <c r="CO24" s="90">
        <v>0</v>
      </c>
      <c r="CP24" s="90">
        <v>0</v>
      </c>
      <c r="CQ24" s="90">
        <v>0</v>
      </c>
      <c r="CR24" s="92">
        <f t="shared" si="15"/>
        <v>9</v>
      </c>
    </row>
    <row r="25" spans="1:96" ht="21" customHeight="1" x14ac:dyDescent="0.25">
      <c r="A25" s="18">
        <v>21</v>
      </c>
      <c r="B25" s="20" t="s">
        <v>66</v>
      </c>
      <c r="C25" s="9" t="s">
        <v>67</v>
      </c>
      <c r="D25" s="108">
        <v>0.34166666666666662</v>
      </c>
      <c r="E25" s="108">
        <v>0.97569444444444453</v>
      </c>
      <c r="F25" s="110">
        <v>0.5708333333333333</v>
      </c>
      <c r="G25" s="110">
        <v>0.9458333333333333</v>
      </c>
      <c r="H25" s="108">
        <v>0.3354166666666667</v>
      </c>
      <c r="I25" s="108">
        <v>0.97361111111111109</v>
      </c>
      <c r="J25" s="108">
        <v>0.32708333333333334</v>
      </c>
      <c r="K25" s="108">
        <v>0.97986111111111107</v>
      </c>
      <c r="L25" s="108">
        <v>0.33055555555555555</v>
      </c>
      <c r="M25" s="108">
        <v>0.96597222222222223</v>
      </c>
      <c r="N25" s="108">
        <v>0.32916666666666666</v>
      </c>
      <c r="O25" s="108">
        <v>0.96666666666666667</v>
      </c>
      <c r="P25" s="108">
        <v>0.33194444444444443</v>
      </c>
      <c r="Q25" s="108">
        <v>0.97361111111111109</v>
      </c>
      <c r="R25" s="108">
        <v>0.32708333333333334</v>
      </c>
      <c r="S25" s="108">
        <v>0.98541666666666661</v>
      </c>
      <c r="T25" s="110">
        <v>0.56319444444444444</v>
      </c>
      <c r="U25" s="110">
        <v>0.9590277777777777</v>
      </c>
      <c r="V25" s="108">
        <v>0.33194444444444443</v>
      </c>
      <c r="W25" s="108">
        <v>0.99583333333333324</v>
      </c>
      <c r="X25" s="108">
        <v>0.3263888888888889</v>
      </c>
      <c r="Y25" s="108">
        <v>0.98472222222222217</v>
      </c>
      <c r="Z25" s="108">
        <v>0.32847222222222222</v>
      </c>
      <c r="AA25" s="108">
        <v>0.97083333333333333</v>
      </c>
      <c r="AB25" s="108">
        <v>0.3263888888888889</v>
      </c>
      <c r="AC25" s="108">
        <v>0.32708333333333334</v>
      </c>
      <c r="AD25" s="108">
        <v>0.3354166666666667</v>
      </c>
      <c r="AE25" s="108">
        <v>0.9784722222222223</v>
      </c>
      <c r="AF25" s="108">
        <v>0.3298611111111111</v>
      </c>
      <c r="AG25" s="108">
        <v>0.9784722222222223</v>
      </c>
      <c r="AH25" s="62"/>
      <c r="AI25" s="56">
        <v>21</v>
      </c>
      <c r="AJ25" s="110">
        <v>0.55625000000000002</v>
      </c>
      <c r="AK25" s="110">
        <v>0.97152777777777777</v>
      </c>
      <c r="AL25" s="108">
        <v>0.32500000000000001</v>
      </c>
      <c r="AM25" s="108">
        <v>0.98958333333333337</v>
      </c>
      <c r="AN25" s="108">
        <v>0.33124999999999999</v>
      </c>
      <c r="AO25" s="108">
        <v>1.7361111111111112E-2</v>
      </c>
      <c r="AP25" s="108">
        <v>0.33124999999999999</v>
      </c>
      <c r="AQ25" s="108">
        <v>0.98055555555555562</v>
      </c>
      <c r="AR25" s="108">
        <v>0.33611111111111108</v>
      </c>
      <c r="AS25" s="108">
        <v>0.97361111111111109</v>
      </c>
      <c r="AT25" s="108">
        <v>0.3347222222222222</v>
      </c>
      <c r="AU25" s="108">
        <v>0.97569444444444453</v>
      </c>
      <c r="AV25" s="108">
        <v>0.32847222222222222</v>
      </c>
      <c r="AW25" s="108">
        <v>0.98611111111111116</v>
      </c>
      <c r="AX25" s="110">
        <v>0.56944444444444442</v>
      </c>
      <c r="AY25" s="110">
        <v>0.96805555555555556</v>
      </c>
      <c r="AZ25" s="108">
        <v>0.33819444444444446</v>
      </c>
      <c r="BA25" s="108">
        <v>0.33819444444444446</v>
      </c>
      <c r="BB25" s="108">
        <v>0.33055555555555555</v>
      </c>
      <c r="BC25" s="108">
        <v>0.98333333333333339</v>
      </c>
      <c r="BD25" s="108">
        <v>0.3354166666666667</v>
      </c>
      <c r="BE25" s="108">
        <v>6.2499999999999995E-3</v>
      </c>
      <c r="BF25" s="108">
        <v>0.34097222222222223</v>
      </c>
      <c r="BG25" s="108">
        <v>0.34097222222222223</v>
      </c>
      <c r="BH25" s="108">
        <v>0.33958333333333335</v>
      </c>
      <c r="BI25" s="108">
        <v>5.5555555555555558E-3</v>
      </c>
      <c r="BJ25" s="108">
        <v>0.33611111111111108</v>
      </c>
      <c r="BK25" s="108">
        <v>0.99722222222222223</v>
      </c>
      <c r="BL25" s="110">
        <v>0.55833333333333335</v>
      </c>
      <c r="BM25" s="120">
        <v>1</v>
      </c>
      <c r="BN25" s="108">
        <v>0.34027777777777773</v>
      </c>
      <c r="BO25" s="119">
        <v>1</v>
      </c>
      <c r="BP25" s="12">
        <f t="shared" si="0"/>
        <v>31</v>
      </c>
      <c r="BQ25" s="118">
        <v>5</v>
      </c>
      <c r="BR25" s="2">
        <f t="shared" si="1"/>
        <v>31</v>
      </c>
      <c r="BS25" s="3">
        <f t="shared" si="2"/>
        <v>0</v>
      </c>
      <c r="BT25" s="3">
        <f t="shared" si="3"/>
        <v>0</v>
      </c>
      <c r="BU25" s="3">
        <f t="shared" si="4"/>
        <v>0</v>
      </c>
      <c r="BV25" s="3">
        <f t="shared" si="5"/>
        <v>0</v>
      </c>
      <c r="BW25" s="3">
        <f t="shared" si="6"/>
        <v>0</v>
      </c>
      <c r="BX25" s="3">
        <f t="shared" si="7"/>
        <v>0</v>
      </c>
      <c r="BY25" s="3">
        <f t="shared" si="8"/>
        <v>0</v>
      </c>
      <c r="BZ25" s="3">
        <f t="shared" si="9"/>
        <v>0</v>
      </c>
      <c r="CA25" s="3">
        <f t="shared" si="10"/>
        <v>0</v>
      </c>
      <c r="CB25" s="3">
        <f t="shared" si="11"/>
        <v>0</v>
      </c>
      <c r="CC25" s="3">
        <f t="shared" si="12"/>
        <v>0</v>
      </c>
      <c r="CD25" s="4"/>
      <c r="CH25" s="90">
        <v>0</v>
      </c>
      <c r="CI25" s="90">
        <v>0</v>
      </c>
      <c r="CJ25" s="90">
        <v>0</v>
      </c>
      <c r="CK25" s="90">
        <v>0</v>
      </c>
      <c r="CL25" s="90">
        <v>0</v>
      </c>
      <c r="CM25" s="90">
        <v>0</v>
      </c>
      <c r="CN25" s="90">
        <v>0</v>
      </c>
      <c r="CO25" s="90">
        <v>0</v>
      </c>
      <c r="CP25" s="90">
        <v>0</v>
      </c>
      <c r="CQ25" s="90">
        <v>0</v>
      </c>
      <c r="CR25" s="92">
        <f t="shared" si="15"/>
        <v>0</v>
      </c>
    </row>
    <row r="26" spans="1:96" ht="21" customHeight="1" x14ac:dyDescent="0.25">
      <c r="A26" s="18">
        <v>22</v>
      </c>
      <c r="B26" s="20" t="s">
        <v>68</v>
      </c>
      <c r="C26" s="73" t="s">
        <v>69</v>
      </c>
      <c r="D26" s="108">
        <v>0.43472222222222223</v>
      </c>
      <c r="E26" s="119">
        <v>1</v>
      </c>
      <c r="F26" s="110">
        <v>0.73263888888888884</v>
      </c>
      <c r="G26" s="110">
        <v>0.58611111111111114</v>
      </c>
      <c r="H26" s="108">
        <v>0.375</v>
      </c>
      <c r="I26" s="108">
        <v>0.73055555555555562</v>
      </c>
      <c r="J26" s="108">
        <v>0.37638888888888888</v>
      </c>
      <c r="K26" s="108">
        <v>0.73472222222222217</v>
      </c>
      <c r="L26" s="108">
        <v>0.38194444444444442</v>
      </c>
      <c r="M26" s="108">
        <v>0.72291666666666676</v>
      </c>
      <c r="N26" s="108">
        <v>0.37361111111111112</v>
      </c>
      <c r="O26" s="108">
        <v>0.73263888888888884</v>
      </c>
      <c r="P26" s="108">
        <v>0.36944444444444446</v>
      </c>
      <c r="Q26" s="108">
        <v>0.73402777777777783</v>
      </c>
      <c r="R26" s="108">
        <v>0.37708333333333338</v>
      </c>
      <c r="S26" s="108">
        <v>0.72986111111111107</v>
      </c>
      <c r="T26" s="110">
        <v>0.58263888888888882</v>
      </c>
      <c r="U26" s="120">
        <v>1</v>
      </c>
      <c r="V26" s="108">
        <v>0.37708333333333338</v>
      </c>
      <c r="W26" s="108">
        <v>0.76041666666666663</v>
      </c>
      <c r="X26" s="108">
        <v>0.37708333333333338</v>
      </c>
      <c r="Y26" s="108">
        <v>0.7270833333333333</v>
      </c>
      <c r="Z26" s="108">
        <v>0.37013888888888885</v>
      </c>
      <c r="AA26" s="108">
        <v>0.7319444444444444</v>
      </c>
      <c r="AB26" s="108">
        <v>0.37708333333333338</v>
      </c>
      <c r="AC26" s="108">
        <v>0.73333333333333339</v>
      </c>
      <c r="AD26" s="108">
        <v>0.36944444444444446</v>
      </c>
      <c r="AE26" s="119">
        <v>1</v>
      </c>
      <c r="AF26" s="108">
        <v>0.35486111111111113</v>
      </c>
      <c r="AG26" s="108">
        <v>0.73333333333333339</v>
      </c>
      <c r="AH26" s="62"/>
      <c r="AI26" s="56">
        <v>22</v>
      </c>
      <c r="AJ26" s="110">
        <v>0.55833333333333335</v>
      </c>
      <c r="AK26" s="110">
        <v>0.74097222222222225</v>
      </c>
      <c r="AL26" s="108">
        <v>0.37777777777777777</v>
      </c>
      <c r="AM26" s="108">
        <v>0.73055555555555562</v>
      </c>
      <c r="AN26" s="108">
        <v>0.3576388888888889</v>
      </c>
      <c r="AO26" s="108">
        <v>0.7319444444444444</v>
      </c>
      <c r="AP26" s="108">
        <v>0.36249999999999999</v>
      </c>
      <c r="AQ26" s="108">
        <v>0.73402777777777783</v>
      </c>
      <c r="AR26" s="119">
        <v>1</v>
      </c>
      <c r="AS26" s="108">
        <v>0.72777777777777775</v>
      </c>
      <c r="AT26" s="108">
        <v>0.37013888888888885</v>
      </c>
      <c r="AU26" s="108">
        <v>0.7270833333333333</v>
      </c>
      <c r="AV26" s="108">
        <v>0.36874999999999997</v>
      </c>
      <c r="AW26" s="108">
        <v>0.73263888888888884</v>
      </c>
      <c r="AX26" s="110">
        <v>0.73819444444444438</v>
      </c>
      <c r="AY26" s="110">
        <v>0.77083333333333337</v>
      </c>
      <c r="AZ26" s="108">
        <v>0.37013888888888885</v>
      </c>
      <c r="BA26" s="108">
        <v>0.7319444444444444</v>
      </c>
      <c r="BB26" s="108">
        <v>0.36874999999999997</v>
      </c>
      <c r="BC26" s="108">
        <v>0.7319444444444444</v>
      </c>
      <c r="BD26" s="108">
        <v>0.37083333333333335</v>
      </c>
      <c r="BE26" s="119">
        <v>1</v>
      </c>
      <c r="BF26" s="108">
        <v>0.37708333333333338</v>
      </c>
      <c r="BG26" s="108">
        <v>0.73263888888888884</v>
      </c>
      <c r="BH26" s="108">
        <v>0.37361111111111112</v>
      </c>
      <c r="BI26" s="108">
        <v>0.73402777777777783</v>
      </c>
      <c r="BJ26" s="119">
        <v>1</v>
      </c>
      <c r="BK26" s="108">
        <v>0.73125000000000007</v>
      </c>
      <c r="BL26" s="110">
        <v>0.5756944444444444</v>
      </c>
      <c r="BM26" s="120">
        <v>1</v>
      </c>
      <c r="BN26" s="108">
        <v>0.36944444444444446</v>
      </c>
      <c r="BO26" s="108">
        <v>0.73333333333333339</v>
      </c>
      <c r="BP26" s="12">
        <f t="shared" si="0"/>
        <v>31</v>
      </c>
      <c r="BQ26" s="118">
        <v>5</v>
      </c>
      <c r="BR26" s="2">
        <f t="shared" si="1"/>
        <v>31</v>
      </c>
      <c r="BS26" s="3">
        <f t="shared" si="2"/>
        <v>0</v>
      </c>
      <c r="BT26" s="3">
        <f t="shared" si="3"/>
        <v>0</v>
      </c>
      <c r="BU26" s="3">
        <f t="shared" si="4"/>
        <v>0</v>
      </c>
      <c r="BV26" s="3">
        <f t="shared" si="5"/>
        <v>0</v>
      </c>
      <c r="BW26" s="3">
        <f t="shared" si="6"/>
        <v>0</v>
      </c>
      <c r="BX26" s="3">
        <f t="shared" si="7"/>
        <v>0</v>
      </c>
      <c r="BY26" s="3">
        <f t="shared" si="8"/>
        <v>0</v>
      </c>
      <c r="BZ26" s="3">
        <f t="shared" si="9"/>
        <v>0</v>
      </c>
      <c r="CA26" s="3">
        <f t="shared" si="10"/>
        <v>0</v>
      </c>
      <c r="CB26" s="3">
        <f t="shared" si="11"/>
        <v>0</v>
      </c>
      <c r="CC26" s="3">
        <f t="shared" si="12"/>
        <v>0</v>
      </c>
      <c r="CD26" s="4"/>
      <c r="CH26" s="90">
        <v>0</v>
      </c>
      <c r="CI26" s="90">
        <v>0</v>
      </c>
      <c r="CJ26" s="90">
        <v>0</v>
      </c>
      <c r="CK26" s="90">
        <v>0</v>
      </c>
      <c r="CL26" s="90">
        <v>0</v>
      </c>
      <c r="CM26" s="90">
        <v>0</v>
      </c>
      <c r="CN26" s="90">
        <v>0</v>
      </c>
      <c r="CO26" s="90">
        <v>0</v>
      </c>
      <c r="CP26" s="90">
        <v>0</v>
      </c>
      <c r="CQ26" s="90">
        <v>0</v>
      </c>
      <c r="CR26" s="92">
        <f t="shared" si="15"/>
        <v>0</v>
      </c>
    </row>
    <row r="27" spans="1:96" ht="23.25" customHeight="1" x14ac:dyDescent="0.25">
      <c r="AH27" s="63"/>
    </row>
    <row r="28" spans="1:96" x14ac:dyDescent="0.25">
      <c r="BR28" s="44" t="s">
        <v>80</v>
      </c>
      <c r="BS28" s="45"/>
      <c r="BT28" s="45"/>
      <c r="BU28" s="46" t="s">
        <v>15</v>
      </c>
      <c r="BV28" s="47"/>
      <c r="BW28" s="48" t="s">
        <v>81</v>
      </c>
      <c r="BX28" s="49"/>
      <c r="BY28" s="49"/>
      <c r="BZ28" s="50"/>
      <c r="CA28" s="51" t="s">
        <v>21</v>
      </c>
    </row>
    <row r="29" spans="1:96" x14ac:dyDescent="0.25"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BR29" s="44" t="s">
        <v>82</v>
      </c>
      <c r="BS29" s="45"/>
      <c r="BT29" s="45"/>
      <c r="BU29" s="46" t="s">
        <v>16</v>
      </c>
      <c r="BV29" s="47"/>
      <c r="BW29" s="52" t="s">
        <v>83</v>
      </c>
      <c r="BX29" s="53"/>
      <c r="BY29" s="53"/>
      <c r="BZ29" s="50"/>
      <c r="CA29" s="51" t="s">
        <v>22</v>
      </c>
    </row>
    <row r="30" spans="1:96" ht="15.75" x14ac:dyDescent="0.25">
      <c r="D30" s="25"/>
      <c r="E30" s="26" t="s">
        <v>70</v>
      </c>
      <c r="F30" s="27"/>
      <c r="G30" s="26"/>
      <c r="H30" s="28"/>
      <c r="I30" s="28"/>
      <c r="J30" s="29"/>
      <c r="K30" s="30"/>
      <c r="L30" s="30"/>
      <c r="M30" s="31" t="s">
        <v>71</v>
      </c>
      <c r="N30" s="31"/>
      <c r="O30" s="29"/>
      <c r="P30" s="29"/>
      <c r="Q30" s="29"/>
      <c r="R30" s="29"/>
      <c r="S30" s="29" t="s">
        <v>72</v>
      </c>
      <c r="T30" s="29"/>
      <c r="U30" s="29"/>
      <c r="V30" s="29"/>
      <c r="W30" s="31" t="s">
        <v>73</v>
      </c>
      <c r="X30" s="29"/>
      <c r="BR30" s="44" t="s">
        <v>84</v>
      </c>
      <c r="BS30" s="45"/>
      <c r="BT30" s="45"/>
      <c r="BU30" s="46" t="s">
        <v>17</v>
      </c>
      <c r="BV30" s="47"/>
      <c r="BW30" s="52" t="s">
        <v>85</v>
      </c>
      <c r="BX30" s="53"/>
      <c r="BY30" s="53"/>
      <c r="BZ30" s="50"/>
      <c r="CA30" s="51" t="s">
        <v>23</v>
      </c>
    </row>
    <row r="31" spans="1:96" ht="17.25" x14ac:dyDescent="0.25">
      <c r="D31" s="32"/>
      <c r="E31" s="28"/>
      <c r="F31" s="28"/>
      <c r="G31" s="28"/>
      <c r="H31" s="28"/>
      <c r="I31" s="28"/>
      <c r="J31" s="28"/>
      <c r="K31" s="33"/>
      <c r="L31" s="33"/>
      <c r="M31" s="33"/>
      <c r="N31" s="28"/>
      <c r="O31" s="28"/>
      <c r="P31" s="28"/>
      <c r="Q31" s="34"/>
      <c r="R31" s="34"/>
      <c r="S31" s="34"/>
      <c r="T31" s="34"/>
      <c r="U31" s="34"/>
      <c r="V31" s="34"/>
      <c r="W31" s="35"/>
      <c r="X31" s="35"/>
      <c r="BR31" s="44" t="s">
        <v>86</v>
      </c>
      <c r="BS31" s="45"/>
      <c r="BT31" s="45"/>
      <c r="BU31" s="46" t="s">
        <v>18</v>
      </c>
      <c r="BV31" s="47"/>
      <c r="BW31" s="48" t="s">
        <v>87</v>
      </c>
      <c r="BX31" s="49"/>
      <c r="BY31" s="49"/>
      <c r="BZ31" s="50"/>
      <c r="CA31" s="51" t="s">
        <v>24</v>
      </c>
    </row>
    <row r="32" spans="1:96" ht="17.25" x14ac:dyDescent="0.25">
      <c r="D32" s="32"/>
      <c r="E32" s="36"/>
      <c r="F32" s="28"/>
      <c r="G32" s="36"/>
      <c r="H32" s="28"/>
      <c r="I32" s="28"/>
      <c r="J32" s="36" t="s">
        <v>72</v>
      </c>
      <c r="K32" s="37"/>
      <c r="L32" s="37"/>
      <c r="M32" s="33"/>
      <c r="N32" s="28"/>
      <c r="O32" s="36"/>
      <c r="P32" s="36"/>
      <c r="Q32" s="29"/>
      <c r="R32" s="28"/>
      <c r="S32" s="28"/>
      <c r="T32" s="28"/>
      <c r="U32" s="28"/>
      <c r="V32" s="28"/>
      <c r="W32" s="38"/>
      <c r="X32" s="38"/>
      <c r="BR32" s="44" t="s">
        <v>88</v>
      </c>
      <c r="BS32" s="45"/>
      <c r="BT32" s="45"/>
      <c r="BU32" s="46" t="s">
        <v>19</v>
      </c>
      <c r="BV32" s="47"/>
      <c r="BW32" s="48" t="s">
        <v>89</v>
      </c>
      <c r="BX32" s="49"/>
      <c r="BY32" s="49"/>
      <c r="BZ32" s="50"/>
      <c r="CA32" s="51" t="s">
        <v>25</v>
      </c>
    </row>
    <row r="33" spans="1:96" ht="17.25" x14ac:dyDescent="0.25">
      <c r="D33" s="39"/>
      <c r="E33" s="36"/>
      <c r="F33" s="28"/>
      <c r="G33" s="36"/>
      <c r="H33" s="28"/>
      <c r="I33" s="28"/>
      <c r="J33" s="36"/>
      <c r="K33" s="37"/>
      <c r="L33" s="37"/>
      <c r="M33" s="33"/>
      <c r="N33" s="29"/>
      <c r="O33" s="36"/>
      <c r="P33" s="36"/>
      <c r="Q33" s="29"/>
      <c r="R33" s="28"/>
      <c r="S33" s="28"/>
      <c r="T33" s="28"/>
      <c r="U33" s="28"/>
      <c r="V33" s="28"/>
      <c r="W33" s="38"/>
      <c r="X33" s="38"/>
      <c r="BR33" s="44" t="s">
        <v>90</v>
      </c>
      <c r="BS33" s="45"/>
      <c r="BT33" s="45"/>
      <c r="BU33" s="46" t="s">
        <v>20</v>
      </c>
      <c r="BV33" s="47"/>
      <c r="BW33" s="47"/>
      <c r="BX33" s="47"/>
      <c r="BY33" s="47"/>
      <c r="BZ33" s="47"/>
      <c r="CA33" s="47"/>
    </row>
    <row r="34" spans="1:96" ht="17.25" x14ac:dyDescent="0.25">
      <c r="D34" s="40" t="s">
        <v>74</v>
      </c>
      <c r="E34" s="41"/>
      <c r="F34" s="25"/>
      <c r="G34" s="40"/>
      <c r="H34" s="28"/>
      <c r="I34" s="28"/>
      <c r="J34" s="36"/>
      <c r="K34" s="33"/>
      <c r="L34" s="37"/>
      <c r="M34" s="27" t="s">
        <v>75</v>
      </c>
      <c r="N34" s="28"/>
      <c r="O34" s="36"/>
      <c r="P34" s="29"/>
      <c r="Q34" s="28"/>
      <c r="R34" s="28"/>
      <c r="S34" s="28"/>
      <c r="T34" s="28"/>
      <c r="U34" s="28"/>
      <c r="V34" s="28"/>
      <c r="W34" s="27" t="s">
        <v>76</v>
      </c>
      <c r="X34" s="38"/>
      <c r="BR34" s="47"/>
      <c r="BS34" s="47"/>
      <c r="BT34" s="47"/>
      <c r="BU34" s="47"/>
      <c r="BV34" s="47"/>
      <c r="BW34" s="47"/>
      <c r="BX34" s="47"/>
      <c r="BY34" s="47"/>
      <c r="BZ34" s="47"/>
      <c r="CA34" s="47"/>
    </row>
    <row r="35" spans="1:96" ht="17.25" x14ac:dyDescent="0.25">
      <c r="D35" s="40"/>
      <c r="E35" s="40" t="s">
        <v>77</v>
      </c>
      <c r="F35" s="39"/>
      <c r="G35" s="39"/>
      <c r="H35" s="28"/>
      <c r="I35" s="28"/>
      <c r="J35" s="27"/>
      <c r="K35" s="42"/>
      <c r="L35" s="42"/>
      <c r="M35" s="27" t="s">
        <v>78</v>
      </c>
      <c r="N35" s="27"/>
      <c r="O35" s="27"/>
      <c r="P35" s="29"/>
      <c r="Q35" s="27"/>
      <c r="R35" s="28"/>
      <c r="S35" s="28"/>
      <c r="T35" s="28"/>
      <c r="U35" s="28"/>
      <c r="V35" s="28"/>
      <c r="W35" s="27" t="s">
        <v>79</v>
      </c>
      <c r="X35" s="38"/>
    </row>
    <row r="36" spans="1:96" ht="15.75" x14ac:dyDescent="0.25"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43"/>
      <c r="X36" s="43"/>
    </row>
    <row r="37" spans="1:96" ht="25.5" customHeight="1" x14ac:dyDescent="0.25">
      <c r="A37" s="159" t="s">
        <v>249</v>
      </c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  <c r="AI37" s="159" t="s">
        <v>249</v>
      </c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  <c r="BC37" s="159"/>
      <c r="BD37" s="159"/>
      <c r="BE37" s="159"/>
      <c r="BF37" s="159"/>
      <c r="BG37" s="159"/>
      <c r="BH37" s="159"/>
      <c r="BI37" s="159"/>
      <c r="BJ37" s="159"/>
      <c r="BK37" s="159"/>
      <c r="BL37" s="159"/>
      <c r="BM37" s="159"/>
      <c r="BN37" s="159"/>
      <c r="BO37" s="159"/>
      <c r="BP37" s="159"/>
      <c r="BQ37" s="97"/>
      <c r="BR37" s="101"/>
      <c r="BS37" s="102"/>
      <c r="BT37" s="102"/>
      <c r="BU37" s="102"/>
      <c r="BV37" s="102"/>
      <c r="BW37" s="102"/>
      <c r="BX37" s="102"/>
      <c r="BY37" s="102"/>
      <c r="BZ37" s="102"/>
      <c r="CA37" s="102"/>
      <c r="CB37" s="102"/>
      <c r="CC37" s="102"/>
      <c r="CD37" s="103"/>
    </row>
    <row r="38" spans="1:96" ht="22.5" customHeight="1" x14ac:dyDescent="0.25">
      <c r="A38" s="156" t="s">
        <v>201</v>
      </c>
      <c r="B38" s="156"/>
      <c r="C38" s="156"/>
      <c r="D38" s="137" t="s">
        <v>2</v>
      </c>
      <c r="E38" s="137"/>
      <c r="F38" s="137" t="s">
        <v>3</v>
      </c>
      <c r="G38" s="137"/>
      <c r="H38" s="137" t="s">
        <v>4</v>
      </c>
      <c r="I38" s="137"/>
      <c r="J38" s="137" t="s">
        <v>5</v>
      </c>
      <c r="K38" s="137"/>
      <c r="L38" s="137" t="s">
        <v>6</v>
      </c>
      <c r="M38" s="137"/>
      <c r="N38" s="137" t="s">
        <v>7</v>
      </c>
      <c r="O38" s="137"/>
      <c r="P38" s="137" t="s">
        <v>1</v>
      </c>
      <c r="Q38" s="137"/>
      <c r="R38" s="137" t="s">
        <v>2</v>
      </c>
      <c r="S38" s="137"/>
      <c r="T38" s="137" t="s">
        <v>3</v>
      </c>
      <c r="U38" s="137"/>
      <c r="V38" s="137" t="s">
        <v>4</v>
      </c>
      <c r="W38" s="137"/>
      <c r="X38" s="137" t="s">
        <v>5</v>
      </c>
      <c r="Y38" s="137"/>
      <c r="Z38" s="137" t="s">
        <v>6</v>
      </c>
      <c r="AA38" s="137"/>
      <c r="AB38" s="137" t="s">
        <v>7</v>
      </c>
      <c r="AC38" s="137"/>
      <c r="AD38" s="137" t="s">
        <v>1</v>
      </c>
      <c r="AE38" s="137"/>
      <c r="AF38" s="137" t="s">
        <v>2</v>
      </c>
      <c r="AG38" s="137"/>
      <c r="AH38" s="59"/>
      <c r="AI38" s="5"/>
      <c r="AJ38" s="137" t="s">
        <v>3</v>
      </c>
      <c r="AK38" s="140"/>
      <c r="AL38" s="137" t="s">
        <v>4</v>
      </c>
      <c r="AM38" s="140"/>
      <c r="AN38" s="137" t="s">
        <v>5</v>
      </c>
      <c r="AO38" s="140"/>
      <c r="AP38" s="137" t="s">
        <v>6</v>
      </c>
      <c r="AQ38" s="140"/>
      <c r="AR38" s="137" t="s">
        <v>7</v>
      </c>
      <c r="AS38" s="140"/>
      <c r="AT38" s="137" t="s">
        <v>1</v>
      </c>
      <c r="AU38" s="140"/>
      <c r="AV38" s="137" t="s">
        <v>2</v>
      </c>
      <c r="AW38" s="140"/>
      <c r="AX38" s="137" t="s">
        <v>3</v>
      </c>
      <c r="AY38" s="140"/>
      <c r="AZ38" s="137" t="s">
        <v>4</v>
      </c>
      <c r="BA38" s="140"/>
      <c r="BB38" s="137" t="s">
        <v>5</v>
      </c>
      <c r="BC38" s="140"/>
      <c r="BD38" s="137" t="s">
        <v>6</v>
      </c>
      <c r="BE38" s="140"/>
      <c r="BF38" s="137" t="s">
        <v>7</v>
      </c>
      <c r="BG38" s="140"/>
      <c r="BH38" s="137" t="s">
        <v>1</v>
      </c>
      <c r="BI38" s="140"/>
      <c r="BJ38" s="137" t="s">
        <v>2</v>
      </c>
      <c r="BK38" s="140"/>
      <c r="BL38" s="137" t="s">
        <v>3</v>
      </c>
      <c r="BM38" s="140"/>
      <c r="BN38" s="137" t="s">
        <v>4</v>
      </c>
      <c r="BO38" s="140"/>
      <c r="BP38" s="144" t="s">
        <v>8</v>
      </c>
      <c r="BQ38" s="157" t="s">
        <v>9</v>
      </c>
      <c r="BR38" s="141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3"/>
      <c r="CH38" s="136" t="s">
        <v>226</v>
      </c>
      <c r="CI38" s="136"/>
      <c r="CJ38" s="136"/>
      <c r="CK38" s="136"/>
      <c r="CL38" s="136"/>
      <c r="CM38" s="136"/>
      <c r="CN38" s="136"/>
      <c r="CO38" s="136"/>
      <c r="CP38" s="136"/>
      <c r="CQ38" s="136"/>
      <c r="CR38" s="58"/>
    </row>
    <row r="39" spans="1:96" ht="22.5" customHeight="1" x14ac:dyDescent="0.25">
      <c r="A39" s="156"/>
      <c r="B39" s="156"/>
      <c r="C39" s="156"/>
      <c r="D39" s="138">
        <v>46023</v>
      </c>
      <c r="E39" s="138"/>
      <c r="F39" s="138">
        <v>46024</v>
      </c>
      <c r="G39" s="138"/>
      <c r="H39" s="138">
        <v>46025</v>
      </c>
      <c r="I39" s="138"/>
      <c r="J39" s="138">
        <v>46026</v>
      </c>
      <c r="K39" s="138"/>
      <c r="L39" s="138">
        <v>46027</v>
      </c>
      <c r="M39" s="138"/>
      <c r="N39" s="138">
        <v>46028</v>
      </c>
      <c r="O39" s="138"/>
      <c r="P39" s="138">
        <v>46029</v>
      </c>
      <c r="Q39" s="138"/>
      <c r="R39" s="138">
        <v>46030</v>
      </c>
      <c r="S39" s="138"/>
      <c r="T39" s="138">
        <v>46031</v>
      </c>
      <c r="U39" s="138"/>
      <c r="V39" s="138">
        <v>46032</v>
      </c>
      <c r="W39" s="138"/>
      <c r="X39" s="138">
        <v>46033</v>
      </c>
      <c r="Y39" s="138"/>
      <c r="Z39" s="138">
        <v>46034</v>
      </c>
      <c r="AA39" s="138"/>
      <c r="AB39" s="138">
        <v>46035</v>
      </c>
      <c r="AC39" s="138"/>
      <c r="AD39" s="138">
        <v>46036</v>
      </c>
      <c r="AE39" s="138"/>
      <c r="AF39" s="138">
        <v>46037</v>
      </c>
      <c r="AG39" s="138"/>
      <c r="AH39" s="60"/>
      <c r="AI39" s="122"/>
      <c r="AJ39" s="138">
        <v>46038</v>
      </c>
      <c r="AK39" s="139"/>
      <c r="AL39" s="138">
        <v>46039</v>
      </c>
      <c r="AM39" s="139"/>
      <c r="AN39" s="138">
        <v>46040</v>
      </c>
      <c r="AO39" s="139"/>
      <c r="AP39" s="138">
        <v>46041</v>
      </c>
      <c r="AQ39" s="139"/>
      <c r="AR39" s="138">
        <v>46042</v>
      </c>
      <c r="AS39" s="139"/>
      <c r="AT39" s="138">
        <v>46043</v>
      </c>
      <c r="AU39" s="139"/>
      <c r="AV39" s="138">
        <v>46044</v>
      </c>
      <c r="AW39" s="139"/>
      <c r="AX39" s="138">
        <v>46045</v>
      </c>
      <c r="AY39" s="139"/>
      <c r="AZ39" s="138">
        <v>46046</v>
      </c>
      <c r="BA39" s="139"/>
      <c r="BB39" s="138">
        <v>46047</v>
      </c>
      <c r="BC39" s="139"/>
      <c r="BD39" s="138">
        <v>46048</v>
      </c>
      <c r="BE39" s="139"/>
      <c r="BF39" s="138">
        <v>46049</v>
      </c>
      <c r="BG39" s="139"/>
      <c r="BH39" s="138">
        <v>46050</v>
      </c>
      <c r="BI39" s="139"/>
      <c r="BJ39" s="138">
        <v>46051</v>
      </c>
      <c r="BK39" s="139"/>
      <c r="BL39" s="138">
        <v>46052</v>
      </c>
      <c r="BM39" s="139"/>
      <c r="BN39" s="138">
        <v>46053</v>
      </c>
      <c r="BO39" s="139"/>
      <c r="BP39" s="144"/>
      <c r="BQ39" s="157"/>
      <c r="BR39" s="104"/>
      <c r="BS39" s="105"/>
      <c r="BT39" s="105"/>
      <c r="BU39" s="105"/>
      <c r="BV39" s="105"/>
      <c r="BW39" s="105"/>
      <c r="BX39" s="105"/>
      <c r="BY39" s="105"/>
      <c r="BZ39" s="105"/>
      <c r="CA39" s="105"/>
      <c r="CB39" s="105"/>
      <c r="CC39" s="105"/>
      <c r="CD39" s="106"/>
      <c r="CH39" s="93" t="s">
        <v>227</v>
      </c>
      <c r="CI39" s="93"/>
      <c r="CJ39" s="93"/>
      <c r="CK39" s="93"/>
      <c r="CL39" s="93"/>
      <c r="CM39" s="93"/>
      <c r="CN39" s="93"/>
      <c r="CO39" s="93"/>
      <c r="CP39" s="93"/>
      <c r="CQ39" s="93"/>
      <c r="CR39" s="58"/>
    </row>
    <row r="40" spans="1:96" ht="20.25" customHeight="1" x14ac:dyDescent="0.25">
      <c r="A40" s="5" t="s">
        <v>10</v>
      </c>
      <c r="B40" s="5" t="s">
        <v>11</v>
      </c>
      <c r="C40" s="5" t="s">
        <v>12</v>
      </c>
      <c r="D40" s="22" t="s">
        <v>13</v>
      </c>
      <c r="E40" s="22" t="s">
        <v>14</v>
      </c>
      <c r="F40" s="22" t="s">
        <v>13</v>
      </c>
      <c r="G40" s="22" t="s">
        <v>14</v>
      </c>
      <c r="H40" s="22" t="s">
        <v>13</v>
      </c>
      <c r="I40" s="22" t="s">
        <v>14</v>
      </c>
      <c r="J40" s="22" t="s">
        <v>13</v>
      </c>
      <c r="K40" s="22" t="s">
        <v>14</v>
      </c>
      <c r="L40" s="22" t="s">
        <v>13</v>
      </c>
      <c r="M40" s="22" t="s">
        <v>14</v>
      </c>
      <c r="N40" s="5" t="s">
        <v>13</v>
      </c>
      <c r="O40" s="5" t="s">
        <v>14</v>
      </c>
      <c r="P40" s="5" t="s">
        <v>13</v>
      </c>
      <c r="Q40" s="5" t="s">
        <v>14</v>
      </c>
      <c r="R40" s="5" t="s">
        <v>13</v>
      </c>
      <c r="S40" s="5" t="s">
        <v>14</v>
      </c>
      <c r="T40" s="5" t="s">
        <v>13</v>
      </c>
      <c r="U40" s="5" t="s">
        <v>14</v>
      </c>
      <c r="V40" s="5" t="s">
        <v>13</v>
      </c>
      <c r="W40" s="5" t="s">
        <v>14</v>
      </c>
      <c r="X40" s="5" t="s">
        <v>13</v>
      </c>
      <c r="Y40" s="5" t="s">
        <v>14</v>
      </c>
      <c r="Z40" s="5" t="s">
        <v>13</v>
      </c>
      <c r="AA40" s="5" t="s">
        <v>14</v>
      </c>
      <c r="AB40" s="5" t="s">
        <v>13</v>
      </c>
      <c r="AC40" s="5" t="s">
        <v>14</v>
      </c>
      <c r="AD40" s="5" t="s">
        <v>13</v>
      </c>
      <c r="AE40" s="5" t="s">
        <v>14</v>
      </c>
      <c r="AF40" s="5" t="s">
        <v>13</v>
      </c>
      <c r="AG40" s="5" t="s">
        <v>14</v>
      </c>
      <c r="AH40" s="60"/>
      <c r="AI40" s="5"/>
      <c r="AJ40" s="5" t="s">
        <v>13</v>
      </c>
      <c r="AK40" s="5" t="s">
        <v>14</v>
      </c>
      <c r="AL40" s="5" t="s">
        <v>13</v>
      </c>
      <c r="AM40" s="5" t="s">
        <v>14</v>
      </c>
      <c r="AN40" s="5" t="s">
        <v>13</v>
      </c>
      <c r="AO40" s="5" t="s">
        <v>14</v>
      </c>
      <c r="AP40" s="5" t="s">
        <v>13</v>
      </c>
      <c r="AQ40" s="5" t="s">
        <v>14</v>
      </c>
      <c r="AR40" s="5" t="s">
        <v>13</v>
      </c>
      <c r="AS40" s="5" t="s">
        <v>14</v>
      </c>
      <c r="AT40" s="5" t="s">
        <v>13</v>
      </c>
      <c r="AU40" s="5" t="s">
        <v>14</v>
      </c>
      <c r="AV40" s="5" t="s">
        <v>13</v>
      </c>
      <c r="AW40" s="5" t="s">
        <v>14</v>
      </c>
      <c r="AX40" s="5" t="s">
        <v>13</v>
      </c>
      <c r="AY40" s="5" t="s">
        <v>14</v>
      </c>
      <c r="AZ40" s="5" t="s">
        <v>13</v>
      </c>
      <c r="BA40" s="5" t="s">
        <v>14</v>
      </c>
      <c r="BB40" s="5" t="s">
        <v>13</v>
      </c>
      <c r="BC40" s="5" t="s">
        <v>14</v>
      </c>
      <c r="BD40" s="5" t="s">
        <v>13</v>
      </c>
      <c r="BE40" s="5" t="s">
        <v>14</v>
      </c>
      <c r="BF40" s="5" t="s">
        <v>13</v>
      </c>
      <c r="BG40" s="5" t="s">
        <v>14</v>
      </c>
      <c r="BH40" s="5" t="s">
        <v>13</v>
      </c>
      <c r="BI40" s="5" t="s">
        <v>14</v>
      </c>
      <c r="BJ40" s="5" t="s">
        <v>13</v>
      </c>
      <c r="BK40" s="5" t="s">
        <v>14</v>
      </c>
      <c r="BL40" s="5" t="s">
        <v>13</v>
      </c>
      <c r="BM40" s="5" t="s">
        <v>14</v>
      </c>
      <c r="BN40" s="5" t="s">
        <v>13</v>
      </c>
      <c r="BO40" s="5" t="s">
        <v>14</v>
      </c>
      <c r="BP40" s="144"/>
      <c r="BQ40" s="158"/>
      <c r="BR40" s="98"/>
      <c r="BS40" s="99" t="s">
        <v>15</v>
      </c>
      <c r="BT40" s="99" t="s">
        <v>16</v>
      </c>
      <c r="BU40" s="99" t="s">
        <v>17</v>
      </c>
      <c r="BV40" s="99" t="s">
        <v>18</v>
      </c>
      <c r="BW40" s="99" t="s">
        <v>19</v>
      </c>
      <c r="BX40" s="99" t="s">
        <v>20</v>
      </c>
      <c r="BY40" s="99" t="s">
        <v>21</v>
      </c>
      <c r="BZ40" s="99" t="s">
        <v>22</v>
      </c>
      <c r="CA40" s="99" t="s">
        <v>23</v>
      </c>
      <c r="CB40" s="99" t="s">
        <v>24</v>
      </c>
      <c r="CC40" s="99" t="s">
        <v>25</v>
      </c>
      <c r="CD40" s="100" t="s">
        <v>26</v>
      </c>
      <c r="CH40" s="87" t="s">
        <v>16</v>
      </c>
      <c r="CI40" s="88" t="s">
        <v>17</v>
      </c>
      <c r="CJ40" s="88" t="s">
        <v>18</v>
      </c>
      <c r="CK40" s="88" t="s">
        <v>19</v>
      </c>
      <c r="CL40" s="88" t="s">
        <v>20</v>
      </c>
      <c r="CM40" s="88" t="s">
        <v>21</v>
      </c>
      <c r="CN40" s="88" t="s">
        <v>22</v>
      </c>
      <c r="CO40" s="88" t="s">
        <v>23</v>
      </c>
      <c r="CP40" s="88" t="s">
        <v>24</v>
      </c>
      <c r="CQ40" s="88" t="s">
        <v>25</v>
      </c>
      <c r="CR40" s="89" t="s">
        <v>228</v>
      </c>
    </row>
    <row r="41" spans="1:96" ht="21.75" customHeight="1" x14ac:dyDescent="0.25">
      <c r="A41" s="55">
        <v>23</v>
      </c>
      <c r="B41" s="20" t="s">
        <v>91</v>
      </c>
      <c r="C41" s="9" t="s">
        <v>92</v>
      </c>
      <c r="D41" s="108">
        <v>0.35486111111111113</v>
      </c>
      <c r="E41" s="108">
        <v>0.96597222222222223</v>
      </c>
      <c r="F41" s="120" t="s">
        <v>15</v>
      </c>
      <c r="G41" s="120" t="s">
        <v>15</v>
      </c>
      <c r="H41" s="108">
        <v>0.34861111111111115</v>
      </c>
      <c r="I41" s="108">
        <v>0.96805555555555556</v>
      </c>
      <c r="J41" s="108">
        <v>0.35416666666666669</v>
      </c>
      <c r="K41" s="108">
        <v>0.96944444444444444</v>
      </c>
      <c r="L41" s="108">
        <v>0.35347222222222219</v>
      </c>
      <c r="M41" s="108">
        <v>0.98333333333333339</v>
      </c>
      <c r="N41" s="108">
        <v>0.35347222222222219</v>
      </c>
      <c r="O41" s="108">
        <v>0.96805555555555556</v>
      </c>
      <c r="P41" s="108">
        <v>0.35138888888888892</v>
      </c>
      <c r="Q41" s="108">
        <v>0.96458333333333324</v>
      </c>
      <c r="R41" s="108">
        <v>0.34861111111111115</v>
      </c>
      <c r="S41" s="108">
        <v>0.96736111111111101</v>
      </c>
      <c r="T41" s="110">
        <v>0.58333333333333337</v>
      </c>
      <c r="U41" s="110">
        <v>0.93263888888888891</v>
      </c>
      <c r="V41" s="108">
        <v>0.3520833333333333</v>
      </c>
      <c r="W41" s="108">
        <v>0.96250000000000002</v>
      </c>
      <c r="X41" s="108">
        <v>0.35486111111111113</v>
      </c>
      <c r="Y41" s="108">
        <v>0.95208333333333339</v>
      </c>
      <c r="Z41" s="108">
        <v>0.35069444444444442</v>
      </c>
      <c r="AA41" s="108">
        <v>0.94097222222222221</v>
      </c>
      <c r="AB41" s="108">
        <v>0.3527777777777778</v>
      </c>
      <c r="AC41" s="108">
        <v>0.93194444444444446</v>
      </c>
      <c r="AD41" s="108">
        <v>0.34583333333333338</v>
      </c>
      <c r="AE41" s="108">
        <v>0.97291666666666676</v>
      </c>
      <c r="AF41" s="108">
        <v>0.35138888888888892</v>
      </c>
      <c r="AG41" s="108">
        <v>0.95763888888888893</v>
      </c>
      <c r="AH41" s="60"/>
      <c r="AI41" s="77">
        <v>23</v>
      </c>
      <c r="AJ41" s="120" t="s">
        <v>15</v>
      </c>
      <c r="AK41" s="120" t="s">
        <v>15</v>
      </c>
      <c r="AL41" s="108">
        <v>0.3527777777777778</v>
      </c>
      <c r="AM41" s="108">
        <v>0.9506944444444444</v>
      </c>
      <c r="AN41" s="108">
        <v>0.34930555555555554</v>
      </c>
      <c r="AO41" s="108">
        <v>0.95347222222222217</v>
      </c>
      <c r="AP41" s="108">
        <v>0.34930555555555554</v>
      </c>
      <c r="AQ41" s="108">
        <v>0.94374999999999998</v>
      </c>
      <c r="AR41" s="108">
        <v>0.35069444444444442</v>
      </c>
      <c r="AS41" s="108">
        <v>0.96527777777777779</v>
      </c>
      <c r="AT41" s="108">
        <v>0.34861111111111115</v>
      </c>
      <c r="AU41" s="108">
        <v>0.95000000000000007</v>
      </c>
      <c r="AV41" s="108">
        <v>0.35069444444444442</v>
      </c>
      <c r="AW41" s="108">
        <v>0.98055555555555562</v>
      </c>
      <c r="AX41" s="110">
        <v>0.5805555555555556</v>
      </c>
      <c r="AY41" s="110">
        <v>0.94513888888888886</v>
      </c>
      <c r="AZ41" s="108">
        <v>0.3527777777777778</v>
      </c>
      <c r="BA41" s="108">
        <v>0.94513888888888886</v>
      </c>
      <c r="BB41" s="108">
        <v>0.35069444444444442</v>
      </c>
      <c r="BC41" s="108">
        <v>0.96180555555555547</v>
      </c>
      <c r="BD41" s="108">
        <v>0.35347222222222219</v>
      </c>
      <c r="BE41" s="108">
        <v>0.95486111111111116</v>
      </c>
      <c r="BF41" s="108">
        <v>0.35069444444444442</v>
      </c>
      <c r="BG41" s="108">
        <v>0.94513888888888886</v>
      </c>
      <c r="BH41" s="108">
        <v>0.35069444444444442</v>
      </c>
      <c r="BI41" s="108">
        <v>0.9555555555555556</v>
      </c>
      <c r="BJ41" s="108">
        <v>0.3520833333333333</v>
      </c>
      <c r="BK41" s="108">
        <v>0.96736111111111101</v>
      </c>
      <c r="BL41" s="120" t="s">
        <v>15</v>
      </c>
      <c r="BM41" s="120" t="s">
        <v>15</v>
      </c>
      <c r="BN41" s="108">
        <v>0.35069444444444442</v>
      </c>
      <c r="BO41" s="108">
        <v>0.96319444444444446</v>
      </c>
      <c r="BP41" s="12">
        <f>BR41+BS41+BU41+BV41+BZ41+BX41+BY41+CC41</f>
        <v>31</v>
      </c>
      <c r="BQ41" s="118">
        <v>2</v>
      </c>
      <c r="BR41" s="2">
        <f>COUNT(D41:AG41)/2+COUNT(AJ41:BO41)/2</f>
        <v>28</v>
      </c>
      <c r="BS41" s="3">
        <f t="shared" ref="BS41" si="16">COUNTIF(D41:BO41,"OFF")/2</f>
        <v>3</v>
      </c>
      <c r="BT41" s="3">
        <f t="shared" ref="BT41" si="17">COUNTIF(D41:BO41,"MC")/2</f>
        <v>0</v>
      </c>
      <c r="BU41" s="3">
        <f t="shared" ref="BU41" si="18">COUNTIF(D41:BO41,"EL")/2</f>
        <v>0</v>
      </c>
      <c r="BV41" s="3">
        <f t="shared" ref="BV41" si="19">COUNTIF(D41:BO41,"AL")/2</f>
        <v>0</v>
      </c>
      <c r="BW41" s="3">
        <f t="shared" ref="BW41" si="20">COUNTIF(D41:BO41,"SUS")/2</f>
        <v>0</v>
      </c>
      <c r="BX41" s="3">
        <f t="shared" ref="BX41" si="21">COUNTIF(D41:BO41,"FL")/2</f>
        <v>0</v>
      </c>
      <c r="BY41" s="3">
        <f t="shared" ref="BY41" si="22">COUNTIF(D41:BO41,"SICK")/2</f>
        <v>0</v>
      </c>
      <c r="BZ41" s="3">
        <f t="shared" ref="BZ41" si="23">COUNTIF(D41:BO41,"HD")/2</f>
        <v>0</v>
      </c>
      <c r="CA41" s="3">
        <f t="shared" ref="CA41" si="24">COUNTIF(D41:BO41,"AB")/2</f>
        <v>0</v>
      </c>
      <c r="CB41" s="3">
        <f t="shared" ref="CB41" si="25">COUNTIF(D41:BO41,"NL")/2</f>
        <v>0</v>
      </c>
      <c r="CC41" s="3">
        <f t="shared" ref="CC41" si="26">COUNTIF(D41:BO41,"SP")/2</f>
        <v>0</v>
      </c>
      <c r="CD41" s="4"/>
      <c r="CH41" s="90">
        <v>0</v>
      </c>
      <c r="CI41" s="90">
        <v>0</v>
      </c>
      <c r="CJ41" s="90">
        <v>0</v>
      </c>
      <c r="CK41" s="90">
        <v>0</v>
      </c>
      <c r="CL41" s="90">
        <v>0</v>
      </c>
      <c r="CM41" s="90">
        <v>0</v>
      </c>
      <c r="CN41" s="90">
        <v>0</v>
      </c>
      <c r="CO41" s="90">
        <v>0</v>
      </c>
      <c r="CP41" s="90">
        <v>0</v>
      </c>
      <c r="CQ41" s="90">
        <v>0</v>
      </c>
      <c r="CR41" s="86">
        <f>SUM(CH41:CQ41)</f>
        <v>0</v>
      </c>
    </row>
    <row r="42" spans="1:96" ht="21.75" customHeight="1" x14ac:dyDescent="0.25">
      <c r="A42" s="55">
        <v>24</v>
      </c>
      <c r="B42" s="20" t="s">
        <v>93</v>
      </c>
      <c r="C42" s="9" t="s">
        <v>94</v>
      </c>
      <c r="D42" s="108">
        <v>0.35138888888888892</v>
      </c>
      <c r="E42" s="108">
        <v>0.99513888888888891</v>
      </c>
      <c r="F42" s="120" t="s">
        <v>15</v>
      </c>
      <c r="G42" s="120" t="s">
        <v>15</v>
      </c>
      <c r="H42" s="108">
        <v>0.35138888888888892</v>
      </c>
      <c r="I42" s="108">
        <v>0.97569444444444453</v>
      </c>
      <c r="J42" s="108">
        <v>0.3527777777777778</v>
      </c>
      <c r="K42" s="108">
        <v>0.96805555555555556</v>
      </c>
      <c r="L42" s="108">
        <v>0.35138888888888892</v>
      </c>
      <c r="M42" s="108">
        <v>0.96736111111111101</v>
      </c>
      <c r="N42" s="108">
        <v>0.35000000000000003</v>
      </c>
      <c r="O42" s="108">
        <v>0.95694444444444438</v>
      </c>
      <c r="P42" s="108">
        <v>0.35069444444444442</v>
      </c>
      <c r="Q42" s="108">
        <v>0.95763888888888893</v>
      </c>
      <c r="R42" s="108">
        <v>0.3520833333333333</v>
      </c>
      <c r="S42" s="108">
        <v>0.97430555555555554</v>
      </c>
      <c r="T42" s="110">
        <v>0.57500000000000007</v>
      </c>
      <c r="U42" s="110">
        <v>0.95347222222222217</v>
      </c>
      <c r="V42" s="108">
        <v>0.3520833333333333</v>
      </c>
      <c r="W42" s="108">
        <v>0.96944444444444444</v>
      </c>
      <c r="X42" s="108">
        <v>0.35138888888888892</v>
      </c>
      <c r="Y42" s="108">
        <v>0.96111111111111114</v>
      </c>
      <c r="Z42" s="108">
        <v>0.3520833333333333</v>
      </c>
      <c r="AA42" s="108">
        <v>0.96458333333333324</v>
      </c>
      <c r="AB42" s="108">
        <v>0.34930555555555554</v>
      </c>
      <c r="AC42" s="108">
        <v>0.95416666666666661</v>
      </c>
      <c r="AD42" s="108">
        <v>0.34930555555555554</v>
      </c>
      <c r="AE42" s="108">
        <v>0.95138888888888884</v>
      </c>
      <c r="AF42" s="108">
        <v>0.3527777777777778</v>
      </c>
      <c r="AG42" s="108">
        <v>0.97430555555555554</v>
      </c>
      <c r="AH42" s="60"/>
      <c r="AI42" s="77">
        <v>24</v>
      </c>
      <c r="AJ42" s="120" t="s">
        <v>15</v>
      </c>
      <c r="AK42" s="120" t="s">
        <v>15</v>
      </c>
      <c r="AL42" s="108">
        <v>0.35000000000000003</v>
      </c>
      <c r="AM42" s="108">
        <v>0.96527777777777779</v>
      </c>
      <c r="AN42" s="108">
        <v>0.35069444444444442</v>
      </c>
      <c r="AO42" s="108">
        <v>0.94791666666666663</v>
      </c>
      <c r="AP42" s="108">
        <v>0.3527777777777778</v>
      </c>
      <c r="AQ42" s="108">
        <v>0.9506944444444444</v>
      </c>
      <c r="AR42" s="108">
        <v>0.3520833333333333</v>
      </c>
      <c r="AS42" s="108">
        <v>0.9604166666666667</v>
      </c>
      <c r="AT42" s="108">
        <v>0.35833333333333334</v>
      </c>
      <c r="AU42" s="108">
        <v>0.94930555555555562</v>
      </c>
      <c r="AV42" s="108">
        <v>0.35416666666666669</v>
      </c>
      <c r="AW42" s="108">
        <v>0.97361111111111109</v>
      </c>
      <c r="AX42" s="110">
        <v>0.5756944444444444</v>
      </c>
      <c r="AY42" s="110">
        <v>0.9506944444444444</v>
      </c>
      <c r="AZ42" s="108">
        <v>0.35069444444444442</v>
      </c>
      <c r="BA42" s="108">
        <v>0.96666666666666667</v>
      </c>
      <c r="BB42" s="108">
        <v>0.35069444444444442</v>
      </c>
      <c r="BC42" s="108">
        <v>0.95763888888888893</v>
      </c>
      <c r="BD42" s="108">
        <v>0.35138888888888892</v>
      </c>
      <c r="BE42" s="108">
        <v>0.95347222222222217</v>
      </c>
      <c r="BF42" s="108">
        <v>0.35138888888888892</v>
      </c>
      <c r="BG42" s="119">
        <v>1</v>
      </c>
      <c r="BH42" s="108">
        <v>0.34513888888888888</v>
      </c>
      <c r="BI42" s="108">
        <v>0.94027777777777777</v>
      </c>
      <c r="BJ42" s="108">
        <v>0.35138888888888892</v>
      </c>
      <c r="BK42" s="108">
        <v>0.97361111111111109</v>
      </c>
      <c r="BL42" s="120" t="s">
        <v>15</v>
      </c>
      <c r="BM42" s="120" t="s">
        <v>15</v>
      </c>
      <c r="BN42" s="108">
        <v>0.35138888888888892</v>
      </c>
      <c r="BO42" s="108">
        <v>0.97152777777777777</v>
      </c>
      <c r="BP42" s="12">
        <f t="shared" ref="BP42:BP105" si="27">BR42+BS42+BU42+BV42+BZ42+BX42+BY42+CC42</f>
        <v>31</v>
      </c>
      <c r="BQ42" s="118">
        <v>2</v>
      </c>
      <c r="BR42" s="2">
        <f t="shared" ref="BR42:BR105" si="28">COUNT(D42:AG42)/2+COUNT(AJ42:BO42)/2</f>
        <v>28</v>
      </c>
      <c r="BS42" s="3">
        <f t="shared" ref="BS42:BS105" si="29">COUNTIF(D42:BO42,"OFF")/2</f>
        <v>3</v>
      </c>
      <c r="BT42" s="3">
        <f t="shared" ref="BT42:BT105" si="30">COUNTIF(D42:BO42,"MC")/2</f>
        <v>0</v>
      </c>
      <c r="BU42" s="3">
        <f t="shared" ref="BU42:BU105" si="31">COUNTIF(D42:BO42,"EL")/2</f>
        <v>0</v>
      </c>
      <c r="BV42" s="3">
        <f t="shared" ref="BV42:BV105" si="32">COUNTIF(D42:BO42,"AL")/2</f>
        <v>0</v>
      </c>
      <c r="BW42" s="3">
        <f t="shared" ref="BW42:BW105" si="33">COUNTIF(D42:BO42,"SUS")/2</f>
        <v>0</v>
      </c>
      <c r="BX42" s="3">
        <f t="shared" ref="BX42:BX105" si="34">COUNTIF(D42:BO42,"FL")/2</f>
        <v>0</v>
      </c>
      <c r="BY42" s="3">
        <f t="shared" ref="BY42:BY105" si="35">COUNTIF(D42:BO42,"SICK")/2</f>
        <v>0</v>
      </c>
      <c r="BZ42" s="3">
        <f t="shared" ref="BZ42:BZ105" si="36">COUNTIF(D42:BO42,"HD")/2</f>
        <v>0</v>
      </c>
      <c r="CA42" s="3">
        <f t="shared" ref="CA42:CA105" si="37">COUNTIF(D42:BO42,"AB")/2</f>
        <v>0</v>
      </c>
      <c r="CB42" s="3">
        <f t="shared" ref="CB42:CB105" si="38">COUNTIF(D42:BO42,"NL")/2</f>
        <v>0</v>
      </c>
      <c r="CC42" s="3">
        <f t="shared" ref="CC42:CC105" si="39">COUNTIF(D42:BO42,"SP")/2</f>
        <v>0</v>
      </c>
      <c r="CD42" s="4"/>
      <c r="CH42" s="90">
        <v>0</v>
      </c>
      <c r="CI42" s="90">
        <v>0</v>
      </c>
      <c r="CJ42" s="90">
        <v>0</v>
      </c>
      <c r="CK42" s="90">
        <v>0</v>
      </c>
      <c r="CL42" s="90">
        <v>0</v>
      </c>
      <c r="CM42" s="91">
        <v>2</v>
      </c>
      <c r="CN42" s="90">
        <v>0</v>
      </c>
      <c r="CO42" s="90">
        <v>0</v>
      </c>
      <c r="CP42" s="90">
        <v>0</v>
      </c>
      <c r="CQ42" s="90">
        <v>0</v>
      </c>
      <c r="CR42" s="86">
        <f t="shared" ref="CR42:CR43" si="40">SUM(CH42:CQ42)</f>
        <v>2</v>
      </c>
    </row>
    <row r="43" spans="1:96" ht="21.75" customHeight="1" x14ac:dyDescent="0.25">
      <c r="A43" s="55">
        <v>25</v>
      </c>
      <c r="B43" s="20" t="s">
        <v>95</v>
      </c>
      <c r="C43" s="9" t="s">
        <v>96</v>
      </c>
      <c r="D43" s="108" t="s">
        <v>18</v>
      </c>
      <c r="E43" s="108" t="s">
        <v>18</v>
      </c>
      <c r="F43" s="108" t="s">
        <v>18</v>
      </c>
      <c r="G43" s="108" t="s">
        <v>18</v>
      </c>
      <c r="H43" s="108" t="s">
        <v>18</v>
      </c>
      <c r="I43" s="108" t="s">
        <v>18</v>
      </c>
      <c r="J43" s="108" t="s">
        <v>18</v>
      </c>
      <c r="K43" s="108" t="s">
        <v>18</v>
      </c>
      <c r="L43" s="108" t="s">
        <v>18</v>
      </c>
      <c r="M43" s="108" t="s">
        <v>18</v>
      </c>
      <c r="N43" s="108" t="s">
        <v>18</v>
      </c>
      <c r="O43" s="108" t="s">
        <v>18</v>
      </c>
      <c r="P43" s="108" t="s">
        <v>18</v>
      </c>
      <c r="Q43" s="108" t="s">
        <v>18</v>
      </c>
      <c r="R43" s="108" t="s">
        <v>18</v>
      </c>
      <c r="S43" s="108" t="s">
        <v>18</v>
      </c>
      <c r="T43" s="108" t="s">
        <v>18</v>
      </c>
      <c r="U43" s="108" t="s">
        <v>18</v>
      </c>
      <c r="V43" s="108" t="s">
        <v>18</v>
      </c>
      <c r="W43" s="108" t="s">
        <v>18</v>
      </c>
      <c r="X43" s="108" t="s">
        <v>18</v>
      </c>
      <c r="Y43" s="108" t="s">
        <v>18</v>
      </c>
      <c r="Z43" s="108" t="s">
        <v>18</v>
      </c>
      <c r="AA43" s="108" t="s">
        <v>18</v>
      </c>
      <c r="AB43" s="108" t="s">
        <v>18</v>
      </c>
      <c r="AC43" s="108" t="s">
        <v>18</v>
      </c>
      <c r="AD43" s="108">
        <v>0.34930555555555554</v>
      </c>
      <c r="AE43" s="108">
        <v>0.94930555555555562</v>
      </c>
      <c r="AF43" s="108">
        <v>0.34930555555555554</v>
      </c>
      <c r="AG43" s="108">
        <v>0.96944444444444444</v>
      </c>
      <c r="AH43" s="60"/>
      <c r="AI43" s="77">
        <v>25</v>
      </c>
      <c r="AJ43" s="110">
        <v>0.57986111111111105</v>
      </c>
      <c r="AK43" s="110">
        <v>0.9506944444444444</v>
      </c>
      <c r="AL43" s="108">
        <v>0.35138888888888892</v>
      </c>
      <c r="AM43" s="108">
        <v>0.96388888888888891</v>
      </c>
      <c r="AN43" s="108">
        <v>0.35069444444444442</v>
      </c>
      <c r="AO43" s="108">
        <v>0.94861111111111107</v>
      </c>
      <c r="AP43" s="108">
        <v>0.35069444444444442</v>
      </c>
      <c r="AQ43" s="108">
        <v>0.95000000000000007</v>
      </c>
      <c r="AR43" s="108">
        <v>0.35069444444444442</v>
      </c>
      <c r="AS43" s="108">
        <v>0.95972222222222225</v>
      </c>
      <c r="AT43" s="108">
        <v>0.35069444444444442</v>
      </c>
      <c r="AU43" s="108">
        <v>0.95000000000000007</v>
      </c>
      <c r="AV43" s="108">
        <v>0.35069444444444442</v>
      </c>
      <c r="AW43" s="108">
        <v>0.97083333333333333</v>
      </c>
      <c r="AX43" s="120" t="s">
        <v>15</v>
      </c>
      <c r="AY43" s="120" t="s">
        <v>15</v>
      </c>
      <c r="AZ43" s="108">
        <v>0.35138888888888892</v>
      </c>
      <c r="BA43" s="108">
        <v>0.96319444444444446</v>
      </c>
      <c r="BB43" s="108">
        <v>0.35069444444444442</v>
      </c>
      <c r="BC43" s="108">
        <v>0.95486111111111116</v>
      </c>
      <c r="BD43" s="108">
        <v>0.35069444444444442</v>
      </c>
      <c r="BE43" s="108">
        <v>0.95000000000000007</v>
      </c>
      <c r="BF43" s="108">
        <v>0.35069444444444442</v>
      </c>
      <c r="BG43" s="119">
        <v>1</v>
      </c>
      <c r="BH43" s="108">
        <v>0.35069444444444442</v>
      </c>
      <c r="BI43" s="108">
        <v>0.94652777777777775</v>
      </c>
      <c r="BJ43" s="108">
        <v>0.35069444444444442</v>
      </c>
      <c r="BK43" s="108">
        <v>0.97291666666666676</v>
      </c>
      <c r="BL43" s="110">
        <v>0.57916666666666672</v>
      </c>
      <c r="BM43" s="110">
        <v>0.95624999999999993</v>
      </c>
      <c r="BN43" s="108">
        <v>0.3520833333333333</v>
      </c>
      <c r="BO43" s="108">
        <v>0.96597222222222223</v>
      </c>
      <c r="BP43" s="12">
        <f t="shared" si="27"/>
        <v>31</v>
      </c>
      <c r="BQ43" s="118">
        <v>2</v>
      </c>
      <c r="BR43" s="2">
        <f t="shared" si="28"/>
        <v>17</v>
      </c>
      <c r="BS43" s="3">
        <f t="shared" si="29"/>
        <v>1</v>
      </c>
      <c r="BT43" s="3">
        <f t="shared" si="30"/>
        <v>0</v>
      </c>
      <c r="BU43" s="3">
        <f t="shared" si="31"/>
        <v>0</v>
      </c>
      <c r="BV43" s="3">
        <f t="shared" si="32"/>
        <v>13</v>
      </c>
      <c r="BW43" s="3">
        <f t="shared" si="33"/>
        <v>0</v>
      </c>
      <c r="BX43" s="3">
        <f t="shared" si="34"/>
        <v>0</v>
      </c>
      <c r="BY43" s="3">
        <f t="shared" si="35"/>
        <v>0</v>
      </c>
      <c r="BZ43" s="3">
        <f t="shared" si="36"/>
        <v>0</v>
      </c>
      <c r="CA43" s="3">
        <f t="shared" si="37"/>
        <v>0</v>
      </c>
      <c r="CB43" s="3">
        <f t="shared" si="38"/>
        <v>0</v>
      </c>
      <c r="CC43" s="3">
        <f t="shared" si="39"/>
        <v>0</v>
      </c>
      <c r="CD43" s="4"/>
      <c r="CH43" s="90">
        <v>0</v>
      </c>
      <c r="CI43" s="90">
        <v>0</v>
      </c>
      <c r="CJ43" s="90">
        <v>13</v>
      </c>
      <c r="CK43" s="90">
        <v>0</v>
      </c>
      <c r="CL43" s="90">
        <v>0</v>
      </c>
      <c r="CM43" s="90">
        <v>0</v>
      </c>
      <c r="CN43" s="90">
        <v>0</v>
      </c>
      <c r="CO43" s="90">
        <v>0</v>
      </c>
      <c r="CP43" s="90">
        <v>0</v>
      </c>
      <c r="CQ43" s="90">
        <v>0</v>
      </c>
      <c r="CR43" s="92">
        <f t="shared" si="40"/>
        <v>13</v>
      </c>
    </row>
    <row r="44" spans="1:96" ht="21.75" customHeight="1" x14ac:dyDescent="0.25">
      <c r="A44" s="55">
        <v>26</v>
      </c>
      <c r="B44" s="20" t="s">
        <v>97</v>
      </c>
      <c r="C44" s="9" t="s">
        <v>98</v>
      </c>
      <c r="D44" s="108">
        <v>0.34930555555555554</v>
      </c>
      <c r="E44" s="108">
        <v>0.96805555555555556</v>
      </c>
      <c r="F44" s="120" t="s">
        <v>15</v>
      </c>
      <c r="G44" s="120" t="s">
        <v>15</v>
      </c>
      <c r="H44" s="108">
        <v>0.3527777777777778</v>
      </c>
      <c r="I44" s="108">
        <v>0.96944444444444444</v>
      </c>
      <c r="J44" s="108">
        <v>0.34861111111111115</v>
      </c>
      <c r="K44" s="108">
        <v>0.97222222222222221</v>
      </c>
      <c r="L44" s="108">
        <v>0.35000000000000003</v>
      </c>
      <c r="M44" s="108">
        <v>0.9590277777777777</v>
      </c>
      <c r="N44" s="108">
        <v>0.35069444444444442</v>
      </c>
      <c r="O44" s="108">
        <v>0.96250000000000002</v>
      </c>
      <c r="P44" s="108">
        <v>0.35416666666666669</v>
      </c>
      <c r="Q44" s="108">
        <v>0.95763888888888893</v>
      </c>
      <c r="R44" s="108">
        <v>0.34930555555555554</v>
      </c>
      <c r="S44" s="108">
        <v>0.96527777777777779</v>
      </c>
      <c r="T44" s="110">
        <v>0.57986111111111105</v>
      </c>
      <c r="U44" s="110">
        <v>0.95138888888888884</v>
      </c>
      <c r="V44" s="108">
        <v>0.34930555555555554</v>
      </c>
      <c r="W44" s="108">
        <v>0.95972222222222225</v>
      </c>
      <c r="X44" s="108">
        <v>0.35069444444444442</v>
      </c>
      <c r="Y44" s="108">
        <v>0.9590277777777777</v>
      </c>
      <c r="Z44" s="108">
        <v>0.34791666666666665</v>
      </c>
      <c r="AA44" s="119">
        <v>1</v>
      </c>
      <c r="AB44" s="108">
        <v>0.34791666666666665</v>
      </c>
      <c r="AC44" s="108">
        <v>0.94930555555555562</v>
      </c>
      <c r="AD44" s="108">
        <v>0.34930555555555554</v>
      </c>
      <c r="AE44" s="108">
        <v>0.95763888888888893</v>
      </c>
      <c r="AF44" s="108">
        <v>0.34930555555555554</v>
      </c>
      <c r="AG44" s="108">
        <v>0.96180555555555547</v>
      </c>
      <c r="AH44" s="60"/>
      <c r="AI44" s="77">
        <v>26</v>
      </c>
      <c r="AJ44" s="120" t="s">
        <v>15</v>
      </c>
      <c r="AK44" s="120" t="s">
        <v>15</v>
      </c>
      <c r="AL44" s="108">
        <v>0.35069444444444442</v>
      </c>
      <c r="AM44" s="108">
        <v>0.96597222222222223</v>
      </c>
      <c r="AN44" s="108">
        <v>0.34722222222222227</v>
      </c>
      <c r="AO44" s="108">
        <v>0.97152777777777777</v>
      </c>
      <c r="AP44" s="108">
        <v>0.34652777777777777</v>
      </c>
      <c r="AQ44" s="108">
        <v>0.95486111111111116</v>
      </c>
      <c r="AR44" s="108">
        <v>0.34513888888888888</v>
      </c>
      <c r="AS44" s="108">
        <v>0.95833333333333337</v>
      </c>
      <c r="AT44" s="108">
        <v>0.35069444444444442</v>
      </c>
      <c r="AU44" s="108">
        <v>0.95833333333333337</v>
      </c>
      <c r="AV44" s="108">
        <v>0.35069444444444442</v>
      </c>
      <c r="AW44" s="108">
        <v>0.96805555555555556</v>
      </c>
      <c r="AX44" s="110">
        <v>0.57986111111111105</v>
      </c>
      <c r="AY44" s="110">
        <v>0.94861111111111107</v>
      </c>
      <c r="AZ44" s="108">
        <v>0.35069444444444442</v>
      </c>
      <c r="BA44" s="108">
        <v>0.9590277777777777</v>
      </c>
      <c r="BB44" s="108">
        <v>0.3527777777777778</v>
      </c>
      <c r="BC44" s="108">
        <v>0.9604166666666667</v>
      </c>
      <c r="BD44" s="108">
        <v>0.3527777777777778</v>
      </c>
      <c r="BE44" s="108">
        <v>0.96111111111111114</v>
      </c>
      <c r="BF44" s="108">
        <v>0.35000000000000003</v>
      </c>
      <c r="BG44" s="108">
        <v>0.96180555555555547</v>
      </c>
      <c r="BH44" s="108">
        <v>0.34861111111111115</v>
      </c>
      <c r="BI44" s="108">
        <v>0.95347222222222217</v>
      </c>
      <c r="BJ44" s="108">
        <v>0.34930555555555554</v>
      </c>
      <c r="BK44" s="108">
        <v>0.96666666666666667</v>
      </c>
      <c r="BL44" s="120" t="s">
        <v>15</v>
      </c>
      <c r="BM44" s="120" t="s">
        <v>15</v>
      </c>
      <c r="BN44" s="108">
        <v>0.34930555555555554</v>
      </c>
      <c r="BO44" s="108">
        <v>0.97013888888888899</v>
      </c>
      <c r="BP44" s="12">
        <f t="shared" si="27"/>
        <v>31</v>
      </c>
      <c r="BQ44" s="118">
        <v>2</v>
      </c>
      <c r="BR44" s="2">
        <f t="shared" si="28"/>
        <v>28</v>
      </c>
      <c r="BS44" s="3">
        <f t="shared" si="29"/>
        <v>3</v>
      </c>
      <c r="BT44" s="3">
        <f t="shared" si="30"/>
        <v>0</v>
      </c>
      <c r="BU44" s="3">
        <f t="shared" si="31"/>
        <v>0</v>
      </c>
      <c r="BV44" s="3">
        <f t="shared" si="32"/>
        <v>0</v>
      </c>
      <c r="BW44" s="3">
        <f t="shared" si="33"/>
        <v>0</v>
      </c>
      <c r="BX44" s="3">
        <f t="shared" si="34"/>
        <v>0</v>
      </c>
      <c r="BY44" s="3">
        <f t="shared" si="35"/>
        <v>0</v>
      </c>
      <c r="BZ44" s="3">
        <f t="shared" si="36"/>
        <v>0</v>
      </c>
      <c r="CA44" s="3">
        <f t="shared" si="37"/>
        <v>0</v>
      </c>
      <c r="CB44" s="3">
        <f t="shared" si="38"/>
        <v>0</v>
      </c>
      <c r="CC44" s="3">
        <f t="shared" si="39"/>
        <v>0</v>
      </c>
      <c r="CD44" s="4"/>
      <c r="CH44" s="90">
        <v>0</v>
      </c>
      <c r="CI44" s="90">
        <v>0</v>
      </c>
      <c r="CJ44" s="90">
        <v>60</v>
      </c>
      <c r="CK44" s="90">
        <v>0</v>
      </c>
      <c r="CL44" s="90">
        <v>0</v>
      </c>
      <c r="CM44" s="90">
        <v>0</v>
      </c>
      <c r="CN44" s="90">
        <v>0</v>
      </c>
      <c r="CO44" s="90">
        <v>0</v>
      </c>
      <c r="CP44" s="90">
        <v>11</v>
      </c>
      <c r="CQ44" s="90">
        <v>0</v>
      </c>
      <c r="CR44" s="92">
        <f>SUM(CH44:CQ44)</f>
        <v>71</v>
      </c>
    </row>
    <row r="45" spans="1:96" ht="21.75" customHeight="1" x14ac:dyDescent="0.25">
      <c r="A45" s="55">
        <v>27</v>
      </c>
      <c r="B45" s="20" t="s">
        <v>233</v>
      </c>
      <c r="C45" s="112" t="s">
        <v>234</v>
      </c>
      <c r="D45" s="108">
        <v>0.34930555555555554</v>
      </c>
      <c r="E45" s="108">
        <v>0.96527777777777779</v>
      </c>
      <c r="F45" s="120" t="s">
        <v>15</v>
      </c>
      <c r="G45" s="120" t="s">
        <v>15</v>
      </c>
      <c r="H45" s="108">
        <v>0.34861111111111115</v>
      </c>
      <c r="I45" s="108">
        <v>0.97013888888888899</v>
      </c>
      <c r="J45" s="108">
        <v>0.34930555555555554</v>
      </c>
      <c r="K45" s="108">
        <v>0.98125000000000007</v>
      </c>
      <c r="L45" s="108">
        <v>0.34930555555555554</v>
      </c>
      <c r="M45" s="108">
        <v>0.9916666666666667</v>
      </c>
      <c r="N45" s="108">
        <v>0.34097222222222223</v>
      </c>
      <c r="O45" s="108">
        <v>0.34097222222222223</v>
      </c>
      <c r="P45" s="108">
        <v>0.34583333333333338</v>
      </c>
      <c r="Q45" s="108">
        <v>0.96597222222222223</v>
      </c>
      <c r="R45" s="108">
        <v>0.3444444444444445</v>
      </c>
      <c r="S45" s="108">
        <v>0.97083333333333333</v>
      </c>
      <c r="T45" s="110">
        <v>0.57847222222222217</v>
      </c>
      <c r="U45" s="110">
        <v>0.93472222222222223</v>
      </c>
      <c r="V45" s="108">
        <v>0.34791666666666665</v>
      </c>
      <c r="W45" s="108">
        <v>0.99305555555555547</v>
      </c>
      <c r="X45" s="108">
        <v>0.34652777777777777</v>
      </c>
      <c r="Y45" s="108">
        <v>0.95000000000000007</v>
      </c>
      <c r="Z45" s="108">
        <v>0.34652777777777777</v>
      </c>
      <c r="AA45" s="108">
        <v>0.94861111111111107</v>
      </c>
      <c r="AB45" s="108">
        <v>0.34722222222222227</v>
      </c>
      <c r="AC45" s="108">
        <v>0.94513888888888886</v>
      </c>
      <c r="AD45" s="108">
        <v>0.34652777777777777</v>
      </c>
      <c r="AE45" s="108">
        <v>0.98333333333333339</v>
      </c>
      <c r="AF45" s="108">
        <v>0.34791666666666665</v>
      </c>
      <c r="AG45" s="108">
        <v>0.9555555555555556</v>
      </c>
      <c r="AH45" s="60"/>
      <c r="AI45" s="77">
        <v>27</v>
      </c>
      <c r="AJ45" s="120" t="s">
        <v>15</v>
      </c>
      <c r="AK45" s="120" t="s">
        <v>15</v>
      </c>
      <c r="AL45" s="108">
        <v>0.34722222222222227</v>
      </c>
      <c r="AM45" s="108">
        <v>0.96319444444444446</v>
      </c>
      <c r="AN45" s="108">
        <v>0.34722222222222227</v>
      </c>
      <c r="AO45" s="108">
        <v>0.97638888888888886</v>
      </c>
      <c r="AP45" s="108">
        <v>0.34791666666666665</v>
      </c>
      <c r="AQ45" s="108">
        <v>0.96805555555555556</v>
      </c>
      <c r="AR45" s="108">
        <v>0.35000000000000003</v>
      </c>
      <c r="AS45" s="108">
        <v>0.96875</v>
      </c>
      <c r="AT45" s="108">
        <v>0.34861111111111115</v>
      </c>
      <c r="AU45" s="108">
        <v>0.95000000000000007</v>
      </c>
      <c r="AV45" s="108">
        <v>0.35000000000000003</v>
      </c>
      <c r="AW45" s="108">
        <v>0.99097222222222225</v>
      </c>
      <c r="AX45" s="110">
        <v>0.57847222222222217</v>
      </c>
      <c r="AY45" s="110">
        <v>0.94930555555555562</v>
      </c>
      <c r="AZ45" s="108">
        <v>0.34652777777777777</v>
      </c>
      <c r="BA45" s="108">
        <v>0.34652777777777777</v>
      </c>
      <c r="BB45" s="108">
        <v>0.34791666666666665</v>
      </c>
      <c r="BC45" s="108">
        <v>0.96597222222222223</v>
      </c>
      <c r="BD45" s="108">
        <v>0.34861111111111115</v>
      </c>
      <c r="BE45" s="108">
        <v>0.95486111111111116</v>
      </c>
      <c r="BF45" s="108">
        <v>0.35069444444444442</v>
      </c>
      <c r="BG45" s="108">
        <v>0.94791666666666663</v>
      </c>
      <c r="BH45" s="108">
        <v>0.34791666666666665</v>
      </c>
      <c r="BI45" s="108">
        <v>0.97430555555555554</v>
      </c>
      <c r="BJ45" s="108">
        <v>0.34861111111111115</v>
      </c>
      <c r="BK45" s="108">
        <v>0.98749999999999993</v>
      </c>
      <c r="BL45" s="120" t="s">
        <v>15</v>
      </c>
      <c r="BM45" s="120" t="s">
        <v>15</v>
      </c>
      <c r="BN45" s="108">
        <v>0.34652777777777777</v>
      </c>
      <c r="BO45" s="108">
        <v>0.96597222222222223</v>
      </c>
      <c r="BP45" s="12">
        <f t="shared" si="27"/>
        <v>31</v>
      </c>
      <c r="BQ45" s="118">
        <v>2</v>
      </c>
      <c r="BR45" s="2">
        <f t="shared" si="28"/>
        <v>28</v>
      </c>
      <c r="BS45" s="3">
        <f t="shared" si="29"/>
        <v>3</v>
      </c>
      <c r="BT45" s="3">
        <f t="shared" si="30"/>
        <v>0</v>
      </c>
      <c r="BU45" s="3">
        <f t="shared" si="31"/>
        <v>0</v>
      </c>
      <c r="BV45" s="3">
        <f t="shared" si="32"/>
        <v>0</v>
      </c>
      <c r="BW45" s="3">
        <f t="shared" si="33"/>
        <v>0</v>
      </c>
      <c r="BX45" s="3">
        <f t="shared" si="34"/>
        <v>0</v>
      </c>
      <c r="BY45" s="3">
        <f t="shared" si="35"/>
        <v>0</v>
      </c>
      <c r="BZ45" s="3">
        <f t="shared" si="36"/>
        <v>0</v>
      </c>
      <c r="CA45" s="3">
        <f t="shared" si="37"/>
        <v>0</v>
      </c>
      <c r="CB45" s="3">
        <f t="shared" si="38"/>
        <v>0</v>
      </c>
      <c r="CC45" s="3">
        <f t="shared" si="39"/>
        <v>0</v>
      </c>
      <c r="CD45" s="4"/>
      <c r="CH45" s="90">
        <v>0</v>
      </c>
      <c r="CI45" s="90">
        <v>0</v>
      </c>
      <c r="CJ45" s="91">
        <v>4</v>
      </c>
      <c r="CK45" s="90">
        <v>0</v>
      </c>
      <c r="CL45" s="90">
        <v>0</v>
      </c>
      <c r="CM45" s="91">
        <v>11</v>
      </c>
      <c r="CN45" s="90">
        <v>0</v>
      </c>
      <c r="CO45" s="91">
        <v>2</v>
      </c>
      <c r="CP45" s="90">
        <v>0</v>
      </c>
      <c r="CQ45" s="90">
        <v>0</v>
      </c>
      <c r="CR45" s="92">
        <f t="shared" ref="CR45:CR104" si="41">SUM(CH45:CQ45)</f>
        <v>17</v>
      </c>
    </row>
    <row r="46" spans="1:96" ht="21.75" customHeight="1" x14ac:dyDescent="0.25">
      <c r="A46" s="55">
        <v>28</v>
      </c>
      <c r="B46" s="20" t="s">
        <v>99</v>
      </c>
      <c r="C46" s="9" t="s">
        <v>100</v>
      </c>
      <c r="D46" s="108">
        <v>0.3520833333333333</v>
      </c>
      <c r="E46" s="108">
        <v>0.3520833333333333</v>
      </c>
      <c r="F46" s="120" t="s">
        <v>15</v>
      </c>
      <c r="G46" s="120" t="s">
        <v>15</v>
      </c>
      <c r="H46" s="108">
        <v>0.34930555555555554</v>
      </c>
      <c r="I46" s="108">
        <v>0.97222222222222221</v>
      </c>
      <c r="J46" s="108">
        <v>0.35069444444444442</v>
      </c>
      <c r="K46" s="108">
        <v>0.35069444444444442</v>
      </c>
      <c r="L46" s="108">
        <v>0.35069444444444442</v>
      </c>
      <c r="M46" s="108">
        <v>0.35069444444444442</v>
      </c>
      <c r="N46" s="108" t="s">
        <v>202</v>
      </c>
      <c r="O46" s="108" t="s">
        <v>202</v>
      </c>
      <c r="P46" s="108">
        <v>0.35069444444444442</v>
      </c>
      <c r="Q46" s="108">
        <v>0.35069444444444442</v>
      </c>
      <c r="R46" s="108">
        <v>0.35138888888888892</v>
      </c>
      <c r="S46" s="108">
        <v>0.35138888888888892</v>
      </c>
      <c r="T46" s="110">
        <v>0.66875000000000007</v>
      </c>
      <c r="U46" s="110">
        <v>0.9277777777777777</v>
      </c>
      <c r="V46" s="108">
        <v>0.34930555555555554</v>
      </c>
      <c r="W46" s="108">
        <v>1</v>
      </c>
      <c r="X46" s="108">
        <v>0.34930555555555554</v>
      </c>
      <c r="Y46" s="108">
        <v>1</v>
      </c>
      <c r="Z46" s="108">
        <v>0.35000000000000003</v>
      </c>
      <c r="AA46" s="108">
        <v>0.4291666666666667</v>
      </c>
      <c r="AB46" s="108">
        <v>0.3520833333333333</v>
      </c>
      <c r="AC46" s="108">
        <v>0.3520833333333333</v>
      </c>
      <c r="AD46" s="108">
        <v>0.35000000000000003</v>
      </c>
      <c r="AE46" s="108">
        <v>0.35000000000000003</v>
      </c>
      <c r="AF46" s="108">
        <v>0.35069444444444442</v>
      </c>
      <c r="AG46" s="108">
        <v>0.96180555555555547</v>
      </c>
      <c r="AH46" s="60"/>
      <c r="AI46" s="77">
        <v>28</v>
      </c>
      <c r="AJ46" s="120" t="s">
        <v>15</v>
      </c>
      <c r="AK46" s="120" t="s">
        <v>15</v>
      </c>
      <c r="AL46" s="108">
        <v>0.34930555555555554</v>
      </c>
      <c r="AM46" s="108">
        <v>0.34930555555555554</v>
      </c>
      <c r="AN46" s="108">
        <v>0.34791666666666665</v>
      </c>
      <c r="AO46" s="108">
        <v>0.9784722222222223</v>
      </c>
      <c r="AP46" s="108">
        <v>0.35069444444444442</v>
      </c>
      <c r="AQ46" s="108">
        <v>0.97638888888888886</v>
      </c>
      <c r="AR46" s="108">
        <v>0.35069444444444442</v>
      </c>
      <c r="AS46" s="108">
        <v>0.97222222222222221</v>
      </c>
      <c r="AT46" s="108">
        <v>0.34930555555555554</v>
      </c>
      <c r="AU46" s="108">
        <v>0.95763888888888893</v>
      </c>
      <c r="AV46" s="108">
        <v>0.35069444444444442</v>
      </c>
      <c r="AW46" s="108">
        <v>0.99236111111111114</v>
      </c>
      <c r="AX46" s="110">
        <v>0.57986111111111105</v>
      </c>
      <c r="AY46" s="110">
        <v>0.9458333333333333</v>
      </c>
      <c r="AZ46" s="108">
        <v>0.35069444444444442</v>
      </c>
      <c r="BA46" s="108">
        <v>0.35069444444444442</v>
      </c>
      <c r="BB46" s="108">
        <v>0.35069444444444442</v>
      </c>
      <c r="BC46" s="108">
        <v>0.97430555555555554</v>
      </c>
      <c r="BD46" s="108">
        <v>0.35138888888888892</v>
      </c>
      <c r="BE46" s="108">
        <v>0.94930555555555562</v>
      </c>
      <c r="BF46" s="108">
        <v>0.35069444444444442</v>
      </c>
      <c r="BG46" s="108">
        <v>0.94791666666666663</v>
      </c>
      <c r="BH46" s="108">
        <v>0.35000000000000003</v>
      </c>
      <c r="BI46" s="108">
        <v>5.5555555555555558E-3</v>
      </c>
      <c r="BJ46" s="108">
        <v>0.35069444444444442</v>
      </c>
      <c r="BK46" s="108">
        <v>0.35069444444444442</v>
      </c>
      <c r="BL46" s="120" t="s">
        <v>15</v>
      </c>
      <c r="BM46" s="120" t="s">
        <v>15</v>
      </c>
      <c r="BN46" s="108">
        <v>0.35138888888888892</v>
      </c>
      <c r="BO46" s="119">
        <v>1</v>
      </c>
      <c r="BP46" s="12">
        <f t="shared" si="27"/>
        <v>31</v>
      </c>
      <c r="BQ46" s="118">
        <v>2</v>
      </c>
      <c r="BR46" s="2">
        <f t="shared" si="28"/>
        <v>27</v>
      </c>
      <c r="BS46" s="3">
        <f t="shared" si="29"/>
        <v>3</v>
      </c>
      <c r="BT46" s="3">
        <f t="shared" si="30"/>
        <v>0</v>
      </c>
      <c r="BU46" s="3">
        <f t="shared" si="31"/>
        <v>0</v>
      </c>
      <c r="BV46" s="3">
        <f t="shared" si="32"/>
        <v>0</v>
      </c>
      <c r="BW46" s="3">
        <f t="shared" si="33"/>
        <v>0</v>
      </c>
      <c r="BX46" s="3">
        <f t="shared" si="34"/>
        <v>0</v>
      </c>
      <c r="BY46" s="3">
        <f t="shared" si="35"/>
        <v>1</v>
      </c>
      <c r="BZ46" s="3">
        <f t="shared" si="36"/>
        <v>0</v>
      </c>
      <c r="CA46" s="3">
        <f t="shared" si="37"/>
        <v>0</v>
      </c>
      <c r="CB46" s="3">
        <f t="shared" si="38"/>
        <v>0</v>
      </c>
      <c r="CC46" s="3">
        <f t="shared" si="39"/>
        <v>0</v>
      </c>
      <c r="CD46" s="4"/>
      <c r="CH46" s="90">
        <v>0</v>
      </c>
      <c r="CI46" s="90">
        <v>0</v>
      </c>
      <c r="CJ46" s="90">
        <v>0</v>
      </c>
      <c r="CK46" s="90">
        <v>0</v>
      </c>
      <c r="CL46" s="90">
        <v>0</v>
      </c>
      <c r="CM46" s="91">
        <v>5</v>
      </c>
      <c r="CN46" s="90">
        <v>0</v>
      </c>
      <c r="CO46" s="90">
        <v>0</v>
      </c>
      <c r="CP46" s="90">
        <v>0</v>
      </c>
      <c r="CQ46" s="90">
        <v>0</v>
      </c>
      <c r="CR46" s="92">
        <f t="shared" si="41"/>
        <v>5</v>
      </c>
    </row>
    <row r="47" spans="1:96" ht="21.75" customHeight="1" x14ac:dyDescent="0.25">
      <c r="A47" s="55">
        <v>29</v>
      </c>
      <c r="B47" s="20" t="s">
        <v>101</v>
      </c>
      <c r="C47" s="9" t="s">
        <v>102</v>
      </c>
      <c r="D47" s="108">
        <v>0.35555555555555557</v>
      </c>
      <c r="E47" s="108">
        <v>0.94513888888888886</v>
      </c>
      <c r="F47" s="110">
        <v>0.58333333333333337</v>
      </c>
      <c r="G47" s="110">
        <v>0.88680555555555562</v>
      </c>
      <c r="H47" s="108">
        <v>0.3527777777777778</v>
      </c>
      <c r="I47" s="108">
        <v>0.96736111111111101</v>
      </c>
      <c r="J47" s="108">
        <v>0.35347222222222219</v>
      </c>
      <c r="K47" s="108" t="s">
        <v>72</v>
      </c>
      <c r="L47" s="108">
        <v>0.35416666666666669</v>
      </c>
      <c r="M47" s="108">
        <v>0.91805555555555562</v>
      </c>
      <c r="N47" s="108">
        <v>0.3527777777777778</v>
      </c>
      <c r="O47" s="108">
        <v>0.91805555555555562</v>
      </c>
      <c r="P47" s="108">
        <v>0.3527777777777778</v>
      </c>
      <c r="Q47" s="108">
        <v>0.95833333333333337</v>
      </c>
      <c r="R47" s="108">
        <v>0.35555555555555557</v>
      </c>
      <c r="S47" s="108">
        <v>0.97777777777777775</v>
      </c>
      <c r="T47" s="120" t="s">
        <v>15</v>
      </c>
      <c r="U47" s="120" t="s">
        <v>15</v>
      </c>
      <c r="V47" s="108">
        <v>0.44305555555555554</v>
      </c>
      <c r="W47" s="108">
        <v>0.96319444444444446</v>
      </c>
      <c r="X47" s="108">
        <v>0.3520833333333333</v>
      </c>
      <c r="Y47" s="108">
        <v>0.89722222222222225</v>
      </c>
      <c r="Z47" s="108">
        <v>0.3520833333333333</v>
      </c>
      <c r="AA47" s="108">
        <v>0.91041666666666676</v>
      </c>
      <c r="AB47" s="108">
        <v>0.35347222222222219</v>
      </c>
      <c r="AC47" s="108">
        <v>0.94930555555555562</v>
      </c>
      <c r="AD47" s="108">
        <v>0.3520833333333333</v>
      </c>
      <c r="AE47" s="108">
        <v>0.93611111111111101</v>
      </c>
      <c r="AF47" s="108">
        <v>0.35347222222222219</v>
      </c>
      <c r="AG47" s="108">
        <v>0.9472222222222223</v>
      </c>
      <c r="AH47" s="60"/>
      <c r="AI47" s="77">
        <v>29</v>
      </c>
      <c r="AJ47" s="110">
        <v>0.56180555555555556</v>
      </c>
      <c r="AK47" s="110">
        <v>0.92291666666666661</v>
      </c>
      <c r="AL47" s="108">
        <v>0.35625000000000001</v>
      </c>
      <c r="AM47" s="108">
        <v>0.90277777777777779</v>
      </c>
      <c r="AN47" s="108">
        <v>0.35347222222222219</v>
      </c>
      <c r="AO47" s="108">
        <v>0.92569444444444438</v>
      </c>
      <c r="AP47" s="108">
        <v>0.35138888888888892</v>
      </c>
      <c r="AQ47" s="108">
        <v>0.92986111111111114</v>
      </c>
      <c r="AR47" s="108">
        <v>0.35347222222222219</v>
      </c>
      <c r="AS47" s="108">
        <v>0.91736111111111107</v>
      </c>
      <c r="AT47" s="108">
        <v>0.35138888888888892</v>
      </c>
      <c r="AU47" s="108">
        <v>0.93680555555555556</v>
      </c>
      <c r="AV47" s="108">
        <v>0.35347222222222219</v>
      </c>
      <c r="AW47" s="108">
        <v>0.9291666666666667</v>
      </c>
      <c r="AX47" s="120" t="s">
        <v>15</v>
      </c>
      <c r="AY47" s="120" t="s">
        <v>15</v>
      </c>
      <c r="AZ47" s="108">
        <v>0.3520833333333333</v>
      </c>
      <c r="BA47" s="108">
        <v>0.91041666666666676</v>
      </c>
      <c r="BB47" s="108">
        <v>0.35347222222222219</v>
      </c>
      <c r="BC47" s="108">
        <v>0.91666666666666663</v>
      </c>
      <c r="BD47" s="108">
        <v>0.3527777777777778</v>
      </c>
      <c r="BE47" s="108">
        <v>0.8965277777777777</v>
      </c>
      <c r="BF47" s="108">
        <v>0.3527777777777778</v>
      </c>
      <c r="BG47" s="108">
        <v>0.91666666666666663</v>
      </c>
      <c r="BH47" s="108">
        <v>0.34861111111111115</v>
      </c>
      <c r="BI47" s="108">
        <v>0.91666666666666663</v>
      </c>
      <c r="BJ47" s="108">
        <v>0.35138888888888892</v>
      </c>
      <c r="BK47" s="108">
        <v>0.96666666666666667</v>
      </c>
      <c r="BL47" s="110">
        <v>0.58263888888888882</v>
      </c>
      <c r="BM47" s="110">
        <v>0.87708333333333333</v>
      </c>
      <c r="BN47" s="108">
        <v>0.35347222222222219</v>
      </c>
      <c r="BO47" s="108">
        <v>0.8979166666666667</v>
      </c>
      <c r="BP47" s="12">
        <f t="shared" si="27"/>
        <v>30.5</v>
      </c>
      <c r="BQ47" s="118">
        <v>3</v>
      </c>
      <c r="BR47" s="2">
        <f t="shared" si="28"/>
        <v>28.5</v>
      </c>
      <c r="BS47" s="3">
        <f t="shared" si="29"/>
        <v>2</v>
      </c>
      <c r="BT47" s="3">
        <f t="shared" si="30"/>
        <v>0</v>
      </c>
      <c r="BU47" s="3">
        <f t="shared" si="31"/>
        <v>0</v>
      </c>
      <c r="BV47" s="3">
        <f t="shared" si="32"/>
        <v>0</v>
      </c>
      <c r="BW47" s="3">
        <f t="shared" si="33"/>
        <v>0</v>
      </c>
      <c r="BX47" s="3">
        <f t="shared" si="34"/>
        <v>0</v>
      </c>
      <c r="BY47" s="3">
        <f t="shared" si="35"/>
        <v>0</v>
      </c>
      <c r="BZ47" s="3">
        <f t="shared" si="36"/>
        <v>0</v>
      </c>
      <c r="CA47" s="3">
        <f t="shared" si="37"/>
        <v>0</v>
      </c>
      <c r="CB47" s="3">
        <f t="shared" si="38"/>
        <v>0</v>
      </c>
      <c r="CC47" s="3">
        <f t="shared" si="39"/>
        <v>0</v>
      </c>
      <c r="CD47" s="4"/>
      <c r="CH47" s="90">
        <v>0</v>
      </c>
      <c r="CI47" s="90">
        <v>0</v>
      </c>
      <c r="CJ47" s="90">
        <v>0</v>
      </c>
      <c r="CK47" s="90">
        <v>0</v>
      </c>
      <c r="CL47" s="90">
        <v>0</v>
      </c>
      <c r="CM47" s="91">
        <v>1</v>
      </c>
      <c r="CN47" s="90">
        <v>0</v>
      </c>
      <c r="CO47" s="91">
        <v>19</v>
      </c>
      <c r="CP47" s="90">
        <v>0</v>
      </c>
      <c r="CQ47" s="90">
        <v>0</v>
      </c>
      <c r="CR47" s="92">
        <f t="shared" si="41"/>
        <v>20</v>
      </c>
    </row>
    <row r="48" spans="1:96" ht="23.25" customHeight="1" x14ac:dyDescent="0.25">
      <c r="A48" s="55">
        <v>30</v>
      </c>
      <c r="B48" s="20" t="s">
        <v>103</v>
      </c>
      <c r="C48" s="9" t="s">
        <v>104</v>
      </c>
      <c r="D48" s="75" t="s">
        <v>18</v>
      </c>
      <c r="E48" s="75" t="s">
        <v>18</v>
      </c>
      <c r="F48" s="75" t="s">
        <v>18</v>
      </c>
      <c r="G48" s="75" t="s">
        <v>18</v>
      </c>
      <c r="H48" s="75" t="s">
        <v>18</v>
      </c>
      <c r="I48" s="75" t="s">
        <v>18</v>
      </c>
      <c r="J48" s="75" t="s">
        <v>18</v>
      </c>
      <c r="K48" s="75" t="s">
        <v>18</v>
      </c>
      <c r="L48" s="75" t="s">
        <v>18</v>
      </c>
      <c r="M48" s="75" t="s">
        <v>18</v>
      </c>
      <c r="N48" s="75" t="s">
        <v>18</v>
      </c>
      <c r="O48" s="75" t="s">
        <v>18</v>
      </c>
      <c r="P48" s="75" t="s">
        <v>18</v>
      </c>
      <c r="Q48" s="75" t="s">
        <v>18</v>
      </c>
      <c r="R48" s="75" t="s">
        <v>18</v>
      </c>
      <c r="S48" s="75" t="s">
        <v>18</v>
      </c>
      <c r="T48" s="75" t="s">
        <v>18</v>
      </c>
      <c r="U48" s="75" t="s">
        <v>18</v>
      </c>
      <c r="V48" s="75" t="s">
        <v>18</v>
      </c>
      <c r="W48" s="75" t="s">
        <v>18</v>
      </c>
      <c r="X48" s="75" t="s">
        <v>18</v>
      </c>
      <c r="Y48" s="75" t="s">
        <v>18</v>
      </c>
      <c r="Z48" s="75" t="s">
        <v>18</v>
      </c>
      <c r="AA48" s="75" t="s">
        <v>18</v>
      </c>
      <c r="AB48" s="75" t="s">
        <v>18</v>
      </c>
      <c r="AC48" s="75" t="s">
        <v>18</v>
      </c>
      <c r="AD48" s="75" t="s">
        <v>18</v>
      </c>
      <c r="AE48" s="75" t="s">
        <v>18</v>
      </c>
      <c r="AF48" s="75" t="s">
        <v>18</v>
      </c>
      <c r="AG48" s="75" t="s">
        <v>18</v>
      </c>
      <c r="AH48" s="60"/>
      <c r="AI48" s="77">
        <v>30</v>
      </c>
      <c r="AJ48" s="108" t="s">
        <v>18</v>
      </c>
      <c r="AK48" s="108" t="s">
        <v>18</v>
      </c>
      <c r="AL48" s="108" t="s">
        <v>18</v>
      </c>
      <c r="AM48" s="108" t="s">
        <v>18</v>
      </c>
      <c r="AN48" s="108" t="s">
        <v>18</v>
      </c>
      <c r="AO48" s="108" t="s">
        <v>18</v>
      </c>
      <c r="AP48" s="108" t="s">
        <v>18</v>
      </c>
      <c r="AQ48" s="108" t="s">
        <v>18</v>
      </c>
      <c r="AR48" s="108" t="s">
        <v>18</v>
      </c>
      <c r="AS48" s="108" t="s">
        <v>18</v>
      </c>
      <c r="AT48" s="108">
        <v>0.3298611111111111</v>
      </c>
      <c r="AU48" s="108">
        <v>0.9506944444444444</v>
      </c>
      <c r="AV48" s="108">
        <v>0.32847222222222222</v>
      </c>
      <c r="AW48" s="108">
        <v>0.9916666666666667</v>
      </c>
      <c r="AX48" s="110">
        <v>0.5805555555555556</v>
      </c>
      <c r="AY48" s="110">
        <v>0.92708333333333337</v>
      </c>
      <c r="AZ48" s="108">
        <v>0.34513888888888888</v>
      </c>
      <c r="BA48" s="108">
        <v>0.99236111111111114</v>
      </c>
      <c r="BB48" s="108">
        <v>0.33958333333333335</v>
      </c>
      <c r="BC48" s="108">
        <v>0.95972222222222225</v>
      </c>
      <c r="BD48" s="108">
        <v>0.34166666666666662</v>
      </c>
      <c r="BE48" s="108">
        <v>0.94652777777777775</v>
      </c>
      <c r="BF48" s="108">
        <v>0.34166666666666662</v>
      </c>
      <c r="BG48" s="108">
        <v>0.9194444444444444</v>
      </c>
      <c r="BH48" s="108">
        <v>0.34236111111111112</v>
      </c>
      <c r="BI48" s="108">
        <v>6.9444444444444441E-3</v>
      </c>
      <c r="BJ48" s="108">
        <v>0.33819444444444446</v>
      </c>
      <c r="BK48" s="119">
        <v>1</v>
      </c>
      <c r="BL48" s="120" t="s">
        <v>15</v>
      </c>
      <c r="BM48" s="120" t="s">
        <v>15</v>
      </c>
      <c r="BN48" s="108">
        <v>0.32430555555555557</v>
      </c>
      <c r="BO48" s="108">
        <v>0.95416666666666661</v>
      </c>
      <c r="BP48" s="12">
        <f>BR48+BS48+BU48+BZ48+BX48+BY48+CC48</f>
        <v>11</v>
      </c>
      <c r="BQ48" s="118">
        <v>1</v>
      </c>
      <c r="BR48" s="2">
        <f t="shared" si="28"/>
        <v>10</v>
      </c>
      <c r="BS48" s="3">
        <f t="shared" si="29"/>
        <v>1</v>
      </c>
      <c r="BT48" s="3">
        <f t="shared" si="30"/>
        <v>0</v>
      </c>
      <c r="BU48" s="3">
        <f t="shared" si="31"/>
        <v>0</v>
      </c>
      <c r="BV48" s="3">
        <f t="shared" si="32"/>
        <v>20</v>
      </c>
      <c r="BW48" s="3">
        <f t="shared" si="33"/>
        <v>0</v>
      </c>
      <c r="BX48" s="3">
        <f t="shared" si="34"/>
        <v>0</v>
      </c>
      <c r="BY48" s="3">
        <f t="shared" si="35"/>
        <v>0</v>
      </c>
      <c r="BZ48" s="3">
        <f t="shared" si="36"/>
        <v>0</v>
      </c>
      <c r="CA48" s="3">
        <f t="shared" si="37"/>
        <v>0</v>
      </c>
      <c r="CB48" s="3">
        <f t="shared" si="38"/>
        <v>0</v>
      </c>
      <c r="CC48" s="3">
        <f t="shared" si="39"/>
        <v>0</v>
      </c>
      <c r="CD48" s="4"/>
      <c r="CH48" s="90">
        <v>0</v>
      </c>
      <c r="CI48" s="90">
        <v>0</v>
      </c>
      <c r="CJ48" s="91">
        <v>80</v>
      </c>
      <c r="CK48" s="90">
        <v>0</v>
      </c>
      <c r="CL48" s="90">
        <v>0</v>
      </c>
      <c r="CM48" s="91">
        <v>11</v>
      </c>
      <c r="CN48" s="90">
        <v>0</v>
      </c>
      <c r="CO48" s="90">
        <v>0</v>
      </c>
      <c r="CP48" s="90">
        <v>0</v>
      </c>
      <c r="CQ48" s="90">
        <v>0</v>
      </c>
      <c r="CR48" s="92">
        <f t="shared" si="41"/>
        <v>91</v>
      </c>
    </row>
    <row r="49" spans="1:96" ht="21.75" customHeight="1" x14ac:dyDescent="0.25">
      <c r="A49" s="55">
        <v>31</v>
      </c>
      <c r="B49" s="20" t="s">
        <v>105</v>
      </c>
      <c r="C49" s="9" t="s">
        <v>106</v>
      </c>
      <c r="D49" s="108">
        <v>0.33888888888888885</v>
      </c>
      <c r="E49" s="119">
        <v>1</v>
      </c>
      <c r="F49" s="110">
        <v>0.55902777777777779</v>
      </c>
      <c r="G49" s="110">
        <v>0.97083333333333333</v>
      </c>
      <c r="H49" s="108">
        <v>0.3527777777777778</v>
      </c>
      <c r="I49" s="108">
        <v>0.97291666666666676</v>
      </c>
      <c r="J49" s="108">
        <v>0.3527777777777778</v>
      </c>
      <c r="K49" s="108">
        <v>0.97499999999999998</v>
      </c>
      <c r="L49" s="108">
        <v>0.35069444444444442</v>
      </c>
      <c r="M49" s="108">
        <v>0.94374999999999998</v>
      </c>
      <c r="N49" s="108">
        <v>0.34791666666666665</v>
      </c>
      <c r="O49" s="119">
        <v>1</v>
      </c>
      <c r="P49" s="108">
        <v>0.3756944444444445</v>
      </c>
      <c r="Q49" s="119">
        <v>1</v>
      </c>
      <c r="R49" s="108">
        <v>0.37986111111111115</v>
      </c>
      <c r="S49" s="119">
        <v>1</v>
      </c>
      <c r="T49" s="110">
        <v>0.56180555555555556</v>
      </c>
      <c r="U49" s="120">
        <v>1</v>
      </c>
      <c r="V49" s="108">
        <v>0.3833333333333333</v>
      </c>
      <c r="W49" s="119">
        <v>1</v>
      </c>
      <c r="X49" s="108">
        <v>0.3527777777777778</v>
      </c>
      <c r="Y49" s="108">
        <v>0.86736111111111114</v>
      </c>
      <c r="Z49" s="108">
        <v>0.37361111111111112</v>
      </c>
      <c r="AA49" s="119">
        <v>1</v>
      </c>
      <c r="AB49" s="108">
        <v>0.36319444444444443</v>
      </c>
      <c r="AC49" s="108">
        <v>0.8881944444444444</v>
      </c>
      <c r="AD49" s="108">
        <v>0.36249999999999999</v>
      </c>
      <c r="AE49" s="119">
        <v>1</v>
      </c>
      <c r="AF49" s="108">
        <v>0.33263888888888887</v>
      </c>
      <c r="AG49" s="119">
        <v>1</v>
      </c>
      <c r="AI49" s="77">
        <v>31</v>
      </c>
      <c r="AJ49" s="120" t="s">
        <v>15</v>
      </c>
      <c r="AK49" s="120" t="s">
        <v>15</v>
      </c>
      <c r="AL49" s="108">
        <v>0.35000000000000003</v>
      </c>
      <c r="AM49" s="119">
        <v>1</v>
      </c>
      <c r="AN49" s="108">
        <v>0.32847222222222222</v>
      </c>
      <c r="AO49" s="108">
        <v>0.95277777777777783</v>
      </c>
      <c r="AP49" s="108">
        <v>0.3298611111111111</v>
      </c>
      <c r="AQ49" s="108">
        <v>0.3298611111111111</v>
      </c>
      <c r="AR49" s="108">
        <v>0.33888888888888885</v>
      </c>
      <c r="AS49" s="119">
        <v>1</v>
      </c>
      <c r="AT49" s="108">
        <v>0.32777777777777778</v>
      </c>
      <c r="AU49" s="119">
        <v>1</v>
      </c>
      <c r="AV49" s="108">
        <v>0.34722222222222227</v>
      </c>
      <c r="AW49" s="108">
        <v>0.9145833333333333</v>
      </c>
      <c r="AX49" s="110">
        <v>0.56319444444444444</v>
      </c>
      <c r="AY49" s="120">
        <v>1</v>
      </c>
      <c r="AZ49" s="108">
        <v>0.3527777777777778</v>
      </c>
      <c r="BA49" s="119">
        <v>1</v>
      </c>
      <c r="BB49" s="108">
        <v>0.34652777777777777</v>
      </c>
      <c r="BC49" s="108">
        <v>0.96250000000000002</v>
      </c>
      <c r="BD49" s="108">
        <v>0.34097222222222223</v>
      </c>
      <c r="BE49" s="108">
        <v>0.9506944444444444</v>
      </c>
      <c r="BF49" s="108">
        <v>0.37361111111111112</v>
      </c>
      <c r="BG49" s="119">
        <v>1</v>
      </c>
      <c r="BH49" s="108">
        <v>0.34583333333333338</v>
      </c>
      <c r="BI49" s="119">
        <v>1</v>
      </c>
      <c r="BJ49" s="108">
        <v>0.35625000000000001</v>
      </c>
      <c r="BK49" s="108">
        <v>0.96666666666666667</v>
      </c>
      <c r="BL49" s="110">
        <v>0.56180555555555556</v>
      </c>
      <c r="BM49" s="110">
        <v>0.56180555555555556</v>
      </c>
      <c r="BN49" s="108">
        <v>0.37361111111111112</v>
      </c>
      <c r="BO49" s="119">
        <v>1</v>
      </c>
      <c r="BP49" s="12">
        <f t="shared" si="27"/>
        <v>31</v>
      </c>
      <c r="BQ49" s="118">
        <v>4</v>
      </c>
      <c r="BR49" s="2">
        <f t="shared" si="28"/>
        <v>30</v>
      </c>
      <c r="BS49" s="3">
        <f t="shared" si="29"/>
        <v>1</v>
      </c>
      <c r="BT49" s="3">
        <f t="shared" si="30"/>
        <v>0</v>
      </c>
      <c r="BU49" s="3">
        <f t="shared" si="31"/>
        <v>0</v>
      </c>
      <c r="BV49" s="3">
        <f t="shared" si="32"/>
        <v>0</v>
      </c>
      <c r="BW49" s="3">
        <f t="shared" si="33"/>
        <v>0</v>
      </c>
      <c r="BX49" s="3">
        <f t="shared" si="34"/>
        <v>0</v>
      </c>
      <c r="BY49" s="3">
        <f t="shared" si="35"/>
        <v>0</v>
      </c>
      <c r="BZ49" s="3">
        <f t="shared" si="36"/>
        <v>0</v>
      </c>
      <c r="CA49" s="3">
        <f t="shared" si="37"/>
        <v>0</v>
      </c>
      <c r="CB49" s="3">
        <f t="shared" si="38"/>
        <v>0</v>
      </c>
      <c r="CC49" s="3">
        <f t="shared" si="39"/>
        <v>0</v>
      </c>
      <c r="CD49" s="117"/>
      <c r="CH49" s="90">
        <v>0</v>
      </c>
      <c r="CI49" s="90">
        <v>0</v>
      </c>
      <c r="CJ49" s="90">
        <v>0</v>
      </c>
      <c r="CK49" s="91">
        <v>15</v>
      </c>
      <c r="CL49" s="90">
        <v>0</v>
      </c>
      <c r="CM49" s="91">
        <v>4</v>
      </c>
      <c r="CN49" s="91">
        <v>2</v>
      </c>
      <c r="CO49" s="91">
        <v>1</v>
      </c>
      <c r="CP49" s="90">
        <v>0</v>
      </c>
      <c r="CQ49" s="90">
        <v>0</v>
      </c>
      <c r="CR49" s="92">
        <f t="shared" si="41"/>
        <v>22</v>
      </c>
    </row>
    <row r="50" spans="1:96" ht="21.75" customHeight="1" x14ac:dyDescent="0.25">
      <c r="A50" s="55">
        <v>32</v>
      </c>
      <c r="B50" s="20" t="s">
        <v>107</v>
      </c>
      <c r="C50" s="9" t="s">
        <v>108</v>
      </c>
      <c r="D50" s="108">
        <v>0.47500000000000003</v>
      </c>
      <c r="E50" s="119">
        <v>1</v>
      </c>
      <c r="F50" s="110">
        <v>0.59097222222222223</v>
      </c>
      <c r="G50" s="110">
        <v>0.96875</v>
      </c>
      <c r="H50" s="108">
        <v>0.34166666666666662</v>
      </c>
      <c r="I50" s="108">
        <v>0.98055555555555562</v>
      </c>
      <c r="J50" s="108">
        <v>0.32222222222222224</v>
      </c>
      <c r="K50" s="108">
        <v>0.93194444444444446</v>
      </c>
      <c r="L50" s="108">
        <v>0.35347222222222219</v>
      </c>
      <c r="M50" s="108">
        <v>0.93958333333333333</v>
      </c>
      <c r="N50" s="108">
        <v>0.42222222222222222</v>
      </c>
      <c r="O50" s="108">
        <v>0.92361111111111116</v>
      </c>
      <c r="P50" s="108">
        <v>0.38472222222222219</v>
      </c>
      <c r="Q50" s="119">
        <v>1</v>
      </c>
      <c r="R50" s="108">
        <v>0.37291666666666662</v>
      </c>
      <c r="S50" s="119">
        <v>1</v>
      </c>
      <c r="T50" s="120">
        <v>1</v>
      </c>
      <c r="U50" s="120">
        <v>1</v>
      </c>
      <c r="V50" s="108">
        <v>0.37152777777777773</v>
      </c>
      <c r="W50" s="119">
        <v>1</v>
      </c>
      <c r="X50" s="108">
        <v>0.36527777777777781</v>
      </c>
      <c r="Y50" s="108">
        <v>0.92986111111111114</v>
      </c>
      <c r="Z50" s="108">
        <v>0.32569444444444445</v>
      </c>
      <c r="AA50" s="119">
        <v>1</v>
      </c>
      <c r="AB50" s="108">
        <v>0.3215277777777778</v>
      </c>
      <c r="AC50" s="119">
        <v>1</v>
      </c>
      <c r="AD50" s="108">
        <v>0.32500000000000001</v>
      </c>
      <c r="AE50" s="119">
        <v>1</v>
      </c>
      <c r="AF50" s="108">
        <v>0.33055555555555555</v>
      </c>
      <c r="AG50" s="119">
        <v>1</v>
      </c>
      <c r="AI50" s="77">
        <v>32</v>
      </c>
      <c r="AJ50" s="110">
        <v>0.59375</v>
      </c>
      <c r="AK50" s="110">
        <v>0.95208333333333339</v>
      </c>
      <c r="AL50" s="108">
        <v>0.3833333333333333</v>
      </c>
      <c r="AM50" s="119">
        <v>1</v>
      </c>
      <c r="AN50" s="108">
        <v>0.32777777777777778</v>
      </c>
      <c r="AO50" s="119">
        <v>1</v>
      </c>
      <c r="AP50" s="108">
        <v>0.32708333333333334</v>
      </c>
      <c r="AQ50" s="108">
        <v>0.94305555555555554</v>
      </c>
      <c r="AR50" s="108">
        <v>0.3263888888888889</v>
      </c>
      <c r="AS50" s="119">
        <v>1</v>
      </c>
      <c r="AT50" s="108">
        <v>0.3263888888888889</v>
      </c>
      <c r="AU50" s="108">
        <v>0.95208333333333339</v>
      </c>
      <c r="AV50" s="108">
        <v>0.33124999999999999</v>
      </c>
      <c r="AW50" s="108">
        <v>0.99236111111111114</v>
      </c>
      <c r="AX50" s="110">
        <v>0.6333333333333333</v>
      </c>
      <c r="AY50" s="110">
        <v>0.93333333333333324</v>
      </c>
      <c r="AZ50" s="108">
        <v>0.32916666666666666</v>
      </c>
      <c r="BA50" s="108">
        <v>0.95694444444444438</v>
      </c>
      <c r="BB50" s="108">
        <v>0.34027777777777773</v>
      </c>
      <c r="BC50" s="119">
        <v>1</v>
      </c>
      <c r="BD50" s="108">
        <v>0.39583333333333331</v>
      </c>
      <c r="BE50" s="119">
        <v>1</v>
      </c>
      <c r="BF50" s="108">
        <v>0.3354166666666667</v>
      </c>
      <c r="BG50" s="108">
        <v>0.95972222222222225</v>
      </c>
      <c r="BH50" s="108">
        <v>0.32083333333333336</v>
      </c>
      <c r="BI50" s="108">
        <v>0.95347222222222217</v>
      </c>
      <c r="BJ50" s="108">
        <v>0.32777777777777778</v>
      </c>
      <c r="BK50" s="108">
        <v>0.96736111111111101</v>
      </c>
      <c r="BL50" s="110">
        <v>0.60486111111111118</v>
      </c>
      <c r="BM50" s="110">
        <v>0.96597222222222223</v>
      </c>
      <c r="BN50" s="108">
        <v>0.31944444444444448</v>
      </c>
      <c r="BO50" s="108">
        <v>0.92847222222222225</v>
      </c>
      <c r="BP50" s="12">
        <f t="shared" si="27"/>
        <v>31</v>
      </c>
      <c r="BQ50" s="118">
        <v>5</v>
      </c>
      <c r="BR50" s="2">
        <f t="shared" si="28"/>
        <v>31</v>
      </c>
      <c r="BS50" s="3">
        <f t="shared" si="29"/>
        <v>0</v>
      </c>
      <c r="BT50" s="3">
        <f t="shared" si="30"/>
        <v>0</v>
      </c>
      <c r="BU50" s="3">
        <f t="shared" si="31"/>
        <v>0</v>
      </c>
      <c r="BV50" s="3">
        <f t="shared" si="32"/>
        <v>0</v>
      </c>
      <c r="BW50" s="3">
        <f t="shared" si="33"/>
        <v>0</v>
      </c>
      <c r="BX50" s="3">
        <f t="shared" si="34"/>
        <v>0</v>
      </c>
      <c r="BY50" s="3">
        <f t="shared" si="35"/>
        <v>0</v>
      </c>
      <c r="BZ50" s="3">
        <f t="shared" si="36"/>
        <v>0</v>
      </c>
      <c r="CA50" s="3">
        <f t="shared" si="37"/>
        <v>0</v>
      </c>
      <c r="CB50" s="3">
        <f t="shared" si="38"/>
        <v>0</v>
      </c>
      <c r="CC50" s="3">
        <f t="shared" si="39"/>
        <v>0</v>
      </c>
      <c r="CD50" s="4"/>
      <c r="CH50" s="90">
        <v>0</v>
      </c>
      <c r="CI50" s="90">
        <v>0</v>
      </c>
      <c r="CJ50" s="90">
        <v>0</v>
      </c>
      <c r="CK50" s="90">
        <v>0</v>
      </c>
      <c r="CL50" s="90">
        <v>0</v>
      </c>
      <c r="CM50" s="91">
        <v>1</v>
      </c>
      <c r="CN50" s="91">
        <v>0</v>
      </c>
      <c r="CO50" s="91">
        <v>3</v>
      </c>
      <c r="CP50" s="90">
        <v>0</v>
      </c>
      <c r="CQ50" s="90">
        <v>0</v>
      </c>
      <c r="CR50" s="92">
        <f t="shared" si="41"/>
        <v>4</v>
      </c>
    </row>
    <row r="51" spans="1:96" ht="21.75" customHeight="1" x14ac:dyDescent="0.25">
      <c r="A51" s="55">
        <v>33</v>
      </c>
      <c r="B51" s="20" t="s">
        <v>109</v>
      </c>
      <c r="C51" s="9" t="s">
        <v>110</v>
      </c>
      <c r="D51" s="108">
        <v>0.36319444444444443</v>
      </c>
      <c r="E51" s="108">
        <v>0.96944444444444444</v>
      </c>
      <c r="F51" s="110">
        <v>0.58194444444444449</v>
      </c>
      <c r="G51" s="110">
        <v>0.94791666666666663</v>
      </c>
      <c r="H51" s="108">
        <v>0.35347222222222219</v>
      </c>
      <c r="I51" s="108">
        <v>0.97083333333333333</v>
      </c>
      <c r="J51" s="108">
        <v>0.35416666666666669</v>
      </c>
      <c r="K51" s="108">
        <v>0.95138888888888884</v>
      </c>
      <c r="L51" s="108">
        <v>0.3576388888888889</v>
      </c>
      <c r="M51" s="108">
        <v>0.95277777777777783</v>
      </c>
      <c r="N51" s="108">
        <v>0.35138888888888892</v>
      </c>
      <c r="O51" s="108">
        <v>0.94861111111111107</v>
      </c>
      <c r="P51" s="108">
        <v>0.34791666666666665</v>
      </c>
      <c r="Q51" s="108">
        <v>0.94652777777777775</v>
      </c>
      <c r="R51" s="108">
        <v>0.3527777777777778</v>
      </c>
      <c r="S51" s="108">
        <v>0.97361111111111109</v>
      </c>
      <c r="T51" s="120" t="s">
        <v>15</v>
      </c>
      <c r="U51" s="120" t="s">
        <v>15</v>
      </c>
      <c r="V51" s="108">
        <v>0.3527777777777778</v>
      </c>
      <c r="W51" s="108">
        <v>0.96111111111111114</v>
      </c>
      <c r="X51" s="108">
        <v>0.35347222222222219</v>
      </c>
      <c r="Y51" s="108">
        <v>0.95694444444444438</v>
      </c>
      <c r="Z51" s="108">
        <v>0.34375</v>
      </c>
      <c r="AA51" s="108">
        <v>0.95277777777777783</v>
      </c>
      <c r="AB51" s="108">
        <v>0.34791666666666665</v>
      </c>
      <c r="AC51" s="108">
        <v>0.94305555555555554</v>
      </c>
      <c r="AD51" s="108">
        <v>0.3527777777777778</v>
      </c>
      <c r="AE51" s="108">
        <v>0.9506944444444444</v>
      </c>
      <c r="AF51" s="108">
        <v>0.35347222222222219</v>
      </c>
      <c r="AG51" s="108">
        <v>0.95833333333333337</v>
      </c>
      <c r="AI51" s="77">
        <v>33</v>
      </c>
      <c r="AJ51" s="110">
        <v>0.58402777777777781</v>
      </c>
      <c r="AK51" s="110">
        <v>0.94027777777777777</v>
      </c>
      <c r="AL51" s="108">
        <v>0.34930555555555554</v>
      </c>
      <c r="AM51" s="108">
        <v>0.96111111111111114</v>
      </c>
      <c r="AN51" s="108">
        <v>0.35000000000000003</v>
      </c>
      <c r="AO51" s="108">
        <v>0.95277777777777783</v>
      </c>
      <c r="AP51" s="108">
        <v>0.35625000000000001</v>
      </c>
      <c r="AQ51" s="108">
        <v>0.94444444444444453</v>
      </c>
      <c r="AR51" s="108">
        <v>0.3520833333333333</v>
      </c>
      <c r="AS51" s="108">
        <v>0.95208333333333339</v>
      </c>
      <c r="AT51" s="108">
        <v>0.35000000000000003</v>
      </c>
      <c r="AU51" s="108">
        <v>0.95972222222222225</v>
      </c>
      <c r="AV51" s="108">
        <v>0.35138888888888892</v>
      </c>
      <c r="AW51" s="108">
        <v>0.96180555555555547</v>
      </c>
      <c r="AX51" s="120" t="s">
        <v>15</v>
      </c>
      <c r="AY51" s="120" t="s">
        <v>15</v>
      </c>
      <c r="AZ51" s="108">
        <v>0.35138888888888892</v>
      </c>
      <c r="BA51" s="108">
        <v>0.96250000000000002</v>
      </c>
      <c r="BB51" s="108">
        <v>0.3527777777777778</v>
      </c>
      <c r="BC51" s="108">
        <v>0.97013888888888899</v>
      </c>
      <c r="BD51" s="108">
        <v>0.35347222222222219</v>
      </c>
      <c r="BE51" s="108">
        <v>0.94861111111111107</v>
      </c>
      <c r="BF51" s="108">
        <v>0.35347222222222219</v>
      </c>
      <c r="BG51" s="108">
        <v>0.94861111111111107</v>
      </c>
      <c r="BH51" s="108">
        <v>0.35069444444444442</v>
      </c>
      <c r="BI51" s="108">
        <v>0.9472222222222223</v>
      </c>
      <c r="BJ51" s="108">
        <v>0.3611111111111111</v>
      </c>
      <c r="BK51" s="108">
        <v>0.96736111111111101</v>
      </c>
      <c r="BL51" s="110">
        <v>0.58472222222222225</v>
      </c>
      <c r="BM51" s="110">
        <v>0.95347222222222217</v>
      </c>
      <c r="BN51" s="108">
        <v>0.36319444444444443</v>
      </c>
      <c r="BO51" s="108">
        <v>0.96875</v>
      </c>
      <c r="BP51" s="12">
        <f t="shared" si="27"/>
        <v>31</v>
      </c>
      <c r="BQ51" s="118">
        <v>3</v>
      </c>
      <c r="BR51" s="2">
        <f t="shared" si="28"/>
        <v>29</v>
      </c>
      <c r="BS51" s="3">
        <f t="shared" si="29"/>
        <v>2</v>
      </c>
      <c r="BT51" s="3">
        <f t="shared" si="30"/>
        <v>0</v>
      </c>
      <c r="BU51" s="3">
        <f t="shared" si="31"/>
        <v>0</v>
      </c>
      <c r="BV51" s="3">
        <f t="shared" si="32"/>
        <v>0</v>
      </c>
      <c r="BW51" s="3">
        <f t="shared" si="33"/>
        <v>0</v>
      </c>
      <c r="BX51" s="3">
        <f t="shared" si="34"/>
        <v>0</v>
      </c>
      <c r="BY51" s="3">
        <f t="shared" si="35"/>
        <v>0</v>
      </c>
      <c r="BZ51" s="3">
        <f t="shared" si="36"/>
        <v>0</v>
      </c>
      <c r="CA51" s="3">
        <f t="shared" si="37"/>
        <v>0</v>
      </c>
      <c r="CB51" s="3">
        <f t="shared" si="38"/>
        <v>0</v>
      </c>
      <c r="CC51" s="3">
        <f t="shared" si="39"/>
        <v>0</v>
      </c>
      <c r="CD51" s="4"/>
      <c r="CH51" s="90">
        <v>0</v>
      </c>
      <c r="CI51" s="90">
        <v>0</v>
      </c>
      <c r="CJ51" s="90">
        <v>7</v>
      </c>
      <c r="CK51" s="90">
        <v>0</v>
      </c>
      <c r="CL51" s="90">
        <v>0</v>
      </c>
      <c r="CM51" s="90">
        <v>0</v>
      </c>
      <c r="CN51" s="91">
        <v>0</v>
      </c>
      <c r="CO51" s="91">
        <v>0</v>
      </c>
      <c r="CP51" s="90">
        <v>0</v>
      </c>
      <c r="CQ51" s="90">
        <v>0</v>
      </c>
      <c r="CR51" s="92">
        <f t="shared" si="41"/>
        <v>7</v>
      </c>
    </row>
    <row r="52" spans="1:96" ht="21.75" customHeight="1" x14ac:dyDescent="0.25">
      <c r="A52" s="55">
        <v>34</v>
      </c>
      <c r="B52" s="20" t="s">
        <v>111</v>
      </c>
      <c r="C52" s="9" t="s">
        <v>112</v>
      </c>
      <c r="D52" s="108">
        <v>0.35138888888888892</v>
      </c>
      <c r="E52" s="108">
        <v>0.96458333333333324</v>
      </c>
      <c r="F52" s="110">
        <v>0.57430555555555551</v>
      </c>
      <c r="G52" s="110">
        <v>0.9243055555555556</v>
      </c>
      <c r="H52" s="108">
        <v>0.35138888888888892</v>
      </c>
      <c r="I52" s="108">
        <v>6.9444444444444447E-4</v>
      </c>
      <c r="J52" s="108">
        <v>0.3520833333333333</v>
      </c>
      <c r="K52" s="108">
        <v>0.9819444444444444</v>
      </c>
      <c r="L52" s="108">
        <v>0.35069444444444442</v>
      </c>
      <c r="M52" s="108">
        <v>0.98125000000000007</v>
      </c>
      <c r="N52" s="108">
        <v>0.35069444444444442</v>
      </c>
      <c r="O52" s="108">
        <v>0.96458333333333324</v>
      </c>
      <c r="P52" s="108">
        <v>0.34930555555555554</v>
      </c>
      <c r="Q52" s="119">
        <v>1</v>
      </c>
      <c r="R52" s="108">
        <v>0.35069444444444442</v>
      </c>
      <c r="S52" s="108">
        <v>0.9784722222222223</v>
      </c>
      <c r="T52" s="120" t="s">
        <v>15</v>
      </c>
      <c r="U52" s="120" t="s">
        <v>15</v>
      </c>
      <c r="V52" s="108">
        <v>0.35069444444444442</v>
      </c>
      <c r="W52" s="108">
        <v>0.95972222222222225</v>
      </c>
      <c r="X52" s="108">
        <v>0.35000000000000003</v>
      </c>
      <c r="Y52" s="108">
        <v>0.9506944444444444</v>
      </c>
      <c r="Z52" s="108">
        <v>0.34930555555555554</v>
      </c>
      <c r="AA52" s="108">
        <v>0.9472222222222223</v>
      </c>
      <c r="AB52" s="108">
        <v>0.35000000000000003</v>
      </c>
      <c r="AC52" s="108">
        <v>0.95486111111111116</v>
      </c>
      <c r="AD52" s="108">
        <v>0.35000000000000003</v>
      </c>
      <c r="AE52" s="108">
        <v>0.95208333333333339</v>
      </c>
      <c r="AF52" s="108">
        <v>0.35000000000000003</v>
      </c>
      <c r="AG52" s="108">
        <v>0.94930555555555562</v>
      </c>
      <c r="AI52" s="77">
        <v>34</v>
      </c>
      <c r="AJ52" s="110">
        <v>0.57708333333333328</v>
      </c>
      <c r="AK52" s="110">
        <v>0.94027777777777777</v>
      </c>
      <c r="AL52" s="108">
        <v>0.34861111111111115</v>
      </c>
      <c r="AM52" s="108">
        <v>0.94027777777777777</v>
      </c>
      <c r="AN52" s="108">
        <v>0.34930555555555554</v>
      </c>
      <c r="AO52" s="108">
        <v>0.97291666666666676</v>
      </c>
      <c r="AP52" s="108">
        <v>0.35069444444444442</v>
      </c>
      <c r="AQ52" s="108">
        <v>0.93888888888888899</v>
      </c>
      <c r="AR52" s="108">
        <v>0.34861111111111115</v>
      </c>
      <c r="AS52" s="108">
        <v>0.9604166666666667</v>
      </c>
      <c r="AT52" s="108">
        <v>0.34722222222222227</v>
      </c>
      <c r="AU52" s="108">
        <v>0.95000000000000007</v>
      </c>
      <c r="AV52" s="108">
        <v>0.34930555555555554</v>
      </c>
      <c r="AW52" s="108">
        <v>2.0833333333333333E-3</v>
      </c>
      <c r="AX52" s="120" t="s">
        <v>15</v>
      </c>
      <c r="AY52" s="120" t="s">
        <v>15</v>
      </c>
      <c r="AZ52" s="108">
        <v>0.3527777777777778</v>
      </c>
      <c r="BA52" s="108">
        <v>0.98402777777777783</v>
      </c>
      <c r="BB52" s="108">
        <v>0.34791666666666665</v>
      </c>
      <c r="BC52" s="108">
        <v>0.97013888888888899</v>
      </c>
      <c r="BD52" s="108">
        <v>0.34861111111111115</v>
      </c>
      <c r="BE52" s="108">
        <v>0.93888888888888899</v>
      </c>
      <c r="BF52" s="108">
        <v>0.35069444444444442</v>
      </c>
      <c r="BG52" s="108">
        <v>0.94236111111111109</v>
      </c>
      <c r="BH52" s="108">
        <v>0.34791666666666665</v>
      </c>
      <c r="BI52" s="108">
        <v>0.91875000000000007</v>
      </c>
      <c r="BJ52" s="108">
        <v>0.35138888888888892</v>
      </c>
      <c r="BK52" s="108">
        <v>0.9590277777777777</v>
      </c>
      <c r="BL52" s="110">
        <v>0.57638888888888895</v>
      </c>
      <c r="BM52" s="110">
        <v>0.93611111111111101</v>
      </c>
      <c r="BN52" s="108">
        <v>0.35069444444444442</v>
      </c>
      <c r="BO52" s="108">
        <v>0.94097222222222221</v>
      </c>
      <c r="BP52" s="12">
        <f t="shared" si="27"/>
        <v>31</v>
      </c>
      <c r="BQ52" s="118">
        <v>3</v>
      </c>
      <c r="BR52" s="2">
        <f t="shared" si="28"/>
        <v>29</v>
      </c>
      <c r="BS52" s="3">
        <f t="shared" si="29"/>
        <v>2</v>
      </c>
      <c r="BT52" s="3">
        <f t="shared" si="30"/>
        <v>0</v>
      </c>
      <c r="BU52" s="3">
        <f t="shared" si="31"/>
        <v>0</v>
      </c>
      <c r="BV52" s="3">
        <f t="shared" si="32"/>
        <v>0</v>
      </c>
      <c r="BW52" s="3">
        <f t="shared" si="33"/>
        <v>0</v>
      </c>
      <c r="BX52" s="3">
        <f t="shared" si="34"/>
        <v>0</v>
      </c>
      <c r="BY52" s="3">
        <f t="shared" si="35"/>
        <v>0</v>
      </c>
      <c r="BZ52" s="3">
        <f t="shared" si="36"/>
        <v>0</v>
      </c>
      <c r="CA52" s="3">
        <f t="shared" si="37"/>
        <v>0</v>
      </c>
      <c r="CB52" s="3">
        <f t="shared" si="38"/>
        <v>0</v>
      </c>
      <c r="CC52" s="3">
        <f t="shared" si="39"/>
        <v>0</v>
      </c>
      <c r="CD52" s="4"/>
      <c r="CH52" s="90">
        <v>0</v>
      </c>
      <c r="CI52" s="90">
        <v>0</v>
      </c>
      <c r="CJ52" s="90">
        <v>0</v>
      </c>
      <c r="CK52" s="90">
        <v>0</v>
      </c>
      <c r="CL52" s="90">
        <v>0</v>
      </c>
      <c r="CM52" s="91">
        <v>7</v>
      </c>
      <c r="CN52" s="91">
        <v>0</v>
      </c>
      <c r="CO52" s="91">
        <v>0</v>
      </c>
      <c r="CP52" s="90">
        <v>0</v>
      </c>
      <c r="CQ52" s="90">
        <v>0</v>
      </c>
      <c r="CR52" s="92">
        <f t="shared" si="41"/>
        <v>7</v>
      </c>
    </row>
    <row r="53" spans="1:96" ht="21.75" customHeight="1" x14ac:dyDescent="0.25">
      <c r="A53" s="55">
        <v>35</v>
      </c>
      <c r="B53" s="55" t="s">
        <v>113</v>
      </c>
      <c r="C53" s="9" t="s">
        <v>114</v>
      </c>
      <c r="D53" s="108">
        <v>0.35486111111111113</v>
      </c>
      <c r="E53" s="108">
        <v>0.97361111111111109</v>
      </c>
      <c r="F53" s="120" t="s">
        <v>15</v>
      </c>
      <c r="G53" s="120" t="s">
        <v>15</v>
      </c>
      <c r="H53" s="108">
        <v>0.3520833333333333</v>
      </c>
      <c r="I53" s="108">
        <v>0.96111111111111114</v>
      </c>
      <c r="J53" s="108">
        <v>0.3520833333333333</v>
      </c>
      <c r="K53" s="108">
        <v>0.9819444444444444</v>
      </c>
      <c r="L53" s="108">
        <v>0.3520833333333333</v>
      </c>
      <c r="M53" s="119">
        <v>1</v>
      </c>
      <c r="N53" s="108">
        <v>0.35347222222222219</v>
      </c>
      <c r="O53" s="119">
        <v>1</v>
      </c>
      <c r="P53" s="108">
        <v>0.34652777777777777</v>
      </c>
      <c r="Q53" s="108">
        <v>0.94652777777777775</v>
      </c>
      <c r="R53" s="108">
        <v>0.34583333333333338</v>
      </c>
      <c r="S53" s="108">
        <v>0.96875</v>
      </c>
      <c r="T53" s="110">
        <v>0.5625</v>
      </c>
      <c r="U53" s="110">
        <v>0.91666666666666663</v>
      </c>
      <c r="V53" s="108">
        <v>0.35069444444444442</v>
      </c>
      <c r="W53" s="108">
        <v>0.99236111111111114</v>
      </c>
      <c r="X53" s="108">
        <v>0.34722222222222227</v>
      </c>
      <c r="Y53" s="108">
        <v>0.95000000000000007</v>
      </c>
      <c r="Z53" s="108">
        <v>0.34861111111111115</v>
      </c>
      <c r="AA53" s="108">
        <v>0.9472222222222223</v>
      </c>
      <c r="AB53" s="108">
        <v>0.34097222222222223</v>
      </c>
      <c r="AC53" s="108">
        <v>0.91736111111111107</v>
      </c>
      <c r="AD53" s="108">
        <v>0.34375</v>
      </c>
      <c r="AE53" s="108">
        <v>0.9784722222222223</v>
      </c>
      <c r="AF53" s="108">
        <v>0.32777777777777778</v>
      </c>
      <c r="AG53" s="108">
        <v>0.97222222222222221</v>
      </c>
      <c r="AI53" s="77">
        <v>35</v>
      </c>
      <c r="AJ53" s="110">
        <v>0.58680555555555558</v>
      </c>
      <c r="AK53" s="110">
        <v>0.94027777777777777</v>
      </c>
      <c r="AL53" s="108">
        <v>0.34513888888888888</v>
      </c>
      <c r="AM53" s="108">
        <v>0.94097222222222221</v>
      </c>
      <c r="AN53" s="108">
        <v>0.35000000000000003</v>
      </c>
      <c r="AO53" s="108">
        <v>0.96527777777777779</v>
      </c>
      <c r="AP53" s="108">
        <v>0.35347222222222219</v>
      </c>
      <c r="AQ53" s="108">
        <v>0.93819444444444444</v>
      </c>
      <c r="AR53" s="108">
        <v>0.34861111111111115</v>
      </c>
      <c r="AS53" s="108">
        <v>0.96944444444444444</v>
      </c>
      <c r="AT53" s="108">
        <v>0.34722222222222227</v>
      </c>
      <c r="AU53" s="108">
        <v>0.95833333333333337</v>
      </c>
      <c r="AV53" s="108">
        <v>0.34722222222222227</v>
      </c>
      <c r="AW53" s="108">
        <v>2.0833333333333333E-3</v>
      </c>
      <c r="AX53" s="110">
        <v>0.58124999999999993</v>
      </c>
      <c r="AY53" s="110">
        <v>0.95833333333333337</v>
      </c>
      <c r="AZ53" s="108">
        <v>0.3527777777777778</v>
      </c>
      <c r="BA53" s="108">
        <v>0.97083333333333333</v>
      </c>
      <c r="BB53" s="108">
        <v>0.35000000000000003</v>
      </c>
      <c r="BC53" s="108">
        <v>0.96180555555555547</v>
      </c>
      <c r="BD53" s="108">
        <v>0.3520833333333333</v>
      </c>
      <c r="BE53" s="108">
        <v>0.93958333333333333</v>
      </c>
      <c r="BF53" s="108">
        <v>0.3527777777777778</v>
      </c>
      <c r="BG53" s="108">
        <v>0.94444444444444453</v>
      </c>
      <c r="BH53" s="108">
        <v>0.35000000000000003</v>
      </c>
      <c r="BI53" s="108">
        <v>0.96250000000000002</v>
      </c>
      <c r="BJ53" s="108">
        <v>0.3520833333333333</v>
      </c>
      <c r="BK53" s="108">
        <v>0.99444444444444446</v>
      </c>
      <c r="BL53" s="120" t="s">
        <v>15</v>
      </c>
      <c r="BM53" s="120" t="s">
        <v>15</v>
      </c>
      <c r="BN53" s="108">
        <v>0.35000000000000003</v>
      </c>
      <c r="BO53" s="108">
        <v>0.96319444444444446</v>
      </c>
      <c r="BP53" s="12">
        <f t="shared" si="27"/>
        <v>31</v>
      </c>
      <c r="BQ53" s="118">
        <v>3</v>
      </c>
      <c r="BR53" s="2">
        <f t="shared" si="28"/>
        <v>29</v>
      </c>
      <c r="BS53" s="3">
        <f t="shared" si="29"/>
        <v>2</v>
      </c>
      <c r="BT53" s="3">
        <f t="shared" si="30"/>
        <v>0</v>
      </c>
      <c r="BU53" s="3">
        <f t="shared" si="31"/>
        <v>0</v>
      </c>
      <c r="BV53" s="3">
        <f t="shared" si="32"/>
        <v>0</v>
      </c>
      <c r="BW53" s="3">
        <f t="shared" si="33"/>
        <v>0</v>
      </c>
      <c r="BX53" s="3">
        <f t="shared" si="34"/>
        <v>0</v>
      </c>
      <c r="BY53" s="3">
        <f t="shared" si="35"/>
        <v>0</v>
      </c>
      <c r="BZ53" s="3">
        <f t="shared" si="36"/>
        <v>0</v>
      </c>
      <c r="CA53" s="3">
        <f t="shared" si="37"/>
        <v>0</v>
      </c>
      <c r="CB53" s="3">
        <f t="shared" si="38"/>
        <v>0</v>
      </c>
      <c r="CC53" s="3">
        <f t="shared" si="39"/>
        <v>0</v>
      </c>
      <c r="CD53" s="4"/>
      <c r="CH53" s="90">
        <v>0</v>
      </c>
      <c r="CI53" s="90">
        <v>0</v>
      </c>
      <c r="CJ53" s="91">
        <v>14</v>
      </c>
      <c r="CK53" s="90">
        <v>0</v>
      </c>
      <c r="CL53" s="90">
        <v>0</v>
      </c>
      <c r="CM53" s="91">
        <v>1</v>
      </c>
      <c r="CN53" s="91">
        <v>0</v>
      </c>
      <c r="CO53" s="90">
        <v>0</v>
      </c>
      <c r="CP53" s="90">
        <v>0</v>
      </c>
      <c r="CQ53" s="90">
        <v>0</v>
      </c>
      <c r="CR53" s="92">
        <f t="shared" si="41"/>
        <v>15</v>
      </c>
    </row>
    <row r="54" spans="1:96" ht="21.75" customHeight="1" x14ac:dyDescent="0.25">
      <c r="A54" s="55">
        <v>36</v>
      </c>
      <c r="B54" s="20" t="s">
        <v>115</v>
      </c>
      <c r="C54" s="9" t="s">
        <v>116</v>
      </c>
      <c r="D54" s="108">
        <v>0.34375</v>
      </c>
      <c r="E54" s="108">
        <v>0.96527777777777779</v>
      </c>
      <c r="F54" s="120" t="s">
        <v>15</v>
      </c>
      <c r="G54" s="120" t="s">
        <v>15</v>
      </c>
      <c r="H54" s="108">
        <v>0.34583333333333338</v>
      </c>
      <c r="I54" s="108">
        <v>0.98125000000000007</v>
      </c>
      <c r="J54" s="108">
        <v>0.34861111111111115</v>
      </c>
      <c r="K54" s="108">
        <v>0.9819444444444444</v>
      </c>
      <c r="L54" s="108">
        <v>0.34513888888888888</v>
      </c>
      <c r="M54" s="108">
        <v>0.93958333333333333</v>
      </c>
      <c r="N54" s="108">
        <v>0.34652777777777777</v>
      </c>
      <c r="O54" s="119">
        <v>1</v>
      </c>
      <c r="P54" s="108">
        <v>0.35138888888888892</v>
      </c>
      <c r="Q54" s="108">
        <v>0.96527777777777779</v>
      </c>
      <c r="R54" s="108">
        <v>0.35347222222222219</v>
      </c>
      <c r="S54" s="108">
        <v>0.96180555555555547</v>
      </c>
      <c r="T54" s="110">
        <v>0.57986111111111105</v>
      </c>
      <c r="U54" s="110">
        <v>0.9194444444444444</v>
      </c>
      <c r="V54" s="108">
        <v>0.3263888888888889</v>
      </c>
      <c r="W54" s="108">
        <v>0.9194444444444444</v>
      </c>
      <c r="X54" s="108">
        <v>0.32777777777777778</v>
      </c>
      <c r="Y54" s="108">
        <v>0.93888888888888899</v>
      </c>
      <c r="Z54" s="108">
        <v>0.32777777777777778</v>
      </c>
      <c r="AA54" s="108">
        <v>0.92152777777777783</v>
      </c>
      <c r="AB54" s="108">
        <v>0.3298611111111111</v>
      </c>
      <c r="AC54" s="108">
        <v>0.95486111111111116</v>
      </c>
      <c r="AD54" s="108">
        <v>0.3263888888888889</v>
      </c>
      <c r="AE54" s="108">
        <v>0.94930555555555562</v>
      </c>
      <c r="AF54" s="108">
        <v>0.3527777777777778</v>
      </c>
      <c r="AG54" s="108">
        <v>0.9590277777777777</v>
      </c>
      <c r="AH54" s="60"/>
      <c r="AI54" s="77">
        <v>36</v>
      </c>
      <c r="AJ54" s="120" t="s">
        <v>15</v>
      </c>
      <c r="AK54" s="120" t="s">
        <v>15</v>
      </c>
      <c r="AL54" s="108">
        <v>0.34513888888888888</v>
      </c>
      <c r="AM54" s="108">
        <v>0.93680555555555556</v>
      </c>
      <c r="AN54" s="108">
        <v>0.34722222222222227</v>
      </c>
      <c r="AO54" s="108">
        <v>0.99097222222222225</v>
      </c>
      <c r="AP54" s="108">
        <v>0.34652777777777777</v>
      </c>
      <c r="AQ54" s="108">
        <v>0.97777777777777775</v>
      </c>
      <c r="AR54" s="108">
        <v>0.34375</v>
      </c>
      <c r="AS54" s="119">
        <v>1</v>
      </c>
      <c r="AT54" s="108">
        <v>0.3444444444444445</v>
      </c>
      <c r="AU54" s="108">
        <v>0.95208333333333339</v>
      </c>
      <c r="AV54" s="108">
        <v>0.34166666666666662</v>
      </c>
      <c r="AW54" s="108">
        <v>2.0833333333333333E-3</v>
      </c>
      <c r="AX54" s="110">
        <v>0.57916666666666672</v>
      </c>
      <c r="AY54" s="110">
        <v>0.94652777777777775</v>
      </c>
      <c r="AZ54" s="108">
        <v>0.34583333333333338</v>
      </c>
      <c r="BA54" s="119">
        <v>1</v>
      </c>
      <c r="BB54" s="108">
        <v>0.34513888888888888</v>
      </c>
      <c r="BC54" s="108">
        <v>0.97083333333333333</v>
      </c>
      <c r="BD54" s="108">
        <v>0.34513888888888888</v>
      </c>
      <c r="BE54" s="108">
        <v>0.93958333333333333</v>
      </c>
      <c r="BF54" s="108">
        <v>0.34722222222222227</v>
      </c>
      <c r="BG54" s="108">
        <v>0.94305555555555554</v>
      </c>
      <c r="BH54" s="108">
        <v>0.34583333333333338</v>
      </c>
      <c r="BI54" s="108">
        <v>4.8611111111111112E-3</v>
      </c>
      <c r="BJ54" s="108">
        <v>0.34513888888888888</v>
      </c>
      <c r="BK54" s="108">
        <v>0.97013888888888899</v>
      </c>
      <c r="BL54" s="120" t="s">
        <v>15</v>
      </c>
      <c r="BM54" s="120" t="s">
        <v>15</v>
      </c>
      <c r="BN54" s="108">
        <v>0.3444444444444445</v>
      </c>
      <c r="BO54" s="108">
        <v>0.96875</v>
      </c>
      <c r="BP54" s="12">
        <f t="shared" si="27"/>
        <v>31</v>
      </c>
      <c r="BQ54" s="118">
        <v>2</v>
      </c>
      <c r="BR54" s="2">
        <f t="shared" si="28"/>
        <v>28</v>
      </c>
      <c r="BS54" s="3">
        <f t="shared" si="29"/>
        <v>3</v>
      </c>
      <c r="BT54" s="3">
        <f t="shared" si="30"/>
        <v>0</v>
      </c>
      <c r="BU54" s="3">
        <f t="shared" si="31"/>
        <v>0</v>
      </c>
      <c r="BV54" s="3">
        <f t="shared" si="32"/>
        <v>0</v>
      </c>
      <c r="BW54" s="3">
        <f t="shared" si="33"/>
        <v>0</v>
      </c>
      <c r="BX54" s="3">
        <f t="shared" si="34"/>
        <v>0</v>
      </c>
      <c r="BY54" s="3">
        <f t="shared" si="35"/>
        <v>0</v>
      </c>
      <c r="BZ54" s="3">
        <f t="shared" si="36"/>
        <v>0</v>
      </c>
      <c r="CA54" s="3">
        <f t="shared" si="37"/>
        <v>0</v>
      </c>
      <c r="CB54" s="3">
        <f t="shared" si="38"/>
        <v>0</v>
      </c>
      <c r="CC54" s="3">
        <f t="shared" si="39"/>
        <v>0</v>
      </c>
      <c r="CD54" s="4"/>
      <c r="CH54" s="90">
        <v>0</v>
      </c>
      <c r="CI54" s="90">
        <v>0</v>
      </c>
      <c r="CJ54" s="90">
        <v>0</v>
      </c>
      <c r="CK54" s="91">
        <v>8</v>
      </c>
      <c r="CL54" s="90">
        <v>0</v>
      </c>
      <c r="CM54" s="91">
        <v>3</v>
      </c>
      <c r="CN54" s="91">
        <v>0</v>
      </c>
      <c r="CO54" s="91">
        <v>4</v>
      </c>
      <c r="CP54" s="90">
        <v>0</v>
      </c>
      <c r="CQ54" s="90">
        <v>0</v>
      </c>
      <c r="CR54" s="92">
        <f t="shared" si="41"/>
        <v>15</v>
      </c>
    </row>
    <row r="55" spans="1:96" ht="21.75" customHeight="1" x14ac:dyDescent="0.25">
      <c r="A55" s="55">
        <v>37</v>
      </c>
      <c r="B55" s="20" t="s">
        <v>117</v>
      </c>
      <c r="C55" s="9" t="s">
        <v>118</v>
      </c>
      <c r="D55" s="108">
        <v>0.3576388888888889</v>
      </c>
      <c r="E55" s="108">
        <v>0.96597222222222223</v>
      </c>
      <c r="F55" s="110">
        <v>0.57916666666666672</v>
      </c>
      <c r="G55" s="110">
        <v>0.96319444444444446</v>
      </c>
      <c r="H55" s="108">
        <v>0.35486111111111113</v>
      </c>
      <c r="I55" s="108">
        <v>0.96666666666666667</v>
      </c>
      <c r="J55" s="108">
        <v>0.35555555555555557</v>
      </c>
      <c r="K55" s="108">
        <v>0.92222222222222217</v>
      </c>
      <c r="L55" s="108">
        <v>0.35416666666666669</v>
      </c>
      <c r="M55" s="108">
        <v>0.95833333333333337</v>
      </c>
      <c r="N55" s="108">
        <v>0.35416666666666669</v>
      </c>
      <c r="O55" s="108">
        <v>0.9819444444444444</v>
      </c>
      <c r="P55" s="108">
        <v>0.35347222222222219</v>
      </c>
      <c r="Q55" s="108">
        <v>0.93888888888888899</v>
      </c>
      <c r="R55" s="108">
        <v>0.35555555555555557</v>
      </c>
      <c r="S55" s="108">
        <v>0.95972222222222225</v>
      </c>
      <c r="T55" s="110">
        <v>0.56180555555555556</v>
      </c>
      <c r="U55" s="110">
        <v>0.92013888888888884</v>
      </c>
      <c r="V55" s="108">
        <v>0.35138888888888892</v>
      </c>
      <c r="W55" s="108">
        <v>0.95833333333333337</v>
      </c>
      <c r="X55" s="108">
        <v>0.35416666666666669</v>
      </c>
      <c r="Y55" s="108">
        <v>0.95208333333333339</v>
      </c>
      <c r="Z55" s="108">
        <v>0.35486111111111113</v>
      </c>
      <c r="AA55" s="108">
        <v>0.9375</v>
      </c>
      <c r="AB55" s="108">
        <v>0.35000000000000003</v>
      </c>
      <c r="AC55" s="108">
        <v>0.91736111111111107</v>
      </c>
      <c r="AD55" s="108">
        <v>0.3520833333333333</v>
      </c>
      <c r="AE55" s="108">
        <v>0.97222222222222221</v>
      </c>
      <c r="AF55" s="108">
        <v>0.35416666666666669</v>
      </c>
      <c r="AG55" s="108">
        <v>0.95972222222222225</v>
      </c>
      <c r="AH55" s="60"/>
      <c r="AI55" s="77">
        <v>37</v>
      </c>
      <c r="AJ55" s="120" t="s">
        <v>15</v>
      </c>
      <c r="AK55" s="120" t="s">
        <v>15</v>
      </c>
      <c r="AL55" s="108">
        <v>0.35138888888888892</v>
      </c>
      <c r="AM55" s="108">
        <v>0.92361111111111116</v>
      </c>
      <c r="AN55" s="108">
        <v>0.3263888888888889</v>
      </c>
      <c r="AO55" s="108">
        <v>0.96180555555555547</v>
      </c>
      <c r="AP55" s="108">
        <v>0.3263888888888889</v>
      </c>
      <c r="AQ55" s="108">
        <v>0.97013888888888899</v>
      </c>
      <c r="AR55" s="108">
        <v>0.34722222222222227</v>
      </c>
      <c r="AS55" s="108">
        <v>0.92291666666666661</v>
      </c>
      <c r="AT55" s="108">
        <v>0.32500000000000001</v>
      </c>
      <c r="AU55" s="108">
        <v>0.92499999999999993</v>
      </c>
      <c r="AV55" s="108">
        <v>0.32361111111111113</v>
      </c>
      <c r="AW55" s="108">
        <v>0.98749999999999993</v>
      </c>
      <c r="AX55" s="110">
        <v>0.57986111111111105</v>
      </c>
      <c r="AY55" s="110">
        <v>0.94027777777777777</v>
      </c>
      <c r="AZ55" s="108">
        <v>0.35555555555555557</v>
      </c>
      <c r="BA55" s="108">
        <v>0.91736111111111107</v>
      </c>
      <c r="BB55" s="108">
        <v>0.35486111111111113</v>
      </c>
      <c r="BC55" s="108">
        <v>0.94930555555555562</v>
      </c>
      <c r="BD55" s="108">
        <v>0.35486111111111113</v>
      </c>
      <c r="BE55" s="108">
        <v>0.92083333333333339</v>
      </c>
      <c r="BF55" s="108">
        <v>0.35416666666666669</v>
      </c>
      <c r="BG55" s="108">
        <v>0.91666666666666663</v>
      </c>
      <c r="BH55" s="108">
        <v>0.35000000000000003</v>
      </c>
      <c r="BI55" s="108">
        <v>0.94791666666666663</v>
      </c>
      <c r="BJ55" s="108">
        <v>0.34791666666666665</v>
      </c>
      <c r="BK55" s="108">
        <v>0.96458333333333324</v>
      </c>
      <c r="BL55" s="120" t="s">
        <v>15</v>
      </c>
      <c r="BM55" s="120" t="s">
        <v>15</v>
      </c>
      <c r="BN55" s="108">
        <v>0.35000000000000003</v>
      </c>
      <c r="BO55" s="119">
        <v>1</v>
      </c>
      <c r="BP55" s="12">
        <f t="shared" si="27"/>
        <v>31</v>
      </c>
      <c r="BQ55" s="118">
        <v>3</v>
      </c>
      <c r="BR55" s="2">
        <f t="shared" si="28"/>
        <v>29</v>
      </c>
      <c r="BS55" s="3">
        <f t="shared" si="29"/>
        <v>2</v>
      </c>
      <c r="BT55" s="3">
        <f t="shared" si="30"/>
        <v>0</v>
      </c>
      <c r="BU55" s="3">
        <f t="shared" si="31"/>
        <v>0</v>
      </c>
      <c r="BV55" s="3">
        <f t="shared" si="32"/>
        <v>0</v>
      </c>
      <c r="BW55" s="3">
        <f t="shared" si="33"/>
        <v>0</v>
      </c>
      <c r="BX55" s="3">
        <f t="shared" si="34"/>
        <v>0</v>
      </c>
      <c r="BY55" s="3">
        <f t="shared" si="35"/>
        <v>0</v>
      </c>
      <c r="BZ55" s="3">
        <f t="shared" si="36"/>
        <v>0</v>
      </c>
      <c r="CA55" s="3">
        <f t="shared" si="37"/>
        <v>0</v>
      </c>
      <c r="CB55" s="3">
        <f t="shared" si="38"/>
        <v>0</v>
      </c>
      <c r="CC55" s="3">
        <f t="shared" si="39"/>
        <v>0</v>
      </c>
      <c r="CD55" s="4"/>
      <c r="CH55" s="90">
        <v>0</v>
      </c>
      <c r="CI55" s="90">
        <v>0</v>
      </c>
      <c r="CJ55" s="90">
        <v>0</v>
      </c>
      <c r="CK55" s="90">
        <v>0</v>
      </c>
      <c r="CL55" s="90">
        <v>0</v>
      </c>
      <c r="CM55" s="91">
        <v>1</v>
      </c>
      <c r="CN55" s="91">
        <v>0</v>
      </c>
      <c r="CO55" s="91">
        <v>0</v>
      </c>
      <c r="CP55" s="90">
        <v>0</v>
      </c>
      <c r="CQ55" s="90">
        <v>0</v>
      </c>
      <c r="CR55" s="92">
        <f t="shared" si="41"/>
        <v>1</v>
      </c>
    </row>
    <row r="56" spans="1:96" ht="21.75" customHeight="1" x14ac:dyDescent="0.25">
      <c r="A56" s="55">
        <v>38</v>
      </c>
      <c r="B56" s="20" t="s">
        <v>119</v>
      </c>
      <c r="C56" s="9" t="s">
        <v>212</v>
      </c>
      <c r="D56" s="108">
        <v>0.35347222222222219</v>
      </c>
      <c r="E56" s="108">
        <v>0.95972222222222225</v>
      </c>
      <c r="F56" s="110">
        <v>0.5805555555555556</v>
      </c>
      <c r="G56" s="110">
        <v>0.87361111111111101</v>
      </c>
      <c r="H56" s="108">
        <v>0.35347222222222219</v>
      </c>
      <c r="I56" s="108">
        <v>0.91527777777777775</v>
      </c>
      <c r="J56" s="108">
        <v>0.35347222222222219</v>
      </c>
      <c r="K56" s="108">
        <v>0.9555555555555556</v>
      </c>
      <c r="L56" s="108">
        <v>0.3527777777777778</v>
      </c>
      <c r="M56" s="108">
        <v>0.90763888888888899</v>
      </c>
      <c r="N56" s="108">
        <v>0.35416666666666669</v>
      </c>
      <c r="O56" s="108">
        <v>0.92013888888888884</v>
      </c>
      <c r="P56" s="108">
        <v>0.35347222222222219</v>
      </c>
      <c r="Q56" s="108">
        <v>0.88958333333333339</v>
      </c>
      <c r="R56" s="108">
        <v>0.35347222222222219</v>
      </c>
      <c r="S56" s="108">
        <v>0.91041666666666676</v>
      </c>
      <c r="T56" s="120" t="s">
        <v>15</v>
      </c>
      <c r="U56" s="120" t="s">
        <v>15</v>
      </c>
      <c r="V56" s="108">
        <v>0.3527777777777778</v>
      </c>
      <c r="W56" s="108">
        <v>0.90416666666666667</v>
      </c>
      <c r="X56" s="108">
        <v>0.35347222222222219</v>
      </c>
      <c r="Y56" s="108">
        <v>0.89236111111111116</v>
      </c>
      <c r="Z56" s="108">
        <v>0.3527777777777778</v>
      </c>
      <c r="AA56" s="108">
        <v>0.89513888888888893</v>
      </c>
      <c r="AB56" s="108">
        <v>0.35347222222222219</v>
      </c>
      <c r="AC56" s="108">
        <v>0.88958333333333339</v>
      </c>
      <c r="AD56" s="108">
        <v>0.3520833333333333</v>
      </c>
      <c r="AE56" s="108">
        <v>0.88888888888888884</v>
      </c>
      <c r="AF56" s="108">
        <v>0.35347222222222219</v>
      </c>
      <c r="AG56" s="108">
        <v>0.9506944444444444</v>
      </c>
      <c r="AH56" s="60"/>
      <c r="AI56" s="77">
        <v>38</v>
      </c>
      <c r="AJ56" s="110">
        <v>0.58333333333333337</v>
      </c>
      <c r="AK56" s="110">
        <v>0.88611111111111107</v>
      </c>
      <c r="AL56" s="108">
        <v>0.3520833333333333</v>
      </c>
      <c r="AM56" s="108">
        <v>0.90277777777777779</v>
      </c>
      <c r="AN56" s="108">
        <v>0.35416666666666669</v>
      </c>
      <c r="AO56" s="108">
        <v>0.96180555555555547</v>
      </c>
      <c r="AP56" s="108">
        <v>0.35347222222222219</v>
      </c>
      <c r="AQ56" s="108">
        <v>0.91388888888888886</v>
      </c>
      <c r="AR56" s="108">
        <v>0.3527777777777778</v>
      </c>
      <c r="AS56" s="108">
        <v>0.92152777777777783</v>
      </c>
      <c r="AT56" s="108">
        <v>0.3520833333333333</v>
      </c>
      <c r="AU56" s="108">
        <v>0.91527777777777775</v>
      </c>
      <c r="AV56" s="108">
        <v>0.35347222222222219</v>
      </c>
      <c r="AW56" s="108">
        <v>0.8965277777777777</v>
      </c>
      <c r="AX56" s="120" t="s">
        <v>15</v>
      </c>
      <c r="AY56" s="120" t="s">
        <v>15</v>
      </c>
      <c r="AZ56" s="108">
        <v>0.3527777777777778</v>
      </c>
      <c r="BA56" s="108">
        <v>0.90347222222222223</v>
      </c>
      <c r="BB56" s="108">
        <v>0.3527777777777778</v>
      </c>
      <c r="BC56" s="108">
        <v>0.88888888888888884</v>
      </c>
      <c r="BD56" s="108">
        <v>0.3527777777777778</v>
      </c>
      <c r="BE56" s="108">
        <v>0.90277777777777779</v>
      </c>
      <c r="BF56" s="108">
        <v>0.3527777777777778</v>
      </c>
      <c r="BG56" s="108">
        <v>0.89930555555555547</v>
      </c>
      <c r="BH56" s="108">
        <v>0.3527777777777778</v>
      </c>
      <c r="BI56" s="119">
        <v>1</v>
      </c>
      <c r="BJ56" s="108">
        <v>0.3527777777777778</v>
      </c>
      <c r="BK56" s="108">
        <v>0.93402777777777779</v>
      </c>
      <c r="BL56" s="110">
        <v>0.5805555555555556</v>
      </c>
      <c r="BM56" s="110">
        <v>0.88680555555555562</v>
      </c>
      <c r="BN56" s="108">
        <v>0.3527777777777778</v>
      </c>
      <c r="BO56" s="108">
        <v>0.92222222222222217</v>
      </c>
      <c r="BP56" s="12">
        <f t="shared" si="27"/>
        <v>31</v>
      </c>
      <c r="BQ56" s="118">
        <v>3</v>
      </c>
      <c r="BR56" s="2">
        <f t="shared" si="28"/>
        <v>29</v>
      </c>
      <c r="BS56" s="3">
        <f t="shared" si="29"/>
        <v>2</v>
      </c>
      <c r="BT56" s="3">
        <f t="shared" si="30"/>
        <v>0</v>
      </c>
      <c r="BU56" s="3">
        <f t="shared" si="31"/>
        <v>0</v>
      </c>
      <c r="BV56" s="3">
        <f t="shared" si="32"/>
        <v>0</v>
      </c>
      <c r="BW56" s="3">
        <f t="shared" si="33"/>
        <v>0</v>
      </c>
      <c r="BX56" s="3">
        <f t="shared" si="34"/>
        <v>0</v>
      </c>
      <c r="BY56" s="3">
        <f t="shared" si="35"/>
        <v>0</v>
      </c>
      <c r="BZ56" s="3">
        <f t="shared" si="36"/>
        <v>0</v>
      </c>
      <c r="CA56" s="3">
        <f t="shared" si="37"/>
        <v>0</v>
      </c>
      <c r="CB56" s="3">
        <f t="shared" si="38"/>
        <v>0</v>
      </c>
      <c r="CC56" s="3">
        <f t="shared" si="39"/>
        <v>0</v>
      </c>
      <c r="CD56" s="4"/>
      <c r="CH56" s="90">
        <v>0</v>
      </c>
      <c r="CI56" s="90">
        <v>0</v>
      </c>
      <c r="CJ56" s="90">
        <v>0</v>
      </c>
      <c r="CK56" s="90">
        <v>0</v>
      </c>
      <c r="CL56" s="90">
        <v>0</v>
      </c>
      <c r="CM56" s="91">
        <v>1</v>
      </c>
      <c r="CN56" s="91">
        <v>0</v>
      </c>
      <c r="CO56" s="91">
        <v>0</v>
      </c>
      <c r="CP56" s="90">
        <v>0</v>
      </c>
      <c r="CQ56" s="90">
        <v>0</v>
      </c>
      <c r="CR56" s="92">
        <f t="shared" si="41"/>
        <v>1</v>
      </c>
    </row>
    <row r="57" spans="1:96" ht="21.75" customHeight="1" x14ac:dyDescent="0.25">
      <c r="A57" s="55">
        <v>39</v>
      </c>
      <c r="B57" s="20" t="s">
        <v>120</v>
      </c>
      <c r="C57" s="9" t="s">
        <v>121</v>
      </c>
      <c r="D57" s="108">
        <v>0.35694444444444445</v>
      </c>
      <c r="E57" s="108">
        <v>0.96736111111111101</v>
      </c>
      <c r="F57" s="120" t="s">
        <v>15</v>
      </c>
      <c r="G57" s="120" t="s">
        <v>15</v>
      </c>
      <c r="H57" s="108">
        <v>0.35138888888888892</v>
      </c>
      <c r="I57" s="108">
        <v>0.97013888888888899</v>
      </c>
      <c r="J57" s="108">
        <v>0.35000000000000003</v>
      </c>
      <c r="K57" s="108">
        <v>0.98263888888888884</v>
      </c>
      <c r="L57" s="108">
        <v>0.3520833333333333</v>
      </c>
      <c r="M57" s="108">
        <v>0.98611111111111116</v>
      </c>
      <c r="N57" s="108">
        <v>0.35347222222222219</v>
      </c>
      <c r="O57" s="108">
        <v>0.99444444444444446</v>
      </c>
      <c r="P57" s="108">
        <v>0.35138888888888892</v>
      </c>
      <c r="Q57" s="108">
        <v>0.95833333333333337</v>
      </c>
      <c r="R57" s="108">
        <v>0.35347222222222219</v>
      </c>
      <c r="S57" s="108">
        <v>0.96875</v>
      </c>
      <c r="T57" s="110">
        <v>0.5805555555555556</v>
      </c>
      <c r="U57" s="110">
        <v>0.91875000000000007</v>
      </c>
      <c r="V57" s="108">
        <v>0.3520833333333333</v>
      </c>
      <c r="W57" s="108">
        <v>0.99236111111111114</v>
      </c>
      <c r="X57" s="108">
        <v>0.35069444444444442</v>
      </c>
      <c r="Y57" s="119">
        <v>1</v>
      </c>
      <c r="Z57" s="108">
        <v>0.35069444444444442</v>
      </c>
      <c r="AA57" s="108">
        <v>0.94930555555555562</v>
      </c>
      <c r="AB57" s="108">
        <v>0.35138888888888892</v>
      </c>
      <c r="AC57" s="108">
        <v>0.91875000000000007</v>
      </c>
      <c r="AD57" s="108">
        <v>0.35069444444444442</v>
      </c>
      <c r="AE57" s="108">
        <v>0.9770833333333333</v>
      </c>
      <c r="AF57" s="108">
        <v>0.35347222222222219</v>
      </c>
      <c r="AG57" s="108">
        <v>0.95972222222222225</v>
      </c>
      <c r="AH57" s="60"/>
      <c r="AI57" s="77">
        <v>39</v>
      </c>
      <c r="AJ57" s="120" t="s">
        <v>15</v>
      </c>
      <c r="AK57" s="120" t="s">
        <v>15</v>
      </c>
      <c r="AL57" s="108">
        <v>0.35347222222222219</v>
      </c>
      <c r="AM57" s="108">
        <v>0.94027777777777777</v>
      </c>
      <c r="AN57" s="108">
        <v>0.35069444444444442</v>
      </c>
      <c r="AO57" s="108">
        <v>0.96180555555555547</v>
      </c>
      <c r="AP57" s="108">
        <v>0.3520833333333333</v>
      </c>
      <c r="AQ57" s="108">
        <v>0.97916666666666663</v>
      </c>
      <c r="AR57" s="108">
        <v>0.3527777777777778</v>
      </c>
      <c r="AS57" s="108">
        <v>0.97916666666666663</v>
      </c>
      <c r="AT57" s="108">
        <v>0.3520833333333333</v>
      </c>
      <c r="AU57" s="108">
        <v>0.95000000000000007</v>
      </c>
      <c r="AV57" s="108">
        <v>0.35138888888888892</v>
      </c>
      <c r="AW57" s="108">
        <v>2.0833333333333333E-3</v>
      </c>
      <c r="AX57" s="110">
        <v>0.57986111111111105</v>
      </c>
      <c r="AY57" s="110">
        <v>0.94791666666666663</v>
      </c>
      <c r="AZ57" s="108">
        <v>0.35347222222222219</v>
      </c>
      <c r="BA57" s="108">
        <v>0.94166666666666676</v>
      </c>
      <c r="BB57" s="108">
        <v>0.35000000000000003</v>
      </c>
      <c r="BC57" s="108">
        <v>0.97083333333333333</v>
      </c>
      <c r="BD57" s="108">
        <v>0.35347222222222219</v>
      </c>
      <c r="BE57" s="108">
        <v>0.93888888888888899</v>
      </c>
      <c r="BF57" s="108">
        <v>0.35416666666666669</v>
      </c>
      <c r="BG57" s="108">
        <v>0.94374999999999998</v>
      </c>
      <c r="BH57" s="108">
        <v>0.35000000000000003</v>
      </c>
      <c r="BI57" s="108">
        <v>5.5555555555555558E-3</v>
      </c>
      <c r="BJ57" s="108">
        <v>0.3527777777777778</v>
      </c>
      <c r="BK57" s="108">
        <v>0.98472222222222217</v>
      </c>
      <c r="BL57" s="120" t="s">
        <v>15</v>
      </c>
      <c r="BM57" s="120" t="s">
        <v>15</v>
      </c>
      <c r="BN57" s="108">
        <v>0.3520833333333333</v>
      </c>
      <c r="BO57" s="108">
        <v>0.96458333333333324</v>
      </c>
      <c r="BP57" s="12">
        <f t="shared" si="27"/>
        <v>31</v>
      </c>
      <c r="BQ57" s="118">
        <v>2</v>
      </c>
      <c r="BR57" s="2">
        <f t="shared" si="28"/>
        <v>28</v>
      </c>
      <c r="BS57" s="3">
        <f t="shared" si="29"/>
        <v>3</v>
      </c>
      <c r="BT57" s="3">
        <f t="shared" si="30"/>
        <v>0</v>
      </c>
      <c r="BU57" s="3">
        <f t="shared" si="31"/>
        <v>0</v>
      </c>
      <c r="BV57" s="3">
        <f t="shared" si="32"/>
        <v>0</v>
      </c>
      <c r="BW57" s="3">
        <f t="shared" si="33"/>
        <v>0</v>
      </c>
      <c r="BX57" s="3">
        <f t="shared" si="34"/>
        <v>0</v>
      </c>
      <c r="BY57" s="3">
        <f t="shared" si="35"/>
        <v>0</v>
      </c>
      <c r="BZ57" s="3">
        <f t="shared" si="36"/>
        <v>0</v>
      </c>
      <c r="CA57" s="3">
        <f t="shared" si="37"/>
        <v>0</v>
      </c>
      <c r="CB57" s="3">
        <f t="shared" si="38"/>
        <v>0</v>
      </c>
      <c r="CC57" s="3">
        <f t="shared" si="39"/>
        <v>0</v>
      </c>
      <c r="CD57" s="4"/>
      <c r="CH57" s="90">
        <v>0</v>
      </c>
      <c r="CI57" s="90">
        <v>0</v>
      </c>
      <c r="CJ57" s="90">
        <v>0</v>
      </c>
      <c r="CK57" s="90">
        <v>0</v>
      </c>
      <c r="CL57" s="90">
        <v>0</v>
      </c>
      <c r="CM57" s="91">
        <v>1</v>
      </c>
      <c r="CN57" s="91">
        <v>0</v>
      </c>
      <c r="CO57" s="91">
        <v>2</v>
      </c>
      <c r="CP57" s="90">
        <v>0</v>
      </c>
      <c r="CQ57" s="90">
        <v>0</v>
      </c>
      <c r="CR57" s="92">
        <f t="shared" si="41"/>
        <v>3</v>
      </c>
    </row>
    <row r="58" spans="1:96" ht="21.75" customHeight="1" x14ac:dyDescent="0.25">
      <c r="A58" s="55">
        <v>40</v>
      </c>
      <c r="B58" s="20" t="s">
        <v>122</v>
      </c>
      <c r="C58" s="9" t="s">
        <v>211</v>
      </c>
      <c r="D58" s="108">
        <v>0.35347222222222219</v>
      </c>
      <c r="E58" s="108">
        <v>0.94444444444444453</v>
      </c>
      <c r="F58" s="110">
        <v>0.58194444444444449</v>
      </c>
      <c r="G58" s="110">
        <v>0.94513888888888886</v>
      </c>
      <c r="H58" s="108">
        <v>0.34513888888888888</v>
      </c>
      <c r="I58" s="108">
        <v>0.94374999999999998</v>
      </c>
      <c r="J58" s="108">
        <v>0.3527777777777778</v>
      </c>
      <c r="K58" s="108">
        <v>0.93541666666666667</v>
      </c>
      <c r="L58" s="108">
        <v>0.3527777777777778</v>
      </c>
      <c r="M58" s="108">
        <v>0.97361111111111109</v>
      </c>
      <c r="N58" s="108">
        <v>0.3520833333333333</v>
      </c>
      <c r="O58" s="108">
        <v>0.96875</v>
      </c>
      <c r="P58" s="108">
        <v>0.35138888888888892</v>
      </c>
      <c r="Q58" s="108">
        <v>0.93333333333333324</v>
      </c>
      <c r="R58" s="108">
        <v>0.35902777777777778</v>
      </c>
      <c r="S58" s="108">
        <v>0.94027777777777777</v>
      </c>
      <c r="T58" s="120" t="s">
        <v>15</v>
      </c>
      <c r="U58" s="120" t="s">
        <v>15</v>
      </c>
      <c r="V58" s="108">
        <v>0.35486111111111113</v>
      </c>
      <c r="W58" s="108">
        <v>0.95208333333333339</v>
      </c>
      <c r="X58" s="108">
        <v>0.3527777777777778</v>
      </c>
      <c r="Y58" s="108">
        <v>0.92708333333333337</v>
      </c>
      <c r="Z58" s="108">
        <v>0.35416666666666669</v>
      </c>
      <c r="AA58" s="108">
        <v>0.93472222222222223</v>
      </c>
      <c r="AB58" s="108">
        <v>0.35347222222222219</v>
      </c>
      <c r="AC58" s="108">
        <v>0.94374999999999998</v>
      </c>
      <c r="AD58" s="108">
        <v>0.35416666666666669</v>
      </c>
      <c r="AE58" s="108">
        <v>0.95208333333333339</v>
      </c>
      <c r="AF58" s="108">
        <v>0.35416666666666669</v>
      </c>
      <c r="AG58" s="108">
        <v>0.96180555555555547</v>
      </c>
      <c r="AH58" s="60"/>
      <c r="AI58" s="77">
        <v>40</v>
      </c>
      <c r="AJ58" s="110">
        <v>0.57916666666666672</v>
      </c>
      <c r="AK58" s="110">
        <v>0.94861111111111107</v>
      </c>
      <c r="AL58" s="108">
        <v>0.34722222222222227</v>
      </c>
      <c r="AM58" s="108">
        <v>0.95416666666666661</v>
      </c>
      <c r="AN58" s="108">
        <v>0.35138888888888892</v>
      </c>
      <c r="AO58" s="108">
        <v>0.9472222222222223</v>
      </c>
      <c r="AP58" s="108">
        <v>0.3520833333333333</v>
      </c>
      <c r="AQ58" s="108">
        <v>0.9555555555555556</v>
      </c>
      <c r="AR58" s="108">
        <v>0.35555555555555557</v>
      </c>
      <c r="AS58" s="108">
        <v>0.9458333333333333</v>
      </c>
      <c r="AT58" s="108">
        <v>0.3527777777777778</v>
      </c>
      <c r="AU58" s="119">
        <v>1</v>
      </c>
      <c r="AV58" s="108">
        <v>0.52847222222222223</v>
      </c>
      <c r="AW58" s="119">
        <v>1</v>
      </c>
      <c r="AX58" s="110">
        <v>0.77986111111111101</v>
      </c>
      <c r="AY58" s="120">
        <v>1</v>
      </c>
      <c r="AZ58" s="108">
        <v>0.88402777777777775</v>
      </c>
      <c r="BA58" s="119">
        <v>1</v>
      </c>
      <c r="BB58" s="108">
        <v>0.35486111111111113</v>
      </c>
      <c r="BC58" s="119">
        <v>1</v>
      </c>
      <c r="BD58" s="108">
        <v>0.59791666666666665</v>
      </c>
      <c r="BE58" s="119">
        <v>1</v>
      </c>
      <c r="BF58" s="108">
        <v>0.53749999999999998</v>
      </c>
      <c r="BG58" s="108">
        <v>0.95000000000000007</v>
      </c>
      <c r="BH58" s="108">
        <v>0.3527777777777778</v>
      </c>
      <c r="BI58" s="108">
        <v>0.97361111111111109</v>
      </c>
      <c r="BJ58" s="108">
        <v>0.35625000000000001</v>
      </c>
      <c r="BK58" s="108">
        <v>0.97430555555555554</v>
      </c>
      <c r="BL58" s="110">
        <v>0.57777777777777783</v>
      </c>
      <c r="BM58" s="110">
        <v>0.91666666666666663</v>
      </c>
      <c r="BN58" s="108">
        <v>0.35347222222222219</v>
      </c>
      <c r="BO58" s="108">
        <v>0.96250000000000002</v>
      </c>
      <c r="BP58" s="12">
        <f t="shared" si="27"/>
        <v>31</v>
      </c>
      <c r="BQ58" s="118">
        <v>4</v>
      </c>
      <c r="BR58" s="2">
        <f t="shared" si="28"/>
        <v>30</v>
      </c>
      <c r="BS58" s="3">
        <f t="shared" si="29"/>
        <v>1</v>
      </c>
      <c r="BT58" s="3">
        <f t="shared" si="30"/>
        <v>0</v>
      </c>
      <c r="BU58" s="3">
        <f t="shared" si="31"/>
        <v>0</v>
      </c>
      <c r="BV58" s="3">
        <f t="shared" si="32"/>
        <v>0</v>
      </c>
      <c r="BW58" s="3">
        <f t="shared" si="33"/>
        <v>0</v>
      </c>
      <c r="BX58" s="3">
        <f t="shared" si="34"/>
        <v>0</v>
      </c>
      <c r="BY58" s="3">
        <f t="shared" si="35"/>
        <v>0</v>
      </c>
      <c r="BZ58" s="3">
        <f t="shared" si="36"/>
        <v>0</v>
      </c>
      <c r="CA58" s="3">
        <f t="shared" si="37"/>
        <v>0</v>
      </c>
      <c r="CB58" s="3">
        <f t="shared" si="38"/>
        <v>0</v>
      </c>
      <c r="CC58" s="3">
        <f t="shared" si="39"/>
        <v>0</v>
      </c>
      <c r="CD58" s="4"/>
      <c r="CH58" s="90">
        <v>0</v>
      </c>
      <c r="CI58" s="90">
        <v>0</v>
      </c>
      <c r="CJ58" s="90">
        <v>0</v>
      </c>
      <c r="CK58" s="90">
        <v>0</v>
      </c>
      <c r="CL58" s="90">
        <v>0</v>
      </c>
      <c r="CM58" s="90">
        <v>0</v>
      </c>
      <c r="CN58" s="91">
        <v>0</v>
      </c>
      <c r="CO58" s="91">
        <v>0</v>
      </c>
      <c r="CP58" s="90">
        <v>0</v>
      </c>
      <c r="CQ58" s="90">
        <v>0</v>
      </c>
      <c r="CR58" s="92">
        <f t="shared" si="41"/>
        <v>0</v>
      </c>
    </row>
    <row r="59" spans="1:96" ht="21.75" customHeight="1" x14ac:dyDescent="0.25">
      <c r="A59" s="55">
        <v>41</v>
      </c>
      <c r="B59" s="20" t="s">
        <v>126</v>
      </c>
      <c r="C59" s="9" t="s">
        <v>213</v>
      </c>
      <c r="D59" s="108">
        <v>0.55347222222222225</v>
      </c>
      <c r="E59" s="108">
        <v>0.98472222222222217</v>
      </c>
      <c r="F59" s="110">
        <v>0.57777777777777783</v>
      </c>
      <c r="G59" s="110">
        <v>0.96319444444444446</v>
      </c>
      <c r="H59" s="108">
        <v>0.35347222222222219</v>
      </c>
      <c r="I59" s="108">
        <v>0.97152777777777777</v>
      </c>
      <c r="J59" s="108">
        <v>0.3527777777777778</v>
      </c>
      <c r="K59" s="108">
        <v>0.96666666666666667</v>
      </c>
      <c r="L59" s="108">
        <v>0.35347222222222219</v>
      </c>
      <c r="M59" s="108">
        <v>0.96736111111111101</v>
      </c>
      <c r="N59" s="108">
        <v>0.35347222222222219</v>
      </c>
      <c r="O59" s="108">
        <v>0.95624999999999993</v>
      </c>
      <c r="P59" s="108">
        <v>0.35416666666666669</v>
      </c>
      <c r="Q59" s="108">
        <v>0.95347222222222217</v>
      </c>
      <c r="R59" s="108">
        <v>0.35347222222222219</v>
      </c>
      <c r="S59" s="108">
        <v>0.97152777777777777</v>
      </c>
      <c r="T59" s="120" t="s">
        <v>15</v>
      </c>
      <c r="U59" s="120" t="s">
        <v>15</v>
      </c>
      <c r="V59" s="108">
        <v>0.35347222222222219</v>
      </c>
      <c r="W59" s="108">
        <v>0.96458333333333324</v>
      </c>
      <c r="X59" s="108">
        <v>0.35347222222222219</v>
      </c>
      <c r="Y59" s="108">
        <v>0.95208333333333339</v>
      </c>
      <c r="Z59" s="108">
        <v>0.35416666666666669</v>
      </c>
      <c r="AA59" s="108">
        <v>0.95347222222222217</v>
      </c>
      <c r="AB59" s="108">
        <v>0.35347222222222219</v>
      </c>
      <c r="AC59" s="108">
        <v>0.95486111111111116</v>
      </c>
      <c r="AD59" s="108">
        <v>0.35347222222222219</v>
      </c>
      <c r="AE59" s="108">
        <v>0.94861111111111107</v>
      </c>
      <c r="AF59" s="108">
        <v>0.35347222222222219</v>
      </c>
      <c r="AG59" s="108">
        <v>0.96875</v>
      </c>
      <c r="AH59" s="60"/>
      <c r="AI59" s="77">
        <v>41</v>
      </c>
      <c r="AJ59" s="110">
        <v>0.57916666666666672</v>
      </c>
      <c r="AK59" s="110">
        <v>0.95000000000000007</v>
      </c>
      <c r="AL59" s="108">
        <v>0.35347222222222219</v>
      </c>
      <c r="AM59" s="108">
        <v>0.96388888888888891</v>
      </c>
      <c r="AN59" s="108">
        <v>0.35347222222222219</v>
      </c>
      <c r="AO59" s="108">
        <v>0.94652777777777775</v>
      </c>
      <c r="AP59" s="108">
        <v>0.35347222222222219</v>
      </c>
      <c r="AQ59" s="108">
        <v>0.9506944444444444</v>
      </c>
      <c r="AR59" s="108">
        <v>0.35347222222222219</v>
      </c>
      <c r="AS59" s="108">
        <v>0.95972222222222225</v>
      </c>
      <c r="AT59" s="108">
        <v>0.35416666666666669</v>
      </c>
      <c r="AU59" s="108">
        <v>0.95000000000000007</v>
      </c>
      <c r="AV59" s="108">
        <v>0.35416666666666669</v>
      </c>
      <c r="AW59" s="108">
        <v>0.97291666666666676</v>
      </c>
      <c r="AX59" s="120" t="s">
        <v>15</v>
      </c>
      <c r="AY59" s="120" t="s">
        <v>15</v>
      </c>
      <c r="AZ59" s="108">
        <v>0.35416666666666669</v>
      </c>
      <c r="BA59" s="108">
        <v>0.96458333333333324</v>
      </c>
      <c r="BB59" s="108">
        <v>0.3527777777777778</v>
      </c>
      <c r="BC59" s="108">
        <v>0.9555555555555556</v>
      </c>
      <c r="BD59" s="108">
        <v>0.3527777777777778</v>
      </c>
      <c r="BE59" s="108">
        <v>0.95277777777777783</v>
      </c>
      <c r="BF59" s="108">
        <v>0.35347222222222219</v>
      </c>
      <c r="BG59" s="119">
        <v>1</v>
      </c>
      <c r="BH59" s="108">
        <v>0.3527777777777778</v>
      </c>
      <c r="BI59" s="108">
        <v>0.9472222222222223</v>
      </c>
      <c r="BJ59" s="108">
        <v>0.35416666666666669</v>
      </c>
      <c r="BK59" s="108">
        <v>0.97291666666666676</v>
      </c>
      <c r="BL59" s="110">
        <v>0.57916666666666672</v>
      </c>
      <c r="BM59" s="110">
        <v>0.9555555555555556</v>
      </c>
      <c r="BN59" s="108">
        <v>0.35347222222222219</v>
      </c>
      <c r="BO59" s="108">
        <v>0.96736111111111101</v>
      </c>
      <c r="BP59" s="12">
        <f t="shared" si="27"/>
        <v>31</v>
      </c>
      <c r="BQ59" s="118">
        <v>3</v>
      </c>
      <c r="BR59" s="2">
        <f t="shared" si="28"/>
        <v>29</v>
      </c>
      <c r="BS59" s="3">
        <f t="shared" si="29"/>
        <v>2</v>
      </c>
      <c r="BT59" s="3">
        <f t="shared" si="30"/>
        <v>0</v>
      </c>
      <c r="BU59" s="3">
        <f t="shared" si="31"/>
        <v>0</v>
      </c>
      <c r="BV59" s="3">
        <f t="shared" si="32"/>
        <v>0</v>
      </c>
      <c r="BW59" s="3">
        <f t="shared" si="33"/>
        <v>0</v>
      </c>
      <c r="BX59" s="3">
        <f t="shared" si="34"/>
        <v>0</v>
      </c>
      <c r="BY59" s="3">
        <f t="shared" si="35"/>
        <v>0</v>
      </c>
      <c r="BZ59" s="3">
        <f t="shared" si="36"/>
        <v>0</v>
      </c>
      <c r="CA59" s="3">
        <f t="shared" si="37"/>
        <v>0</v>
      </c>
      <c r="CB59" s="3">
        <f t="shared" si="38"/>
        <v>0</v>
      </c>
      <c r="CC59" s="3">
        <f t="shared" si="39"/>
        <v>0</v>
      </c>
      <c r="CD59" s="4"/>
      <c r="CH59" s="90">
        <v>0</v>
      </c>
      <c r="CI59" s="90">
        <v>0</v>
      </c>
      <c r="CJ59" s="90">
        <v>0</v>
      </c>
      <c r="CK59" s="90">
        <v>0</v>
      </c>
      <c r="CL59" s="90">
        <v>0</v>
      </c>
      <c r="CM59" s="90">
        <v>0</v>
      </c>
      <c r="CN59" s="91">
        <v>0</v>
      </c>
      <c r="CO59" s="91">
        <v>0</v>
      </c>
      <c r="CP59" s="90">
        <v>0</v>
      </c>
      <c r="CQ59" s="90">
        <v>0</v>
      </c>
      <c r="CR59" s="92">
        <f t="shared" si="41"/>
        <v>0</v>
      </c>
    </row>
    <row r="60" spans="1:96" ht="21.75" customHeight="1" x14ac:dyDescent="0.25">
      <c r="A60" s="55">
        <v>42</v>
      </c>
      <c r="B60" s="20" t="s">
        <v>127</v>
      </c>
      <c r="C60" s="9" t="s">
        <v>128</v>
      </c>
      <c r="D60" s="108">
        <v>0.33958333333333335</v>
      </c>
      <c r="E60" s="108">
        <v>0.99791666666666667</v>
      </c>
      <c r="F60" s="110">
        <v>0.56736111111111109</v>
      </c>
      <c r="G60" s="120">
        <v>1</v>
      </c>
      <c r="H60" s="108">
        <v>0.32430555555555557</v>
      </c>
      <c r="I60" s="108">
        <v>0.9770833333333333</v>
      </c>
      <c r="J60" s="108">
        <v>0.33263888888888887</v>
      </c>
      <c r="K60" s="108">
        <v>0.97291666666666676</v>
      </c>
      <c r="L60" s="108">
        <v>0.33124999999999999</v>
      </c>
      <c r="M60" s="108">
        <v>0.97083333333333333</v>
      </c>
      <c r="N60" s="108">
        <v>0.33124999999999999</v>
      </c>
      <c r="O60" s="108">
        <v>0.95972222222222225</v>
      </c>
      <c r="P60" s="108">
        <v>0.32777777777777778</v>
      </c>
      <c r="Q60" s="108">
        <v>0.96111111111111114</v>
      </c>
      <c r="R60" s="108">
        <v>0.32777777777777778</v>
      </c>
      <c r="S60" s="119">
        <v>1</v>
      </c>
      <c r="T60" s="110">
        <v>0.5756944444444444</v>
      </c>
      <c r="U60" s="110">
        <v>0.95833333333333337</v>
      </c>
      <c r="V60" s="108">
        <v>0.3527777777777778</v>
      </c>
      <c r="W60" s="108">
        <v>0.97430555555555554</v>
      </c>
      <c r="X60" s="108">
        <v>0.3263888888888889</v>
      </c>
      <c r="Y60" s="108">
        <v>0.9590277777777777</v>
      </c>
      <c r="Z60" s="108">
        <v>0.32500000000000001</v>
      </c>
      <c r="AA60" s="108">
        <v>0.96458333333333324</v>
      </c>
      <c r="AB60" s="108">
        <v>0.3298611111111111</v>
      </c>
      <c r="AC60" s="108">
        <v>0.95624999999999993</v>
      </c>
      <c r="AD60" s="108">
        <v>0.32777777777777778</v>
      </c>
      <c r="AE60" s="108">
        <v>0.95347222222222217</v>
      </c>
      <c r="AF60" s="108">
        <v>0.3298611111111111</v>
      </c>
      <c r="AG60" s="108">
        <v>0.97916666666666663</v>
      </c>
      <c r="AH60" s="60"/>
      <c r="AI60" s="77">
        <v>42</v>
      </c>
      <c r="AJ60" s="110">
        <v>0.56111111111111112</v>
      </c>
      <c r="AK60" s="110">
        <v>0.94930555555555562</v>
      </c>
      <c r="AL60" s="108">
        <v>0.35138888888888892</v>
      </c>
      <c r="AM60" s="108">
        <v>0.96458333333333324</v>
      </c>
      <c r="AN60" s="108">
        <v>0.3263888888888889</v>
      </c>
      <c r="AO60" s="108">
        <v>0.95624999999999993</v>
      </c>
      <c r="AP60" s="108">
        <v>0.32847222222222222</v>
      </c>
      <c r="AQ60" s="108">
        <v>0.95972222222222225</v>
      </c>
      <c r="AR60" s="108">
        <v>0.33194444444444443</v>
      </c>
      <c r="AS60" s="108">
        <v>0.96458333333333324</v>
      </c>
      <c r="AT60" s="108">
        <v>0.31875000000000003</v>
      </c>
      <c r="AU60" s="108">
        <v>0.96111111111111114</v>
      </c>
      <c r="AV60" s="108">
        <v>0.34027777777777773</v>
      </c>
      <c r="AW60" s="108">
        <v>0.97569444444444453</v>
      </c>
      <c r="AX60" s="110">
        <v>0.56874999999999998</v>
      </c>
      <c r="AY60" s="110">
        <v>0.9506944444444444</v>
      </c>
      <c r="AZ60" s="108">
        <v>0.31875000000000003</v>
      </c>
      <c r="BA60" s="108">
        <v>0.96458333333333324</v>
      </c>
      <c r="BB60" s="108">
        <v>0.32777777777777778</v>
      </c>
      <c r="BC60" s="108">
        <v>0.95347222222222217</v>
      </c>
      <c r="BD60" s="108">
        <v>0.32569444444444445</v>
      </c>
      <c r="BE60" s="108">
        <v>0.95208333333333339</v>
      </c>
      <c r="BF60" s="108">
        <v>0.34375</v>
      </c>
      <c r="BG60" s="108">
        <v>0.96250000000000002</v>
      </c>
      <c r="BH60" s="108">
        <v>0.31875000000000003</v>
      </c>
      <c r="BI60" s="108">
        <v>0.94930555555555562</v>
      </c>
      <c r="BJ60" s="108">
        <v>0.3354166666666667</v>
      </c>
      <c r="BK60" s="108">
        <v>0.97638888888888886</v>
      </c>
      <c r="BL60" s="110">
        <v>0.57777777777777783</v>
      </c>
      <c r="BM60" s="110">
        <v>0.95486111111111116</v>
      </c>
      <c r="BN60" s="108">
        <v>0.31944444444444448</v>
      </c>
      <c r="BO60" s="108">
        <v>0.97013888888888899</v>
      </c>
      <c r="BP60" s="12">
        <f t="shared" si="27"/>
        <v>31</v>
      </c>
      <c r="BQ60" s="118">
        <v>5</v>
      </c>
      <c r="BR60" s="2">
        <f t="shared" si="28"/>
        <v>31</v>
      </c>
      <c r="BS60" s="3">
        <f t="shared" si="29"/>
        <v>0</v>
      </c>
      <c r="BT60" s="3">
        <f t="shared" si="30"/>
        <v>0</v>
      </c>
      <c r="BU60" s="3">
        <f t="shared" si="31"/>
        <v>0</v>
      </c>
      <c r="BV60" s="3">
        <f t="shared" si="32"/>
        <v>0</v>
      </c>
      <c r="BW60" s="3">
        <f t="shared" si="33"/>
        <v>0</v>
      </c>
      <c r="BX60" s="3">
        <f t="shared" si="34"/>
        <v>0</v>
      </c>
      <c r="BY60" s="3">
        <f t="shared" si="35"/>
        <v>0</v>
      </c>
      <c r="BZ60" s="3">
        <f t="shared" si="36"/>
        <v>0</v>
      </c>
      <c r="CA60" s="3">
        <f t="shared" si="37"/>
        <v>0</v>
      </c>
      <c r="CB60" s="3">
        <f t="shared" si="38"/>
        <v>0</v>
      </c>
      <c r="CC60" s="3">
        <f t="shared" si="39"/>
        <v>0</v>
      </c>
      <c r="CD60" s="4"/>
      <c r="CH60" s="90">
        <v>0</v>
      </c>
      <c r="CI60" s="90">
        <v>0</v>
      </c>
      <c r="CJ60" s="90">
        <v>0</v>
      </c>
      <c r="CK60" s="90">
        <v>0</v>
      </c>
      <c r="CL60" s="90">
        <v>0</v>
      </c>
      <c r="CM60" s="90">
        <v>0</v>
      </c>
      <c r="CN60" s="91">
        <v>0</v>
      </c>
      <c r="CO60" s="91">
        <v>0</v>
      </c>
      <c r="CP60" s="90">
        <v>0</v>
      </c>
      <c r="CQ60" s="90">
        <v>0</v>
      </c>
      <c r="CR60" s="92">
        <f t="shared" si="41"/>
        <v>0</v>
      </c>
    </row>
    <row r="61" spans="1:96" ht="21.75" customHeight="1" x14ac:dyDescent="0.25">
      <c r="A61" s="55">
        <v>43</v>
      </c>
      <c r="B61" s="20" t="s">
        <v>129</v>
      </c>
      <c r="C61" s="9" t="s">
        <v>130</v>
      </c>
      <c r="D61" s="108">
        <v>0.35000000000000003</v>
      </c>
      <c r="E61" s="108">
        <v>0.96388888888888891</v>
      </c>
      <c r="F61" s="110">
        <v>0.58333333333333337</v>
      </c>
      <c r="G61" s="120">
        <v>1</v>
      </c>
      <c r="H61" s="108">
        <v>0.35069444444444442</v>
      </c>
      <c r="I61" s="108">
        <v>0.97013888888888899</v>
      </c>
      <c r="J61" s="108">
        <v>0.35069444444444442</v>
      </c>
      <c r="K61" s="108">
        <v>0.96736111111111101</v>
      </c>
      <c r="L61" s="108">
        <v>0.34930555555555554</v>
      </c>
      <c r="M61" s="108">
        <v>0.95833333333333337</v>
      </c>
      <c r="N61" s="108">
        <v>0.34861111111111115</v>
      </c>
      <c r="O61" s="108">
        <v>0.96388888888888891</v>
      </c>
      <c r="P61" s="108">
        <v>0.3520833333333333</v>
      </c>
      <c r="Q61" s="108">
        <v>0.96527777777777779</v>
      </c>
      <c r="R61" s="108">
        <v>0.34930555555555554</v>
      </c>
      <c r="S61" s="108">
        <v>0.96944444444444444</v>
      </c>
      <c r="T61" s="120" t="s">
        <v>15</v>
      </c>
      <c r="U61" s="120" t="s">
        <v>15</v>
      </c>
      <c r="V61" s="108">
        <v>0.3527777777777778</v>
      </c>
      <c r="W61" s="108">
        <v>0.96597222222222223</v>
      </c>
      <c r="X61" s="108">
        <v>0.3520833333333333</v>
      </c>
      <c r="Y61" s="108">
        <v>0.95972222222222225</v>
      </c>
      <c r="Z61" s="108">
        <v>0.3520833333333333</v>
      </c>
      <c r="AA61" s="108">
        <v>0.95833333333333337</v>
      </c>
      <c r="AB61" s="108">
        <v>0.35000000000000003</v>
      </c>
      <c r="AC61" s="108">
        <v>0.94513888888888886</v>
      </c>
      <c r="AD61" s="108">
        <v>0.34861111111111115</v>
      </c>
      <c r="AE61" s="108">
        <v>0.97777777777777775</v>
      </c>
      <c r="AF61" s="108">
        <v>0.34930555555555554</v>
      </c>
      <c r="AG61" s="108">
        <v>0.9590277777777777</v>
      </c>
      <c r="AH61" s="60"/>
      <c r="AI61" s="77">
        <v>43</v>
      </c>
      <c r="AJ61" s="110">
        <v>0.58333333333333337</v>
      </c>
      <c r="AK61" s="110">
        <v>0.9458333333333333</v>
      </c>
      <c r="AL61" s="108">
        <v>0.34791666666666665</v>
      </c>
      <c r="AM61" s="108">
        <v>0.96180555555555547</v>
      </c>
      <c r="AN61" s="108">
        <v>0.35069444444444442</v>
      </c>
      <c r="AO61" s="108">
        <v>0.9590277777777777</v>
      </c>
      <c r="AP61" s="108">
        <v>0.34930555555555554</v>
      </c>
      <c r="AQ61" s="108">
        <v>0.9590277777777777</v>
      </c>
      <c r="AR61" s="108">
        <v>0.35000000000000003</v>
      </c>
      <c r="AS61" s="108">
        <v>0.9590277777777777</v>
      </c>
      <c r="AT61" s="108">
        <v>0.35138888888888892</v>
      </c>
      <c r="AU61" s="108">
        <v>0.95208333333333339</v>
      </c>
      <c r="AV61" s="108">
        <v>0.35138888888888892</v>
      </c>
      <c r="AW61" s="108">
        <v>0.98125000000000007</v>
      </c>
      <c r="AX61" s="120" t="s">
        <v>15</v>
      </c>
      <c r="AY61" s="120" t="s">
        <v>15</v>
      </c>
      <c r="AZ61" s="108">
        <v>0.3520833333333333</v>
      </c>
      <c r="BA61" s="108">
        <v>0.96111111111111114</v>
      </c>
      <c r="BB61" s="108">
        <v>0.35069444444444442</v>
      </c>
      <c r="BC61" s="108">
        <v>0.96458333333333324</v>
      </c>
      <c r="BD61" s="108">
        <v>0.35000000000000003</v>
      </c>
      <c r="BE61" s="108">
        <v>0.9555555555555556</v>
      </c>
      <c r="BF61" s="108">
        <v>0.35138888888888892</v>
      </c>
      <c r="BG61" s="108">
        <v>0.95208333333333339</v>
      </c>
      <c r="BH61" s="108">
        <v>0.34791666666666665</v>
      </c>
      <c r="BI61" s="108">
        <v>0.95277777777777783</v>
      </c>
      <c r="BJ61" s="108">
        <v>0.35347222222222219</v>
      </c>
      <c r="BK61" s="108">
        <v>0.97499999999999998</v>
      </c>
      <c r="BL61" s="110">
        <v>0.58263888888888882</v>
      </c>
      <c r="BM61" s="110">
        <v>0.96458333333333324</v>
      </c>
      <c r="BN61" s="108">
        <v>0.35555555555555557</v>
      </c>
      <c r="BO61" s="108">
        <v>0.96388888888888891</v>
      </c>
      <c r="BP61" s="12">
        <f t="shared" si="27"/>
        <v>31</v>
      </c>
      <c r="BQ61" s="118">
        <v>3</v>
      </c>
      <c r="BR61" s="2">
        <f t="shared" si="28"/>
        <v>29</v>
      </c>
      <c r="BS61" s="3">
        <f t="shared" si="29"/>
        <v>2</v>
      </c>
      <c r="BT61" s="3">
        <f t="shared" si="30"/>
        <v>0</v>
      </c>
      <c r="BU61" s="3">
        <f t="shared" si="31"/>
        <v>0</v>
      </c>
      <c r="BV61" s="3">
        <f t="shared" si="32"/>
        <v>0</v>
      </c>
      <c r="BW61" s="3">
        <f t="shared" si="33"/>
        <v>0</v>
      </c>
      <c r="BX61" s="3">
        <f t="shared" si="34"/>
        <v>0</v>
      </c>
      <c r="BY61" s="3">
        <f t="shared" si="35"/>
        <v>0</v>
      </c>
      <c r="BZ61" s="3">
        <f t="shared" si="36"/>
        <v>0</v>
      </c>
      <c r="CA61" s="3">
        <f t="shared" si="37"/>
        <v>0</v>
      </c>
      <c r="CB61" s="3">
        <f t="shared" si="38"/>
        <v>0</v>
      </c>
      <c r="CC61" s="3">
        <f t="shared" si="39"/>
        <v>0</v>
      </c>
      <c r="CD61" s="4"/>
      <c r="CH61" s="90">
        <v>0</v>
      </c>
      <c r="CI61" s="90">
        <v>0</v>
      </c>
      <c r="CJ61" s="90">
        <v>0</v>
      </c>
      <c r="CK61" s="90">
        <v>0</v>
      </c>
      <c r="CL61" s="90">
        <v>0</v>
      </c>
      <c r="CM61" s="90">
        <v>0</v>
      </c>
      <c r="CN61" s="91">
        <v>0</v>
      </c>
      <c r="CO61" s="91">
        <v>0</v>
      </c>
      <c r="CP61" s="90">
        <v>0</v>
      </c>
      <c r="CQ61" s="90">
        <v>0</v>
      </c>
      <c r="CR61" s="92">
        <f t="shared" si="41"/>
        <v>0</v>
      </c>
    </row>
    <row r="62" spans="1:96" ht="21.75" customHeight="1" x14ac:dyDescent="0.25">
      <c r="A62" s="55">
        <v>44</v>
      </c>
      <c r="B62" s="20" t="s">
        <v>131</v>
      </c>
      <c r="C62" s="9" t="s">
        <v>209</v>
      </c>
      <c r="D62" s="108">
        <v>0.34930555555555554</v>
      </c>
      <c r="E62" s="108">
        <v>0.96527777777777779</v>
      </c>
      <c r="F62" s="110">
        <v>0.5805555555555556</v>
      </c>
      <c r="G62" s="110">
        <v>0.96319444444444446</v>
      </c>
      <c r="H62" s="108">
        <v>0.3527777777777778</v>
      </c>
      <c r="I62" s="108">
        <v>0.96111111111111114</v>
      </c>
      <c r="J62" s="108">
        <v>0.35069444444444442</v>
      </c>
      <c r="K62" s="108">
        <v>0.96388888888888891</v>
      </c>
      <c r="L62" s="108">
        <v>0.35138888888888892</v>
      </c>
      <c r="M62" s="108">
        <v>0.96388888888888891</v>
      </c>
      <c r="N62" s="108">
        <v>0.35138888888888892</v>
      </c>
      <c r="O62" s="108">
        <v>0.96388888888888891</v>
      </c>
      <c r="P62" s="108">
        <v>0.32847222222222222</v>
      </c>
      <c r="Q62" s="108">
        <v>0.94236111111111109</v>
      </c>
      <c r="R62" s="108">
        <v>0.3263888888888889</v>
      </c>
      <c r="S62" s="108">
        <v>0.96875</v>
      </c>
      <c r="T62" s="120" t="s">
        <v>15</v>
      </c>
      <c r="U62" s="120" t="s">
        <v>15</v>
      </c>
      <c r="V62" s="108">
        <v>0.35347222222222219</v>
      </c>
      <c r="W62" s="108">
        <v>0.97986111111111107</v>
      </c>
      <c r="X62" s="108">
        <v>0.3527777777777778</v>
      </c>
      <c r="Y62" s="108">
        <v>0.96597222222222223</v>
      </c>
      <c r="Z62" s="108">
        <v>0.35138888888888892</v>
      </c>
      <c r="AA62" s="108">
        <v>0.95833333333333337</v>
      </c>
      <c r="AB62" s="108">
        <v>0.35138888888888892</v>
      </c>
      <c r="AC62" s="108">
        <v>0.93888888888888899</v>
      </c>
      <c r="AD62" s="108">
        <v>0.3527777777777778</v>
      </c>
      <c r="AE62" s="108">
        <v>0.96388888888888891</v>
      </c>
      <c r="AF62" s="108">
        <v>0.3520833333333333</v>
      </c>
      <c r="AG62" s="108">
        <v>0.96319444444444446</v>
      </c>
      <c r="AH62" s="60"/>
      <c r="AI62" s="77">
        <v>44</v>
      </c>
      <c r="AJ62" s="110">
        <v>0.56527777777777777</v>
      </c>
      <c r="AK62" s="110">
        <v>0.9604166666666667</v>
      </c>
      <c r="AL62" s="108">
        <v>0.3520833333333333</v>
      </c>
      <c r="AM62" s="108">
        <v>0.94097222222222221</v>
      </c>
      <c r="AN62" s="108">
        <v>0.3520833333333333</v>
      </c>
      <c r="AO62" s="108">
        <v>0.97013888888888899</v>
      </c>
      <c r="AP62" s="108">
        <v>0.3527777777777778</v>
      </c>
      <c r="AQ62" s="108">
        <v>0.9590277777777777</v>
      </c>
      <c r="AR62" s="108">
        <v>0.35347222222222219</v>
      </c>
      <c r="AS62" s="108">
        <v>0.96597222222222223</v>
      </c>
      <c r="AT62" s="108">
        <v>0.3520833333333333</v>
      </c>
      <c r="AU62" s="108">
        <v>0.95624999999999993</v>
      </c>
      <c r="AV62" s="108">
        <v>0.3520833333333333</v>
      </c>
      <c r="AW62" s="108">
        <v>0.97361111111111109</v>
      </c>
      <c r="AX62" s="120" t="s">
        <v>15</v>
      </c>
      <c r="AY62" s="120" t="s">
        <v>15</v>
      </c>
      <c r="AZ62" s="108">
        <v>0.32916666666666666</v>
      </c>
      <c r="BA62" s="108">
        <v>0.94027777777777777</v>
      </c>
      <c r="BB62" s="108">
        <v>0.32847222222222222</v>
      </c>
      <c r="BC62" s="108">
        <v>0.94305555555555554</v>
      </c>
      <c r="BD62" s="108">
        <v>0.3298611111111111</v>
      </c>
      <c r="BE62" s="108">
        <v>0.93888888888888899</v>
      </c>
      <c r="BF62" s="108">
        <v>0.32708333333333334</v>
      </c>
      <c r="BG62" s="108">
        <v>0.93958333333333333</v>
      </c>
      <c r="BH62" s="108">
        <v>0.32430555555555557</v>
      </c>
      <c r="BI62" s="108">
        <v>0.93819444444444444</v>
      </c>
      <c r="BJ62" s="108">
        <v>0.32708333333333334</v>
      </c>
      <c r="BK62" s="108">
        <v>0.96250000000000002</v>
      </c>
      <c r="BL62" s="110">
        <v>0.57986111111111105</v>
      </c>
      <c r="BM62" s="120">
        <v>1</v>
      </c>
      <c r="BN62" s="108">
        <v>0.34791666666666665</v>
      </c>
      <c r="BO62" s="108">
        <v>0.96180555555555547</v>
      </c>
      <c r="BP62" s="12">
        <f t="shared" si="27"/>
        <v>31</v>
      </c>
      <c r="BQ62" s="118">
        <v>3</v>
      </c>
      <c r="BR62" s="2">
        <f t="shared" si="28"/>
        <v>29</v>
      </c>
      <c r="BS62" s="3">
        <f t="shared" si="29"/>
        <v>2</v>
      </c>
      <c r="BT62" s="3">
        <f t="shared" si="30"/>
        <v>0</v>
      </c>
      <c r="BU62" s="3">
        <f t="shared" si="31"/>
        <v>0</v>
      </c>
      <c r="BV62" s="3">
        <f t="shared" si="32"/>
        <v>0</v>
      </c>
      <c r="BW62" s="3">
        <f t="shared" si="33"/>
        <v>0</v>
      </c>
      <c r="BX62" s="3">
        <f t="shared" si="34"/>
        <v>0</v>
      </c>
      <c r="BY62" s="3">
        <f t="shared" si="35"/>
        <v>0</v>
      </c>
      <c r="BZ62" s="3">
        <f t="shared" si="36"/>
        <v>0</v>
      </c>
      <c r="CA62" s="3">
        <f t="shared" si="37"/>
        <v>0</v>
      </c>
      <c r="CB62" s="3">
        <f t="shared" si="38"/>
        <v>0</v>
      </c>
      <c r="CC62" s="3">
        <f t="shared" si="39"/>
        <v>0</v>
      </c>
      <c r="CD62" s="4"/>
      <c r="CH62" s="90">
        <v>0</v>
      </c>
      <c r="CI62" s="90">
        <v>0</v>
      </c>
      <c r="CJ62" s="90">
        <v>0</v>
      </c>
      <c r="CK62" s="90">
        <v>0</v>
      </c>
      <c r="CL62" s="90">
        <v>0</v>
      </c>
      <c r="CM62" s="90">
        <v>0</v>
      </c>
      <c r="CN62" s="91">
        <v>0</v>
      </c>
      <c r="CO62" s="91">
        <v>0</v>
      </c>
      <c r="CP62" s="90">
        <v>0</v>
      </c>
      <c r="CQ62" s="90">
        <v>0</v>
      </c>
      <c r="CR62" s="92">
        <f t="shared" si="41"/>
        <v>0</v>
      </c>
    </row>
    <row r="63" spans="1:96" ht="21.75" customHeight="1" x14ac:dyDescent="0.25">
      <c r="A63" s="55">
        <v>45</v>
      </c>
      <c r="B63" s="20" t="s">
        <v>132</v>
      </c>
      <c r="C63" s="9" t="s">
        <v>133</v>
      </c>
      <c r="D63" s="108">
        <v>0.34722222222222227</v>
      </c>
      <c r="E63" s="108">
        <v>0.96666666666666667</v>
      </c>
      <c r="F63" s="120" t="s">
        <v>15</v>
      </c>
      <c r="G63" s="120" t="s">
        <v>15</v>
      </c>
      <c r="H63" s="108">
        <v>0.35000000000000003</v>
      </c>
      <c r="I63" s="108">
        <v>0.96805555555555556</v>
      </c>
      <c r="J63" s="108">
        <v>0.3430555555555555</v>
      </c>
      <c r="K63" s="108">
        <v>0.95138888888888884</v>
      </c>
      <c r="L63" s="108">
        <v>0.34652777777777777</v>
      </c>
      <c r="M63" s="108">
        <v>0.95347222222222217</v>
      </c>
      <c r="N63" s="108">
        <v>0.34652777777777777</v>
      </c>
      <c r="O63" s="108">
        <v>0.94513888888888886</v>
      </c>
      <c r="P63" s="108">
        <v>0.34722222222222227</v>
      </c>
      <c r="Q63" s="108">
        <v>0.94791666666666663</v>
      </c>
      <c r="R63" s="108">
        <v>0.34722222222222227</v>
      </c>
      <c r="S63" s="108">
        <v>0.97222222222222221</v>
      </c>
      <c r="T63" s="110">
        <v>0.57361111111111118</v>
      </c>
      <c r="U63" s="110">
        <v>0.94166666666666676</v>
      </c>
      <c r="V63" s="108">
        <v>0.34722222222222227</v>
      </c>
      <c r="W63" s="108">
        <v>0.96180555555555547</v>
      </c>
      <c r="X63" s="108">
        <v>0.34652777777777777</v>
      </c>
      <c r="Y63" s="108">
        <v>0.9555555555555556</v>
      </c>
      <c r="Z63" s="108">
        <v>0.34722222222222227</v>
      </c>
      <c r="AA63" s="108">
        <v>0.95277777777777783</v>
      </c>
      <c r="AB63" s="108">
        <v>0.34930555555555554</v>
      </c>
      <c r="AC63" s="108">
        <v>0.94305555555555554</v>
      </c>
      <c r="AD63" s="108">
        <v>0.34513888888888888</v>
      </c>
      <c r="AE63" s="108">
        <v>0.9458333333333333</v>
      </c>
      <c r="AF63" s="108">
        <v>0.34791666666666665</v>
      </c>
      <c r="AG63" s="108">
        <v>0.96250000000000002</v>
      </c>
      <c r="AH63" s="60"/>
      <c r="AI63" s="77">
        <v>45</v>
      </c>
      <c r="AJ63" s="120" t="s">
        <v>15</v>
      </c>
      <c r="AK63" s="120" t="s">
        <v>15</v>
      </c>
      <c r="AL63" s="108">
        <v>0.34930555555555554</v>
      </c>
      <c r="AM63" s="108">
        <v>0.96180555555555547</v>
      </c>
      <c r="AN63" s="108">
        <v>0.34791666666666665</v>
      </c>
      <c r="AO63" s="108">
        <v>0.95416666666666661</v>
      </c>
      <c r="AP63" s="108">
        <v>0.3430555555555555</v>
      </c>
      <c r="AQ63" s="108">
        <v>0.94444444444444453</v>
      </c>
      <c r="AR63" s="108">
        <v>0.34652777777777777</v>
      </c>
      <c r="AS63" s="108">
        <v>0.95138888888888884</v>
      </c>
      <c r="AT63" s="108">
        <v>0.34791666666666665</v>
      </c>
      <c r="AU63" s="108">
        <v>0.9555555555555556</v>
      </c>
      <c r="AV63" s="108">
        <v>0.34791666666666665</v>
      </c>
      <c r="AW63" s="108">
        <v>0.96875</v>
      </c>
      <c r="AX63" s="110">
        <v>0.57638888888888895</v>
      </c>
      <c r="AY63" s="110">
        <v>0.9472222222222223</v>
      </c>
      <c r="AZ63" s="108">
        <v>0.34097222222222223</v>
      </c>
      <c r="BA63" s="108">
        <v>0.96180555555555547</v>
      </c>
      <c r="BB63" s="108">
        <v>0.34513888888888888</v>
      </c>
      <c r="BC63" s="108">
        <v>0.96944444444444444</v>
      </c>
      <c r="BD63" s="108">
        <v>0.34722222222222227</v>
      </c>
      <c r="BE63" s="108">
        <v>0.94513888888888886</v>
      </c>
      <c r="BF63" s="108">
        <v>0.3430555555555555</v>
      </c>
      <c r="BG63" s="108">
        <v>0.94861111111111107</v>
      </c>
      <c r="BH63" s="108">
        <v>0.3444444444444445</v>
      </c>
      <c r="BI63" s="108">
        <v>0.94791666666666663</v>
      </c>
      <c r="BJ63" s="108">
        <v>0.34097222222222223</v>
      </c>
      <c r="BK63" s="108">
        <v>0.96597222222222223</v>
      </c>
      <c r="BL63" s="120" t="s">
        <v>15</v>
      </c>
      <c r="BM63" s="120" t="s">
        <v>15</v>
      </c>
      <c r="BN63" s="108">
        <v>0.34652777777777777</v>
      </c>
      <c r="BO63" s="108">
        <v>0.96944444444444444</v>
      </c>
      <c r="BP63" s="12">
        <f t="shared" si="27"/>
        <v>31</v>
      </c>
      <c r="BQ63" s="118">
        <v>2</v>
      </c>
      <c r="BR63" s="2">
        <f t="shared" si="28"/>
        <v>28</v>
      </c>
      <c r="BS63" s="3">
        <f t="shared" si="29"/>
        <v>3</v>
      </c>
      <c r="BT63" s="3">
        <f t="shared" si="30"/>
        <v>0</v>
      </c>
      <c r="BU63" s="3">
        <f t="shared" si="31"/>
        <v>0</v>
      </c>
      <c r="BV63" s="3">
        <f t="shared" si="32"/>
        <v>0</v>
      </c>
      <c r="BW63" s="3">
        <f t="shared" si="33"/>
        <v>0</v>
      </c>
      <c r="BX63" s="3">
        <f t="shared" si="34"/>
        <v>0</v>
      </c>
      <c r="BY63" s="3">
        <f t="shared" si="35"/>
        <v>0</v>
      </c>
      <c r="BZ63" s="3">
        <f t="shared" si="36"/>
        <v>0</v>
      </c>
      <c r="CA63" s="3">
        <f t="shared" si="37"/>
        <v>0</v>
      </c>
      <c r="CB63" s="3">
        <f t="shared" si="38"/>
        <v>0</v>
      </c>
      <c r="CC63" s="3">
        <f t="shared" si="39"/>
        <v>0</v>
      </c>
      <c r="CD63" s="4"/>
      <c r="CH63" s="90">
        <v>0</v>
      </c>
      <c r="CI63" s="90">
        <v>0</v>
      </c>
      <c r="CJ63" s="90">
        <v>0</v>
      </c>
      <c r="CK63" s="90">
        <v>0</v>
      </c>
      <c r="CL63" s="90">
        <v>0</v>
      </c>
      <c r="CM63" s="90">
        <v>7</v>
      </c>
      <c r="CN63" s="91">
        <v>0</v>
      </c>
      <c r="CO63" s="91">
        <v>4</v>
      </c>
      <c r="CP63" s="90">
        <v>0</v>
      </c>
      <c r="CQ63" s="90">
        <v>0</v>
      </c>
      <c r="CR63" s="92">
        <f t="shared" si="41"/>
        <v>11</v>
      </c>
    </row>
    <row r="64" spans="1:96" ht="21.75" customHeight="1" x14ac:dyDescent="0.25">
      <c r="A64" s="55">
        <v>46</v>
      </c>
      <c r="B64" s="85" t="s">
        <v>225</v>
      </c>
      <c r="C64" s="84" t="s">
        <v>224</v>
      </c>
      <c r="D64" s="108">
        <v>0.3576388888888889</v>
      </c>
      <c r="E64" s="108">
        <v>0.96458333333333324</v>
      </c>
      <c r="F64" s="120" t="s">
        <v>15</v>
      </c>
      <c r="G64" s="120" t="s">
        <v>15</v>
      </c>
      <c r="H64" s="108">
        <v>0.3527777777777778</v>
      </c>
      <c r="I64" s="108">
        <v>0.94652777777777775</v>
      </c>
      <c r="J64" s="108">
        <v>0.35486111111111113</v>
      </c>
      <c r="K64" s="119">
        <v>1</v>
      </c>
      <c r="L64" s="108">
        <v>0.35555555555555557</v>
      </c>
      <c r="M64" s="108">
        <v>0.93472222222222223</v>
      </c>
      <c r="N64" s="108">
        <v>0.3527777777777778</v>
      </c>
      <c r="O64" s="108">
        <v>0.94236111111111109</v>
      </c>
      <c r="P64" s="108">
        <v>0.35347222222222219</v>
      </c>
      <c r="Q64" s="108">
        <v>0.95416666666666661</v>
      </c>
      <c r="R64" s="108">
        <v>0.35000000000000003</v>
      </c>
      <c r="S64" s="108">
        <v>0.90902777777777777</v>
      </c>
      <c r="T64" s="110">
        <v>0.56874999999999998</v>
      </c>
      <c r="U64" s="110">
        <v>0.9</v>
      </c>
      <c r="V64" s="108">
        <v>0.3520833333333333</v>
      </c>
      <c r="W64" s="108">
        <v>0.93194444444444446</v>
      </c>
      <c r="X64" s="108">
        <v>0.3527777777777778</v>
      </c>
      <c r="Y64" s="108">
        <v>0.94236111111111109</v>
      </c>
      <c r="Z64" s="108">
        <v>0.35000000000000003</v>
      </c>
      <c r="AA64" s="108">
        <v>0.9277777777777777</v>
      </c>
      <c r="AB64" s="108">
        <v>0.35069444444444442</v>
      </c>
      <c r="AC64" s="108">
        <v>0.92013888888888884</v>
      </c>
      <c r="AD64" s="108">
        <v>0.3527777777777778</v>
      </c>
      <c r="AE64" s="108">
        <v>0.94791666666666663</v>
      </c>
      <c r="AF64" s="108">
        <v>0.3527777777777778</v>
      </c>
      <c r="AG64" s="119">
        <v>1</v>
      </c>
      <c r="AH64" s="80"/>
      <c r="AI64" s="77">
        <v>46</v>
      </c>
      <c r="AJ64" s="120" t="s">
        <v>15</v>
      </c>
      <c r="AK64" s="120" t="s">
        <v>15</v>
      </c>
      <c r="AL64" s="108">
        <v>0.35000000000000003</v>
      </c>
      <c r="AM64" s="108">
        <v>0.91388888888888886</v>
      </c>
      <c r="AN64" s="108">
        <v>0.34861111111111115</v>
      </c>
      <c r="AO64" s="119">
        <v>1</v>
      </c>
      <c r="AP64" s="108">
        <v>0.35416666666666669</v>
      </c>
      <c r="AQ64" s="108">
        <v>0.9375</v>
      </c>
      <c r="AR64" s="108">
        <v>0.34652777777777777</v>
      </c>
      <c r="AS64" s="108">
        <v>0.91736111111111107</v>
      </c>
      <c r="AT64" s="108">
        <v>0.35000000000000003</v>
      </c>
      <c r="AU64" s="108">
        <v>0.92222222222222217</v>
      </c>
      <c r="AV64" s="108">
        <v>0.35000000000000003</v>
      </c>
      <c r="AW64" s="108">
        <v>0.91666666666666663</v>
      </c>
      <c r="AX64" s="110">
        <v>0.57708333333333328</v>
      </c>
      <c r="AY64" s="110">
        <v>0.92083333333333339</v>
      </c>
      <c r="AZ64" s="108">
        <v>0.34791666666666665</v>
      </c>
      <c r="BA64" s="108">
        <v>0.91666666666666663</v>
      </c>
      <c r="BB64" s="108">
        <v>0.37708333333333338</v>
      </c>
      <c r="BC64" s="108">
        <v>0.90138888888888891</v>
      </c>
      <c r="BD64" s="108" t="s">
        <v>23</v>
      </c>
      <c r="BE64" s="108" t="s">
        <v>23</v>
      </c>
      <c r="BF64" s="108">
        <v>0.34791666666666665</v>
      </c>
      <c r="BG64" s="108">
        <v>0.90902777777777777</v>
      </c>
      <c r="BH64" s="108">
        <v>0.35138888888888892</v>
      </c>
      <c r="BI64" s="108">
        <v>0.92222222222222217</v>
      </c>
      <c r="BJ64" s="108">
        <v>0.35347222222222219</v>
      </c>
      <c r="BK64" s="108">
        <v>0.92638888888888893</v>
      </c>
      <c r="BL64" s="120" t="s">
        <v>15</v>
      </c>
      <c r="BM64" s="120" t="s">
        <v>15</v>
      </c>
      <c r="BN64" s="108">
        <v>0.35000000000000003</v>
      </c>
      <c r="BO64" s="108">
        <v>0.91805555555555562</v>
      </c>
      <c r="BP64" s="12">
        <f t="shared" si="27"/>
        <v>30</v>
      </c>
      <c r="BQ64" s="118">
        <v>2</v>
      </c>
      <c r="BR64" s="2">
        <f t="shared" si="28"/>
        <v>27</v>
      </c>
      <c r="BS64" s="3">
        <f t="shared" si="29"/>
        <v>3</v>
      </c>
      <c r="BT64" s="3">
        <f t="shared" si="30"/>
        <v>0</v>
      </c>
      <c r="BU64" s="3">
        <f t="shared" si="31"/>
        <v>0</v>
      </c>
      <c r="BV64" s="3">
        <f t="shared" si="32"/>
        <v>0</v>
      </c>
      <c r="BW64" s="3">
        <f t="shared" si="33"/>
        <v>0</v>
      </c>
      <c r="BX64" s="3">
        <f t="shared" si="34"/>
        <v>0</v>
      </c>
      <c r="BY64" s="3">
        <f t="shared" si="35"/>
        <v>0</v>
      </c>
      <c r="BZ64" s="3">
        <f t="shared" si="36"/>
        <v>0</v>
      </c>
      <c r="CA64" s="3">
        <f t="shared" si="37"/>
        <v>1</v>
      </c>
      <c r="CB64" s="3">
        <f t="shared" si="38"/>
        <v>0</v>
      </c>
      <c r="CC64" s="3">
        <f t="shared" si="39"/>
        <v>0</v>
      </c>
      <c r="CD64" s="94"/>
      <c r="CH64" s="90">
        <v>0</v>
      </c>
      <c r="CI64" s="90">
        <v>0</v>
      </c>
      <c r="CJ64" s="90">
        <v>0</v>
      </c>
      <c r="CK64" s="90">
        <v>0</v>
      </c>
      <c r="CL64" s="90">
        <v>0</v>
      </c>
      <c r="CM64" s="91">
        <v>3</v>
      </c>
      <c r="CN64" s="91">
        <v>1</v>
      </c>
      <c r="CO64" s="91">
        <v>1</v>
      </c>
      <c r="CP64" s="90">
        <v>0</v>
      </c>
      <c r="CQ64" s="90">
        <v>0</v>
      </c>
      <c r="CR64" s="92">
        <f t="shared" si="41"/>
        <v>5</v>
      </c>
    </row>
    <row r="65" spans="1:96" ht="21.75" customHeight="1" x14ac:dyDescent="0.25">
      <c r="A65" s="55">
        <v>47</v>
      </c>
      <c r="B65" s="20" t="s">
        <v>134</v>
      </c>
      <c r="C65" s="9" t="s">
        <v>135</v>
      </c>
      <c r="D65" s="108">
        <v>0.34166666666666662</v>
      </c>
      <c r="E65" s="108">
        <v>0.96458333333333324</v>
      </c>
      <c r="F65" s="110">
        <v>0.56111111111111112</v>
      </c>
      <c r="G65" s="110">
        <v>0.9458333333333333</v>
      </c>
      <c r="H65" s="108">
        <v>0.33055555555555555</v>
      </c>
      <c r="I65" s="108">
        <v>0.94652777777777775</v>
      </c>
      <c r="J65" s="108">
        <v>0.34166666666666662</v>
      </c>
      <c r="K65" s="108">
        <v>0.94861111111111107</v>
      </c>
      <c r="L65" s="108">
        <v>0.33680555555555558</v>
      </c>
      <c r="M65" s="108">
        <v>0.95833333333333337</v>
      </c>
      <c r="N65" s="108">
        <v>0.3354166666666667</v>
      </c>
      <c r="O65" s="108">
        <v>0.94305555555555554</v>
      </c>
      <c r="P65" s="108">
        <v>0.3347222222222222</v>
      </c>
      <c r="Q65" s="108">
        <v>0.96527777777777779</v>
      </c>
      <c r="R65" s="108">
        <v>0.33611111111111108</v>
      </c>
      <c r="S65" s="108">
        <v>0.96875</v>
      </c>
      <c r="T65" s="120" t="s">
        <v>15</v>
      </c>
      <c r="U65" s="120" t="s">
        <v>15</v>
      </c>
      <c r="V65" s="108">
        <v>0.33055555555555555</v>
      </c>
      <c r="W65" s="108">
        <v>0.98958333333333337</v>
      </c>
      <c r="X65" s="108">
        <v>0.3298611111111111</v>
      </c>
      <c r="Y65" s="108">
        <v>0.94930555555555562</v>
      </c>
      <c r="Z65" s="108">
        <v>0.33958333333333335</v>
      </c>
      <c r="AA65" s="108">
        <v>0.9506944444444444</v>
      </c>
      <c r="AB65" s="108">
        <v>0.33958333333333335</v>
      </c>
      <c r="AC65" s="108">
        <v>0.92708333333333337</v>
      </c>
      <c r="AD65" s="108">
        <v>0.3354166666666667</v>
      </c>
      <c r="AE65" s="108">
        <v>0.9590277777777777</v>
      </c>
      <c r="AF65" s="108">
        <v>0.34166666666666662</v>
      </c>
      <c r="AG65" s="108">
        <v>0.95277777777777783</v>
      </c>
      <c r="AH65" s="60"/>
      <c r="AI65" s="77">
        <v>47</v>
      </c>
      <c r="AJ65" s="110">
        <v>0.57291666666666663</v>
      </c>
      <c r="AK65" s="110">
        <v>0.94027777777777777</v>
      </c>
      <c r="AL65" s="108">
        <v>0.3527777777777778</v>
      </c>
      <c r="AM65" s="108">
        <v>0.94652777777777775</v>
      </c>
      <c r="AN65" s="108">
        <v>0.33958333333333335</v>
      </c>
      <c r="AO65" s="108">
        <v>1.8749999999999999E-2</v>
      </c>
      <c r="AP65" s="108">
        <v>0.33263888888888887</v>
      </c>
      <c r="AQ65" s="108">
        <v>0.94236111111111109</v>
      </c>
      <c r="AR65" s="108">
        <v>0.34027777777777773</v>
      </c>
      <c r="AS65" s="108">
        <v>0.95347222222222217</v>
      </c>
      <c r="AT65" s="108">
        <v>0.34652777777777777</v>
      </c>
      <c r="AU65" s="108">
        <v>0.9506944444444444</v>
      </c>
      <c r="AV65" s="108">
        <v>0.33333333333333331</v>
      </c>
      <c r="AW65" s="108">
        <v>2.7777777777777779E-3</v>
      </c>
      <c r="AX65" s="120" t="s">
        <v>15</v>
      </c>
      <c r="AY65" s="120" t="s">
        <v>15</v>
      </c>
      <c r="AZ65" s="108">
        <v>0.38194444444444442</v>
      </c>
      <c r="BA65" s="108">
        <v>0.98402777777777783</v>
      </c>
      <c r="BB65" s="108">
        <v>0.33749999999999997</v>
      </c>
      <c r="BC65" s="108">
        <v>0.96250000000000002</v>
      </c>
      <c r="BD65" s="108">
        <v>0.34027777777777773</v>
      </c>
      <c r="BE65" s="108">
        <v>0.93541666666666667</v>
      </c>
      <c r="BF65" s="108" t="s">
        <v>23</v>
      </c>
      <c r="BG65" s="108" t="s">
        <v>23</v>
      </c>
      <c r="BH65" s="108">
        <v>0.3354166666666667</v>
      </c>
      <c r="BI65" s="108">
        <v>0.94930555555555562</v>
      </c>
      <c r="BJ65" s="108">
        <v>0.33819444444444446</v>
      </c>
      <c r="BK65" s="108">
        <v>0.95277777777777783</v>
      </c>
      <c r="BL65" s="110">
        <v>0.56944444444444442</v>
      </c>
      <c r="BM65" s="110">
        <v>0.9472222222222223</v>
      </c>
      <c r="BN65" s="108">
        <v>0.33958333333333335</v>
      </c>
      <c r="BO65" s="108">
        <v>0.95486111111111116</v>
      </c>
      <c r="BP65" s="12">
        <f t="shared" si="27"/>
        <v>30</v>
      </c>
      <c r="BQ65" s="118">
        <v>3</v>
      </c>
      <c r="BR65" s="2">
        <f t="shared" si="28"/>
        <v>28</v>
      </c>
      <c r="BS65" s="3">
        <f t="shared" si="29"/>
        <v>2</v>
      </c>
      <c r="BT65" s="3">
        <f t="shared" si="30"/>
        <v>0</v>
      </c>
      <c r="BU65" s="3">
        <f t="shared" si="31"/>
        <v>0</v>
      </c>
      <c r="BV65" s="3">
        <f t="shared" si="32"/>
        <v>0</v>
      </c>
      <c r="BW65" s="3">
        <f t="shared" si="33"/>
        <v>0</v>
      </c>
      <c r="BX65" s="3">
        <f t="shared" si="34"/>
        <v>0</v>
      </c>
      <c r="BY65" s="3">
        <f t="shared" si="35"/>
        <v>0</v>
      </c>
      <c r="BZ65" s="3">
        <f t="shared" si="36"/>
        <v>0</v>
      </c>
      <c r="CA65" s="3">
        <f t="shared" si="37"/>
        <v>1</v>
      </c>
      <c r="CB65" s="3">
        <f t="shared" si="38"/>
        <v>0</v>
      </c>
      <c r="CC65" s="3">
        <f t="shared" si="39"/>
        <v>0</v>
      </c>
      <c r="CD65" s="4"/>
      <c r="CH65" s="90">
        <v>0</v>
      </c>
      <c r="CI65" s="90">
        <v>0</v>
      </c>
      <c r="CJ65" s="90">
        <v>0</v>
      </c>
      <c r="CK65" s="90">
        <v>0</v>
      </c>
      <c r="CL65" s="90">
        <v>0</v>
      </c>
      <c r="CM65" s="91">
        <v>11</v>
      </c>
      <c r="CN65" s="90">
        <v>0</v>
      </c>
      <c r="CO65" s="90">
        <v>0</v>
      </c>
      <c r="CP65" s="90">
        <v>0</v>
      </c>
      <c r="CQ65" s="90">
        <v>0</v>
      </c>
      <c r="CR65" s="92">
        <f t="shared" si="41"/>
        <v>11</v>
      </c>
    </row>
    <row r="66" spans="1:96" ht="21.75" customHeight="1" x14ac:dyDescent="0.25">
      <c r="A66" s="55">
        <v>48</v>
      </c>
      <c r="B66" s="20" t="s">
        <v>136</v>
      </c>
      <c r="C66" s="9" t="s">
        <v>137</v>
      </c>
      <c r="D66" s="108">
        <v>0.3527777777777778</v>
      </c>
      <c r="E66" s="108">
        <v>0.96458333333333324</v>
      </c>
      <c r="F66" s="120" t="s">
        <v>15</v>
      </c>
      <c r="G66" s="120" t="s">
        <v>15</v>
      </c>
      <c r="H66" s="108">
        <v>0.3527777777777778</v>
      </c>
      <c r="I66" s="108">
        <v>0.97013888888888899</v>
      </c>
      <c r="J66" s="108">
        <v>0.3520833333333333</v>
      </c>
      <c r="K66" s="108">
        <v>0.9819444444444444</v>
      </c>
      <c r="L66" s="108">
        <v>0.34930555555555554</v>
      </c>
      <c r="M66" s="108">
        <v>0.34930555555555554</v>
      </c>
      <c r="N66" s="108">
        <v>0.34930555555555554</v>
      </c>
      <c r="O66" s="108">
        <v>0.34930555555555554</v>
      </c>
      <c r="P66" s="108">
        <v>0.34791666666666665</v>
      </c>
      <c r="Q66" s="119">
        <v>1</v>
      </c>
      <c r="R66" s="108">
        <v>0.3527777777777778</v>
      </c>
      <c r="S66" s="108">
        <v>0.96944444444444444</v>
      </c>
      <c r="T66" s="110">
        <v>0.5805555555555556</v>
      </c>
      <c r="U66" s="110">
        <v>0.91527777777777775</v>
      </c>
      <c r="V66" s="108">
        <v>0.3527777777777778</v>
      </c>
      <c r="W66" s="108">
        <v>0.99305555555555547</v>
      </c>
      <c r="X66" s="108">
        <v>0.3527777777777778</v>
      </c>
      <c r="Y66" s="108">
        <v>0.95208333333333339</v>
      </c>
      <c r="Z66" s="108">
        <v>0.3520833333333333</v>
      </c>
      <c r="AA66" s="108">
        <v>0.9472222222222223</v>
      </c>
      <c r="AB66" s="108">
        <v>0.34791666666666665</v>
      </c>
      <c r="AC66" s="108">
        <v>0.92708333333333337</v>
      </c>
      <c r="AD66" s="108">
        <v>0.34861111111111115</v>
      </c>
      <c r="AE66" s="108">
        <v>0.97569444444444453</v>
      </c>
      <c r="AF66" s="108">
        <v>0.34861111111111115</v>
      </c>
      <c r="AG66" s="108">
        <v>0.9555555555555556</v>
      </c>
      <c r="AH66" s="60"/>
      <c r="AI66" s="77">
        <v>48</v>
      </c>
      <c r="AJ66" s="120" t="s">
        <v>15</v>
      </c>
      <c r="AK66" s="120" t="s">
        <v>15</v>
      </c>
      <c r="AL66" s="108">
        <v>0.3527777777777778</v>
      </c>
      <c r="AM66" s="108">
        <v>0.9458333333333333</v>
      </c>
      <c r="AN66" s="108">
        <v>0.35138888888888892</v>
      </c>
      <c r="AO66" s="108">
        <v>0.98263888888888884</v>
      </c>
      <c r="AP66" s="108">
        <v>0.35069444444444442</v>
      </c>
      <c r="AQ66" s="108">
        <v>0.9784722222222223</v>
      </c>
      <c r="AR66" s="108">
        <v>0.35347222222222219</v>
      </c>
      <c r="AS66" s="108">
        <v>0.97777777777777775</v>
      </c>
      <c r="AT66" s="108">
        <v>0.35069444444444442</v>
      </c>
      <c r="AU66" s="108">
        <v>0.95208333333333339</v>
      </c>
      <c r="AV66" s="108">
        <v>0.34791666666666665</v>
      </c>
      <c r="AW66" s="108">
        <v>1.3888888888888889E-3</v>
      </c>
      <c r="AX66" s="110">
        <v>0.58124999999999993</v>
      </c>
      <c r="AY66" s="110">
        <v>0.9472222222222223</v>
      </c>
      <c r="AZ66" s="108">
        <v>0.3520833333333333</v>
      </c>
      <c r="BA66" s="108">
        <v>0.94444444444444453</v>
      </c>
      <c r="BB66" s="108">
        <v>0.35069444444444442</v>
      </c>
      <c r="BC66" s="108">
        <v>0.97013888888888899</v>
      </c>
      <c r="BD66" s="108">
        <v>0.34583333333333338</v>
      </c>
      <c r="BE66" s="108">
        <v>0.93958333333333333</v>
      </c>
      <c r="BF66" s="108">
        <v>0.35000000000000003</v>
      </c>
      <c r="BG66" s="108">
        <v>0.94374999999999998</v>
      </c>
      <c r="BH66" s="108">
        <v>0.35000000000000003</v>
      </c>
      <c r="BI66" s="108">
        <v>5.5555555555555558E-3</v>
      </c>
      <c r="BJ66" s="108">
        <v>0.34861111111111115</v>
      </c>
      <c r="BK66" s="108">
        <v>0.99791666666666667</v>
      </c>
      <c r="BL66" s="120" t="s">
        <v>15</v>
      </c>
      <c r="BM66" s="120" t="s">
        <v>15</v>
      </c>
      <c r="BN66" s="108">
        <v>0.35000000000000003</v>
      </c>
      <c r="BO66" s="108">
        <v>0.96458333333333324</v>
      </c>
      <c r="BP66" s="12">
        <f t="shared" si="27"/>
        <v>31</v>
      </c>
      <c r="BQ66" s="118">
        <v>2</v>
      </c>
      <c r="BR66" s="2">
        <f t="shared" si="28"/>
        <v>28</v>
      </c>
      <c r="BS66" s="3">
        <f t="shared" si="29"/>
        <v>3</v>
      </c>
      <c r="BT66" s="3">
        <f t="shared" si="30"/>
        <v>0</v>
      </c>
      <c r="BU66" s="3">
        <f t="shared" si="31"/>
        <v>0</v>
      </c>
      <c r="BV66" s="3">
        <f t="shared" si="32"/>
        <v>0</v>
      </c>
      <c r="BW66" s="3">
        <f t="shared" si="33"/>
        <v>0</v>
      </c>
      <c r="BX66" s="3">
        <f t="shared" si="34"/>
        <v>0</v>
      </c>
      <c r="BY66" s="3">
        <f t="shared" si="35"/>
        <v>0</v>
      </c>
      <c r="BZ66" s="3">
        <f t="shared" si="36"/>
        <v>0</v>
      </c>
      <c r="CA66" s="3">
        <f t="shared" si="37"/>
        <v>0</v>
      </c>
      <c r="CB66" s="3">
        <f t="shared" si="38"/>
        <v>0</v>
      </c>
      <c r="CC66" s="3">
        <f t="shared" si="39"/>
        <v>0</v>
      </c>
      <c r="CD66" s="4"/>
      <c r="CH66" s="90">
        <v>0</v>
      </c>
      <c r="CI66" s="90">
        <v>0</v>
      </c>
      <c r="CJ66" s="90">
        <v>0</v>
      </c>
      <c r="CK66" s="90">
        <v>0</v>
      </c>
      <c r="CL66" s="90">
        <v>0</v>
      </c>
      <c r="CM66" s="91">
        <v>1</v>
      </c>
      <c r="CN66" s="91">
        <v>1</v>
      </c>
      <c r="CO66" s="90">
        <v>0</v>
      </c>
      <c r="CP66" s="90">
        <v>0</v>
      </c>
      <c r="CQ66" s="90">
        <v>0</v>
      </c>
      <c r="CR66" s="92">
        <f t="shared" si="41"/>
        <v>2</v>
      </c>
    </row>
    <row r="67" spans="1:96" ht="21.75" customHeight="1" x14ac:dyDescent="0.25">
      <c r="A67" s="55">
        <v>49</v>
      </c>
      <c r="B67" s="20" t="s">
        <v>138</v>
      </c>
      <c r="C67" s="9" t="s">
        <v>139</v>
      </c>
      <c r="D67" s="108">
        <v>0.35069444444444442</v>
      </c>
      <c r="E67" s="108">
        <v>0.95972222222222225</v>
      </c>
      <c r="F67" s="110">
        <v>0.58124999999999993</v>
      </c>
      <c r="G67" s="110">
        <v>0.87291666666666667</v>
      </c>
      <c r="H67" s="108">
        <v>0.3527777777777778</v>
      </c>
      <c r="I67" s="108">
        <v>0.91527777777777775</v>
      </c>
      <c r="J67" s="108">
        <v>0.3527777777777778</v>
      </c>
      <c r="K67" s="108">
        <v>0.95347222222222217</v>
      </c>
      <c r="L67" s="108">
        <v>0.3520833333333333</v>
      </c>
      <c r="M67" s="108">
        <v>0.89722222222222225</v>
      </c>
      <c r="N67" s="108">
        <v>0.35486111111111113</v>
      </c>
      <c r="O67" s="108">
        <v>0.91111111111111109</v>
      </c>
      <c r="P67" s="108">
        <v>0.35486111111111113</v>
      </c>
      <c r="Q67" s="108">
        <v>0.88958333333333339</v>
      </c>
      <c r="R67" s="108">
        <v>0.35416666666666669</v>
      </c>
      <c r="S67" s="108">
        <v>0.90902777777777777</v>
      </c>
      <c r="T67" s="120" t="s">
        <v>15</v>
      </c>
      <c r="U67" s="120" t="s">
        <v>15</v>
      </c>
      <c r="V67" s="108">
        <v>0.35416666666666669</v>
      </c>
      <c r="W67" s="108">
        <v>0.90416666666666667</v>
      </c>
      <c r="X67" s="108">
        <v>0.3527777777777778</v>
      </c>
      <c r="Y67" s="108">
        <v>0.89236111111111116</v>
      </c>
      <c r="Z67" s="108">
        <v>0.3527777777777778</v>
      </c>
      <c r="AA67" s="108">
        <v>0.89444444444444438</v>
      </c>
      <c r="AB67" s="108">
        <v>0.35486111111111113</v>
      </c>
      <c r="AC67" s="108">
        <v>0.88958333333333339</v>
      </c>
      <c r="AD67" s="108">
        <v>0.35486111111111113</v>
      </c>
      <c r="AE67" s="108">
        <v>0.88888888888888884</v>
      </c>
      <c r="AF67" s="108">
        <v>0.3527777777777778</v>
      </c>
      <c r="AG67" s="108">
        <v>0.9506944444444444</v>
      </c>
      <c r="AH67" s="60"/>
      <c r="AI67" s="77">
        <v>49</v>
      </c>
      <c r="AJ67" s="110">
        <v>0.58263888888888882</v>
      </c>
      <c r="AK67" s="110">
        <v>0.88541666666666663</v>
      </c>
      <c r="AL67" s="108">
        <v>0.35555555555555557</v>
      </c>
      <c r="AM67" s="108">
        <v>0.90277777777777779</v>
      </c>
      <c r="AN67" s="108">
        <v>0.3527777777777778</v>
      </c>
      <c r="AO67" s="108">
        <v>0.96111111111111114</v>
      </c>
      <c r="AP67" s="108">
        <v>0.35486111111111113</v>
      </c>
      <c r="AQ67" s="108">
        <v>0.91388888888888886</v>
      </c>
      <c r="AR67" s="108">
        <v>0.35416666666666669</v>
      </c>
      <c r="AS67" s="108">
        <v>0.9194444444444444</v>
      </c>
      <c r="AT67" s="108">
        <v>0.34861111111111115</v>
      </c>
      <c r="AU67" s="119">
        <v>1</v>
      </c>
      <c r="AV67" s="108">
        <v>0.35486111111111113</v>
      </c>
      <c r="AW67" s="119">
        <v>1</v>
      </c>
      <c r="AX67" s="110">
        <v>0.59444444444444444</v>
      </c>
      <c r="AY67" s="120">
        <v>1</v>
      </c>
      <c r="AZ67" s="108">
        <v>0.3520833333333333</v>
      </c>
      <c r="BA67" s="108">
        <v>0.9590277777777777</v>
      </c>
      <c r="BB67" s="108">
        <v>0.3520833333333333</v>
      </c>
      <c r="BC67" s="108">
        <v>0.92361111111111116</v>
      </c>
      <c r="BD67" s="108">
        <v>0.35416666666666669</v>
      </c>
      <c r="BE67" s="108">
        <v>0.90069444444444446</v>
      </c>
      <c r="BF67" s="108">
        <v>0.35625000000000001</v>
      </c>
      <c r="BG67" s="108">
        <v>0.91805555555555562</v>
      </c>
      <c r="BH67" s="108">
        <v>0.35555555555555557</v>
      </c>
      <c r="BI67" s="108">
        <v>0.91041666666666676</v>
      </c>
      <c r="BJ67" s="108">
        <v>0.35625000000000001</v>
      </c>
      <c r="BK67" s="108">
        <v>0.9375</v>
      </c>
      <c r="BL67" s="110">
        <v>0.5756944444444444</v>
      </c>
      <c r="BM67" s="110">
        <v>0.89583333333333337</v>
      </c>
      <c r="BN67" s="108">
        <v>0.35694444444444445</v>
      </c>
      <c r="BO67" s="108">
        <v>0.92291666666666661</v>
      </c>
      <c r="BP67" s="12">
        <f t="shared" si="27"/>
        <v>31</v>
      </c>
      <c r="BQ67" s="118">
        <v>4</v>
      </c>
      <c r="BR67" s="2">
        <f t="shared" si="28"/>
        <v>30</v>
      </c>
      <c r="BS67" s="3">
        <f t="shared" si="29"/>
        <v>1</v>
      </c>
      <c r="BT67" s="3">
        <f t="shared" si="30"/>
        <v>0</v>
      </c>
      <c r="BU67" s="3">
        <f t="shared" si="31"/>
        <v>0</v>
      </c>
      <c r="BV67" s="3">
        <f t="shared" si="32"/>
        <v>0</v>
      </c>
      <c r="BW67" s="3">
        <f t="shared" si="33"/>
        <v>0</v>
      </c>
      <c r="BX67" s="3">
        <f t="shared" si="34"/>
        <v>0</v>
      </c>
      <c r="BY67" s="3">
        <f t="shared" si="35"/>
        <v>0</v>
      </c>
      <c r="BZ67" s="3">
        <f t="shared" si="36"/>
        <v>0</v>
      </c>
      <c r="CA67" s="3">
        <f t="shared" si="37"/>
        <v>0</v>
      </c>
      <c r="CB67" s="3">
        <f t="shared" si="38"/>
        <v>0</v>
      </c>
      <c r="CC67" s="3">
        <f t="shared" si="39"/>
        <v>0</v>
      </c>
      <c r="CD67" s="4"/>
      <c r="CH67" s="90">
        <v>0</v>
      </c>
      <c r="CI67" s="90">
        <v>0</v>
      </c>
      <c r="CJ67" s="90">
        <v>0</v>
      </c>
      <c r="CK67" s="90">
        <v>0</v>
      </c>
      <c r="CL67" s="90">
        <v>0</v>
      </c>
      <c r="CM67" s="91">
        <v>1</v>
      </c>
      <c r="CN67" s="90">
        <v>0</v>
      </c>
      <c r="CO67" s="90">
        <v>0</v>
      </c>
      <c r="CP67" s="90">
        <v>0</v>
      </c>
      <c r="CQ67" s="90">
        <v>0</v>
      </c>
      <c r="CR67" s="92">
        <f t="shared" si="41"/>
        <v>1</v>
      </c>
    </row>
    <row r="68" spans="1:96" ht="21.75" customHeight="1" x14ac:dyDescent="0.25">
      <c r="A68" s="55">
        <v>50</v>
      </c>
      <c r="B68" s="20" t="s">
        <v>140</v>
      </c>
      <c r="C68" s="9" t="s">
        <v>208</v>
      </c>
      <c r="D68" s="108">
        <v>0.3444444444444445</v>
      </c>
      <c r="E68" s="108">
        <v>0.96111111111111114</v>
      </c>
      <c r="F68" s="110">
        <v>0.57777777777777783</v>
      </c>
      <c r="G68" s="110">
        <v>0.94513888888888886</v>
      </c>
      <c r="H68" s="108">
        <v>0.3444444444444445</v>
      </c>
      <c r="I68" s="108">
        <v>0.96180555555555547</v>
      </c>
      <c r="J68" s="108">
        <v>0.3444444444444445</v>
      </c>
      <c r="K68" s="108">
        <v>0.94513888888888886</v>
      </c>
      <c r="L68" s="108">
        <v>0.3430555555555555</v>
      </c>
      <c r="M68" s="108">
        <v>0.95416666666666661</v>
      </c>
      <c r="N68" s="108">
        <v>0.34375</v>
      </c>
      <c r="O68" s="108">
        <v>0.95833333333333337</v>
      </c>
      <c r="P68" s="108">
        <v>0.34652777777777777</v>
      </c>
      <c r="Q68" s="108">
        <v>0.94791666666666663</v>
      </c>
      <c r="R68" s="108">
        <v>0.34513888888888888</v>
      </c>
      <c r="S68" s="108">
        <v>0.96527777777777779</v>
      </c>
      <c r="T68" s="120" t="s">
        <v>15</v>
      </c>
      <c r="U68" s="120" t="s">
        <v>15</v>
      </c>
      <c r="V68" s="108">
        <v>0.3430555555555555</v>
      </c>
      <c r="W68" s="108">
        <v>0.9590277777777777</v>
      </c>
      <c r="X68" s="108">
        <v>0.3444444444444445</v>
      </c>
      <c r="Y68" s="108">
        <v>0.94791666666666663</v>
      </c>
      <c r="Z68" s="108">
        <v>0.34513888888888888</v>
      </c>
      <c r="AA68" s="108">
        <v>0.94236111111111109</v>
      </c>
      <c r="AB68" s="108">
        <v>0.34513888888888888</v>
      </c>
      <c r="AC68" s="108">
        <v>0.95416666666666661</v>
      </c>
      <c r="AD68" s="108">
        <v>0.3444444444444445</v>
      </c>
      <c r="AE68" s="108">
        <v>0.96319444444444446</v>
      </c>
      <c r="AF68" s="108">
        <v>0.34375</v>
      </c>
      <c r="AG68" s="108">
        <v>0.97152777777777777</v>
      </c>
      <c r="AH68" s="60"/>
      <c r="AI68" s="77">
        <v>50</v>
      </c>
      <c r="AJ68" s="110">
        <v>0.57500000000000007</v>
      </c>
      <c r="AK68" s="110">
        <v>0.94305555555555554</v>
      </c>
      <c r="AL68" s="108">
        <v>0.34513888888888888</v>
      </c>
      <c r="AM68" s="108">
        <v>0.96180555555555547</v>
      </c>
      <c r="AN68" s="108">
        <v>0.3444444444444445</v>
      </c>
      <c r="AO68" s="108">
        <v>0.94513888888888886</v>
      </c>
      <c r="AP68" s="108">
        <v>0.34166666666666662</v>
      </c>
      <c r="AQ68" s="108">
        <v>0.9458333333333333</v>
      </c>
      <c r="AR68" s="108">
        <v>0.34375</v>
      </c>
      <c r="AS68" s="108">
        <v>0.97152777777777777</v>
      </c>
      <c r="AT68" s="108">
        <v>0.3430555555555555</v>
      </c>
      <c r="AU68" s="108">
        <v>0.9555555555555556</v>
      </c>
      <c r="AV68" s="108">
        <v>0.34513888888888888</v>
      </c>
      <c r="AW68" s="108">
        <v>0.96875</v>
      </c>
      <c r="AX68" s="120" t="s">
        <v>15</v>
      </c>
      <c r="AY68" s="120" t="s">
        <v>15</v>
      </c>
      <c r="AZ68" s="108">
        <v>0.34375</v>
      </c>
      <c r="BA68" s="108">
        <v>0.96597222222222223</v>
      </c>
      <c r="BB68" s="108">
        <v>0.3430555555555555</v>
      </c>
      <c r="BC68" s="108">
        <v>0.93819444444444444</v>
      </c>
      <c r="BD68" s="108">
        <v>0.34513888888888888</v>
      </c>
      <c r="BE68" s="108">
        <v>0.9472222222222223</v>
      </c>
      <c r="BF68" s="108">
        <v>0.3444444444444445</v>
      </c>
      <c r="BG68" s="108">
        <v>0.95277777777777783</v>
      </c>
      <c r="BH68" s="108">
        <v>0.3444444444444445</v>
      </c>
      <c r="BI68" s="108">
        <v>0.95277777777777783</v>
      </c>
      <c r="BJ68" s="108">
        <v>0.3444444444444445</v>
      </c>
      <c r="BK68" s="108">
        <v>0.97569444444444453</v>
      </c>
      <c r="BL68" s="110">
        <v>0.5756944444444444</v>
      </c>
      <c r="BM68" s="110">
        <v>0.95416666666666661</v>
      </c>
      <c r="BN68" s="108" t="s">
        <v>202</v>
      </c>
      <c r="BO68" s="108" t="s">
        <v>202</v>
      </c>
      <c r="BP68" s="12">
        <f t="shared" si="27"/>
        <v>31</v>
      </c>
      <c r="BQ68" s="118">
        <v>3</v>
      </c>
      <c r="BR68" s="2">
        <f t="shared" si="28"/>
        <v>28</v>
      </c>
      <c r="BS68" s="3">
        <f t="shared" si="29"/>
        <v>2</v>
      </c>
      <c r="BT68" s="3">
        <f t="shared" si="30"/>
        <v>0</v>
      </c>
      <c r="BU68" s="3">
        <f t="shared" si="31"/>
        <v>0</v>
      </c>
      <c r="BV68" s="3">
        <f t="shared" si="32"/>
        <v>0</v>
      </c>
      <c r="BW68" s="3">
        <f t="shared" si="33"/>
        <v>0</v>
      </c>
      <c r="BX68" s="3">
        <f t="shared" si="34"/>
        <v>0</v>
      </c>
      <c r="BY68" s="3">
        <f t="shared" si="35"/>
        <v>1</v>
      </c>
      <c r="BZ68" s="3">
        <f t="shared" si="36"/>
        <v>0</v>
      </c>
      <c r="CA68" s="3">
        <f t="shared" si="37"/>
        <v>0</v>
      </c>
      <c r="CB68" s="3">
        <f t="shared" si="38"/>
        <v>0</v>
      </c>
      <c r="CC68" s="3">
        <f t="shared" si="39"/>
        <v>0</v>
      </c>
      <c r="CD68" s="4"/>
      <c r="CH68" s="90">
        <v>0</v>
      </c>
      <c r="CI68" s="90">
        <v>0</v>
      </c>
      <c r="CJ68" s="90">
        <v>0</v>
      </c>
      <c r="CK68" s="90">
        <v>0</v>
      </c>
      <c r="CL68" s="90">
        <v>0</v>
      </c>
      <c r="CM68" s="91">
        <v>3</v>
      </c>
      <c r="CN68" s="91">
        <v>1</v>
      </c>
      <c r="CO68" s="90">
        <v>0</v>
      </c>
      <c r="CP68" s="90">
        <v>0</v>
      </c>
      <c r="CQ68" s="90">
        <v>0</v>
      </c>
      <c r="CR68" s="92">
        <f t="shared" si="41"/>
        <v>4</v>
      </c>
    </row>
    <row r="69" spans="1:96" ht="21.75" customHeight="1" x14ac:dyDescent="0.25">
      <c r="A69" s="55">
        <v>51</v>
      </c>
      <c r="B69" s="20" t="s">
        <v>141</v>
      </c>
      <c r="C69" s="9" t="s">
        <v>214</v>
      </c>
      <c r="D69" s="108">
        <v>0.34861111111111115</v>
      </c>
      <c r="E69" s="108">
        <v>0.89374999999999993</v>
      </c>
      <c r="F69" s="110">
        <v>0.5756944444444444</v>
      </c>
      <c r="G69" s="110">
        <v>0.87291666666666667</v>
      </c>
      <c r="H69" s="108">
        <v>0.34791666666666665</v>
      </c>
      <c r="I69" s="108">
        <v>0.9145833333333333</v>
      </c>
      <c r="J69" s="108">
        <v>0.34791666666666665</v>
      </c>
      <c r="K69" s="108">
        <v>0.88958333333333339</v>
      </c>
      <c r="L69" s="108">
        <v>0.34791666666666665</v>
      </c>
      <c r="M69" s="108">
        <v>0.89722222222222225</v>
      </c>
      <c r="N69" s="108">
        <v>0.34861111111111115</v>
      </c>
      <c r="O69" s="108">
        <v>0.91111111111111109</v>
      </c>
      <c r="P69" s="108">
        <v>0.35000000000000003</v>
      </c>
      <c r="Q69" s="108">
        <v>0.88888888888888884</v>
      </c>
      <c r="R69" s="108">
        <v>0.34861111111111115</v>
      </c>
      <c r="S69" s="108">
        <v>0.90902777777777777</v>
      </c>
      <c r="T69" s="120" t="s">
        <v>15</v>
      </c>
      <c r="U69" s="120" t="s">
        <v>15</v>
      </c>
      <c r="V69" s="108">
        <v>0.34097222222222223</v>
      </c>
      <c r="W69" s="108">
        <v>0.90347222222222223</v>
      </c>
      <c r="X69" s="108">
        <v>0.34861111111111115</v>
      </c>
      <c r="Y69" s="108">
        <v>0.89166666666666661</v>
      </c>
      <c r="Z69" s="108">
        <v>0.3430555555555555</v>
      </c>
      <c r="AA69" s="108">
        <v>0.89444444444444438</v>
      </c>
      <c r="AB69" s="108">
        <v>0.34930555555555554</v>
      </c>
      <c r="AC69" s="108">
        <v>0.88958333333333339</v>
      </c>
      <c r="AD69" s="108">
        <v>0.34722222222222227</v>
      </c>
      <c r="AE69" s="108">
        <v>0.8881944444444444</v>
      </c>
      <c r="AF69" s="108">
        <v>0.34791666666666665</v>
      </c>
      <c r="AG69" s="108">
        <v>0.88055555555555554</v>
      </c>
      <c r="AH69" s="60"/>
      <c r="AI69" s="77">
        <v>51</v>
      </c>
      <c r="AJ69" s="110">
        <v>0.57847222222222217</v>
      </c>
      <c r="AK69" s="110">
        <v>0.88541666666666663</v>
      </c>
      <c r="AL69" s="108">
        <v>0.34861111111111115</v>
      </c>
      <c r="AM69" s="108">
        <v>0.90277777777777779</v>
      </c>
      <c r="AN69" s="108">
        <v>0.34861111111111115</v>
      </c>
      <c r="AO69" s="108">
        <v>0.8965277777777777</v>
      </c>
      <c r="AP69" s="108">
        <v>0.34791666666666665</v>
      </c>
      <c r="AQ69" s="108">
        <v>0.89930555555555547</v>
      </c>
      <c r="AR69" s="108">
        <v>0.34791666666666665</v>
      </c>
      <c r="AS69" s="108">
        <v>0.90902777777777777</v>
      </c>
      <c r="AT69" s="108">
        <v>0.34722222222222227</v>
      </c>
      <c r="AU69" s="108">
        <v>0.90208333333333324</v>
      </c>
      <c r="AV69" s="108">
        <v>0.34930555555555554</v>
      </c>
      <c r="AW69" s="108">
        <v>0.89861111111111114</v>
      </c>
      <c r="AX69" s="120" t="s">
        <v>15</v>
      </c>
      <c r="AY69" s="120" t="s">
        <v>15</v>
      </c>
      <c r="AZ69" s="108">
        <v>0.34791666666666665</v>
      </c>
      <c r="BA69" s="108">
        <v>0.90277777777777779</v>
      </c>
      <c r="BB69" s="108">
        <v>0.34861111111111115</v>
      </c>
      <c r="BC69" s="108">
        <v>0.88888888888888884</v>
      </c>
      <c r="BD69" s="108">
        <v>0.34791666666666665</v>
      </c>
      <c r="BE69" s="108">
        <v>0.9</v>
      </c>
      <c r="BF69" s="108">
        <v>0.34861111111111115</v>
      </c>
      <c r="BG69" s="108">
        <v>0.8965277777777777</v>
      </c>
      <c r="BH69" s="108">
        <v>0.34930555555555554</v>
      </c>
      <c r="BI69" s="108">
        <v>0.91041666666666676</v>
      </c>
      <c r="BJ69" s="108">
        <v>0.34861111111111115</v>
      </c>
      <c r="BK69" s="108">
        <v>0.91666666666666663</v>
      </c>
      <c r="BL69" s="110">
        <v>0.56805555555555554</v>
      </c>
      <c r="BM69" s="110">
        <v>0.88611111111111107</v>
      </c>
      <c r="BN69" s="108">
        <v>0.34930555555555554</v>
      </c>
      <c r="BO69" s="108">
        <v>0.92222222222222217</v>
      </c>
      <c r="BP69" s="12">
        <f t="shared" si="27"/>
        <v>31</v>
      </c>
      <c r="BQ69" s="118">
        <v>3</v>
      </c>
      <c r="BR69" s="2">
        <f t="shared" si="28"/>
        <v>29</v>
      </c>
      <c r="BS69" s="3">
        <f t="shared" si="29"/>
        <v>2</v>
      </c>
      <c r="BT69" s="3">
        <f t="shared" si="30"/>
        <v>0</v>
      </c>
      <c r="BU69" s="3">
        <f t="shared" si="31"/>
        <v>0</v>
      </c>
      <c r="BV69" s="3">
        <f t="shared" si="32"/>
        <v>0</v>
      </c>
      <c r="BW69" s="3">
        <f t="shared" si="33"/>
        <v>0</v>
      </c>
      <c r="BX69" s="3">
        <f t="shared" si="34"/>
        <v>0</v>
      </c>
      <c r="BY69" s="3">
        <f t="shared" si="35"/>
        <v>0</v>
      </c>
      <c r="BZ69" s="3">
        <f t="shared" si="36"/>
        <v>0</v>
      </c>
      <c r="CA69" s="3">
        <f t="shared" si="37"/>
        <v>0</v>
      </c>
      <c r="CB69" s="3">
        <f t="shared" si="38"/>
        <v>0</v>
      </c>
      <c r="CC69" s="3">
        <f t="shared" si="39"/>
        <v>0</v>
      </c>
      <c r="CD69" s="4"/>
      <c r="CH69" s="90">
        <v>0</v>
      </c>
      <c r="CI69" s="90">
        <v>0</v>
      </c>
      <c r="CJ69" s="90">
        <v>0</v>
      </c>
      <c r="CK69" s="90">
        <v>0</v>
      </c>
      <c r="CL69" s="90">
        <v>0</v>
      </c>
      <c r="CM69" s="91">
        <v>1</v>
      </c>
      <c r="CN69" s="90">
        <v>0</v>
      </c>
      <c r="CO69" s="90">
        <v>0</v>
      </c>
      <c r="CP69" s="90">
        <v>0</v>
      </c>
      <c r="CQ69" s="90">
        <v>0</v>
      </c>
      <c r="CR69" s="92">
        <f t="shared" si="41"/>
        <v>1</v>
      </c>
    </row>
    <row r="70" spans="1:96" ht="21.75" customHeight="1" x14ac:dyDescent="0.25">
      <c r="A70" s="55">
        <v>52</v>
      </c>
      <c r="B70" s="20" t="s">
        <v>142</v>
      </c>
      <c r="C70" s="9" t="s">
        <v>215</v>
      </c>
      <c r="D70" s="108">
        <v>0.35416666666666669</v>
      </c>
      <c r="E70" s="119">
        <v>1</v>
      </c>
      <c r="F70" s="120" t="s">
        <v>15</v>
      </c>
      <c r="G70" s="120" t="s">
        <v>15</v>
      </c>
      <c r="H70" s="108">
        <v>0.35000000000000003</v>
      </c>
      <c r="I70" s="108">
        <v>0.97083333333333333</v>
      </c>
      <c r="J70" s="108">
        <v>0.35069444444444442</v>
      </c>
      <c r="K70" s="108">
        <v>0.95416666666666661</v>
      </c>
      <c r="L70" s="108">
        <v>0.35069444444444442</v>
      </c>
      <c r="M70" s="108">
        <v>0.97638888888888886</v>
      </c>
      <c r="N70" s="108">
        <v>0.35138888888888892</v>
      </c>
      <c r="O70" s="108">
        <v>0.95138888888888884</v>
      </c>
      <c r="P70" s="108">
        <v>0.35138888888888892</v>
      </c>
      <c r="Q70" s="108">
        <v>0.94791666666666663</v>
      </c>
      <c r="R70" s="108">
        <v>0.35347222222222219</v>
      </c>
      <c r="S70" s="108">
        <v>0.97430555555555554</v>
      </c>
      <c r="T70" s="110">
        <v>0.5756944444444444</v>
      </c>
      <c r="U70" s="110">
        <v>0.95138888888888884</v>
      </c>
      <c r="V70" s="108">
        <v>0.3527777777777778</v>
      </c>
      <c r="W70" s="108">
        <v>0.97569444444444453</v>
      </c>
      <c r="X70" s="108">
        <v>0.35347222222222219</v>
      </c>
      <c r="Y70" s="108">
        <v>0.9555555555555556</v>
      </c>
      <c r="Z70" s="108">
        <v>0.3527777777777778</v>
      </c>
      <c r="AA70" s="108">
        <v>0.95416666666666661</v>
      </c>
      <c r="AB70" s="108">
        <v>0.35000000000000003</v>
      </c>
      <c r="AC70" s="108">
        <v>0.95138888888888884</v>
      </c>
      <c r="AD70" s="108">
        <v>0.3520833333333333</v>
      </c>
      <c r="AE70" s="108">
        <v>0.95624999999999993</v>
      </c>
      <c r="AF70" s="108">
        <v>0.3520833333333333</v>
      </c>
      <c r="AG70" s="108">
        <v>0.9770833333333333</v>
      </c>
      <c r="AH70" s="60"/>
      <c r="AI70" s="77">
        <v>52</v>
      </c>
      <c r="AJ70" s="120" t="s">
        <v>15</v>
      </c>
      <c r="AK70" s="120" t="s">
        <v>15</v>
      </c>
      <c r="AL70" s="108">
        <v>0.35347222222222219</v>
      </c>
      <c r="AM70" s="108">
        <v>0.97361111111111109</v>
      </c>
      <c r="AN70" s="108">
        <v>0.35138888888888892</v>
      </c>
      <c r="AO70" s="108">
        <v>0.96458333333333324</v>
      </c>
      <c r="AP70" s="108">
        <v>0.35000000000000003</v>
      </c>
      <c r="AQ70" s="108">
        <v>0.95000000000000007</v>
      </c>
      <c r="AR70" s="108">
        <v>0.35000000000000003</v>
      </c>
      <c r="AS70" s="108">
        <v>0.94652777777777775</v>
      </c>
      <c r="AT70" s="108">
        <v>0.35000000000000003</v>
      </c>
      <c r="AU70" s="108">
        <v>0.94791666666666663</v>
      </c>
      <c r="AV70" s="108">
        <v>0.35069444444444442</v>
      </c>
      <c r="AW70" s="108">
        <v>0.97083333333333333</v>
      </c>
      <c r="AX70" s="110">
        <v>0.57708333333333328</v>
      </c>
      <c r="AY70" s="110">
        <v>0.95624999999999993</v>
      </c>
      <c r="AZ70" s="108">
        <v>0.35138888888888892</v>
      </c>
      <c r="BA70" s="108">
        <v>0.96875</v>
      </c>
      <c r="BB70" s="108">
        <v>0.35069444444444442</v>
      </c>
      <c r="BC70" s="108">
        <v>0.95763888888888893</v>
      </c>
      <c r="BD70" s="108">
        <v>0.34930555555555554</v>
      </c>
      <c r="BE70" s="108">
        <v>0.99375000000000002</v>
      </c>
      <c r="BF70" s="108">
        <v>0.35069444444444442</v>
      </c>
      <c r="BG70" s="108">
        <v>0.95694444444444438</v>
      </c>
      <c r="BH70" s="108">
        <v>0.35138888888888892</v>
      </c>
      <c r="BI70" s="108">
        <v>0.95416666666666661</v>
      </c>
      <c r="BJ70" s="108">
        <v>0.35069444444444442</v>
      </c>
      <c r="BK70" s="108">
        <v>0.97430555555555554</v>
      </c>
      <c r="BL70" s="120" t="s">
        <v>15</v>
      </c>
      <c r="BM70" s="120" t="s">
        <v>15</v>
      </c>
      <c r="BN70" s="108">
        <v>0.35069444444444442</v>
      </c>
      <c r="BO70" s="108">
        <v>0.97222222222222221</v>
      </c>
      <c r="BP70" s="12">
        <f t="shared" si="27"/>
        <v>31</v>
      </c>
      <c r="BQ70" s="118">
        <v>2</v>
      </c>
      <c r="BR70" s="2">
        <f t="shared" si="28"/>
        <v>28</v>
      </c>
      <c r="BS70" s="3">
        <f t="shared" si="29"/>
        <v>3</v>
      </c>
      <c r="BT70" s="3">
        <f t="shared" si="30"/>
        <v>0</v>
      </c>
      <c r="BU70" s="3">
        <f t="shared" si="31"/>
        <v>0</v>
      </c>
      <c r="BV70" s="3">
        <f t="shared" si="32"/>
        <v>0</v>
      </c>
      <c r="BW70" s="3">
        <f t="shared" si="33"/>
        <v>0</v>
      </c>
      <c r="BX70" s="3">
        <f t="shared" si="34"/>
        <v>0</v>
      </c>
      <c r="BY70" s="3">
        <f t="shared" si="35"/>
        <v>0</v>
      </c>
      <c r="BZ70" s="3">
        <f t="shared" si="36"/>
        <v>0</v>
      </c>
      <c r="CA70" s="3">
        <f t="shared" si="37"/>
        <v>0</v>
      </c>
      <c r="CB70" s="3">
        <f t="shared" si="38"/>
        <v>0</v>
      </c>
      <c r="CC70" s="3">
        <f t="shared" si="39"/>
        <v>0</v>
      </c>
      <c r="CD70" s="4"/>
      <c r="CH70" s="90">
        <v>0</v>
      </c>
      <c r="CI70" s="90">
        <v>0</v>
      </c>
      <c r="CJ70" s="90">
        <v>0</v>
      </c>
      <c r="CK70" s="90">
        <v>0</v>
      </c>
      <c r="CL70" s="90">
        <v>0</v>
      </c>
      <c r="CM70" s="91">
        <v>1</v>
      </c>
      <c r="CN70" s="90">
        <v>0</v>
      </c>
      <c r="CO70" s="90">
        <v>0</v>
      </c>
      <c r="CP70" s="90">
        <v>0</v>
      </c>
      <c r="CQ70" s="90">
        <v>0</v>
      </c>
      <c r="CR70" s="92">
        <f t="shared" si="41"/>
        <v>1</v>
      </c>
    </row>
    <row r="71" spans="1:96" ht="21.75" customHeight="1" x14ac:dyDescent="0.25">
      <c r="A71" s="55">
        <v>53</v>
      </c>
      <c r="B71" s="20" t="s">
        <v>143</v>
      </c>
      <c r="C71" s="9" t="s">
        <v>144</v>
      </c>
      <c r="D71" s="108">
        <v>0.3527777777777778</v>
      </c>
      <c r="E71" s="108">
        <v>0.96388888888888891</v>
      </c>
      <c r="F71" s="120" t="s">
        <v>15</v>
      </c>
      <c r="G71" s="120" t="s">
        <v>15</v>
      </c>
      <c r="H71" s="108">
        <v>0.3527777777777778</v>
      </c>
      <c r="I71" s="108">
        <v>0.97013888888888899</v>
      </c>
      <c r="J71" s="108">
        <v>0.3520833333333333</v>
      </c>
      <c r="K71" s="119">
        <v>1</v>
      </c>
      <c r="L71" s="108">
        <v>0.35416666666666669</v>
      </c>
      <c r="M71" s="108">
        <v>0.98402777777777783</v>
      </c>
      <c r="N71" s="108">
        <v>0.3527777777777778</v>
      </c>
      <c r="O71" s="108">
        <v>0.99444444444444446</v>
      </c>
      <c r="P71" s="108">
        <v>0.35347222222222219</v>
      </c>
      <c r="Q71" s="108">
        <v>0.96388888888888891</v>
      </c>
      <c r="R71" s="108">
        <v>0.35347222222222219</v>
      </c>
      <c r="S71" s="108">
        <v>0.96805555555555556</v>
      </c>
      <c r="T71" s="110">
        <v>0.58194444444444449</v>
      </c>
      <c r="U71" s="110">
        <v>0.91666666666666663</v>
      </c>
      <c r="V71" s="108">
        <v>0.35347222222222219</v>
      </c>
      <c r="W71" s="119">
        <v>1</v>
      </c>
      <c r="X71" s="108">
        <v>0.3527777777777778</v>
      </c>
      <c r="Y71" s="119">
        <v>1</v>
      </c>
      <c r="Z71" s="108">
        <v>0.3527777777777778</v>
      </c>
      <c r="AA71" s="108">
        <v>0.94791666666666663</v>
      </c>
      <c r="AB71" s="108">
        <v>0.3527777777777778</v>
      </c>
      <c r="AC71" s="108">
        <v>0.92152777777777783</v>
      </c>
      <c r="AD71" s="108">
        <v>0.35347222222222219</v>
      </c>
      <c r="AE71" s="108">
        <v>0.97638888888888886</v>
      </c>
      <c r="AF71" s="108">
        <v>0.35347222222222219</v>
      </c>
      <c r="AG71" s="108">
        <v>0.9590277777777777</v>
      </c>
      <c r="AH71" s="60"/>
      <c r="AI71" s="77">
        <v>53</v>
      </c>
      <c r="AJ71" s="120" t="s">
        <v>15</v>
      </c>
      <c r="AK71" s="120" t="s">
        <v>15</v>
      </c>
      <c r="AL71" s="108">
        <v>0.35347222222222219</v>
      </c>
      <c r="AM71" s="108">
        <v>0.98958333333333337</v>
      </c>
      <c r="AN71" s="108">
        <v>0.35347222222222219</v>
      </c>
      <c r="AO71" s="108">
        <v>0.97430555555555554</v>
      </c>
      <c r="AP71" s="108">
        <v>0.35347222222222219</v>
      </c>
      <c r="AQ71" s="108">
        <v>0.9784722222222223</v>
      </c>
      <c r="AR71" s="108">
        <v>0.35347222222222219</v>
      </c>
      <c r="AS71" s="108">
        <v>0.9784722222222223</v>
      </c>
      <c r="AT71" s="108">
        <v>0.35347222222222219</v>
      </c>
      <c r="AU71" s="108">
        <v>0.95000000000000007</v>
      </c>
      <c r="AV71" s="108">
        <v>0.3527777777777778</v>
      </c>
      <c r="AW71" s="108">
        <v>2.0833333333333333E-3</v>
      </c>
      <c r="AX71" s="110">
        <v>0.58333333333333337</v>
      </c>
      <c r="AY71" s="110">
        <v>0.94791666666666663</v>
      </c>
      <c r="AZ71" s="108">
        <v>0.35416666666666669</v>
      </c>
      <c r="BA71" s="119">
        <v>1</v>
      </c>
      <c r="BB71" s="108">
        <v>0.35347222222222219</v>
      </c>
      <c r="BC71" s="108">
        <v>0.96805555555555556</v>
      </c>
      <c r="BD71" s="108">
        <v>0.35416666666666669</v>
      </c>
      <c r="BE71" s="108">
        <v>0.94097222222222221</v>
      </c>
      <c r="BF71" s="108">
        <v>0.35347222222222219</v>
      </c>
      <c r="BG71" s="108">
        <v>0.94444444444444453</v>
      </c>
      <c r="BH71" s="108">
        <v>0.35347222222222219</v>
      </c>
      <c r="BI71" s="108">
        <v>5.5555555555555558E-3</v>
      </c>
      <c r="BJ71" s="108">
        <v>0.35416666666666669</v>
      </c>
      <c r="BK71" s="108">
        <v>0.99583333333333324</v>
      </c>
      <c r="BL71" s="120" t="s">
        <v>15</v>
      </c>
      <c r="BM71" s="120" t="s">
        <v>15</v>
      </c>
      <c r="BN71" s="108">
        <v>0.35416666666666669</v>
      </c>
      <c r="BO71" s="119">
        <v>1</v>
      </c>
      <c r="BP71" s="12">
        <f t="shared" si="27"/>
        <v>31</v>
      </c>
      <c r="BQ71" s="118">
        <v>2</v>
      </c>
      <c r="BR71" s="2">
        <f t="shared" si="28"/>
        <v>28</v>
      </c>
      <c r="BS71" s="3">
        <f t="shared" si="29"/>
        <v>3</v>
      </c>
      <c r="BT71" s="3">
        <f t="shared" si="30"/>
        <v>0</v>
      </c>
      <c r="BU71" s="3">
        <f t="shared" si="31"/>
        <v>0</v>
      </c>
      <c r="BV71" s="3">
        <f t="shared" si="32"/>
        <v>0</v>
      </c>
      <c r="BW71" s="3">
        <f t="shared" si="33"/>
        <v>0</v>
      </c>
      <c r="BX71" s="3">
        <f t="shared" si="34"/>
        <v>0</v>
      </c>
      <c r="BY71" s="3">
        <f t="shared" si="35"/>
        <v>0</v>
      </c>
      <c r="BZ71" s="3">
        <f t="shared" si="36"/>
        <v>0</v>
      </c>
      <c r="CA71" s="3">
        <f t="shared" si="37"/>
        <v>0</v>
      </c>
      <c r="CB71" s="3">
        <f t="shared" si="38"/>
        <v>0</v>
      </c>
      <c r="CC71" s="3">
        <f t="shared" si="39"/>
        <v>0</v>
      </c>
      <c r="CD71" s="4"/>
      <c r="CH71" s="90">
        <v>0</v>
      </c>
      <c r="CI71" s="90">
        <v>0</v>
      </c>
      <c r="CJ71" s="90">
        <v>0</v>
      </c>
      <c r="CK71" s="90">
        <v>0</v>
      </c>
      <c r="CL71" s="90">
        <v>0</v>
      </c>
      <c r="CM71" s="91">
        <v>3</v>
      </c>
      <c r="CN71" s="90">
        <v>0</v>
      </c>
      <c r="CO71" s="91">
        <v>4</v>
      </c>
      <c r="CP71" s="90">
        <v>0</v>
      </c>
      <c r="CQ71" s="90">
        <v>0</v>
      </c>
      <c r="CR71" s="92">
        <f t="shared" si="41"/>
        <v>7</v>
      </c>
    </row>
    <row r="72" spans="1:96" ht="21.75" customHeight="1" x14ac:dyDescent="0.25">
      <c r="A72" s="55">
        <v>54</v>
      </c>
      <c r="B72" s="20" t="s">
        <v>145</v>
      </c>
      <c r="C72" s="9" t="s">
        <v>146</v>
      </c>
      <c r="D72" s="108">
        <v>0.35000000000000003</v>
      </c>
      <c r="E72" s="108">
        <v>0.99791666666666667</v>
      </c>
      <c r="F72" s="110">
        <v>0.57847222222222217</v>
      </c>
      <c r="G72" s="110">
        <v>0.96319444444444446</v>
      </c>
      <c r="H72" s="108">
        <v>0.35138888888888892</v>
      </c>
      <c r="I72" s="108">
        <v>0.97222222222222221</v>
      </c>
      <c r="J72" s="108">
        <v>0.3527777777777778</v>
      </c>
      <c r="K72" s="108">
        <v>0.96250000000000002</v>
      </c>
      <c r="L72" s="108">
        <v>0.35347222222222219</v>
      </c>
      <c r="M72" s="108">
        <v>0.96388888888888891</v>
      </c>
      <c r="N72" s="108">
        <v>0.35486111111111113</v>
      </c>
      <c r="O72" s="108">
        <v>0.95972222222222225</v>
      </c>
      <c r="P72" s="108">
        <v>0.35069444444444442</v>
      </c>
      <c r="Q72" s="108">
        <v>0.9590277777777777</v>
      </c>
      <c r="R72" s="108">
        <v>0.35138888888888892</v>
      </c>
      <c r="S72" s="108">
        <v>0.97222222222222221</v>
      </c>
      <c r="T72" s="120" t="s">
        <v>15</v>
      </c>
      <c r="U72" s="120" t="s">
        <v>15</v>
      </c>
      <c r="V72" s="108" t="s">
        <v>202</v>
      </c>
      <c r="W72" s="108" t="s">
        <v>202</v>
      </c>
      <c r="X72" s="108" t="s">
        <v>202</v>
      </c>
      <c r="Y72" s="108" t="s">
        <v>202</v>
      </c>
      <c r="Z72" s="108">
        <v>0.3520833333333333</v>
      </c>
      <c r="AA72" s="108">
        <v>0.95624999999999993</v>
      </c>
      <c r="AB72" s="108">
        <v>0.3520833333333333</v>
      </c>
      <c r="AC72" s="108">
        <v>0.95347222222222217</v>
      </c>
      <c r="AD72" s="108">
        <v>0.3520833333333333</v>
      </c>
      <c r="AE72" s="108">
        <v>0.95486111111111116</v>
      </c>
      <c r="AF72" s="108">
        <v>0.3527777777777778</v>
      </c>
      <c r="AG72" s="108">
        <v>0.97916666666666663</v>
      </c>
      <c r="AH72" s="60"/>
      <c r="AI72" s="77">
        <v>54</v>
      </c>
      <c r="AJ72" s="110">
        <v>0.58194444444444449</v>
      </c>
      <c r="AK72" s="110">
        <v>0.94930555555555562</v>
      </c>
      <c r="AL72" s="108">
        <v>0.34861111111111115</v>
      </c>
      <c r="AM72" s="108">
        <v>0.55902777777777779</v>
      </c>
      <c r="AN72" s="108">
        <v>0.3520833333333333</v>
      </c>
      <c r="AO72" s="108">
        <v>0.95624999999999993</v>
      </c>
      <c r="AP72" s="108">
        <v>0.3527777777777778</v>
      </c>
      <c r="AQ72" s="108">
        <v>0.95972222222222225</v>
      </c>
      <c r="AR72" s="108">
        <v>0.3527777777777778</v>
      </c>
      <c r="AS72" s="108">
        <v>0.95972222222222225</v>
      </c>
      <c r="AT72" s="108">
        <v>0.3527777777777778</v>
      </c>
      <c r="AU72" s="108">
        <v>0.95486111111111116</v>
      </c>
      <c r="AV72" s="108">
        <v>0.35347222222222219</v>
      </c>
      <c r="AW72" s="108">
        <v>0.97361111111111109</v>
      </c>
      <c r="AX72" s="120" t="s">
        <v>15</v>
      </c>
      <c r="AY72" s="120" t="s">
        <v>15</v>
      </c>
      <c r="AZ72" s="108">
        <v>0.3520833333333333</v>
      </c>
      <c r="BA72" s="108">
        <v>0.96527777777777779</v>
      </c>
      <c r="BB72" s="108">
        <v>0.35347222222222219</v>
      </c>
      <c r="BC72" s="108">
        <v>0.95486111111111116</v>
      </c>
      <c r="BD72" s="108">
        <v>0.35347222222222219</v>
      </c>
      <c r="BE72" s="108">
        <v>0.95208333333333339</v>
      </c>
      <c r="BF72" s="108">
        <v>0.35347222222222219</v>
      </c>
      <c r="BG72" s="119">
        <v>1</v>
      </c>
      <c r="BH72" s="108">
        <v>0.35347222222222219</v>
      </c>
      <c r="BI72" s="108">
        <v>0.94930555555555562</v>
      </c>
      <c r="BJ72" s="108">
        <v>0.35347222222222219</v>
      </c>
      <c r="BK72" s="108">
        <v>0.9770833333333333</v>
      </c>
      <c r="BL72" s="110">
        <v>0.5805555555555556</v>
      </c>
      <c r="BM72" s="110">
        <v>0.95486111111111116</v>
      </c>
      <c r="BN72" s="108">
        <v>0.35416666666666669</v>
      </c>
      <c r="BO72" s="108">
        <v>0.97013888888888899</v>
      </c>
      <c r="BP72" s="12">
        <f t="shared" si="27"/>
        <v>31</v>
      </c>
      <c r="BQ72" s="118">
        <v>3</v>
      </c>
      <c r="BR72" s="2">
        <f t="shared" si="28"/>
        <v>27</v>
      </c>
      <c r="BS72" s="3">
        <f t="shared" si="29"/>
        <v>2</v>
      </c>
      <c r="BT72" s="3">
        <f t="shared" si="30"/>
        <v>0</v>
      </c>
      <c r="BU72" s="3">
        <f t="shared" si="31"/>
        <v>0</v>
      </c>
      <c r="BV72" s="3">
        <f t="shared" si="32"/>
        <v>0</v>
      </c>
      <c r="BW72" s="3">
        <f t="shared" si="33"/>
        <v>0</v>
      </c>
      <c r="BX72" s="3">
        <f t="shared" si="34"/>
        <v>0</v>
      </c>
      <c r="BY72" s="3">
        <f t="shared" si="35"/>
        <v>2</v>
      </c>
      <c r="BZ72" s="3">
        <f t="shared" si="36"/>
        <v>0</v>
      </c>
      <c r="CA72" s="3">
        <f t="shared" si="37"/>
        <v>0</v>
      </c>
      <c r="CB72" s="3">
        <f t="shared" si="38"/>
        <v>0</v>
      </c>
      <c r="CC72" s="3">
        <f t="shared" si="39"/>
        <v>0</v>
      </c>
      <c r="CD72" s="4"/>
      <c r="CH72" s="90">
        <v>0</v>
      </c>
      <c r="CI72" s="90">
        <v>0</v>
      </c>
      <c r="CJ72" s="90">
        <v>0</v>
      </c>
      <c r="CK72" s="90">
        <v>0</v>
      </c>
      <c r="CL72" s="90">
        <v>0</v>
      </c>
      <c r="CM72" s="90">
        <v>2</v>
      </c>
      <c r="CN72" s="90">
        <v>0</v>
      </c>
      <c r="CO72" s="91">
        <v>1</v>
      </c>
      <c r="CP72" s="90">
        <v>0</v>
      </c>
      <c r="CQ72" s="90">
        <v>0</v>
      </c>
      <c r="CR72" s="92">
        <f t="shared" si="41"/>
        <v>3</v>
      </c>
    </row>
    <row r="73" spans="1:96" ht="21.75" customHeight="1" x14ac:dyDescent="0.25">
      <c r="A73" s="55">
        <v>55</v>
      </c>
      <c r="B73" s="20" t="s">
        <v>147</v>
      </c>
      <c r="C73" s="9" t="s">
        <v>148</v>
      </c>
      <c r="D73" s="108">
        <v>0.35416666666666669</v>
      </c>
      <c r="E73" s="108">
        <v>0.96388888888888891</v>
      </c>
      <c r="F73" s="120" t="s">
        <v>15</v>
      </c>
      <c r="G73" s="120" t="s">
        <v>15</v>
      </c>
      <c r="H73" s="108">
        <v>0.3527777777777778</v>
      </c>
      <c r="I73" s="108">
        <v>0.96944444444444444</v>
      </c>
      <c r="J73" s="108">
        <v>0.35416666666666669</v>
      </c>
      <c r="K73" s="119">
        <v>1</v>
      </c>
      <c r="L73" s="108">
        <v>0.3527777777777778</v>
      </c>
      <c r="M73" s="119">
        <v>1</v>
      </c>
      <c r="N73" s="108">
        <v>0.3888888888888889</v>
      </c>
      <c r="O73" s="119">
        <v>1</v>
      </c>
      <c r="P73" s="108">
        <v>0.3527777777777778</v>
      </c>
      <c r="Q73" s="108">
        <v>0.96527777777777779</v>
      </c>
      <c r="R73" s="108">
        <v>0.3527777777777778</v>
      </c>
      <c r="S73" s="108">
        <v>0.96875</v>
      </c>
      <c r="T73" s="110">
        <v>0.58263888888888882</v>
      </c>
      <c r="U73" s="110">
        <v>0.92152777777777783</v>
      </c>
      <c r="V73" s="108">
        <v>0.35416666666666669</v>
      </c>
      <c r="W73" s="108">
        <v>0.99375000000000002</v>
      </c>
      <c r="X73" s="108">
        <v>0.35416666666666669</v>
      </c>
      <c r="Y73" s="108">
        <v>0.95347222222222217</v>
      </c>
      <c r="Z73" s="108">
        <v>0.35347222222222219</v>
      </c>
      <c r="AA73" s="108">
        <v>0.94861111111111107</v>
      </c>
      <c r="AB73" s="108">
        <v>0.35347222222222219</v>
      </c>
      <c r="AC73" s="108">
        <v>0.92152777777777783</v>
      </c>
      <c r="AD73" s="108">
        <v>0.35347222222222219</v>
      </c>
      <c r="AE73" s="108">
        <v>0.97638888888888886</v>
      </c>
      <c r="AF73" s="108">
        <v>0.35347222222222219</v>
      </c>
      <c r="AG73" s="108">
        <v>0.95833333333333337</v>
      </c>
      <c r="AH73" s="60"/>
      <c r="AI73" s="77">
        <v>55</v>
      </c>
      <c r="AJ73" s="120" t="s">
        <v>15</v>
      </c>
      <c r="AK73" s="120" t="s">
        <v>15</v>
      </c>
      <c r="AL73" s="108">
        <v>0.35347222222222219</v>
      </c>
      <c r="AM73" s="108">
        <v>0.98888888888888893</v>
      </c>
      <c r="AN73" s="108">
        <v>0.35347222222222219</v>
      </c>
      <c r="AO73" s="108">
        <v>0.97430555555555554</v>
      </c>
      <c r="AP73" s="108">
        <v>0.35347222222222219</v>
      </c>
      <c r="AQ73" s="108">
        <v>0.97916666666666663</v>
      </c>
      <c r="AR73" s="108">
        <v>0.35416666666666669</v>
      </c>
      <c r="AS73" s="108">
        <v>0.97916666666666663</v>
      </c>
      <c r="AT73" s="108">
        <v>0.35347222222222219</v>
      </c>
      <c r="AU73" s="108">
        <v>0.9506944444444444</v>
      </c>
      <c r="AV73" s="108">
        <v>0.3520833333333333</v>
      </c>
      <c r="AW73" s="108">
        <v>4.1666666666666666E-3</v>
      </c>
      <c r="AX73" s="110">
        <v>0.58333333333333337</v>
      </c>
      <c r="AY73" s="110">
        <v>0.9472222222222223</v>
      </c>
      <c r="AZ73" s="108">
        <v>0.3576388888888889</v>
      </c>
      <c r="BA73" s="108">
        <v>0.98958333333333337</v>
      </c>
      <c r="BB73" s="108">
        <v>0.35625000000000001</v>
      </c>
      <c r="BC73" s="108">
        <v>0.96666666666666667</v>
      </c>
      <c r="BD73" s="108">
        <v>0.35625000000000001</v>
      </c>
      <c r="BE73" s="108">
        <v>0.94097222222222221</v>
      </c>
      <c r="BF73" s="108">
        <v>0.35416666666666669</v>
      </c>
      <c r="BG73" s="108">
        <v>0.94444444444444453</v>
      </c>
      <c r="BH73" s="108">
        <v>0.35347222222222219</v>
      </c>
      <c r="BI73" s="108">
        <v>5.5555555555555558E-3</v>
      </c>
      <c r="BJ73" s="108">
        <v>0.35347222222222219</v>
      </c>
      <c r="BK73" s="108">
        <v>0.98888888888888893</v>
      </c>
      <c r="BL73" s="120" t="s">
        <v>15</v>
      </c>
      <c r="BM73" s="120" t="s">
        <v>15</v>
      </c>
      <c r="BN73" s="108">
        <v>0.35486111111111113</v>
      </c>
      <c r="BO73" s="108">
        <v>0.97430555555555554</v>
      </c>
      <c r="BP73" s="12">
        <f t="shared" si="27"/>
        <v>31</v>
      </c>
      <c r="BQ73" s="118">
        <v>2</v>
      </c>
      <c r="BR73" s="2">
        <f t="shared" si="28"/>
        <v>28</v>
      </c>
      <c r="BS73" s="3">
        <f t="shared" si="29"/>
        <v>3</v>
      </c>
      <c r="BT73" s="3">
        <f t="shared" si="30"/>
        <v>0</v>
      </c>
      <c r="BU73" s="3">
        <f t="shared" si="31"/>
        <v>0</v>
      </c>
      <c r="BV73" s="3">
        <f t="shared" si="32"/>
        <v>0</v>
      </c>
      <c r="BW73" s="3">
        <f t="shared" si="33"/>
        <v>0</v>
      </c>
      <c r="BX73" s="3">
        <f t="shared" si="34"/>
        <v>0</v>
      </c>
      <c r="BY73" s="3">
        <f t="shared" si="35"/>
        <v>0</v>
      </c>
      <c r="BZ73" s="3">
        <f t="shared" si="36"/>
        <v>0</v>
      </c>
      <c r="CA73" s="3">
        <f t="shared" si="37"/>
        <v>0</v>
      </c>
      <c r="CB73" s="3">
        <f t="shared" si="38"/>
        <v>0</v>
      </c>
      <c r="CC73" s="3">
        <f t="shared" si="39"/>
        <v>0</v>
      </c>
      <c r="CD73" s="4"/>
      <c r="CH73" s="90">
        <v>0</v>
      </c>
      <c r="CI73" s="90">
        <v>0</v>
      </c>
      <c r="CJ73" s="90">
        <v>0</v>
      </c>
      <c r="CK73" s="91">
        <v>8</v>
      </c>
      <c r="CL73" s="90">
        <v>0</v>
      </c>
      <c r="CM73" s="91">
        <v>4</v>
      </c>
      <c r="CN73" s="90">
        <v>0</v>
      </c>
      <c r="CO73" s="90">
        <v>0</v>
      </c>
      <c r="CP73" s="90">
        <v>0</v>
      </c>
      <c r="CQ73" s="90">
        <v>0</v>
      </c>
      <c r="CR73" s="92">
        <f t="shared" si="41"/>
        <v>12</v>
      </c>
    </row>
    <row r="74" spans="1:96" ht="21.75" customHeight="1" x14ac:dyDescent="0.25">
      <c r="A74" s="55">
        <v>56</v>
      </c>
      <c r="B74" s="20" t="s">
        <v>149</v>
      </c>
      <c r="C74" s="9" t="s">
        <v>150</v>
      </c>
      <c r="D74" s="108">
        <v>0.35138888888888892</v>
      </c>
      <c r="E74" s="108">
        <v>0.96527777777777779</v>
      </c>
      <c r="F74" s="110">
        <v>0.57500000000000007</v>
      </c>
      <c r="G74" s="110">
        <v>0.96944444444444444</v>
      </c>
      <c r="H74" s="108">
        <v>0.35069444444444442</v>
      </c>
      <c r="I74" s="108">
        <v>0.97013888888888899</v>
      </c>
      <c r="J74" s="108">
        <v>0.35000000000000003</v>
      </c>
      <c r="K74" s="108">
        <v>0.98263888888888884</v>
      </c>
      <c r="L74" s="108">
        <v>0.35069444444444442</v>
      </c>
      <c r="M74" s="108">
        <v>0.94861111111111107</v>
      </c>
      <c r="N74" s="108">
        <v>0.34791666666666665</v>
      </c>
      <c r="O74" s="119">
        <v>1</v>
      </c>
      <c r="P74" s="108">
        <v>0.35138888888888892</v>
      </c>
      <c r="Q74" s="108">
        <v>0.96458333333333324</v>
      </c>
      <c r="R74" s="108">
        <v>0.35069444444444442</v>
      </c>
      <c r="S74" s="108">
        <v>0.96736111111111101</v>
      </c>
      <c r="T74" s="120" t="s">
        <v>15</v>
      </c>
      <c r="U74" s="120" t="s">
        <v>15</v>
      </c>
      <c r="V74" s="108">
        <v>0.35069444444444442</v>
      </c>
      <c r="W74" s="108">
        <v>0.99305555555555547</v>
      </c>
      <c r="X74" s="108">
        <v>0.35000000000000003</v>
      </c>
      <c r="Y74" s="108">
        <v>0.95277777777777783</v>
      </c>
      <c r="Z74" s="108">
        <v>0.3520833333333333</v>
      </c>
      <c r="AA74" s="108">
        <v>0.94652777777777775</v>
      </c>
      <c r="AB74" s="108">
        <v>0.3527777777777778</v>
      </c>
      <c r="AC74" s="108">
        <v>0.93333333333333324</v>
      </c>
      <c r="AD74" s="108">
        <v>0.3520833333333333</v>
      </c>
      <c r="AE74" s="108">
        <v>0.97638888888888886</v>
      </c>
      <c r="AF74" s="108">
        <v>0.34722222222222227</v>
      </c>
      <c r="AG74" s="108">
        <v>0.95486111111111116</v>
      </c>
      <c r="AH74" s="60"/>
      <c r="AI74" s="77">
        <v>56</v>
      </c>
      <c r="AJ74" s="110">
        <v>0.56111111111111112</v>
      </c>
      <c r="AK74" s="110">
        <v>0.96111111111111114</v>
      </c>
      <c r="AL74" s="108">
        <v>0.34930555555555554</v>
      </c>
      <c r="AM74" s="108">
        <v>0.98402777777777783</v>
      </c>
      <c r="AN74" s="108">
        <v>0.35138888888888892</v>
      </c>
      <c r="AO74" s="108">
        <v>0.97361111111111109</v>
      </c>
      <c r="AP74" s="108">
        <v>0.3444444444444445</v>
      </c>
      <c r="AQ74" s="108">
        <v>0.97916666666666663</v>
      </c>
      <c r="AR74" s="108">
        <v>0.35138888888888892</v>
      </c>
      <c r="AS74" s="108">
        <v>0.9784722222222223</v>
      </c>
      <c r="AT74" s="108">
        <v>0.35138888888888892</v>
      </c>
      <c r="AU74" s="108">
        <v>0.95000000000000007</v>
      </c>
      <c r="AV74" s="108">
        <v>0.35069444444444442</v>
      </c>
      <c r="AW74" s="108">
        <v>2.7777777777777779E-3</v>
      </c>
      <c r="AX74" s="120" t="s">
        <v>15</v>
      </c>
      <c r="AY74" s="120" t="s">
        <v>15</v>
      </c>
      <c r="AZ74" s="108">
        <v>0.34930555555555554</v>
      </c>
      <c r="BA74" s="119">
        <v>1</v>
      </c>
      <c r="BB74" s="108">
        <v>0.35138888888888892</v>
      </c>
      <c r="BC74" s="108">
        <v>0.96458333333333324</v>
      </c>
      <c r="BD74" s="108">
        <v>0.35138888888888892</v>
      </c>
      <c r="BE74" s="108">
        <v>0.93472222222222223</v>
      </c>
      <c r="BF74" s="108">
        <v>0.35069444444444442</v>
      </c>
      <c r="BG74" s="108">
        <v>0.94305555555555554</v>
      </c>
      <c r="BH74" s="108">
        <v>0.35138888888888892</v>
      </c>
      <c r="BI74" s="108">
        <v>0.98263888888888884</v>
      </c>
      <c r="BJ74" s="108">
        <v>0.34375</v>
      </c>
      <c r="BK74" s="108">
        <v>0.99513888888888891</v>
      </c>
      <c r="BL74" s="110">
        <v>0.57777777777777783</v>
      </c>
      <c r="BM74" s="120">
        <v>1</v>
      </c>
      <c r="BN74" s="108">
        <v>0.3527777777777778</v>
      </c>
      <c r="BO74" s="119">
        <v>1</v>
      </c>
      <c r="BP74" s="12">
        <f t="shared" si="27"/>
        <v>31</v>
      </c>
      <c r="BQ74" s="118">
        <v>3</v>
      </c>
      <c r="BR74" s="2">
        <f t="shared" si="28"/>
        <v>29</v>
      </c>
      <c r="BS74" s="3">
        <f t="shared" si="29"/>
        <v>2</v>
      </c>
      <c r="BT74" s="3">
        <f t="shared" si="30"/>
        <v>0</v>
      </c>
      <c r="BU74" s="3">
        <f t="shared" si="31"/>
        <v>0</v>
      </c>
      <c r="BV74" s="3">
        <f t="shared" si="32"/>
        <v>0</v>
      </c>
      <c r="BW74" s="3">
        <f t="shared" si="33"/>
        <v>0</v>
      </c>
      <c r="BX74" s="3">
        <f t="shared" si="34"/>
        <v>0</v>
      </c>
      <c r="BY74" s="3">
        <f t="shared" si="35"/>
        <v>0</v>
      </c>
      <c r="BZ74" s="3">
        <f t="shared" si="36"/>
        <v>0</v>
      </c>
      <c r="CA74" s="3">
        <f t="shared" si="37"/>
        <v>0</v>
      </c>
      <c r="CB74" s="3">
        <f t="shared" si="38"/>
        <v>0</v>
      </c>
      <c r="CC74" s="3">
        <f t="shared" si="39"/>
        <v>0</v>
      </c>
      <c r="CD74" s="4"/>
      <c r="CH74" s="90">
        <v>0</v>
      </c>
      <c r="CI74" s="90">
        <v>0</v>
      </c>
      <c r="CJ74" s="90">
        <v>0</v>
      </c>
      <c r="CK74" s="90">
        <v>0</v>
      </c>
      <c r="CL74" s="90">
        <v>0</v>
      </c>
      <c r="CM74" s="90">
        <v>0</v>
      </c>
      <c r="CN74" s="90">
        <v>0</v>
      </c>
      <c r="CO74" s="90">
        <v>0</v>
      </c>
      <c r="CP74" s="90">
        <v>0</v>
      </c>
      <c r="CQ74" s="90">
        <v>0</v>
      </c>
      <c r="CR74" s="92">
        <f t="shared" si="41"/>
        <v>0</v>
      </c>
    </row>
    <row r="75" spans="1:96" ht="21.75" customHeight="1" x14ac:dyDescent="0.25">
      <c r="A75" s="55">
        <v>57</v>
      </c>
      <c r="B75" s="20" t="s">
        <v>151</v>
      </c>
      <c r="C75" s="9" t="s">
        <v>152</v>
      </c>
      <c r="D75" s="108">
        <v>0.4201388888888889</v>
      </c>
      <c r="E75" s="119">
        <v>1</v>
      </c>
      <c r="F75" s="110">
        <v>0.67499999999999993</v>
      </c>
      <c r="G75" s="120">
        <v>1</v>
      </c>
      <c r="H75" s="108">
        <v>0.35069444444444442</v>
      </c>
      <c r="I75" s="108">
        <v>0.95416666666666661</v>
      </c>
      <c r="J75" s="108">
        <v>0.35069444444444442</v>
      </c>
      <c r="K75" s="119">
        <v>1</v>
      </c>
      <c r="L75" s="108">
        <v>0.35138888888888892</v>
      </c>
      <c r="M75" s="108">
        <v>0.95416666666666661</v>
      </c>
      <c r="N75" s="108">
        <v>0.35069444444444442</v>
      </c>
      <c r="O75" s="119">
        <v>1</v>
      </c>
      <c r="P75" s="108">
        <v>0.40833333333333338</v>
      </c>
      <c r="Q75" s="119">
        <v>1</v>
      </c>
      <c r="R75" s="108">
        <v>0.34583333333333338</v>
      </c>
      <c r="S75" s="108">
        <v>0.95833333333333337</v>
      </c>
      <c r="T75" s="110">
        <v>0.57847222222222217</v>
      </c>
      <c r="U75" s="120">
        <v>1</v>
      </c>
      <c r="V75" s="108">
        <v>0.35000000000000003</v>
      </c>
      <c r="W75" s="119">
        <v>1</v>
      </c>
      <c r="X75" s="108">
        <v>0.34861111111111115</v>
      </c>
      <c r="Y75" s="108">
        <v>0.96597222222222223</v>
      </c>
      <c r="Z75" s="108">
        <v>0.36180555555555555</v>
      </c>
      <c r="AA75" s="108">
        <v>0.93333333333333324</v>
      </c>
      <c r="AB75" s="108">
        <v>0.34375</v>
      </c>
      <c r="AC75" s="119">
        <v>1</v>
      </c>
      <c r="AD75" s="108">
        <v>0.3527777777777778</v>
      </c>
      <c r="AE75" s="108">
        <v>0.9770833333333333</v>
      </c>
      <c r="AF75" s="108">
        <v>0.49305555555555558</v>
      </c>
      <c r="AG75" s="108">
        <v>0.95833333333333337</v>
      </c>
      <c r="AH75" s="60"/>
      <c r="AI75" s="77">
        <v>57</v>
      </c>
      <c r="AJ75" s="110">
        <v>0.57430555555555551</v>
      </c>
      <c r="AK75" s="110">
        <v>0.94305555555555554</v>
      </c>
      <c r="AL75" s="108">
        <v>0.34930555555555554</v>
      </c>
      <c r="AM75" s="108">
        <v>0.91666666666666663</v>
      </c>
      <c r="AN75" s="108">
        <v>0.34791666666666665</v>
      </c>
      <c r="AO75" s="108">
        <v>0.94374999999999998</v>
      </c>
      <c r="AP75" s="108">
        <v>0.34652777777777777</v>
      </c>
      <c r="AQ75" s="108">
        <v>0.97986111111111107</v>
      </c>
      <c r="AR75" s="108">
        <v>0.3611111111111111</v>
      </c>
      <c r="AS75" s="119">
        <v>1</v>
      </c>
      <c r="AT75" s="108">
        <v>0.35000000000000003</v>
      </c>
      <c r="AU75" s="108">
        <v>0.9590277777777777</v>
      </c>
      <c r="AV75" s="108">
        <v>0.34791666666666665</v>
      </c>
      <c r="AW75" s="108">
        <v>0</v>
      </c>
      <c r="AX75" s="110">
        <v>0.57222222222222219</v>
      </c>
      <c r="AY75" s="110">
        <v>0.94791666666666663</v>
      </c>
      <c r="AZ75" s="108">
        <v>0.34930555555555554</v>
      </c>
      <c r="BA75" s="108">
        <v>0.34930555555555554</v>
      </c>
      <c r="BB75" s="108">
        <v>0.34583333333333338</v>
      </c>
      <c r="BC75" s="108">
        <v>0.93194444444444446</v>
      </c>
      <c r="BD75" s="108">
        <v>0.34930555555555554</v>
      </c>
      <c r="BE75" s="119">
        <v>1</v>
      </c>
      <c r="BF75" s="108">
        <v>0.40972222222222227</v>
      </c>
      <c r="BG75" s="108">
        <v>0.40972222222222227</v>
      </c>
      <c r="BH75" s="108">
        <v>0.37361111111111112</v>
      </c>
      <c r="BI75" s="108">
        <v>0.91736111111111107</v>
      </c>
      <c r="BJ75" s="108">
        <v>0.38958333333333334</v>
      </c>
      <c r="BK75" s="119">
        <v>1</v>
      </c>
      <c r="BL75" s="110">
        <v>0.6069444444444444</v>
      </c>
      <c r="BM75" s="110">
        <v>0.94097222222222221</v>
      </c>
      <c r="BN75" s="108">
        <v>0.34166666666666662</v>
      </c>
      <c r="BO75" s="119">
        <v>1</v>
      </c>
      <c r="BP75" s="12">
        <f t="shared" si="27"/>
        <v>31</v>
      </c>
      <c r="BQ75" s="118">
        <v>5</v>
      </c>
      <c r="BR75" s="2">
        <f t="shared" si="28"/>
        <v>31</v>
      </c>
      <c r="BS75" s="3">
        <f t="shared" si="29"/>
        <v>0</v>
      </c>
      <c r="BT75" s="3">
        <f t="shared" si="30"/>
        <v>0</v>
      </c>
      <c r="BU75" s="3">
        <f t="shared" si="31"/>
        <v>0</v>
      </c>
      <c r="BV75" s="3">
        <f t="shared" si="32"/>
        <v>0</v>
      </c>
      <c r="BW75" s="3">
        <f t="shared" si="33"/>
        <v>0</v>
      </c>
      <c r="BX75" s="3">
        <f t="shared" si="34"/>
        <v>0</v>
      </c>
      <c r="BY75" s="3">
        <f t="shared" si="35"/>
        <v>0</v>
      </c>
      <c r="BZ75" s="3">
        <f t="shared" si="36"/>
        <v>0</v>
      </c>
      <c r="CA75" s="3">
        <f t="shared" si="37"/>
        <v>0</v>
      </c>
      <c r="CB75" s="3">
        <f t="shared" si="38"/>
        <v>0</v>
      </c>
      <c r="CC75" s="3">
        <f t="shared" si="39"/>
        <v>0</v>
      </c>
      <c r="CD75" s="4"/>
      <c r="CH75" s="90">
        <v>0</v>
      </c>
      <c r="CI75" s="90">
        <v>0</v>
      </c>
      <c r="CJ75" s="90">
        <v>0</v>
      </c>
      <c r="CK75" s="90">
        <v>0</v>
      </c>
      <c r="CL75" s="90">
        <v>0</v>
      </c>
      <c r="CM75" s="91">
        <v>3</v>
      </c>
      <c r="CN75" s="90">
        <v>0</v>
      </c>
      <c r="CO75" s="90">
        <v>0</v>
      </c>
      <c r="CP75" s="90">
        <v>0</v>
      </c>
      <c r="CQ75" s="90">
        <v>0</v>
      </c>
      <c r="CR75" s="92">
        <f t="shared" si="41"/>
        <v>3</v>
      </c>
    </row>
    <row r="76" spans="1:96" ht="21.75" customHeight="1" x14ac:dyDescent="0.25">
      <c r="A76" s="55">
        <v>58</v>
      </c>
      <c r="B76" s="20" t="s">
        <v>207</v>
      </c>
      <c r="C76" s="9" t="s">
        <v>206</v>
      </c>
      <c r="D76" s="108">
        <v>0.3527777777777778</v>
      </c>
      <c r="E76" s="108">
        <v>0.95347222222222217</v>
      </c>
      <c r="F76" s="120" t="s">
        <v>15</v>
      </c>
      <c r="G76" s="120" t="s">
        <v>15</v>
      </c>
      <c r="H76" s="108">
        <v>0.35138888888888892</v>
      </c>
      <c r="I76" s="108">
        <v>6.9444444444444447E-4</v>
      </c>
      <c r="J76" s="108">
        <v>0.3520833333333333</v>
      </c>
      <c r="K76" s="108">
        <v>0.92291666666666661</v>
      </c>
      <c r="L76" s="108">
        <v>0.35347222222222219</v>
      </c>
      <c r="M76" s="108">
        <v>0.91527777777777775</v>
      </c>
      <c r="N76" s="108">
        <v>0.35416666666666669</v>
      </c>
      <c r="O76" s="108">
        <v>0.96111111111111114</v>
      </c>
      <c r="P76" s="108">
        <v>0.35416666666666669</v>
      </c>
      <c r="Q76" s="119">
        <v>1</v>
      </c>
      <c r="R76" s="108">
        <v>0.35347222222222219</v>
      </c>
      <c r="S76" s="108">
        <v>0.9784722222222223</v>
      </c>
      <c r="T76" s="110">
        <v>0.56180555555555556</v>
      </c>
      <c r="U76" s="110">
        <v>0.92083333333333339</v>
      </c>
      <c r="V76" s="108">
        <v>0.3520833333333333</v>
      </c>
      <c r="W76" s="108">
        <v>0.94444444444444453</v>
      </c>
      <c r="X76" s="108">
        <v>0.3576388888888889</v>
      </c>
      <c r="Y76" s="108">
        <v>0.92638888888888893</v>
      </c>
      <c r="Z76" s="108">
        <v>0.3527777777777778</v>
      </c>
      <c r="AA76" s="108">
        <v>0.92499999999999993</v>
      </c>
      <c r="AB76" s="108">
        <v>0.3527777777777778</v>
      </c>
      <c r="AC76" s="108">
        <v>0.9375</v>
      </c>
      <c r="AD76" s="108">
        <v>0.3527777777777778</v>
      </c>
      <c r="AE76" s="108">
        <v>0.9590277777777777</v>
      </c>
      <c r="AF76" s="108">
        <v>0.3527777777777778</v>
      </c>
      <c r="AG76" s="108">
        <v>0.9194444444444444</v>
      </c>
      <c r="AH76" s="80"/>
      <c r="AI76" s="77">
        <v>58</v>
      </c>
      <c r="AJ76" s="120" t="s">
        <v>15</v>
      </c>
      <c r="AK76" s="120" t="s">
        <v>15</v>
      </c>
      <c r="AL76" s="108">
        <v>0.35555555555555557</v>
      </c>
      <c r="AM76" s="108">
        <v>0.90486111111111101</v>
      </c>
      <c r="AN76" s="108">
        <v>0.35486111111111113</v>
      </c>
      <c r="AO76" s="108">
        <v>0.97291666666666676</v>
      </c>
      <c r="AP76" s="108">
        <v>0.35347222222222219</v>
      </c>
      <c r="AQ76" s="108">
        <v>0.89583333333333337</v>
      </c>
      <c r="AR76" s="108">
        <v>0.35138888888888892</v>
      </c>
      <c r="AS76" s="119">
        <v>1</v>
      </c>
      <c r="AT76" s="108">
        <v>0.3527777777777778</v>
      </c>
      <c r="AU76" s="108">
        <v>0.93819444444444444</v>
      </c>
      <c r="AV76" s="108">
        <v>0.35625000000000001</v>
      </c>
      <c r="AW76" s="108">
        <v>0.9375</v>
      </c>
      <c r="AX76" s="110">
        <v>0.56319444444444444</v>
      </c>
      <c r="AY76" s="110">
        <v>0.92361111111111116</v>
      </c>
      <c r="AZ76" s="108">
        <v>0.35486111111111113</v>
      </c>
      <c r="BA76" s="108">
        <v>0.94027777777777777</v>
      </c>
      <c r="BB76" s="108">
        <v>0.35416666666666669</v>
      </c>
      <c r="BC76" s="108">
        <v>0.9243055555555556</v>
      </c>
      <c r="BD76" s="108">
        <v>0.35416666666666669</v>
      </c>
      <c r="BE76" s="108">
        <v>0.92569444444444438</v>
      </c>
      <c r="BF76" s="108">
        <v>0.35416666666666669</v>
      </c>
      <c r="BG76" s="108">
        <v>0.91180555555555554</v>
      </c>
      <c r="BH76" s="108">
        <v>0.35347222222222219</v>
      </c>
      <c r="BI76" s="108">
        <v>0.92222222222222217</v>
      </c>
      <c r="BJ76" s="108">
        <v>0.35347222222222219</v>
      </c>
      <c r="BK76" s="108">
        <v>0.95833333333333337</v>
      </c>
      <c r="BL76" s="120" t="s">
        <v>15</v>
      </c>
      <c r="BM76" s="120" t="s">
        <v>15</v>
      </c>
      <c r="BN76" s="108">
        <v>0.35416666666666669</v>
      </c>
      <c r="BO76" s="108">
        <v>0.92499999999999993</v>
      </c>
      <c r="BP76" s="12">
        <f t="shared" si="27"/>
        <v>31</v>
      </c>
      <c r="BQ76" s="118">
        <v>2</v>
      </c>
      <c r="BR76" s="2">
        <f t="shared" si="28"/>
        <v>28</v>
      </c>
      <c r="BS76" s="3">
        <f t="shared" si="29"/>
        <v>3</v>
      </c>
      <c r="BT76" s="3">
        <f t="shared" si="30"/>
        <v>0</v>
      </c>
      <c r="BU76" s="3">
        <f t="shared" si="31"/>
        <v>0</v>
      </c>
      <c r="BV76" s="3">
        <f t="shared" si="32"/>
        <v>0</v>
      </c>
      <c r="BW76" s="3">
        <f t="shared" si="33"/>
        <v>0</v>
      </c>
      <c r="BX76" s="3">
        <f t="shared" si="34"/>
        <v>0</v>
      </c>
      <c r="BY76" s="3">
        <f t="shared" si="35"/>
        <v>0</v>
      </c>
      <c r="BZ76" s="3">
        <f t="shared" si="36"/>
        <v>0</v>
      </c>
      <c r="CA76" s="3">
        <f t="shared" si="37"/>
        <v>0</v>
      </c>
      <c r="CB76" s="3">
        <f t="shared" si="38"/>
        <v>0</v>
      </c>
      <c r="CC76" s="3">
        <f t="shared" si="39"/>
        <v>0</v>
      </c>
      <c r="CD76" s="4"/>
      <c r="CH76" s="90">
        <v>0</v>
      </c>
      <c r="CI76" s="90">
        <v>0</v>
      </c>
      <c r="CJ76" s="90">
        <v>0</v>
      </c>
      <c r="CK76" s="90">
        <v>0</v>
      </c>
      <c r="CL76" s="90">
        <v>0</v>
      </c>
      <c r="CM76" s="90">
        <v>0</v>
      </c>
      <c r="CN76" s="90">
        <v>0</v>
      </c>
      <c r="CO76" s="90">
        <v>0</v>
      </c>
      <c r="CP76" s="90">
        <v>0</v>
      </c>
      <c r="CQ76" s="90">
        <v>0</v>
      </c>
      <c r="CR76" s="92">
        <f t="shared" si="41"/>
        <v>0</v>
      </c>
    </row>
    <row r="77" spans="1:96" ht="21.75" customHeight="1" x14ac:dyDescent="0.25">
      <c r="A77" s="55">
        <v>59</v>
      </c>
      <c r="B77" s="20" t="s">
        <v>155</v>
      </c>
      <c r="C77" s="9" t="s">
        <v>156</v>
      </c>
      <c r="D77" s="108">
        <v>0.34722222222222227</v>
      </c>
      <c r="E77" s="108">
        <v>0.95972222222222225</v>
      </c>
      <c r="F77" s="110">
        <v>0.5708333333333333</v>
      </c>
      <c r="G77" s="110">
        <v>0.87569444444444444</v>
      </c>
      <c r="H77" s="108">
        <v>0.34722222222222227</v>
      </c>
      <c r="I77" s="108">
        <v>0.93958333333333333</v>
      </c>
      <c r="J77" s="108">
        <v>0.34722222222222227</v>
      </c>
      <c r="K77" s="108">
        <v>0.95347222222222217</v>
      </c>
      <c r="L77" s="108">
        <v>0.34722222222222227</v>
      </c>
      <c r="M77" s="108">
        <v>0.93263888888888891</v>
      </c>
      <c r="N77" s="108">
        <v>0.34722222222222227</v>
      </c>
      <c r="O77" s="108">
        <v>0.9458333333333333</v>
      </c>
      <c r="P77" s="108">
        <v>0.34722222222222227</v>
      </c>
      <c r="Q77" s="108">
        <v>0.92638888888888893</v>
      </c>
      <c r="R77" s="108">
        <v>0.34722222222222227</v>
      </c>
      <c r="S77" s="108">
        <v>0.9506944444444444</v>
      </c>
      <c r="T77" s="110">
        <v>0.56944444444444442</v>
      </c>
      <c r="U77" s="110">
        <v>0.91180555555555554</v>
      </c>
      <c r="V77" s="108">
        <v>0.34652777777777777</v>
      </c>
      <c r="W77" s="108">
        <v>0.9506944444444444</v>
      </c>
      <c r="X77" s="108">
        <v>0.34652777777777777</v>
      </c>
      <c r="Y77" s="119">
        <v>1</v>
      </c>
      <c r="Z77" s="108">
        <v>0.34722222222222227</v>
      </c>
      <c r="AA77" s="108">
        <v>0.93819444444444444</v>
      </c>
      <c r="AB77" s="108">
        <v>0.34652777777777777</v>
      </c>
      <c r="AC77" s="108">
        <v>0.93888888888888899</v>
      </c>
      <c r="AD77" s="108">
        <v>0.34652777777777777</v>
      </c>
      <c r="AE77" s="119">
        <v>1</v>
      </c>
      <c r="AF77" s="108">
        <v>0.34722222222222227</v>
      </c>
      <c r="AG77" s="108">
        <v>0.95208333333333339</v>
      </c>
      <c r="AH77" s="60"/>
      <c r="AI77" s="77">
        <v>59</v>
      </c>
      <c r="AJ77" s="110">
        <v>0.59513888888888888</v>
      </c>
      <c r="AK77" s="111">
        <v>1</v>
      </c>
      <c r="AL77" s="108">
        <v>0.34652777777777777</v>
      </c>
      <c r="AM77" s="108">
        <v>0.34722222222222227</v>
      </c>
      <c r="AN77" s="108">
        <v>0.34722222222222227</v>
      </c>
      <c r="AO77" s="108">
        <v>0.96180555555555547</v>
      </c>
      <c r="AP77" s="108">
        <v>0.34652777777777777</v>
      </c>
      <c r="AQ77" s="108">
        <v>0.94097222222222221</v>
      </c>
      <c r="AR77" s="108">
        <v>0.34722222222222227</v>
      </c>
      <c r="AS77" s="108">
        <v>0.97152777777777777</v>
      </c>
      <c r="AT77" s="108">
        <v>0.34652777777777777</v>
      </c>
      <c r="AU77" s="108">
        <v>0.94305555555555554</v>
      </c>
      <c r="AV77" s="108">
        <v>0.34722222222222227</v>
      </c>
      <c r="AW77" s="108">
        <v>0.9770833333333333</v>
      </c>
      <c r="AX77" s="110">
        <v>0.57500000000000007</v>
      </c>
      <c r="AY77" s="110">
        <v>0.92986111111111114</v>
      </c>
      <c r="AZ77" s="108">
        <v>0.34791666666666665</v>
      </c>
      <c r="BA77" s="108">
        <v>0.9590277777777777</v>
      </c>
      <c r="BB77" s="108">
        <v>0.34652777777777777</v>
      </c>
      <c r="BC77" s="108">
        <v>0.93888888888888899</v>
      </c>
      <c r="BD77" s="108">
        <v>0.34722222222222227</v>
      </c>
      <c r="BE77" s="108">
        <v>0.9472222222222223</v>
      </c>
      <c r="BF77" s="108">
        <v>0.34652777777777777</v>
      </c>
      <c r="BG77" s="108">
        <v>0.95138888888888884</v>
      </c>
      <c r="BH77" s="108">
        <v>0.34722222222222227</v>
      </c>
      <c r="BI77" s="108">
        <v>0.97361111111111109</v>
      </c>
      <c r="BJ77" s="108">
        <v>0.34652777777777777</v>
      </c>
      <c r="BK77" s="108">
        <v>0.96805555555555556</v>
      </c>
      <c r="BL77" s="120" t="s">
        <v>15</v>
      </c>
      <c r="BM77" s="120" t="s">
        <v>15</v>
      </c>
      <c r="BN77" s="108">
        <v>0.34722222222222227</v>
      </c>
      <c r="BO77" s="108">
        <v>0.96666666666666667</v>
      </c>
      <c r="BP77" s="12">
        <f t="shared" si="27"/>
        <v>31</v>
      </c>
      <c r="BQ77" s="118">
        <v>4</v>
      </c>
      <c r="BR77" s="2">
        <f t="shared" si="28"/>
        <v>30</v>
      </c>
      <c r="BS77" s="3">
        <f t="shared" si="29"/>
        <v>1</v>
      </c>
      <c r="BT77" s="3">
        <f t="shared" si="30"/>
        <v>0</v>
      </c>
      <c r="BU77" s="3">
        <f t="shared" si="31"/>
        <v>0</v>
      </c>
      <c r="BV77" s="3">
        <f t="shared" si="32"/>
        <v>0</v>
      </c>
      <c r="BW77" s="3">
        <f t="shared" si="33"/>
        <v>0</v>
      </c>
      <c r="BX77" s="3">
        <f t="shared" si="34"/>
        <v>0</v>
      </c>
      <c r="BY77" s="3">
        <f t="shared" si="35"/>
        <v>0</v>
      </c>
      <c r="BZ77" s="3">
        <f t="shared" si="36"/>
        <v>0</v>
      </c>
      <c r="CA77" s="3">
        <f t="shared" si="37"/>
        <v>0</v>
      </c>
      <c r="CB77" s="3">
        <f t="shared" si="38"/>
        <v>0</v>
      </c>
      <c r="CC77" s="3">
        <f t="shared" si="39"/>
        <v>0</v>
      </c>
      <c r="CD77" s="4"/>
      <c r="CH77" s="90">
        <v>0</v>
      </c>
      <c r="CI77" s="90">
        <v>0</v>
      </c>
      <c r="CJ77" s="90">
        <v>0</v>
      </c>
      <c r="CK77" s="90">
        <v>0</v>
      </c>
      <c r="CL77" s="90">
        <v>0</v>
      </c>
      <c r="CM77" s="91">
        <v>1</v>
      </c>
      <c r="CN77" s="90">
        <v>0</v>
      </c>
      <c r="CO77" s="90">
        <v>0</v>
      </c>
      <c r="CP77" s="90">
        <v>0</v>
      </c>
      <c r="CQ77" s="90">
        <v>0</v>
      </c>
      <c r="CR77" s="92">
        <f t="shared" si="41"/>
        <v>1</v>
      </c>
    </row>
    <row r="78" spans="1:96" ht="21.75" customHeight="1" x14ac:dyDescent="0.25">
      <c r="A78" s="55">
        <v>60</v>
      </c>
      <c r="B78" s="20" t="s">
        <v>157</v>
      </c>
      <c r="C78" s="9" t="s">
        <v>158</v>
      </c>
      <c r="D78" s="108">
        <v>0.35347222222222219</v>
      </c>
      <c r="E78" s="108">
        <v>0.95972222222222225</v>
      </c>
      <c r="F78" s="110">
        <v>0.56180555555555556</v>
      </c>
      <c r="G78" s="110">
        <v>0.92291666666666661</v>
      </c>
      <c r="H78" s="108">
        <v>0.34166666666666662</v>
      </c>
      <c r="I78" s="108">
        <v>0.91666666666666663</v>
      </c>
      <c r="J78" s="108">
        <v>0.3354166666666667</v>
      </c>
      <c r="K78" s="108">
        <v>0.90902777777777777</v>
      </c>
      <c r="L78" s="108">
        <v>0.33611111111111108</v>
      </c>
      <c r="M78" s="108">
        <v>0.9375</v>
      </c>
      <c r="N78" s="108">
        <v>0.32916666666666666</v>
      </c>
      <c r="O78" s="108">
        <v>0.96250000000000002</v>
      </c>
      <c r="P78" s="108">
        <v>0.35416666666666669</v>
      </c>
      <c r="Q78" s="108">
        <v>0.94374999999999998</v>
      </c>
      <c r="R78" s="108">
        <v>0.33055555555555555</v>
      </c>
      <c r="S78" s="108">
        <v>0.96875</v>
      </c>
      <c r="T78" s="110">
        <v>0.56666666666666665</v>
      </c>
      <c r="U78" s="110">
        <v>0.9194444444444444</v>
      </c>
      <c r="V78" s="108">
        <v>0.33819444444444446</v>
      </c>
      <c r="W78" s="108">
        <v>0.98749999999999993</v>
      </c>
      <c r="X78" s="108">
        <v>0.35416666666666669</v>
      </c>
      <c r="Y78" s="108">
        <v>0.9458333333333333</v>
      </c>
      <c r="Z78" s="108">
        <v>0.32847222222222222</v>
      </c>
      <c r="AA78" s="108">
        <v>0.92847222222222225</v>
      </c>
      <c r="AB78" s="108">
        <v>0.40347222222222223</v>
      </c>
      <c r="AC78" s="108">
        <v>0.90763888888888899</v>
      </c>
      <c r="AD78" s="108">
        <v>0.3354166666666667</v>
      </c>
      <c r="AE78" s="108">
        <v>0.96805555555555556</v>
      </c>
      <c r="AF78" s="108">
        <v>0.35347222222222219</v>
      </c>
      <c r="AG78" s="108">
        <v>0.9590277777777777</v>
      </c>
      <c r="AH78" s="60"/>
      <c r="AI78" s="77">
        <v>60</v>
      </c>
      <c r="AJ78" s="110">
        <v>0.56597222222222221</v>
      </c>
      <c r="AK78" s="110">
        <v>0.96319444444444446</v>
      </c>
      <c r="AL78" s="108">
        <v>0.98402777777777783</v>
      </c>
      <c r="AM78" s="119">
        <v>1</v>
      </c>
      <c r="AN78" s="108">
        <v>0.35347222222222219</v>
      </c>
      <c r="AO78" s="108">
        <v>1.8055555555555557E-2</v>
      </c>
      <c r="AP78" s="108">
        <v>0.35486111111111113</v>
      </c>
      <c r="AQ78" s="108">
        <v>0.91666666666666663</v>
      </c>
      <c r="AR78" s="108">
        <v>0.33124999999999999</v>
      </c>
      <c r="AS78" s="108">
        <v>0.97222222222222221</v>
      </c>
      <c r="AT78" s="108">
        <v>0.35416666666666669</v>
      </c>
      <c r="AU78" s="108">
        <v>0.91180555555555554</v>
      </c>
      <c r="AV78" s="108">
        <v>0.32222222222222224</v>
      </c>
      <c r="AW78" s="108">
        <v>0.89583333333333337</v>
      </c>
      <c r="AX78" s="120" t="s">
        <v>15</v>
      </c>
      <c r="AY78" s="120" t="s">
        <v>15</v>
      </c>
      <c r="AZ78" s="108">
        <v>0.33611111111111108</v>
      </c>
      <c r="BA78" s="108">
        <v>0.90625</v>
      </c>
      <c r="BB78" s="108">
        <v>0.33611111111111108</v>
      </c>
      <c r="BC78" s="108">
        <v>0.90625</v>
      </c>
      <c r="BD78" s="108">
        <v>0.33680555555555558</v>
      </c>
      <c r="BE78" s="108">
        <v>0.9194444444444444</v>
      </c>
      <c r="BF78" s="108">
        <v>0.34375</v>
      </c>
      <c r="BG78" s="108">
        <v>0.91875000000000007</v>
      </c>
      <c r="BH78" s="108">
        <v>0.3215277777777778</v>
      </c>
      <c r="BI78" s="108">
        <v>0.92013888888888884</v>
      </c>
      <c r="BJ78" s="108">
        <v>0.34027777777777773</v>
      </c>
      <c r="BK78" s="108">
        <v>0.9375</v>
      </c>
      <c r="BL78" s="110">
        <v>0.56180555555555556</v>
      </c>
      <c r="BM78" s="120">
        <v>1</v>
      </c>
      <c r="BN78" s="108">
        <v>0.35555555555555557</v>
      </c>
      <c r="BO78" s="108">
        <v>0.96111111111111114</v>
      </c>
      <c r="BP78" s="12">
        <f t="shared" si="27"/>
        <v>31</v>
      </c>
      <c r="BQ78" s="118">
        <v>4</v>
      </c>
      <c r="BR78" s="2">
        <f t="shared" si="28"/>
        <v>30</v>
      </c>
      <c r="BS78" s="3">
        <f t="shared" si="29"/>
        <v>1</v>
      </c>
      <c r="BT78" s="3">
        <f t="shared" si="30"/>
        <v>0</v>
      </c>
      <c r="BU78" s="3">
        <f t="shared" si="31"/>
        <v>0</v>
      </c>
      <c r="BV78" s="3">
        <f t="shared" si="32"/>
        <v>0</v>
      </c>
      <c r="BW78" s="3">
        <f t="shared" si="33"/>
        <v>0</v>
      </c>
      <c r="BX78" s="3">
        <f t="shared" si="34"/>
        <v>0</v>
      </c>
      <c r="BY78" s="3">
        <f t="shared" si="35"/>
        <v>0</v>
      </c>
      <c r="BZ78" s="3">
        <f t="shared" si="36"/>
        <v>0</v>
      </c>
      <c r="CA78" s="3">
        <f t="shared" si="37"/>
        <v>0</v>
      </c>
      <c r="CB78" s="3">
        <f t="shared" si="38"/>
        <v>0</v>
      </c>
      <c r="CC78" s="3">
        <f t="shared" si="39"/>
        <v>0</v>
      </c>
      <c r="CD78" s="4"/>
      <c r="CH78" s="90">
        <v>0</v>
      </c>
      <c r="CI78" s="90">
        <v>0</v>
      </c>
      <c r="CJ78" s="90">
        <v>0</v>
      </c>
      <c r="CK78" s="90">
        <v>0</v>
      </c>
      <c r="CL78" s="90">
        <v>0</v>
      </c>
      <c r="CM78" s="91">
        <v>6</v>
      </c>
      <c r="CN78" s="90">
        <v>0</v>
      </c>
      <c r="CO78" s="90">
        <v>0</v>
      </c>
      <c r="CP78" s="90">
        <v>0</v>
      </c>
      <c r="CQ78" s="90">
        <v>0</v>
      </c>
      <c r="CR78" s="92">
        <f t="shared" si="41"/>
        <v>6</v>
      </c>
    </row>
    <row r="79" spans="1:96" ht="21.75" customHeight="1" x14ac:dyDescent="0.25">
      <c r="A79" s="55">
        <v>61</v>
      </c>
      <c r="B79" s="20" t="s">
        <v>159</v>
      </c>
      <c r="C79" s="9" t="s">
        <v>160</v>
      </c>
      <c r="D79" s="108">
        <v>0.68472222222222223</v>
      </c>
      <c r="E79" s="108">
        <v>0.98888888888888893</v>
      </c>
      <c r="F79" s="110">
        <v>0.56388888888888888</v>
      </c>
      <c r="G79" s="120">
        <v>1</v>
      </c>
      <c r="H79" s="108">
        <v>0.54027777777777775</v>
      </c>
      <c r="I79" s="108">
        <v>0.96805555555555556</v>
      </c>
      <c r="J79" s="108">
        <v>0.39583333333333331</v>
      </c>
      <c r="K79" s="108">
        <v>0.97152777777777777</v>
      </c>
      <c r="L79" s="108">
        <v>0.34930555555555554</v>
      </c>
      <c r="M79" s="108">
        <v>0.99097222222222225</v>
      </c>
      <c r="N79" s="108">
        <v>0.34791666666666665</v>
      </c>
      <c r="O79" s="108">
        <v>0.94305555555555554</v>
      </c>
      <c r="P79" s="108">
        <v>0.3527777777777778</v>
      </c>
      <c r="Q79" s="108">
        <v>0.94513888888888886</v>
      </c>
      <c r="R79" s="108">
        <v>0.35138888888888892</v>
      </c>
      <c r="S79" s="108">
        <v>0.96597222222222223</v>
      </c>
      <c r="T79" s="110">
        <v>0.64236111111111105</v>
      </c>
      <c r="U79" s="110">
        <v>0.9375</v>
      </c>
      <c r="V79" s="108">
        <v>0.35138888888888892</v>
      </c>
      <c r="W79" s="108">
        <v>0.95972222222222225</v>
      </c>
      <c r="X79" s="108">
        <v>0.3520833333333333</v>
      </c>
      <c r="Y79" s="119">
        <v>1</v>
      </c>
      <c r="Z79" s="108">
        <v>0.35138888888888892</v>
      </c>
      <c r="AA79" s="108">
        <v>0.95138888888888884</v>
      </c>
      <c r="AB79" s="108">
        <v>0.3527777777777778</v>
      </c>
      <c r="AC79" s="119">
        <v>1</v>
      </c>
      <c r="AD79" s="108">
        <v>0.35416666666666669</v>
      </c>
      <c r="AE79" s="119">
        <v>1</v>
      </c>
      <c r="AF79" s="108">
        <v>0.35416666666666669</v>
      </c>
      <c r="AG79" s="119">
        <v>1</v>
      </c>
      <c r="AH79" s="60"/>
      <c r="AI79" s="77">
        <v>61</v>
      </c>
      <c r="AJ79" s="120" t="s">
        <v>15</v>
      </c>
      <c r="AK79" s="120" t="s">
        <v>15</v>
      </c>
      <c r="AL79" s="108">
        <v>0.35138888888888892</v>
      </c>
      <c r="AM79" s="108">
        <v>0.97569444444444453</v>
      </c>
      <c r="AN79" s="108">
        <v>0.34791666666666665</v>
      </c>
      <c r="AO79" s="119">
        <v>1</v>
      </c>
      <c r="AP79" s="108">
        <v>0.34930555555555554</v>
      </c>
      <c r="AQ79" s="108">
        <v>0.93263888888888891</v>
      </c>
      <c r="AR79" s="108">
        <v>0.60138888888888886</v>
      </c>
      <c r="AS79" s="108">
        <v>0.95277777777777783</v>
      </c>
      <c r="AT79" s="108">
        <v>0.35069444444444442</v>
      </c>
      <c r="AU79" s="119">
        <v>1</v>
      </c>
      <c r="AV79" s="108">
        <v>0.37083333333333335</v>
      </c>
      <c r="AW79" s="119">
        <v>1</v>
      </c>
      <c r="AX79" s="110">
        <v>0.5708333333333333</v>
      </c>
      <c r="AY79" s="110">
        <v>0.95208333333333339</v>
      </c>
      <c r="AZ79" s="108">
        <v>0.34861111111111115</v>
      </c>
      <c r="BA79" s="108">
        <v>0.9590277777777777</v>
      </c>
      <c r="BB79" s="108">
        <v>0.69930555555555562</v>
      </c>
      <c r="BC79" s="119">
        <v>1</v>
      </c>
      <c r="BD79" s="108">
        <v>0.48333333333333334</v>
      </c>
      <c r="BE79" s="108">
        <v>0.94930555555555562</v>
      </c>
      <c r="BF79" s="108">
        <v>0.39166666666666666</v>
      </c>
      <c r="BG79" s="119">
        <v>1</v>
      </c>
      <c r="BH79" s="108">
        <v>0.34930555555555554</v>
      </c>
      <c r="BI79" s="108">
        <v>0.95416666666666661</v>
      </c>
      <c r="BJ79" s="108">
        <v>0.34861111111111115</v>
      </c>
      <c r="BK79" s="108">
        <v>0.99722222222222223</v>
      </c>
      <c r="BL79" s="110">
        <v>0.67986111111111114</v>
      </c>
      <c r="BM79" s="110">
        <v>0.95624999999999993</v>
      </c>
      <c r="BN79" s="108">
        <v>0.35138888888888892</v>
      </c>
      <c r="BO79" s="108">
        <v>0.94791666666666663</v>
      </c>
      <c r="BP79" s="12">
        <f t="shared" si="27"/>
        <v>31</v>
      </c>
      <c r="BQ79" s="118">
        <v>4</v>
      </c>
      <c r="BR79" s="2">
        <f t="shared" si="28"/>
        <v>30</v>
      </c>
      <c r="BS79" s="3">
        <f t="shared" si="29"/>
        <v>1</v>
      </c>
      <c r="BT79" s="3">
        <f t="shared" si="30"/>
        <v>0</v>
      </c>
      <c r="BU79" s="3">
        <f t="shared" si="31"/>
        <v>0</v>
      </c>
      <c r="BV79" s="3">
        <f t="shared" si="32"/>
        <v>0</v>
      </c>
      <c r="BW79" s="3">
        <f t="shared" si="33"/>
        <v>0</v>
      </c>
      <c r="BX79" s="3">
        <f t="shared" si="34"/>
        <v>0</v>
      </c>
      <c r="BY79" s="3">
        <f t="shared" si="35"/>
        <v>0</v>
      </c>
      <c r="BZ79" s="3">
        <f t="shared" si="36"/>
        <v>0</v>
      </c>
      <c r="CA79" s="3">
        <f t="shared" si="37"/>
        <v>0</v>
      </c>
      <c r="CB79" s="3">
        <f t="shared" si="38"/>
        <v>0</v>
      </c>
      <c r="CC79" s="3">
        <f t="shared" si="39"/>
        <v>0</v>
      </c>
      <c r="CD79" s="4"/>
      <c r="CH79" s="90">
        <v>0</v>
      </c>
      <c r="CI79" s="90">
        <v>0</v>
      </c>
      <c r="CJ79" s="90">
        <v>0</v>
      </c>
      <c r="CK79" s="90">
        <v>0</v>
      </c>
      <c r="CL79" s="90">
        <v>0</v>
      </c>
      <c r="CM79" s="90">
        <v>0</v>
      </c>
      <c r="CN79" s="90">
        <v>0</v>
      </c>
      <c r="CO79" s="90">
        <v>0</v>
      </c>
      <c r="CP79" s="90">
        <v>0</v>
      </c>
      <c r="CQ79" s="90">
        <v>0</v>
      </c>
      <c r="CR79" s="92">
        <f t="shared" si="41"/>
        <v>0</v>
      </c>
    </row>
    <row r="80" spans="1:96" ht="21.75" customHeight="1" x14ac:dyDescent="0.25">
      <c r="A80" s="55">
        <v>62</v>
      </c>
      <c r="B80" s="20" t="s">
        <v>161</v>
      </c>
      <c r="C80" s="9" t="s">
        <v>162</v>
      </c>
      <c r="D80" s="108">
        <v>0.3576388888888889</v>
      </c>
      <c r="E80" s="108">
        <v>0.96388888888888891</v>
      </c>
      <c r="F80" s="110">
        <v>0.58194444444444449</v>
      </c>
      <c r="G80" s="110">
        <v>0.97013888888888899</v>
      </c>
      <c r="H80" s="108">
        <v>0.34930555555555554</v>
      </c>
      <c r="I80" s="108">
        <v>0.96944444444444444</v>
      </c>
      <c r="J80" s="108">
        <v>0.35416666666666669</v>
      </c>
      <c r="K80" s="108">
        <v>0.9819444444444444</v>
      </c>
      <c r="L80" s="108">
        <v>0.34930555555555554</v>
      </c>
      <c r="M80" s="119">
        <v>1</v>
      </c>
      <c r="N80" s="108">
        <v>0.33958333333333335</v>
      </c>
      <c r="O80" s="119">
        <v>1</v>
      </c>
      <c r="P80" s="108">
        <v>0.35000000000000003</v>
      </c>
      <c r="Q80" s="108">
        <v>0.96458333333333324</v>
      </c>
      <c r="R80" s="108">
        <v>0.35347222222222219</v>
      </c>
      <c r="S80" s="108">
        <v>0.96736111111111101</v>
      </c>
      <c r="T80" s="120" t="s">
        <v>15</v>
      </c>
      <c r="U80" s="120" t="s">
        <v>15</v>
      </c>
      <c r="V80" s="108">
        <v>0.35138888888888892</v>
      </c>
      <c r="W80" s="108">
        <v>0.98819444444444438</v>
      </c>
      <c r="X80" s="108">
        <v>0.35138888888888892</v>
      </c>
      <c r="Y80" s="108">
        <v>0.95138888888888884</v>
      </c>
      <c r="Z80" s="108">
        <v>0.34930555555555554</v>
      </c>
      <c r="AA80" s="108">
        <v>0.94861111111111107</v>
      </c>
      <c r="AB80" s="108">
        <v>0.3520833333333333</v>
      </c>
      <c r="AC80" s="108">
        <v>0.92152777777777783</v>
      </c>
      <c r="AD80" s="108">
        <v>0.3527777777777778</v>
      </c>
      <c r="AE80" s="108">
        <v>0.96736111111111101</v>
      </c>
      <c r="AF80" s="108">
        <v>0.35347222222222219</v>
      </c>
      <c r="AG80" s="108">
        <v>0.95486111111111116</v>
      </c>
      <c r="AH80" s="60"/>
      <c r="AI80" s="77">
        <v>62</v>
      </c>
      <c r="AJ80" s="110">
        <v>0.56944444444444442</v>
      </c>
      <c r="AK80" s="110">
        <v>0.96111111111111114</v>
      </c>
      <c r="AL80" s="108">
        <v>0.3520833333333333</v>
      </c>
      <c r="AM80" s="108">
        <v>0.98402777777777783</v>
      </c>
      <c r="AN80" s="108">
        <v>0.3520833333333333</v>
      </c>
      <c r="AO80" s="108">
        <v>1.9444444444444445E-2</v>
      </c>
      <c r="AP80" s="108">
        <v>0.35138888888888892</v>
      </c>
      <c r="AQ80" s="108">
        <v>0.97777777777777775</v>
      </c>
      <c r="AR80" s="108">
        <v>0.34930555555555554</v>
      </c>
      <c r="AS80" s="108">
        <v>0.9784722222222223</v>
      </c>
      <c r="AT80" s="108">
        <v>0.34791666666666665</v>
      </c>
      <c r="AU80" s="108">
        <v>0.95000000000000007</v>
      </c>
      <c r="AV80" s="108">
        <v>0.3527777777777778</v>
      </c>
      <c r="AW80" s="108">
        <v>3.472222222222222E-3</v>
      </c>
      <c r="AX80" s="120" t="s">
        <v>15</v>
      </c>
      <c r="AY80" s="120" t="s">
        <v>15</v>
      </c>
      <c r="AZ80" s="108">
        <v>0.3527777777777778</v>
      </c>
      <c r="BA80" s="108">
        <v>0.98958333333333337</v>
      </c>
      <c r="BB80" s="108">
        <v>0.34722222222222227</v>
      </c>
      <c r="BC80" s="108">
        <v>0.96250000000000002</v>
      </c>
      <c r="BD80" s="108">
        <v>0.35347222222222219</v>
      </c>
      <c r="BE80" s="108">
        <v>0.94097222222222221</v>
      </c>
      <c r="BF80" s="108">
        <v>0.35416666666666669</v>
      </c>
      <c r="BG80" s="108">
        <v>0.94374999999999998</v>
      </c>
      <c r="BH80" s="108">
        <v>0.35000000000000003</v>
      </c>
      <c r="BI80" s="108">
        <v>0.98263888888888884</v>
      </c>
      <c r="BJ80" s="108">
        <v>0.3527777777777778</v>
      </c>
      <c r="BK80" s="108">
        <v>0.98888888888888893</v>
      </c>
      <c r="BL80" s="110">
        <v>0.56527777777777777</v>
      </c>
      <c r="BM80" s="120">
        <v>1</v>
      </c>
      <c r="BN80" s="108">
        <v>0.35416666666666669</v>
      </c>
      <c r="BO80" s="119">
        <v>1</v>
      </c>
      <c r="BP80" s="12">
        <f t="shared" si="27"/>
        <v>31</v>
      </c>
      <c r="BQ80" s="118">
        <v>3</v>
      </c>
      <c r="BR80" s="2">
        <f t="shared" si="28"/>
        <v>29</v>
      </c>
      <c r="BS80" s="3">
        <f t="shared" si="29"/>
        <v>2</v>
      </c>
      <c r="BT80" s="3">
        <f t="shared" si="30"/>
        <v>0</v>
      </c>
      <c r="BU80" s="3">
        <f t="shared" si="31"/>
        <v>0</v>
      </c>
      <c r="BV80" s="3">
        <f t="shared" si="32"/>
        <v>0</v>
      </c>
      <c r="BW80" s="3">
        <f t="shared" si="33"/>
        <v>0</v>
      </c>
      <c r="BX80" s="3">
        <f t="shared" si="34"/>
        <v>0</v>
      </c>
      <c r="BY80" s="3">
        <f t="shared" si="35"/>
        <v>0</v>
      </c>
      <c r="BZ80" s="3">
        <f t="shared" si="36"/>
        <v>0</v>
      </c>
      <c r="CA80" s="3">
        <f t="shared" si="37"/>
        <v>0</v>
      </c>
      <c r="CB80" s="3">
        <f t="shared" si="38"/>
        <v>0</v>
      </c>
      <c r="CC80" s="3">
        <f t="shared" si="39"/>
        <v>0</v>
      </c>
      <c r="CD80" s="4"/>
      <c r="CH80" s="90">
        <v>0</v>
      </c>
      <c r="CI80" s="90">
        <v>0</v>
      </c>
      <c r="CJ80" s="90">
        <v>0</v>
      </c>
      <c r="CK80" s="90">
        <v>0</v>
      </c>
      <c r="CL80" s="90">
        <v>0</v>
      </c>
      <c r="CM80" s="91">
        <v>2</v>
      </c>
      <c r="CN80" s="90">
        <v>0</v>
      </c>
      <c r="CO80" s="90">
        <v>0</v>
      </c>
      <c r="CP80" s="90">
        <v>0</v>
      </c>
      <c r="CQ80" s="90">
        <v>0</v>
      </c>
      <c r="CR80" s="92">
        <f t="shared" si="41"/>
        <v>2</v>
      </c>
    </row>
    <row r="81" spans="1:96" ht="21.75" customHeight="1" x14ac:dyDescent="0.25">
      <c r="A81" s="55">
        <v>63</v>
      </c>
      <c r="B81" s="20" t="s">
        <v>163</v>
      </c>
      <c r="C81" s="9" t="s">
        <v>164</v>
      </c>
      <c r="D81" s="108">
        <v>0.3527777777777778</v>
      </c>
      <c r="E81" s="108">
        <v>0.97291666666666676</v>
      </c>
      <c r="F81" s="120" t="s">
        <v>15</v>
      </c>
      <c r="G81" s="120" t="s">
        <v>15</v>
      </c>
      <c r="H81" s="108">
        <v>0.35347222222222219</v>
      </c>
      <c r="I81" s="108">
        <v>0.98472222222222217</v>
      </c>
      <c r="J81" s="108">
        <v>0.3527777777777778</v>
      </c>
      <c r="K81" s="108">
        <v>0.98263888888888884</v>
      </c>
      <c r="L81" s="108">
        <v>0.3527777777777778</v>
      </c>
      <c r="M81" s="108">
        <v>0.97222222222222221</v>
      </c>
      <c r="N81" s="108">
        <v>0.35347222222222219</v>
      </c>
      <c r="O81" s="108">
        <v>0.97013888888888899</v>
      </c>
      <c r="P81" s="108">
        <v>0.3527777777777778</v>
      </c>
      <c r="Q81" s="108">
        <v>0.97013888888888899</v>
      </c>
      <c r="R81" s="108">
        <v>0.3527777777777778</v>
      </c>
      <c r="S81" s="108">
        <v>0.98055555555555562</v>
      </c>
      <c r="T81" s="110">
        <v>0.58124999999999993</v>
      </c>
      <c r="U81" s="110">
        <v>0.95833333333333337</v>
      </c>
      <c r="V81" s="108">
        <v>0.35069444444444442</v>
      </c>
      <c r="W81" s="108">
        <v>0.99444444444444446</v>
      </c>
      <c r="X81" s="108">
        <v>0.35347222222222219</v>
      </c>
      <c r="Y81" s="108">
        <v>0.96458333333333324</v>
      </c>
      <c r="Z81" s="108">
        <v>0.3527777777777778</v>
      </c>
      <c r="AA81" s="108">
        <v>0.96805555555555556</v>
      </c>
      <c r="AB81" s="108">
        <v>0.35347222222222219</v>
      </c>
      <c r="AC81" s="108">
        <v>0.96111111111111114</v>
      </c>
      <c r="AD81" s="108">
        <v>0.35347222222222219</v>
      </c>
      <c r="AE81" s="108">
        <v>0.97916666666666663</v>
      </c>
      <c r="AF81" s="108">
        <v>0.35138888888888892</v>
      </c>
      <c r="AG81" s="108">
        <v>0.96111111111111114</v>
      </c>
      <c r="AH81" s="60"/>
      <c r="AI81" s="77">
        <v>63</v>
      </c>
      <c r="AJ81" s="120" t="s">
        <v>15</v>
      </c>
      <c r="AK81" s="120" t="s">
        <v>15</v>
      </c>
      <c r="AL81" s="108">
        <v>0.35347222222222219</v>
      </c>
      <c r="AM81" s="108">
        <v>0.9916666666666667</v>
      </c>
      <c r="AN81" s="108">
        <v>0.35416666666666669</v>
      </c>
      <c r="AO81" s="108">
        <v>1.9444444444444445E-2</v>
      </c>
      <c r="AP81" s="108">
        <v>0.35347222222222219</v>
      </c>
      <c r="AQ81" s="108">
        <v>0.97986111111111107</v>
      </c>
      <c r="AR81" s="108">
        <v>0.35347222222222219</v>
      </c>
      <c r="AS81" s="108">
        <v>0.98125000000000007</v>
      </c>
      <c r="AT81" s="108">
        <v>0.35347222222222219</v>
      </c>
      <c r="AU81" s="108">
        <v>0.96319444444444446</v>
      </c>
      <c r="AV81" s="108">
        <v>0.35347222222222219</v>
      </c>
      <c r="AW81" s="108">
        <v>1.3888888888888889E-3</v>
      </c>
      <c r="AX81" s="110">
        <v>0.58124999999999993</v>
      </c>
      <c r="AY81" s="110">
        <v>0.9604166666666667</v>
      </c>
      <c r="AZ81" s="108">
        <v>0.35347222222222219</v>
      </c>
      <c r="BA81" s="119">
        <v>1</v>
      </c>
      <c r="BB81" s="108">
        <v>0.3527777777777778</v>
      </c>
      <c r="BC81" s="108">
        <v>0.97430555555555554</v>
      </c>
      <c r="BD81" s="108">
        <v>0.3527777777777778</v>
      </c>
      <c r="BE81" s="108">
        <v>0.96388888888888891</v>
      </c>
      <c r="BF81" s="108">
        <v>0.35347222222222219</v>
      </c>
      <c r="BG81" s="108">
        <v>0.96180555555555547</v>
      </c>
      <c r="BH81" s="108">
        <v>0.35347222222222219</v>
      </c>
      <c r="BI81" s="108">
        <v>7.6388888888888886E-3</v>
      </c>
      <c r="BJ81" s="108">
        <v>0.35416666666666669</v>
      </c>
      <c r="BK81" s="119">
        <v>1</v>
      </c>
      <c r="BL81" s="120" t="s">
        <v>15</v>
      </c>
      <c r="BM81" s="120" t="s">
        <v>15</v>
      </c>
      <c r="BN81" s="108">
        <v>0.35416666666666669</v>
      </c>
      <c r="BO81" s="119">
        <v>1</v>
      </c>
      <c r="BP81" s="12">
        <f t="shared" si="27"/>
        <v>31</v>
      </c>
      <c r="BQ81" s="118">
        <v>2</v>
      </c>
      <c r="BR81" s="2">
        <f t="shared" si="28"/>
        <v>28</v>
      </c>
      <c r="BS81" s="3">
        <f t="shared" si="29"/>
        <v>3</v>
      </c>
      <c r="BT81" s="3">
        <f t="shared" si="30"/>
        <v>0</v>
      </c>
      <c r="BU81" s="3">
        <f t="shared" si="31"/>
        <v>0</v>
      </c>
      <c r="BV81" s="3">
        <f t="shared" si="32"/>
        <v>0</v>
      </c>
      <c r="BW81" s="3">
        <f t="shared" si="33"/>
        <v>0</v>
      </c>
      <c r="BX81" s="3">
        <f t="shared" si="34"/>
        <v>0</v>
      </c>
      <c r="BY81" s="3">
        <f t="shared" si="35"/>
        <v>0</v>
      </c>
      <c r="BZ81" s="3">
        <f t="shared" si="36"/>
        <v>0</v>
      </c>
      <c r="CA81" s="3">
        <f t="shared" si="37"/>
        <v>0</v>
      </c>
      <c r="CB81" s="3">
        <f t="shared" si="38"/>
        <v>0</v>
      </c>
      <c r="CC81" s="3">
        <f t="shared" si="39"/>
        <v>0</v>
      </c>
      <c r="CD81" s="4"/>
      <c r="CH81" s="90">
        <v>0</v>
      </c>
      <c r="CI81" s="90">
        <v>0</v>
      </c>
      <c r="CJ81" s="90">
        <v>0</v>
      </c>
      <c r="CK81" s="90">
        <v>0</v>
      </c>
      <c r="CL81" s="90">
        <v>0</v>
      </c>
      <c r="CM81" s="90">
        <v>0</v>
      </c>
      <c r="CN81" s="90">
        <v>0</v>
      </c>
      <c r="CO81" s="90">
        <v>0</v>
      </c>
      <c r="CP81" s="90">
        <v>0</v>
      </c>
      <c r="CQ81" s="90">
        <v>0</v>
      </c>
      <c r="CR81" s="92">
        <f t="shared" si="41"/>
        <v>0</v>
      </c>
    </row>
    <row r="82" spans="1:96" ht="21.75" customHeight="1" x14ac:dyDescent="0.25">
      <c r="A82" s="55">
        <v>64</v>
      </c>
      <c r="B82" s="20" t="s">
        <v>165</v>
      </c>
      <c r="C82" s="9" t="s">
        <v>166</v>
      </c>
      <c r="D82" s="108">
        <v>0.41041666666666665</v>
      </c>
      <c r="E82" s="108">
        <v>0.95416666666666661</v>
      </c>
      <c r="F82" s="110">
        <v>0.57847222222222217</v>
      </c>
      <c r="G82" s="110">
        <v>0.90763888888888899</v>
      </c>
      <c r="H82" s="108">
        <v>0.4152777777777778</v>
      </c>
      <c r="I82" s="108">
        <v>0.95694444444444438</v>
      </c>
      <c r="J82" s="108">
        <v>0.42222222222222222</v>
      </c>
      <c r="K82" s="108">
        <v>0.95486111111111116</v>
      </c>
      <c r="L82" s="108">
        <v>0.42222222222222222</v>
      </c>
      <c r="M82" s="108">
        <v>0.95486111111111116</v>
      </c>
      <c r="N82" s="108">
        <v>0.42569444444444443</v>
      </c>
      <c r="O82" s="108">
        <v>0.96388888888888891</v>
      </c>
      <c r="P82" s="108">
        <v>0.42222222222222222</v>
      </c>
      <c r="Q82" s="108">
        <v>0.95000000000000007</v>
      </c>
      <c r="R82" s="108">
        <v>0.42152777777777778</v>
      </c>
      <c r="S82" s="108">
        <v>0.96875</v>
      </c>
      <c r="T82" s="110">
        <v>0.57986111111111105</v>
      </c>
      <c r="U82" s="110">
        <v>0.88750000000000007</v>
      </c>
      <c r="V82" s="108">
        <v>0.40625</v>
      </c>
      <c r="W82" s="108">
        <v>0.9604166666666667</v>
      </c>
      <c r="X82" s="108">
        <v>0.41875000000000001</v>
      </c>
      <c r="Y82" s="108">
        <v>0.95833333333333337</v>
      </c>
      <c r="Z82" s="108">
        <v>0.41944444444444445</v>
      </c>
      <c r="AA82" s="108">
        <v>0.62013888888888891</v>
      </c>
      <c r="AB82" s="108">
        <v>0.41111111111111115</v>
      </c>
      <c r="AC82" s="108">
        <v>0.95138888888888884</v>
      </c>
      <c r="AD82" s="108">
        <v>0.42152777777777778</v>
      </c>
      <c r="AE82" s="108">
        <v>0.95416666666666661</v>
      </c>
      <c r="AF82" s="108">
        <v>0.34513888888888888</v>
      </c>
      <c r="AG82" s="108">
        <v>0.95833333333333337</v>
      </c>
      <c r="AH82" s="60"/>
      <c r="AI82" s="77">
        <v>64</v>
      </c>
      <c r="AJ82" s="110">
        <v>0.58124999999999993</v>
      </c>
      <c r="AK82" s="110">
        <v>0.89861111111111114</v>
      </c>
      <c r="AL82" s="108">
        <v>0.41736111111111113</v>
      </c>
      <c r="AM82" s="108">
        <v>0.95277777777777783</v>
      </c>
      <c r="AN82" s="108">
        <v>0.41597222222222219</v>
      </c>
      <c r="AO82" s="108">
        <v>0.96388888888888891</v>
      </c>
      <c r="AP82" s="108">
        <v>0.41736111111111113</v>
      </c>
      <c r="AQ82" s="108">
        <v>0.95416666666666661</v>
      </c>
      <c r="AR82" s="108">
        <v>0.41875000000000001</v>
      </c>
      <c r="AS82" s="108">
        <v>0.96180555555555547</v>
      </c>
      <c r="AT82" s="108">
        <v>0.41597222222222219</v>
      </c>
      <c r="AU82" s="108">
        <v>0.9604166666666667</v>
      </c>
      <c r="AV82" s="108">
        <v>0.41180555555555554</v>
      </c>
      <c r="AW82" s="108">
        <v>0.96666666666666667</v>
      </c>
      <c r="AX82" s="110">
        <v>0.57430555555555551</v>
      </c>
      <c r="AY82" s="110">
        <v>0.92291666666666661</v>
      </c>
      <c r="AZ82" s="108">
        <v>0.4201388888888889</v>
      </c>
      <c r="BA82" s="108">
        <v>0.96319444444444446</v>
      </c>
      <c r="BB82" s="108">
        <v>0.41388888888888892</v>
      </c>
      <c r="BC82" s="108">
        <v>0.95972222222222225</v>
      </c>
      <c r="BD82" s="108">
        <v>0.41805555555555557</v>
      </c>
      <c r="BE82" s="108">
        <v>0.95486111111111116</v>
      </c>
      <c r="BF82" s="108">
        <v>0.41111111111111115</v>
      </c>
      <c r="BG82" s="108">
        <v>0.95208333333333339</v>
      </c>
      <c r="BH82" s="108">
        <v>0.40277777777777773</v>
      </c>
      <c r="BI82" s="108">
        <v>0.9590277777777777</v>
      </c>
      <c r="BJ82" s="108">
        <v>0.42291666666666666</v>
      </c>
      <c r="BK82" s="108">
        <v>0.95277777777777783</v>
      </c>
      <c r="BL82" s="110">
        <v>0.57013888888888886</v>
      </c>
      <c r="BM82" s="110">
        <v>0.90416666666666667</v>
      </c>
      <c r="BN82" s="108">
        <v>0.41597222222222219</v>
      </c>
      <c r="BO82" s="108">
        <v>0.96388888888888891</v>
      </c>
      <c r="BP82" s="12">
        <f t="shared" si="27"/>
        <v>31</v>
      </c>
      <c r="BQ82" s="118">
        <v>5</v>
      </c>
      <c r="BR82" s="2">
        <f t="shared" si="28"/>
        <v>31</v>
      </c>
      <c r="BS82" s="3">
        <f t="shared" si="29"/>
        <v>0</v>
      </c>
      <c r="BT82" s="3">
        <f t="shared" si="30"/>
        <v>0</v>
      </c>
      <c r="BU82" s="3">
        <f t="shared" si="31"/>
        <v>0</v>
      </c>
      <c r="BV82" s="3">
        <f t="shared" si="32"/>
        <v>0</v>
      </c>
      <c r="BW82" s="3">
        <f t="shared" si="33"/>
        <v>0</v>
      </c>
      <c r="BX82" s="3">
        <f t="shared" si="34"/>
        <v>0</v>
      </c>
      <c r="BY82" s="3">
        <f t="shared" si="35"/>
        <v>0</v>
      </c>
      <c r="BZ82" s="3">
        <f t="shared" si="36"/>
        <v>0</v>
      </c>
      <c r="CA82" s="3">
        <f t="shared" si="37"/>
        <v>0</v>
      </c>
      <c r="CB82" s="3">
        <f t="shared" si="38"/>
        <v>0</v>
      </c>
      <c r="CC82" s="3">
        <f t="shared" si="39"/>
        <v>0</v>
      </c>
      <c r="CD82" s="4"/>
      <c r="CH82" s="90">
        <v>0</v>
      </c>
      <c r="CI82" s="90">
        <v>0</v>
      </c>
      <c r="CJ82" s="90">
        <v>0</v>
      </c>
      <c r="CK82" s="90">
        <v>0</v>
      </c>
      <c r="CL82" s="90">
        <v>0</v>
      </c>
      <c r="CM82" s="90">
        <v>0</v>
      </c>
      <c r="CN82" s="90">
        <v>0</v>
      </c>
      <c r="CO82" s="90">
        <v>0</v>
      </c>
      <c r="CP82" s="90">
        <v>0</v>
      </c>
      <c r="CQ82" s="90">
        <v>0</v>
      </c>
      <c r="CR82" s="92">
        <f t="shared" si="41"/>
        <v>0</v>
      </c>
    </row>
    <row r="83" spans="1:96" ht="21.75" customHeight="1" x14ac:dyDescent="0.25">
      <c r="A83" s="55">
        <v>65</v>
      </c>
      <c r="B83" s="20" t="s">
        <v>167</v>
      </c>
      <c r="C83" s="9" t="s">
        <v>168</v>
      </c>
      <c r="D83" s="108">
        <v>0.34722222222222227</v>
      </c>
      <c r="E83" s="108">
        <v>0.96527777777777779</v>
      </c>
      <c r="F83" s="110">
        <v>0.57986111111111105</v>
      </c>
      <c r="G83" s="110">
        <v>0.96944444444444444</v>
      </c>
      <c r="H83" s="108">
        <v>0.34722222222222227</v>
      </c>
      <c r="I83" s="108">
        <v>0.93125000000000002</v>
      </c>
      <c r="J83" s="108">
        <v>0.3527777777777778</v>
      </c>
      <c r="K83" s="108">
        <v>0.88124999999999998</v>
      </c>
      <c r="L83" s="108">
        <v>0.34583333333333338</v>
      </c>
      <c r="M83" s="108">
        <v>0.99305555555555547</v>
      </c>
      <c r="N83" s="108">
        <v>0.34722222222222227</v>
      </c>
      <c r="O83" s="119">
        <v>1</v>
      </c>
      <c r="P83" s="108">
        <v>0.3444444444444445</v>
      </c>
      <c r="Q83" s="108">
        <v>0.95833333333333337</v>
      </c>
      <c r="R83" s="108">
        <v>0.34583333333333338</v>
      </c>
      <c r="S83" s="108">
        <v>0.96805555555555556</v>
      </c>
      <c r="T83" s="120" t="s">
        <v>15</v>
      </c>
      <c r="U83" s="120" t="s">
        <v>15</v>
      </c>
      <c r="V83" s="108">
        <v>0.34583333333333338</v>
      </c>
      <c r="W83" s="108">
        <v>0.99236111111111114</v>
      </c>
      <c r="X83" s="108">
        <v>0.3444444444444445</v>
      </c>
      <c r="Y83" s="108">
        <v>0.95000000000000007</v>
      </c>
      <c r="Z83" s="108">
        <v>0.34513888888888888</v>
      </c>
      <c r="AA83" s="108">
        <v>0.9472222222222223</v>
      </c>
      <c r="AB83" s="108">
        <v>0.3444444444444445</v>
      </c>
      <c r="AC83" s="108">
        <v>0.93333333333333324</v>
      </c>
      <c r="AD83" s="108">
        <v>0.3444444444444445</v>
      </c>
      <c r="AE83" s="108">
        <v>0.97569444444444453</v>
      </c>
      <c r="AF83" s="108">
        <v>0.3527777777777778</v>
      </c>
      <c r="AG83" s="108">
        <v>0.97916666666666663</v>
      </c>
      <c r="AH83" s="60"/>
      <c r="AI83" s="77">
        <v>65</v>
      </c>
      <c r="AJ83" s="110">
        <v>0.57986111111111105</v>
      </c>
      <c r="AK83" s="110">
        <v>0.94513888888888886</v>
      </c>
      <c r="AL83" s="108">
        <v>0.35138888888888892</v>
      </c>
      <c r="AM83" s="108">
        <v>0.9375</v>
      </c>
      <c r="AN83" s="108">
        <v>0.34583333333333338</v>
      </c>
      <c r="AO83" s="108">
        <v>0.9902777777777777</v>
      </c>
      <c r="AP83" s="108">
        <v>0.34652777777777777</v>
      </c>
      <c r="AQ83" s="108">
        <v>0.97916666666666663</v>
      </c>
      <c r="AR83" s="108">
        <v>0.34375</v>
      </c>
      <c r="AS83" s="108">
        <v>0.97777777777777775</v>
      </c>
      <c r="AT83" s="108">
        <v>0.34375</v>
      </c>
      <c r="AU83" s="108">
        <v>0.95138888888888884</v>
      </c>
      <c r="AV83" s="108">
        <v>0.34375</v>
      </c>
      <c r="AW83" s="108">
        <v>2.0833333333333333E-3</v>
      </c>
      <c r="AX83" s="120" t="s">
        <v>15</v>
      </c>
      <c r="AY83" s="120" t="s">
        <v>15</v>
      </c>
      <c r="AZ83" s="108">
        <v>0.34513888888888888</v>
      </c>
      <c r="BA83" s="119">
        <v>1</v>
      </c>
      <c r="BB83" s="108">
        <v>0.3444444444444445</v>
      </c>
      <c r="BC83" s="108">
        <v>0.97083333333333333</v>
      </c>
      <c r="BD83" s="108">
        <v>0.3444444444444445</v>
      </c>
      <c r="BE83" s="108">
        <v>0.9375</v>
      </c>
      <c r="BF83" s="108">
        <v>0.34375</v>
      </c>
      <c r="BG83" s="108">
        <v>0.94305555555555554</v>
      </c>
      <c r="BH83" s="108">
        <v>0.34513888888888888</v>
      </c>
      <c r="BI83" s="108">
        <v>5.5555555555555558E-3</v>
      </c>
      <c r="BJ83" s="108">
        <v>0.34375</v>
      </c>
      <c r="BK83" s="108">
        <v>0.99444444444444446</v>
      </c>
      <c r="BL83" s="110">
        <v>0.57777777777777783</v>
      </c>
      <c r="BM83" s="120">
        <v>1</v>
      </c>
      <c r="BN83" s="108">
        <v>0.3430555555555555</v>
      </c>
      <c r="BO83" s="108">
        <v>0.96458333333333324</v>
      </c>
      <c r="BP83" s="12">
        <f t="shared" si="27"/>
        <v>31</v>
      </c>
      <c r="BQ83" s="118">
        <v>3</v>
      </c>
      <c r="BR83" s="2">
        <f t="shared" si="28"/>
        <v>29</v>
      </c>
      <c r="BS83" s="3">
        <f t="shared" si="29"/>
        <v>2</v>
      </c>
      <c r="BT83" s="3">
        <f t="shared" si="30"/>
        <v>0</v>
      </c>
      <c r="BU83" s="3">
        <f t="shared" si="31"/>
        <v>0</v>
      </c>
      <c r="BV83" s="3">
        <f t="shared" si="32"/>
        <v>0</v>
      </c>
      <c r="BW83" s="3">
        <f t="shared" si="33"/>
        <v>0</v>
      </c>
      <c r="BX83" s="3">
        <f t="shared" si="34"/>
        <v>0</v>
      </c>
      <c r="BY83" s="3">
        <f t="shared" si="35"/>
        <v>0</v>
      </c>
      <c r="BZ83" s="3">
        <f t="shared" si="36"/>
        <v>0</v>
      </c>
      <c r="CA83" s="3">
        <f t="shared" si="37"/>
        <v>0</v>
      </c>
      <c r="CB83" s="3">
        <f t="shared" si="38"/>
        <v>0</v>
      </c>
      <c r="CC83" s="3">
        <f t="shared" si="39"/>
        <v>0</v>
      </c>
      <c r="CD83" s="4"/>
      <c r="CH83" s="90">
        <v>0</v>
      </c>
      <c r="CI83" s="90">
        <v>0</v>
      </c>
      <c r="CJ83" s="90">
        <v>0</v>
      </c>
      <c r="CK83" s="90">
        <v>0</v>
      </c>
      <c r="CL83" s="90">
        <v>0</v>
      </c>
      <c r="CM83" s="90">
        <v>0</v>
      </c>
      <c r="CN83" s="90">
        <v>0</v>
      </c>
      <c r="CO83" s="90">
        <v>0</v>
      </c>
      <c r="CP83" s="90">
        <v>0</v>
      </c>
      <c r="CQ83" s="90">
        <v>0</v>
      </c>
      <c r="CR83" s="92">
        <f t="shared" si="41"/>
        <v>0</v>
      </c>
    </row>
    <row r="84" spans="1:96" ht="21.75" customHeight="1" x14ac:dyDescent="0.25">
      <c r="A84" s="55">
        <v>66</v>
      </c>
      <c r="B84" s="20" t="s">
        <v>169</v>
      </c>
      <c r="C84" s="9" t="s">
        <v>170</v>
      </c>
      <c r="D84" s="108">
        <v>0.35000000000000003</v>
      </c>
      <c r="E84" s="108">
        <v>0.99791666666666667</v>
      </c>
      <c r="F84" s="120" t="s">
        <v>15</v>
      </c>
      <c r="G84" s="120" t="s">
        <v>15</v>
      </c>
      <c r="H84" s="108">
        <v>0.35138888888888892</v>
      </c>
      <c r="I84" s="108">
        <v>0.97222222222222221</v>
      </c>
      <c r="J84" s="108">
        <v>0.3527777777777778</v>
      </c>
      <c r="K84" s="108">
        <v>0.96250000000000002</v>
      </c>
      <c r="L84" s="108">
        <v>0.35347222222222219</v>
      </c>
      <c r="M84" s="108">
        <v>0.96388888888888891</v>
      </c>
      <c r="N84" s="108">
        <v>0.35416666666666669</v>
      </c>
      <c r="O84" s="108">
        <v>0.95972222222222225</v>
      </c>
      <c r="P84" s="108">
        <v>0.35069444444444442</v>
      </c>
      <c r="Q84" s="108">
        <v>0.9590277777777777</v>
      </c>
      <c r="R84" s="108">
        <v>0.35138888888888892</v>
      </c>
      <c r="S84" s="108">
        <v>0.97222222222222221</v>
      </c>
      <c r="T84" s="110">
        <v>0.57986111111111105</v>
      </c>
      <c r="U84" s="110">
        <v>0.95347222222222217</v>
      </c>
      <c r="V84" s="108">
        <v>0.35069444444444442</v>
      </c>
      <c r="W84" s="108">
        <v>0.97430555555555554</v>
      </c>
      <c r="X84" s="108">
        <v>0.3520833333333333</v>
      </c>
      <c r="Y84" s="108">
        <v>0.9590277777777777</v>
      </c>
      <c r="Z84" s="108">
        <v>0.3520833333333333</v>
      </c>
      <c r="AA84" s="108">
        <v>0.95624999999999993</v>
      </c>
      <c r="AB84" s="108">
        <v>0.3520833333333333</v>
      </c>
      <c r="AC84" s="108">
        <v>0.95347222222222217</v>
      </c>
      <c r="AD84" s="108">
        <v>0.3520833333333333</v>
      </c>
      <c r="AE84" s="108">
        <v>0.95486111111111116</v>
      </c>
      <c r="AF84" s="108">
        <v>0.35069444444444442</v>
      </c>
      <c r="AG84" s="108">
        <v>0.96875</v>
      </c>
      <c r="AH84" s="60"/>
      <c r="AI84" s="77">
        <v>66</v>
      </c>
      <c r="AJ84" s="120" t="s">
        <v>15</v>
      </c>
      <c r="AK84" s="120" t="s">
        <v>15</v>
      </c>
      <c r="AL84" s="108">
        <v>0.34861111111111115</v>
      </c>
      <c r="AM84" s="108">
        <v>0.96458333333333324</v>
      </c>
      <c r="AN84" s="108">
        <v>0.3520833333333333</v>
      </c>
      <c r="AO84" s="108">
        <v>0.95624999999999993</v>
      </c>
      <c r="AP84" s="108">
        <v>0.3527777777777778</v>
      </c>
      <c r="AQ84" s="108">
        <v>0.95972222222222225</v>
      </c>
      <c r="AR84" s="108">
        <v>0.3527777777777778</v>
      </c>
      <c r="AS84" s="108">
        <v>0.9604166666666667</v>
      </c>
      <c r="AT84" s="108">
        <v>0.3527777777777778</v>
      </c>
      <c r="AU84" s="108">
        <v>0.95486111111111116</v>
      </c>
      <c r="AV84" s="108">
        <v>0.35347222222222219</v>
      </c>
      <c r="AW84" s="108">
        <v>0.97361111111111109</v>
      </c>
      <c r="AX84" s="110">
        <v>0.57361111111111118</v>
      </c>
      <c r="AY84" s="110">
        <v>0.95138888888888884</v>
      </c>
      <c r="AZ84" s="108">
        <v>0.3520833333333333</v>
      </c>
      <c r="BA84" s="108">
        <v>0.96527777777777779</v>
      </c>
      <c r="BB84" s="108">
        <v>0.35347222222222219</v>
      </c>
      <c r="BC84" s="108">
        <v>0.95486111111111116</v>
      </c>
      <c r="BD84" s="108">
        <v>0.35347222222222219</v>
      </c>
      <c r="BE84" s="108">
        <v>0.95208333333333339</v>
      </c>
      <c r="BF84" s="108">
        <v>0.35347222222222219</v>
      </c>
      <c r="BG84" s="119">
        <v>1</v>
      </c>
      <c r="BH84" s="108">
        <v>0.35347222222222219</v>
      </c>
      <c r="BI84" s="108">
        <v>0.94930555555555562</v>
      </c>
      <c r="BJ84" s="108">
        <v>0.35347222222222219</v>
      </c>
      <c r="BK84" s="108">
        <v>0.9770833333333333</v>
      </c>
      <c r="BL84" s="110">
        <v>0.5805555555555556</v>
      </c>
      <c r="BM84" s="110">
        <v>0.95486111111111116</v>
      </c>
      <c r="BN84" s="108">
        <v>0.35486111111111113</v>
      </c>
      <c r="BO84" s="108">
        <v>0.97013888888888899</v>
      </c>
      <c r="BP84" s="12">
        <f t="shared" si="27"/>
        <v>31</v>
      </c>
      <c r="BQ84" s="118">
        <v>3</v>
      </c>
      <c r="BR84" s="2">
        <f t="shared" si="28"/>
        <v>29</v>
      </c>
      <c r="BS84" s="3">
        <f t="shared" si="29"/>
        <v>2</v>
      </c>
      <c r="BT84" s="3">
        <f t="shared" si="30"/>
        <v>0</v>
      </c>
      <c r="BU84" s="3">
        <f t="shared" si="31"/>
        <v>0</v>
      </c>
      <c r="BV84" s="3">
        <f t="shared" si="32"/>
        <v>0</v>
      </c>
      <c r="BW84" s="3">
        <f t="shared" si="33"/>
        <v>0</v>
      </c>
      <c r="BX84" s="3">
        <f t="shared" si="34"/>
        <v>0</v>
      </c>
      <c r="BY84" s="3">
        <f t="shared" si="35"/>
        <v>0</v>
      </c>
      <c r="BZ84" s="3">
        <f t="shared" si="36"/>
        <v>0</v>
      </c>
      <c r="CA84" s="3">
        <f t="shared" si="37"/>
        <v>0</v>
      </c>
      <c r="CB84" s="3">
        <f t="shared" si="38"/>
        <v>0</v>
      </c>
      <c r="CC84" s="3">
        <f t="shared" si="39"/>
        <v>0</v>
      </c>
      <c r="CD84" s="4"/>
      <c r="CH84" s="90">
        <v>0</v>
      </c>
      <c r="CI84" s="90">
        <v>0</v>
      </c>
      <c r="CJ84" s="90">
        <v>0</v>
      </c>
      <c r="CK84" s="90">
        <v>0</v>
      </c>
      <c r="CL84" s="90">
        <v>0</v>
      </c>
      <c r="CM84" s="90">
        <v>0</v>
      </c>
      <c r="CN84" s="90">
        <v>0</v>
      </c>
      <c r="CO84" s="90">
        <v>0</v>
      </c>
      <c r="CP84" s="90">
        <v>0</v>
      </c>
      <c r="CQ84" s="90">
        <v>0</v>
      </c>
      <c r="CR84" s="92">
        <f t="shared" si="41"/>
        <v>0</v>
      </c>
    </row>
    <row r="85" spans="1:96" ht="21.75" customHeight="1" x14ac:dyDescent="0.25">
      <c r="A85" s="55">
        <v>67</v>
      </c>
      <c r="B85" s="20" t="s">
        <v>171</v>
      </c>
      <c r="C85" s="9" t="s">
        <v>172</v>
      </c>
      <c r="D85" s="108">
        <v>0.35347222222222219</v>
      </c>
      <c r="E85" s="108">
        <v>0.99097222222222225</v>
      </c>
      <c r="F85" s="120" t="s">
        <v>15</v>
      </c>
      <c r="G85" s="120" t="s">
        <v>15</v>
      </c>
      <c r="H85" s="108">
        <v>0.35069444444444442</v>
      </c>
      <c r="I85" s="108">
        <v>0.97222222222222221</v>
      </c>
      <c r="J85" s="108">
        <v>0.35138888888888892</v>
      </c>
      <c r="K85" s="108">
        <v>0.96875</v>
      </c>
      <c r="L85" s="108">
        <v>0.35000000000000003</v>
      </c>
      <c r="M85" s="108">
        <v>0.96805555555555556</v>
      </c>
      <c r="N85" s="108">
        <v>0.3520833333333333</v>
      </c>
      <c r="O85" s="108">
        <v>0.95763888888888893</v>
      </c>
      <c r="P85" s="108">
        <v>0.35069444444444442</v>
      </c>
      <c r="Q85" s="108">
        <v>0.95694444444444438</v>
      </c>
      <c r="R85" s="108">
        <v>0.3520833333333333</v>
      </c>
      <c r="S85" s="108">
        <v>0.97569444444444453</v>
      </c>
      <c r="T85" s="110">
        <v>0.5805555555555556</v>
      </c>
      <c r="U85" s="110">
        <v>0.95347222222222217</v>
      </c>
      <c r="V85" s="108">
        <v>0.3520833333333333</v>
      </c>
      <c r="W85" s="108">
        <v>0.96527777777777779</v>
      </c>
      <c r="X85" s="108">
        <v>0.35138888888888892</v>
      </c>
      <c r="Y85" s="108">
        <v>0.96111111111111114</v>
      </c>
      <c r="Z85" s="108">
        <v>0.3520833333333333</v>
      </c>
      <c r="AA85" s="108">
        <v>0.95347222222222217</v>
      </c>
      <c r="AB85" s="108">
        <v>0.3520833333333333</v>
      </c>
      <c r="AC85" s="108">
        <v>0.95486111111111116</v>
      </c>
      <c r="AD85" s="108">
        <v>0.35069444444444442</v>
      </c>
      <c r="AE85" s="108">
        <v>0.94861111111111107</v>
      </c>
      <c r="AF85" s="108">
        <v>0.34652777777777777</v>
      </c>
      <c r="AG85" s="108">
        <v>0.95486111111111116</v>
      </c>
      <c r="AH85" s="60"/>
      <c r="AI85" s="77">
        <v>67</v>
      </c>
      <c r="AJ85" s="120" t="s">
        <v>15</v>
      </c>
      <c r="AK85" s="120" t="s">
        <v>15</v>
      </c>
      <c r="AL85" s="108">
        <v>0.35069444444444442</v>
      </c>
      <c r="AM85" s="108">
        <v>0.96388888888888891</v>
      </c>
      <c r="AN85" s="108">
        <v>0.35069444444444442</v>
      </c>
      <c r="AO85" s="108">
        <v>0.95138888888888884</v>
      </c>
      <c r="AP85" s="108">
        <v>0.35000000000000003</v>
      </c>
      <c r="AQ85" s="108">
        <v>0.95138888888888884</v>
      </c>
      <c r="AR85" s="108">
        <v>0.35069444444444442</v>
      </c>
      <c r="AS85" s="108">
        <v>0.95972222222222225</v>
      </c>
      <c r="AT85" s="108">
        <v>0.35000000000000003</v>
      </c>
      <c r="AU85" s="108">
        <v>0.94930555555555562</v>
      </c>
      <c r="AV85" s="108">
        <v>0.35069444444444442</v>
      </c>
      <c r="AW85" s="108">
        <v>0.97291666666666676</v>
      </c>
      <c r="AX85" s="110">
        <v>0.57847222222222217</v>
      </c>
      <c r="AY85" s="110">
        <v>0.9506944444444444</v>
      </c>
      <c r="AZ85" s="108">
        <v>0.35069444444444442</v>
      </c>
      <c r="BA85" s="108">
        <v>0.96666666666666667</v>
      </c>
      <c r="BB85" s="108">
        <v>0.35000000000000003</v>
      </c>
      <c r="BC85" s="108">
        <v>0.95833333333333337</v>
      </c>
      <c r="BD85" s="108">
        <v>0.35069444444444442</v>
      </c>
      <c r="BE85" s="108">
        <v>0.95347222222222217</v>
      </c>
      <c r="BF85" s="108">
        <v>0.35138888888888892</v>
      </c>
      <c r="BG85" s="119">
        <v>1</v>
      </c>
      <c r="BH85" s="108">
        <v>0.35069444444444442</v>
      </c>
      <c r="BI85" s="108">
        <v>0.94305555555555554</v>
      </c>
      <c r="BJ85" s="108">
        <v>0.3520833333333333</v>
      </c>
      <c r="BK85" s="108">
        <v>0.97291666666666676</v>
      </c>
      <c r="BL85" s="120" t="s">
        <v>15</v>
      </c>
      <c r="BM85" s="120" t="s">
        <v>15</v>
      </c>
      <c r="BN85" s="108">
        <v>0.34930555555555554</v>
      </c>
      <c r="BO85" s="108">
        <v>0.97013888888888899</v>
      </c>
      <c r="BP85" s="12">
        <f t="shared" si="27"/>
        <v>31</v>
      </c>
      <c r="BQ85" s="118">
        <v>2</v>
      </c>
      <c r="BR85" s="2">
        <f t="shared" si="28"/>
        <v>28</v>
      </c>
      <c r="BS85" s="3">
        <f t="shared" si="29"/>
        <v>3</v>
      </c>
      <c r="BT85" s="3">
        <f t="shared" si="30"/>
        <v>0</v>
      </c>
      <c r="BU85" s="3">
        <f t="shared" si="31"/>
        <v>0</v>
      </c>
      <c r="BV85" s="3">
        <f t="shared" si="32"/>
        <v>0</v>
      </c>
      <c r="BW85" s="3">
        <f t="shared" si="33"/>
        <v>0</v>
      </c>
      <c r="BX85" s="3">
        <f t="shared" si="34"/>
        <v>0</v>
      </c>
      <c r="BY85" s="3">
        <f t="shared" si="35"/>
        <v>0</v>
      </c>
      <c r="BZ85" s="3">
        <f t="shared" si="36"/>
        <v>0</v>
      </c>
      <c r="CA85" s="3">
        <f t="shared" si="37"/>
        <v>0</v>
      </c>
      <c r="CB85" s="3">
        <f t="shared" si="38"/>
        <v>0</v>
      </c>
      <c r="CC85" s="3">
        <f t="shared" si="39"/>
        <v>0</v>
      </c>
      <c r="CD85" s="4"/>
      <c r="CH85" s="90">
        <v>0</v>
      </c>
      <c r="CI85" s="90">
        <v>0</v>
      </c>
      <c r="CJ85" s="90">
        <v>0</v>
      </c>
      <c r="CK85" s="90">
        <v>0</v>
      </c>
      <c r="CL85" s="90">
        <v>0</v>
      </c>
      <c r="CM85" s="90">
        <v>0</v>
      </c>
      <c r="CN85" s="90">
        <v>0</v>
      </c>
      <c r="CO85" s="90">
        <v>0</v>
      </c>
      <c r="CP85" s="90">
        <v>0</v>
      </c>
      <c r="CQ85" s="90">
        <v>0</v>
      </c>
      <c r="CR85" s="92">
        <f t="shared" si="41"/>
        <v>0</v>
      </c>
    </row>
    <row r="86" spans="1:96" ht="21.75" customHeight="1" x14ac:dyDescent="0.25">
      <c r="A86" s="55">
        <v>68</v>
      </c>
      <c r="B86" s="20" t="s">
        <v>173</v>
      </c>
      <c r="C86" s="9" t="s">
        <v>174</v>
      </c>
      <c r="D86" s="108">
        <v>0.34652777777777777</v>
      </c>
      <c r="E86" s="108">
        <v>0.96597222222222223</v>
      </c>
      <c r="F86" s="110">
        <v>0.5805555555555556</v>
      </c>
      <c r="G86" s="110">
        <v>0.97361111111111109</v>
      </c>
      <c r="H86" s="108">
        <v>0.34652777777777777</v>
      </c>
      <c r="I86" s="108">
        <v>0.97013888888888899</v>
      </c>
      <c r="J86" s="108">
        <v>0.34722222222222227</v>
      </c>
      <c r="K86" s="108">
        <v>0.97013888888888899</v>
      </c>
      <c r="L86" s="108">
        <v>0.35069444444444442</v>
      </c>
      <c r="M86" s="108">
        <v>0.99305555555555547</v>
      </c>
      <c r="N86" s="108">
        <v>0.34652777777777777</v>
      </c>
      <c r="O86" s="108">
        <v>0.97916666666666663</v>
      </c>
      <c r="P86" s="108">
        <v>0.34583333333333338</v>
      </c>
      <c r="Q86" s="108">
        <v>0.96597222222222223</v>
      </c>
      <c r="R86" s="108">
        <v>0.34583333333333338</v>
      </c>
      <c r="S86" s="108">
        <v>0.96875</v>
      </c>
      <c r="T86" s="120" t="s">
        <v>15</v>
      </c>
      <c r="U86" s="120" t="s">
        <v>15</v>
      </c>
      <c r="V86" s="108">
        <v>0.34583333333333338</v>
      </c>
      <c r="W86" s="108">
        <v>0.96388888888888891</v>
      </c>
      <c r="X86" s="108">
        <v>0.34791666666666665</v>
      </c>
      <c r="Y86" s="108">
        <v>0.96180555555555547</v>
      </c>
      <c r="Z86" s="108">
        <v>0.34583333333333338</v>
      </c>
      <c r="AA86" s="108">
        <v>0.94861111111111107</v>
      </c>
      <c r="AB86" s="108">
        <v>0.34722222222222227</v>
      </c>
      <c r="AC86" s="108">
        <v>0.93611111111111101</v>
      </c>
      <c r="AD86" s="108">
        <v>0.34930555555555554</v>
      </c>
      <c r="AE86" s="108">
        <v>0.97777777777777775</v>
      </c>
      <c r="AF86" s="108">
        <v>0.34652777777777777</v>
      </c>
      <c r="AG86" s="108">
        <v>0.95486111111111116</v>
      </c>
      <c r="AH86" s="60"/>
      <c r="AI86" s="77">
        <v>68</v>
      </c>
      <c r="AJ86" s="110">
        <v>0.58124999999999993</v>
      </c>
      <c r="AK86" s="110">
        <v>0.95138888888888884</v>
      </c>
      <c r="AL86" s="108">
        <v>0.34583333333333338</v>
      </c>
      <c r="AM86" s="108">
        <v>0.96180555555555547</v>
      </c>
      <c r="AN86" s="108">
        <v>0.34722222222222227</v>
      </c>
      <c r="AO86" s="108">
        <v>0.9590277777777777</v>
      </c>
      <c r="AP86" s="108">
        <v>0.35000000000000003</v>
      </c>
      <c r="AQ86" s="108">
        <v>0.96250000000000002</v>
      </c>
      <c r="AR86" s="108">
        <v>0.34583333333333338</v>
      </c>
      <c r="AS86" s="108">
        <v>0.97916666666666663</v>
      </c>
      <c r="AT86" s="108">
        <v>0.34652777777777777</v>
      </c>
      <c r="AU86" s="108">
        <v>0.95138888888888884</v>
      </c>
      <c r="AV86" s="108">
        <v>0.34375</v>
      </c>
      <c r="AW86" s="108">
        <v>0.98263888888888884</v>
      </c>
      <c r="AX86" s="120" t="s">
        <v>15</v>
      </c>
      <c r="AY86" s="120" t="s">
        <v>15</v>
      </c>
      <c r="AZ86" s="108">
        <v>0.3527777777777778</v>
      </c>
      <c r="BA86" s="108">
        <v>0.95972222222222225</v>
      </c>
      <c r="BB86" s="108">
        <v>0.34583333333333338</v>
      </c>
      <c r="BC86" s="108">
        <v>0.96666666666666667</v>
      </c>
      <c r="BD86" s="108">
        <v>0.3444444444444445</v>
      </c>
      <c r="BE86" s="108">
        <v>0.95694444444444438</v>
      </c>
      <c r="BF86" s="108">
        <v>0.34236111111111112</v>
      </c>
      <c r="BG86" s="108">
        <v>0.95138888888888884</v>
      </c>
      <c r="BH86" s="108">
        <v>0.34513888888888888</v>
      </c>
      <c r="BI86" s="108">
        <v>0.95833333333333337</v>
      </c>
      <c r="BJ86" s="108">
        <v>0.34513888888888888</v>
      </c>
      <c r="BK86" s="108">
        <v>0.9770833333333333</v>
      </c>
      <c r="BL86" s="110">
        <v>0.57986111111111105</v>
      </c>
      <c r="BM86" s="120">
        <v>1</v>
      </c>
      <c r="BN86" s="108">
        <v>0.35000000000000003</v>
      </c>
      <c r="BO86" s="108">
        <v>0.96458333333333324</v>
      </c>
      <c r="BP86" s="12">
        <f t="shared" si="27"/>
        <v>31</v>
      </c>
      <c r="BQ86" s="118">
        <v>3</v>
      </c>
      <c r="BR86" s="2">
        <f t="shared" si="28"/>
        <v>29</v>
      </c>
      <c r="BS86" s="3">
        <f t="shared" si="29"/>
        <v>2</v>
      </c>
      <c r="BT86" s="3">
        <f t="shared" si="30"/>
        <v>0</v>
      </c>
      <c r="BU86" s="3">
        <f t="shared" si="31"/>
        <v>0</v>
      </c>
      <c r="BV86" s="3">
        <f t="shared" si="32"/>
        <v>0</v>
      </c>
      <c r="BW86" s="3">
        <f t="shared" si="33"/>
        <v>0</v>
      </c>
      <c r="BX86" s="3">
        <f t="shared" si="34"/>
        <v>0</v>
      </c>
      <c r="BY86" s="3">
        <f t="shared" si="35"/>
        <v>0</v>
      </c>
      <c r="BZ86" s="3">
        <f t="shared" si="36"/>
        <v>0</v>
      </c>
      <c r="CA86" s="3">
        <f t="shared" si="37"/>
        <v>0</v>
      </c>
      <c r="CB86" s="3">
        <f t="shared" si="38"/>
        <v>0</v>
      </c>
      <c r="CC86" s="3">
        <f t="shared" si="39"/>
        <v>0</v>
      </c>
      <c r="CD86" s="4"/>
      <c r="CH86" s="90">
        <v>0</v>
      </c>
      <c r="CI86" s="90">
        <v>0</v>
      </c>
      <c r="CJ86" s="90">
        <v>0</v>
      </c>
      <c r="CK86" s="90">
        <v>0</v>
      </c>
      <c r="CL86" s="90">
        <v>0</v>
      </c>
      <c r="CM86" s="90">
        <v>0</v>
      </c>
      <c r="CN86" s="90">
        <v>0</v>
      </c>
      <c r="CO86" s="90">
        <v>0</v>
      </c>
      <c r="CP86" s="90">
        <v>0</v>
      </c>
      <c r="CQ86" s="90">
        <v>0</v>
      </c>
      <c r="CR86" s="92">
        <f t="shared" si="41"/>
        <v>0</v>
      </c>
    </row>
    <row r="87" spans="1:96" ht="21.75" customHeight="1" x14ac:dyDescent="0.25">
      <c r="A87" s="55">
        <v>69</v>
      </c>
      <c r="B87" s="20" t="s">
        <v>175</v>
      </c>
      <c r="C87" s="9" t="s">
        <v>176</v>
      </c>
      <c r="D87" s="108">
        <v>0.55208333333333337</v>
      </c>
      <c r="E87" s="108">
        <v>0.98472222222222217</v>
      </c>
      <c r="F87" s="110">
        <v>0.58124999999999993</v>
      </c>
      <c r="G87" s="110">
        <v>0.96458333333333324</v>
      </c>
      <c r="H87" s="108">
        <v>0.3520833333333333</v>
      </c>
      <c r="I87" s="108">
        <v>0.97222222222222221</v>
      </c>
      <c r="J87" s="108">
        <v>0.35138888888888892</v>
      </c>
      <c r="K87" s="108">
        <v>0.97013888888888899</v>
      </c>
      <c r="L87" s="108">
        <v>0.35069444444444442</v>
      </c>
      <c r="M87" s="108">
        <v>0.96875</v>
      </c>
      <c r="N87" s="108">
        <v>0.34861111111111115</v>
      </c>
      <c r="O87" s="108">
        <v>0.9604166666666667</v>
      </c>
      <c r="P87" s="108">
        <v>0.3520833333333333</v>
      </c>
      <c r="Q87" s="108">
        <v>0.9555555555555556</v>
      </c>
      <c r="R87" s="108">
        <v>0.35000000000000003</v>
      </c>
      <c r="S87" s="108">
        <v>0.97638888888888886</v>
      </c>
      <c r="T87" s="120" t="s">
        <v>15</v>
      </c>
      <c r="U87" s="120" t="s">
        <v>15</v>
      </c>
      <c r="V87" s="108">
        <v>0.34861111111111115</v>
      </c>
      <c r="W87" s="108">
        <v>0.96597222222222223</v>
      </c>
      <c r="X87" s="108">
        <v>0.34930555555555554</v>
      </c>
      <c r="Y87" s="108">
        <v>0.95208333333333339</v>
      </c>
      <c r="Z87" s="108">
        <v>0.35000000000000003</v>
      </c>
      <c r="AA87" s="108">
        <v>0.96527777777777779</v>
      </c>
      <c r="AB87" s="108">
        <v>0.35000000000000003</v>
      </c>
      <c r="AC87" s="108">
        <v>0.95486111111111116</v>
      </c>
      <c r="AD87" s="108">
        <v>0.35000000000000003</v>
      </c>
      <c r="AE87" s="108">
        <v>0.95347222222222217</v>
      </c>
      <c r="AF87" s="108">
        <v>0.35000000000000003</v>
      </c>
      <c r="AG87" s="108">
        <v>0.96319444444444446</v>
      </c>
      <c r="AH87" s="60"/>
      <c r="AI87" s="77">
        <v>69</v>
      </c>
      <c r="AJ87" s="110">
        <v>0.58124999999999993</v>
      </c>
      <c r="AK87" s="110">
        <v>0.95138888888888884</v>
      </c>
      <c r="AL87" s="108">
        <v>0.34722222222222227</v>
      </c>
      <c r="AM87" s="108">
        <v>0.96388888888888891</v>
      </c>
      <c r="AN87" s="108">
        <v>0.35000000000000003</v>
      </c>
      <c r="AO87" s="108">
        <v>0.94791666666666663</v>
      </c>
      <c r="AP87" s="108">
        <v>0.35000000000000003</v>
      </c>
      <c r="AQ87" s="108">
        <v>0.95624999999999993</v>
      </c>
      <c r="AR87" s="108">
        <v>0.35138888888888892</v>
      </c>
      <c r="AS87" s="108">
        <v>0.9604166666666667</v>
      </c>
      <c r="AT87" s="108">
        <v>0.3520833333333333</v>
      </c>
      <c r="AU87" s="108">
        <v>0.94930555555555562</v>
      </c>
      <c r="AV87" s="108">
        <v>0.3520833333333333</v>
      </c>
      <c r="AW87" s="108">
        <v>0.97430555555555554</v>
      </c>
      <c r="AX87" s="120" t="s">
        <v>15</v>
      </c>
      <c r="AY87" s="120" t="s">
        <v>15</v>
      </c>
      <c r="AZ87" s="108">
        <v>0.3527777777777778</v>
      </c>
      <c r="BA87" s="108">
        <v>0.96319444444444446</v>
      </c>
      <c r="BB87" s="108">
        <v>0.3520833333333333</v>
      </c>
      <c r="BC87" s="108">
        <v>0.95624999999999993</v>
      </c>
      <c r="BD87" s="108">
        <v>0.34791666666666665</v>
      </c>
      <c r="BE87" s="108">
        <v>0.95347222222222217</v>
      </c>
      <c r="BF87" s="108">
        <v>0.34722222222222227</v>
      </c>
      <c r="BG87" s="108">
        <v>0.34722222222222227</v>
      </c>
      <c r="BH87" s="108">
        <v>0.3527777777777778</v>
      </c>
      <c r="BI87" s="108">
        <v>0.94861111111111107</v>
      </c>
      <c r="BJ87" s="108">
        <v>0.3520833333333333</v>
      </c>
      <c r="BK87" s="108">
        <v>0.97291666666666676</v>
      </c>
      <c r="BL87" s="110">
        <v>0.57986111111111105</v>
      </c>
      <c r="BM87" s="110">
        <v>0.9555555555555556</v>
      </c>
      <c r="BN87" s="108">
        <v>0.34166666666666662</v>
      </c>
      <c r="BO87" s="108">
        <v>0.96527777777777779</v>
      </c>
      <c r="BP87" s="12">
        <f t="shared" si="27"/>
        <v>31</v>
      </c>
      <c r="BQ87" s="118">
        <v>3</v>
      </c>
      <c r="BR87" s="2">
        <f t="shared" si="28"/>
        <v>29</v>
      </c>
      <c r="BS87" s="3">
        <f t="shared" si="29"/>
        <v>2</v>
      </c>
      <c r="BT87" s="3">
        <f t="shared" si="30"/>
        <v>0</v>
      </c>
      <c r="BU87" s="3">
        <f t="shared" si="31"/>
        <v>0</v>
      </c>
      <c r="BV87" s="3">
        <f t="shared" si="32"/>
        <v>0</v>
      </c>
      <c r="BW87" s="3">
        <f t="shared" si="33"/>
        <v>0</v>
      </c>
      <c r="BX87" s="3">
        <f t="shared" si="34"/>
        <v>0</v>
      </c>
      <c r="BY87" s="3">
        <f t="shared" si="35"/>
        <v>0</v>
      </c>
      <c r="BZ87" s="3">
        <f t="shared" si="36"/>
        <v>0</v>
      </c>
      <c r="CA87" s="3">
        <f t="shared" si="37"/>
        <v>0</v>
      </c>
      <c r="CB87" s="3">
        <f t="shared" si="38"/>
        <v>0</v>
      </c>
      <c r="CC87" s="3">
        <f t="shared" si="39"/>
        <v>0</v>
      </c>
      <c r="CD87" s="4"/>
      <c r="CH87" s="90">
        <v>0</v>
      </c>
      <c r="CI87" s="90">
        <v>0</v>
      </c>
      <c r="CJ87" s="90">
        <v>0</v>
      </c>
      <c r="CK87" s="90">
        <v>0</v>
      </c>
      <c r="CL87" s="90">
        <v>0</v>
      </c>
      <c r="CM87" s="91">
        <v>14</v>
      </c>
      <c r="CN87" s="91">
        <v>1</v>
      </c>
      <c r="CO87" s="90">
        <v>0</v>
      </c>
      <c r="CP87" s="90">
        <v>0</v>
      </c>
      <c r="CQ87" s="90">
        <v>0</v>
      </c>
      <c r="CR87" s="92">
        <f t="shared" si="41"/>
        <v>15</v>
      </c>
    </row>
    <row r="88" spans="1:96" ht="21.75" customHeight="1" x14ac:dyDescent="0.25">
      <c r="A88" s="55">
        <v>70</v>
      </c>
      <c r="B88" s="20" t="s">
        <v>177</v>
      </c>
      <c r="C88" s="9" t="s">
        <v>178</v>
      </c>
      <c r="D88" s="108">
        <v>0.34722222222222227</v>
      </c>
      <c r="E88" s="108">
        <v>0.97638888888888886</v>
      </c>
      <c r="F88" s="110">
        <v>0.57638888888888895</v>
      </c>
      <c r="G88" s="110">
        <v>0.95277777777777783</v>
      </c>
      <c r="H88" s="108">
        <v>0.35000000000000003</v>
      </c>
      <c r="I88" s="108">
        <v>0.97569444444444453</v>
      </c>
      <c r="J88" s="108">
        <v>0.35347222222222219</v>
      </c>
      <c r="K88" s="108">
        <v>0.9604166666666667</v>
      </c>
      <c r="L88" s="108">
        <v>0.35416666666666669</v>
      </c>
      <c r="M88" s="119">
        <v>1</v>
      </c>
      <c r="N88" s="108" t="s">
        <v>202</v>
      </c>
      <c r="O88" s="108" t="s">
        <v>202</v>
      </c>
      <c r="P88" s="108">
        <v>0.35069444444444442</v>
      </c>
      <c r="Q88" s="108">
        <v>0.95277777777777783</v>
      </c>
      <c r="R88" s="108">
        <v>0.34791666666666665</v>
      </c>
      <c r="S88" s="108">
        <v>0.97361111111111109</v>
      </c>
      <c r="T88" s="120" t="s">
        <v>15</v>
      </c>
      <c r="U88" s="120" t="s">
        <v>15</v>
      </c>
      <c r="V88" s="108">
        <v>0.34791666666666665</v>
      </c>
      <c r="W88" s="108">
        <v>0.97916666666666663</v>
      </c>
      <c r="X88" s="108">
        <v>0.34236111111111112</v>
      </c>
      <c r="Y88" s="108">
        <v>0.94930555555555562</v>
      </c>
      <c r="Z88" s="108">
        <v>0.34861111111111115</v>
      </c>
      <c r="AA88" s="108">
        <v>0.95972222222222225</v>
      </c>
      <c r="AB88" s="108">
        <v>0.34722222222222227</v>
      </c>
      <c r="AC88" s="108">
        <v>0.95694444444444438</v>
      </c>
      <c r="AD88" s="108">
        <v>0.34722222222222227</v>
      </c>
      <c r="AE88" s="108">
        <v>0.95833333333333337</v>
      </c>
      <c r="AF88" s="108">
        <v>0.35000000000000003</v>
      </c>
      <c r="AG88" s="108">
        <v>0.96319444444444446</v>
      </c>
      <c r="AH88" s="60"/>
      <c r="AI88" s="77">
        <v>70</v>
      </c>
      <c r="AJ88" s="110">
        <v>0.5805555555555556</v>
      </c>
      <c r="AK88" s="110">
        <v>0.96666666666666667</v>
      </c>
      <c r="AL88" s="108">
        <v>0.34861111111111115</v>
      </c>
      <c r="AM88" s="108">
        <v>0.96527777777777779</v>
      </c>
      <c r="AN88" s="108">
        <v>0.34861111111111115</v>
      </c>
      <c r="AO88" s="108">
        <v>0.95486111111111116</v>
      </c>
      <c r="AP88" s="108">
        <v>0.3527777777777778</v>
      </c>
      <c r="AQ88" s="108">
        <v>0.95347222222222217</v>
      </c>
      <c r="AR88" s="108">
        <v>0.35000000000000003</v>
      </c>
      <c r="AS88" s="108">
        <v>0.95138888888888884</v>
      </c>
      <c r="AT88" s="108">
        <v>0.3527777777777778</v>
      </c>
      <c r="AU88" s="108">
        <v>0.96180555555555547</v>
      </c>
      <c r="AV88" s="108">
        <v>0.35347222222222219</v>
      </c>
      <c r="AW88" s="108">
        <v>0.97569444444444453</v>
      </c>
      <c r="AX88" s="120" t="s">
        <v>15</v>
      </c>
      <c r="AY88" s="120" t="s">
        <v>15</v>
      </c>
      <c r="AZ88" s="108">
        <v>0.3520833333333333</v>
      </c>
      <c r="BA88" s="108">
        <v>0.97430555555555554</v>
      </c>
      <c r="BB88" s="108">
        <v>0.35347222222222219</v>
      </c>
      <c r="BC88" s="108">
        <v>0.95694444444444438</v>
      </c>
      <c r="BD88" s="108">
        <v>0.35347222222222219</v>
      </c>
      <c r="BE88" s="108">
        <v>0.99652777777777779</v>
      </c>
      <c r="BF88" s="108">
        <v>0.35416666666666669</v>
      </c>
      <c r="BG88" s="108">
        <v>0.95833333333333337</v>
      </c>
      <c r="BH88" s="108">
        <v>0.35138888888888892</v>
      </c>
      <c r="BI88" s="108">
        <v>0.95763888888888893</v>
      </c>
      <c r="BJ88" s="108">
        <v>0.35138888888888892</v>
      </c>
      <c r="BK88" s="108">
        <v>0.97499999999999998</v>
      </c>
      <c r="BL88" s="110">
        <v>0.5805555555555556</v>
      </c>
      <c r="BM88" s="110">
        <v>0.95277777777777783</v>
      </c>
      <c r="BN88" s="108">
        <v>0.3527777777777778</v>
      </c>
      <c r="BO88" s="108">
        <v>0.97569444444444453</v>
      </c>
      <c r="BP88" s="12">
        <f t="shared" si="27"/>
        <v>31</v>
      </c>
      <c r="BQ88" s="118">
        <v>3</v>
      </c>
      <c r="BR88" s="2">
        <f t="shared" si="28"/>
        <v>28</v>
      </c>
      <c r="BS88" s="3">
        <f t="shared" si="29"/>
        <v>2</v>
      </c>
      <c r="BT88" s="3">
        <f t="shared" si="30"/>
        <v>0</v>
      </c>
      <c r="BU88" s="3">
        <f t="shared" si="31"/>
        <v>0</v>
      </c>
      <c r="BV88" s="3">
        <f t="shared" si="32"/>
        <v>0</v>
      </c>
      <c r="BW88" s="3">
        <f t="shared" si="33"/>
        <v>0</v>
      </c>
      <c r="BX88" s="3">
        <f t="shared" si="34"/>
        <v>0</v>
      </c>
      <c r="BY88" s="3">
        <f t="shared" si="35"/>
        <v>1</v>
      </c>
      <c r="BZ88" s="3">
        <f t="shared" si="36"/>
        <v>0</v>
      </c>
      <c r="CA88" s="3">
        <f t="shared" si="37"/>
        <v>0</v>
      </c>
      <c r="CB88" s="3">
        <f t="shared" si="38"/>
        <v>0</v>
      </c>
      <c r="CC88" s="3">
        <f t="shared" si="39"/>
        <v>0</v>
      </c>
      <c r="CD88" s="4"/>
      <c r="CH88" s="90">
        <v>0</v>
      </c>
      <c r="CI88" s="90">
        <v>0</v>
      </c>
      <c r="CJ88" s="90">
        <v>0</v>
      </c>
      <c r="CK88" s="90">
        <v>0</v>
      </c>
      <c r="CL88" s="90">
        <v>0</v>
      </c>
      <c r="CM88" s="90">
        <v>2</v>
      </c>
      <c r="CN88" s="90">
        <v>0</v>
      </c>
      <c r="CO88" s="91">
        <v>1</v>
      </c>
      <c r="CP88" s="90">
        <v>0</v>
      </c>
      <c r="CQ88" s="90">
        <v>0</v>
      </c>
      <c r="CR88" s="92">
        <f t="shared" si="41"/>
        <v>3</v>
      </c>
    </row>
    <row r="89" spans="1:96" ht="21.75" customHeight="1" x14ac:dyDescent="0.25">
      <c r="A89" s="55">
        <v>71</v>
      </c>
      <c r="B89" s="20" t="s">
        <v>179</v>
      </c>
      <c r="C89" s="9" t="s">
        <v>180</v>
      </c>
      <c r="D89" s="108">
        <v>0.3520833333333333</v>
      </c>
      <c r="E89" s="108">
        <v>0.9604166666666667</v>
      </c>
      <c r="F89" s="120" t="s">
        <v>15</v>
      </c>
      <c r="G89" s="120" t="s">
        <v>15</v>
      </c>
      <c r="H89" s="108">
        <v>0.3520833333333333</v>
      </c>
      <c r="I89" s="108">
        <v>0.95138888888888884</v>
      </c>
      <c r="J89" s="108">
        <v>0.3527777777777778</v>
      </c>
      <c r="K89" s="108">
        <v>0.9819444444444444</v>
      </c>
      <c r="L89" s="108">
        <v>0.35347222222222219</v>
      </c>
      <c r="M89" s="108">
        <v>0.91249999999999998</v>
      </c>
      <c r="N89" s="108">
        <v>0.35347222222222219</v>
      </c>
      <c r="O89" s="108">
        <v>0.94374999999999998</v>
      </c>
      <c r="P89" s="108">
        <v>0.35347222222222219</v>
      </c>
      <c r="Q89" s="108">
        <v>0.95416666666666661</v>
      </c>
      <c r="R89" s="108">
        <v>0.3520833333333333</v>
      </c>
      <c r="S89" s="108">
        <v>0.9243055555555556</v>
      </c>
      <c r="T89" s="120">
        <v>1</v>
      </c>
      <c r="U89" s="120">
        <v>1</v>
      </c>
      <c r="V89" s="108">
        <v>0.3527777777777778</v>
      </c>
      <c r="W89" s="108">
        <v>0.91527777777777775</v>
      </c>
      <c r="X89" s="108">
        <v>0.35138888888888892</v>
      </c>
      <c r="Y89" s="108">
        <v>0.90138888888888891</v>
      </c>
      <c r="Z89" s="108">
        <v>0.35347222222222219</v>
      </c>
      <c r="AA89" s="108">
        <v>0.92499999999999993</v>
      </c>
      <c r="AB89" s="108">
        <v>0.35347222222222219</v>
      </c>
      <c r="AC89" s="108">
        <v>0.90347222222222223</v>
      </c>
      <c r="AD89" s="108">
        <v>0.35138888888888892</v>
      </c>
      <c r="AE89" s="108">
        <v>0.90277777777777779</v>
      </c>
      <c r="AF89" s="108">
        <v>0.34722222222222227</v>
      </c>
      <c r="AG89" s="108">
        <v>0.98125000000000007</v>
      </c>
      <c r="AH89" s="60"/>
      <c r="AI89" s="77">
        <v>71</v>
      </c>
      <c r="AJ89" s="120" t="s">
        <v>15</v>
      </c>
      <c r="AK89" s="120" t="s">
        <v>15</v>
      </c>
      <c r="AL89" s="108">
        <v>0.3527777777777778</v>
      </c>
      <c r="AM89" s="108">
        <v>0.91666666666666663</v>
      </c>
      <c r="AN89" s="108">
        <v>0.35000000000000003</v>
      </c>
      <c r="AO89" s="108">
        <v>0.96111111111111114</v>
      </c>
      <c r="AP89" s="108">
        <v>0.35138888888888892</v>
      </c>
      <c r="AQ89" s="108">
        <v>0.92708333333333337</v>
      </c>
      <c r="AR89" s="108">
        <v>0.3527777777777778</v>
      </c>
      <c r="AS89" s="108">
        <v>0.91666666666666663</v>
      </c>
      <c r="AT89" s="108">
        <v>0.3527777777777778</v>
      </c>
      <c r="AU89" s="108">
        <v>0.90138888888888891</v>
      </c>
      <c r="AV89" s="108">
        <v>0.3527777777777778</v>
      </c>
      <c r="AW89" s="108">
        <v>0.8965277777777777</v>
      </c>
      <c r="AX89" s="110">
        <v>0.5805555555555556</v>
      </c>
      <c r="AY89" s="110">
        <v>0.92083333333333339</v>
      </c>
      <c r="AZ89" s="108">
        <v>0.3527777777777778</v>
      </c>
      <c r="BA89" s="108">
        <v>0.9159722222222223</v>
      </c>
      <c r="BB89" s="108">
        <v>0.3527777777777778</v>
      </c>
      <c r="BC89" s="108">
        <v>0.90069444444444446</v>
      </c>
      <c r="BD89" s="108">
        <v>0.3520833333333333</v>
      </c>
      <c r="BE89" s="108">
        <v>0.91111111111111109</v>
      </c>
      <c r="BF89" s="108">
        <v>0.35138888888888892</v>
      </c>
      <c r="BG89" s="108">
        <v>0.90555555555555556</v>
      </c>
      <c r="BH89" s="108">
        <v>0.3520833333333333</v>
      </c>
      <c r="BI89" s="108">
        <v>0.93541666666666667</v>
      </c>
      <c r="BJ89" s="108">
        <v>0.3527777777777778</v>
      </c>
      <c r="BK89" s="108">
        <v>0.93055555555555547</v>
      </c>
      <c r="BL89" s="120" t="s">
        <v>15</v>
      </c>
      <c r="BM89" s="120" t="s">
        <v>15</v>
      </c>
      <c r="BN89" s="108">
        <v>0.34652777777777777</v>
      </c>
      <c r="BO89" s="108">
        <v>0.92847222222222225</v>
      </c>
      <c r="BP89" s="12">
        <f t="shared" si="27"/>
        <v>31</v>
      </c>
      <c r="BQ89" s="118">
        <v>2</v>
      </c>
      <c r="BR89" s="2">
        <f t="shared" si="28"/>
        <v>28</v>
      </c>
      <c r="BS89" s="3">
        <f t="shared" si="29"/>
        <v>3</v>
      </c>
      <c r="BT89" s="3">
        <f t="shared" si="30"/>
        <v>0</v>
      </c>
      <c r="BU89" s="3">
        <f t="shared" si="31"/>
        <v>0</v>
      </c>
      <c r="BV89" s="3">
        <f t="shared" si="32"/>
        <v>0</v>
      </c>
      <c r="BW89" s="3">
        <f t="shared" si="33"/>
        <v>0</v>
      </c>
      <c r="BX89" s="3">
        <f t="shared" si="34"/>
        <v>0</v>
      </c>
      <c r="BY89" s="3">
        <f t="shared" si="35"/>
        <v>0</v>
      </c>
      <c r="BZ89" s="3">
        <f t="shared" si="36"/>
        <v>0</v>
      </c>
      <c r="CA89" s="3">
        <f t="shared" si="37"/>
        <v>0</v>
      </c>
      <c r="CB89" s="3">
        <f t="shared" si="38"/>
        <v>0</v>
      </c>
      <c r="CC89" s="3">
        <f t="shared" si="39"/>
        <v>0</v>
      </c>
      <c r="CD89" s="4"/>
      <c r="CH89" s="90">
        <v>0</v>
      </c>
      <c r="CI89" s="90">
        <v>0</v>
      </c>
      <c r="CJ89" s="90">
        <v>0</v>
      </c>
      <c r="CK89" s="90">
        <v>0</v>
      </c>
      <c r="CL89" s="90">
        <v>0</v>
      </c>
      <c r="CM89" s="90">
        <v>0</v>
      </c>
      <c r="CN89" s="90">
        <v>0</v>
      </c>
      <c r="CO89" s="90">
        <v>0</v>
      </c>
      <c r="CP89" s="90">
        <v>0</v>
      </c>
      <c r="CQ89" s="90">
        <v>0</v>
      </c>
      <c r="CR89" s="92">
        <f t="shared" si="41"/>
        <v>0</v>
      </c>
    </row>
    <row r="90" spans="1:96" ht="21.75" customHeight="1" x14ac:dyDescent="0.25">
      <c r="A90" s="55">
        <v>72</v>
      </c>
      <c r="B90" s="20" t="s">
        <v>181</v>
      </c>
      <c r="C90" s="9" t="s">
        <v>182</v>
      </c>
      <c r="D90" s="108">
        <v>0.40138888888888885</v>
      </c>
      <c r="E90" s="108">
        <v>0.94236111111111109</v>
      </c>
      <c r="F90" s="110">
        <v>0.58819444444444446</v>
      </c>
      <c r="G90" s="110">
        <v>0.97361111111111109</v>
      </c>
      <c r="H90" s="108">
        <v>0.3527777777777778</v>
      </c>
      <c r="I90" s="108">
        <v>0.98125000000000007</v>
      </c>
      <c r="J90" s="108">
        <v>0.35416666666666669</v>
      </c>
      <c r="K90" s="108">
        <v>0.94791666666666663</v>
      </c>
      <c r="L90" s="108">
        <v>0.33194444444444443</v>
      </c>
      <c r="M90" s="119">
        <v>1</v>
      </c>
      <c r="N90" s="108">
        <v>0.33611111111111108</v>
      </c>
      <c r="O90" s="119">
        <v>1</v>
      </c>
      <c r="P90" s="108">
        <v>0.36041666666666666</v>
      </c>
      <c r="Q90" s="108">
        <v>0.96319444444444446</v>
      </c>
      <c r="R90" s="108">
        <v>0.35416666666666669</v>
      </c>
      <c r="S90" s="108">
        <v>0.9555555555555556</v>
      </c>
      <c r="T90" s="110">
        <v>0.62152777777777779</v>
      </c>
      <c r="U90" s="110">
        <v>0.88124999999999998</v>
      </c>
      <c r="V90" s="108">
        <v>0.35486111111111113</v>
      </c>
      <c r="W90" s="108">
        <v>0.97569444444444453</v>
      </c>
      <c r="X90" s="108">
        <v>0.35416666666666669</v>
      </c>
      <c r="Y90" s="108">
        <v>0.95138888888888884</v>
      </c>
      <c r="Z90" s="108">
        <v>0.35486111111111113</v>
      </c>
      <c r="AA90" s="119">
        <v>1</v>
      </c>
      <c r="AB90" s="108">
        <v>0.35625000000000001</v>
      </c>
      <c r="AC90" s="108">
        <v>0.93402777777777779</v>
      </c>
      <c r="AD90" s="108">
        <v>0.35486111111111113</v>
      </c>
      <c r="AE90" s="108">
        <v>0.96944444444444444</v>
      </c>
      <c r="AF90" s="108">
        <v>0.3527777777777778</v>
      </c>
      <c r="AG90" s="108">
        <v>0.89097222222222217</v>
      </c>
      <c r="AH90" s="60"/>
      <c r="AI90" s="77">
        <v>72</v>
      </c>
      <c r="AJ90" s="110">
        <v>0.58611111111111114</v>
      </c>
      <c r="AK90" s="110">
        <v>0.9604166666666667</v>
      </c>
      <c r="AL90" s="108">
        <v>0.3520833333333333</v>
      </c>
      <c r="AM90" s="108">
        <v>0.94236111111111109</v>
      </c>
      <c r="AN90" s="108">
        <v>0.35486111111111113</v>
      </c>
      <c r="AO90" s="108">
        <v>0.9590277777777777</v>
      </c>
      <c r="AP90" s="108">
        <v>0.35555555555555557</v>
      </c>
      <c r="AQ90" s="108">
        <v>0.95972222222222225</v>
      </c>
      <c r="AR90" s="108">
        <v>0.39097222222222222</v>
      </c>
      <c r="AS90" s="108">
        <v>0.95833333333333337</v>
      </c>
      <c r="AT90" s="108">
        <v>0.35347222222222219</v>
      </c>
      <c r="AU90" s="119">
        <v>1</v>
      </c>
      <c r="AV90" s="108">
        <v>0.35347222222222219</v>
      </c>
      <c r="AW90" s="108">
        <v>0</v>
      </c>
      <c r="AX90" s="120" t="s">
        <v>15</v>
      </c>
      <c r="AY90" s="120" t="s">
        <v>15</v>
      </c>
      <c r="AZ90" s="108">
        <v>0.3659722222222222</v>
      </c>
      <c r="BA90" s="108">
        <v>0.94791666666666663</v>
      </c>
      <c r="BB90" s="108">
        <v>0.35347222222222219</v>
      </c>
      <c r="BC90" s="108">
        <v>0.94861111111111107</v>
      </c>
      <c r="BD90" s="108">
        <v>0.3520833333333333</v>
      </c>
      <c r="BE90" s="108">
        <v>0.95416666666666661</v>
      </c>
      <c r="BF90" s="108">
        <v>0.35347222222222219</v>
      </c>
      <c r="BG90" s="108">
        <v>0.9375</v>
      </c>
      <c r="BH90" s="108">
        <v>0.3527777777777778</v>
      </c>
      <c r="BI90" s="108">
        <v>0.93958333333333333</v>
      </c>
      <c r="BJ90" s="108">
        <v>0.35347222222222219</v>
      </c>
      <c r="BK90" s="108">
        <v>0.98402777777777783</v>
      </c>
      <c r="BL90" s="110">
        <v>0.58402777777777781</v>
      </c>
      <c r="BM90" s="110">
        <v>0.9472222222222223</v>
      </c>
      <c r="BN90" s="108">
        <v>0.33263888888888887</v>
      </c>
      <c r="BO90" s="108">
        <v>0.93819444444444444</v>
      </c>
      <c r="BP90" s="12">
        <f t="shared" si="27"/>
        <v>31</v>
      </c>
      <c r="BQ90" s="118">
        <v>4</v>
      </c>
      <c r="BR90" s="2">
        <f t="shared" si="28"/>
        <v>30</v>
      </c>
      <c r="BS90" s="3">
        <f t="shared" si="29"/>
        <v>1</v>
      </c>
      <c r="BT90" s="3">
        <f t="shared" si="30"/>
        <v>0</v>
      </c>
      <c r="BU90" s="3">
        <f t="shared" si="31"/>
        <v>0</v>
      </c>
      <c r="BV90" s="3">
        <f t="shared" si="32"/>
        <v>0</v>
      </c>
      <c r="BW90" s="3">
        <f t="shared" si="33"/>
        <v>0</v>
      </c>
      <c r="BX90" s="3">
        <f t="shared" si="34"/>
        <v>0</v>
      </c>
      <c r="BY90" s="3">
        <f t="shared" si="35"/>
        <v>0</v>
      </c>
      <c r="BZ90" s="3">
        <f t="shared" si="36"/>
        <v>0</v>
      </c>
      <c r="CA90" s="3">
        <f t="shared" si="37"/>
        <v>0</v>
      </c>
      <c r="CB90" s="3">
        <f t="shared" si="38"/>
        <v>0</v>
      </c>
      <c r="CC90" s="3">
        <f t="shared" si="39"/>
        <v>0</v>
      </c>
      <c r="CD90" s="4"/>
      <c r="CH90" s="90">
        <v>0</v>
      </c>
      <c r="CI90" s="90">
        <v>0</v>
      </c>
      <c r="CJ90" s="90">
        <v>0</v>
      </c>
      <c r="CK90" s="90">
        <v>0</v>
      </c>
      <c r="CL90" s="90">
        <v>0</v>
      </c>
      <c r="CM90" s="90">
        <v>0</v>
      </c>
      <c r="CN90" s="90">
        <v>0</v>
      </c>
      <c r="CO90" s="90">
        <v>0</v>
      </c>
      <c r="CP90" s="90">
        <v>0</v>
      </c>
      <c r="CQ90" s="90">
        <v>0</v>
      </c>
      <c r="CR90" s="92">
        <f t="shared" si="41"/>
        <v>0</v>
      </c>
    </row>
    <row r="91" spans="1:96" ht="21.75" customHeight="1" x14ac:dyDescent="0.25">
      <c r="A91" s="55">
        <v>73</v>
      </c>
      <c r="B91" s="20" t="s">
        <v>183</v>
      </c>
      <c r="C91" s="9" t="s">
        <v>184</v>
      </c>
      <c r="D91" s="108">
        <v>0.35138888888888892</v>
      </c>
      <c r="E91" s="108">
        <v>0.95972222222222225</v>
      </c>
      <c r="F91" s="120" t="s">
        <v>15</v>
      </c>
      <c r="G91" s="120" t="s">
        <v>15</v>
      </c>
      <c r="H91" s="108">
        <v>0.35138888888888892</v>
      </c>
      <c r="I91" s="108">
        <v>0.93194444444444446</v>
      </c>
      <c r="J91" s="108">
        <v>0.34861111111111115</v>
      </c>
      <c r="K91" s="108">
        <v>0.88958333333333339</v>
      </c>
      <c r="L91" s="108">
        <v>0.35069444444444442</v>
      </c>
      <c r="M91" s="108">
        <v>0.89930555555555547</v>
      </c>
      <c r="N91" s="108">
        <v>0.35000000000000003</v>
      </c>
      <c r="O91" s="108">
        <v>0.91111111111111109</v>
      </c>
      <c r="P91" s="108">
        <v>0.35069444444444442</v>
      </c>
      <c r="Q91" s="108">
        <v>0.88958333333333339</v>
      </c>
      <c r="R91" s="108">
        <v>0.35069444444444442</v>
      </c>
      <c r="S91" s="108">
        <v>0.90972222222222221</v>
      </c>
      <c r="T91" s="110">
        <v>0.57986111111111105</v>
      </c>
      <c r="U91" s="110">
        <v>0.88541666666666663</v>
      </c>
      <c r="V91" s="108">
        <v>0.35138888888888892</v>
      </c>
      <c r="W91" s="108">
        <v>0.90416666666666667</v>
      </c>
      <c r="X91" s="108">
        <v>0.35069444444444442</v>
      </c>
      <c r="Y91" s="108">
        <v>0.89236111111111116</v>
      </c>
      <c r="Z91" s="108">
        <v>0.35138888888888892</v>
      </c>
      <c r="AA91" s="108">
        <v>0.89513888888888893</v>
      </c>
      <c r="AB91" s="108">
        <v>0.35069444444444442</v>
      </c>
      <c r="AC91" s="108">
        <v>0.88958333333333339</v>
      </c>
      <c r="AD91" s="108">
        <v>0.35138888888888892</v>
      </c>
      <c r="AE91" s="108">
        <v>0.88888888888888884</v>
      </c>
      <c r="AF91" s="108">
        <v>0.35902777777777778</v>
      </c>
      <c r="AG91" s="108">
        <v>0.95833333333333337</v>
      </c>
      <c r="AH91" s="60"/>
      <c r="AI91" s="77">
        <v>73</v>
      </c>
      <c r="AJ91" s="120" t="s">
        <v>15</v>
      </c>
      <c r="AK91" s="120" t="s">
        <v>15</v>
      </c>
      <c r="AL91" s="108">
        <v>0.35069444444444442</v>
      </c>
      <c r="AM91" s="108">
        <v>0.90277777777777779</v>
      </c>
      <c r="AN91" s="108">
        <v>0.35000000000000003</v>
      </c>
      <c r="AO91" s="108">
        <v>0.96111111111111114</v>
      </c>
      <c r="AP91" s="108">
        <v>0.35138888888888892</v>
      </c>
      <c r="AQ91" s="108">
        <v>0.91388888888888886</v>
      </c>
      <c r="AR91" s="108" t="s">
        <v>202</v>
      </c>
      <c r="AS91" s="108" t="s">
        <v>202</v>
      </c>
      <c r="AT91" s="108">
        <v>0.35000000000000003</v>
      </c>
      <c r="AU91" s="119">
        <v>1</v>
      </c>
      <c r="AV91" s="108">
        <v>0.3520833333333333</v>
      </c>
      <c r="AW91" s="108">
        <v>0.8965277777777777</v>
      </c>
      <c r="AX91" s="120" t="s">
        <v>15</v>
      </c>
      <c r="AY91" s="120" t="s">
        <v>15</v>
      </c>
      <c r="AZ91" s="108">
        <v>0.3520833333333333</v>
      </c>
      <c r="BA91" s="108">
        <v>0.90347222222222223</v>
      </c>
      <c r="BB91" s="108">
        <v>0.34930555555555554</v>
      </c>
      <c r="BC91" s="108">
        <v>0.90555555555555556</v>
      </c>
      <c r="BD91" s="108">
        <v>0.35069444444444442</v>
      </c>
      <c r="BE91" s="108">
        <v>0.90069444444444446</v>
      </c>
      <c r="BF91" s="108">
        <v>0.35138888888888892</v>
      </c>
      <c r="BG91" s="108">
        <v>0.91111111111111109</v>
      </c>
      <c r="BH91" s="108">
        <v>0.3520833333333333</v>
      </c>
      <c r="BI91" s="108">
        <v>0.91041666666666676</v>
      </c>
      <c r="BJ91" s="108">
        <v>0.35138888888888892</v>
      </c>
      <c r="BK91" s="108">
        <v>0.93680555555555556</v>
      </c>
      <c r="BL91" s="110">
        <v>0.56874999999999998</v>
      </c>
      <c r="BM91" s="110">
        <v>0.89583333333333337</v>
      </c>
      <c r="BN91" s="108">
        <v>0.3520833333333333</v>
      </c>
      <c r="BO91" s="108">
        <v>0.92291666666666661</v>
      </c>
      <c r="BP91" s="12">
        <f t="shared" si="27"/>
        <v>31</v>
      </c>
      <c r="BQ91" s="118">
        <v>2</v>
      </c>
      <c r="BR91" s="2">
        <f t="shared" si="28"/>
        <v>27</v>
      </c>
      <c r="BS91" s="3">
        <f t="shared" si="29"/>
        <v>3</v>
      </c>
      <c r="BT91" s="3">
        <f t="shared" si="30"/>
        <v>0</v>
      </c>
      <c r="BU91" s="3">
        <f t="shared" si="31"/>
        <v>0</v>
      </c>
      <c r="BV91" s="3">
        <f t="shared" si="32"/>
        <v>0</v>
      </c>
      <c r="BW91" s="3">
        <f t="shared" si="33"/>
        <v>0</v>
      </c>
      <c r="BX91" s="3">
        <f t="shared" si="34"/>
        <v>0</v>
      </c>
      <c r="BY91" s="3">
        <f t="shared" si="35"/>
        <v>1</v>
      </c>
      <c r="BZ91" s="3">
        <f t="shared" si="36"/>
        <v>0</v>
      </c>
      <c r="CA91" s="3">
        <f t="shared" si="37"/>
        <v>0</v>
      </c>
      <c r="CB91" s="3">
        <f t="shared" si="38"/>
        <v>0</v>
      </c>
      <c r="CC91" s="3">
        <f t="shared" si="39"/>
        <v>0</v>
      </c>
      <c r="CD91" s="4"/>
      <c r="CH91" s="90">
        <v>0</v>
      </c>
      <c r="CI91" s="90">
        <v>0</v>
      </c>
      <c r="CJ91" s="90">
        <v>0</v>
      </c>
      <c r="CK91" s="90">
        <v>0</v>
      </c>
      <c r="CL91" s="90">
        <v>0</v>
      </c>
      <c r="CM91" s="90">
        <v>1</v>
      </c>
      <c r="CN91" s="90">
        <v>0</v>
      </c>
      <c r="CO91" s="90">
        <v>0</v>
      </c>
      <c r="CP91" s="90">
        <v>0</v>
      </c>
      <c r="CQ91" s="90">
        <v>0</v>
      </c>
      <c r="CR91" s="92">
        <f t="shared" si="41"/>
        <v>1</v>
      </c>
    </row>
    <row r="92" spans="1:96" ht="21.75" customHeight="1" x14ac:dyDescent="0.25">
      <c r="A92" s="55">
        <v>74</v>
      </c>
      <c r="B92" s="20" t="s">
        <v>185</v>
      </c>
      <c r="C92" s="9" t="s">
        <v>186</v>
      </c>
      <c r="D92" s="108">
        <v>0.36944444444444446</v>
      </c>
      <c r="E92" s="108">
        <v>0.98472222222222217</v>
      </c>
      <c r="F92" s="110">
        <v>0.57916666666666672</v>
      </c>
      <c r="G92" s="110">
        <v>0.96319444444444446</v>
      </c>
      <c r="H92" s="108">
        <v>0.32500000000000001</v>
      </c>
      <c r="I92" s="108">
        <v>0.97222222222222221</v>
      </c>
      <c r="J92" s="108">
        <v>0.3347222222222222</v>
      </c>
      <c r="K92" s="108">
        <v>0.96805555555555556</v>
      </c>
      <c r="L92" s="108">
        <v>0.34652777777777777</v>
      </c>
      <c r="M92" s="108">
        <v>0.96805555555555556</v>
      </c>
      <c r="N92" s="108">
        <v>0.3430555555555555</v>
      </c>
      <c r="O92" s="108">
        <v>0.95763888888888893</v>
      </c>
      <c r="P92" s="108">
        <v>0.33055555555555555</v>
      </c>
      <c r="Q92" s="108">
        <v>0.95416666666666661</v>
      </c>
      <c r="R92" s="108">
        <v>0.32916666666666666</v>
      </c>
      <c r="S92" s="108">
        <v>0.97430555555555554</v>
      </c>
      <c r="T92" s="120" t="s">
        <v>15</v>
      </c>
      <c r="U92" s="120" t="s">
        <v>15</v>
      </c>
      <c r="V92" s="108">
        <v>0.32361111111111113</v>
      </c>
      <c r="W92" s="108">
        <v>0.96597222222222223</v>
      </c>
      <c r="X92" s="108">
        <v>0.32708333333333334</v>
      </c>
      <c r="Y92" s="108">
        <v>0.95138888888888884</v>
      </c>
      <c r="Z92" s="108">
        <v>0.32847222222222222</v>
      </c>
      <c r="AA92" s="108">
        <v>0.95277777777777783</v>
      </c>
      <c r="AB92" s="108">
        <v>0.32916666666666666</v>
      </c>
      <c r="AC92" s="108">
        <v>0.95347222222222217</v>
      </c>
      <c r="AD92" s="108">
        <v>0.32291666666666669</v>
      </c>
      <c r="AE92" s="108">
        <v>0.94861111111111107</v>
      </c>
      <c r="AF92" s="108">
        <v>0.35138888888888892</v>
      </c>
      <c r="AG92" s="108">
        <v>0.89583333333333337</v>
      </c>
      <c r="AH92" s="60"/>
      <c r="AI92" s="77">
        <v>74</v>
      </c>
      <c r="AJ92" s="110">
        <v>0.57361111111111118</v>
      </c>
      <c r="AK92" s="110">
        <v>0.94930555555555562</v>
      </c>
      <c r="AL92" s="108">
        <v>0.35138888888888892</v>
      </c>
      <c r="AM92" s="108">
        <v>0.96597222222222223</v>
      </c>
      <c r="AN92" s="108">
        <v>0.3263888888888889</v>
      </c>
      <c r="AO92" s="108">
        <v>0.94791666666666663</v>
      </c>
      <c r="AP92" s="108">
        <v>0.3263888888888889</v>
      </c>
      <c r="AQ92" s="108">
        <v>0.94930555555555562</v>
      </c>
      <c r="AR92" s="108">
        <v>0.3263888888888889</v>
      </c>
      <c r="AS92" s="108">
        <v>0.95972222222222225</v>
      </c>
      <c r="AT92" s="108">
        <v>0.32222222222222224</v>
      </c>
      <c r="AU92" s="108">
        <v>0.94930555555555562</v>
      </c>
      <c r="AV92" s="108">
        <v>0.3263888888888889</v>
      </c>
      <c r="AW92" s="119">
        <v>1</v>
      </c>
      <c r="AX92" s="120" t="s">
        <v>15</v>
      </c>
      <c r="AY92" s="120" t="s">
        <v>15</v>
      </c>
      <c r="AZ92" s="108">
        <v>0.31875000000000003</v>
      </c>
      <c r="BA92" s="108">
        <v>0.96250000000000002</v>
      </c>
      <c r="BB92" s="108">
        <v>0.3215277777777778</v>
      </c>
      <c r="BC92" s="119">
        <v>1</v>
      </c>
      <c r="BD92" s="108">
        <v>0.32291666666666669</v>
      </c>
      <c r="BE92" s="108">
        <v>0.95000000000000007</v>
      </c>
      <c r="BF92" s="108">
        <v>0.32500000000000001</v>
      </c>
      <c r="BG92" s="119">
        <v>1</v>
      </c>
      <c r="BH92" s="108">
        <v>0.31736111111111115</v>
      </c>
      <c r="BI92" s="108">
        <v>0.94374999999999998</v>
      </c>
      <c r="BJ92" s="108">
        <v>0.32013888888888892</v>
      </c>
      <c r="BK92" s="108">
        <v>0.97291666666666676</v>
      </c>
      <c r="BL92" s="110">
        <v>0.57847222222222217</v>
      </c>
      <c r="BM92" s="110">
        <v>0.95624999999999993</v>
      </c>
      <c r="BN92" s="108">
        <v>0.31944444444444448</v>
      </c>
      <c r="BO92" s="108">
        <v>0.96597222222222223</v>
      </c>
      <c r="BP92" s="12">
        <f t="shared" si="27"/>
        <v>31</v>
      </c>
      <c r="BQ92" s="118">
        <v>3</v>
      </c>
      <c r="BR92" s="2">
        <f t="shared" si="28"/>
        <v>29</v>
      </c>
      <c r="BS92" s="3">
        <f t="shared" si="29"/>
        <v>2</v>
      </c>
      <c r="BT92" s="3">
        <f t="shared" si="30"/>
        <v>0</v>
      </c>
      <c r="BU92" s="3">
        <f t="shared" si="31"/>
        <v>0</v>
      </c>
      <c r="BV92" s="3">
        <f t="shared" si="32"/>
        <v>0</v>
      </c>
      <c r="BW92" s="3">
        <f t="shared" si="33"/>
        <v>0</v>
      </c>
      <c r="BX92" s="3">
        <f t="shared" si="34"/>
        <v>0</v>
      </c>
      <c r="BY92" s="3">
        <f t="shared" si="35"/>
        <v>0</v>
      </c>
      <c r="BZ92" s="3">
        <f t="shared" si="36"/>
        <v>0</v>
      </c>
      <c r="CA92" s="3">
        <f t="shared" si="37"/>
        <v>0</v>
      </c>
      <c r="CB92" s="3">
        <f t="shared" si="38"/>
        <v>0</v>
      </c>
      <c r="CC92" s="3">
        <f t="shared" si="39"/>
        <v>0</v>
      </c>
      <c r="CD92" s="4"/>
      <c r="CH92" s="90">
        <v>0</v>
      </c>
      <c r="CI92" s="90">
        <v>0</v>
      </c>
      <c r="CJ92" s="90">
        <v>0</v>
      </c>
      <c r="CK92" s="90">
        <v>0</v>
      </c>
      <c r="CL92" s="90">
        <v>0</v>
      </c>
      <c r="CM92" s="91">
        <v>1</v>
      </c>
      <c r="CN92" s="90">
        <v>0</v>
      </c>
      <c r="CO92" s="90">
        <v>0</v>
      </c>
      <c r="CP92" s="90">
        <v>0</v>
      </c>
      <c r="CQ92" s="90">
        <v>0</v>
      </c>
      <c r="CR92" s="92">
        <f t="shared" si="41"/>
        <v>1</v>
      </c>
    </row>
    <row r="93" spans="1:96" ht="21.75" customHeight="1" x14ac:dyDescent="0.25">
      <c r="A93" s="55">
        <v>75</v>
      </c>
      <c r="B93" s="20" t="s">
        <v>187</v>
      </c>
      <c r="C93" s="9" t="s">
        <v>188</v>
      </c>
      <c r="D93" s="108">
        <v>0.3520833333333333</v>
      </c>
      <c r="E93" s="108">
        <v>0.98402777777777783</v>
      </c>
      <c r="F93" s="110">
        <v>0.5805555555555556</v>
      </c>
      <c r="G93" s="110">
        <v>0.9819444444444444</v>
      </c>
      <c r="H93" s="108">
        <v>0.35347222222222219</v>
      </c>
      <c r="I93" s="108">
        <v>6.9444444444444447E-4</v>
      </c>
      <c r="J93" s="108">
        <v>0.35347222222222219</v>
      </c>
      <c r="K93" s="108">
        <v>0.98333333333333339</v>
      </c>
      <c r="L93" s="108">
        <v>0.35138888888888892</v>
      </c>
      <c r="M93" s="108">
        <v>0.97222222222222221</v>
      </c>
      <c r="N93" s="108">
        <v>0.3527777777777778</v>
      </c>
      <c r="O93" s="119">
        <v>1</v>
      </c>
      <c r="P93" s="108">
        <v>0.3527777777777778</v>
      </c>
      <c r="Q93" s="108">
        <v>0.96944444444444444</v>
      </c>
      <c r="R93" s="108">
        <v>0.3520833333333333</v>
      </c>
      <c r="S93" s="108">
        <v>0.98055555555555562</v>
      </c>
      <c r="T93" s="120" t="s">
        <v>15</v>
      </c>
      <c r="U93" s="120" t="s">
        <v>15</v>
      </c>
      <c r="V93" s="108">
        <v>0.35138888888888892</v>
      </c>
      <c r="W93" s="108">
        <v>0.99444444444444446</v>
      </c>
      <c r="X93" s="108">
        <v>0.36249999999999999</v>
      </c>
      <c r="Y93" s="108">
        <v>0.96597222222222223</v>
      </c>
      <c r="Z93" s="108">
        <v>0.3527777777777778</v>
      </c>
      <c r="AA93" s="108">
        <v>0.96666666666666667</v>
      </c>
      <c r="AB93" s="108">
        <v>0.35486111111111113</v>
      </c>
      <c r="AC93" s="108">
        <v>0.96111111111111114</v>
      </c>
      <c r="AD93" s="108">
        <v>0.35972222222222222</v>
      </c>
      <c r="AE93" s="108">
        <v>0.97986111111111107</v>
      </c>
      <c r="AF93" s="108">
        <v>0.35069444444444442</v>
      </c>
      <c r="AG93" s="108">
        <v>0.98611111111111116</v>
      </c>
      <c r="AH93" s="60"/>
      <c r="AI93" s="77">
        <v>75</v>
      </c>
      <c r="AJ93" s="110">
        <v>0.58263888888888882</v>
      </c>
      <c r="AK93" s="110">
        <v>0.97013888888888899</v>
      </c>
      <c r="AL93" s="108">
        <v>0.35138888888888892</v>
      </c>
      <c r="AM93" s="108">
        <v>0.9916666666666667</v>
      </c>
      <c r="AN93" s="108">
        <v>0.35902777777777778</v>
      </c>
      <c r="AO93" s="108">
        <v>0</v>
      </c>
      <c r="AP93" s="108" t="s">
        <v>202</v>
      </c>
      <c r="AQ93" s="108" t="s">
        <v>202</v>
      </c>
      <c r="AR93" s="108">
        <v>0.3527777777777778</v>
      </c>
      <c r="AS93" s="108">
        <v>0.98125000000000007</v>
      </c>
      <c r="AT93" s="108">
        <v>0.3520833333333333</v>
      </c>
      <c r="AU93" s="108">
        <v>0.96666666666666667</v>
      </c>
      <c r="AV93" s="108">
        <v>0.35138888888888892</v>
      </c>
      <c r="AW93" s="108">
        <v>2.0833333333333333E-3</v>
      </c>
      <c r="AX93" s="120" t="s">
        <v>15</v>
      </c>
      <c r="AY93" s="120" t="s">
        <v>15</v>
      </c>
      <c r="AZ93" s="108">
        <v>0.3527777777777778</v>
      </c>
      <c r="BA93" s="119">
        <v>1</v>
      </c>
      <c r="BB93" s="108">
        <v>0.35347222222222219</v>
      </c>
      <c r="BC93" s="108">
        <v>0.97222222222222221</v>
      </c>
      <c r="BD93" s="108">
        <v>0.3527777777777778</v>
      </c>
      <c r="BE93" s="108">
        <v>0.96319444444444446</v>
      </c>
      <c r="BF93" s="108">
        <v>0.3520833333333333</v>
      </c>
      <c r="BG93" s="108">
        <v>0.96180555555555547</v>
      </c>
      <c r="BH93" s="108">
        <v>0.35138888888888892</v>
      </c>
      <c r="BI93" s="108">
        <v>8.3333333333333332E-3</v>
      </c>
      <c r="BJ93" s="108">
        <v>0.3520833333333333</v>
      </c>
      <c r="BK93" s="108">
        <v>0.3520833333333333</v>
      </c>
      <c r="BL93" s="110">
        <v>0.58194444444444449</v>
      </c>
      <c r="BM93" s="120">
        <v>1</v>
      </c>
      <c r="BN93" s="108">
        <v>0.3659722222222222</v>
      </c>
      <c r="BO93" s="108">
        <v>0.3666666666666667</v>
      </c>
      <c r="BP93" s="12">
        <f t="shared" si="27"/>
        <v>31</v>
      </c>
      <c r="BQ93" s="118">
        <v>3</v>
      </c>
      <c r="BR93" s="2">
        <f t="shared" si="28"/>
        <v>28</v>
      </c>
      <c r="BS93" s="3">
        <f t="shared" si="29"/>
        <v>2</v>
      </c>
      <c r="BT93" s="3">
        <f t="shared" si="30"/>
        <v>0</v>
      </c>
      <c r="BU93" s="3">
        <f t="shared" si="31"/>
        <v>0</v>
      </c>
      <c r="BV93" s="3">
        <f t="shared" si="32"/>
        <v>0</v>
      </c>
      <c r="BW93" s="3">
        <f t="shared" si="33"/>
        <v>0</v>
      </c>
      <c r="BX93" s="3">
        <f t="shared" si="34"/>
        <v>0</v>
      </c>
      <c r="BY93" s="3">
        <f t="shared" si="35"/>
        <v>1</v>
      </c>
      <c r="BZ93" s="3">
        <f t="shared" si="36"/>
        <v>0</v>
      </c>
      <c r="CA93" s="3">
        <f t="shared" si="37"/>
        <v>0</v>
      </c>
      <c r="CB93" s="3">
        <f t="shared" si="38"/>
        <v>0</v>
      </c>
      <c r="CC93" s="3">
        <f t="shared" si="39"/>
        <v>0</v>
      </c>
      <c r="CD93" s="4"/>
      <c r="CH93" s="90">
        <v>0</v>
      </c>
      <c r="CI93" s="90">
        <v>0</v>
      </c>
      <c r="CJ93" s="90">
        <v>0</v>
      </c>
      <c r="CK93" s="90">
        <v>0</v>
      </c>
      <c r="CL93" s="90">
        <v>0</v>
      </c>
      <c r="CM93" s="90">
        <v>1</v>
      </c>
      <c r="CN93" s="90">
        <v>0</v>
      </c>
      <c r="CO93" s="90">
        <v>0</v>
      </c>
      <c r="CP93" s="90">
        <v>0</v>
      </c>
      <c r="CQ93" s="90">
        <v>0</v>
      </c>
      <c r="CR93" s="92">
        <f t="shared" si="41"/>
        <v>1</v>
      </c>
    </row>
    <row r="94" spans="1:96" ht="21.75" customHeight="1" x14ac:dyDescent="0.25">
      <c r="A94" s="55">
        <v>76</v>
      </c>
      <c r="B94" s="20" t="s">
        <v>189</v>
      </c>
      <c r="C94" s="9" t="s">
        <v>190</v>
      </c>
      <c r="D94" s="108">
        <v>0.34583333333333338</v>
      </c>
      <c r="E94" s="108">
        <v>0.94097222222222221</v>
      </c>
      <c r="F94" s="120" t="s">
        <v>15</v>
      </c>
      <c r="G94" s="120" t="s">
        <v>15</v>
      </c>
      <c r="H94" s="108">
        <v>0.34930555555555554</v>
      </c>
      <c r="I94" s="108">
        <v>0.99791666666666667</v>
      </c>
      <c r="J94" s="108">
        <v>0.34583333333333338</v>
      </c>
      <c r="K94" s="108">
        <v>0.97430555555555554</v>
      </c>
      <c r="L94" s="108">
        <v>0.34861111111111115</v>
      </c>
      <c r="M94" s="108">
        <v>0.9472222222222223</v>
      </c>
      <c r="N94" s="108">
        <v>0.34722222222222227</v>
      </c>
      <c r="O94" s="108">
        <v>0.95694444444444438</v>
      </c>
      <c r="P94" s="108">
        <v>0.3444444444444445</v>
      </c>
      <c r="Q94" s="119">
        <v>1</v>
      </c>
      <c r="R94" s="108">
        <v>0.35138888888888892</v>
      </c>
      <c r="S94" s="108">
        <v>0.97638888888888886</v>
      </c>
      <c r="T94" s="110">
        <v>0.56944444444444442</v>
      </c>
      <c r="U94" s="110">
        <v>0.91736111111111107</v>
      </c>
      <c r="V94" s="108">
        <v>0.34375</v>
      </c>
      <c r="W94" s="108">
        <v>0.96180555555555547</v>
      </c>
      <c r="X94" s="108">
        <v>0.34513888888888888</v>
      </c>
      <c r="Y94" s="108">
        <v>0.92499999999999993</v>
      </c>
      <c r="Z94" s="108">
        <v>0.34583333333333338</v>
      </c>
      <c r="AA94" s="108">
        <v>0.90486111111111101</v>
      </c>
      <c r="AB94" s="108">
        <v>0.34722222222222227</v>
      </c>
      <c r="AC94" s="108">
        <v>0.92152777777777783</v>
      </c>
      <c r="AD94" s="108">
        <v>0.34791666666666665</v>
      </c>
      <c r="AE94" s="108">
        <v>0.93611111111111101</v>
      </c>
      <c r="AF94" s="108">
        <v>0.35000000000000003</v>
      </c>
      <c r="AG94" s="108">
        <v>0.93541666666666667</v>
      </c>
      <c r="AH94" s="60"/>
      <c r="AI94" s="77">
        <v>76</v>
      </c>
      <c r="AJ94" s="120" t="s">
        <v>15</v>
      </c>
      <c r="AK94" s="120" t="s">
        <v>15</v>
      </c>
      <c r="AL94" s="108">
        <v>0.35138888888888892</v>
      </c>
      <c r="AM94" s="108">
        <v>0.94097222222222221</v>
      </c>
      <c r="AN94" s="108">
        <v>0.34930555555555554</v>
      </c>
      <c r="AO94" s="108">
        <v>0.97291666666666676</v>
      </c>
      <c r="AP94" s="108">
        <v>0.34861111111111115</v>
      </c>
      <c r="AQ94" s="108">
        <v>0.9375</v>
      </c>
      <c r="AR94" s="108">
        <v>0.33680555555555558</v>
      </c>
      <c r="AS94" s="108">
        <v>0.96319444444444446</v>
      </c>
      <c r="AT94" s="108">
        <v>0.34652777777777777</v>
      </c>
      <c r="AU94" s="108">
        <v>0.92361111111111116</v>
      </c>
      <c r="AV94" s="108">
        <v>0.34861111111111115</v>
      </c>
      <c r="AW94" s="108">
        <v>0.92013888888888884</v>
      </c>
      <c r="AX94" s="110">
        <v>0.57708333333333328</v>
      </c>
      <c r="AY94" s="110">
        <v>0.92499999999999993</v>
      </c>
      <c r="AZ94" s="108">
        <v>0.3527777777777778</v>
      </c>
      <c r="BA94" s="108">
        <v>0.92083333333333339</v>
      </c>
      <c r="BB94" s="108">
        <v>0.34861111111111115</v>
      </c>
      <c r="BC94" s="108">
        <v>0.97013888888888899</v>
      </c>
      <c r="BD94" s="108">
        <v>0.34583333333333338</v>
      </c>
      <c r="BE94" s="108">
        <v>0.93888888888888899</v>
      </c>
      <c r="BF94" s="108">
        <v>0.34652777777777777</v>
      </c>
      <c r="BG94" s="108">
        <v>0.93611111111111101</v>
      </c>
      <c r="BH94" s="108">
        <v>0.3444444444444445</v>
      </c>
      <c r="BI94" s="108">
        <v>0.94166666666666676</v>
      </c>
      <c r="BJ94" s="108">
        <v>0.3430555555555555</v>
      </c>
      <c r="BK94" s="108">
        <v>0.95833333333333337</v>
      </c>
      <c r="BL94" s="120" t="s">
        <v>15</v>
      </c>
      <c r="BM94" s="120" t="s">
        <v>15</v>
      </c>
      <c r="BN94" s="108">
        <v>0.3430555555555555</v>
      </c>
      <c r="BO94" s="108">
        <v>0.94444444444444453</v>
      </c>
      <c r="BP94" s="12">
        <f t="shared" si="27"/>
        <v>31</v>
      </c>
      <c r="BQ94" s="118">
        <v>2</v>
      </c>
      <c r="BR94" s="2">
        <f t="shared" si="28"/>
        <v>28</v>
      </c>
      <c r="BS94" s="3">
        <f t="shared" si="29"/>
        <v>3</v>
      </c>
      <c r="BT94" s="3">
        <f t="shared" si="30"/>
        <v>0</v>
      </c>
      <c r="BU94" s="3">
        <f t="shared" si="31"/>
        <v>0</v>
      </c>
      <c r="BV94" s="3">
        <f t="shared" si="32"/>
        <v>0</v>
      </c>
      <c r="BW94" s="3">
        <f t="shared" si="33"/>
        <v>0</v>
      </c>
      <c r="BX94" s="3">
        <f t="shared" si="34"/>
        <v>0</v>
      </c>
      <c r="BY94" s="3">
        <f t="shared" si="35"/>
        <v>0</v>
      </c>
      <c r="BZ94" s="3">
        <f t="shared" si="36"/>
        <v>0</v>
      </c>
      <c r="CA94" s="3">
        <f t="shared" si="37"/>
        <v>0</v>
      </c>
      <c r="CB94" s="3">
        <f t="shared" si="38"/>
        <v>0</v>
      </c>
      <c r="CC94" s="3">
        <f t="shared" si="39"/>
        <v>0</v>
      </c>
      <c r="CD94" s="4"/>
      <c r="CH94" s="90">
        <v>0</v>
      </c>
      <c r="CI94" s="90">
        <v>0</v>
      </c>
      <c r="CJ94" s="90">
        <v>0</v>
      </c>
      <c r="CK94" s="90">
        <v>0</v>
      </c>
      <c r="CL94" s="90">
        <v>0</v>
      </c>
      <c r="CM94" s="91">
        <v>9</v>
      </c>
      <c r="CN94" s="90">
        <v>0</v>
      </c>
      <c r="CO94" s="90">
        <v>0</v>
      </c>
      <c r="CP94" s="90">
        <v>0</v>
      </c>
      <c r="CQ94" s="90">
        <v>0</v>
      </c>
      <c r="CR94" s="92">
        <f t="shared" si="41"/>
        <v>9</v>
      </c>
    </row>
    <row r="95" spans="1:96" ht="22.5" customHeight="1" x14ac:dyDescent="0.25">
      <c r="A95" s="55">
        <v>77</v>
      </c>
      <c r="B95" s="20" t="s">
        <v>191</v>
      </c>
      <c r="C95" s="73" t="s">
        <v>192</v>
      </c>
      <c r="D95" s="108">
        <v>0.34652777777777777</v>
      </c>
      <c r="E95" s="108">
        <v>0.97291666666666676</v>
      </c>
      <c r="F95" s="110">
        <v>0.56388888888888888</v>
      </c>
      <c r="G95" s="110">
        <v>0.94305555555555554</v>
      </c>
      <c r="H95" s="108">
        <v>0.34930555555555554</v>
      </c>
      <c r="I95" s="108">
        <v>0.96319444444444446</v>
      </c>
      <c r="J95" s="108">
        <v>0.34722222222222227</v>
      </c>
      <c r="K95" s="108">
        <v>0.95277777777777783</v>
      </c>
      <c r="L95" s="108">
        <v>0.34791666666666665</v>
      </c>
      <c r="M95" s="108">
        <v>0.96250000000000002</v>
      </c>
      <c r="N95" s="108">
        <v>0.34722222222222227</v>
      </c>
      <c r="O95" s="108">
        <v>0.9506944444444444</v>
      </c>
      <c r="P95" s="108">
        <v>0.34791666666666665</v>
      </c>
      <c r="Q95" s="108">
        <v>0.94791666666666663</v>
      </c>
      <c r="R95" s="108">
        <v>0.34791666666666665</v>
      </c>
      <c r="S95" s="108">
        <v>0.97083333333333333</v>
      </c>
      <c r="T95" s="120" t="s">
        <v>15</v>
      </c>
      <c r="U95" s="120" t="s">
        <v>15</v>
      </c>
      <c r="V95" s="108">
        <v>0.34791666666666665</v>
      </c>
      <c r="W95" s="108">
        <v>0.97569444444444453</v>
      </c>
      <c r="X95" s="108">
        <v>0.34791666666666665</v>
      </c>
      <c r="Y95" s="108">
        <v>0.95486111111111116</v>
      </c>
      <c r="Z95" s="108">
        <v>0.34722222222222227</v>
      </c>
      <c r="AA95" s="108">
        <v>0.95486111111111116</v>
      </c>
      <c r="AB95" s="108">
        <v>0.34791666666666665</v>
      </c>
      <c r="AC95" s="108">
        <v>0.95138888888888884</v>
      </c>
      <c r="AD95" s="108">
        <v>0.34722222222222227</v>
      </c>
      <c r="AE95" s="108">
        <v>0.95138888888888884</v>
      </c>
      <c r="AF95" s="108">
        <v>0.34791666666666665</v>
      </c>
      <c r="AG95" s="108">
        <v>0.9770833333333333</v>
      </c>
      <c r="AH95" s="60"/>
      <c r="AI95" s="77">
        <v>77</v>
      </c>
      <c r="AJ95" s="110">
        <v>0.5625</v>
      </c>
      <c r="AK95" s="110">
        <v>0.9506944444444444</v>
      </c>
      <c r="AL95" s="108">
        <v>0.34861111111111115</v>
      </c>
      <c r="AM95" s="108">
        <v>0.97222222222222221</v>
      </c>
      <c r="AN95" s="108">
        <v>0.34791666666666665</v>
      </c>
      <c r="AO95" s="108">
        <v>0.95277777777777783</v>
      </c>
      <c r="AP95" s="108">
        <v>0.34722222222222227</v>
      </c>
      <c r="AQ95" s="108">
        <v>0.95000000000000007</v>
      </c>
      <c r="AR95" s="108">
        <v>0.34791666666666665</v>
      </c>
      <c r="AS95" s="108">
        <v>0.9458333333333333</v>
      </c>
      <c r="AT95" s="108">
        <v>0.34791666666666665</v>
      </c>
      <c r="AU95" s="108">
        <v>0.94791666666666663</v>
      </c>
      <c r="AV95" s="108">
        <v>0.34791666666666665</v>
      </c>
      <c r="AW95" s="108">
        <v>0.97083333333333333</v>
      </c>
      <c r="AX95" s="120" t="s">
        <v>15</v>
      </c>
      <c r="AY95" s="120" t="s">
        <v>15</v>
      </c>
      <c r="AZ95" s="108">
        <v>0.34930555555555554</v>
      </c>
      <c r="BA95" s="108">
        <v>0.96805555555555556</v>
      </c>
      <c r="BB95" s="108">
        <v>0.34791666666666665</v>
      </c>
      <c r="BC95" s="119">
        <v>1</v>
      </c>
      <c r="BD95" s="108">
        <v>0.34791666666666665</v>
      </c>
      <c r="BE95" s="108">
        <v>0.99375000000000002</v>
      </c>
      <c r="BF95" s="108">
        <v>0.34791666666666665</v>
      </c>
      <c r="BG95" s="108">
        <v>0.9555555555555556</v>
      </c>
      <c r="BH95" s="108">
        <v>0.34861111111111115</v>
      </c>
      <c r="BI95" s="108">
        <v>0.95138888888888884</v>
      </c>
      <c r="BJ95" s="108">
        <v>0.34930555555555554</v>
      </c>
      <c r="BK95" s="108">
        <v>0.97430555555555554</v>
      </c>
      <c r="BL95" s="110">
        <v>0.57777777777777783</v>
      </c>
      <c r="BM95" s="110">
        <v>0.95277777777777783</v>
      </c>
      <c r="BN95" s="108">
        <v>0.43124999999999997</v>
      </c>
      <c r="BO95" s="119">
        <v>1</v>
      </c>
      <c r="BP95" s="12">
        <f t="shared" si="27"/>
        <v>31</v>
      </c>
      <c r="BQ95" s="118">
        <v>3</v>
      </c>
      <c r="BR95" s="2">
        <f t="shared" si="28"/>
        <v>29</v>
      </c>
      <c r="BS95" s="3">
        <f t="shared" si="29"/>
        <v>2</v>
      </c>
      <c r="BT95" s="3">
        <f t="shared" si="30"/>
        <v>0</v>
      </c>
      <c r="BU95" s="3">
        <f t="shared" si="31"/>
        <v>0</v>
      </c>
      <c r="BV95" s="3">
        <f t="shared" si="32"/>
        <v>0</v>
      </c>
      <c r="BW95" s="3">
        <f t="shared" si="33"/>
        <v>0</v>
      </c>
      <c r="BX95" s="3">
        <f t="shared" si="34"/>
        <v>0</v>
      </c>
      <c r="BY95" s="3">
        <f t="shared" si="35"/>
        <v>0</v>
      </c>
      <c r="BZ95" s="3">
        <f t="shared" si="36"/>
        <v>0</v>
      </c>
      <c r="CA95" s="3">
        <f t="shared" si="37"/>
        <v>0</v>
      </c>
      <c r="CB95" s="3">
        <f t="shared" si="38"/>
        <v>0</v>
      </c>
      <c r="CC95" s="3">
        <f t="shared" si="39"/>
        <v>0</v>
      </c>
      <c r="CD95" s="4"/>
      <c r="CH95" s="90">
        <v>0</v>
      </c>
      <c r="CI95" s="90">
        <v>0</v>
      </c>
      <c r="CJ95" s="90">
        <v>0</v>
      </c>
      <c r="CK95" s="90">
        <v>0</v>
      </c>
      <c r="CL95" s="90">
        <v>0</v>
      </c>
      <c r="CM95" s="91">
        <v>1</v>
      </c>
      <c r="CN95" s="90">
        <v>0</v>
      </c>
      <c r="CO95" s="90">
        <v>0</v>
      </c>
      <c r="CP95" s="90">
        <v>0</v>
      </c>
      <c r="CQ95" s="90">
        <v>0</v>
      </c>
      <c r="CR95" s="92">
        <f t="shared" si="41"/>
        <v>1</v>
      </c>
    </row>
    <row r="96" spans="1:96" ht="21.75" customHeight="1" x14ac:dyDescent="0.25">
      <c r="A96" s="55">
        <v>78</v>
      </c>
      <c r="B96" s="20" t="s">
        <v>193</v>
      </c>
      <c r="C96" s="76" t="s">
        <v>194</v>
      </c>
      <c r="D96" s="108">
        <v>0.35069444444444442</v>
      </c>
      <c r="E96" s="108">
        <v>0.96527777777777779</v>
      </c>
      <c r="F96" s="110">
        <v>0.57222222222222219</v>
      </c>
      <c r="G96" s="110">
        <v>0.97013888888888899</v>
      </c>
      <c r="H96" s="108">
        <v>0.35138888888888892</v>
      </c>
      <c r="I96" s="119">
        <v>1</v>
      </c>
      <c r="J96" s="108">
        <v>0.35000000000000003</v>
      </c>
      <c r="K96" s="108">
        <v>0.97916666666666663</v>
      </c>
      <c r="L96" s="108">
        <v>0.35000000000000003</v>
      </c>
      <c r="M96" s="108">
        <v>0.96458333333333324</v>
      </c>
      <c r="N96" s="108">
        <v>0.3527777777777778</v>
      </c>
      <c r="O96" s="108">
        <v>0.96736111111111101</v>
      </c>
      <c r="P96" s="108">
        <v>0.35486111111111113</v>
      </c>
      <c r="Q96" s="108">
        <v>0.93888888888888899</v>
      </c>
      <c r="R96" s="108">
        <v>0.35000000000000003</v>
      </c>
      <c r="S96" s="108">
        <v>0.97222222222222221</v>
      </c>
      <c r="T96" s="120" t="s">
        <v>15</v>
      </c>
      <c r="U96" s="120" t="s">
        <v>15</v>
      </c>
      <c r="V96" s="108">
        <v>0.34930555555555554</v>
      </c>
      <c r="W96" s="108">
        <v>0.96527777777777779</v>
      </c>
      <c r="X96" s="108">
        <v>0.3520833333333333</v>
      </c>
      <c r="Y96" s="108">
        <v>0.95138888888888884</v>
      </c>
      <c r="Z96" s="108">
        <v>0.3520833333333333</v>
      </c>
      <c r="AA96" s="108">
        <v>0.95208333333333339</v>
      </c>
      <c r="AB96" s="108">
        <v>0.34861111111111115</v>
      </c>
      <c r="AC96" s="108">
        <v>0.93333333333333324</v>
      </c>
      <c r="AD96" s="108">
        <v>0.34930555555555554</v>
      </c>
      <c r="AE96" s="108">
        <v>0.9770833333333333</v>
      </c>
      <c r="AF96" s="108">
        <v>0.34652777777777777</v>
      </c>
      <c r="AG96" s="108">
        <v>0.95833333333333337</v>
      </c>
      <c r="AH96" s="60"/>
      <c r="AI96" s="77">
        <v>78</v>
      </c>
      <c r="AJ96" s="110">
        <v>0.56388888888888888</v>
      </c>
      <c r="AK96" s="110">
        <v>0.94513888888888886</v>
      </c>
      <c r="AL96" s="108">
        <v>0.3527777777777778</v>
      </c>
      <c r="AM96" s="108">
        <v>0.94791666666666663</v>
      </c>
      <c r="AN96" s="108">
        <v>0.3527777777777778</v>
      </c>
      <c r="AO96" s="108">
        <v>0.97499999999999998</v>
      </c>
      <c r="AP96" s="108">
        <v>0.35138888888888892</v>
      </c>
      <c r="AQ96" s="108">
        <v>0.95972222222222225</v>
      </c>
      <c r="AR96" s="108">
        <v>0.35416666666666669</v>
      </c>
      <c r="AS96" s="119">
        <v>1</v>
      </c>
      <c r="AT96" s="108">
        <v>0.3520833333333333</v>
      </c>
      <c r="AU96" s="108">
        <v>0.95486111111111116</v>
      </c>
      <c r="AV96" s="108">
        <v>0.35069444444444442</v>
      </c>
      <c r="AW96" s="108">
        <v>0.97222222222222221</v>
      </c>
      <c r="AX96" s="110">
        <v>0.56458333333333333</v>
      </c>
      <c r="AY96" s="110">
        <v>0.9506944444444444</v>
      </c>
      <c r="AZ96" s="108">
        <v>0.34791666666666665</v>
      </c>
      <c r="BA96" s="108">
        <v>0.9458333333333333</v>
      </c>
      <c r="BB96" s="108">
        <v>0.3527777777777778</v>
      </c>
      <c r="BC96" s="108">
        <v>0.97430555555555554</v>
      </c>
      <c r="BD96" s="108">
        <v>0.35069444444444442</v>
      </c>
      <c r="BE96" s="108">
        <v>0.94236111111111109</v>
      </c>
      <c r="BF96" s="108">
        <v>0.3527777777777778</v>
      </c>
      <c r="BG96" s="108">
        <v>0.94444444444444453</v>
      </c>
      <c r="BH96" s="108">
        <v>0.34652777777777777</v>
      </c>
      <c r="BI96" s="108">
        <v>0.9555555555555556</v>
      </c>
      <c r="BJ96" s="108">
        <v>0.34583333333333338</v>
      </c>
      <c r="BK96" s="119">
        <v>1</v>
      </c>
      <c r="BL96" s="110">
        <v>0.57222222222222219</v>
      </c>
      <c r="BM96" s="110">
        <v>0.95208333333333339</v>
      </c>
      <c r="BN96" s="108">
        <v>0.35416666666666669</v>
      </c>
      <c r="BO96" s="108">
        <v>0.96527777777777779</v>
      </c>
      <c r="BP96" s="12">
        <f t="shared" si="27"/>
        <v>31</v>
      </c>
      <c r="BQ96" s="118">
        <v>4</v>
      </c>
      <c r="BR96" s="2">
        <f t="shared" si="28"/>
        <v>30</v>
      </c>
      <c r="BS96" s="3">
        <f t="shared" si="29"/>
        <v>1</v>
      </c>
      <c r="BT96" s="3">
        <f t="shared" si="30"/>
        <v>0</v>
      </c>
      <c r="BU96" s="3">
        <f t="shared" si="31"/>
        <v>0</v>
      </c>
      <c r="BV96" s="3">
        <f t="shared" si="32"/>
        <v>0</v>
      </c>
      <c r="BW96" s="3">
        <f t="shared" si="33"/>
        <v>0</v>
      </c>
      <c r="BX96" s="3">
        <f t="shared" si="34"/>
        <v>0</v>
      </c>
      <c r="BY96" s="3">
        <f t="shared" si="35"/>
        <v>0</v>
      </c>
      <c r="BZ96" s="3">
        <f t="shared" si="36"/>
        <v>0</v>
      </c>
      <c r="CA96" s="3">
        <f t="shared" si="37"/>
        <v>0</v>
      </c>
      <c r="CB96" s="3">
        <f t="shared" si="38"/>
        <v>0</v>
      </c>
      <c r="CC96" s="3">
        <f t="shared" si="39"/>
        <v>0</v>
      </c>
      <c r="CD96" s="4"/>
      <c r="CH96" s="90">
        <v>0</v>
      </c>
      <c r="CI96" s="90">
        <v>0</v>
      </c>
      <c r="CJ96" s="90">
        <v>0</v>
      </c>
      <c r="CK96" s="90">
        <v>0</v>
      </c>
      <c r="CL96" s="90">
        <v>0</v>
      </c>
      <c r="CM96" s="90">
        <v>0</v>
      </c>
      <c r="CN96" s="90">
        <v>0</v>
      </c>
      <c r="CO96" s="90">
        <v>0</v>
      </c>
      <c r="CP96" s="90">
        <v>0</v>
      </c>
      <c r="CQ96" s="90">
        <v>0</v>
      </c>
      <c r="CR96" s="92">
        <f t="shared" si="41"/>
        <v>0</v>
      </c>
    </row>
    <row r="97" spans="1:96" ht="21.75" customHeight="1" x14ac:dyDescent="0.25">
      <c r="A97" s="55">
        <v>79</v>
      </c>
      <c r="B97" s="20" t="s">
        <v>195</v>
      </c>
      <c r="C97" s="73" t="s">
        <v>196</v>
      </c>
      <c r="D97" s="108">
        <v>0.34652777777777777</v>
      </c>
      <c r="E97" s="108">
        <v>0.96666666666666667</v>
      </c>
      <c r="F97" s="120" t="s">
        <v>15</v>
      </c>
      <c r="G97" s="120" t="s">
        <v>15</v>
      </c>
      <c r="H97" s="108">
        <v>0.34652777777777777</v>
      </c>
      <c r="I97" s="108">
        <v>0.98611111111111116</v>
      </c>
      <c r="J97" s="108">
        <v>0.34722222222222227</v>
      </c>
      <c r="K97" s="108">
        <v>0.98263888888888884</v>
      </c>
      <c r="L97" s="108">
        <v>0.34513888888888888</v>
      </c>
      <c r="M97" s="108">
        <v>0.96388888888888891</v>
      </c>
      <c r="N97" s="108">
        <v>0.34583333333333338</v>
      </c>
      <c r="O97" s="108">
        <v>0.9604166666666667</v>
      </c>
      <c r="P97" s="108">
        <v>0.3444444444444445</v>
      </c>
      <c r="Q97" s="119">
        <v>1</v>
      </c>
      <c r="R97" s="108">
        <v>0.34513888888888888</v>
      </c>
      <c r="S97" s="108">
        <v>0.9784722222222223</v>
      </c>
      <c r="T97" s="110">
        <v>0.56874999999999998</v>
      </c>
      <c r="U97" s="110">
        <v>0.91736111111111107</v>
      </c>
      <c r="V97" s="108">
        <v>0.34513888888888888</v>
      </c>
      <c r="W97" s="108">
        <v>0.96180555555555547</v>
      </c>
      <c r="X97" s="108">
        <v>0.34583333333333338</v>
      </c>
      <c r="Y97" s="108">
        <v>0.95972222222222225</v>
      </c>
      <c r="Z97" s="108">
        <v>0.34513888888888888</v>
      </c>
      <c r="AA97" s="108">
        <v>0.93472222222222223</v>
      </c>
      <c r="AB97" s="108">
        <v>0.34583333333333338</v>
      </c>
      <c r="AC97" s="108">
        <v>0.9590277777777777</v>
      </c>
      <c r="AD97" s="108">
        <v>0.33611111111111108</v>
      </c>
      <c r="AE97" s="108">
        <v>0.97638888888888886</v>
      </c>
      <c r="AF97" s="108">
        <v>0.34652777777777777</v>
      </c>
      <c r="AG97" s="108">
        <v>0.96319444444444446</v>
      </c>
      <c r="AH97" s="60"/>
      <c r="AI97" s="77">
        <v>79</v>
      </c>
      <c r="AJ97" s="120" t="s">
        <v>15</v>
      </c>
      <c r="AK97" s="120" t="s">
        <v>15</v>
      </c>
      <c r="AL97" s="108">
        <v>0.34652777777777777</v>
      </c>
      <c r="AM97" s="108">
        <v>0.9590277777777777</v>
      </c>
      <c r="AN97" s="108">
        <v>0.34791666666666665</v>
      </c>
      <c r="AO97" s="108">
        <v>0.97361111111111109</v>
      </c>
      <c r="AP97" s="108">
        <v>0.34583333333333338</v>
      </c>
      <c r="AQ97" s="108">
        <v>0.9590277777777777</v>
      </c>
      <c r="AR97" s="108">
        <v>0.34583333333333338</v>
      </c>
      <c r="AS97" s="108">
        <v>0.97152777777777777</v>
      </c>
      <c r="AT97" s="108">
        <v>0.34722222222222227</v>
      </c>
      <c r="AU97" s="108">
        <v>0.95486111111111116</v>
      </c>
      <c r="AV97" s="108">
        <v>0.3430555555555555</v>
      </c>
      <c r="AW97" s="108">
        <v>2.7777777777777779E-3</v>
      </c>
      <c r="AX97" s="110">
        <v>0.57708333333333328</v>
      </c>
      <c r="AY97" s="110">
        <v>0.93263888888888891</v>
      </c>
      <c r="AZ97" s="108">
        <v>0.34583333333333338</v>
      </c>
      <c r="BA97" s="119">
        <v>1</v>
      </c>
      <c r="BB97" s="108">
        <v>0.34583333333333338</v>
      </c>
      <c r="BC97" s="108">
        <v>0.96458333333333324</v>
      </c>
      <c r="BD97" s="108">
        <v>0.34097222222222223</v>
      </c>
      <c r="BE97" s="108">
        <v>0.9458333333333333</v>
      </c>
      <c r="BF97" s="108">
        <v>0.34375</v>
      </c>
      <c r="BG97" s="108">
        <v>0.39930555555555558</v>
      </c>
      <c r="BH97" s="119" t="s">
        <v>202</v>
      </c>
      <c r="BI97" s="119" t="s">
        <v>202</v>
      </c>
      <c r="BJ97" s="119" t="s">
        <v>202</v>
      </c>
      <c r="BK97" s="119" t="s">
        <v>202</v>
      </c>
      <c r="BL97" s="120" t="s">
        <v>15</v>
      </c>
      <c r="BM97" s="120" t="s">
        <v>15</v>
      </c>
      <c r="BN97" s="108">
        <v>0.3888888888888889</v>
      </c>
      <c r="BO97" s="108">
        <v>0.9194444444444444</v>
      </c>
      <c r="BP97" s="12">
        <f t="shared" si="27"/>
        <v>31</v>
      </c>
      <c r="BQ97" s="118">
        <v>2</v>
      </c>
      <c r="BR97" s="2">
        <f t="shared" si="28"/>
        <v>26</v>
      </c>
      <c r="BS97" s="3">
        <f t="shared" si="29"/>
        <v>3</v>
      </c>
      <c r="BT97" s="3">
        <f t="shared" si="30"/>
        <v>0</v>
      </c>
      <c r="BU97" s="3">
        <f t="shared" si="31"/>
        <v>0</v>
      </c>
      <c r="BV97" s="3">
        <f t="shared" si="32"/>
        <v>0</v>
      </c>
      <c r="BW97" s="3">
        <f t="shared" si="33"/>
        <v>0</v>
      </c>
      <c r="BX97" s="3">
        <f t="shared" si="34"/>
        <v>0</v>
      </c>
      <c r="BY97" s="3">
        <f t="shared" si="35"/>
        <v>2</v>
      </c>
      <c r="BZ97" s="3">
        <f t="shared" si="36"/>
        <v>0</v>
      </c>
      <c r="CA97" s="3">
        <f t="shared" si="37"/>
        <v>0</v>
      </c>
      <c r="CB97" s="3">
        <f t="shared" si="38"/>
        <v>0</v>
      </c>
      <c r="CC97" s="3">
        <f t="shared" si="39"/>
        <v>0</v>
      </c>
      <c r="CD97" s="4"/>
      <c r="CH97" s="90">
        <v>0</v>
      </c>
      <c r="CI97" s="90">
        <v>0</v>
      </c>
      <c r="CJ97" s="90">
        <v>0</v>
      </c>
      <c r="CK97" s="90">
        <v>0</v>
      </c>
      <c r="CL97" s="90">
        <v>0</v>
      </c>
      <c r="CM97" s="90">
        <v>2</v>
      </c>
      <c r="CN97" s="90">
        <v>0</v>
      </c>
      <c r="CO97" s="90">
        <v>0</v>
      </c>
      <c r="CP97" s="90">
        <v>0</v>
      </c>
      <c r="CQ97" s="90">
        <v>0</v>
      </c>
      <c r="CR97" s="92">
        <f t="shared" si="41"/>
        <v>2</v>
      </c>
    </row>
    <row r="98" spans="1:96" ht="21.75" customHeight="1" x14ac:dyDescent="0.25">
      <c r="A98" s="55">
        <v>80</v>
      </c>
      <c r="B98" s="55" t="s">
        <v>197</v>
      </c>
      <c r="C98" s="73" t="s">
        <v>198</v>
      </c>
      <c r="D98" s="108">
        <v>0.36180555555555555</v>
      </c>
      <c r="E98" s="108">
        <v>0.97499999999999998</v>
      </c>
      <c r="F98" s="110">
        <v>0.57708333333333328</v>
      </c>
      <c r="G98" s="110">
        <v>0.9458333333333333</v>
      </c>
      <c r="H98" s="108">
        <v>0.35416666666666669</v>
      </c>
      <c r="I98" s="108">
        <v>0.94652777777777775</v>
      </c>
      <c r="J98" s="108">
        <v>0.3444444444444445</v>
      </c>
      <c r="K98" s="108">
        <v>0.94652777777777775</v>
      </c>
      <c r="L98" s="108">
        <v>0.35694444444444445</v>
      </c>
      <c r="M98" s="108">
        <v>0.94652777777777775</v>
      </c>
      <c r="N98" s="108">
        <v>0.35833333333333334</v>
      </c>
      <c r="O98" s="108">
        <v>0.94236111111111109</v>
      </c>
      <c r="P98" s="108">
        <v>0.34861111111111115</v>
      </c>
      <c r="Q98" s="108">
        <v>0.92847222222222225</v>
      </c>
      <c r="R98" s="108">
        <v>0.34791666666666665</v>
      </c>
      <c r="S98" s="108">
        <v>0.98749999999999993</v>
      </c>
      <c r="T98" s="110">
        <v>0.58194444444444449</v>
      </c>
      <c r="U98" s="110">
        <v>0.95972222222222225</v>
      </c>
      <c r="V98" s="108">
        <v>0.34722222222222227</v>
      </c>
      <c r="W98" s="108">
        <v>0.94097222222222221</v>
      </c>
      <c r="X98" s="108">
        <v>0.34652777777777777</v>
      </c>
      <c r="Y98" s="108">
        <v>0.94861111111111107</v>
      </c>
      <c r="Z98" s="108">
        <v>0.34236111111111112</v>
      </c>
      <c r="AA98" s="108">
        <v>0.94305555555555554</v>
      </c>
      <c r="AB98" s="108">
        <v>0.34861111111111115</v>
      </c>
      <c r="AC98" s="108">
        <v>0.96319444444444446</v>
      </c>
      <c r="AD98" s="108">
        <v>0.3298611111111111</v>
      </c>
      <c r="AE98" s="108">
        <v>0.3298611111111111</v>
      </c>
      <c r="AF98" s="108">
        <v>0.35486111111111113</v>
      </c>
      <c r="AG98" s="108">
        <v>0.9784722222222223</v>
      </c>
      <c r="AH98" s="60"/>
      <c r="AI98" s="77">
        <v>80</v>
      </c>
      <c r="AJ98" s="110">
        <v>0.57361111111111118</v>
      </c>
      <c r="AK98" s="110">
        <v>0.97152777777777777</v>
      </c>
      <c r="AL98" s="108">
        <v>0.36041666666666666</v>
      </c>
      <c r="AM98" s="108">
        <v>0.92152777777777783</v>
      </c>
      <c r="AN98" s="108">
        <v>0.35486111111111113</v>
      </c>
      <c r="AO98" s="108">
        <v>0.95347222222222217</v>
      </c>
      <c r="AP98" s="108">
        <v>0.35416666666666669</v>
      </c>
      <c r="AQ98" s="108">
        <v>0.94513888888888886</v>
      </c>
      <c r="AR98" s="108">
        <v>0.35694444444444445</v>
      </c>
      <c r="AS98" s="108">
        <v>0.93472222222222223</v>
      </c>
      <c r="AT98" s="108">
        <v>0.34861111111111115</v>
      </c>
      <c r="AU98" s="108">
        <v>0.9784722222222223</v>
      </c>
      <c r="AV98" s="108">
        <v>0.34097222222222223</v>
      </c>
      <c r="AW98" s="108">
        <v>0.98402777777777783</v>
      </c>
      <c r="AX98" s="110">
        <v>0.56874999999999998</v>
      </c>
      <c r="AY98" s="110">
        <v>0.95486111111111116</v>
      </c>
      <c r="AZ98" s="108">
        <v>0.34652777777777777</v>
      </c>
      <c r="BA98" s="108">
        <v>0.95972222222222225</v>
      </c>
      <c r="BB98" s="108">
        <v>0.34861111111111115</v>
      </c>
      <c r="BC98" s="108">
        <v>0.98333333333333339</v>
      </c>
      <c r="BD98" s="108">
        <v>0.34236111111111112</v>
      </c>
      <c r="BE98" s="108">
        <v>0.94930555555555562</v>
      </c>
      <c r="BF98" s="108">
        <v>0.35416666666666669</v>
      </c>
      <c r="BG98" s="108">
        <v>0.94861111111111107</v>
      </c>
      <c r="BH98" s="108">
        <v>0.33958333333333335</v>
      </c>
      <c r="BI98" s="108">
        <v>0.94097222222222221</v>
      </c>
      <c r="BJ98" s="108">
        <v>0.34166666666666662</v>
      </c>
      <c r="BK98" s="108">
        <v>0.99722222222222223</v>
      </c>
      <c r="BL98" s="110">
        <v>0.56527777777777777</v>
      </c>
      <c r="BM98" s="110">
        <v>0.88958333333333339</v>
      </c>
      <c r="BN98" s="108">
        <v>0.32569444444444445</v>
      </c>
      <c r="BO98" s="108">
        <v>0.9555555555555556</v>
      </c>
      <c r="BP98" s="12">
        <f t="shared" si="27"/>
        <v>31</v>
      </c>
      <c r="BQ98" s="118">
        <v>5</v>
      </c>
      <c r="BR98" s="2">
        <f t="shared" si="28"/>
        <v>31</v>
      </c>
      <c r="BS98" s="3">
        <f t="shared" si="29"/>
        <v>0</v>
      </c>
      <c r="BT98" s="3">
        <f t="shared" si="30"/>
        <v>0</v>
      </c>
      <c r="BU98" s="3">
        <f t="shared" si="31"/>
        <v>0</v>
      </c>
      <c r="BV98" s="3">
        <f t="shared" si="32"/>
        <v>0</v>
      </c>
      <c r="BW98" s="3">
        <f t="shared" si="33"/>
        <v>0</v>
      </c>
      <c r="BX98" s="3">
        <f t="shared" si="34"/>
        <v>0</v>
      </c>
      <c r="BY98" s="3">
        <f t="shared" si="35"/>
        <v>0</v>
      </c>
      <c r="BZ98" s="3">
        <f t="shared" si="36"/>
        <v>0</v>
      </c>
      <c r="CA98" s="3">
        <f t="shared" si="37"/>
        <v>0</v>
      </c>
      <c r="CB98" s="3">
        <f t="shared" si="38"/>
        <v>0</v>
      </c>
      <c r="CC98" s="3">
        <f t="shared" si="39"/>
        <v>0</v>
      </c>
      <c r="CD98" s="4"/>
      <c r="CH98" s="90">
        <v>0</v>
      </c>
      <c r="CI98" s="90">
        <v>0</v>
      </c>
      <c r="CJ98" s="90">
        <v>0</v>
      </c>
      <c r="CK98" s="90">
        <v>0</v>
      </c>
      <c r="CL98" s="90">
        <v>0</v>
      </c>
      <c r="CM98" s="90">
        <v>0</v>
      </c>
      <c r="CN98" s="90">
        <v>0</v>
      </c>
      <c r="CO98" s="90">
        <v>0</v>
      </c>
      <c r="CP98" s="90">
        <v>0</v>
      </c>
      <c r="CQ98" s="90">
        <v>0</v>
      </c>
      <c r="CR98" s="92">
        <f t="shared" si="41"/>
        <v>0</v>
      </c>
    </row>
    <row r="99" spans="1:96" ht="21.75" customHeight="1" x14ac:dyDescent="0.25">
      <c r="A99" s="55">
        <v>81</v>
      </c>
      <c r="B99" s="81" t="s">
        <v>199</v>
      </c>
      <c r="C99" s="82" t="s">
        <v>200</v>
      </c>
      <c r="D99" s="119">
        <v>1</v>
      </c>
      <c r="E99" s="119">
        <v>1</v>
      </c>
      <c r="F99" s="120">
        <v>1</v>
      </c>
      <c r="G99" s="120">
        <v>1</v>
      </c>
      <c r="H99" s="119">
        <v>1</v>
      </c>
      <c r="I99" s="119">
        <v>1</v>
      </c>
      <c r="J99" s="119">
        <v>1</v>
      </c>
      <c r="K99" s="119">
        <v>1</v>
      </c>
      <c r="L99" s="119">
        <v>1</v>
      </c>
      <c r="M99" s="119">
        <v>1</v>
      </c>
      <c r="N99" s="119">
        <v>1</v>
      </c>
      <c r="O99" s="119">
        <v>1</v>
      </c>
      <c r="P99" s="119">
        <v>1</v>
      </c>
      <c r="Q99" s="119">
        <v>1</v>
      </c>
      <c r="R99" s="119">
        <v>1</v>
      </c>
      <c r="S99" s="119">
        <v>1</v>
      </c>
      <c r="T99" s="120" t="s">
        <v>15</v>
      </c>
      <c r="U99" s="120" t="s">
        <v>15</v>
      </c>
      <c r="V99" s="119">
        <v>1</v>
      </c>
      <c r="W99" s="119">
        <v>1</v>
      </c>
      <c r="X99" s="119">
        <v>1</v>
      </c>
      <c r="Y99" s="119">
        <v>1</v>
      </c>
      <c r="Z99" s="119">
        <v>1</v>
      </c>
      <c r="AA99" s="119">
        <v>1</v>
      </c>
      <c r="AB99" s="119">
        <v>1</v>
      </c>
      <c r="AC99" s="119">
        <v>1</v>
      </c>
      <c r="AD99" s="119">
        <v>1</v>
      </c>
      <c r="AE99" s="119">
        <v>1</v>
      </c>
      <c r="AF99" s="119">
        <v>1</v>
      </c>
      <c r="AG99" s="119">
        <v>1</v>
      </c>
      <c r="AH99" s="60"/>
      <c r="AI99" s="77">
        <v>81</v>
      </c>
      <c r="AJ99" s="111">
        <v>1</v>
      </c>
      <c r="AK99" s="111">
        <v>1</v>
      </c>
      <c r="AL99" s="119">
        <v>1</v>
      </c>
      <c r="AM99" s="119">
        <v>1</v>
      </c>
      <c r="AN99" s="119">
        <v>1</v>
      </c>
      <c r="AO99" s="119">
        <v>1</v>
      </c>
      <c r="AP99" s="119">
        <v>1</v>
      </c>
      <c r="AQ99" s="119">
        <v>1</v>
      </c>
      <c r="AR99" s="119">
        <v>1</v>
      </c>
      <c r="AS99" s="119">
        <v>1</v>
      </c>
      <c r="AT99" s="108">
        <v>0.35625000000000001</v>
      </c>
      <c r="AU99" s="119">
        <v>1</v>
      </c>
      <c r="AV99" s="108">
        <v>0.35555555555555557</v>
      </c>
      <c r="AW99" s="119">
        <v>1</v>
      </c>
      <c r="AX99" s="110">
        <v>0.58333333333333337</v>
      </c>
      <c r="AY99" s="120">
        <v>1</v>
      </c>
      <c r="AZ99" s="119">
        <v>1</v>
      </c>
      <c r="BA99" s="119">
        <v>1</v>
      </c>
      <c r="BB99" s="119">
        <v>1</v>
      </c>
      <c r="BC99" s="119">
        <v>1</v>
      </c>
      <c r="BD99" s="119">
        <v>1</v>
      </c>
      <c r="BE99" s="119">
        <v>1</v>
      </c>
      <c r="BF99" s="119">
        <v>1</v>
      </c>
      <c r="BG99" s="119">
        <v>1</v>
      </c>
      <c r="BH99" s="119">
        <v>1</v>
      </c>
      <c r="BI99" s="119">
        <v>1</v>
      </c>
      <c r="BJ99" s="119">
        <v>1</v>
      </c>
      <c r="BK99" s="119">
        <v>1</v>
      </c>
      <c r="BL99" s="120" t="s">
        <v>15</v>
      </c>
      <c r="BM99" s="120" t="s">
        <v>15</v>
      </c>
      <c r="BN99" s="119">
        <v>1</v>
      </c>
      <c r="BO99" s="119">
        <v>1</v>
      </c>
      <c r="BP99" s="12">
        <f t="shared" si="27"/>
        <v>31</v>
      </c>
      <c r="BQ99" s="118">
        <v>3</v>
      </c>
      <c r="BR99" s="2">
        <f t="shared" si="28"/>
        <v>29</v>
      </c>
      <c r="BS99" s="3">
        <f t="shared" si="29"/>
        <v>2</v>
      </c>
      <c r="BT99" s="3">
        <f t="shared" si="30"/>
        <v>0</v>
      </c>
      <c r="BU99" s="3">
        <f t="shared" si="31"/>
        <v>0</v>
      </c>
      <c r="BV99" s="3">
        <f t="shared" si="32"/>
        <v>0</v>
      </c>
      <c r="BW99" s="3">
        <f t="shared" si="33"/>
        <v>0</v>
      </c>
      <c r="BX99" s="3">
        <f t="shared" si="34"/>
        <v>0</v>
      </c>
      <c r="BY99" s="3">
        <f t="shared" si="35"/>
        <v>0</v>
      </c>
      <c r="BZ99" s="3">
        <f t="shared" si="36"/>
        <v>0</v>
      </c>
      <c r="CA99" s="3">
        <f t="shared" si="37"/>
        <v>0</v>
      </c>
      <c r="CB99" s="3">
        <f t="shared" si="38"/>
        <v>0</v>
      </c>
      <c r="CC99" s="3">
        <f t="shared" si="39"/>
        <v>0</v>
      </c>
      <c r="CD99" s="4"/>
      <c r="CH99" s="90">
        <v>0</v>
      </c>
      <c r="CI99" s="90">
        <v>0</v>
      </c>
      <c r="CJ99" s="90">
        <v>0</v>
      </c>
      <c r="CK99" s="90">
        <v>0</v>
      </c>
      <c r="CL99" s="90">
        <v>0</v>
      </c>
      <c r="CM99" s="90">
        <v>0</v>
      </c>
      <c r="CN99" s="90">
        <v>0</v>
      </c>
      <c r="CO99" s="90">
        <v>0</v>
      </c>
      <c r="CP99" s="90">
        <v>0</v>
      </c>
      <c r="CQ99" s="90">
        <v>0</v>
      </c>
      <c r="CR99" s="92">
        <f t="shared" si="41"/>
        <v>0</v>
      </c>
    </row>
    <row r="100" spans="1:96" ht="21.75" customHeight="1" x14ac:dyDescent="0.25">
      <c r="A100" s="55">
        <v>82</v>
      </c>
      <c r="B100" s="55" t="s">
        <v>216</v>
      </c>
      <c r="C100" s="83" t="s">
        <v>217</v>
      </c>
      <c r="D100" s="108">
        <v>0.56111111111111112</v>
      </c>
      <c r="E100" s="108">
        <v>0.9868055555555556</v>
      </c>
      <c r="F100" s="110">
        <v>0.58194444444444449</v>
      </c>
      <c r="G100" s="120">
        <v>1</v>
      </c>
      <c r="H100" s="108">
        <v>0.34861111111111115</v>
      </c>
      <c r="I100" s="108">
        <v>0.96805555555555556</v>
      </c>
      <c r="J100" s="108">
        <v>0.34861111111111115</v>
      </c>
      <c r="K100" s="108">
        <v>0.9590277777777777</v>
      </c>
      <c r="L100" s="108">
        <v>0.34513888888888888</v>
      </c>
      <c r="M100" s="108">
        <v>0.99097222222222225</v>
      </c>
      <c r="N100" s="108">
        <v>0.34791666666666665</v>
      </c>
      <c r="O100" s="108">
        <v>0.94236111111111109</v>
      </c>
      <c r="P100" s="108">
        <v>0.34652777777777777</v>
      </c>
      <c r="Q100" s="108">
        <v>0.94166666666666676</v>
      </c>
      <c r="R100" s="108">
        <v>0.34652777777777777</v>
      </c>
      <c r="S100" s="108">
        <v>0.96319444444444446</v>
      </c>
      <c r="T100" s="120" t="s">
        <v>15</v>
      </c>
      <c r="U100" s="120" t="s">
        <v>15</v>
      </c>
      <c r="V100" s="108">
        <v>0.34652777777777777</v>
      </c>
      <c r="W100" s="108">
        <v>0.96458333333333324</v>
      </c>
      <c r="X100" s="108">
        <v>0.34722222222222227</v>
      </c>
      <c r="Y100" s="108">
        <v>0.95000000000000007</v>
      </c>
      <c r="Z100" s="108">
        <v>0.35000000000000003</v>
      </c>
      <c r="AA100" s="119">
        <v>1</v>
      </c>
      <c r="AB100" s="108">
        <v>0.34652777777777777</v>
      </c>
      <c r="AC100" s="119">
        <v>1</v>
      </c>
      <c r="AD100" s="108">
        <v>0.34930555555555554</v>
      </c>
      <c r="AE100" s="119">
        <v>1</v>
      </c>
      <c r="AF100" s="108">
        <v>0.35000000000000003</v>
      </c>
      <c r="AG100" s="119">
        <v>1</v>
      </c>
      <c r="AI100" s="77">
        <v>82</v>
      </c>
      <c r="AJ100" s="110">
        <v>0.58194444444444449</v>
      </c>
      <c r="AK100" s="110">
        <v>0.93680555555555556</v>
      </c>
      <c r="AL100" s="108">
        <v>0.34722222222222227</v>
      </c>
      <c r="AM100" s="108">
        <v>0.96944444444444444</v>
      </c>
      <c r="AN100" s="108">
        <v>0.34791666666666665</v>
      </c>
      <c r="AO100" s="108">
        <v>0.98333333333333339</v>
      </c>
      <c r="AP100" s="108">
        <v>0.34861111111111115</v>
      </c>
      <c r="AQ100" s="108">
        <v>0.94444444444444453</v>
      </c>
      <c r="AR100" s="108">
        <v>0.34583333333333338</v>
      </c>
      <c r="AS100" s="108">
        <v>0.95833333333333337</v>
      </c>
      <c r="AT100" s="108">
        <v>0.34722222222222227</v>
      </c>
      <c r="AU100" s="119">
        <v>1</v>
      </c>
      <c r="AV100" s="108">
        <v>0.35000000000000003</v>
      </c>
      <c r="AW100" s="119">
        <v>1</v>
      </c>
      <c r="AX100" s="120" t="s">
        <v>15</v>
      </c>
      <c r="AY100" s="120" t="s">
        <v>15</v>
      </c>
      <c r="AZ100" s="108">
        <v>0.34791666666666665</v>
      </c>
      <c r="BA100" s="108">
        <v>0.96111111111111114</v>
      </c>
      <c r="BB100" s="108">
        <v>0.34722222222222227</v>
      </c>
      <c r="BC100" s="119">
        <v>1</v>
      </c>
      <c r="BD100" s="108">
        <v>0.3444444444444445</v>
      </c>
      <c r="BE100" s="108">
        <v>0.94930555555555562</v>
      </c>
      <c r="BF100" s="108">
        <v>0.34791666666666665</v>
      </c>
      <c r="BG100" s="119">
        <v>1</v>
      </c>
      <c r="BH100" s="108">
        <v>0.34652777777777777</v>
      </c>
      <c r="BI100" s="108">
        <v>0.94027777777777777</v>
      </c>
      <c r="BJ100" s="108">
        <v>0.34652777777777777</v>
      </c>
      <c r="BK100" s="108">
        <v>0.99722222222222223</v>
      </c>
      <c r="BL100" s="110">
        <v>0.5805555555555556</v>
      </c>
      <c r="BM100" s="110">
        <v>0.95833333333333337</v>
      </c>
      <c r="BN100" s="108">
        <v>0.34722222222222227</v>
      </c>
      <c r="BO100" s="108">
        <v>0.94791666666666663</v>
      </c>
      <c r="BP100" s="12">
        <f t="shared" si="27"/>
        <v>31</v>
      </c>
      <c r="BQ100" s="118">
        <v>3</v>
      </c>
      <c r="BR100" s="2">
        <f>COUNT(D100:AG100)/2+COUNT(AJ100:BO100)/2</f>
        <v>29</v>
      </c>
      <c r="BS100" s="3">
        <f>COUNTIF(D100:BO100,"OFF")/2</f>
        <v>2</v>
      </c>
      <c r="BT100" s="3">
        <f>COUNTIF(D100:BO100,"MC")/2</f>
        <v>0</v>
      </c>
      <c r="BU100" s="3">
        <f>COUNTIF(D100:BO100,"EL")/2</f>
        <v>0</v>
      </c>
      <c r="BV100" s="3">
        <f>COUNTIF(D100:BO100,"AL")/2</f>
        <v>0</v>
      </c>
      <c r="BW100" s="3">
        <f>COUNTIF(D100:BO100,"SUS")/2</f>
        <v>0</v>
      </c>
      <c r="BX100" s="3">
        <f>COUNTIF(D100:BO100,"FL")/2</f>
        <v>0</v>
      </c>
      <c r="BY100" s="3">
        <f>COUNTIF(D100:BO100,"SICK")/2</f>
        <v>0</v>
      </c>
      <c r="BZ100" s="3">
        <f>COUNTIF(D100:BO100,"HD")/2</f>
        <v>0</v>
      </c>
      <c r="CA100" s="3">
        <f>COUNTIF(D100:BO100,"AB")/2</f>
        <v>0</v>
      </c>
      <c r="CB100" s="3">
        <f>COUNTIF(D100:BO100,"NL")/2</f>
        <v>0</v>
      </c>
      <c r="CC100" s="3">
        <f>COUNTIF(D100:BO100,"SP")/2</f>
        <v>0</v>
      </c>
      <c r="CD100" s="4"/>
      <c r="CH100" s="90">
        <v>0</v>
      </c>
      <c r="CI100" s="90">
        <v>0</v>
      </c>
      <c r="CJ100" s="90">
        <v>0</v>
      </c>
      <c r="CK100" s="90">
        <v>0</v>
      </c>
      <c r="CL100" s="90">
        <v>0</v>
      </c>
      <c r="CM100" s="90">
        <v>0</v>
      </c>
      <c r="CN100" s="90">
        <v>0</v>
      </c>
      <c r="CO100" s="90">
        <v>0</v>
      </c>
      <c r="CP100" s="90">
        <v>0</v>
      </c>
      <c r="CQ100" s="90">
        <v>0</v>
      </c>
      <c r="CR100" s="92">
        <f t="shared" si="41"/>
        <v>0</v>
      </c>
    </row>
    <row r="101" spans="1:96" ht="21.75" customHeight="1" x14ac:dyDescent="0.25">
      <c r="A101" s="55">
        <v>83</v>
      </c>
      <c r="B101" s="55" t="s">
        <v>218</v>
      </c>
      <c r="C101" s="83" t="s">
        <v>219</v>
      </c>
      <c r="D101" s="108">
        <v>0.35069444444444442</v>
      </c>
      <c r="E101" s="108">
        <v>0.96250000000000002</v>
      </c>
      <c r="F101" s="110">
        <v>0.57638888888888895</v>
      </c>
      <c r="G101" s="110">
        <v>0.91041666666666676</v>
      </c>
      <c r="H101" s="108">
        <v>0.34930555555555554</v>
      </c>
      <c r="I101" s="108">
        <v>0.98611111111111116</v>
      </c>
      <c r="J101" s="108">
        <v>0.35138888888888892</v>
      </c>
      <c r="K101" s="108">
        <v>0.9819444444444444</v>
      </c>
      <c r="L101" s="108">
        <v>0.35000000000000003</v>
      </c>
      <c r="M101" s="108">
        <v>0.97986111111111107</v>
      </c>
      <c r="N101" s="108">
        <v>0.35138888888888892</v>
      </c>
      <c r="O101" s="108">
        <v>0.96597222222222223</v>
      </c>
      <c r="P101" s="108">
        <v>0.34930555555555554</v>
      </c>
      <c r="Q101" s="119">
        <v>1</v>
      </c>
      <c r="R101" s="108">
        <v>0.3527777777777778</v>
      </c>
      <c r="S101" s="108">
        <v>0.97777777777777775</v>
      </c>
      <c r="T101" s="120" t="s">
        <v>15</v>
      </c>
      <c r="U101" s="120" t="s">
        <v>15</v>
      </c>
      <c r="V101" s="108">
        <v>0.3520833333333333</v>
      </c>
      <c r="W101" s="108">
        <v>0.95486111111111116</v>
      </c>
      <c r="X101" s="108">
        <v>0.35000000000000003</v>
      </c>
      <c r="Y101" s="108">
        <v>0.94861111111111107</v>
      </c>
      <c r="Z101" s="108">
        <v>0.35069444444444442</v>
      </c>
      <c r="AA101" s="108">
        <v>0.9472222222222223</v>
      </c>
      <c r="AB101" s="108">
        <v>0.34930555555555554</v>
      </c>
      <c r="AC101" s="108">
        <v>0.92847222222222225</v>
      </c>
      <c r="AD101" s="108">
        <v>0.35138888888888892</v>
      </c>
      <c r="AE101" s="108">
        <v>0.9784722222222223</v>
      </c>
      <c r="AF101" s="108">
        <v>0.35138888888888892</v>
      </c>
      <c r="AG101" s="108">
        <v>0.95833333333333337</v>
      </c>
      <c r="AI101" s="77">
        <v>83</v>
      </c>
      <c r="AJ101" s="110">
        <v>0.57847222222222217</v>
      </c>
      <c r="AK101" s="110">
        <v>0.90625</v>
      </c>
      <c r="AL101" s="108">
        <v>0.35138888888888892</v>
      </c>
      <c r="AM101" s="108">
        <v>0.94374999999999998</v>
      </c>
      <c r="AN101" s="108">
        <v>0.35138888888888892</v>
      </c>
      <c r="AO101" s="108">
        <v>0.9590277777777777</v>
      </c>
      <c r="AP101" s="108">
        <v>0.34861111111111115</v>
      </c>
      <c r="AQ101" s="108">
        <v>0.91041666666666676</v>
      </c>
      <c r="AR101" s="108">
        <v>0.34930555555555554</v>
      </c>
      <c r="AS101" s="108">
        <v>0.92222222222222217</v>
      </c>
      <c r="AT101" s="108">
        <v>0.34722222222222227</v>
      </c>
      <c r="AU101" s="108">
        <v>0.93611111111111101</v>
      </c>
      <c r="AV101" s="108">
        <v>0.35000000000000003</v>
      </c>
      <c r="AW101" s="108">
        <v>1.3888888888888889E-3</v>
      </c>
      <c r="AX101" s="120" t="s">
        <v>15</v>
      </c>
      <c r="AY101" s="120" t="s">
        <v>15</v>
      </c>
      <c r="AZ101" s="108">
        <v>0.35000000000000003</v>
      </c>
      <c r="BA101" s="108">
        <v>0.92708333333333337</v>
      </c>
      <c r="BB101" s="108">
        <v>0.35069444444444442</v>
      </c>
      <c r="BC101" s="108">
        <v>0.97013888888888899</v>
      </c>
      <c r="BD101" s="108">
        <v>0.34861111111111115</v>
      </c>
      <c r="BE101" s="108">
        <v>0.95208333333333339</v>
      </c>
      <c r="BF101" s="108">
        <v>0.35000000000000003</v>
      </c>
      <c r="BG101" s="108">
        <v>0.9159722222222223</v>
      </c>
      <c r="BH101" s="108">
        <v>0.35069444444444442</v>
      </c>
      <c r="BI101" s="108">
        <v>0.93194444444444446</v>
      </c>
      <c r="BJ101" s="108">
        <v>0.34861111111111115</v>
      </c>
      <c r="BK101" s="108">
        <v>0.95833333333333337</v>
      </c>
      <c r="BL101" s="110">
        <v>0.56805555555555554</v>
      </c>
      <c r="BM101" s="110">
        <v>0.90972222222222221</v>
      </c>
      <c r="BN101" s="108">
        <v>0.34861111111111115</v>
      </c>
      <c r="BO101" s="108">
        <v>0.93472222222222223</v>
      </c>
      <c r="BP101" s="12">
        <f t="shared" si="27"/>
        <v>31</v>
      </c>
      <c r="BQ101" s="118">
        <v>3</v>
      </c>
      <c r="BR101" s="2">
        <f t="shared" si="28"/>
        <v>29</v>
      </c>
      <c r="BS101" s="3">
        <f t="shared" si="29"/>
        <v>2</v>
      </c>
      <c r="BT101" s="3">
        <f t="shared" si="30"/>
        <v>0</v>
      </c>
      <c r="BU101" s="3">
        <f t="shared" si="31"/>
        <v>0</v>
      </c>
      <c r="BV101" s="3">
        <f t="shared" si="32"/>
        <v>0</v>
      </c>
      <c r="BW101" s="3">
        <f t="shared" si="33"/>
        <v>0</v>
      </c>
      <c r="BX101" s="3">
        <f t="shared" si="34"/>
        <v>0</v>
      </c>
      <c r="BY101" s="3">
        <f t="shared" si="35"/>
        <v>0</v>
      </c>
      <c r="BZ101" s="3">
        <f t="shared" si="36"/>
        <v>0</v>
      </c>
      <c r="CA101" s="3">
        <f t="shared" si="37"/>
        <v>0</v>
      </c>
      <c r="CB101" s="3">
        <f t="shared" si="38"/>
        <v>0</v>
      </c>
      <c r="CC101" s="3">
        <f t="shared" si="39"/>
        <v>0</v>
      </c>
      <c r="CD101" s="4"/>
      <c r="CH101" s="90">
        <v>0</v>
      </c>
      <c r="CI101" s="90">
        <v>0</v>
      </c>
      <c r="CJ101" s="90">
        <v>0</v>
      </c>
      <c r="CK101" s="90">
        <v>0</v>
      </c>
      <c r="CL101" s="90">
        <v>0</v>
      </c>
      <c r="CM101" s="90">
        <v>0</v>
      </c>
      <c r="CN101" s="90">
        <v>0</v>
      </c>
      <c r="CO101" s="90">
        <v>0</v>
      </c>
      <c r="CP101" s="90">
        <v>0</v>
      </c>
      <c r="CQ101" s="90">
        <v>0</v>
      </c>
      <c r="CR101" s="92">
        <f t="shared" si="41"/>
        <v>0</v>
      </c>
    </row>
    <row r="102" spans="1:96" ht="21.75" customHeight="1" x14ac:dyDescent="0.25">
      <c r="A102" s="55">
        <v>84</v>
      </c>
      <c r="B102" s="55" t="s">
        <v>220</v>
      </c>
      <c r="C102" s="83" t="s">
        <v>221</v>
      </c>
      <c r="D102" s="108">
        <v>0.33611111111111108</v>
      </c>
      <c r="E102" s="119">
        <v>1</v>
      </c>
      <c r="F102" s="110">
        <v>0.57222222222222219</v>
      </c>
      <c r="G102" s="120">
        <v>1</v>
      </c>
      <c r="H102" s="108">
        <v>0.33749999999999997</v>
      </c>
      <c r="I102" s="119">
        <v>1</v>
      </c>
      <c r="J102" s="108">
        <v>0.33055555555555555</v>
      </c>
      <c r="K102" s="119">
        <v>1</v>
      </c>
      <c r="L102" s="108">
        <v>0.3298611111111111</v>
      </c>
      <c r="M102" s="119">
        <v>1</v>
      </c>
      <c r="N102" s="108">
        <v>0.34583333333333338</v>
      </c>
      <c r="O102" s="119">
        <v>1</v>
      </c>
      <c r="P102" s="108">
        <v>0.33194444444444443</v>
      </c>
      <c r="Q102" s="119">
        <v>1</v>
      </c>
      <c r="R102" s="108">
        <v>0.33124999999999999</v>
      </c>
      <c r="S102" s="119">
        <v>1</v>
      </c>
      <c r="T102" s="110">
        <v>0.56666666666666665</v>
      </c>
      <c r="U102" s="120">
        <v>1</v>
      </c>
      <c r="V102" s="108">
        <v>0.32777777777777778</v>
      </c>
      <c r="W102" s="119">
        <v>1</v>
      </c>
      <c r="X102" s="108">
        <v>0.32777777777777778</v>
      </c>
      <c r="Y102" s="119">
        <v>1</v>
      </c>
      <c r="Z102" s="108">
        <v>0.3298611111111111</v>
      </c>
      <c r="AA102" s="119">
        <v>1</v>
      </c>
      <c r="AB102" s="108">
        <v>0.35555555555555557</v>
      </c>
      <c r="AC102" s="119">
        <v>1</v>
      </c>
      <c r="AD102" s="108">
        <v>0.3263888888888889</v>
      </c>
      <c r="AE102" s="119">
        <v>1</v>
      </c>
      <c r="AF102" s="108">
        <v>0.3263888888888889</v>
      </c>
      <c r="AG102" s="119">
        <v>1</v>
      </c>
      <c r="AI102" s="77">
        <v>84</v>
      </c>
      <c r="AJ102" s="110">
        <v>0.58194444444444449</v>
      </c>
      <c r="AK102" s="111">
        <v>1</v>
      </c>
      <c r="AL102" s="108">
        <v>0.34652777777777777</v>
      </c>
      <c r="AM102" s="119">
        <v>1</v>
      </c>
      <c r="AN102" s="108">
        <v>0.3263888888888889</v>
      </c>
      <c r="AO102" s="119">
        <v>1</v>
      </c>
      <c r="AP102" s="108">
        <v>0.34583333333333338</v>
      </c>
      <c r="AQ102" s="119">
        <v>1</v>
      </c>
      <c r="AR102" s="108">
        <v>0.3298611111111111</v>
      </c>
      <c r="AS102" s="119">
        <v>1</v>
      </c>
      <c r="AT102" s="108">
        <v>0.3263888888888889</v>
      </c>
      <c r="AU102" s="119">
        <v>1</v>
      </c>
      <c r="AV102" s="108">
        <v>0.3263888888888889</v>
      </c>
      <c r="AW102" s="119">
        <v>1</v>
      </c>
      <c r="AX102" s="110">
        <v>0.5805555555555556</v>
      </c>
      <c r="AY102" s="120">
        <v>1</v>
      </c>
      <c r="AZ102" s="108">
        <v>0.3298611111111111</v>
      </c>
      <c r="BA102" s="119">
        <v>1</v>
      </c>
      <c r="BB102" s="108">
        <v>0.33055555555555555</v>
      </c>
      <c r="BC102" s="119">
        <v>1</v>
      </c>
      <c r="BD102" s="108">
        <v>0.32708333333333334</v>
      </c>
      <c r="BE102" s="119">
        <v>1</v>
      </c>
      <c r="BF102" s="108">
        <v>0.32569444444444445</v>
      </c>
      <c r="BG102" s="119">
        <v>1</v>
      </c>
      <c r="BH102" s="108">
        <v>0.32708333333333334</v>
      </c>
      <c r="BI102" s="119">
        <v>1</v>
      </c>
      <c r="BJ102" s="108">
        <v>0.33055555555555555</v>
      </c>
      <c r="BK102" s="119">
        <v>1</v>
      </c>
      <c r="BL102" s="110">
        <v>0.58194444444444449</v>
      </c>
      <c r="BM102" s="120">
        <v>1</v>
      </c>
      <c r="BN102" s="108">
        <v>0.3298611111111111</v>
      </c>
      <c r="BO102" s="119">
        <v>1</v>
      </c>
      <c r="BP102" s="12">
        <f t="shared" si="27"/>
        <v>31</v>
      </c>
      <c r="BQ102" s="118">
        <v>0</v>
      </c>
      <c r="BR102" s="2">
        <f t="shared" si="28"/>
        <v>31</v>
      </c>
      <c r="BS102" s="3">
        <f t="shared" si="29"/>
        <v>0</v>
      </c>
      <c r="BT102" s="3">
        <f t="shared" si="30"/>
        <v>0</v>
      </c>
      <c r="BU102" s="3">
        <f t="shared" si="31"/>
        <v>0</v>
      </c>
      <c r="BV102" s="3">
        <f t="shared" si="32"/>
        <v>0</v>
      </c>
      <c r="BW102" s="3">
        <f t="shared" si="33"/>
        <v>0</v>
      </c>
      <c r="BX102" s="3">
        <f t="shared" si="34"/>
        <v>0</v>
      </c>
      <c r="BY102" s="3">
        <f t="shared" si="35"/>
        <v>0</v>
      </c>
      <c r="BZ102" s="3">
        <f t="shared" si="36"/>
        <v>0</v>
      </c>
      <c r="CA102" s="3">
        <f t="shared" si="37"/>
        <v>0</v>
      </c>
      <c r="CB102" s="3">
        <f t="shared" si="38"/>
        <v>0</v>
      </c>
      <c r="CC102" s="3">
        <f t="shared" si="39"/>
        <v>0</v>
      </c>
      <c r="CD102" s="4"/>
      <c r="CH102" s="90">
        <v>0</v>
      </c>
      <c r="CI102" s="90">
        <v>0</v>
      </c>
      <c r="CJ102" s="90">
        <v>0</v>
      </c>
      <c r="CK102" s="90">
        <v>0</v>
      </c>
      <c r="CL102" s="90">
        <v>0</v>
      </c>
      <c r="CM102" s="90">
        <v>0</v>
      </c>
      <c r="CN102" s="90">
        <v>0</v>
      </c>
      <c r="CO102" s="90">
        <v>0</v>
      </c>
      <c r="CP102" s="90">
        <v>0</v>
      </c>
      <c r="CQ102" s="90">
        <v>0</v>
      </c>
      <c r="CR102" s="92">
        <f t="shared" si="41"/>
        <v>0</v>
      </c>
    </row>
    <row r="103" spans="1:96" ht="21.75" customHeight="1" x14ac:dyDescent="0.25">
      <c r="A103" s="55">
        <v>85</v>
      </c>
      <c r="B103" s="55" t="s">
        <v>222</v>
      </c>
      <c r="C103" s="83" t="s">
        <v>223</v>
      </c>
      <c r="D103" s="108">
        <v>0.34652777777777777</v>
      </c>
      <c r="E103" s="108">
        <v>0.96458333333333324</v>
      </c>
      <c r="F103" s="110">
        <v>0.57916666666666672</v>
      </c>
      <c r="G103" s="110">
        <v>0.97083333333333333</v>
      </c>
      <c r="H103" s="108">
        <v>0.34930555555555554</v>
      </c>
      <c r="I103" s="108">
        <v>0.96944444444444444</v>
      </c>
      <c r="J103" s="108">
        <v>0.34722222222222227</v>
      </c>
      <c r="K103" s="119">
        <v>1</v>
      </c>
      <c r="L103" s="108">
        <v>0.34513888888888888</v>
      </c>
      <c r="M103" s="108">
        <v>0.9604166666666667</v>
      </c>
      <c r="N103" s="108">
        <v>0.35138888888888892</v>
      </c>
      <c r="O103" s="108">
        <v>0.98055555555555562</v>
      </c>
      <c r="P103" s="108">
        <v>0.34930555555555554</v>
      </c>
      <c r="Q103" s="108">
        <v>0.96527777777777779</v>
      </c>
      <c r="R103" s="108">
        <v>0.35000000000000003</v>
      </c>
      <c r="S103" s="108">
        <v>0.96875</v>
      </c>
      <c r="T103" s="120" t="s">
        <v>15</v>
      </c>
      <c r="U103" s="120" t="s">
        <v>15</v>
      </c>
      <c r="V103" s="108">
        <v>0.3527777777777778</v>
      </c>
      <c r="W103" s="108">
        <v>0.99305555555555547</v>
      </c>
      <c r="X103" s="108">
        <v>0.34791666666666665</v>
      </c>
      <c r="Y103" s="108">
        <v>0.95138888888888884</v>
      </c>
      <c r="Z103" s="108">
        <v>0.34722222222222227</v>
      </c>
      <c r="AA103" s="108">
        <v>0.94861111111111107</v>
      </c>
      <c r="AB103" s="108">
        <v>0.34375</v>
      </c>
      <c r="AC103" s="108">
        <v>0.91875000000000007</v>
      </c>
      <c r="AD103" s="108">
        <v>0.34236111111111112</v>
      </c>
      <c r="AE103" s="108">
        <v>0.97569444444444453</v>
      </c>
      <c r="AF103" s="108">
        <v>0.35000000000000003</v>
      </c>
      <c r="AG103" s="108">
        <v>0.95486111111111116</v>
      </c>
      <c r="AI103" s="77">
        <v>85</v>
      </c>
      <c r="AJ103" s="110">
        <v>0.5805555555555556</v>
      </c>
      <c r="AK103" s="110">
        <v>0.95138888888888884</v>
      </c>
      <c r="AL103" s="108">
        <v>0.35138888888888892</v>
      </c>
      <c r="AM103" s="108">
        <v>0.91111111111111109</v>
      </c>
      <c r="AN103" s="108">
        <v>0.35347222222222219</v>
      </c>
      <c r="AO103" s="108">
        <v>0.97430555555555554</v>
      </c>
      <c r="AP103" s="108">
        <v>0.3527777777777778</v>
      </c>
      <c r="AQ103" s="108">
        <v>0.97916666666666663</v>
      </c>
      <c r="AR103" s="108">
        <v>0.34791666666666665</v>
      </c>
      <c r="AS103" s="108">
        <v>0.97569444444444453</v>
      </c>
      <c r="AT103" s="108">
        <v>0.35138888888888892</v>
      </c>
      <c r="AU103" s="108">
        <v>0.94861111111111107</v>
      </c>
      <c r="AV103" s="108">
        <v>0.35069444444444442</v>
      </c>
      <c r="AW103" s="108">
        <v>0.99444444444444446</v>
      </c>
      <c r="AX103" s="120" t="s">
        <v>15</v>
      </c>
      <c r="AY103" s="120" t="s">
        <v>15</v>
      </c>
      <c r="AZ103" s="108">
        <v>0.35138888888888892</v>
      </c>
      <c r="BA103" s="119">
        <v>1</v>
      </c>
      <c r="BB103" s="119">
        <v>1</v>
      </c>
      <c r="BC103" s="119">
        <v>1</v>
      </c>
      <c r="BD103" s="108">
        <v>0.34722222222222227</v>
      </c>
      <c r="BE103" s="108">
        <v>0.9375</v>
      </c>
      <c r="BF103" s="108">
        <v>0.34583333333333338</v>
      </c>
      <c r="BG103" s="108">
        <v>0.94166666666666676</v>
      </c>
      <c r="BH103" s="108">
        <v>0.34375</v>
      </c>
      <c r="BI103" s="108">
        <v>4.8611111111111112E-3</v>
      </c>
      <c r="BJ103" s="108">
        <v>0.3430555555555555</v>
      </c>
      <c r="BK103" s="108">
        <v>0.9770833333333333</v>
      </c>
      <c r="BL103" s="110">
        <v>0.58124999999999993</v>
      </c>
      <c r="BM103" s="120">
        <v>1</v>
      </c>
      <c r="BN103" s="108">
        <v>0.3444444444444445</v>
      </c>
      <c r="BO103" s="108">
        <v>0.96805555555555556</v>
      </c>
      <c r="BP103" s="12">
        <f t="shared" si="27"/>
        <v>31</v>
      </c>
      <c r="BQ103" s="118">
        <v>3</v>
      </c>
      <c r="BR103" s="2">
        <f t="shared" si="28"/>
        <v>29</v>
      </c>
      <c r="BS103" s="3">
        <f t="shared" si="29"/>
        <v>2</v>
      </c>
      <c r="BT103" s="3">
        <f t="shared" si="30"/>
        <v>0</v>
      </c>
      <c r="BU103" s="3">
        <f t="shared" si="31"/>
        <v>0</v>
      </c>
      <c r="BV103" s="3">
        <f t="shared" si="32"/>
        <v>0</v>
      </c>
      <c r="BW103" s="3">
        <f t="shared" si="33"/>
        <v>0</v>
      </c>
      <c r="BX103" s="3">
        <f t="shared" si="34"/>
        <v>0</v>
      </c>
      <c r="BY103" s="3">
        <f t="shared" si="35"/>
        <v>0</v>
      </c>
      <c r="BZ103" s="3">
        <f t="shared" si="36"/>
        <v>0</v>
      </c>
      <c r="CA103" s="3">
        <f t="shared" si="37"/>
        <v>0</v>
      </c>
      <c r="CB103" s="3">
        <f t="shared" si="38"/>
        <v>0</v>
      </c>
      <c r="CC103" s="3">
        <f t="shared" si="39"/>
        <v>0</v>
      </c>
      <c r="CD103" s="4"/>
      <c r="CH103" s="90">
        <v>0</v>
      </c>
      <c r="CI103" s="90">
        <v>0</v>
      </c>
      <c r="CJ103" s="90">
        <v>0</v>
      </c>
      <c r="CK103" s="90">
        <v>0</v>
      </c>
      <c r="CL103" s="90">
        <v>0</v>
      </c>
      <c r="CM103" s="90">
        <v>0</v>
      </c>
      <c r="CN103" s="90">
        <v>0</v>
      </c>
      <c r="CO103" s="90">
        <v>0</v>
      </c>
      <c r="CP103" s="90">
        <v>0</v>
      </c>
      <c r="CQ103" s="90">
        <v>0</v>
      </c>
      <c r="CR103" s="92">
        <f t="shared" si="41"/>
        <v>0</v>
      </c>
    </row>
    <row r="104" spans="1:96" ht="19.5" customHeight="1" x14ac:dyDescent="0.25">
      <c r="A104" s="55">
        <v>86</v>
      </c>
      <c r="B104" s="55" t="s">
        <v>229</v>
      </c>
      <c r="C104" s="83" t="s">
        <v>230</v>
      </c>
      <c r="D104" s="108">
        <v>0.34166666666666662</v>
      </c>
      <c r="E104" s="108">
        <v>0.97499999999999998</v>
      </c>
      <c r="F104" s="120" t="s">
        <v>15</v>
      </c>
      <c r="G104" s="120" t="s">
        <v>15</v>
      </c>
      <c r="H104" s="108">
        <v>0.35902777777777778</v>
      </c>
      <c r="I104" s="108">
        <v>0.97499999999999998</v>
      </c>
      <c r="J104" s="108">
        <v>0.35625000000000001</v>
      </c>
      <c r="K104" s="108">
        <v>0.9604166666666667</v>
      </c>
      <c r="L104" s="108">
        <v>0.35833333333333334</v>
      </c>
      <c r="M104" s="108">
        <v>0.36180555555555555</v>
      </c>
      <c r="N104" s="108">
        <v>0.35555555555555557</v>
      </c>
      <c r="O104" s="108">
        <v>0.9590277777777777</v>
      </c>
      <c r="P104" s="108">
        <v>0.3576388888888889</v>
      </c>
      <c r="Q104" s="108">
        <v>0.95208333333333339</v>
      </c>
      <c r="R104" s="108">
        <v>0.35972222222222222</v>
      </c>
      <c r="S104" s="108">
        <v>0.97361111111111109</v>
      </c>
      <c r="T104" s="110">
        <v>0.5708333333333333</v>
      </c>
      <c r="U104" s="110">
        <v>0.95277777777777783</v>
      </c>
      <c r="V104" s="108">
        <v>0.34791666666666665</v>
      </c>
      <c r="W104" s="108">
        <v>0.9784722222222223</v>
      </c>
      <c r="X104" s="108">
        <v>0.34236111111111112</v>
      </c>
      <c r="Y104" s="108">
        <v>0.95486111111111116</v>
      </c>
      <c r="Z104" s="108">
        <v>0.34861111111111115</v>
      </c>
      <c r="AA104" s="108">
        <v>0.9590277777777777</v>
      </c>
      <c r="AB104" s="108">
        <v>0.35416666666666669</v>
      </c>
      <c r="AC104" s="108">
        <v>0.95624999999999993</v>
      </c>
      <c r="AD104" s="108">
        <v>0.35902777777777778</v>
      </c>
      <c r="AE104" s="108">
        <v>0.95763888888888893</v>
      </c>
      <c r="AF104" s="108">
        <v>0.34930555555555554</v>
      </c>
      <c r="AG104" s="108">
        <v>0.98125000000000007</v>
      </c>
      <c r="AI104" s="77">
        <v>86</v>
      </c>
      <c r="AJ104" s="120" t="s">
        <v>15</v>
      </c>
      <c r="AK104" s="120" t="s">
        <v>15</v>
      </c>
      <c r="AL104" s="108">
        <v>0.35694444444444445</v>
      </c>
      <c r="AM104" s="108">
        <v>0.9868055555555556</v>
      </c>
      <c r="AN104" s="108">
        <v>0.34861111111111115</v>
      </c>
      <c r="AO104" s="108">
        <v>0.95347222222222217</v>
      </c>
      <c r="AP104" s="108">
        <v>0.35138888888888892</v>
      </c>
      <c r="AQ104" s="108">
        <v>0.95208333333333339</v>
      </c>
      <c r="AR104" s="108">
        <v>0.35000000000000003</v>
      </c>
      <c r="AS104" s="108">
        <v>0.9506944444444444</v>
      </c>
      <c r="AT104" s="108">
        <v>0.3527777777777778</v>
      </c>
      <c r="AU104" s="108">
        <v>0.9604166666666667</v>
      </c>
      <c r="AV104" s="108">
        <v>0.3527777777777778</v>
      </c>
      <c r="AW104" s="108">
        <v>0.97499999999999998</v>
      </c>
      <c r="AX104" s="110">
        <v>0.57361111111111118</v>
      </c>
      <c r="AY104" s="110">
        <v>0.95972222222222225</v>
      </c>
      <c r="AZ104" s="108">
        <v>0.35486111111111113</v>
      </c>
      <c r="BA104" s="108">
        <v>0.97291666666666676</v>
      </c>
      <c r="BB104" s="108">
        <v>0.3527777777777778</v>
      </c>
      <c r="BC104" s="108">
        <v>0.95624999999999993</v>
      </c>
      <c r="BD104" s="108">
        <v>0.35138888888888892</v>
      </c>
      <c r="BE104" s="108">
        <v>0.99444444444444446</v>
      </c>
      <c r="BF104" s="108">
        <v>0.35486111111111113</v>
      </c>
      <c r="BG104" s="108">
        <v>0.95763888888888893</v>
      </c>
      <c r="BH104" s="108">
        <v>0.35416666666666669</v>
      </c>
      <c r="BI104" s="108">
        <v>0.95694444444444438</v>
      </c>
      <c r="BJ104" s="108">
        <v>0.35000000000000003</v>
      </c>
      <c r="BK104" s="108">
        <v>0.97499999999999998</v>
      </c>
      <c r="BL104" s="120" t="s">
        <v>15</v>
      </c>
      <c r="BM104" s="120" t="s">
        <v>15</v>
      </c>
      <c r="BN104" s="108">
        <v>0.35000000000000003</v>
      </c>
      <c r="BO104" s="108">
        <v>0.97569444444444453</v>
      </c>
      <c r="BP104" s="12">
        <f t="shared" si="27"/>
        <v>31</v>
      </c>
      <c r="BQ104" s="118">
        <v>2</v>
      </c>
      <c r="BR104" s="2">
        <f t="shared" si="28"/>
        <v>28</v>
      </c>
      <c r="BS104" s="3">
        <f t="shared" si="29"/>
        <v>3</v>
      </c>
      <c r="BT104" s="3">
        <f t="shared" si="30"/>
        <v>0</v>
      </c>
      <c r="BU104" s="3">
        <f t="shared" si="31"/>
        <v>0</v>
      </c>
      <c r="BV104" s="3">
        <f t="shared" si="32"/>
        <v>0</v>
      </c>
      <c r="BW104" s="3">
        <f t="shared" si="33"/>
        <v>0</v>
      </c>
      <c r="BX104" s="3">
        <f t="shared" si="34"/>
        <v>0</v>
      </c>
      <c r="BY104" s="3">
        <f t="shared" si="35"/>
        <v>0</v>
      </c>
      <c r="BZ104" s="3">
        <f t="shared" si="36"/>
        <v>0</v>
      </c>
      <c r="CA104" s="3">
        <f t="shared" si="37"/>
        <v>0</v>
      </c>
      <c r="CB104" s="3">
        <f t="shared" si="38"/>
        <v>0</v>
      </c>
      <c r="CC104" s="3">
        <f t="shared" si="39"/>
        <v>0</v>
      </c>
      <c r="CD104" s="4"/>
      <c r="CH104" s="90">
        <v>0</v>
      </c>
      <c r="CI104" s="91">
        <v>0</v>
      </c>
      <c r="CJ104" s="91">
        <v>0</v>
      </c>
      <c r="CK104" s="91">
        <v>0</v>
      </c>
      <c r="CL104" s="91">
        <v>0</v>
      </c>
      <c r="CM104" s="91">
        <v>0</v>
      </c>
      <c r="CN104" s="91">
        <v>0</v>
      </c>
      <c r="CO104" s="91">
        <v>0</v>
      </c>
      <c r="CP104" s="91">
        <v>0</v>
      </c>
      <c r="CQ104" s="91">
        <v>0</v>
      </c>
      <c r="CR104" s="92">
        <f t="shared" si="41"/>
        <v>0</v>
      </c>
    </row>
    <row r="105" spans="1:96" ht="21.75" customHeight="1" x14ac:dyDescent="0.25">
      <c r="A105" s="55">
        <v>87</v>
      </c>
      <c r="B105" s="55" t="s">
        <v>231</v>
      </c>
      <c r="C105" s="83" t="s">
        <v>232</v>
      </c>
      <c r="D105" s="108">
        <v>0.35416666666666669</v>
      </c>
      <c r="E105" s="108">
        <v>0.97569444444444453</v>
      </c>
      <c r="F105" s="110">
        <v>0.58333333333333337</v>
      </c>
      <c r="G105" s="110">
        <v>0.94861111111111107</v>
      </c>
      <c r="H105" s="108">
        <v>0.36736111111111108</v>
      </c>
      <c r="I105" s="108">
        <v>0.96736111111111101</v>
      </c>
      <c r="J105" s="108">
        <v>0.35694444444444445</v>
      </c>
      <c r="K105" s="108">
        <v>0.94861111111111107</v>
      </c>
      <c r="L105" s="108">
        <v>0.35555555555555557</v>
      </c>
      <c r="M105" s="108">
        <v>0.95694444444444438</v>
      </c>
      <c r="N105" s="108">
        <v>0.95000000000000007</v>
      </c>
      <c r="O105" s="119">
        <v>1</v>
      </c>
      <c r="P105" s="108">
        <v>0.35972222222222222</v>
      </c>
      <c r="Q105" s="108">
        <v>0.95000000000000007</v>
      </c>
      <c r="R105" s="108">
        <v>0.35555555555555557</v>
      </c>
      <c r="S105" s="108">
        <v>0.97222222222222221</v>
      </c>
      <c r="T105" s="120" t="s">
        <v>15</v>
      </c>
      <c r="U105" s="120" t="s">
        <v>15</v>
      </c>
      <c r="V105" s="108">
        <v>0.35555555555555557</v>
      </c>
      <c r="W105" s="108">
        <v>0.97152777777777777</v>
      </c>
      <c r="X105" s="108">
        <v>0.3527777777777778</v>
      </c>
      <c r="Y105" s="119">
        <v>1</v>
      </c>
      <c r="Z105" s="108">
        <v>0.35416666666666669</v>
      </c>
      <c r="AA105" s="108">
        <v>0.96111111111111114</v>
      </c>
      <c r="AB105" s="108">
        <v>0.35486111111111113</v>
      </c>
      <c r="AC105" s="108">
        <v>0.95208333333333339</v>
      </c>
      <c r="AD105" s="108">
        <v>0.35416666666666669</v>
      </c>
      <c r="AE105" s="108">
        <v>0.95000000000000007</v>
      </c>
      <c r="AF105" s="108">
        <v>0.35486111111111113</v>
      </c>
      <c r="AG105" s="108">
        <v>0.9784722222222223</v>
      </c>
      <c r="AI105" s="77">
        <v>87</v>
      </c>
      <c r="AJ105" s="110">
        <v>0.58333333333333337</v>
      </c>
      <c r="AK105" s="110">
        <v>0.95208333333333339</v>
      </c>
      <c r="AL105" s="108">
        <v>0.3576388888888889</v>
      </c>
      <c r="AM105" s="108">
        <v>0.97777777777777775</v>
      </c>
      <c r="AN105" s="108">
        <v>0.35486111111111113</v>
      </c>
      <c r="AO105" s="108">
        <v>0.95624999999999993</v>
      </c>
      <c r="AP105" s="108">
        <v>0.35416666666666669</v>
      </c>
      <c r="AQ105" s="108">
        <v>0.9506944444444444</v>
      </c>
      <c r="AR105" s="108">
        <v>0.35694444444444445</v>
      </c>
      <c r="AS105" s="108">
        <v>0.9458333333333333</v>
      </c>
      <c r="AT105" s="108">
        <v>0.35625000000000001</v>
      </c>
      <c r="AU105" s="108">
        <v>0.9555555555555556</v>
      </c>
      <c r="AV105" s="108">
        <v>0.34722222222222227</v>
      </c>
      <c r="AW105" s="119">
        <v>1</v>
      </c>
      <c r="AX105" s="120" t="s">
        <v>15</v>
      </c>
      <c r="AY105" s="120" t="s">
        <v>15</v>
      </c>
      <c r="AZ105" s="108">
        <v>0.34930555555555554</v>
      </c>
      <c r="BA105" s="119">
        <v>1</v>
      </c>
      <c r="BB105" s="108" t="s">
        <v>202</v>
      </c>
      <c r="BC105" s="108" t="s">
        <v>202</v>
      </c>
      <c r="BD105" s="108">
        <v>0.34513888888888888</v>
      </c>
      <c r="BE105" s="119">
        <v>1</v>
      </c>
      <c r="BF105" s="108">
        <v>0.34583333333333338</v>
      </c>
      <c r="BG105" s="108">
        <v>0.95624999999999993</v>
      </c>
      <c r="BH105" s="108">
        <v>0.34583333333333338</v>
      </c>
      <c r="BI105" s="119">
        <v>1</v>
      </c>
      <c r="BJ105" s="108">
        <v>0.34930555555555554</v>
      </c>
      <c r="BK105" s="108">
        <v>0.97638888888888886</v>
      </c>
      <c r="BL105" s="110">
        <v>0.57847222222222217</v>
      </c>
      <c r="BM105" s="120">
        <v>1</v>
      </c>
      <c r="BN105" s="108">
        <v>0.3444444444444445</v>
      </c>
      <c r="BO105" s="108">
        <v>0.97291666666666676</v>
      </c>
      <c r="BP105" s="12">
        <f t="shared" si="27"/>
        <v>31</v>
      </c>
      <c r="BQ105" s="118">
        <v>3</v>
      </c>
      <c r="BR105" s="2">
        <f t="shared" si="28"/>
        <v>28</v>
      </c>
      <c r="BS105" s="3">
        <f t="shared" si="29"/>
        <v>2</v>
      </c>
      <c r="BT105" s="3">
        <f t="shared" si="30"/>
        <v>0</v>
      </c>
      <c r="BU105" s="3">
        <f t="shared" si="31"/>
        <v>0</v>
      </c>
      <c r="BV105" s="3">
        <f t="shared" si="32"/>
        <v>0</v>
      </c>
      <c r="BW105" s="3">
        <f t="shared" si="33"/>
        <v>0</v>
      </c>
      <c r="BX105" s="3">
        <f t="shared" si="34"/>
        <v>0</v>
      </c>
      <c r="BY105" s="3">
        <f t="shared" si="35"/>
        <v>1</v>
      </c>
      <c r="BZ105" s="3">
        <f t="shared" si="36"/>
        <v>0</v>
      </c>
      <c r="CA105" s="3">
        <f t="shared" si="37"/>
        <v>0</v>
      </c>
      <c r="CB105" s="3">
        <f t="shared" si="38"/>
        <v>0</v>
      </c>
      <c r="CC105" s="3">
        <f t="shared" si="39"/>
        <v>0</v>
      </c>
      <c r="CD105" s="4"/>
      <c r="CH105" s="115">
        <v>0</v>
      </c>
      <c r="CI105" s="128">
        <v>0</v>
      </c>
      <c r="CJ105" s="128">
        <v>0</v>
      </c>
      <c r="CK105" s="128">
        <v>0</v>
      </c>
      <c r="CL105" s="128">
        <v>0</v>
      </c>
      <c r="CM105" s="128">
        <v>3</v>
      </c>
      <c r="CN105" s="128">
        <v>0</v>
      </c>
      <c r="CO105" s="128">
        <v>0</v>
      </c>
      <c r="CP105" s="128">
        <v>0</v>
      </c>
      <c r="CQ105" s="128">
        <v>0</v>
      </c>
      <c r="CR105" s="116">
        <f t="shared" ref="CR105:CR110" si="42">SUM(CH105:CQ105)</f>
        <v>3</v>
      </c>
    </row>
    <row r="106" spans="1:96" ht="21.75" customHeight="1" x14ac:dyDescent="0.25">
      <c r="A106" s="55">
        <v>88</v>
      </c>
      <c r="B106" s="55" t="s">
        <v>235</v>
      </c>
      <c r="C106" s="83" t="s">
        <v>237</v>
      </c>
      <c r="D106" s="108" t="s">
        <v>202</v>
      </c>
      <c r="E106" s="108" t="s">
        <v>202</v>
      </c>
      <c r="F106" s="120" t="s">
        <v>15</v>
      </c>
      <c r="G106" s="120" t="s">
        <v>15</v>
      </c>
      <c r="H106" s="108">
        <v>0.35069444444444442</v>
      </c>
      <c r="I106" s="108">
        <v>0.97013888888888899</v>
      </c>
      <c r="J106" s="108">
        <v>0.3527777777777778</v>
      </c>
      <c r="K106" s="108">
        <v>0.98125000000000007</v>
      </c>
      <c r="L106" s="108">
        <v>0.35069444444444442</v>
      </c>
      <c r="M106" s="119">
        <v>1</v>
      </c>
      <c r="N106" s="108">
        <v>0.3527777777777778</v>
      </c>
      <c r="O106" s="119">
        <v>1</v>
      </c>
      <c r="P106" s="108">
        <v>0.35000000000000003</v>
      </c>
      <c r="Q106" s="108">
        <v>0.96458333333333324</v>
      </c>
      <c r="R106" s="108">
        <v>0.35347222222222219</v>
      </c>
      <c r="S106" s="108">
        <v>0.96805555555555556</v>
      </c>
      <c r="T106" s="110">
        <v>0.5756944444444444</v>
      </c>
      <c r="U106" s="110">
        <v>0.9194444444444444</v>
      </c>
      <c r="V106" s="108">
        <v>0.35000000000000003</v>
      </c>
      <c r="W106" s="108">
        <v>0.99305555555555547</v>
      </c>
      <c r="X106" s="108">
        <v>0.35138888888888892</v>
      </c>
      <c r="Y106" s="108">
        <v>0.95138888888888884</v>
      </c>
      <c r="Z106" s="108">
        <v>0.34722222222222227</v>
      </c>
      <c r="AA106" s="108">
        <v>0.9472222222222223</v>
      </c>
      <c r="AB106" s="108">
        <v>0.34930555555555554</v>
      </c>
      <c r="AC106" s="108">
        <v>0.92638888888888893</v>
      </c>
      <c r="AD106" s="108">
        <v>0.34930555555555554</v>
      </c>
      <c r="AE106" s="108">
        <v>0.96388888888888891</v>
      </c>
      <c r="AF106" s="108">
        <v>0.34236111111111112</v>
      </c>
      <c r="AG106" s="108">
        <v>0.9555555555555556</v>
      </c>
      <c r="AI106" s="77">
        <v>88</v>
      </c>
      <c r="AJ106" s="120" t="s">
        <v>15</v>
      </c>
      <c r="AK106" s="120" t="s">
        <v>15</v>
      </c>
      <c r="AL106" s="108">
        <v>0.3520833333333333</v>
      </c>
      <c r="AM106" s="108">
        <v>0.98819444444444438</v>
      </c>
      <c r="AN106" s="108">
        <v>0.34583333333333338</v>
      </c>
      <c r="AO106" s="108">
        <v>0.97430555555555554</v>
      </c>
      <c r="AP106" s="108">
        <v>0.35138888888888892</v>
      </c>
      <c r="AQ106" s="108">
        <v>0.97777777777777775</v>
      </c>
      <c r="AR106" s="108">
        <v>0.35138888888888892</v>
      </c>
      <c r="AS106" s="108">
        <v>0.97638888888888886</v>
      </c>
      <c r="AT106" s="108">
        <v>0.34722222222222227</v>
      </c>
      <c r="AU106" s="108">
        <v>0.95416666666666661</v>
      </c>
      <c r="AV106" s="108">
        <v>0.34375</v>
      </c>
      <c r="AW106" s="108">
        <v>0.9291666666666667</v>
      </c>
      <c r="AX106" s="110">
        <v>0.5756944444444444</v>
      </c>
      <c r="AY106" s="110">
        <v>0.9472222222222223</v>
      </c>
      <c r="AZ106" s="108">
        <v>0.34722222222222227</v>
      </c>
      <c r="BA106" s="119">
        <v>1</v>
      </c>
      <c r="BB106" s="108">
        <v>0.33888888888888885</v>
      </c>
      <c r="BC106" s="108">
        <v>0.96527777777777779</v>
      </c>
      <c r="BD106" s="108">
        <v>0.34722222222222227</v>
      </c>
      <c r="BE106" s="108">
        <v>0.95208333333333339</v>
      </c>
      <c r="BF106" s="108">
        <v>0.3430555555555555</v>
      </c>
      <c r="BG106" s="108">
        <v>0.94236111111111109</v>
      </c>
      <c r="BH106" s="108">
        <v>0.3444444444444445</v>
      </c>
      <c r="BI106" s="108">
        <v>4.8611111111111112E-3</v>
      </c>
      <c r="BJ106" s="108">
        <v>0.3444444444444445</v>
      </c>
      <c r="BK106" s="108">
        <v>0.98819444444444438</v>
      </c>
      <c r="BL106" s="120" t="s">
        <v>15</v>
      </c>
      <c r="BM106" s="120" t="s">
        <v>15</v>
      </c>
      <c r="BN106" s="108">
        <v>0.34166666666666662</v>
      </c>
      <c r="BO106" s="119">
        <v>1</v>
      </c>
      <c r="BP106" s="12">
        <f t="shared" ref="BP106:BP114" si="43">BR106+BS106+BU106+BV106+BZ106+BX106+BY106+CC106</f>
        <v>31</v>
      </c>
      <c r="BQ106" s="118">
        <v>2</v>
      </c>
      <c r="BR106" s="2">
        <f t="shared" ref="BR106:BR114" si="44">COUNT(D106:AG106)/2+COUNT(AJ106:BO106)/2</f>
        <v>27</v>
      </c>
      <c r="BS106" s="3">
        <f t="shared" ref="BS106:BS114" si="45">COUNTIF(D106:BO106,"OFF")/2</f>
        <v>3</v>
      </c>
      <c r="BT106" s="3">
        <f t="shared" ref="BT106:BT114" si="46">COUNTIF(D106:BO106,"MC")/2</f>
        <v>0</v>
      </c>
      <c r="BU106" s="3">
        <f t="shared" ref="BU106:BU114" si="47">COUNTIF(D106:BO106,"EL")/2</f>
        <v>0</v>
      </c>
      <c r="BV106" s="3">
        <f t="shared" ref="BV106:BV114" si="48">COUNTIF(D106:BO106,"AL")/2</f>
        <v>0</v>
      </c>
      <c r="BW106" s="3">
        <f t="shared" ref="BW106:BW114" si="49">COUNTIF(D106:BO106,"SUS")/2</f>
        <v>0</v>
      </c>
      <c r="BX106" s="3">
        <f t="shared" ref="BX106:BX114" si="50">COUNTIF(D106:BO106,"FL")/2</f>
        <v>0</v>
      </c>
      <c r="BY106" s="3">
        <f t="shared" ref="BY106:BY114" si="51">COUNTIF(D106:BO106,"SICK")/2</f>
        <v>1</v>
      </c>
      <c r="BZ106" s="3">
        <f t="shared" ref="BZ106:BZ114" si="52">COUNTIF(D106:BO106,"HD")/2</f>
        <v>0</v>
      </c>
      <c r="CA106" s="3">
        <f t="shared" ref="CA106:CA114" si="53">COUNTIF(D106:BO106,"AB")/2</f>
        <v>0</v>
      </c>
      <c r="CB106" s="3">
        <f t="shared" ref="CB106:CB114" si="54">COUNTIF(D106:BO106,"NL")/2</f>
        <v>0</v>
      </c>
      <c r="CC106" s="3">
        <f t="shared" ref="CC106:CC114" si="55">COUNTIF(D106:BO106,"SP")/2</f>
        <v>0</v>
      </c>
      <c r="CD106" s="4"/>
      <c r="CH106" s="90">
        <v>0</v>
      </c>
      <c r="CI106" s="91">
        <v>0</v>
      </c>
      <c r="CJ106" s="91">
        <v>0</v>
      </c>
      <c r="CK106" s="91">
        <v>0</v>
      </c>
      <c r="CL106" s="91">
        <v>0</v>
      </c>
      <c r="CM106" s="91">
        <v>1</v>
      </c>
      <c r="CN106" s="91">
        <v>0</v>
      </c>
      <c r="CO106" s="91">
        <v>0</v>
      </c>
      <c r="CP106" s="91">
        <v>0</v>
      </c>
      <c r="CQ106" s="91">
        <v>0</v>
      </c>
      <c r="CR106" s="92">
        <f t="shared" si="42"/>
        <v>1</v>
      </c>
    </row>
    <row r="107" spans="1:96" ht="22.5" customHeight="1" x14ac:dyDescent="0.25">
      <c r="A107" s="55">
        <v>89</v>
      </c>
      <c r="B107" s="55" t="s">
        <v>236</v>
      </c>
      <c r="C107" s="83" t="s">
        <v>238</v>
      </c>
      <c r="D107" s="108">
        <v>0.35416666666666669</v>
      </c>
      <c r="E107" s="108">
        <v>0.97291666666666676</v>
      </c>
      <c r="F107" s="110">
        <v>0.58263888888888882</v>
      </c>
      <c r="G107" s="110">
        <v>0.94791666666666663</v>
      </c>
      <c r="H107" s="108">
        <v>0.35347222222222219</v>
      </c>
      <c r="I107" s="108">
        <v>0.96805555555555556</v>
      </c>
      <c r="J107" s="108">
        <v>0.35694444444444445</v>
      </c>
      <c r="K107" s="108">
        <v>0.9555555555555556</v>
      </c>
      <c r="L107" s="108">
        <v>0.35486111111111113</v>
      </c>
      <c r="M107" s="108">
        <v>0.96111111111111114</v>
      </c>
      <c r="N107" s="108">
        <v>0.35555555555555557</v>
      </c>
      <c r="O107" s="108">
        <v>0.95833333333333337</v>
      </c>
      <c r="P107" s="108">
        <v>0.35486111111111113</v>
      </c>
      <c r="Q107" s="108">
        <v>0.94930555555555562</v>
      </c>
      <c r="R107" s="108">
        <v>0.35486111111111113</v>
      </c>
      <c r="S107" s="108">
        <v>0.97083333333333333</v>
      </c>
      <c r="T107" s="120" t="s">
        <v>15</v>
      </c>
      <c r="U107" s="120" t="s">
        <v>15</v>
      </c>
      <c r="V107" s="108">
        <v>0.35555555555555557</v>
      </c>
      <c r="W107" s="108">
        <v>0.97569444444444453</v>
      </c>
      <c r="X107" s="108">
        <v>0.3527777777777778</v>
      </c>
      <c r="Y107" s="108">
        <v>0.95416666666666661</v>
      </c>
      <c r="Z107" s="108">
        <v>0.35416666666666669</v>
      </c>
      <c r="AA107" s="108">
        <v>0.96180555555555547</v>
      </c>
      <c r="AB107" s="108">
        <v>0.35486111111111113</v>
      </c>
      <c r="AC107" s="108">
        <v>0.95416666666666661</v>
      </c>
      <c r="AD107" s="108">
        <v>0.35347222222222219</v>
      </c>
      <c r="AE107" s="108">
        <v>0.95138888888888884</v>
      </c>
      <c r="AF107" s="108">
        <v>0.35555555555555557</v>
      </c>
      <c r="AG107" s="108">
        <v>0.97777777777777775</v>
      </c>
      <c r="AI107" s="77">
        <v>89</v>
      </c>
      <c r="AJ107" s="110">
        <v>0.58263888888888882</v>
      </c>
      <c r="AK107" s="110">
        <v>0.96527777777777779</v>
      </c>
      <c r="AL107" s="108">
        <v>0.35625000000000001</v>
      </c>
      <c r="AM107" s="108">
        <v>0.96458333333333324</v>
      </c>
      <c r="AN107" s="108">
        <v>0.35486111111111113</v>
      </c>
      <c r="AO107" s="108">
        <v>0.95624999999999993</v>
      </c>
      <c r="AP107" s="108">
        <v>0.35347222222222219</v>
      </c>
      <c r="AQ107" s="108">
        <v>0.95347222222222217</v>
      </c>
      <c r="AR107" s="108">
        <v>0.35555555555555557</v>
      </c>
      <c r="AS107" s="108">
        <v>0.95138888888888884</v>
      </c>
      <c r="AT107" s="108">
        <v>0.35555555555555557</v>
      </c>
      <c r="AU107" s="108">
        <v>0.9604166666666667</v>
      </c>
      <c r="AV107" s="108">
        <v>0.35486111111111113</v>
      </c>
      <c r="AW107" s="119">
        <v>1</v>
      </c>
      <c r="AX107" s="120" t="s">
        <v>15</v>
      </c>
      <c r="AY107" s="120" t="s">
        <v>15</v>
      </c>
      <c r="AZ107" s="108">
        <v>0.35555555555555557</v>
      </c>
      <c r="BA107" s="108">
        <v>0.97291666666666676</v>
      </c>
      <c r="BB107" s="108">
        <v>0.35555555555555557</v>
      </c>
      <c r="BC107" s="108">
        <v>0.95416666666666661</v>
      </c>
      <c r="BD107" s="108">
        <v>0.35416666666666669</v>
      </c>
      <c r="BE107" s="108">
        <v>0.99583333333333324</v>
      </c>
      <c r="BF107" s="108">
        <v>0.35416666666666669</v>
      </c>
      <c r="BG107" s="108">
        <v>0.95833333333333337</v>
      </c>
      <c r="BH107" s="108">
        <v>0.35486111111111113</v>
      </c>
      <c r="BI107" s="108">
        <v>0.95347222222222217</v>
      </c>
      <c r="BJ107" s="108">
        <v>0.35625000000000001</v>
      </c>
      <c r="BK107" s="108">
        <v>0.97222222222222221</v>
      </c>
      <c r="BL107" s="110">
        <v>0.58194444444444449</v>
      </c>
      <c r="BM107" s="110">
        <v>0.95347222222222217</v>
      </c>
      <c r="BN107" s="108">
        <v>0.35416666666666669</v>
      </c>
      <c r="BO107" s="108">
        <v>0.97291666666666676</v>
      </c>
      <c r="BP107" s="12">
        <f t="shared" si="43"/>
        <v>31</v>
      </c>
      <c r="BQ107" s="118">
        <v>3</v>
      </c>
      <c r="BR107" s="2">
        <f t="shared" si="44"/>
        <v>29</v>
      </c>
      <c r="BS107" s="3">
        <f t="shared" si="45"/>
        <v>2</v>
      </c>
      <c r="BT107" s="3">
        <f t="shared" si="46"/>
        <v>0</v>
      </c>
      <c r="BU107" s="3">
        <f t="shared" si="47"/>
        <v>0</v>
      </c>
      <c r="BV107" s="3">
        <f t="shared" si="48"/>
        <v>0</v>
      </c>
      <c r="BW107" s="3">
        <f t="shared" si="49"/>
        <v>0</v>
      </c>
      <c r="BX107" s="3">
        <f t="shared" si="50"/>
        <v>0</v>
      </c>
      <c r="BY107" s="3">
        <f t="shared" si="51"/>
        <v>0</v>
      </c>
      <c r="BZ107" s="3">
        <f t="shared" si="52"/>
        <v>0</v>
      </c>
      <c r="CA107" s="3">
        <f t="shared" si="53"/>
        <v>0</v>
      </c>
      <c r="CB107" s="3">
        <f t="shared" si="54"/>
        <v>0</v>
      </c>
      <c r="CC107" s="3">
        <f t="shared" si="55"/>
        <v>0</v>
      </c>
      <c r="CD107" s="4"/>
      <c r="CH107" s="115">
        <v>0</v>
      </c>
      <c r="CI107" s="128">
        <v>0</v>
      </c>
      <c r="CJ107" s="128">
        <v>0</v>
      </c>
      <c r="CK107" s="128">
        <v>0</v>
      </c>
      <c r="CL107" s="128">
        <v>0</v>
      </c>
      <c r="CM107" s="128">
        <v>0</v>
      </c>
      <c r="CN107" s="128">
        <v>0</v>
      </c>
      <c r="CO107" s="128">
        <v>0</v>
      </c>
      <c r="CP107" s="128">
        <v>0</v>
      </c>
      <c r="CQ107" s="128">
        <v>0</v>
      </c>
      <c r="CR107" s="116">
        <f t="shared" si="42"/>
        <v>0</v>
      </c>
    </row>
    <row r="108" spans="1:96" ht="22.5" customHeight="1" x14ac:dyDescent="0.25">
      <c r="A108" s="55">
        <v>90</v>
      </c>
      <c r="B108" s="55" t="s">
        <v>239</v>
      </c>
      <c r="C108" s="83" t="s">
        <v>240</v>
      </c>
      <c r="D108" s="108">
        <v>0.34722222222222227</v>
      </c>
      <c r="E108" s="108">
        <v>0.96458333333333324</v>
      </c>
      <c r="F108" s="120" t="s">
        <v>15</v>
      </c>
      <c r="G108" s="120" t="s">
        <v>15</v>
      </c>
      <c r="H108" s="108">
        <v>0.34652777777777777</v>
      </c>
      <c r="I108" s="108">
        <v>0.97361111111111109</v>
      </c>
      <c r="J108" s="108">
        <v>0.3520833333333333</v>
      </c>
      <c r="K108" s="108">
        <v>0.96111111111111114</v>
      </c>
      <c r="L108" s="108">
        <v>0.35069444444444442</v>
      </c>
      <c r="M108" s="108">
        <v>0.97986111111111107</v>
      </c>
      <c r="N108" s="108">
        <v>0.34583333333333338</v>
      </c>
      <c r="O108" s="108">
        <v>0.9506944444444444</v>
      </c>
      <c r="P108" s="108">
        <v>0.35138888888888892</v>
      </c>
      <c r="Q108" s="108">
        <v>0.9590277777777777</v>
      </c>
      <c r="R108" s="108">
        <v>0.34861111111111115</v>
      </c>
      <c r="S108" s="108">
        <v>0.96319444444444446</v>
      </c>
      <c r="T108" s="110">
        <v>0.58124999999999993</v>
      </c>
      <c r="U108" s="120">
        <v>1</v>
      </c>
      <c r="V108" s="108">
        <v>0.34375</v>
      </c>
      <c r="W108" s="108">
        <v>0.95972222222222225</v>
      </c>
      <c r="X108" s="108">
        <v>0.35069444444444442</v>
      </c>
      <c r="Y108" s="108">
        <v>0.94791666666666663</v>
      </c>
      <c r="Z108" s="108">
        <v>0.3527777777777778</v>
      </c>
      <c r="AA108" s="108">
        <v>0.94861111111111107</v>
      </c>
      <c r="AB108" s="108">
        <v>0.3444444444444445</v>
      </c>
      <c r="AC108" s="108">
        <v>0.93611111111111101</v>
      </c>
      <c r="AD108" s="108">
        <v>0.3520833333333333</v>
      </c>
      <c r="AE108" s="108">
        <v>0.93888888888888899</v>
      </c>
      <c r="AF108" s="108">
        <v>0.35000000000000003</v>
      </c>
      <c r="AG108" s="108">
        <v>0.96319444444444446</v>
      </c>
      <c r="AI108" s="77">
        <v>90</v>
      </c>
      <c r="AJ108" s="110">
        <v>0.58333333333333337</v>
      </c>
      <c r="AK108" s="110">
        <v>0.91666666666666663</v>
      </c>
      <c r="AL108" s="108">
        <v>0.36180555555555555</v>
      </c>
      <c r="AM108" s="108" t="s">
        <v>202</v>
      </c>
      <c r="AN108" s="108" t="s">
        <v>202</v>
      </c>
      <c r="AO108" s="108" t="s">
        <v>202</v>
      </c>
      <c r="AP108" s="108" t="s">
        <v>202</v>
      </c>
      <c r="AQ108" s="108" t="s">
        <v>202</v>
      </c>
      <c r="AR108" s="108">
        <v>0.35069444444444442</v>
      </c>
      <c r="AS108" s="108">
        <v>0.96736111111111101</v>
      </c>
      <c r="AT108" s="108" t="s">
        <v>202</v>
      </c>
      <c r="AU108" s="108" t="s">
        <v>202</v>
      </c>
      <c r="AV108" s="108" t="s">
        <v>202</v>
      </c>
      <c r="AW108" s="108" t="s">
        <v>202</v>
      </c>
      <c r="AX108" s="120" t="s">
        <v>15</v>
      </c>
      <c r="AY108" s="120" t="s">
        <v>15</v>
      </c>
      <c r="AZ108" s="108" t="s">
        <v>202</v>
      </c>
      <c r="BA108" s="108" t="s">
        <v>202</v>
      </c>
      <c r="BB108" s="108" t="s">
        <v>202</v>
      </c>
      <c r="BC108" s="108" t="s">
        <v>202</v>
      </c>
      <c r="BD108" s="108" t="s">
        <v>202</v>
      </c>
      <c r="BE108" s="108" t="s">
        <v>202</v>
      </c>
      <c r="BF108" s="108" t="s">
        <v>202</v>
      </c>
      <c r="BG108" s="108" t="s">
        <v>202</v>
      </c>
      <c r="BH108" s="108" t="s">
        <v>202</v>
      </c>
      <c r="BI108" s="108" t="s">
        <v>202</v>
      </c>
      <c r="BJ108" s="108" t="s">
        <v>202</v>
      </c>
      <c r="BK108" s="108" t="s">
        <v>202</v>
      </c>
      <c r="BL108" s="120" t="s">
        <v>15</v>
      </c>
      <c r="BM108" s="120" t="s">
        <v>15</v>
      </c>
      <c r="BN108" s="108">
        <v>0.3888888888888889</v>
      </c>
      <c r="BO108" s="108">
        <v>0.95972222222222225</v>
      </c>
      <c r="BP108" s="12">
        <f t="shared" si="43"/>
        <v>31</v>
      </c>
      <c r="BQ108" s="118">
        <v>2</v>
      </c>
      <c r="BR108" s="2">
        <f t="shared" si="44"/>
        <v>17.5</v>
      </c>
      <c r="BS108" s="3">
        <f t="shared" si="45"/>
        <v>3</v>
      </c>
      <c r="BT108" s="3">
        <f t="shared" si="46"/>
        <v>0</v>
      </c>
      <c r="BU108" s="3">
        <f t="shared" si="47"/>
        <v>0</v>
      </c>
      <c r="BV108" s="3">
        <f t="shared" si="48"/>
        <v>0</v>
      </c>
      <c r="BW108" s="3">
        <f t="shared" si="49"/>
        <v>0</v>
      </c>
      <c r="BX108" s="3">
        <f t="shared" si="50"/>
        <v>0</v>
      </c>
      <c r="BY108" s="3">
        <f t="shared" si="51"/>
        <v>10.5</v>
      </c>
      <c r="BZ108" s="3">
        <f t="shared" si="52"/>
        <v>0</v>
      </c>
      <c r="CA108" s="3">
        <f t="shared" si="53"/>
        <v>0</v>
      </c>
      <c r="CB108" s="3">
        <f t="shared" si="54"/>
        <v>0</v>
      </c>
      <c r="CC108" s="3">
        <f t="shared" si="55"/>
        <v>0</v>
      </c>
      <c r="CD108" s="4"/>
      <c r="CH108" s="90">
        <v>0</v>
      </c>
      <c r="CI108" s="91">
        <v>0</v>
      </c>
      <c r="CJ108" s="91">
        <v>0</v>
      </c>
      <c r="CK108" s="91">
        <v>0</v>
      </c>
      <c r="CL108" s="91">
        <v>0</v>
      </c>
      <c r="CM108" s="91">
        <v>11</v>
      </c>
      <c r="CN108" s="91">
        <v>0</v>
      </c>
      <c r="CO108" s="91">
        <v>0</v>
      </c>
      <c r="CP108" s="91">
        <v>0</v>
      </c>
      <c r="CQ108" s="91">
        <v>0</v>
      </c>
      <c r="CR108" s="92">
        <f t="shared" si="42"/>
        <v>11</v>
      </c>
    </row>
    <row r="109" spans="1:96" ht="22.5" customHeight="1" x14ac:dyDescent="0.25">
      <c r="A109" s="55">
        <v>91</v>
      </c>
      <c r="B109" s="55" t="s">
        <v>241</v>
      </c>
      <c r="C109" s="83" t="s">
        <v>242</v>
      </c>
      <c r="D109" s="108">
        <v>0.38263888888888892</v>
      </c>
      <c r="E109" s="108">
        <v>0.99305555555555547</v>
      </c>
      <c r="F109" s="110">
        <v>0.58333333333333337</v>
      </c>
      <c r="G109" s="110">
        <v>0.96180555555555547</v>
      </c>
      <c r="H109" s="108">
        <v>0.3520833333333333</v>
      </c>
      <c r="I109" s="108">
        <v>0.97222222222222221</v>
      </c>
      <c r="J109" s="108">
        <v>0.3527777777777778</v>
      </c>
      <c r="K109" s="108">
        <v>0.96875</v>
      </c>
      <c r="L109" s="108">
        <v>0.35000000000000003</v>
      </c>
      <c r="M109" s="108">
        <v>0.97291666666666676</v>
      </c>
      <c r="N109" s="108">
        <v>0.3520833333333333</v>
      </c>
      <c r="O109" s="108">
        <v>0.95833333333333337</v>
      </c>
      <c r="P109" s="108">
        <v>0.35069444444444442</v>
      </c>
      <c r="Q109" s="108">
        <v>0.95416666666666661</v>
      </c>
      <c r="R109" s="108">
        <v>0.3520833333333333</v>
      </c>
      <c r="S109" s="108">
        <v>0.97499999999999998</v>
      </c>
      <c r="T109" s="110">
        <v>0.58124999999999993</v>
      </c>
      <c r="U109" s="110">
        <v>0.95347222222222217</v>
      </c>
      <c r="V109" s="108">
        <v>0.35416666666666669</v>
      </c>
      <c r="W109" s="108">
        <v>0.96527777777777779</v>
      </c>
      <c r="X109" s="108">
        <v>0.35069444444444442</v>
      </c>
      <c r="Y109" s="108">
        <v>0.95694444444444438</v>
      </c>
      <c r="Z109" s="108">
        <v>0.3520833333333333</v>
      </c>
      <c r="AA109" s="108">
        <v>0.95694444444444438</v>
      </c>
      <c r="AB109" s="108">
        <v>0.3520833333333333</v>
      </c>
      <c r="AC109" s="108">
        <v>0.95486111111111116</v>
      </c>
      <c r="AD109" s="108">
        <v>0.35069444444444442</v>
      </c>
      <c r="AE109" s="108">
        <v>0.94930555555555562</v>
      </c>
      <c r="AF109" s="108">
        <v>0.35069444444444442</v>
      </c>
      <c r="AG109" s="108">
        <v>0.9770833333333333</v>
      </c>
      <c r="AI109" s="77">
        <v>91</v>
      </c>
      <c r="AJ109" s="110">
        <v>0.5756944444444444</v>
      </c>
      <c r="AK109" s="110">
        <v>0.94930555555555562</v>
      </c>
      <c r="AL109" s="108">
        <v>0.35069444444444442</v>
      </c>
      <c r="AM109" s="108">
        <v>0.96388888888888891</v>
      </c>
      <c r="AN109" s="108">
        <v>0.35000000000000003</v>
      </c>
      <c r="AO109" s="108">
        <v>0.94791666666666663</v>
      </c>
      <c r="AP109" s="108">
        <v>0.35000000000000003</v>
      </c>
      <c r="AQ109" s="108">
        <v>0.95138888888888884</v>
      </c>
      <c r="AR109" s="108">
        <v>0.35069444444444442</v>
      </c>
      <c r="AS109" s="108">
        <v>0.9604166666666667</v>
      </c>
      <c r="AT109" s="108">
        <v>0.34930555555555554</v>
      </c>
      <c r="AU109" s="108">
        <v>0.95138888888888884</v>
      </c>
      <c r="AV109" s="108">
        <v>0.35000000000000003</v>
      </c>
      <c r="AW109" s="108">
        <v>0.97291666666666676</v>
      </c>
      <c r="AX109" s="110">
        <v>0.57916666666666672</v>
      </c>
      <c r="AY109" s="110">
        <v>0.9506944444444444</v>
      </c>
      <c r="AZ109" s="108">
        <v>0.35000000000000003</v>
      </c>
      <c r="BA109" s="108">
        <v>0.96250000000000002</v>
      </c>
      <c r="BB109" s="108">
        <v>0.35000000000000003</v>
      </c>
      <c r="BC109" s="108">
        <v>0.95486111111111116</v>
      </c>
      <c r="BD109" s="108">
        <v>0.35069444444444442</v>
      </c>
      <c r="BE109" s="108">
        <v>0.95277777777777783</v>
      </c>
      <c r="BF109" s="108">
        <v>0.34930555555555554</v>
      </c>
      <c r="BG109" s="119">
        <v>1</v>
      </c>
      <c r="BH109" s="108">
        <v>0.35138888888888892</v>
      </c>
      <c r="BI109" s="108">
        <v>0.94305555555555554</v>
      </c>
      <c r="BJ109" s="108">
        <v>0.3520833333333333</v>
      </c>
      <c r="BK109" s="108">
        <v>0.97291666666666676</v>
      </c>
      <c r="BL109" s="120" t="s">
        <v>15</v>
      </c>
      <c r="BM109" s="120" t="s">
        <v>15</v>
      </c>
      <c r="BN109" s="108">
        <v>0.34861111111111115</v>
      </c>
      <c r="BO109" s="108">
        <v>0.96597222222222223</v>
      </c>
      <c r="BP109" s="12">
        <f t="shared" si="43"/>
        <v>31</v>
      </c>
      <c r="BQ109" s="118">
        <v>4</v>
      </c>
      <c r="BR109" s="2">
        <f t="shared" si="44"/>
        <v>30</v>
      </c>
      <c r="BS109" s="3">
        <f t="shared" si="45"/>
        <v>1</v>
      </c>
      <c r="BT109" s="3">
        <f t="shared" si="46"/>
        <v>0</v>
      </c>
      <c r="BU109" s="3">
        <f t="shared" si="47"/>
        <v>0</v>
      </c>
      <c r="BV109" s="3">
        <f t="shared" si="48"/>
        <v>0</v>
      </c>
      <c r="BW109" s="3">
        <f t="shared" si="49"/>
        <v>0</v>
      </c>
      <c r="BX109" s="3">
        <f t="shared" si="50"/>
        <v>0</v>
      </c>
      <c r="BY109" s="3">
        <f t="shared" si="51"/>
        <v>0</v>
      </c>
      <c r="BZ109" s="3">
        <f t="shared" si="52"/>
        <v>0</v>
      </c>
      <c r="CA109" s="3">
        <f t="shared" si="53"/>
        <v>0</v>
      </c>
      <c r="CB109" s="3">
        <f t="shared" si="54"/>
        <v>0</v>
      </c>
      <c r="CC109" s="3">
        <f t="shared" si="55"/>
        <v>0</v>
      </c>
      <c r="CD109" s="4"/>
      <c r="CH109" s="115">
        <v>0</v>
      </c>
      <c r="CI109" s="128">
        <v>0</v>
      </c>
      <c r="CJ109" s="128">
        <v>0</v>
      </c>
      <c r="CK109" s="128">
        <v>0</v>
      </c>
      <c r="CL109" s="128">
        <v>0</v>
      </c>
      <c r="CM109" s="128">
        <v>0</v>
      </c>
      <c r="CN109" s="128">
        <v>0</v>
      </c>
      <c r="CO109" s="128">
        <v>0</v>
      </c>
      <c r="CP109" s="128">
        <v>0</v>
      </c>
      <c r="CQ109" s="128">
        <v>0</v>
      </c>
      <c r="CR109" s="116">
        <f t="shared" si="42"/>
        <v>0</v>
      </c>
    </row>
    <row r="110" spans="1:96" ht="22.5" customHeight="1" x14ac:dyDescent="0.25">
      <c r="A110" s="55">
        <v>92</v>
      </c>
      <c r="B110" s="55" t="s">
        <v>243</v>
      </c>
      <c r="C110" s="83" t="s">
        <v>245</v>
      </c>
      <c r="D110" s="108">
        <v>0.36041666666666666</v>
      </c>
      <c r="E110" s="108">
        <v>0.96527777777777779</v>
      </c>
      <c r="F110" s="120" t="s">
        <v>15</v>
      </c>
      <c r="G110" s="120" t="s">
        <v>15</v>
      </c>
      <c r="H110" s="108">
        <v>0.34097222222222223</v>
      </c>
      <c r="I110" s="108">
        <v>0.97013888888888899</v>
      </c>
      <c r="J110" s="108">
        <v>0.35000000000000003</v>
      </c>
      <c r="K110" s="108">
        <v>0.98263888888888884</v>
      </c>
      <c r="L110" s="108">
        <v>0.33819444444444446</v>
      </c>
      <c r="M110" s="119">
        <v>1</v>
      </c>
      <c r="N110" s="108">
        <v>0.34930555555555554</v>
      </c>
      <c r="O110" s="119">
        <v>1</v>
      </c>
      <c r="P110" s="108">
        <v>0.33888888888888885</v>
      </c>
      <c r="Q110" s="108">
        <v>0.96458333333333324</v>
      </c>
      <c r="R110" s="108">
        <v>0.3298611111111111</v>
      </c>
      <c r="S110" s="108">
        <v>0.96805555555555556</v>
      </c>
      <c r="T110" s="110">
        <v>0.57916666666666672</v>
      </c>
      <c r="U110" s="110">
        <v>0.92013888888888884</v>
      </c>
      <c r="V110" s="108">
        <v>0.3354166666666667</v>
      </c>
      <c r="W110" s="119">
        <v>1</v>
      </c>
      <c r="X110" s="108">
        <v>0.95277777777777783</v>
      </c>
      <c r="Y110" s="119">
        <v>1</v>
      </c>
      <c r="Z110" s="108">
        <v>0.32708333333333334</v>
      </c>
      <c r="AA110" s="108">
        <v>0.94791666666666663</v>
      </c>
      <c r="AB110" s="108">
        <v>0.33124999999999999</v>
      </c>
      <c r="AC110" s="108">
        <v>0.93125000000000002</v>
      </c>
      <c r="AD110" s="108">
        <v>0.33819444444444446</v>
      </c>
      <c r="AE110" s="108">
        <v>0.97638888888888886</v>
      </c>
      <c r="AF110" s="108">
        <v>0.34166666666666662</v>
      </c>
      <c r="AG110" s="108">
        <v>0.95486111111111116</v>
      </c>
      <c r="AI110" s="77">
        <v>92</v>
      </c>
      <c r="AJ110" s="110">
        <v>0.57291666666666663</v>
      </c>
      <c r="AK110" s="110">
        <v>0.9458333333333333</v>
      </c>
      <c r="AL110" s="108">
        <v>0.35069444444444442</v>
      </c>
      <c r="AM110" s="108">
        <v>0.98958333333333337</v>
      </c>
      <c r="AN110" s="108">
        <v>0.33958333333333335</v>
      </c>
      <c r="AO110" s="108">
        <v>0.97430555555555554</v>
      </c>
      <c r="AP110" s="108">
        <v>0.33888888888888885</v>
      </c>
      <c r="AQ110" s="108">
        <v>0.97986111111111107</v>
      </c>
      <c r="AR110" s="108">
        <v>0.34791666666666665</v>
      </c>
      <c r="AS110" s="108">
        <v>0.97638888888888886</v>
      </c>
      <c r="AT110" s="108">
        <v>0.33958333333333335</v>
      </c>
      <c r="AU110" s="108">
        <v>0.95000000000000007</v>
      </c>
      <c r="AV110" s="108">
        <v>0.33958333333333335</v>
      </c>
      <c r="AW110" s="108">
        <v>4.8611111111111112E-3</v>
      </c>
      <c r="AX110" s="120" t="s">
        <v>15</v>
      </c>
      <c r="AY110" s="120" t="s">
        <v>15</v>
      </c>
      <c r="AZ110" s="108">
        <v>0.34583333333333338</v>
      </c>
      <c r="BA110" s="108">
        <v>0.92847222222222225</v>
      </c>
      <c r="BB110" s="108">
        <v>0.33611111111111108</v>
      </c>
      <c r="BC110" s="108">
        <v>0.83958333333333324</v>
      </c>
      <c r="BD110" s="108">
        <v>0.35486111111111113</v>
      </c>
      <c r="BE110" s="119">
        <v>1</v>
      </c>
      <c r="BF110" s="108">
        <v>0.40833333333333338</v>
      </c>
      <c r="BG110" s="108">
        <v>0.9</v>
      </c>
      <c r="BH110" s="108">
        <v>0.35069444444444442</v>
      </c>
      <c r="BI110" s="108">
        <v>0.90763888888888899</v>
      </c>
      <c r="BJ110" s="108">
        <v>0.35416666666666669</v>
      </c>
      <c r="BK110" s="108">
        <v>0.94027777777777777</v>
      </c>
      <c r="BL110" s="110">
        <v>0.57500000000000007</v>
      </c>
      <c r="BM110" s="110">
        <v>0.93611111111111101</v>
      </c>
      <c r="BN110" s="108">
        <v>0.35069444444444442</v>
      </c>
      <c r="BO110" s="108">
        <v>0.96319444444444446</v>
      </c>
      <c r="BP110" s="12">
        <f t="shared" si="43"/>
        <v>31</v>
      </c>
      <c r="BQ110" s="118">
        <v>3</v>
      </c>
      <c r="BR110" s="2">
        <f t="shared" si="44"/>
        <v>29</v>
      </c>
      <c r="BS110" s="3">
        <f t="shared" si="45"/>
        <v>2</v>
      </c>
      <c r="BT110" s="3">
        <f t="shared" si="46"/>
        <v>0</v>
      </c>
      <c r="BU110" s="3">
        <f t="shared" si="47"/>
        <v>0</v>
      </c>
      <c r="BV110" s="3">
        <f t="shared" si="48"/>
        <v>0</v>
      </c>
      <c r="BW110" s="3">
        <f t="shared" si="49"/>
        <v>0</v>
      </c>
      <c r="BX110" s="3">
        <f t="shared" si="50"/>
        <v>0</v>
      </c>
      <c r="BY110" s="3">
        <f t="shared" si="51"/>
        <v>0</v>
      </c>
      <c r="BZ110" s="3">
        <f t="shared" si="52"/>
        <v>0</v>
      </c>
      <c r="CA110" s="3">
        <f t="shared" si="53"/>
        <v>0</v>
      </c>
      <c r="CB110" s="3">
        <f t="shared" si="54"/>
        <v>0</v>
      </c>
      <c r="CC110" s="3">
        <f t="shared" si="55"/>
        <v>0</v>
      </c>
      <c r="CD110" s="4"/>
      <c r="CH110" s="90">
        <v>0</v>
      </c>
      <c r="CI110" s="91">
        <v>0</v>
      </c>
      <c r="CJ110" s="91">
        <v>0</v>
      </c>
      <c r="CK110" s="91">
        <v>0</v>
      </c>
      <c r="CL110" s="91">
        <v>0</v>
      </c>
      <c r="CM110" s="91">
        <v>0</v>
      </c>
      <c r="CN110" s="91">
        <v>0</v>
      </c>
      <c r="CO110" s="91">
        <v>0</v>
      </c>
      <c r="CP110" s="91">
        <v>0</v>
      </c>
      <c r="CQ110" s="91">
        <v>0</v>
      </c>
      <c r="CR110" s="92">
        <f t="shared" si="42"/>
        <v>0</v>
      </c>
    </row>
    <row r="111" spans="1:96" ht="22.5" customHeight="1" x14ac:dyDescent="0.25">
      <c r="A111" s="55">
        <v>93</v>
      </c>
      <c r="B111" s="55" t="s">
        <v>244</v>
      </c>
      <c r="C111" s="83" t="s">
        <v>246</v>
      </c>
      <c r="D111" s="108">
        <v>0.36041666666666666</v>
      </c>
      <c r="E111" s="108">
        <v>0.96458333333333324</v>
      </c>
      <c r="F111" s="120" t="s">
        <v>15</v>
      </c>
      <c r="G111" s="120" t="s">
        <v>15</v>
      </c>
      <c r="H111" s="108">
        <v>0.34097222222222223</v>
      </c>
      <c r="I111" s="108">
        <v>0.97013888888888899</v>
      </c>
      <c r="J111" s="108">
        <v>0.35000000000000003</v>
      </c>
      <c r="K111" s="108">
        <v>0.98263888888888884</v>
      </c>
      <c r="L111" s="108">
        <v>0.33680555555555558</v>
      </c>
      <c r="M111" s="108">
        <v>0.95972222222222225</v>
      </c>
      <c r="N111" s="108">
        <v>0.3354166666666667</v>
      </c>
      <c r="O111" s="108">
        <v>0.95833333333333337</v>
      </c>
      <c r="P111" s="108">
        <v>0.3354166666666667</v>
      </c>
      <c r="Q111" s="108">
        <v>0.96388888888888891</v>
      </c>
      <c r="R111" s="108">
        <v>0.33611111111111108</v>
      </c>
      <c r="S111" s="108">
        <v>0.96875</v>
      </c>
      <c r="T111" s="110">
        <v>0.5756944444444444</v>
      </c>
      <c r="U111" s="110">
        <v>0.92013888888888884</v>
      </c>
      <c r="V111" s="108">
        <v>0.33055555555555555</v>
      </c>
      <c r="W111" s="108">
        <v>0.99305555555555547</v>
      </c>
      <c r="X111" s="108">
        <v>0.3298611111111111</v>
      </c>
      <c r="Y111" s="108">
        <v>0.95277777777777783</v>
      </c>
      <c r="Z111" s="108">
        <v>0.33958333333333335</v>
      </c>
      <c r="AA111" s="108">
        <v>0.95277777777777783</v>
      </c>
      <c r="AB111" s="108">
        <v>0.33888888888888885</v>
      </c>
      <c r="AC111" s="108">
        <v>0.93263888888888891</v>
      </c>
      <c r="AD111" s="108">
        <v>0.33611111111111108</v>
      </c>
      <c r="AE111" s="108">
        <v>0.97638888888888886</v>
      </c>
      <c r="AF111" s="108">
        <v>0.34166666666666662</v>
      </c>
      <c r="AG111" s="108">
        <v>0.95486111111111116</v>
      </c>
      <c r="AI111" s="77">
        <v>93</v>
      </c>
      <c r="AJ111" s="110">
        <v>0.57291666666666663</v>
      </c>
      <c r="AK111" s="110">
        <v>0.94513888888888886</v>
      </c>
      <c r="AL111" s="108">
        <v>0.3527777777777778</v>
      </c>
      <c r="AM111" s="108">
        <v>0.98888888888888893</v>
      </c>
      <c r="AN111" s="108">
        <v>0.33958333333333335</v>
      </c>
      <c r="AO111" s="108">
        <v>0.97430555555555554</v>
      </c>
      <c r="AP111" s="108">
        <v>0.33263888888888887</v>
      </c>
      <c r="AQ111" s="108">
        <v>0.97916666666666663</v>
      </c>
      <c r="AR111" s="108">
        <v>0.33958333333333335</v>
      </c>
      <c r="AS111" s="108">
        <v>0.9784722222222223</v>
      </c>
      <c r="AT111" s="108">
        <v>0.34652777777777777</v>
      </c>
      <c r="AU111" s="108">
        <v>0.95000000000000007</v>
      </c>
      <c r="AV111" s="108">
        <v>0.33333333333333331</v>
      </c>
      <c r="AW111" s="108">
        <v>2.7777777777777779E-3</v>
      </c>
      <c r="AX111" s="120" t="s">
        <v>15</v>
      </c>
      <c r="AY111" s="120" t="s">
        <v>15</v>
      </c>
      <c r="AZ111" s="108">
        <v>0.3298611111111111</v>
      </c>
      <c r="BA111" s="119">
        <v>1</v>
      </c>
      <c r="BB111" s="108">
        <v>0.33749999999999997</v>
      </c>
      <c r="BC111" s="108">
        <v>0.96666666666666667</v>
      </c>
      <c r="BD111" s="108">
        <v>0.34027777777777773</v>
      </c>
      <c r="BE111" s="108">
        <v>0.95208333333333339</v>
      </c>
      <c r="BF111" s="108">
        <v>0.33749999999999997</v>
      </c>
      <c r="BG111" s="108">
        <v>0.94513888888888886</v>
      </c>
      <c r="BH111" s="108">
        <v>0.3354166666666667</v>
      </c>
      <c r="BI111" s="108">
        <v>6.2499999999999995E-3</v>
      </c>
      <c r="BJ111" s="108">
        <v>0.33888888888888885</v>
      </c>
      <c r="BK111" s="108">
        <v>0.9770833333333333</v>
      </c>
      <c r="BL111" s="110">
        <v>0.57916666666666672</v>
      </c>
      <c r="BM111" s="110">
        <v>0.95138888888888884</v>
      </c>
      <c r="BN111" s="108">
        <v>0.33958333333333335</v>
      </c>
      <c r="BO111" s="108">
        <v>0.96944444444444444</v>
      </c>
      <c r="BP111" s="12">
        <f t="shared" si="43"/>
        <v>31</v>
      </c>
      <c r="BQ111" s="118">
        <v>3</v>
      </c>
      <c r="BR111" s="2">
        <f t="shared" si="44"/>
        <v>29</v>
      </c>
      <c r="BS111" s="3">
        <f t="shared" si="45"/>
        <v>2</v>
      </c>
      <c r="BT111" s="3">
        <f t="shared" si="46"/>
        <v>0</v>
      </c>
      <c r="BU111" s="3">
        <f t="shared" si="47"/>
        <v>0</v>
      </c>
      <c r="BV111" s="3">
        <f t="shared" si="48"/>
        <v>0</v>
      </c>
      <c r="BW111" s="3">
        <f t="shared" si="49"/>
        <v>0</v>
      </c>
      <c r="BX111" s="3">
        <f t="shared" si="50"/>
        <v>0</v>
      </c>
      <c r="BY111" s="3">
        <f t="shared" si="51"/>
        <v>0</v>
      </c>
      <c r="BZ111" s="3">
        <f t="shared" si="52"/>
        <v>0</v>
      </c>
      <c r="CA111" s="3">
        <f t="shared" si="53"/>
        <v>0</v>
      </c>
      <c r="CB111" s="3">
        <f t="shared" si="54"/>
        <v>0</v>
      </c>
      <c r="CC111" s="3">
        <f t="shared" si="55"/>
        <v>0</v>
      </c>
      <c r="CD111" s="4"/>
      <c r="CH111" s="90">
        <v>0</v>
      </c>
      <c r="CI111" s="90">
        <v>0</v>
      </c>
      <c r="CJ111" s="90">
        <v>0</v>
      </c>
      <c r="CK111" s="90">
        <v>0</v>
      </c>
      <c r="CL111" s="90">
        <v>0</v>
      </c>
      <c r="CM111" s="90">
        <v>0</v>
      </c>
      <c r="CN111" s="90">
        <v>0</v>
      </c>
      <c r="CO111" s="90">
        <v>0</v>
      </c>
      <c r="CP111" s="90">
        <v>0</v>
      </c>
      <c r="CQ111" s="90">
        <v>0</v>
      </c>
      <c r="CR111" s="92">
        <f>SUM(CH111:CQ111)</f>
        <v>0</v>
      </c>
    </row>
    <row r="112" spans="1:96" ht="22.5" customHeight="1" x14ac:dyDescent="0.25">
      <c r="A112" s="55">
        <v>94</v>
      </c>
      <c r="B112" s="55" t="s">
        <v>250</v>
      </c>
      <c r="C112" s="83" t="s">
        <v>251</v>
      </c>
      <c r="D112" s="131" t="s">
        <v>252</v>
      </c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  <c r="AA112" s="132"/>
      <c r="AB112" s="132"/>
      <c r="AC112" s="132"/>
      <c r="AD112" s="132"/>
      <c r="AE112" s="132"/>
      <c r="AF112" s="132"/>
      <c r="AG112" s="133"/>
      <c r="AI112" s="77">
        <v>94</v>
      </c>
      <c r="AJ112" s="123">
        <v>0.6166666666666667</v>
      </c>
      <c r="AK112" s="124">
        <v>1</v>
      </c>
      <c r="AL112" s="125">
        <v>0.34861111111111115</v>
      </c>
      <c r="AM112" s="126">
        <v>1</v>
      </c>
      <c r="AN112" s="125">
        <v>0.34861111111111115</v>
      </c>
      <c r="AO112" s="125">
        <v>0.95486111111111116</v>
      </c>
      <c r="AP112" s="125">
        <v>0.3527777777777778</v>
      </c>
      <c r="AQ112" s="126">
        <v>1</v>
      </c>
      <c r="AR112" s="125">
        <v>0.35069444444444442</v>
      </c>
      <c r="AS112" s="126">
        <v>1</v>
      </c>
      <c r="AT112" s="125">
        <v>0.3527777777777778</v>
      </c>
      <c r="AU112" s="126">
        <v>1</v>
      </c>
      <c r="AV112" s="125">
        <v>0.3527777777777778</v>
      </c>
      <c r="AW112" s="126">
        <v>1</v>
      </c>
      <c r="AX112" s="123">
        <v>0.57361111111111118</v>
      </c>
      <c r="AY112" s="127">
        <v>1</v>
      </c>
      <c r="AZ112" s="125">
        <v>0.35138888888888892</v>
      </c>
      <c r="BA112" s="126">
        <v>1</v>
      </c>
      <c r="BB112" s="125">
        <v>0.35000000000000003</v>
      </c>
      <c r="BC112" s="126">
        <v>1</v>
      </c>
      <c r="BD112" s="125">
        <v>0.35347222222222219</v>
      </c>
      <c r="BE112" s="125">
        <v>0.99652777777777779</v>
      </c>
      <c r="BF112" s="125">
        <v>0.35347222222222219</v>
      </c>
      <c r="BG112" s="126">
        <v>1</v>
      </c>
      <c r="BH112" s="108">
        <v>0.35416666666666669</v>
      </c>
      <c r="BI112" s="119">
        <v>1</v>
      </c>
      <c r="BJ112" s="108">
        <v>0.35138888888888892</v>
      </c>
      <c r="BK112" s="119">
        <v>1</v>
      </c>
      <c r="BL112" s="120" t="s">
        <v>15</v>
      </c>
      <c r="BM112" s="120" t="s">
        <v>15</v>
      </c>
      <c r="BN112" s="108">
        <v>0.35138888888888892</v>
      </c>
      <c r="BO112" s="108">
        <v>0.97499999999999998</v>
      </c>
      <c r="BP112" s="12">
        <f t="shared" si="43"/>
        <v>16</v>
      </c>
      <c r="BQ112" s="118">
        <v>2</v>
      </c>
      <c r="BR112" s="2">
        <f t="shared" si="44"/>
        <v>15</v>
      </c>
      <c r="BS112" s="3">
        <f t="shared" si="45"/>
        <v>1</v>
      </c>
      <c r="BT112" s="3">
        <f t="shared" si="46"/>
        <v>0</v>
      </c>
      <c r="BU112" s="3">
        <f t="shared" si="47"/>
        <v>0</v>
      </c>
      <c r="BV112" s="3">
        <f t="shared" si="48"/>
        <v>0</v>
      </c>
      <c r="BW112" s="3">
        <f t="shared" si="49"/>
        <v>0</v>
      </c>
      <c r="BX112" s="3">
        <f t="shared" si="50"/>
        <v>0</v>
      </c>
      <c r="BY112" s="3">
        <f t="shared" si="51"/>
        <v>0</v>
      </c>
      <c r="BZ112" s="3">
        <f t="shared" si="52"/>
        <v>0</v>
      </c>
      <c r="CA112" s="3">
        <f t="shared" si="53"/>
        <v>0</v>
      </c>
      <c r="CB112" s="3">
        <f t="shared" si="54"/>
        <v>0</v>
      </c>
      <c r="CC112" s="3">
        <f t="shared" si="55"/>
        <v>0</v>
      </c>
      <c r="CD112" s="4"/>
      <c r="CH112" s="115">
        <v>0</v>
      </c>
      <c r="CI112" s="115">
        <v>0</v>
      </c>
      <c r="CJ112" s="115">
        <v>0</v>
      </c>
      <c r="CK112" s="115">
        <v>0</v>
      </c>
      <c r="CL112" s="115">
        <v>0</v>
      </c>
      <c r="CM112" s="115">
        <v>0</v>
      </c>
      <c r="CN112" s="115">
        <v>0</v>
      </c>
      <c r="CO112" s="115">
        <v>0</v>
      </c>
      <c r="CP112" s="115">
        <v>0</v>
      </c>
      <c r="CQ112" s="115">
        <v>0</v>
      </c>
      <c r="CR112" s="92">
        <f>SUM(CH112:CQ112)</f>
        <v>0</v>
      </c>
    </row>
    <row r="113" spans="1:96" ht="22.5" customHeight="1" x14ac:dyDescent="0.25">
      <c r="A113" s="55">
        <v>95</v>
      </c>
      <c r="B113" s="55" t="s">
        <v>255</v>
      </c>
      <c r="C113" s="83" t="s">
        <v>259</v>
      </c>
      <c r="D113" s="131" t="s">
        <v>257</v>
      </c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  <c r="AA113" s="132"/>
      <c r="AB113" s="132"/>
      <c r="AC113" s="132"/>
      <c r="AD113" s="132"/>
      <c r="AE113" s="132"/>
      <c r="AF113" s="132"/>
      <c r="AG113" s="133"/>
      <c r="AI113" s="77">
        <v>95</v>
      </c>
      <c r="AJ113" s="134" t="s">
        <v>257</v>
      </c>
      <c r="AK113" s="134"/>
      <c r="AL113" s="134"/>
      <c r="AM113" s="134"/>
      <c r="AN113" s="134"/>
      <c r="AO113" s="134"/>
      <c r="AP113" s="134"/>
      <c r="AQ113" s="134"/>
      <c r="AR113" s="134"/>
      <c r="AS113" s="134"/>
      <c r="AT113" s="134"/>
      <c r="AU113" s="134"/>
      <c r="AV113" s="134"/>
      <c r="AW113" s="134"/>
      <c r="AX113" s="134"/>
      <c r="AY113" s="134"/>
      <c r="AZ113" s="134"/>
      <c r="BA113" s="134"/>
      <c r="BB113" s="134"/>
      <c r="BC113" s="134"/>
      <c r="BD113" s="134"/>
      <c r="BE113" s="134"/>
      <c r="BF113" s="134"/>
      <c r="BG113" s="134"/>
      <c r="BH113" s="134"/>
      <c r="BI113" s="134"/>
      <c r="BJ113" s="119">
        <v>1</v>
      </c>
      <c r="BK113" s="119">
        <v>1</v>
      </c>
      <c r="BL113" s="110">
        <v>0.58402777777777781</v>
      </c>
      <c r="BM113" s="120">
        <v>1</v>
      </c>
      <c r="BN113" s="108">
        <v>0.3527777777777778</v>
      </c>
      <c r="BO113" s="108">
        <v>0.96111111111111114</v>
      </c>
      <c r="BP113" s="12">
        <f t="shared" si="43"/>
        <v>3</v>
      </c>
      <c r="BQ113" s="118">
        <v>1</v>
      </c>
      <c r="BR113" s="2">
        <f t="shared" si="44"/>
        <v>3</v>
      </c>
      <c r="BS113" s="3">
        <f t="shared" si="45"/>
        <v>0</v>
      </c>
      <c r="BT113" s="3">
        <f t="shared" si="46"/>
        <v>0</v>
      </c>
      <c r="BU113" s="3">
        <f t="shared" si="47"/>
        <v>0</v>
      </c>
      <c r="BV113" s="3">
        <f t="shared" si="48"/>
        <v>0</v>
      </c>
      <c r="BW113" s="3">
        <f t="shared" si="49"/>
        <v>0</v>
      </c>
      <c r="BX113" s="3">
        <f t="shared" si="50"/>
        <v>0</v>
      </c>
      <c r="BY113" s="3">
        <f t="shared" si="51"/>
        <v>0</v>
      </c>
      <c r="BZ113" s="3">
        <f t="shared" si="52"/>
        <v>0</v>
      </c>
      <c r="CA113" s="3">
        <f t="shared" si="53"/>
        <v>0</v>
      </c>
      <c r="CB113" s="3">
        <f t="shared" si="54"/>
        <v>0</v>
      </c>
      <c r="CC113" s="3">
        <f t="shared" si="55"/>
        <v>0</v>
      </c>
      <c r="CD113" s="4"/>
      <c r="CH113" s="90">
        <v>0</v>
      </c>
      <c r="CI113" s="90">
        <v>0</v>
      </c>
      <c r="CJ113" s="90">
        <v>0</v>
      </c>
      <c r="CK113" s="90">
        <v>0</v>
      </c>
      <c r="CL113" s="90">
        <v>0</v>
      </c>
      <c r="CM113" s="90">
        <v>0</v>
      </c>
      <c r="CN113" s="90">
        <v>0</v>
      </c>
      <c r="CO113" s="90">
        <v>0</v>
      </c>
      <c r="CP113" s="90">
        <v>0</v>
      </c>
      <c r="CQ113" s="90">
        <v>0</v>
      </c>
      <c r="CR113" s="92">
        <f>SUM(CH113:CQ113)</f>
        <v>0</v>
      </c>
    </row>
    <row r="114" spans="1:96" ht="22.5" customHeight="1" x14ac:dyDescent="0.25">
      <c r="A114" s="55">
        <v>96</v>
      </c>
      <c r="B114" s="55" t="s">
        <v>256</v>
      </c>
      <c r="C114" s="83" t="s">
        <v>260</v>
      </c>
      <c r="D114" s="131" t="s">
        <v>258</v>
      </c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  <c r="AA114" s="132"/>
      <c r="AB114" s="132"/>
      <c r="AC114" s="132"/>
      <c r="AD114" s="132"/>
      <c r="AE114" s="132"/>
      <c r="AF114" s="132"/>
      <c r="AG114" s="133"/>
      <c r="AI114" s="77">
        <v>96</v>
      </c>
      <c r="AJ114" s="135" t="s">
        <v>258</v>
      </c>
      <c r="AK114" s="135"/>
      <c r="AL114" s="135"/>
      <c r="AM114" s="135"/>
      <c r="AN114" s="135"/>
      <c r="AO114" s="135"/>
      <c r="AP114" s="135"/>
      <c r="AQ114" s="135"/>
      <c r="AR114" s="135"/>
      <c r="AS114" s="135"/>
      <c r="AT114" s="135"/>
      <c r="AU114" s="135"/>
      <c r="AV114" s="135"/>
      <c r="AW114" s="135"/>
      <c r="AX114" s="135"/>
      <c r="AY114" s="135"/>
      <c r="AZ114" s="135"/>
      <c r="BA114" s="135"/>
      <c r="BB114" s="135"/>
      <c r="BC114" s="135"/>
      <c r="BD114" s="135"/>
      <c r="BE114" s="135"/>
      <c r="BF114" s="135"/>
      <c r="BG114" s="135"/>
      <c r="BH114" s="135"/>
      <c r="BI114" s="135"/>
      <c r="BJ114" s="135"/>
      <c r="BK114" s="135"/>
      <c r="BL114" s="110">
        <v>0.55833333333333335</v>
      </c>
      <c r="BM114" s="110">
        <v>0.96319444444444446</v>
      </c>
      <c r="BN114" s="108">
        <v>0.34722222222222227</v>
      </c>
      <c r="BO114" s="119">
        <v>1</v>
      </c>
      <c r="BP114" s="12">
        <f t="shared" si="43"/>
        <v>2</v>
      </c>
      <c r="BQ114" s="118">
        <v>1</v>
      </c>
      <c r="BR114" s="2">
        <f t="shared" si="44"/>
        <v>2</v>
      </c>
      <c r="BS114" s="3">
        <f t="shared" si="45"/>
        <v>0</v>
      </c>
      <c r="BT114" s="3">
        <f t="shared" si="46"/>
        <v>0</v>
      </c>
      <c r="BU114" s="3">
        <f t="shared" si="47"/>
        <v>0</v>
      </c>
      <c r="BV114" s="3">
        <f t="shared" si="48"/>
        <v>0</v>
      </c>
      <c r="BW114" s="3">
        <f t="shared" si="49"/>
        <v>0</v>
      </c>
      <c r="BX114" s="3">
        <f t="shared" si="50"/>
        <v>0</v>
      </c>
      <c r="BY114" s="3">
        <f t="shared" si="51"/>
        <v>0</v>
      </c>
      <c r="BZ114" s="3">
        <f t="shared" si="52"/>
        <v>0</v>
      </c>
      <c r="CA114" s="3">
        <f t="shared" si="53"/>
        <v>0</v>
      </c>
      <c r="CB114" s="3">
        <f t="shared" si="54"/>
        <v>0</v>
      </c>
      <c r="CC114" s="3">
        <f t="shared" si="55"/>
        <v>0</v>
      </c>
      <c r="CD114" s="4"/>
      <c r="CH114" s="115">
        <v>0</v>
      </c>
      <c r="CI114" s="115">
        <v>0</v>
      </c>
      <c r="CJ114" s="115">
        <v>0</v>
      </c>
      <c r="CK114" s="115">
        <v>0</v>
      </c>
      <c r="CL114" s="115">
        <v>0</v>
      </c>
      <c r="CM114" s="115">
        <v>0</v>
      </c>
      <c r="CN114" s="115">
        <v>0</v>
      </c>
      <c r="CO114" s="115">
        <v>0</v>
      </c>
      <c r="CP114" s="115">
        <v>0</v>
      </c>
      <c r="CQ114" s="115">
        <v>0</v>
      </c>
      <c r="CR114" s="92">
        <f>SUM(CH114:CQ114)</f>
        <v>0</v>
      </c>
    </row>
    <row r="116" spans="1:96" x14ac:dyDescent="0.25">
      <c r="AI116" s="114"/>
    </row>
    <row r="117" spans="1:96" ht="15.75" x14ac:dyDescent="0.25">
      <c r="E117" s="25"/>
      <c r="F117" s="26" t="s">
        <v>70</v>
      </c>
      <c r="G117" s="27"/>
      <c r="H117" s="26"/>
      <c r="I117" s="28"/>
      <c r="J117" s="28"/>
      <c r="K117" s="29"/>
      <c r="L117" s="30"/>
      <c r="M117" s="30"/>
      <c r="N117" s="31" t="s">
        <v>71</v>
      </c>
      <c r="O117" s="31"/>
      <c r="P117" s="29"/>
      <c r="Q117" s="29"/>
      <c r="R117" s="29"/>
      <c r="S117" s="29"/>
      <c r="T117" s="29" t="s">
        <v>72</v>
      </c>
      <c r="U117" s="29"/>
      <c r="V117" s="29"/>
      <c r="W117" s="29"/>
      <c r="X117" s="31" t="s">
        <v>73</v>
      </c>
      <c r="Y117" s="29"/>
      <c r="AI117" s="114"/>
    </row>
    <row r="118" spans="1:96" ht="17.25" x14ac:dyDescent="0.25">
      <c r="E118" s="32"/>
      <c r="F118" s="28"/>
      <c r="G118" s="28"/>
      <c r="H118" s="28"/>
      <c r="I118" s="28"/>
      <c r="J118" s="28"/>
      <c r="K118" s="28"/>
      <c r="L118" s="33"/>
      <c r="M118" s="33"/>
      <c r="N118" s="33"/>
      <c r="O118" s="28"/>
      <c r="P118" s="28"/>
      <c r="Q118" s="28"/>
      <c r="R118" s="34"/>
      <c r="S118" s="34"/>
      <c r="T118" s="34"/>
      <c r="U118" s="34"/>
      <c r="V118" s="34"/>
      <c r="W118" s="34"/>
      <c r="X118" s="35"/>
      <c r="Y118" s="35"/>
      <c r="AI118" s="114"/>
      <c r="BR118" s="44" t="s">
        <v>82</v>
      </c>
      <c r="BS118" s="45"/>
      <c r="BT118" s="45"/>
      <c r="BU118" s="46" t="s">
        <v>16</v>
      </c>
      <c r="BV118" s="47"/>
      <c r="BW118" s="52" t="s">
        <v>83</v>
      </c>
      <c r="BX118" s="53"/>
      <c r="BY118" s="53"/>
      <c r="BZ118" s="50"/>
      <c r="CA118" s="51" t="s">
        <v>22</v>
      </c>
    </row>
    <row r="119" spans="1:96" ht="17.25" x14ac:dyDescent="0.25">
      <c r="E119" s="32"/>
      <c r="F119" s="36"/>
      <c r="G119" s="28"/>
      <c r="H119" s="36"/>
      <c r="I119" s="28"/>
      <c r="J119" s="28"/>
      <c r="K119" s="36" t="s">
        <v>72</v>
      </c>
      <c r="L119" s="37"/>
      <c r="M119" s="37"/>
      <c r="N119" s="33"/>
      <c r="O119" s="28"/>
      <c r="P119" s="36"/>
      <c r="Q119" s="36"/>
      <c r="R119" s="29"/>
      <c r="S119" s="28"/>
      <c r="T119" s="28"/>
      <c r="U119" s="28"/>
      <c r="V119" s="28"/>
      <c r="W119" s="28"/>
      <c r="X119" s="38"/>
      <c r="Y119" s="38"/>
      <c r="AI119" s="114"/>
      <c r="BR119" s="44" t="s">
        <v>84</v>
      </c>
      <c r="BS119" s="45"/>
      <c r="BT119" s="45"/>
      <c r="BU119" s="46" t="s">
        <v>17</v>
      </c>
      <c r="BV119" s="47"/>
      <c r="BW119" s="52" t="s">
        <v>85</v>
      </c>
      <c r="BX119" s="53"/>
      <c r="BY119" s="53"/>
      <c r="BZ119" s="50"/>
      <c r="CA119" s="51" t="s">
        <v>23</v>
      </c>
    </row>
    <row r="120" spans="1:96" ht="17.25" x14ac:dyDescent="0.25">
      <c r="E120" s="39"/>
      <c r="F120" s="36"/>
      <c r="G120" s="28"/>
      <c r="H120" s="36"/>
      <c r="I120" s="28"/>
      <c r="J120" s="28"/>
      <c r="K120" s="36"/>
      <c r="L120" s="37"/>
      <c r="M120" s="37"/>
      <c r="N120" s="33"/>
      <c r="O120" s="29"/>
      <c r="P120" s="36"/>
      <c r="Q120" s="36"/>
      <c r="R120" s="29"/>
      <c r="S120" s="28"/>
      <c r="T120" s="28"/>
      <c r="U120" s="28"/>
      <c r="V120" s="28"/>
      <c r="W120" s="28"/>
      <c r="X120" s="38"/>
      <c r="Y120" s="38"/>
      <c r="BR120" s="44" t="s">
        <v>86</v>
      </c>
      <c r="BS120" s="45"/>
      <c r="BT120" s="45"/>
      <c r="BU120" s="46" t="s">
        <v>18</v>
      </c>
      <c r="BV120" s="47"/>
      <c r="BW120" s="48" t="s">
        <v>87</v>
      </c>
      <c r="BX120" s="49"/>
      <c r="BY120" s="49"/>
      <c r="BZ120" s="50"/>
      <c r="CA120" s="51" t="s">
        <v>24</v>
      </c>
    </row>
    <row r="121" spans="1:96" ht="17.25" x14ac:dyDescent="0.25">
      <c r="E121" s="40" t="s">
        <v>74</v>
      </c>
      <c r="F121" s="41"/>
      <c r="G121" s="25"/>
      <c r="H121" s="40"/>
      <c r="I121" s="28"/>
      <c r="J121" s="28"/>
      <c r="K121" s="36"/>
      <c r="L121" s="33"/>
      <c r="M121" s="37"/>
      <c r="N121" s="27" t="s">
        <v>75</v>
      </c>
      <c r="O121" s="28"/>
      <c r="P121" s="36"/>
      <c r="Q121" s="29"/>
      <c r="R121" s="28"/>
      <c r="S121" s="28"/>
      <c r="T121" s="28"/>
      <c r="U121" s="28"/>
      <c r="V121" s="28"/>
      <c r="W121" s="28"/>
      <c r="X121" s="27" t="s">
        <v>76</v>
      </c>
      <c r="Y121" s="38"/>
      <c r="BR121" s="44" t="s">
        <v>88</v>
      </c>
      <c r="BS121" s="45"/>
      <c r="BT121" s="45"/>
      <c r="BU121" s="46" t="s">
        <v>19</v>
      </c>
      <c r="BV121" s="47"/>
      <c r="BW121" s="48" t="s">
        <v>89</v>
      </c>
      <c r="BX121" s="49"/>
      <c r="BY121" s="49"/>
      <c r="BZ121" s="50"/>
      <c r="CA121" s="51" t="s">
        <v>25</v>
      </c>
    </row>
    <row r="122" spans="1:96" ht="17.25" x14ac:dyDescent="0.25">
      <c r="E122" s="40"/>
      <c r="F122" s="40" t="s">
        <v>77</v>
      </c>
      <c r="G122" s="39"/>
      <c r="H122" s="39"/>
      <c r="I122" s="28"/>
      <c r="J122" s="28"/>
      <c r="K122" s="27"/>
      <c r="L122" s="42"/>
      <c r="M122" s="42"/>
      <c r="N122" s="27" t="s">
        <v>78</v>
      </c>
      <c r="O122" s="27"/>
      <c r="P122" s="27"/>
      <c r="Q122" s="29"/>
      <c r="R122" s="27"/>
      <c r="S122" s="28"/>
      <c r="T122" s="28"/>
      <c r="U122" s="28"/>
      <c r="V122" s="28"/>
      <c r="W122" s="28"/>
      <c r="X122" s="27" t="s">
        <v>79</v>
      </c>
      <c r="Y122" s="38"/>
      <c r="BR122" s="44" t="s">
        <v>90</v>
      </c>
      <c r="BS122" s="45"/>
      <c r="BT122" s="45"/>
      <c r="BU122" s="46" t="s">
        <v>20</v>
      </c>
      <c r="BV122" s="47"/>
      <c r="BW122" s="47"/>
      <c r="BX122" s="47"/>
      <c r="BY122" s="47"/>
      <c r="BZ122" s="47"/>
      <c r="CA122" s="47"/>
    </row>
    <row r="123" spans="1:96" x14ac:dyDescent="0.25">
      <c r="BS123" s="47"/>
      <c r="BT123" s="47"/>
      <c r="BU123" s="47"/>
      <c r="BV123" s="47"/>
      <c r="BW123" s="47"/>
      <c r="BX123" s="47"/>
      <c r="BY123" s="47"/>
      <c r="BZ123" s="47"/>
      <c r="CA123" s="47"/>
      <c r="CB123" s="47"/>
    </row>
    <row r="133" spans="1:96" x14ac:dyDescent="0.25">
      <c r="A133" s="64">
        <v>39</v>
      </c>
      <c r="B133" s="71" t="s">
        <v>203</v>
      </c>
      <c r="C133" s="9" t="s">
        <v>204</v>
      </c>
      <c r="D133" s="10">
        <v>0.35416666666666669</v>
      </c>
      <c r="E133" s="15">
        <v>1</v>
      </c>
      <c r="F133" s="10">
        <v>0.3527777777777778</v>
      </c>
      <c r="G133" s="10">
        <v>0.97361111111111109</v>
      </c>
      <c r="H133" s="70" t="s">
        <v>15</v>
      </c>
      <c r="I133" s="70" t="s">
        <v>15</v>
      </c>
      <c r="J133" s="10">
        <v>0.35347222222222224</v>
      </c>
      <c r="K133" s="15">
        <v>1</v>
      </c>
      <c r="L133" s="10">
        <v>0.35486111111111113</v>
      </c>
      <c r="M133" s="15">
        <v>1</v>
      </c>
      <c r="N133" s="10">
        <v>0.35138888888888886</v>
      </c>
      <c r="O133" s="15">
        <v>1</v>
      </c>
      <c r="P133" s="10">
        <v>0.35069444444444442</v>
      </c>
      <c r="Q133" s="10">
        <v>0.94027777777777777</v>
      </c>
      <c r="R133" s="10">
        <v>0.35</v>
      </c>
      <c r="S133" s="10">
        <v>0.97916666666666663</v>
      </c>
      <c r="T133" s="10">
        <v>0.34930555555555554</v>
      </c>
      <c r="U133" s="15">
        <v>1</v>
      </c>
      <c r="V133" s="67">
        <v>0.58263888888888893</v>
      </c>
      <c r="W133" s="67">
        <v>0.87638888888888888</v>
      </c>
      <c r="X133" s="10">
        <v>0.35138888888888886</v>
      </c>
      <c r="Y133" s="10">
        <v>0.97152777777777777</v>
      </c>
      <c r="Z133" s="10">
        <v>0.35069444444444442</v>
      </c>
      <c r="AA133" s="10">
        <v>0.97916666666666663</v>
      </c>
      <c r="AB133" s="10">
        <v>0.35347222222222224</v>
      </c>
      <c r="AC133" s="10">
        <v>0.92083333333333328</v>
      </c>
      <c r="AD133" s="10">
        <v>0.34652777777777777</v>
      </c>
      <c r="AE133" s="10">
        <v>0.93125000000000002</v>
      </c>
      <c r="AF133" s="10">
        <v>0.3527777777777778</v>
      </c>
      <c r="AG133" s="10">
        <v>0.94930555555555551</v>
      </c>
      <c r="AI133" s="72" t="s">
        <v>205</v>
      </c>
      <c r="AJ133" s="10">
        <v>0.35486111111111113</v>
      </c>
      <c r="AK133" s="10">
        <v>0.96388888888888891</v>
      </c>
      <c r="AL133" s="70" t="s">
        <v>15</v>
      </c>
      <c r="AM133" s="65" t="s">
        <v>15</v>
      </c>
      <c r="AN133" s="10">
        <v>0.34722222222222227</v>
      </c>
      <c r="AO133" s="10">
        <v>0.99375000000000002</v>
      </c>
      <c r="AP133" s="10">
        <v>0.34375</v>
      </c>
      <c r="AQ133" s="10">
        <v>0.93125000000000002</v>
      </c>
      <c r="AR133" s="10">
        <v>0.35000000000000003</v>
      </c>
      <c r="AS133" s="14">
        <v>1</v>
      </c>
      <c r="AT133" s="11">
        <v>0.34791666666666665</v>
      </c>
      <c r="AU133" s="11">
        <v>0.93402777777777779</v>
      </c>
      <c r="AV133" s="11">
        <v>0.34791666666666665</v>
      </c>
      <c r="AW133" s="16">
        <v>1</v>
      </c>
      <c r="AX133" s="11">
        <v>0.35069444444444442</v>
      </c>
      <c r="AY133" s="11">
        <v>0.91527777777777775</v>
      </c>
      <c r="AZ133" s="69">
        <v>0.56041666666666667</v>
      </c>
      <c r="BA133" s="69">
        <v>0.9604166666666667</v>
      </c>
      <c r="BB133" s="11">
        <v>0.34722222222222227</v>
      </c>
      <c r="BC133" s="17">
        <v>1</v>
      </c>
      <c r="BD133" s="11">
        <v>0.34791666666666665</v>
      </c>
      <c r="BE133" s="16">
        <v>1</v>
      </c>
      <c r="BF133" s="11">
        <v>0.35069444444444442</v>
      </c>
      <c r="BG133" s="16">
        <v>1</v>
      </c>
      <c r="BH133" s="11">
        <v>0.35069444444444442</v>
      </c>
      <c r="BI133" s="19">
        <v>1</v>
      </c>
      <c r="BJ133" s="11">
        <v>0.35138888888888892</v>
      </c>
      <c r="BK133" s="16">
        <v>1</v>
      </c>
      <c r="BL133" s="16"/>
      <c r="BM133" s="16"/>
      <c r="BN133" s="11">
        <v>0.34861111111111115</v>
      </c>
      <c r="BO133" s="16">
        <v>1</v>
      </c>
      <c r="BP133" s="68" t="s">
        <v>15</v>
      </c>
      <c r="BQ133" s="66" t="s">
        <v>15</v>
      </c>
      <c r="BR133" s="12">
        <f t="shared" ref="BR133" si="56">BT133+BU133+BV133+BW133+CB133+BZ133+CA133+CE133+BX133</f>
        <v>31</v>
      </c>
      <c r="BS133" s="13">
        <v>2</v>
      </c>
      <c r="BT133" s="2">
        <f>COUNT(D133:AG133)/2+COUNT(AJ133:BQ133)/2</f>
        <v>28</v>
      </c>
      <c r="BU133" s="3">
        <f t="shared" ref="BU133" si="57">COUNTIF(D133:BQ133,"OFF")/2</f>
        <v>3</v>
      </c>
      <c r="BV133" s="3">
        <f t="shared" ref="BV133" si="58">COUNTIF(D133:BQ133,"MC")/2</f>
        <v>0</v>
      </c>
      <c r="BW133" s="3">
        <f t="shared" ref="BW133" si="59">COUNTIF(D133:BQ133,"EL")/2</f>
        <v>0</v>
      </c>
      <c r="BX133" s="3">
        <f t="shared" ref="BX133" si="60">COUNTIF(D133:BQ133,"AL")/2</f>
        <v>0</v>
      </c>
      <c r="BY133" s="3">
        <f t="shared" ref="BY133" si="61">COUNTIF(D133:BQ133,"SUS")/2</f>
        <v>0</v>
      </c>
      <c r="BZ133" s="3">
        <f t="shared" ref="BZ133" si="62">COUNTIF(D133:BQ133,"FL")/2</f>
        <v>0</v>
      </c>
      <c r="CA133" s="3">
        <f t="shared" ref="CA133" si="63">COUNTIF(D133:BQ133,"SICK")/2</f>
        <v>0</v>
      </c>
      <c r="CB133" s="3">
        <f t="shared" ref="CB133" si="64">COUNTIF(D133:BQ133,"HD")/2</f>
        <v>0</v>
      </c>
      <c r="CC133" s="3">
        <f t="shared" ref="CC133" si="65">COUNTIF(D133:BQ133,"AB")/2</f>
        <v>0</v>
      </c>
      <c r="CD133" s="3">
        <f t="shared" ref="CD133" si="66">COUNTIF(D133:BQ133,"NL")/2</f>
        <v>0</v>
      </c>
      <c r="CE133" s="3">
        <f t="shared" ref="CE133" si="67">COUNTIF(D133:BQ133,"SP")/2</f>
        <v>0</v>
      </c>
      <c r="CF133" s="4"/>
    </row>
    <row r="134" spans="1:96" ht="23.25" customHeight="1" x14ac:dyDescent="0.25">
      <c r="A134" s="55">
        <v>58</v>
      </c>
      <c r="B134" s="20" t="s">
        <v>153</v>
      </c>
      <c r="C134" s="9" t="s">
        <v>154</v>
      </c>
      <c r="D134" s="75">
        <v>0.34375</v>
      </c>
      <c r="E134" s="75">
        <v>0.98402777777777783</v>
      </c>
      <c r="F134" s="75">
        <v>0.34513888888888888</v>
      </c>
      <c r="G134" s="75">
        <v>0.96458333333333324</v>
      </c>
      <c r="H134" s="75">
        <v>0.3430555555555555</v>
      </c>
      <c r="I134" s="75">
        <v>0.95763888888888893</v>
      </c>
      <c r="J134" s="75">
        <v>0.3430555555555555</v>
      </c>
      <c r="K134" s="75">
        <v>0.96666666666666667</v>
      </c>
      <c r="L134" s="75">
        <v>0.34236111111111112</v>
      </c>
      <c r="M134" s="75">
        <v>0.97499999999999998</v>
      </c>
      <c r="N134" s="75">
        <v>0.34375</v>
      </c>
      <c r="O134" s="74">
        <v>1</v>
      </c>
      <c r="P134" s="78" t="s">
        <v>15</v>
      </c>
      <c r="Q134" s="78" t="s">
        <v>15</v>
      </c>
      <c r="R134" s="75">
        <v>0.3430555555555555</v>
      </c>
      <c r="S134" s="75">
        <v>0.98333333333333339</v>
      </c>
      <c r="T134" s="75">
        <v>0.34513888888888888</v>
      </c>
      <c r="U134" s="74">
        <v>1</v>
      </c>
      <c r="V134" s="75">
        <v>0.3444444444444445</v>
      </c>
      <c r="W134" s="75">
        <v>0.96388888888888891</v>
      </c>
      <c r="X134" s="75">
        <v>0.34236111111111112</v>
      </c>
      <c r="Y134" s="75">
        <v>0.95972222222222225</v>
      </c>
      <c r="Z134" s="75">
        <v>0.34375</v>
      </c>
      <c r="AA134" s="75">
        <v>0.95833333333333337</v>
      </c>
      <c r="AB134" s="75">
        <v>0.3444444444444445</v>
      </c>
      <c r="AC134" s="75">
        <v>1</v>
      </c>
      <c r="AD134" s="78">
        <v>0.57013888888888886</v>
      </c>
      <c r="AE134" s="78">
        <v>0.96250000000000002</v>
      </c>
      <c r="AF134" s="75">
        <v>0.3444444444444445</v>
      </c>
      <c r="AG134" s="75">
        <v>0.97916666666666663</v>
      </c>
      <c r="AH134" s="60"/>
      <c r="AI134" s="77">
        <v>58</v>
      </c>
      <c r="AJ134" s="75">
        <v>0.3444444444444445</v>
      </c>
      <c r="AK134" s="75">
        <v>0.96180555555555547</v>
      </c>
      <c r="AL134" s="75">
        <v>0.34513888888888888</v>
      </c>
      <c r="AM134" s="75">
        <v>0.95694444444444438</v>
      </c>
      <c r="AN134" s="75">
        <v>0.34513888888888888</v>
      </c>
      <c r="AO134" s="75">
        <v>0.9590277777777777</v>
      </c>
      <c r="AP134" s="54">
        <v>1</v>
      </c>
      <c r="AQ134" s="54">
        <v>1</v>
      </c>
      <c r="AR134" s="54">
        <v>1</v>
      </c>
      <c r="AS134" s="54">
        <v>1</v>
      </c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4"/>
      <c r="BF134" s="54"/>
      <c r="BG134" s="54"/>
      <c r="BH134" s="54"/>
      <c r="BI134" s="54"/>
      <c r="BJ134" s="54"/>
      <c r="BK134" s="54"/>
      <c r="BL134" s="54"/>
      <c r="BM134" s="54"/>
      <c r="BN134" s="54"/>
      <c r="BO134" s="54"/>
      <c r="BP134" s="12">
        <f t="shared" ref="BP134" si="68">BR134+BS134+BT134+BU134+BZ134+BX134+BY134+CC134</f>
        <v>20</v>
      </c>
      <c r="BQ134" s="54"/>
      <c r="BR134" s="2">
        <f>COUNT(D134:AG134)/2+COUNT(AJ134:BO134)/2</f>
        <v>19</v>
      </c>
      <c r="BS134" s="3">
        <f t="shared" ref="BS134:BS135" si="69">COUNTIF(D134:BO134,"OFF")/2</f>
        <v>1</v>
      </c>
      <c r="BT134" s="3">
        <f t="shared" ref="BT134:BT135" si="70">COUNTIF(D134:BO134,"MC")/2</f>
        <v>0</v>
      </c>
      <c r="BU134" s="3">
        <f t="shared" ref="BU134:BU135" si="71">COUNTIF(D134:BO134,"EL")/2</f>
        <v>0</v>
      </c>
      <c r="BV134" s="3">
        <f t="shared" ref="BV134:BV135" si="72">COUNTIF(D134:BO134,"AL")/2</f>
        <v>0</v>
      </c>
      <c r="BW134" s="3">
        <f t="shared" ref="BW134:BW135" si="73">COUNTIF(D134:BO134,"SUS")/2</f>
        <v>0</v>
      </c>
      <c r="BX134" s="3">
        <f t="shared" ref="BX134:BX135" si="74">COUNTIF(D134:BO134,"FL")/2</f>
        <v>0</v>
      </c>
      <c r="BY134" s="3">
        <f t="shared" ref="BY134:BY135" si="75">COUNTIF(D134:BO134,"SICK")/2</f>
        <v>0</v>
      </c>
      <c r="BZ134" s="3">
        <f t="shared" ref="BZ134:BZ135" si="76">COUNTIF(D134:BO134,"HD")/2</f>
        <v>0</v>
      </c>
      <c r="CA134" s="3">
        <f t="shared" ref="CA134:CA135" si="77">COUNTIF(D134:BO134,"AB")/2</f>
        <v>0</v>
      </c>
      <c r="CB134" s="3">
        <f t="shared" ref="CB134:CB135" si="78">COUNTIF(D134:BO134,"NL")/2</f>
        <v>0</v>
      </c>
      <c r="CC134" s="3">
        <f t="shared" ref="CC134:CC135" si="79">COUNTIF(D134:BO134,"SP")/2</f>
        <v>0</v>
      </c>
      <c r="CD134" s="4"/>
      <c r="CH134" s="90"/>
      <c r="CI134" s="90"/>
      <c r="CJ134" s="90"/>
      <c r="CK134" s="90"/>
      <c r="CL134" s="90"/>
      <c r="CM134" s="91"/>
      <c r="CN134" s="91"/>
      <c r="CO134" s="91"/>
      <c r="CP134" s="90"/>
      <c r="CQ134" s="90"/>
      <c r="CR134" s="92">
        <f>SUM(CH134:CQ134)</f>
        <v>0</v>
      </c>
    </row>
    <row r="135" spans="1:96" ht="21.75" customHeight="1" x14ac:dyDescent="0.25">
      <c r="A135" s="55">
        <v>37</v>
      </c>
      <c r="B135" s="20" t="s">
        <v>124</v>
      </c>
      <c r="C135" s="9" t="s">
        <v>125</v>
      </c>
      <c r="D135" s="108">
        <v>0.34513888888888888</v>
      </c>
      <c r="E135" s="108">
        <v>0.9604166666666667</v>
      </c>
      <c r="F135" s="108">
        <v>0.34930555555555554</v>
      </c>
      <c r="G135" s="109">
        <v>1</v>
      </c>
      <c r="H135" s="108">
        <v>0.35833333333333334</v>
      </c>
      <c r="I135" s="109">
        <v>1</v>
      </c>
      <c r="J135" s="108">
        <v>0.35138888888888892</v>
      </c>
      <c r="K135" s="109">
        <v>1</v>
      </c>
      <c r="L135" s="110">
        <v>0.57986111111111105</v>
      </c>
      <c r="M135" s="111">
        <v>1</v>
      </c>
      <c r="N135" s="108">
        <v>0.3520833333333333</v>
      </c>
      <c r="O135" s="109">
        <v>1</v>
      </c>
      <c r="P135" s="108" t="s">
        <v>202</v>
      </c>
      <c r="Q135" s="108" t="s">
        <v>202</v>
      </c>
      <c r="R135" s="108">
        <v>0.34791666666666665</v>
      </c>
      <c r="S135" s="108">
        <v>0.96944444444444444</v>
      </c>
      <c r="T135" s="108">
        <v>0.34930555555555554</v>
      </c>
      <c r="U135" s="108">
        <v>0.97222222222222221</v>
      </c>
      <c r="V135" s="108">
        <v>0.35000000000000003</v>
      </c>
      <c r="W135" s="108">
        <v>0.9604166666666667</v>
      </c>
      <c r="X135" s="108"/>
      <c r="Y135" s="108"/>
      <c r="Z135" s="108"/>
      <c r="AA135" s="108"/>
      <c r="AB135" s="75"/>
      <c r="AC135" s="74"/>
      <c r="AD135" s="79"/>
      <c r="AE135" s="79"/>
      <c r="AF135" s="75"/>
      <c r="AG135" s="75"/>
      <c r="AH135" s="60"/>
      <c r="AI135" s="77">
        <v>37</v>
      </c>
      <c r="AJ135" s="75"/>
      <c r="AK135" s="75"/>
      <c r="AL135" s="75"/>
      <c r="AM135" s="75"/>
      <c r="AN135" s="75"/>
      <c r="AO135" s="75"/>
      <c r="AP135" s="75"/>
      <c r="AQ135" s="75"/>
      <c r="AR135" s="75"/>
      <c r="AS135" s="74"/>
      <c r="AT135" s="79"/>
      <c r="AU135" s="107"/>
      <c r="AV135" s="75"/>
      <c r="AW135" s="75"/>
      <c r="AX135" s="75"/>
      <c r="AY135" s="75"/>
      <c r="AZ135" s="75"/>
      <c r="BA135" s="75"/>
      <c r="BB135" s="75"/>
      <c r="BC135" s="75"/>
      <c r="BD135" s="75"/>
      <c r="BE135" s="75"/>
      <c r="BF135" s="75"/>
      <c r="BG135" s="74"/>
      <c r="BH135" s="79"/>
      <c r="BI135" s="79"/>
      <c r="BJ135" s="75"/>
      <c r="BK135" s="75"/>
      <c r="BL135" s="75"/>
      <c r="BM135" s="75"/>
      <c r="BN135" s="75"/>
      <c r="BO135" s="74"/>
      <c r="BP135" s="12">
        <f>BR135+BS135+BT135+BU135+BZ135+BX135+BY135+CC135</f>
        <v>10</v>
      </c>
      <c r="BQ135" s="13"/>
      <c r="BR135" s="2">
        <f>COUNT(D135:AG135)/2+COUNT(AJ135:BO135)/2</f>
        <v>9</v>
      </c>
      <c r="BS135" s="3">
        <f t="shared" si="69"/>
        <v>0</v>
      </c>
      <c r="BT135" s="3">
        <f t="shared" si="70"/>
        <v>0</v>
      </c>
      <c r="BU135" s="3">
        <f t="shared" si="71"/>
        <v>0</v>
      </c>
      <c r="BV135" s="3">
        <f t="shared" si="72"/>
        <v>0</v>
      </c>
      <c r="BW135" s="3">
        <f t="shared" si="73"/>
        <v>0</v>
      </c>
      <c r="BX135" s="3">
        <f t="shared" si="74"/>
        <v>0</v>
      </c>
      <c r="BY135" s="3">
        <f t="shared" si="75"/>
        <v>1</v>
      </c>
      <c r="BZ135" s="3">
        <f t="shared" si="76"/>
        <v>0</v>
      </c>
      <c r="CA135" s="3">
        <f t="shared" si="77"/>
        <v>0</v>
      </c>
      <c r="CB135" s="3">
        <f t="shared" si="78"/>
        <v>0</v>
      </c>
      <c r="CC135" s="3">
        <f t="shared" si="79"/>
        <v>0</v>
      </c>
      <c r="CD135" s="4"/>
      <c r="CH135" s="90">
        <v>0</v>
      </c>
      <c r="CI135" s="90">
        <v>0</v>
      </c>
      <c r="CJ135" s="90">
        <v>0</v>
      </c>
      <c r="CK135" s="90">
        <v>0</v>
      </c>
      <c r="CL135" s="90">
        <v>0</v>
      </c>
      <c r="CM135" s="90">
        <v>0</v>
      </c>
      <c r="CN135" s="90">
        <v>0</v>
      </c>
      <c r="CO135" s="90">
        <v>0</v>
      </c>
      <c r="CP135" s="90">
        <v>0</v>
      </c>
      <c r="CQ135" s="90">
        <v>0</v>
      </c>
      <c r="CR135" s="92">
        <f>SUM(CH135:CQ135)</f>
        <v>0</v>
      </c>
    </row>
    <row r="136" spans="1:96" ht="21.75" customHeight="1" x14ac:dyDescent="0.25">
      <c r="A136" s="55">
        <v>41</v>
      </c>
      <c r="B136" s="20" t="s">
        <v>123</v>
      </c>
      <c r="C136" s="9" t="s">
        <v>210</v>
      </c>
      <c r="D136" s="108">
        <v>0.34722222222222227</v>
      </c>
      <c r="E136" s="108">
        <v>0.96458333333333324</v>
      </c>
      <c r="F136" s="110">
        <v>0.56458333333333333</v>
      </c>
      <c r="G136" s="120">
        <v>1</v>
      </c>
      <c r="H136" s="108">
        <v>0.32430555555555557</v>
      </c>
      <c r="I136" s="108">
        <v>0.93541666666666667</v>
      </c>
      <c r="J136" s="108">
        <v>0.32361111111111113</v>
      </c>
      <c r="K136" s="108">
        <v>0.92847222222222225</v>
      </c>
      <c r="L136" s="108">
        <v>0.3263888888888889</v>
      </c>
      <c r="M136" s="108">
        <v>9.0277777777777787E-3</v>
      </c>
      <c r="N136" s="108">
        <v>0.3347222222222222</v>
      </c>
      <c r="O136" s="119">
        <v>1</v>
      </c>
      <c r="P136" s="108" t="s">
        <v>18</v>
      </c>
      <c r="Q136" s="108" t="s">
        <v>18</v>
      </c>
      <c r="R136" s="108" t="s">
        <v>18</v>
      </c>
      <c r="S136" s="108" t="s">
        <v>18</v>
      </c>
      <c r="T136" s="108" t="s">
        <v>18</v>
      </c>
      <c r="U136" s="108" t="s">
        <v>18</v>
      </c>
      <c r="V136" s="108" t="s">
        <v>18</v>
      </c>
      <c r="W136" s="108" t="s">
        <v>18</v>
      </c>
      <c r="X136" s="108" t="s">
        <v>18</v>
      </c>
      <c r="Y136" s="108" t="s">
        <v>18</v>
      </c>
      <c r="Z136" s="108" t="s">
        <v>18</v>
      </c>
      <c r="AA136" s="108" t="s">
        <v>18</v>
      </c>
      <c r="AB136" s="108" t="s">
        <v>18</v>
      </c>
      <c r="AC136" s="108" t="s">
        <v>18</v>
      </c>
      <c r="AD136" s="108" t="s">
        <v>18</v>
      </c>
      <c r="AE136" s="108" t="s">
        <v>18</v>
      </c>
      <c r="AF136" s="108" t="s">
        <v>18</v>
      </c>
      <c r="AG136" s="108" t="s">
        <v>18</v>
      </c>
      <c r="AH136" s="60"/>
      <c r="AI136" s="77">
        <v>39</v>
      </c>
      <c r="AJ136" s="108" t="s">
        <v>18</v>
      </c>
      <c r="AK136" s="108" t="s">
        <v>18</v>
      </c>
      <c r="AL136" s="108" t="s">
        <v>18</v>
      </c>
      <c r="AM136" s="108" t="s">
        <v>18</v>
      </c>
      <c r="AN136" s="108" t="s">
        <v>18</v>
      </c>
      <c r="AO136" s="108" t="s">
        <v>18</v>
      </c>
      <c r="AP136" s="108" t="s">
        <v>18</v>
      </c>
      <c r="AQ136" s="108" t="s">
        <v>18</v>
      </c>
      <c r="AR136" s="108" t="s">
        <v>18</v>
      </c>
      <c r="AS136" s="108" t="s">
        <v>18</v>
      </c>
      <c r="AT136" s="108"/>
      <c r="AU136" s="108"/>
      <c r="AV136" s="108"/>
      <c r="AW136" s="108"/>
      <c r="AX136" s="108"/>
      <c r="AY136" s="108"/>
      <c r="AZ136" s="108"/>
      <c r="BA136" s="108"/>
      <c r="BB136" s="108"/>
      <c r="BC136" s="108"/>
      <c r="BD136" s="113"/>
      <c r="BE136" s="113"/>
      <c r="BF136" s="108"/>
      <c r="BG136" s="108"/>
      <c r="BH136" s="108"/>
      <c r="BI136" s="108"/>
      <c r="BJ136" s="108"/>
      <c r="BK136" s="108"/>
      <c r="BL136" s="108"/>
      <c r="BM136" s="109"/>
      <c r="BN136" s="108"/>
      <c r="BO136" s="109"/>
      <c r="BP136" s="12">
        <f>BR136+BS136+BT136+BU136+BZ136+BX136+BY136+CC136</f>
        <v>6</v>
      </c>
      <c r="BQ136" s="118"/>
      <c r="BR136" s="2">
        <f>COUNT(D136:AG136)/2+COUNT(AJ136:BO136)/2</f>
        <v>6</v>
      </c>
      <c r="BS136" s="3">
        <f>COUNTIF(D136:BO136,"OFF")/2</f>
        <v>0</v>
      </c>
      <c r="BT136" s="3">
        <f>COUNTIF(D136:BO136,"MC")/2</f>
        <v>0</v>
      </c>
      <c r="BU136" s="3">
        <f>COUNTIF(D136:BO136,"EL")/2</f>
        <v>0</v>
      </c>
      <c r="BV136" s="3">
        <f>COUNTIF(D136:BO136,"AL")/2</f>
        <v>14</v>
      </c>
      <c r="BW136" s="3">
        <f>COUNTIF(D136:BO136,"SUS")/2</f>
        <v>0</v>
      </c>
      <c r="BX136" s="3">
        <f>COUNTIF(D136:BO136,"FL")/2</f>
        <v>0</v>
      </c>
      <c r="BY136" s="3">
        <f>COUNTIF(D136:BO136,"SICK")/2</f>
        <v>0</v>
      </c>
      <c r="BZ136" s="3">
        <f>COUNTIF(D136:BO136,"HD")/2</f>
        <v>0</v>
      </c>
      <c r="CA136" s="3">
        <f>COUNTIF(D136:BO136,"AB")/2</f>
        <v>0</v>
      </c>
      <c r="CB136" s="3">
        <f>COUNTIF(D136:BO136,"NL")/2</f>
        <v>0</v>
      </c>
      <c r="CC136" s="3">
        <f>COUNTIF(D136:BO136,"SP")/2</f>
        <v>0</v>
      </c>
      <c r="CD136" s="4"/>
    </row>
  </sheetData>
  <mergeCells count="143">
    <mergeCell ref="D112:AG112"/>
    <mergeCell ref="F38:G38"/>
    <mergeCell ref="AB2:AC2"/>
    <mergeCell ref="BH38:BI38"/>
    <mergeCell ref="BB38:BC38"/>
    <mergeCell ref="BB2:BC2"/>
    <mergeCell ref="AP2:AQ2"/>
    <mergeCell ref="AR3:AS3"/>
    <mergeCell ref="AT3:AU3"/>
    <mergeCell ref="AV3:AW3"/>
    <mergeCell ref="AX3:AY3"/>
    <mergeCell ref="AN3:AO3"/>
    <mergeCell ref="AI37:BP37"/>
    <mergeCell ref="AJ38:AK38"/>
    <mergeCell ref="AL38:AM38"/>
    <mergeCell ref="AN38:AO38"/>
    <mergeCell ref="AP38:AQ38"/>
    <mergeCell ref="BD38:BE38"/>
    <mergeCell ref="BL2:BM2"/>
    <mergeCell ref="BJ38:BK38"/>
    <mergeCell ref="BF3:BG3"/>
    <mergeCell ref="AP3:AQ3"/>
    <mergeCell ref="J3:K3"/>
    <mergeCell ref="L3:M3"/>
    <mergeCell ref="N3:O3"/>
    <mergeCell ref="P3:Q3"/>
    <mergeCell ref="N38:O38"/>
    <mergeCell ref="P38:Q38"/>
    <mergeCell ref="R38:S38"/>
    <mergeCell ref="T38:U38"/>
    <mergeCell ref="A37:AG37"/>
    <mergeCell ref="J38:K38"/>
    <mergeCell ref="L38:M38"/>
    <mergeCell ref="A38:C39"/>
    <mergeCell ref="D38:E38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R3:S3"/>
    <mergeCell ref="T3:U3"/>
    <mergeCell ref="V3:W3"/>
    <mergeCell ref="AF3:AG3"/>
    <mergeCell ref="X3:Y3"/>
    <mergeCell ref="AD38:AE38"/>
    <mergeCell ref="AF38:AG38"/>
    <mergeCell ref="AX38:AY38"/>
    <mergeCell ref="AZ38:BA38"/>
    <mergeCell ref="V38:W38"/>
    <mergeCell ref="AT38:AU38"/>
    <mergeCell ref="X39:Y39"/>
    <mergeCell ref="Z39:AA39"/>
    <mergeCell ref="AB39:AC39"/>
    <mergeCell ref="AD39:AE39"/>
    <mergeCell ref="AF39:AG39"/>
    <mergeCell ref="Z3:AA3"/>
    <mergeCell ref="AD3:AE3"/>
    <mergeCell ref="BQ38:BQ40"/>
    <mergeCell ref="Z38:AA38"/>
    <mergeCell ref="X38:Y38"/>
    <mergeCell ref="AB38:AC38"/>
    <mergeCell ref="BF38:BG38"/>
    <mergeCell ref="BD39:BE39"/>
    <mergeCell ref="BF39:BG39"/>
    <mergeCell ref="BH39:BI39"/>
    <mergeCell ref="BJ39:BK39"/>
    <mergeCell ref="BL38:BM38"/>
    <mergeCell ref="BL39:BM39"/>
    <mergeCell ref="A1:AG1"/>
    <mergeCell ref="AI1:BP1"/>
    <mergeCell ref="A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D2:AE2"/>
    <mergeCell ref="BB3:BC3"/>
    <mergeCell ref="AR2:AS2"/>
    <mergeCell ref="AT2:AU2"/>
    <mergeCell ref="D3:E3"/>
    <mergeCell ref="F3:G3"/>
    <mergeCell ref="BH3:BI3"/>
    <mergeCell ref="BJ3:BK3"/>
    <mergeCell ref="H3:I3"/>
    <mergeCell ref="AF2:AG2"/>
    <mergeCell ref="AJ2:AK2"/>
    <mergeCell ref="AL2:AM2"/>
    <mergeCell ref="BD3:BE3"/>
    <mergeCell ref="AJ3:AK3"/>
    <mergeCell ref="AL3:AM3"/>
    <mergeCell ref="AZ2:BA2"/>
    <mergeCell ref="AN2:AO2"/>
    <mergeCell ref="AB3:AC3"/>
    <mergeCell ref="BR2:CD2"/>
    <mergeCell ref="BH2:BI2"/>
    <mergeCell ref="BJ2:BK2"/>
    <mergeCell ref="BN2:BO2"/>
    <mergeCell ref="BQ2:BQ4"/>
    <mergeCell ref="BD2:BE2"/>
    <mergeCell ref="BF2:BG2"/>
    <mergeCell ref="AV2:AW2"/>
    <mergeCell ref="AX2:AY2"/>
    <mergeCell ref="BL3:BM3"/>
    <mergeCell ref="AZ3:BA3"/>
    <mergeCell ref="BP2:BP4"/>
    <mergeCell ref="BN3:BO3"/>
    <mergeCell ref="D113:AG113"/>
    <mergeCell ref="D114:AG114"/>
    <mergeCell ref="AJ113:BI113"/>
    <mergeCell ref="AJ114:BK114"/>
    <mergeCell ref="CH2:CQ2"/>
    <mergeCell ref="CH38:CQ38"/>
    <mergeCell ref="H38:I38"/>
    <mergeCell ref="BN39:BO39"/>
    <mergeCell ref="BN38:BO38"/>
    <mergeCell ref="AR38:AS38"/>
    <mergeCell ref="AV38:AW38"/>
    <mergeCell ref="V39:W39"/>
    <mergeCell ref="BR38:CD38"/>
    <mergeCell ref="BP38:BP40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</mergeCells>
  <phoneticPr fontId="13" type="noConversion"/>
  <conditionalFormatting sqref="C7:C11 C13:C26 C5">
    <cfRule type="duplicateValues" dxfId="375" priority="7939"/>
  </conditionalFormatting>
  <conditionalFormatting sqref="C41:C42 C44:C47 C49:C111 C136">
    <cfRule type="duplicateValues" dxfId="374" priority="7941" stopIfTrue="1"/>
    <cfRule type="duplicateValues" dxfId="373" priority="7942"/>
  </conditionalFormatting>
  <conditionalFormatting sqref="C43">
    <cfRule type="duplicateValues" dxfId="372" priority="1374" stopIfTrue="1"/>
    <cfRule type="duplicateValues" dxfId="371" priority="1375"/>
  </conditionalFormatting>
  <conditionalFormatting sqref="C112">
    <cfRule type="duplicateValues" dxfId="370" priority="1139" stopIfTrue="1"/>
    <cfRule type="duplicateValues" dxfId="369" priority="1140"/>
  </conditionalFormatting>
  <conditionalFormatting sqref="C113:C114">
    <cfRule type="duplicateValues" dxfId="368" priority="417" stopIfTrue="1"/>
    <cfRule type="duplicateValues" dxfId="367" priority="418"/>
  </conditionalFormatting>
  <conditionalFormatting sqref="D17:E17 AJ135:BO135">
    <cfRule type="containsText" dxfId="366" priority="6574" stopIfTrue="1" operator="containsText" text="AB">
      <formula>NOT(ISERROR(SEARCH("AB",D17)))</formula>
    </cfRule>
  </conditionalFormatting>
  <conditionalFormatting sqref="D135:F135 H135 J135 L135">
    <cfRule type="containsText" dxfId="365" priority="6668" stopIfTrue="1" operator="containsText" text="AL">
      <formula>NOT(ISERROR(SEARCH("AL",D135)))</formula>
    </cfRule>
    <cfRule type="containsText" dxfId="364" priority="6669" stopIfTrue="1" operator="containsText" text="NL">
      <formula>NOT(ISERROR(SEARCH("NL",D135)))</formula>
    </cfRule>
    <cfRule type="containsText" dxfId="363" priority="6671" stopIfTrue="1" operator="containsText" text="SICK">
      <formula>NOT(ISERROR(SEARCH("SICK",D135)))</formula>
    </cfRule>
    <cfRule type="containsText" dxfId="362" priority="6670" stopIfTrue="1" operator="containsText" text="AB">
      <formula>NOT(ISERROR(SEARCH("AB",D135)))</formula>
    </cfRule>
  </conditionalFormatting>
  <conditionalFormatting sqref="D133:G133 J133:AG133">
    <cfRule type="containsText" dxfId="361" priority="7882" stopIfTrue="1" operator="containsText" text="MC">
      <formula>NOT(ISERROR(SEARCH("MC",D133)))</formula>
    </cfRule>
    <cfRule type="containsText" dxfId="360" priority="7883" stopIfTrue="1" operator="containsText" text="Sick">
      <formula>NOT(ISERROR(SEARCH("Sick",D133)))</formula>
    </cfRule>
  </conditionalFormatting>
  <conditionalFormatting sqref="D135:H135">
    <cfRule type="containsText" dxfId="359" priority="6641" stopIfTrue="1" operator="containsText" text="SICK">
      <formula>NOT(ISERROR(SEARCH("SICK",D135)))</formula>
    </cfRule>
    <cfRule type="containsText" dxfId="358" priority="6640" stopIfTrue="1" operator="containsText" text="AB">
      <formula>NOT(ISERROR(SEARCH("AB",D135)))</formula>
    </cfRule>
  </conditionalFormatting>
  <conditionalFormatting sqref="D12:O12 D17:E17 D22:M22 N135:AG135 AJ135:BO135">
    <cfRule type="containsText" dxfId="357" priority="6675" stopIfTrue="1" operator="containsText" text="NL">
      <formula>NOT(ISERROR(SEARCH("NL",D12)))</formula>
    </cfRule>
  </conditionalFormatting>
  <conditionalFormatting sqref="D12:O12 D22:M22 D27:AI27 BF27:BP27 D28:BP37 AH38:AI39 BP38:BP39 D40:BP40 AH44:AH48 AH41:AI43 AH5:AI26 BP5:BP26">
    <cfRule type="containsText" dxfId="356" priority="6673" stopIfTrue="1" operator="containsText" text="SICK">
      <formula>NOT(ISERROR(SEARCH("SICK",D5)))</formula>
    </cfRule>
  </conditionalFormatting>
  <conditionalFormatting sqref="D12:O12 D22:M22 N135:AG135 D17:E17 AJ135:BP135">
    <cfRule type="containsText" dxfId="355" priority="6677" stopIfTrue="1" operator="containsText" text="SICK">
      <formula>NOT(ISERROR(SEARCH("SICK",D12)))</formula>
    </cfRule>
  </conditionalFormatting>
  <conditionalFormatting sqref="D12:O12 D22:M22 N135:AG135 AJ135:BO135 D17:E17">
    <cfRule type="containsText" dxfId="354" priority="6674" stopIfTrue="1" operator="containsText" text="AL">
      <formula>NOT(ISERROR(SEARCH("AL",D12)))</formula>
    </cfRule>
  </conditionalFormatting>
  <conditionalFormatting sqref="D12:O12 D22:M22 N135:AG135">
    <cfRule type="containsText" dxfId="353" priority="6676" stopIfTrue="1" operator="containsText" text="AB">
      <formula>NOT(ISERROR(SEARCH("AB",D12)))</formula>
    </cfRule>
  </conditionalFormatting>
  <conditionalFormatting sqref="D12:O12 AH44:AH48 D22:M22 D27:AI27 BF27:BP27 D28:BP37 AH38:AI39 BP38:BP39 D40:BP40">
    <cfRule type="containsText" dxfId="352" priority="6672" stopIfTrue="1" operator="containsText" text="AB">
      <formula>NOT(ISERROR(SEARCH("AB",D12)))</formula>
    </cfRule>
  </conditionalFormatting>
  <conditionalFormatting sqref="D44:O46">
    <cfRule type="containsText" dxfId="351" priority="1659" operator="containsText" text="SICK">
      <formula>NOT(ISERROR(SEARCH("SICK",D44)))</formula>
    </cfRule>
    <cfRule type="containsText" dxfId="350" priority="1657" operator="containsText" text="AL">
      <formula>NOT(ISERROR(SEARCH("AL",D44)))</formula>
    </cfRule>
    <cfRule type="containsText" dxfId="349" priority="1658" operator="containsText" text="EL">
      <formula>NOT(ISERROR(SEARCH("EL",D44)))</formula>
    </cfRule>
  </conditionalFormatting>
  <conditionalFormatting sqref="D44:O109">
    <cfRule type="containsText" dxfId="348" priority="1592" operator="containsText" text="AB">
      <formula>NOT(ISERROR(SEARCH("AB",D44)))</formula>
    </cfRule>
  </conditionalFormatting>
  <conditionalFormatting sqref="D47:O48 E48:AG48 H110:L112 N110:N112 H111:O114">
    <cfRule type="containsText" dxfId="347" priority="1817" operator="containsText" text="AL">
      <formula>NOT(ISERROR(SEARCH("AL",D47)))</formula>
    </cfRule>
    <cfRule type="containsText" dxfId="346" priority="1819" operator="containsText" text="SICK">
      <formula>NOT(ISERROR(SEARCH("SICK",D47)))</formula>
    </cfRule>
    <cfRule type="containsText" dxfId="345" priority="1818" operator="containsText" text="EL">
      <formula>NOT(ISERROR(SEARCH("EL",D47)))</formula>
    </cfRule>
  </conditionalFormatting>
  <conditionalFormatting sqref="D49:O109">
    <cfRule type="containsText" dxfId="344" priority="1594" operator="containsText" text="EL">
      <formula>NOT(ISERROR(SEARCH("EL",D49)))</formula>
    </cfRule>
    <cfRule type="containsText" dxfId="343" priority="1595" operator="containsText" text="SICK">
      <formula>NOT(ISERROR(SEARCH("SICK",D49)))</formula>
    </cfRule>
    <cfRule type="containsText" dxfId="342" priority="1593" operator="containsText" text="AL">
      <formula>NOT(ISERROR(SEARCH("AL",D49)))</formula>
    </cfRule>
  </conditionalFormatting>
  <conditionalFormatting sqref="D29:X29">
    <cfRule type="containsText" dxfId="341" priority="7894" stopIfTrue="1" operator="containsText" text="EL">
      <formula>NOT(ISERROR(SEARCH("EL",D29)))</formula>
    </cfRule>
    <cfRule type="containsText" dxfId="340" priority="7893" stopIfTrue="1" operator="containsText" text="AL">
      <formula>NOT(ISERROR(SEARCH("AL",D29)))</formula>
    </cfRule>
  </conditionalFormatting>
  <conditionalFormatting sqref="D7:AA26">
    <cfRule type="containsText" dxfId="339" priority="1352" operator="containsText" text="EL">
      <formula>NOT(ISERROR(SEARCH("EL",D7)))</formula>
    </cfRule>
    <cfRule type="containsText" dxfId="338" priority="1350" operator="containsText" text="AB">
      <formula>NOT(ISERROR(SEARCH("AB",D7)))</formula>
    </cfRule>
    <cfRule type="containsText" dxfId="337" priority="1353" operator="containsText" text="SICK">
      <formula>NOT(ISERROR(SEARCH("SICK",D7)))</formula>
    </cfRule>
    <cfRule type="containsText" dxfId="336" priority="1351" operator="containsText" text="AL">
      <formula>NOT(ISERROR(SEARCH("AL",D7)))</formula>
    </cfRule>
  </conditionalFormatting>
  <conditionalFormatting sqref="D41:AA43 V110:V114 X110:X114 Z110:AA114 T111:AA114">
    <cfRule type="containsText" dxfId="335" priority="1347" operator="containsText" text="EL">
      <formula>NOT(ISERROR(SEARCH("EL",D41)))</formula>
    </cfRule>
    <cfRule type="containsText" dxfId="334" priority="1348" operator="containsText" text="SICK">
      <formula>NOT(ISERROR(SEARCH("SICK",D41)))</formula>
    </cfRule>
    <cfRule type="containsText" dxfId="333" priority="1346" operator="containsText" text="AL">
      <formula>NOT(ISERROR(SEARCH("AL",D41)))</formula>
    </cfRule>
  </conditionalFormatting>
  <conditionalFormatting sqref="D133:AG133 AI43:AI114 AH54:AH114 AI116:AI119 AH136:AI136 BP41:BP114 BN136:BP136 BB136:BL136">
    <cfRule type="containsText" dxfId="332" priority="7881" stopIfTrue="1" operator="containsText" text="AB">
      <formula>NOT(ISERROR(SEARCH("AB",D41)))</formula>
    </cfRule>
  </conditionalFormatting>
  <conditionalFormatting sqref="D5:BO6">
    <cfRule type="containsText" dxfId="331" priority="2" operator="containsText" text="AL">
      <formula>NOT(ISERROR(SEARCH("AL",D5)))</formula>
    </cfRule>
    <cfRule type="containsText" dxfId="330" priority="3" operator="containsText" text="EL">
      <formula>NOT(ISERROR(SEARCH("EL",D5)))</formula>
    </cfRule>
    <cfRule type="containsText" dxfId="329" priority="4" operator="containsText" text="SICK">
      <formula>NOT(ISERROR(SEARCH("SICK",D5)))</formula>
    </cfRule>
    <cfRule type="containsText" dxfId="328" priority="1" operator="containsText" text="AB">
      <formula>NOT(ISERROR(SEARCH("AB",D5)))</formula>
    </cfRule>
  </conditionalFormatting>
  <conditionalFormatting sqref="D136:BO136">
    <cfRule type="containsText" dxfId="327" priority="962" operator="containsText" text="SICK">
      <formula>NOT(ISERROR(SEARCH("SICK",D136)))</formula>
    </cfRule>
    <cfRule type="containsText" dxfId="326" priority="961" operator="containsText" text="EL">
      <formula>NOT(ISERROR(SEARCH("EL",D136)))</formula>
    </cfRule>
    <cfRule type="containsText" dxfId="325" priority="960" operator="containsText" text="AL">
      <formula>NOT(ISERROR(SEARCH("AL",D136)))</formula>
    </cfRule>
    <cfRule type="containsText" dxfId="324" priority="959" operator="containsText" text="AB">
      <formula>NOT(ISERROR(SEARCH("AB",D136)))</formula>
    </cfRule>
  </conditionalFormatting>
  <conditionalFormatting sqref="E117:Z122">
    <cfRule type="containsText" dxfId="323" priority="1828" stopIfTrue="1" operator="containsText" text="SICK">
      <formula>NOT(ISERROR(SEARCH("SICK",E117)))</formula>
    </cfRule>
    <cfRule type="containsText" priority="1827" stopIfTrue="1" operator="containsText" text="SP">
      <formula>NOT(ISERROR(SEARCH("SP",E117)))</formula>
    </cfRule>
    <cfRule type="containsText" dxfId="322" priority="1825" stopIfTrue="1" operator="containsText" text="SICK">
      <formula>NOT(ISERROR(SEARCH("SICK",E117)))</formula>
    </cfRule>
    <cfRule type="containsText" dxfId="321" priority="1824" stopIfTrue="1" operator="containsText" text="AB">
      <formula>NOT(ISERROR(SEARCH("AB",E117)))</formula>
    </cfRule>
    <cfRule type="containsText" dxfId="320" priority="1826" stopIfTrue="1" operator="containsText" text="SP">
      <formula>NOT(ISERROR(SEARCH("SP",E117)))</formula>
    </cfRule>
  </conditionalFormatting>
  <conditionalFormatting sqref="G135">
    <cfRule type="containsText" dxfId="319" priority="6636" stopIfTrue="1" operator="containsText" text="AB">
      <formula>NOT(ISERROR(SEARCH("AB",G135)))</formula>
    </cfRule>
    <cfRule type="containsText" dxfId="318" priority="6637" stopIfTrue="1" operator="containsText" text="SICK">
      <formula>NOT(ISERROR(SEARCH("SICK",G135)))</formula>
    </cfRule>
    <cfRule type="containsText" dxfId="317" priority="6638" stopIfTrue="1" operator="containsText" text="AL">
      <formula>NOT(ISERROR(SEARCH("AL",G135)))</formula>
    </cfRule>
    <cfRule type="containsText" dxfId="316" priority="6639" stopIfTrue="1" operator="containsText" text="NL">
      <formula>NOT(ISERROR(SEARCH("NL",G135)))</formula>
    </cfRule>
  </conditionalFormatting>
  <conditionalFormatting sqref="H133:I133">
    <cfRule type="containsText" dxfId="315" priority="7878" stopIfTrue="1" operator="containsText" text="MC">
      <formula>NOT(ISERROR(SEARCH("MC",H133)))</formula>
    </cfRule>
    <cfRule type="containsText" dxfId="314" priority="7879" stopIfTrue="1" operator="containsText" text="Sick">
      <formula>NOT(ISERROR(SEARCH("Sick",H133)))</formula>
    </cfRule>
  </conditionalFormatting>
  <conditionalFormatting sqref="H111:O114 E48:AG48 H110:L112 N110:N112">
    <cfRule type="containsText" dxfId="313" priority="1816" operator="containsText" text="AB">
      <formula>NOT(ISERROR(SEARCH("AB",E48)))</formula>
    </cfRule>
  </conditionalFormatting>
  <conditionalFormatting sqref="I135">
    <cfRule type="containsText" dxfId="312" priority="6631" stopIfTrue="1" operator="containsText" text="SICK">
      <formula>NOT(ISERROR(SEARCH("SICK",I135)))</formula>
    </cfRule>
    <cfRule type="containsText" dxfId="311" priority="6630" stopIfTrue="1" operator="containsText" text="AB">
      <formula>NOT(ISERROR(SEARCH("AB",I135)))</formula>
    </cfRule>
    <cfRule type="containsText" dxfId="310" priority="6633" stopIfTrue="1" operator="containsText" text="NL">
      <formula>NOT(ISERROR(SEARCH("NL",I135)))</formula>
    </cfRule>
    <cfRule type="containsText" dxfId="309" priority="6632" stopIfTrue="1" operator="containsText" text="AL">
      <formula>NOT(ISERROR(SEARCH("AL",I135)))</formula>
    </cfRule>
  </conditionalFormatting>
  <conditionalFormatting sqref="I135:J135">
    <cfRule type="containsText" dxfId="308" priority="6634" stopIfTrue="1" operator="containsText" text="AB">
      <formula>NOT(ISERROR(SEARCH("AB",I135)))</formula>
    </cfRule>
    <cfRule type="containsText" dxfId="307" priority="6635" stopIfTrue="1" operator="containsText" text="SICK">
      <formula>NOT(ISERROR(SEARCH("SICK",I135)))</formula>
    </cfRule>
  </conditionalFormatting>
  <conditionalFormatting sqref="K135">
    <cfRule type="containsText" dxfId="306" priority="6624" stopIfTrue="1" operator="containsText" text="AB">
      <formula>NOT(ISERROR(SEARCH("AB",K135)))</formula>
    </cfRule>
    <cfRule type="containsText" dxfId="305" priority="6625" stopIfTrue="1" operator="containsText" text="SICK">
      <formula>NOT(ISERROR(SEARCH("SICK",K135)))</formula>
    </cfRule>
    <cfRule type="containsText" dxfId="304" priority="6626" stopIfTrue="1" operator="containsText" text="AL">
      <formula>NOT(ISERROR(SEARCH("AL",K135)))</formula>
    </cfRule>
    <cfRule type="containsText" dxfId="303" priority="6627" stopIfTrue="1" operator="containsText" text="NL">
      <formula>NOT(ISERROR(SEARCH("NL",K135)))</formula>
    </cfRule>
  </conditionalFormatting>
  <conditionalFormatting sqref="K135:L135">
    <cfRule type="containsText" dxfId="302" priority="6629" stopIfTrue="1" operator="containsText" text="SICK">
      <formula>NOT(ISERROR(SEARCH("SICK",K135)))</formula>
    </cfRule>
    <cfRule type="containsText" dxfId="301" priority="6628" stopIfTrue="1" operator="containsText" text="AB">
      <formula>NOT(ISERROR(SEARCH("AB",K135)))</formula>
    </cfRule>
  </conditionalFormatting>
  <conditionalFormatting sqref="M110:M114">
    <cfRule type="containsText" dxfId="300" priority="1671" operator="containsText" text="SICK">
      <formula>NOT(ISERROR(SEARCH("SICK",M110)))</formula>
    </cfRule>
    <cfRule type="containsText" dxfId="299" priority="1670" operator="containsText" text="EL">
      <formula>NOT(ISERROR(SEARCH("EL",M110)))</formula>
    </cfRule>
    <cfRule type="containsText" dxfId="298" priority="1669" operator="containsText" text="AL">
      <formula>NOT(ISERROR(SEARCH("AL",M110)))</formula>
    </cfRule>
    <cfRule type="containsText" dxfId="297" priority="1668" operator="containsText" text="AB">
      <formula>NOT(ISERROR(SEARCH("AB",M110)))</formula>
    </cfRule>
  </conditionalFormatting>
  <conditionalFormatting sqref="M135">
    <cfRule type="containsText" dxfId="296" priority="6621" stopIfTrue="1" operator="containsText" text="NL">
      <formula>NOT(ISERROR(SEARCH("NL",M135)))</formula>
    </cfRule>
    <cfRule type="containsText" dxfId="295" priority="6620" stopIfTrue="1" operator="containsText" text="AL">
      <formula>NOT(ISERROR(SEARCH("AL",M135)))</formula>
    </cfRule>
    <cfRule type="containsText" dxfId="294" priority="6619" stopIfTrue="1" operator="containsText" text="SICK">
      <formula>NOT(ISERROR(SEARCH("SICK",M135)))</formula>
    </cfRule>
    <cfRule type="containsText" dxfId="293" priority="6618" stopIfTrue="1" operator="containsText" text="AB">
      <formula>NOT(ISERROR(SEARCH("AB",M135)))</formula>
    </cfRule>
  </conditionalFormatting>
  <conditionalFormatting sqref="M135:BP135">
    <cfRule type="containsText" dxfId="292" priority="6623" stopIfTrue="1" operator="containsText" text="SICK">
      <formula>NOT(ISERROR(SEARCH("SICK",M135)))</formula>
    </cfRule>
    <cfRule type="containsText" dxfId="291" priority="6622" stopIfTrue="1" operator="containsText" text="AB">
      <formula>NOT(ISERROR(SEARCH("AB",M135)))</formula>
    </cfRule>
  </conditionalFormatting>
  <conditionalFormatting sqref="N12:O12">
    <cfRule type="containsText" dxfId="290" priority="6393" stopIfTrue="1" operator="containsText" text="AL">
      <formula>NOT(ISERROR(SEARCH("AL",N12)))</formula>
    </cfRule>
    <cfRule type="containsText" dxfId="289" priority="6394" stopIfTrue="1" operator="containsText" text="NL">
      <formula>NOT(ISERROR(SEARCH("NL",N12)))</formula>
    </cfRule>
    <cfRule type="containsText" dxfId="288" priority="6396" stopIfTrue="1" operator="containsText" text="SICK">
      <formula>NOT(ISERROR(SEARCH("SICK",N12)))</formula>
    </cfRule>
    <cfRule type="containsText" dxfId="287" priority="6329" stopIfTrue="1" operator="containsText" text="AB">
      <formula>NOT(ISERROR(SEARCH("AB",N12)))</formula>
    </cfRule>
    <cfRule type="containsText" dxfId="286" priority="6392" stopIfTrue="1" operator="containsText" text="SICK">
      <formula>NOT(ISERROR(SEARCH("SICK",N12)))</formula>
    </cfRule>
    <cfRule type="containsText" dxfId="285" priority="6395" stopIfTrue="1" operator="containsText" text="AB">
      <formula>NOT(ISERROR(SEARCH("AB",N12)))</formula>
    </cfRule>
  </conditionalFormatting>
  <conditionalFormatting sqref="O18">
    <cfRule type="containsText" dxfId="284" priority="6307" stopIfTrue="1" operator="containsText" text="AB">
      <formula>NOT(ISERROR(SEARCH("AB",O18)))</formula>
    </cfRule>
    <cfRule type="containsText" dxfId="283" priority="6308" stopIfTrue="1" operator="containsText" text="SICK">
      <formula>NOT(ISERROR(SEARCH("SICK",O18)))</formula>
    </cfRule>
    <cfRule type="containsText" dxfId="282" priority="6309" stopIfTrue="1" operator="containsText" text="AL">
      <formula>NOT(ISERROR(SEARCH("AL",O18)))</formula>
    </cfRule>
    <cfRule type="containsText" dxfId="281" priority="6310" stopIfTrue="1" operator="containsText" text="NL">
      <formula>NOT(ISERROR(SEARCH("NL",O18)))</formula>
    </cfRule>
    <cfRule type="containsText" dxfId="280" priority="6311" stopIfTrue="1" operator="containsText" text="AB">
      <formula>NOT(ISERROR(SEARCH("AB",O18)))</formula>
    </cfRule>
    <cfRule type="containsText" dxfId="279" priority="6312" stopIfTrue="1" operator="containsText" text="SICK">
      <formula>NOT(ISERROR(SEARCH("SICK",O18)))</formula>
    </cfRule>
  </conditionalFormatting>
  <conditionalFormatting sqref="O110:O114">
    <cfRule type="containsText" dxfId="278" priority="1667" operator="containsText" text="SICK">
      <formula>NOT(ISERROR(SEARCH("SICK",O110)))</formula>
    </cfRule>
    <cfRule type="containsText" dxfId="277" priority="1665" operator="containsText" text="AL">
      <formula>NOT(ISERROR(SEARCH("AL",O110)))</formula>
    </cfRule>
    <cfRule type="containsText" dxfId="276" priority="1666" operator="containsText" text="EL">
      <formula>NOT(ISERROR(SEARCH("EL",O110)))</formula>
    </cfRule>
    <cfRule type="containsText" dxfId="275" priority="1664" operator="containsText" text="AB">
      <formula>NOT(ISERROR(SEARCH("AB",O110)))</formula>
    </cfRule>
  </conditionalFormatting>
  <conditionalFormatting sqref="P101:Q102">
    <cfRule type="containsText" dxfId="274" priority="1473" operator="containsText" text="AL">
      <formula>NOT(ISERROR(SEARCH("AL",P101)))</formula>
    </cfRule>
    <cfRule type="containsText" dxfId="273" priority="1474" operator="containsText" text="EL">
      <formula>NOT(ISERROR(SEARCH("EL",P101)))</formula>
    </cfRule>
    <cfRule type="containsText" dxfId="272" priority="1472" operator="containsText" text="AB">
      <formula>NOT(ISERROR(SEARCH("AB",P101)))</formula>
    </cfRule>
    <cfRule type="containsText" dxfId="271" priority="1475" operator="containsText" text="SICK">
      <formula>NOT(ISERROR(SEARCH("SICK",P101)))</formula>
    </cfRule>
  </conditionalFormatting>
  <conditionalFormatting sqref="P134:Q134">
    <cfRule type="containsText" priority="7829" stopIfTrue="1" operator="containsText" text="SP">
      <formula>NOT(ISERROR(SEARCH("SP",P134)))</formula>
    </cfRule>
    <cfRule type="containsText" dxfId="270" priority="7828" stopIfTrue="1" operator="containsText" text="SP">
      <formula>NOT(ISERROR(SEARCH("SP",P134)))</formula>
    </cfRule>
  </conditionalFormatting>
  <conditionalFormatting sqref="P99:S100">
    <cfRule type="containsText" dxfId="269" priority="1478" operator="containsText" text="EL">
      <formula>NOT(ISERROR(SEARCH("EL",P99)))</formula>
    </cfRule>
    <cfRule type="containsText" dxfId="268" priority="1479" operator="containsText" text="SICK">
      <formula>NOT(ISERROR(SEARCH("SICK",P99)))</formula>
    </cfRule>
    <cfRule type="containsText" dxfId="267" priority="1476" operator="containsText" text="AB">
      <formula>NOT(ISERROR(SEARCH("AB",P99)))</formula>
    </cfRule>
    <cfRule type="containsText" dxfId="266" priority="1477" operator="containsText" text="AL">
      <formula>NOT(ISERROR(SEARCH("AL",P99)))</formula>
    </cfRule>
  </conditionalFormatting>
  <conditionalFormatting sqref="P103:U114">
    <cfRule type="containsText" dxfId="265" priority="1383" operator="containsText" text="SICK">
      <formula>NOT(ISERROR(SEARCH("SICK",P103)))</formula>
    </cfRule>
    <cfRule type="containsText" dxfId="264" priority="1380" operator="containsText" text="AB">
      <formula>NOT(ISERROR(SEARCH("AB",P103)))</formula>
    </cfRule>
    <cfRule type="containsText" dxfId="263" priority="1381" operator="containsText" text="AL">
      <formula>NOT(ISERROR(SEARCH("AL",P103)))</formula>
    </cfRule>
    <cfRule type="containsText" dxfId="262" priority="1382" operator="containsText" text="EL">
      <formula>NOT(ISERROR(SEARCH("EL",P103)))</formula>
    </cfRule>
  </conditionalFormatting>
  <conditionalFormatting sqref="P44:AA98">
    <cfRule type="containsText" dxfId="261" priority="85" operator="containsText" text="SICK">
      <formula>NOT(ISERROR(SEARCH("SICK",P44)))</formula>
    </cfRule>
    <cfRule type="containsText" dxfId="260" priority="84" operator="containsText" text="EL">
      <formula>NOT(ISERROR(SEARCH("EL",P44)))</formula>
    </cfRule>
    <cfRule type="containsText" dxfId="259" priority="83" operator="containsText" text="AL">
      <formula>NOT(ISERROR(SEARCH("AL",P44)))</formula>
    </cfRule>
    <cfRule type="containsText" dxfId="258" priority="82" operator="containsText" text="AB">
      <formula>NOT(ISERROR(SEARCH("AB",P44)))</formula>
    </cfRule>
  </conditionalFormatting>
  <conditionalFormatting sqref="R101:S101">
    <cfRule type="containsText" dxfId="257" priority="1528" operator="containsText" text="AB">
      <formula>NOT(ISERROR(SEARCH("AB",R101)))</formula>
    </cfRule>
    <cfRule type="containsText" dxfId="256" priority="1529" operator="containsText" text="AL">
      <formula>NOT(ISERROR(SEARCH("AL",R101)))</formula>
    </cfRule>
    <cfRule type="containsText" dxfId="255" priority="1530" operator="containsText" text="EL">
      <formula>NOT(ISERROR(SEARCH("EL",R101)))</formula>
    </cfRule>
    <cfRule type="containsText" dxfId="254" priority="1531" operator="containsText" text="SICK">
      <formula>NOT(ISERROR(SEARCH("SICK",R101)))</formula>
    </cfRule>
  </conditionalFormatting>
  <conditionalFormatting sqref="R102:AG102">
    <cfRule type="containsText" dxfId="253" priority="1141" operator="containsText" text="AB">
      <formula>NOT(ISERROR(SEARCH("AB",R102)))</formula>
    </cfRule>
    <cfRule type="containsText" dxfId="252" priority="1143" operator="containsText" text="EL">
      <formula>NOT(ISERROR(SEARCH("EL",R102)))</formula>
    </cfRule>
    <cfRule type="containsText" dxfId="251" priority="1142" operator="containsText" text="AL">
      <formula>NOT(ISERROR(SEARCH("AL",R102)))</formula>
    </cfRule>
    <cfRule type="containsText" dxfId="250" priority="1144" operator="containsText" text="SICK">
      <formula>NOT(ISERROR(SEARCH("SICK",R102)))</formula>
    </cfRule>
  </conditionalFormatting>
  <conditionalFormatting sqref="T111:AA114 D41:AA43">
    <cfRule type="containsText" dxfId="249" priority="1345" operator="containsText" text="AB">
      <formula>NOT(ISERROR(SEARCH("AB",D41)))</formula>
    </cfRule>
  </conditionalFormatting>
  <conditionalFormatting sqref="T99:AG101">
    <cfRule type="containsText" dxfId="248" priority="1145" operator="containsText" text="AB">
      <formula>NOT(ISERROR(SEARCH("AB",T99)))</formula>
    </cfRule>
    <cfRule type="containsText" dxfId="247" priority="1146" operator="containsText" text="AL">
      <formula>NOT(ISERROR(SEARCH("AL",T99)))</formula>
    </cfRule>
    <cfRule type="containsText" dxfId="246" priority="1147" operator="containsText" text="EL">
      <formula>NOT(ISERROR(SEARCH("EL",T99)))</formula>
    </cfRule>
    <cfRule type="containsText" dxfId="245" priority="1148" operator="containsText" text="SICK">
      <formula>NOT(ISERROR(SEARCH("SICK",T99)))</formula>
    </cfRule>
  </conditionalFormatting>
  <conditionalFormatting sqref="V103:AA109">
    <cfRule type="containsText" dxfId="244" priority="1288" operator="containsText" text="SICK">
      <formula>NOT(ISERROR(SEARCH("SICK",V103)))</formula>
    </cfRule>
    <cfRule type="containsText" dxfId="243" priority="1287" operator="containsText" text="EL">
      <formula>NOT(ISERROR(SEARCH("EL",V103)))</formula>
    </cfRule>
    <cfRule type="containsText" dxfId="242" priority="1286" operator="containsText" text="AL">
      <formula>NOT(ISERROR(SEARCH("AL",V103)))</formula>
    </cfRule>
  </conditionalFormatting>
  <conditionalFormatting sqref="V103:AG114">
    <cfRule type="containsText" dxfId="241" priority="1277" operator="containsText" text="AB">
      <formula>NOT(ISERROR(SEARCH("AB",V103)))</formula>
    </cfRule>
  </conditionalFormatting>
  <conditionalFormatting sqref="W110:W114">
    <cfRule type="containsText" dxfId="240" priority="1284" operator="containsText" text="SICK">
      <formula>NOT(ISERROR(SEARCH("SICK",W110)))</formula>
    </cfRule>
    <cfRule type="containsText" dxfId="239" priority="1283" operator="containsText" text="EL">
      <formula>NOT(ISERROR(SEARCH("EL",W110)))</formula>
    </cfRule>
    <cfRule type="containsText" dxfId="238" priority="1282" operator="containsText" text="AL">
      <formula>NOT(ISERROR(SEARCH("AL",W110)))</formula>
    </cfRule>
  </conditionalFormatting>
  <conditionalFormatting sqref="X24:Y24">
    <cfRule type="containsText" dxfId="237" priority="1349" operator="containsText" text="FL">
      <formula>NOT(ISERROR(SEARCH("FL",X24)))</formula>
    </cfRule>
  </conditionalFormatting>
  <conditionalFormatting sqref="Y110:Y114">
    <cfRule type="containsText" dxfId="236" priority="1278" operator="containsText" text="AL">
      <formula>NOT(ISERROR(SEARCH("AL",Y110)))</formula>
    </cfRule>
    <cfRule type="containsText" dxfId="235" priority="1279" operator="containsText" text="EL">
      <formula>NOT(ISERROR(SEARCH("EL",Y110)))</formula>
    </cfRule>
    <cfRule type="containsText" dxfId="234" priority="1280" operator="containsText" text="SICK">
      <formula>NOT(ISERROR(SEARCH("SICK",Y110)))</formula>
    </cfRule>
  </conditionalFormatting>
  <conditionalFormatting sqref="AB41:AG98">
    <cfRule type="containsText" dxfId="233" priority="1153" operator="containsText" text="AB">
      <formula>NOT(ISERROR(SEARCH("AB",AB41)))</formula>
    </cfRule>
    <cfRule type="containsText" dxfId="232" priority="1154" operator="containsText" text="AL">
      <formula>NOT(ISERROR(SEARCH("AL",AB41)))</formula>
    </cfRule>
    <cfRule type="containsText" dxfId="231" priority="1155" operator="containsText" text="EL">
      <formula>NOT(ISERROR(SEARCH("EL",AB41)))</formula>
    </cfRule>
    <cfRule type="containsText" dxfId="230" priority="1156" operator="containsText" text="SICK">
      <formula>NOT(ISERROR(SEARCH("SICK",AB41)))</formula>
    </cfRule>
  </conditionalFormatting>
  <conditionalFormatting sqref="AB7:AI26">
    <cfRule type="containsText" dxfId="229" priority="1170" operator="containsText" text="AL">
      <formula>NOT(ISERROR(SEARCH("AL",AB7)))</formula>
    </cfRule>
    <cfRule type="containsText" dxfId="228" priority="1172" operator="containsText" text="SICK">
      <formula>NOT(ISERROR(SEARCH("SICK",AB7)))</formula>
    </cfRule>
    <cfRule type="containsText" dxfId="227" priority="1171" operator="containsText" text="EL">
      <formula>NOT(ISERROR(SEARCH("EL",AB7)))</formula>
    </cfRule>
    <cfRule type="containsText" dxfId="226" priority="1169" operator="containsText" text="AB">
      <formula>NOT(ISERROR(SEARCH("AB",AB7)))</formula>
    </cfRule>
  </conditionalFormatting>
  <conditionalFormatting sqref="AH44:AH46">
    <cfRule type="containsText" dxfId="225" priority="7221" stopIfTrue="1" operator="containsText" text="AB">
      <formula>NOT(ISERROR(SEARCH("AB",AH44)))</formula>
    </cfRule>
  </conditionalFormatting>
  <conditionalFormatting sqref="AH44:AH48">
    <cfRule type="containsText" dxfId="224" priority="7610" stopIfTrue="1" operator="containsText" text="HD">
      <formula>NOT(ISERROR(SEARCH("HD",AH44)))</formula>
    </cfRule>
  </conditionalFormatting>
  <conditionalFormatting sqref="AH47:AH48">
    <cfRule type="containsText" dxfId="223" priority="7527" stopIfTrue="1" operator="containsText" text="AB">
      <formula>NOT(ISERROR(SEARCH("AB",AH47)))</formula>
    </cfRule>
  </conditionalFormatting>
  <conditionalFormatting sqref="AH64">
    <cfRule type="containsText" dxfId="222" priority="6706" stopIfTrue="1" operator="containsText" text="NL">
      <formula>NOT(ISERROR(SEARCH("NL",AH64)))</formula>
    </cfRule>
    <cfRule type="containsText" dxfId="221" priority="6709" stopIfTrue="1" operator="containsText" text="SICK">
      <formula>NOT(ISERROR(SEARCH("SICK",AH64)))</formula>
    </cfRule>
    <cfRule type="containsText" dxfId="220" priority="6708" stopIfTrue="1" operator="containsText" text="SP">
      <formula>NOT(ISERROR(SEARCH("SP",AH64)))</formula>
    </cfRule>
    <cfRule type="containsText" dxfId="219" priority="6707" stopIfTrue="1" operator="containsText" text="EL">
      <formula>NOT(ISERROR(SEARCH("EL",AH64)))</formula>
    </cfRule>
  </conditionalFormatting>
  <conditionalFormatting sqref="AH76">
    <cfRule type="containsText" dxfId="218" priority="7796" stopIfTrue="1" operator="containsText" text="EL">
      <formula>NOT(ISERROR(SEARCH("EL",AH76)))</formula>
    </cfRule>
    <cfRule type="containsText" dxfId="217" priority="7795" stopIfTrue="1" operator="containsText" text="NL">
      <formula>NOT(ISERROR(SEARCH("NL",AH76)))</formula>
    </cfRule>
  </conditionalFormatting>
  <conditionalFormatting sqref="AH76:AH99">
    <cfRule type="containsText" dxfId="216" priority="7797" stopIfTrue="1" operator="containsText" text="SP">
      <formula>NOT(ISERROR(SEARCH("SP",AH76)))</formula>
    </cfRule>
  </conditionalFormatting>
  <conditionalFormatting sqref="AH77:AH99">
    <cfRule type="containsText" dxfId="215" priority="7620" stopIfTrue="1" operator="containsText" text="HD">
      <formula>NOT(ISERROR(SEARCH("HD",AH77)))</formula>
    </cfRule>
  </conditionalFormatting>
  <conditionalFormatting sqref="AH5:AI26 N12:O12 D27:AI27 BF27:BP27 D28:BP37 AH38:AI39 BP38:BP39 D40:BP40 AD135:AE135">
    <cfRule type="containsText" priority="7623" stopIfTrue="1" operator="containsText" text="SP">
      <formula>NOT(ISERROR(SEARCH("SP",D5)))</formula>
    </cfRule>
  </conditionalFormatting>
  <conditionalFormatting sqref="AH5:AI26 N12:O12 P135:AI135 D48:AI48 AH41:AI43 AI43:AI114 AH54:AH75 AI116:AI119 D134:BO134 N135 AH136:AI136">
    <cfRule type="containsText" dxfId="214" priority="7800" stopIfTrue="1" operator="containsText" text="HD">
      <formula>NOT(ISERROR(SEARCH("HD",D5)))</formula>
    </cfRule>
  </conditionalFormatting>
  <conditionalFormatting sqref="AH5:AI26 N12:O12 AH41:AI43 AH44:AH48 N135 P135:AI135 D27:AI27 BF27:BP27 D28:BP37 D40:BP40">
    <cfRule type="containsText" dxfId="213" priority="7873" stopIfTrue="1" operator="containsText" text="SICK">
      <formula>NOT(ISERROR(SEARCH("SICK",D5)))</formula>
    </cfRule>
  </conditionalFormatting>
  <conditionalFormatting sqref="AH5:AI26 AD135:AE135 N12:O12 D27:AI27 BF27:BP27 D28:BP37 AH38:AI39 BP38:BP39 D40:BP40">
    <cfRule type="containsText" dxfId="212" priority="7622" stopIfTrue="1" operator="containsText" text="SP">
      <formula>NOT(ISERROR(SEARCH("SP",D5)))</formula>
    </cfRule>
  </conditionalFormatting>
  <conditionalFormatting sqref="AH5:AI26">
    <cfRule type="containsText" dxfId="211" priority="5312" stopIfTrue="1" operator="containsText" text="AB">
      <formula>NOT(ISERROR(SEARCH("AB",AH5)))</formula>
    </cfRule>
  </conditionalFormatting>
  <conditionalFormatting sqref="AH41:AI43 AH44:AH48 AD48:AE48 AP134:BP134 AH134:AI135 AH77:AH99">
    <cfRule type="containsText" priority="7875" stopIfTrue="1" operator="containsText" text="SP">
      <formula>NOT(ISERROR(SEARCH("SP",AD41)))</formula>
    </cfRule>
  </conditionalFormatting>
  <conditionalFormatting sqref="AH41:AI43 AH44:AH48 AH134:AI135 AD48:AE48 AP134:BP134">
    <cfRule type="containsText" dxfId="210" priority="7874" stopIfTrue="1" operator="containsText" text="SP">
      <formula>NOT(ISERROR(SEARCH("SP",AD41)))</formula>
    </cfRule>
  </conditionalFormatting>
  <conditionalFormatting sqref="AH41:AI43">
    <cfRule type="containsText" dxfId="209" priority="7374" stopIfTrue="1" operator="containsText" text="AB">
      <formula>NOT(ISERROR(SEARCH("AB",AH41)))</formula>
    </cfRule>
    <cfRule type="containsText" dxfId="208" priority="5420" stopIfTrue="1" operator="containsText" text="AB">
      <formula>NOT(ISERROR(SEARCH("AB",AH41)))</formula>
    </cfRule>
  </conditionalFormatting>
  <conditionalFormatting sqref="AH41:AI114 D110:G114 AB103:AG114">
    <cfRule type="containsText" dxfId="207" priority="1821" operator="containsText" text="AL">
      <formula>NOT(ISERROR(SEARCH("AL",D41)))</formula>
    </cfRule>
  </conditionalFormatting>
  <conditionalFormatting sqref="AH41:AI114 D110:G114">
    <cfRule type="containsText" dxfId="206" priority="1820" operator="containsText" text="AB">
      <formula>NOT(ISERROR(SEARCH("AB",D41)))</formula>
    </cfRule>
  </conditionalFormatting>
  <conditionalFormatting sqref="AH41:AI114 AB103:AG114 D110:G114">
    <cfRule type="containsText" dxfId="205" priority="1823" operator="containsText" text="SICK">
      <formula>NOT(ISERROR(SEARCH("SICK",D41)))</formula>
    </cfRule>
    <cfRule type="containsText" dxfId="204" priority="1822" operator="containsText" text="EL">
      <formula>NOT(ISERROR(SEARCH("EL",D41)))</formula>
    </cfRule>
  </conditionalFormatting>
  <conditionalFormatting sqref="AI43:AI114 D48:AI48 AH54:AH114 D17:E17 AH136:AI136 BB136:BL136 AI116:AI119 D134:BP134 BP136">
    <cfRule type="containsText" dxfId="203" priority="1842" stopIfTrue="1" operator="containsText" text="SICK">
      <formula>NOT(ISERROR(SEARCH("SICK",D17)))</formula>
    </cfRule>
  </conditionalFormatting>
  <conditionalFormatting sqref="AI43:AI114 AH54:AH75 BP135:BP136 BP5:BP26 AH48:AI48 AI116:AI119 AH136:AI136 BP41:BP114">
    <cfRule type="containsText" dxfId="202" priority="7406" stopIfTrue="1" operator="containsText" text="SP">
      <formula>NOT(ISERROR(SEARCH("SP",AH5)))</formula>
    </cfRule>
  </conditionalFormatting>
  <conditionalFormatting sqref="AI43:AI114 AH54:AH114 AI116:AI119 AH136:AI136 N135 P135:BG135 BJ135:BO135 AH18:AI26 D134:BO134">
    <cfRule type="containsText" dxfId="201" priority="7444" stopIfTrue="1" operator="containsText" text="AB">
      <formula>NOT(ISERROR(SEARCH("AB",D18)))</formula>
    </cfRule>
  </conditionalFormatting>
  <conditionalFormatting sqref="AJ113:AJ114">
    <cfRule type="containsText" dxfId="200" priority="1039" operator="containsText" text="AB">
      <formula>NOT(ISERROR(SEARCH("AB",AJ113)))</formula>
    </cfRule>
    <cfRule type="containsText" dxfId="199" priority="1042" operator="containsText" text="SICK">
      <formula>NOT(ISERROR(SEARCH("SICK",AJ113)))</formula>
    </cfRule>
    <cfRule type="containsText" dxfId="198" priority="1041" operator="containsText" text="EL">
      <formula>NOT(ISERROR(SEARCH("EL",AJ113)))</formula>
    </cfRule>
    <cfRule type="containsText" dxfId="197" priority="1040" operator="containsText" text="AL">
      <formula>NOT(ISERROR(SEARCH("AL",AJ113)))</formula>
    </cfRule>
  </conditionalFormatting>
  <conditionalFormatting sqref="AJ11:AS26">
    <cfRule type="containsText" dxfId="196" priority="1044" operator="containsText" text="AL">
      <formula>NOT(ISERROR(SEARCH("AL",AJ11)))</formula>
    </cfRule>
    <cfRule type="containsText" dxfId="195" priority="1046" operator="containsText" text="SICK">
      <formula>NOT(ISERROR(SEARCH("SICK",AJ11)))</formula>
    </cfRule>
    <cfRule type="containsText" dxfId="194" priority="1045" operator="containsText" text="EL">
      <formula>NOT(ISERROR(SEARCH("EL",AJ11)))</formula>
    </cfRule>
    <cfRule type="containsText" dxfId="193" priority="1043" operator="containsText" text="AB">
      <formula>NOT(ISERROR(SEARCH("AB",AJ11)))</formula>
    </cfRule>
  </conditionalFormatting>
  <conditionalFormatting sqref="AJ41:AS96">
    <cfRule type="containsText" dxfId="192" priority="890" operator="containsText" text="SICK">
      <formula>NOT(ISERROR(SEARCH("SICK",AJ41)))</formula>
    </cfRule>
    <cfRule type="containsText" dxfId="191" priority="888" operator="containsText" text="AL">
      <formula>NOT(ISERROR(SEARCH("AL",AJ41)))</formula>
    </cfRule>
    <cfRule type="containsText" dxfId="190" priority="889" operator="containsText" text="EL">
      <formula>NOT(ISERROR(SEARCH("EL",AJ41)))</formula>
    </cfRule>
    <cfRule type="containsText" dxfId="189" priority="887" operator="containsText" text="AB">
      <formula>NOT(ISERROR(SEARCH("AB",AJ41)))</formula>
    </cfRule>
  </conditionalFormatting>
  <conditionalFormatting sqref="AJ97:AS112">
    <cfRule type="containsText" dxfId="188" priority="906" operator="containsText" text="SICK">
      <formula>NOT(ISERROR(SEARCH("SICK",AJ97)))</formula>
    </cfRule>
    <cfRule type="containsText" dxfId="187" priority="905" operator="containsText" text="EL">
      <formula>NOT(ISERROR(SEARCH("EL",AJ97)))</formula>
    </cfRule>
    <cfRule type="containsText" dxfId="186" priority="904" operator="containsText" text="AL">
      <formula>NOT(ISERROR(SEARCH("AL",AJ97)))</formula>
    </cfRule>
    <cfRule type="containsText" dxfId="185" priority="903" operator="containsText" text="AB">
      <formula>NOT(ISERROR(SEARCH("AB",AJ97)))</formula>
    </cfRule>
  </conditionalFormatting>
  <conditionalFormatting sqref="AJ7:BA10">
    <cfRule type="containsText" dxfId="184" priority="853" operator="containsText" text="EL">
      <formula>NOT(ISERROR(SEARCH("EL",AJ7)))</formula>
    </cfRule>
    <cfRule type="containsText" dxfId="183" priority="854" operator="containsText" text="SICK">
      <formula>NOT(ISERROR(SEARCH("SICK",AJ7)))</formula>
    </cfRule>
    <cfRule type="containsText" dxfId="182" priority="851" operator="containsText" text="AB">
      <formula>NOT(ISERROR(SEARCH("AB",AJ7)))</formula>
    </cfRule>
    <cfRule type="containsText" dxfId="181" priority="852" operator="containsText" text="AL">
      <formula>NOT(ISERROR(SEARCH("AL",AJ7)))</formula>
    </cfRule>
  </conditionalFormatting>
  <conditionalFormatting sqref="AJ135:BO135">
    <cfRule type="containsText" dxfId="180" priority="7486" stopIfTrue="1" operator="containsText" text="HD">
      <formula>NOT(ISERROR(SEARCH("HD",AJ135)))</formula>
    </cfRule>
    <cfRule type="containsText" dxfId="179" priority="7487" stopIfTrue="1" operator="containsText" text="SICK">
      <formula>NOT(ISERROR(SEARCH("SICK",AJ135)))</formula>
    </cfRule>
  </conditionalFormatting>
  <conditionalFormatting sqref="AK5:BC5 AI15 AI21 AI23:AI25">
    <cfRule type="containsText" dxfId="178" priority="2343" stopIfTrue="1" operator="containsText" text="AB">
      <formula>NOT(ISERROR(SEARCH("AB",AI5)))</formula>
    </cfRule>
  </conditionalFormatting>
  <conditionalFormatting sqref="AK5:BC5 AT136:BL136 BN136">
    <cfRule type="containsText" dxfId="177" priority="2342" stopIfTrue="1" operator="containsText" text="NL">
      <formula>NOT(ISERROR(SEARCH("NL",AK5)))</formula>
    </cfRule>
  </conditionalFormatting>
  <conditionalFormatting sqref="AK5:BC5 BL136 BN136">
    <cfRule type="containsText" dxfId="176" priority="2344" stopIfTrue="1" operator="containsText" text="SICK">
      <formula>NOT(ISERROR(SEARCH("SICK",AK5)))</formula>
    </cfRule>
  </conditionalFormatting>
  <conditionalFormatting sqref="AK5:BC5">
    <cfRule type="containsText" dxfId="175" priority="2218" stopIfTrue="1" operator="containsText" text="SICK">
      <formula>NOT(ISERROR(SEARCH("SICK",AK5)))</formula>
    </cfRule>
    <cfRule type="containsText" dxfId="174" priority="2110" stopIfTrue="1" operator="containsText" text="ML">
      <formula>NOT(ISERROR(SEARCH("ML",AK5)))</formula>
    </cfRule>
    <cfRule type="containsText" dxfId="173" priority="2217" stopIfTrue="1" operator="containsText" text="AB">
      <formula>NOT(ISERROR(SEARCH("AB",AK5)))</formula>
    </cfRule>
  </conditionalFormatting>
  <conditionalFormatting sqref="AM112">
    <cfRule type="containsText" dxfId="172" priority="899" operator="containsText" text="AB">
      <formula>NOT(ISERROR(SEARCH("AB",AM112)))</formula>
    </cfRule>
    <cfRule type="containsText" dxfId="171" priority="902" operator="containsText" text="SICK">
      <formula>NOT(ISERROR(SEARCH("SICK",AM112)))</formula>
    </cfRule>
    <cfRule type="containsText" dxfId="170" priority="901" operator="containsText" text="EL">
      <formula>NOT(ISERROR(SEARCH("EL",AM112)))</formula>
    </cfRule>
    <cfRule type="containsText" dxfId="169" priority="900" operator="containsText" text="AL">
      <formula>NOT(ISERROR(SEARCH("AL",AM112)))</formula>
    </cfRule>
  </conditionalFormatting>
  <conditionalFormatting sqref="AP5:AQ5">
    <cfRule type="containsText" dxfId="168" priority="2216" stopIfTrue="1" operator="containsText" text="NL">
      <formula>NOT(ISERROR(SEARCH("NL",AP5)))</formula>
    </cfRule>
    <cfRule type="containsText" dxfId="167" priority="2215" stopIfTrue="1" operator="containsText" text="AL">
      <formula>NOT(ISERROR(SEARCH("AL",AP5)))</formula>
    </cfRule>
  </conditionalFormatting>
  <conditionalFormatting sqref="AP5:BC5">
    <cfRule type="containsText" dxfId="166" priority="2187" stopIfTrue="1" operator="containsText" text="AB">
      <formula>NOT(ISERROR(SEARCH("AB",AP5)))</formula>
    </cfRule>
    <cfRule type="containsText" dxfId="165" priority="2188" stopIfTrue="1" operator="containsText" text="SICK">
      <formula>NOT(ISERROR(SEARCH("SICK",AP5)))</formula>
    </cfRule>
  </conditionalFormatting>
  <conditionalFormatting sqref="AQ112">
    <cfRule type="containsText" dxfId="164" priority="898" operator="containsText" text="SICK">
      <formula>NOT(ISERROR(SEARCH("SICK",AQ112)))</formula>
    </cfRule>
    <cfRule type="containsText" dxfId="163" priority="897" operator="containsText" text="EL">
      <formula>NOT(ISERROR(SEARCH("EL",AQ112)))</formula>
    </cfRule>
    <cfRule type="containsText" dxfId="162" priority="896" operator="containsText" text="AL">
      <formula>NOT(ISERROR(SEARCH("AL",AQ112)))</formula>
    </cfRule>
    <cfRule type="containsText" dxfId="161" priority="895" operator="containsText" text="AB">
      <formula>NOT(ISERROR(SEARCH("AB",AQ112)))</formula>
    </cfRule>
  </conditionalFormatting>
  <conditionalFormatting sqref="AR5:BC5">
    <cfRule type="containsText" dxfId="160" priority="2175" stopIfTrue="1" operator="containsText" text="AB">
      <formula>NOT(ISERROR(SEARCH("AB",AR5)))</formula>
    </cfRule>
    <cfRule type="containsText" dxfId="159" priority="2184" stopIfTrue="1" operator="containsText" text="SICK">
      <formula>NOT(ISERROR(SEARCH("SICK",AR5)))</formula>
    </cfRule>
    <cfRule type="containsText" dxfId="158" priority="2185" stopIfTrue="1" operator="containsText" text="AL">
      <formula>NOT(ISERROR(SEARCH("AL",AR5)))</formula>
    </cfRule>
    <cfRule type="containsText" dxfId="157" priority="2186" stopIfTrue="1" operator="containsText" text="NL">
      <formula>NOT(ISERROR(SEARCH("NL",AR5)))</formula>
    </cfRule>
  </conditionalFormatting>
  <conditionalFormatting sqref="AS112">
    <cfRule type="containsText" dxfId="156" priority="894" operator="containsText" text="SICK">
      <formula>NOT(ISERROR(SEARCH("SICK",AS112)))</formula>
    </cfRule>
    <cfRule type="containsText" dxfId="155" priority="893" operator="containsText" text="EL">
      <formula>NOT(ISERROR(SEARCH("EL",AS112)))</formula>
    </cfRule>
    <cfRule type="containsText" dxfId="154" priority="892" operator="containsText" text="AL">
      <formula>NOT(ISERROR(SEARCH("AL",AS112)))</formula>
    </cfRule>
    <cfRule type="containsText" dxfId="153" priority="891" operator="containsText" text="AB">
      <formula>NOT(ISERROR(SEARCH("AB",AS112)))</formula>
    </cfRule>
  </conditionalFormatting>
  <conditionalFormatting sqref="AT21:AU23">
    <cfRule type="containsText" dxfId="152" priority="877" operator="containsText" text="EL">
      <formula>NOT(ISERROR(SEARCH("EL",AT21)))</formula>
    </cfRule>
    <cfRule type="containsText" dxfId="151" priority="878" operator="containsText" text="SICK">
      <formula>NOT(ISERROR(SEARCH("SICK",AT21)))</formula>
    </cfRule>
    <cfRule type="containsText" dxfId="150" priority="875" operator="containsText" text="AB">
      <formula>NOT(ISERROR(SEARCH("AB",AT21)))</formula>
    </cfRule>
    <cfRule type="containsText" dxfId="149" priority="876" operator="containsText" text="AL">
      <formula>NOT(ISERROR(SEARCH("AL",AT21)))</formula>
    </cfRule>
  </conditionalFormatting>
  <conditionalFormatting sqref="AT99:AV100">
    <cfRule type="containsText" dxfId="148" priority="730" operator="containsText" text="SICK">
      <formula>NOT(ISERROR(SEARCH("SICK",AT99)))</formula>
    </cfRule>
    <cfRule type="containsText" dxfId="147" priority="729" operator="containsText" text="EL">
      <formula>NOT(ISERROR(SEARCH("EL",AT99)))</formula>
    </cfRule>
    <cfRule type="containsText" dxfId="146" priority="728" operator="containsText" text="AL">
      <formula>NOT(ISERROR(SEARCH("AL",AT99)))</formula>
    </cfRule>
    <cfRule type="containsText" dxfId="145" priority="727" operator="containsText" text="AB">
      <formula>NOT(ISERROR(SEARCH("AB",AT99)))</formula>
    </cfRule>
  </conditionalFormatting>
  <conditionalFormatting sqref="AT101:AW101 AZ107:BA107 AT110:AW112">
    <cfRule type="containsText" dxfId="144" priority="816" operator="containsText" text="AL">
      <formula>NOT(ISERROR(SEARCH("AL",AT101)))</formula>
    </cfRule>
    <cfRule type="containsText" dxfId="143" priority="817" operator="containsText" text="EL">
      <formula>NOT(ISERROR(SEARCH("EL",AT101)))</formula>
    </cfRule>
    <cfRule type="containsText" dxfId="142" priority="818" operator="containsText" text="SICK">
      <formula>NOT(ISERROR(SEARCH("SICK",AT101)))</formula>
    </cfRule>
  </conditionalFormatting>
  <conditionalFormatting sqref="AT110:AW112 AT101:AW101 AZ107:BA107">
    <cfRule type="containsText" dxfId="141" priority="815" operator="containsText" text="AB">
      <formula>NOT(ISERROR(SEARCH("AB",AT101)))</formula>
    </cfRule>
  </conditionalFormatting>
  <conditionalFormatting sqref="AT102:AY103">
    <cfRule type="containsText" dxfId="140" priority="596" operator="containsText" text="AL">
      <formula>NOT(ISERROR(SEARCH("AL",AT102)))</formula>
    </cfRule>
    <cfRule type="containsText" dxfId="139" priority="597" operator="containsText" text="EL">
      <formula>NOT(ISERROR(SEARCH("EL",AT102)))</formula>
    </cfRule>
    <cfRule type="containsText" dxfId="138" priority="598" operator="containsText" text="SICK">
      <formula>NOT(ISERROR(SEARCH("SICK",AT102)))</formula>
    </cfRule>
    <cfRule type="containsText" dxfId="137" priority="595" operator="containsText" text="AB">
      <formula>NOT(ISERROR(SEARCH("AB",AT102)))</formula>
    </cfRule>
  </conditionalFormatting>
  <conditionalFormatting sqref="AT107:AY108">
    <cfRule type="containsText" dxfId="136" priority="579" operator="containsText" text="AB">
      <formula>NOT(ISERROR(SEARCH("AB",AT107)))</formula>
    </cfRule>
    <cfRule type="containsText" dxfId="135" priority="582" operator="containsText" text="SICK">
      <formula>NOT(ISERROR(SEARCH("SICK",AT107)))</formula>
    </cfRule>
    <cfRule type="containsText" dxfId="134" priority="581" operator="containsText" text="EL">
      <formula>NOT(ISERROR(SEARCH("EL",AT107)))</formula>
    </cfRule>
    <cfRule type="containsText" dxfId="133" priority="580" operator="containsText" text="AL">
      <formula>NOT(ISERROR(SEARCH("AL",AT107)))</formula>
    </cfRule>
  </conditionalFormatting>
  <conditionalFormatting sqref="AT11:BA20">
    <cfRule type="containsText" dxfId="132" priority="828" operator="containsText" text="AL">
      <formula>NOT(ISERROR(SEARCH("AL",AT11)))</formula>
    </cfRule>
    <cfRule type="containsText" dxfId="131" priority="827" operator="containsText" text="AB">
      <formula>NOT(ISERROR(SEARCH("AB",AT11)))</formula>
    </cfRule>
    <cfRule type="containsText" dxfId="130" priority="829" operator="containsText" text="EL">
      <formula>NOT(ISERROR(SEARCH("EL",AT11)))</formula>
    </cfRule>
    <cfRule type="containsText" dxfId="129" priority="830" operator="containsText" text="SICK">
      <formula>NOT(ISERROR(SEARCH("SICK",AT11)))</formula>
    </cfRule>
  </conditionalFormatting>
  <conditionalFormatting sqref="AT25:BA26">
    <cfRule type="containsText" dxfId="128" priority="822" operator="containsText" text="SICK">
      <formula>NOT(ISERROR(SEARCH("SICK",AT25)))</formula>
    </cfRule>
    <cfRule type="containsText" dxfId="127" priority="821" operator="containsText" text="EL">
      <formula>NOT(ISERROR(SEARCH("EL",AT25)))</formula>
    </cfRule>
    <cfRule type="containsText" dxfId="126" priority="820" operator="containsText" text="AL">
      <formula>NOT(ISERROR(SEARCH("AL",AT25)))</formula>
    </cfRule>
    <cfRule type="containsText" dxfId="125" priority="819" operator="containsText" text="AB">
      <formula>NOT(ISERROR(SEARCH("AB",AT25)))</formula>
    </cfRule>
  </conditionalFormatting>
  <conditionalFormatting sqref="AT104:BA106">
    <cfRule type="containsText" dxfId="124" priority="591" operator="containsText" text="AB">
      <formula>NOT(ISERROR(SEARCH("AB",AT104)))</formula>
    </cfRule>
    <cfRule type="containsText" dxfId="123" priority="593" operator="containsText" text="EL">
      <formula>NOT(ISERROR(SEARCH("EL",AT104)))</formula>
    </cfRule>
    <cfRule type="containsText" dxfId="122" priority="594" operator="containsText" text="SICK">
      <formula>NOT(ISERROR(SEARCH("SICK",AT104)))</formula>
    </cfRule>
    <cfRule type="containsText" dxfId="121" priority="592" operator="containsText" text="AL">
      <formula>NOT(ISERROR(SEARCH("AL",AT104)))</formula>
    </cfRule>
  </conditionalFormatting>
  <conditionalFormatting sqref="AT41:BG98">
    <cfRule type="containsText" dxfId="120" priority="467" operator="containsText" text="AB">
      <formula>NOT(ISERROR(SEARCH("AB",AT41)))</formula>
    </cfRule>
    <cfRule type="containsText" dxfId="119" priority="468" operator="containsText" text="AL">
      <formula>NOT(ISERROR(SEARCH("AL",AT41)))</formula>
    </cfRule>
    <cfRule type="containsText" dxfId="118" priority="469" operator="containsText" text="EL">
      <formula>NOT(ISERROR(SEARCH("EL",AT41)))</formula>
    </cfRule>
    <cfRule type="containsText" dxfId="117" priority="470" operator="containsText" text="SICK">
      <formula>NOT(ISERROR(SEARCH("SICK",AT41)))</formula>
    </cfRule>
  </conditionalFormatting>
  <conditionalFormatting sqref="AT109:BG109">
    <cfRule type="containsText" dxfId="116" priority="422" operator="containsText" text="SICK">
      <formula>NOT(ISERROR(SEARCH("SICK",AT109)))</formula>
    </cfRule>
    <cfRule type="containsText" dxfId="115" priority="421" operator="containsText" text="EL">
      <formula>NOT(ISERROR(SEARCH("EL",AT109)))</formula>
    </cfRule>
    <cfRule type="containsText" dxfId="114" priority="420" operator="containsText" text="AL">
      <formula>NOT(ISERROR(SEARCH("AL",AT109)))</formula>
    </cfRule>
    <cfRule type="containsText" dxfId="113" priority="419" operator="containsText" text="AB">
      <formula>NOT(ISERROR(SEARCH("AB",AT109)))</formula>
    </cfRule>
  </conditionalFormatting>
  <conditionalFormatting sqref="AT136:BK136">
    <cfRule type="containsText" dxfId="112" priority="3000" stopIfTrue="1" operator="containsText" text="AB">
      <formula>NOT(ISERROR(SEARCH("AB",AT136)))</formula>
    </cfRule>
    <cfRule type="containsText" dxfId="111" priority="3001" stopIfTrue="1" operator="containsText" text="SICK">
      <formula>NOT(ISERROR(SEARCH("SICK",AT136)))</formula>
    </cfRule>
  </conditionalFormatting>
  <conditionalFormatting sqref="AU112">
    <cfRule type="containsText" dxfId="110" priority="702" operator="containsText" text="SICK">
      <formula>NOT(ISERROR(SEARCH("SICK",AU112)))</formula>
    </cfRule>
    <cfRule type="containsText" dxfId="109" priority="701" operator="containsText" text="EL">
      <formula>NOT(ISERROR(SEARCH("EL",AU112)))</formula>
    </cfRule>
    <cfRule type="containsText" dxfId="108" priority="700" operator="containsText" text="AL">
      <formula>NOT(ISERROR(SEARCH("AL",AU112)))</formula>
    </cfRule>
    <cfRule type="containsText" dxfId="107" priority="699" operator="containsText" text="AB">
      <formula>NOT(ISERROR(SEARCH("AB",AU112)))</formula>
    </cfRule>
  </conditionalFormatting>
  <conditionalFormatting sqref="AV22:AY23">
    <cfRule type="containsText" dxfId="106" priority="823" operator="containsText" text="AB">
      <formula>NOT(ISERROR(SEARCH("AB",AV22)))</formula>
    </cfRule>
    <cfRule type="containsText" dxfId="105" priority="825" operator="containsText" text="EL">
      <formula>NOT(ISERROR(SEARCH("EL",AV22)))</formula>
    </cfRule>
    <cfRule type="containsText" dxfId="104" priority="826" operator="containsText" text="SICK">
      <formula>NOT(ISERROR(SEARCH("SICK",AV22)))</formula>
    </cfRule>
    <cfRule type="containsText" dxfId="103" priority="824" operator="containsText" text="AL">
      <formula>NOT(ISERROR(SEARCH("AL",AV22)))</formula>
    </cfRule>
  </conditionalFormatting>
  <conditionalFormatting sqref="AV21:BA21">
    <cfRule type="containsText" dxfId="102" priority="863" operator="containsText" text="AB">
      <formula>NOT(ISERROR(SEARCH("AB",AV21)))</formula>
    </cfRule>
    <cfRule type="containsText" dxfId="101" priority="864" operator="containsText" text="AL">
      <formula>NOT(ISERROR(SEARCH("AL",AV21)))</formula>
    </cfRule>
    <cfRule type="containsText" dxfId="100" priority="865" operator="containsText" text="EL">
      <formula>NOT(ISERROR(SEARCH("EL",AV21)))</formula>
    </cfRule>
    <cfRule type="containsText" dxfId="99" priority="866" operator="containsText" text="SICK">
      <formula>NOT(ISERROR(SEARCH("SICK",AV21)))</formula>
    </cfRule>
  </conditionalFormatting>
  <conditionalFormatting sqref="AW100">
    <cfRule type="containsText" dxfId="98" priority="671" operator="containsText" text="AB">
      <formula>NOT(ISERROR(SEARCH("AB",AW100)))</formula>
    </cfRule>
    <cfRule type="containsText" dxfId="97" priority="674" operator="containsText" text="SICK">
      <formula>NOT(ISERROR(SEARCH("SICK",AW100)))</formula>
    </cfRule>
    <cfRule type="containsText" dxfId="96" priority="673" operator="containsText" text="EL">
      <formula>NOT(ISERROR(SEARCH("EL",AW100)))</formula>
    </cfRule>
    <cfRule type="containsText" dxfId="95" priority="672" operator="containsText" text="AL">
      <formula>NOT(ISERROR(SEARCH("AL",AW100)))</formula>
    </cfRule>
  </conditionalFormatting>
  <conditionalFormatting sqref="AW112:AY112">
    <cfRule type="containsText" dxfId="94" priority="697" operator="containsText" text="EL">
      <formula>NOT(ISERROR(SEARCH("EL",AW112)))</formula>
    </cfRule>
    <cfRule type="containsText" dxfId="93" priority="695" operator="containsText" text="AB">
      <formula>NOT(ISERROR(SEARCH("AB",AW112)))</formula>
    </cfRule>
    <cfRule type="containsText" dxfId="92" priority="696" operator="containsText" text="AL">
      <formula>NOT(ISERROR(SEARCH("AL",AW112)))</formula>
    </cfRule>
    <cfRule type="containsText" dxfId="91" priority="698" operator="containsText" text="SICK">
      <formula>NOT(ISERROR(SEARCH("SICK",AW112)))</formula>
    </cfRule>
  </conditionalFormatting>
  <conditionalFormatting sqref="AW99:BG99">
    <cfRule type="containsText" dxfId="90" priority="434" operator="containsText" text="SICK">
      <formula>NOT(ISERROR(SEARCH("SICK",AW99)))</formula>
    </cfRule>
    <cfRule type="containsText" dxfId="89" priority="433" operator="containsText" text="EL">
      <formula>NOT(ISERROR(SEARCH("EL",AW99)))</formula>
    </cfRule>
    <cfRule type="containsText" dxfId="88" priority="432" operator="containsText" text="AL">
      <formula>NOT(ISERROR(SEARCH("AL",AW99)))</formula>
    </cfRule>
    <cfRule type="containsText" dxfId="87" priority="431" operator="containsText" text="AB">
      <formula>NOT(ISERROR(SEARCH("AB",AW99)))</formula>
    </cfRule>
  </conditionalFormatting>
  <conditionalFormatting sqref="AX100:AY101">
    <cfRule type="containsText" dxfId="86" priority="599" operator="containsText" text="AB">
      <formula>NOT(ISERROR(SEARCH("AB",AX100)))</formula>
    </cfRule>
    <cfRule type="containsText" dxfId="85" priority="601" operator="containsText" text="EL">
      <formula>NOT(ISERROR(SEARCH("EL",AX100)))</formula>
    </cfRule>
    <cfRule type="containsText" dxfId="84" priority="600" operator="containsText" text="AL">
      <formula>NOT(ISERROR(SEARCH("AL",AX100)))</formula>
    </cfRule>
    <cfRule type="containsText" dxfId="83" priority="602" operator="containsText" text="SICK">
      <formula>NOT(ISERROR(SEARCH("SICK",AX100)))</formula>
    </cfRule>
  </conditionalFormatting>
  <conditionalFormatting sqref="AX110:BG112">
    <cfRule type="containsText" dxfId="82" priority="446" operator="containsText" text="SICK">
      <formula>NOT(ISERROR(SEARCH("SICK",AX110)))</formula>
    </cfRule>
    <cfRule type="containsText" dxfId="81" priority="445" operator="containsText" text="EL">
      <formula>NOT(ISERROR(SEARCH("EL",AX110)))</formula>
    </cfRule>
    <cfRule type="containsText" dxfId="80" priority="444" operator="containsText" text="AL">
      <formula>NOT(ISERROR(SEARCH("AL",AX110)))</formula>
    </cfRule>
    <cfRule type="containsText" dxfId="79" priority="443" operator="containsText" text="AB">
      <formula>NOT(ISERROR(SEARCH("AB",AX110)))</formula>
    </cfRule>
  </conditionalFormatting>
  <conditionalFormatting sqref="AZ22:BA22 AZ23 AT24:AZ24">
    <cfRule type="containsText" dxfId="78" priority="880" operator="containsText" text="AL">
      <formula>NOT(ISERROR(SEARCH("AL",AT22)))</formula>
    </cfRule>
    <cfRule type="containsText" dxfId="77" priority="881" operator="containsText" text="EL">
      <formula>NOT(ISERROR(SEARCH("EL",AT22)))</formula>
    </cfRule>
    <cfRule type="containsText" dxfId="76" priority="882" operator="containsText" text="SICK">
      <formula>NOT(ISERROR(SEARCH("SICK",AT22)))</formula>
    </cfRule>
    <cfRule type="containsText" dxfId="75" priority="879" operator="containsText" text="AB">
      <formula>NOT(ISERROR(SEARCH("AB",AT22)))</formula>
    </cfRule>
  </conditionalFormatting>
  <conditionalFormatting sqref="AZ100:BA103">
    <cfRule type="containsText" dxfId="74" priority="721" operator="containsText" text="EL">
      <formula>NOT(ISERROR(SEARCH("EL",AZ100)))</formula>
    </cfRule>
    <cfRule type="containsText" dxfId="73" priority="719" operator="containsText" text="AB">
      <formula>NOT(ISERROR(SEARCH("AB",AZ100)))</formula>
    </cfRule>
    <cfRule type="containsText" dxfId="72" priority="720" operator="containsText" text="AL">
      <formula>NOT(ISERROR(SEARCH("AL",AZ100)))</formula>
    </cfRule>
    <cfRule type="containsText" dxfId="71" priority="722" operator="containsText" text="SICK">
      <formula>NOT(ISERROR(SEARCH("SICK",AZ100)))</formula>
    </cfRule>
  </conditionalFormatting>
  <conditionalFormatting sqref="AZ108:BG108">
    <cfRule type="containsText" dxfId="70" priority="576" operator="containsText" text="AL">
      <formula>NOT(ISERROR(SEARCH("AL",AZ108)))</formula>
    </cfRule>
    <cfRule type="containsText" dxfId="69" priority="575" operator="containsText" text="AB">
      <formula>NOT(ISERROR(SEARCH("AB",AZ108)))</formula>
    </cfRule>
    <cfRule type="containsText" dxfId="68" priority="578" operator="containsText" text="SICK">
      <formula>NOT(ISERROR(SEARCH("SICK",AZ108)))</formula>
    </cfRule>
    <cfRule type="containsText" dxfId="67" priority="577" operator="containsText" text="EL">
      <formula>NOT(ISERROR(SEARCH("EL",AZ108)))</formula>
    </cfRule>
  </conditionalFormatting>
  <conditionalFormatting sqref="BA23:BA24">
    <cfRule type="containsText" dxfId="66" priority="867" operator="containsText" text="AB">
      <formula>NOT(ISERROR(SEARCH("AB",BA23)))</formula>
    </cfRule>
    <cfRule type="containsText" dxfId="65" priority="869" operator="containsText" text="EL">
      <formula>NOT(ISERROR(SEARCH("EL",BA23)))</formula>
    </cfRule>
    <cfRule type="containsText" dxfId="64" priority="870" operator="containsText" text="SICK">
      <formula>NOT(ISERROR(SEARCH("SICK",BA23)))</formula>
    </cfRule>
    <cfRule type="containsText" dxfId="63" priority="868" operator="containsText" text="AL">
      <formula>NOT(ISERROR(SEARCH("AL",BA23)))</formula>
    </cfRule>
  </conditionalFormatting>
  <conditionalFormatting sqref="BA112">
    <cfRule type="containsText" dxfId="62" priority="694" operator="containsText" text="SICK">
      <formula>NOT(ISERROR(SEARCH("SICK",BA112)))</formula>
    </cfRule>
    <cfRule type="containsText" dxfId="61" priority="693" operator="containsText" text="EL">
      <formula>NOT(ISERROR(SEARCH("EL",BA112)))</formula>
    </cfRule>
    <cfRule type="containsText" dxfId="60" priority="691" operator="containsText" text="AB">
      <formula>NOT(ISERROR(SEARCH("AB",BA112)))</formula>
    </cfRule>
    <cfRule type="containsText" dxfId="59" priority="692" operator="containsText" text="AL">
      <formula>NOT(ISERROR(SEARCH("AL",BA112)))</formula>
    </cfRule>
  </conditionalFormatting>
  <conditionalFormatting sqref="BB5:BC5">
    <cfRule type="containsText" dxfId="58" priority="2109" stopIfTrue="1" operator="containsText" text="SICK">
      <formula>NOT(ISERROR(SEARCH("SICK",BB5)))</formula>
    </cfRule>
    <cfRule type="containsText" dxfId="57" priority="2108" stopIfTrue="1" operator="containsText" text="AB">
      <formula>NOT(ISERROR(SEARCH("AB",BB5)))</formula>
    </cfRule>
    <cfRule type="containsText" dxfId="56" priority="2104" stopIfTrue="1" operator="containsText" text="AB">
      <formula>NOT(ISERROR(SEARCH("AB",BB5)))</formula>
    </cfRule>
    <cfRule type="containsText" dxfId="55" priority="2107" stopIfTrue="1" operator="containsText" text="NL">
      <formula>NOT(ISERROR(SEARCH("NL",BB5)))</formula>
    </cfRule>
    <cfRule type="containsText" dxfId="54" priority="2103" stopIfTrue="1" operator="containsText" text="ML">
      <formula>NOT(ISERROR(SEARCH("ML",BB5)))</formula>
    </cfRule>
    <cfRule type="containsText" dxfId="53" priority="2105" stopIfTrue="1" operator="containsText" text="SICK">
      <formula>NOT(ISERROR(SEARCH("SICK",BB5)))</formula>
    </cfRule>
    <cfRule type="containsText" dxfId="52" priority="2106" stopIfTrue="1" operator="containsText" text="AL">
      <formula>NOT(ISERROR(SEARCH("AL",BB5)))</formula>
    </cfRule>
  </conditionalFormatting>
  <conditionalFormatting sqref="BB100:BG107">
    <cfRule type="containsText" dxfId="51" priority="423" operator="containsText" text="AB">
      <formula>NOT(ISERROR(SEARCH("AB",BB100)))</formula>
    </cfRule>
    <cfRule type="containsText" dxfId="50" priority="424" operator="containsText" text="AL">
      <formula>NOT(ISERROR(SEARCH("AL",BB100)))</formula>
    </cfRule>
    <cfRule type="containsText" dxfId="49" priority="425" operator="containsText" text="EL">
      <formula>NOT(ISERROR(SEARCH("EL",BB100)))</formula>
    </cfRule>
    <cfRule type="containsText" dxfId="48" priority="426" operator="containsText" text="SICK">
      <formula>NOT(ISERROR(SEARCH("SICK",BB100)))</formula>
    </cfRule>
  </conditionalFormatting>
  <conditionalFormatting sqref="BB7:BO26">
    <cfRule type="containsText" dxfId="47" priority="53" operator="containsText" text="AB">
      <formula>NOT(ISERROR(SEARCH("AB",BB7)))</formula>
    </cfRule>
    <cfRule type="containsText" dxfId="46" priority="54" operator="containsText" text="AL">
      <formula>NOT(ISERROR(SEARCH("AL",BB7)))</formula>
    </cfRule>
    <cfRule type="containsText" dxfId="45" priority="55" operator="containsText" text="EL">
      <formula>NOT(ISERROR(SEARCH("EL",BB7)))</formula>
    </cfRule>
    <cfRule type="containsText" dxfId="44" priority="56" operator="containsText" text="SICK">
      <formula>NOT(ISERROR(SEARCH("SICK",BB7)))</formula>
    </cfRule>
  </conditionalFormatting>
  <conditionalFormatting sqref="BC112">
    <cfRule type="containsText" dxfId="43" priority="442" operator="containsText" text="SICK">
      <formula>NOT(ISERROR(SEARCH("SICK",BC112)))</formula>
    </cfRule>
    <cfRule type="containsText" dxfId="42" priority="441" operator="containsText" text="EL">
      <formula>NOT(ISERROR(SEARCH("EL",BC112)))</formula>
    </cfRule>
    <cfRule type="containsText" dxfId="41" priority="439" operator="containsText" text="AB">
      <formula>NOT(ISERROR(SEARCH("AB",BC112)))</formula>
    </cfRule>
    <cfRule type="containsText" dxfId="40" priority="440" operator="containsText" text="AL">
      <formula>NOT(ISERROR(SEARCH("AL",BC112)))</formula>
    </cfRule>
  </conditionalFormatting>
  <conditionalFormatting sqref="BG112:BK112">
    <cfRule type="containsText" dxfId="39" priority="372" operator="containsText" text="SICK">
      <formula>NOT(ISERROR(SEARCH("SICK",BG112)))</formula>
    </cfRule>
    <cfRule type="containsText" dxfId="38" priority="370" operator="containsText" text="AL">
      <formula>NOT(ISERROR(SEARCH("AL",BG112)))</formula>
    </cfRule>
    <cfRule type="containsText" dxfId="37" priority="369" operator="containsText" text="AB">
      <formula>NOT(ISERROR(SEARCH("AB",BG112)))</formula>
    </cfRule>
    <cfRule type="containsText" dxfId="36" priority="371" operator="containsText" text="EL">
      <formula>NOT(ISERROR(SEARCH("EL",BG112)))</formula>
    </cfRule>
  </conditionalFormatting>
  <conditionalFormatting sqref="BH135:BI135">
    <cfRule type="containsText" dxfId="35" priority="7517" stopIfTrue="1" operator="containsText" text="SP">
      <formula>NOT(ISERROR(SEARCH("SP",BH135)))</formula>
    </cfRule>
    <cfRule type="containsText" priority="7518" stopIfTrue="1" operator="containsText" text="SP">
      <formula>NOT(ISERROR(SEARCH("SP",BH135)))</formula>
    </cfRule>
  </conditionalFormatting>
  <conditionalFormatting sqref="BH41:BK111">
    <cfRule type="containsText" dxfId="34" priority="325" operator="containsText" text="AB">
      <formula>NOT(ISERROR(SEARCH("AB",BH41)))</formula>
    </cfRule>
    <cfRule type="containsText" dxfId="33" priority="326" operator="containsText" text="AL">
      <formula>NOT(ISERROR(SEARCH("AL",BH41)))</formula>
    </cfRule>
    <cfRule type="containsText" dxfId="32" priority="327" operator="containsText" text="EL">
      <formula>NOT(ISERROR(SEARCH("EL",BH41)))</formula>
    </cfRule>
    <cfRule type="containsText" dxfId="31" priority="328" operator="containsText" text="SICK">
      <formula>NOT(ISERROR(SEARCH("SICK",BH41)))</formula>
    </cfRule>
  </conditionalFormatting>
  <conditionalFormatting sqref="BJ113:BK113">
    <cfRule type="containsText" dxfId="30" priority="96" operator="containsText" text="AL">
      <formula>NOT(ISERROR(SEARCH("AL",BJ113)))</formula>
    </cfRule>
    <cfRule type="containsText" dxfId="29" priority="95" operator="containsText" text="AB">
      <formula>NOT(ISERROR(SEARCH("AB",BJ113)))</formula>
    </cfRule>
    <cfRule type="containsText" dxfId="28" priority="98" operator="containsText" text="SICK">
      <formula>NOT(ISERROR(SEARCH("SICK",BJ113)))</formula>
    </cfRule>
    <cfRule type="containsText" dxfId="27" priority="97" operator="containsText" text="EL">
      <formula>NOT(ISERROR(SEARCH("EL",BJ113)))</formula>
    </cfRule>
  </conditionalFormatting>
  <conditionalFormatting sqref="BL41:BO114">
    <cfRule type="containsText" dxfId="26" priority="8" operator="containsText" text="SICK">
      <formula>NOT(ISERROR(SEARCH("SICK",BL41)))</formula>
    </cfRule>
    <cfRule type="containsText" dxfId="25" priority="7" operator="containsText" text="EL">
      <formula>NOT(ISERROR(SEARCH("EL",BL41)))</formula>
    </cfRule>
    <cfRule type="containsText" dxfId="24" priority="6" operator="containsText" text="AL">
      <formula>NOT(ISERROR(SEARCH("AL",BL41)))</formula>
    </cfRule>
    <cfRule type="containsText" dxfId="23" priority="5" operator="containsText" text="AB">
      <formula>NOT(ISERROR(SEARCH("AB",BL41)))</formula>
    </cfRule>
  </conditionalFormatting>
  <conditionalFormatting sqref="BM136">
    <cfRule type="containsText" dxfId="22" priority="2464" stopIfTrue="1" operator="containsText" text="SICK">
      <formula>NOT(ISERROR(SEARCH("SICK",BM136)))</formula>
    </cfRule>
    <cfRule type="containsText" dxfId="21" priority="2465" stopIfTrue="1" operator="containsText" text="AL">
      <formula>NOT(ISERROR(SEARCH("AL",BM136)))</formula>
    </cfRule>
    <cfRule type="containsText" dxfId="20" priority="2466" stopIfTrue="1" operator="containsText" text="NL">
      <formula>NOT(ISERROR(SEARCH("NL",BM136)))</formula>
    </cfRule>
    <cfRule type="containsText" dxfId="19" priority="2467" stopIfTrue="1" operator="containsText" text="AB">
      <formula>NOT(ISERROR(SEARCH("AB",BM136)))</formula>
    </cfRule>
    <cfRule type="containsText" dxfId="18" priority="2468" stopIfTrue="1" operator="containsText" text="SICK">
      <formula>NOT(ISERROR(SEARCH("SICK",BM136)))</formula>
    </cfRule>
    <cfRule type="containsText" dxfId="17" priority="2462" stopIfTrue="1" operator="containsText" text="ML">
      <formula>NOT(ISERROR(SEARCH("ML",BM136)))</formula>
    </cfRule>
    <cfRule type="containsText" dxfId="16" priority="2463" stopIfTrue="1" operator="containsText" text="AB">
      <formula>NOT(ISERROR(SEARCH("AB",BM136)))</formula>
    </cfRule>
  </conditionalFormatting>
  <conditionalFormatting sqref="BN136 AK5:BC5 AT136:BL136">
    <cfRule type="containsText" dxfId="15" priority="2341" stopIfTrue="1" operator="containsText" text="AL">
      <formula>NOT(ISERROR(SEARCH("AL",AK5)))</formula>
    </cfRule>
  </conditionalFormatting>
  <conditionalFormatting sqref="BN136">
    <cfRule type="containsText" dxfId="14" priority="2340" stopIfTrue="1" operator="containsText" text="SICK">
      <formula>NOT(ISERROR(SEARCH("SICK",BN136)))</formula>
    </cfRule>
  </conditionalFormatting>
  <conditionalFormatting sqref="BO136">
    <cfRule type="containsText" dxfId="13" priority="2785" stopIfTrue="1" operator="containsText" text="SICK">
      <formula>NOT(ISERROR(SEARCH("SICK",BO136)))</formula>
    </cfRule>
    <cfRule type="containsText" dxfId="12" priority="2779" stopIfTrue="1" operator="containsText" text="ML">
      <formula>NOT(ISERROR(SEARCH("ML",BO136)))</formula>
    </cfRule>
    <cfRule type="containsText" dxfId="11" priority="2780" stopIfTrue="1" operator="containsText" text="AB">
      <formula>NOT(ISERROR(SEARCH("AB",BO136)))</formula>
    </cfRule>
    <cfRule type="containsText" dxfId="10" priority="2781" stopIfTrue="1" operator="containsText" text="SICK">
      <formula>NOT(ISERROR(SEARCH("SICK",BO136)))</formula>
    </cfRule>
    <cfRule type="containsText" dxfId="9" priority="2783" stopIfTrue="1" operator="containsText" text="NL">
      <formula>NOT(ISERROR(SEARCH("NL",BO136)))</formula>
    </cfRule>
    <cfRule type="containsText" dxfId="8" priority="2782" stopIfTrue="1" operator="containsText" text="AL">
      <formula>NOT(ISERROR(SEARCH("AL",BO136)))</formula>
    </cfRule>
  </conditionalFormatting>
  <conditionalFormatting sqref="BP5:BP26 BP41:BP114 AI43:AI114 AH48:AI48 AH54:AH75 AI116:AI119 BP135:BP136 AH136:AI136">
    <cfRule type="containsText" priority="7407" stopIfTrue="1" operator="containsText" text="SP">
      <formula>NOT(ISERROR(SEARCH("SP",AH5)))</formula>
    </cfRule>
  </conditionalFormatting>
  <conditionalFormatting sqref="BP5:BP26">
    <cfRule type="containsText" dxfId="7" priority="4654" stopIfTrue="1" operator="containsText" text="AB">
      <formula>NOT(ISERROR(SEARCH("AB",BP5)))</formula>
    </cfRule>
  </conditionalFormatting>
  <conditionalFormatting sqref="BP41:BP114">
    <cfRule type="containsText" dxfId="6" priority="99" stopIfTrue="1" operator="containsText" text="AB">
      <formula>NOT(ISERROR(SEARCH("AB",BP41)))</formula>
    </cfRule>
    <cfRule type="containsText" dxfId="5" priority="100" stopIfTrue="1" operator="containsText" text="SICK">
      <formula>NOT(ISERROR(SEARCH("SICK",BP41)))</formula>
    </cfRule>
  </conditionalFormatting>
  <conditionalFormatting sqref="BQ2 BQ135:BQ136">
    <cfRule type="cellIs" dxfId="4" priority="7929" stopIfTrue="1" operator="equal">
      <formula>";"</formula>
    </cfRule>
  </conditionalFormatting>
  <conditionalFormatting sqref="BQ5:BQ26">
    <cfRule type="cellIs" dxfId="3" priority="94" stopIfTrue="1" operator="equal">
      <formula>";"</formula>
    </cfRule>
  </conditionalFormatting>
  <conditionalFormatting sqref="BQ38">
    <cfRule type="cellIs" dxfId="2" priority="7892" operator="equal">
      <formula>";"</formula>
    </cfRule>
  </conditionalFormatting>
  <conditionalFormatting sqref="BQ41:BQ114">
    <cfRule type="cellIs" dxfId="1" priority="81" stopIfTrue="1" operator="equal">
      <formula>";"</formula>
    </cfRule>
  </conditionalFormatting>
  <conditionalFormatting sqref="BS133">
    <cfRule type="cellIs" dxfId="0" priority="7880" operator="equal">
      <formula>";"</formula>
    </cfRule>
  </conditionalFormatting>
  <pageMargins left="0.7" right="0.7" top="0.75" bottom="0.75" header="0.3" footer="0.3"/>
  <pageSetup paperSize="9" scale="19" fitToHeight="0" orientation="landscape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2026-02-02T12:27:19Z</cp:lastPrinted>
  <dcterms:created xsi:type="dcterms:W3CDTF">2025-11-02T11:29:49Z</dcterms:created>
  <dcterms:modified xsi:type="dcterms:W3CDTF">2026-10-29T19:20:46Z</dcterms:modified>
</cp:coreProperties>
</file>