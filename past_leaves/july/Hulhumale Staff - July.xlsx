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ly\"/>
    </mc:Choice>
  </mc:AlternateContent>
  <xr:revisionPtr revIDLastSave="0" documentId="13_ncr:1_{77A6B0C0-BF6F-47F0-9AEE-FC486B5F1B21}" xr6:coauthVersionLast="47" xr6:coauthVersionMax="47" xr10:uidLastSave="{00000000-0000-0000-0000-000000000000}"/>
  <bookViews>
    <workbookView xWindow="-120" yWindow="-120" windowWidth="29040" windowHeight="15840" activeTab="1" xr2:uid="{F40E51D0-06DA-454F-A274-231ADDE8369D}"/>
  </bookViews>
  <sheets>
    <sheet name="MASTER" sheetId="1" r:id="rId1"/>
    <sheet name="Kabir Hossain" sheetId="5" r:id="rId2"/>
    <sheet name="MD Mukul Ali" sheetId="6" r:id="rId3"/>
  </sheets>
  <externalReferences>
    <externalReference r:id="rId4"/>
  </externalReferences>
  <definedNames>
    <definedName name="_xlnm._FilterDatabase" localSheetId="1" hidden="1">'Kabir Hossain'!#REF!</definedName>
    <definedName name="_xlnm._FilterDatabase" localSheetId="0" hidden="1">MASTER!$CH$4:$CR$4</definedName>
    <definedName name="_xlnm._FilterDatabase" localSheetId="2" hidden="1">'MD Mukul Ali'!#REF!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5" i="1" l="1"/>
  <c r="BS10" i="1" l="1"/>
  <c r="BS28" i="1"/>
  <c r="BT22" i="1"/>
  <c r="BS22" i="1"/>
  <c r="BS18" i="1" l="1"/>
  <c r="BT18" i="1"/>
  <c r="BU18" i="1"/>
  <c r="BV18" i="1"/>
  <c r="BW18" i="1"/>
  <c r="BX18" i="1"/>
  <c r="BY18" i="1"/>
  <c r="BZ18" i="1"/>
  <c r="CA18" i="1"/>
  <c r="CB18" i="1"/>
  <c r="CC18" i="1"/>
  <c r="CD18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BU22" i="1"/>
  <c r="BV22" i="1"/>
  <c r="BW22" i="1"/>
  <c r="BX22" i="1"/>
  <c r="BY22" i="1"/>
  <c r="BZ22" i="1"/>
  <c r="CA22" i="1"/>
  <c r="CB22" i="1"/>
  <c r="CC22" i="1"/>
  <c r="CD22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BT28" i="1"/>
  <c r="BU28" i="1"/>
  <c r="BV28" i="1"/>
  <c r="BW28" i="1"/>
  <c r="BX28" i="1"/>
  <c r="BY28" i="1"/>
  <c r="BZ28" i="1"/>
  <c r="CA28" i="1"/>
  <c r="CB28" i="1"/>
  <c r="CC28" i="1"/>
  <c r="CD28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BS35" i="1"/>
  <c r="BT35" i="1"/>
  <c r="BQ35" i="1" s="1"/>
  <c r="BU35" i="1"/>
  <c r="BV35" i="1"/>
  <c r="BW35" i="1"/>
  <c r="BX35" i="1"/>
  <c r="BY35" i="1"/>
  <c r="BZ35" i="1"/>
  <c r="CA35" i="1"/>
  <c r="CB35" i="1"/>
  <c r="CC35" i="1"/>
  <c r="CD35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S6" i="1"/>
  <c r="BT6" i="1"/>
  <c r="BU6" i="1"/>
  <c r="BV6" i="1"/>
  <c r="BW6" i="1"/>
  <c r="BX6" i="1"/>
  <c r="BY6" i="1"/>
  <c r="BZ6" i="1"/>
  <c r="CA6" i="1"/>
  <c r="CB6" i="1"/>
  <c r="CC6" i="1"/>
  <c r="CD6" i="1"/>
  <c r="BS7" i="1"/>
  <c r="BT7" i="1"/>
  <c r="BU7" i="1"/>
  <c r="BV7" i="1"/>
  <c r="BW7" i="1"/>
  <c r="BX7" i="1"/>
  <c r="BY7" i="1"/>
  <c r="BZ7" i="1"/>
  <c r="CA7" i="1"/>
  <c r="CB7" i="1"/>
  <c r="CC7" i="1"/>
  <c r="CD7" i="1"/>
  <c r="BS8" i="1"/>
  <c r="BT8" i="1"/>
  <c r="BU8" i="1"/>
  <c r="BV8" i="1"/>
  <c r="BW8" i="1"/>
  <c r="BX8" i="1"/>
  <c r="BY8" i="1"/>
  <c r="BZ8" i="1"/>
  <c r="CA8" i="1"/>
  <c r="CB8" i="1"/>
  <c r="CC8" i="1"/>
  <c r="CD8" i="1"/>
  <c r="BS9" i="1"/>
  <c r="BT9" i="1"/>
  <c r="BU9" i="1"/>
  <c r="BV9" i="1"/>
  <c r="BW9" i="1"/>
  <c r="BX9" i="1"/>
  <c r="BY9" i="1"/>
  <c r="BZ9" i="1"/>
  <c r="CA9" i="1"/>
  <c r="CB9" i="1"/>
  <c r="CC9" i="1"/>
  <c r="CD9" i="1"/>
  <c r="BT10" i="1"/>
  <c r="BU10" i="1"/>
  <c r="BV10" i="1"/>
  <c r="BW10" i="1"/>
  <c r="BX10" i="1"/>
  <c r="BY10" i="1"/>
  <c r="BZ10" i="1"/>
  <c r="CA10" i="1"/>
  <c r="CB10" i="1"/>
  <c r="CC10" i="1"/>
  <c r="CD10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D5" i="1"/>
  <c r="CC5" i="1"/>
  <c r="CB5" i="1"/>
  <c r="CA5" i="1"/>
  <c r="BZ5" i="1"/>
  <c r="BY5" i="1"/>
  <c r="BX5" i="1"/>
  <c r="BW5" i="1"/>
  <c r="BV5" i="1"/>
  <c r="BU5" i="1"/>
  <c r="BS5" i="1"/>
  <c r="BF29" i="6"/>
  <c r="AR29" i="6"/>
  <c r="AL29" i="6"/>
  <c r="AH29" i="6"/>
  <c r="AG29" i="6"/>
  <c r="B29" i="6"/>
  <c r="AQ29" i="6" s="1"/>
  <c r="BF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E28" i="6" s="1"/>
  <c r="BF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E27" i="6" s="1"/>
  <c r="BF5" i="6"/>
  <c r="AR5" i="6"/>
  <c r="AQ5" i="6"/>
  <c r="AP5" i="6"/>
  <c r="AO5" i="6"/>
  <c r="AN5" i="6"/>
  <c r="AM5" i="6"/>
  <c r="AL5" i="6"/>
  <c r="AK5" i="6"/>
  <c r="AJ5" i="6"/>
  <c r="AI5" i="6"/>
  <c r="AH5" i="6"/>
  <c r="AG5" i="6"/>
  <c r="AE5" i="6" s="1"/>
  <c r="BQ22" i="1" l="1"/>
  <c r="AJ29" i="6"/>
  <c r="AO29" i="6"/>
  <c r="AK29" i="6"/>
  <c r="AP29" i="6"/>
  <c r="AN29" i="6"/>
  <c r="AI29" i="6"/>
  <c r="AM29" i="6"/>
  <c r="BF29" i="5"/>
  <c r="AH29" i="5"/>
  <c r="AG29" i="5"/>
  <c r="B29" i="5"/>
  <c r="AO29" i="5" s="1"/>
  <c r="BF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BF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BF5" i="5"/>
  <c r="AR5" i="5"/>
  <c r="AQ5" i="5"/>
  <c r="AP5" i="5"/>
  <c r="AO5" i="5"/>
  <c r="AN5" i="5"/>
  <c r="AM5" i="5"/>
  <c r="AL5" i="5"/>
  <c r="AK5" i="5"/>
  <c r="AJ5" i="5"/>
  <c r="AI5" i="5"/>
  <c r="AH5" i="5"/>
  <c r="AG5" i="5"/>
  <c r="CR6" i="1"/>
  <c r="CA60" i="1"/>
  <c r="BS60" i="1"/>
  <c r="BS61" i="1"/>
  <c r="BT59" i="1"/>
  <c r="CR8" i="1"/>
  <c r="CR34" i="1"/>
  <c r="CR25" i="1"/>
  <c r="CR26" i="1"/>
  <c r="CR27" i="1"/>
  <c r="CR28" i="1"/>
  <c r="CR29" i="1"/>
  <c r="CR30" i="1"/>
  <c r="CR31" i="1"/>
  <c r="CR32" i="1"/>
  <c r="CR33" i="1"/>
  <c r="BS59" i="1"/>
  <c r="CR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AE29" i="6" l="1"/>
  <c r="AL29" i="5"/>
  <c r="AE28" i="5"/>
  <c r="AE27" i="5"/>
  <c r="AP29" i="5"/>
  <c r="AE5" i="5"/>
  <c r="AI29" i="5"/>
  <c r="AM29" i="5"/>
  <c r="AQ29" i="5"/>
  <c r="AJ29" i="5"/>
  <c r="AN29" i="5"/>
  <c r="AR29" i="5"/>
  <c r="AK29" i="5"/>
  <c r="BQ6" i="1"/>
  <c r="BQ8" i="1"/>
  <c r="BQ58" i="1"/>
  <c r="AE29" i="5" l="1"/>
  <c r="BQ33" i="1" l="1"/>
  <c r="BQ23" i="1"/>
  <c r="BQ34" i="1"/>
  <c r="CR10" i="1"/>
  <c r="CR23" i="1"/>
  <c r="BQ7" i="1" l="1"/>
  <c r="BS57" i="1"/>
  <c r="CR9" i="1"/>
  <c r="BQ9" i="1" l="1"/>
  <c r="BQ32" i="1"/>
  <c r="CR57" i="1"/>
  <c r="CR24" i="1"/>
  <c r="CR22" i="1"/>
  <c r="CR21" i="1"/>
  <c r="CR61" i="1"/>
  <c r="CR20" i="1"/>
  <c r="CR60" i="1"/>
  <c r="CR19" i="1"/>
  <c r="CR18" i="1"/>
  <c r="CR17" i="1"/>
  <c r="CR11" i="1"/>
  <c r="CR59" i="1"/>
  <c r="CR7" i="1"/>
  <c r="CR5" i="1"/>
  <c r="BT60" i="1" l="1"/>
  <c r="BU60" i="1"/>
  <c r="BV60" i="1"/>
  <c r="BW60" i="1"/>
  <c r="BX60" i="1"/>
  <c r="BY60" i="1"/>
  <c r="BZ60" i="1"/>
  <c r="CB60" i="1"/>
  <c r="CC60" i="1"/>
  <c r="CD60" i="1"/>
  <c r="BT61" i="1"/>
  <c r="BU61" i="1"/>
  <c r="BV61" i="1"/>
  <c r="BW61" i="1"/>
  <c r="BX61" i="1"/>
  <c r="BY61" i="1"/>
  <c r="BZ61" i="1"/>
  <c r="CA61" i="1"/>
  <c r="CB61" i="1"/>
  <c r="CC61" i="1"/>
  <c r="CD61" i="1"/>
  <c r="BT57" i="1"/>
  <c r="BU57" i="1"/>
  <c r="BV57" i="1"/>
  <c r="BW57" i="1"/>
  <c r="BX57" i="1"/>
  <c r="BY57" i="1"/>
  <c r="BZ57" i="1"/>
  <c r="CA57" i="1"/>
  <c r="CB57" i="1"/>
  <c r="CC57" i="1"/>
  <c r="CD57" i="1"/>
  <c r="BQ30" i="1" l="1"/>
  <c r="BQ20" i="1"/>
  <c r="BQ61" i="1"/>
  <c r="BQ21" i="1"/>
  <c r="BQ31" i="1"/>
  <c r="BQ24" i="1"/>
  <c r="BQ25" i="1"/>
  <c r="BQ18" i="1"/>
  <c r="BQ26" i="1"/>
  <c r="BQ19" i="1"/>
  <c r="BQ27" i="1"/>
  <c r="BQ28" i="1"/>
  <c r="BQ60" i="1"/>
  <c r="BQ29" i="1"/>
  <c r="BQ17" i="1"/>
  <c r="BQ57" i="1" l="1"/>
  <c r="B11" i="1" l="1"/>
  <c r="B10" i="1"/>
  <c r="B59" i="1"/>
  <c r="BV59" i="1" l="1"/>
  <c r="BZ59" i="1"/>
  <c r="CD59" i="1"/>
  <c r="BW59" i="1"/>
  <c r="CA59" i="1"/>
  <c r="CB59" i="1"/>
  <c r="BU59" i="1"/>
  <c r="BY59" i="1"/>
  <c r="CC59" i="1"/>
  <c r="BX59" i="1"/>
  <c r="BQ11" i="1" l="1"/>
  <c r="BQ59" i="1"/>
  <c r="BQ10" i="1"/>
  <c r="BQ5" i="1"/>
</calcChain>
</file>

<file path=xl/sharedStrings.xml><?xml version="1.0" encoding="utf-8"?>
<sst xmlns="http://schemas.openxmlformats.org/spreadsheetml/2006/main" count="751" uniqueCount="122">
  <si>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</si>
  <si>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</si>
  <si>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</si>
  <si>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</si>
  <si>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</si>
  <si>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</si>
  <si>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</si>
  <si>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</si>
  <si>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</si>
  <si>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</si>
  <si>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</si>
  <si>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</si>
  <si>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</si>
  <si>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</si>
  <si>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</si>
  <si>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</si>
  <si>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</si>
  <si>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</si>
  <si>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</si>
  <si>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</si>
  <si>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</si>
  <si>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</si>
  <si>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</si>
  <si>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</si>
  <si>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</si>
  <si>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</si>
  <si>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</si>
  <si>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</si>
  <si>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</si>
  <si>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</si>
  <si>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</si>
  <si>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</si>
  <si>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</si>
  <si>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</si>
  <si>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</si>
  <si>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</si>
  <si>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</si>
  <si>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</si>
  <si>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</si>
  <si>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</si>
  <si>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</si>
  <si>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</si>
  <si>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</si>
  <si>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</si>
  <si>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</si>
  <si>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</si>
  <si>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MAD0627</t>
  </si>
  <si>
    <t>Manirul Laskar</t>
  </si>
  <si>
    <t>MAD0637</t>
  </si>
  <si>
    <t>Alisan</t>
  </si>
  <si>
    <t>MAD0658</t>
  </si>
  <si>
    <t>Javed Alam</t>
  </si>
  <si>
    <t>MAD0671</t>
  </si>
  <si>
    <t>Najare Alam Ansari</t>
  </si>
  <si>
    <t>MAD0685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</si>
  <si>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</si>
  <si>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</si>
  <si>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</si>
  <si>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</si>
  <si>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</si>
  <si>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</si>
  <si>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</si>
  <si>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</si>
  <si>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</si>
  <si>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</si>
  <si>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</si>
  <si>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</si>
  <si>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</si>
  <si>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</si>
  <si>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</si>
  <si>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</si>
  <si>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</si>
  <si>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</si>
  <si>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</si>
  <si>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</si>
  <si>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</si>
  <si>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</si>
  <si>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</si>
  <si>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</si>
  <si>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</si>
  <si>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</si>
  <si>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</si>
  <si>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</si>
  <si>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</si>
  <si>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</si>
  <si>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</si>
  <si>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</si>
  <si>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>Total</t>
  </si>
  <si>
    <t>MDA0196</t>
  </si>
  <si>
    <t>MAD0745</t>
  </si>
  <si>
    <t>MAD0744</t>
  </si>
  <si>
    <t>Alamgir Hosain</t>
  </si>
  <si>
    <t>Saddam Hossian</t>
  </si>
  <si>
    <t>MAD0760</t>
  </si>
  <si>
    <t>MD Tarikul Islam tarik</t>
  </si>
  <si>
    <t>MAD0761</t>
  </si>
  <si>
    <t>MD Soriful Islam</t>
  </si>
  <si>
    <t>MAD0657</t>
  </si>
  <si>
    <t>Firoj Pawariya</t>
  </si>
  <si>
    <t>MAD0244</t>
  </si>
  <si>
    <t>SICK</t>
  </si>
  <si>
    <t>MAD0766</t>
  </si>
  <si>
    <t>MD Nahid Mia</t>
  </si>
  <si>
    <t xml:space="preserve">Used Leave Totals (Running Year, up to end of this month - JUNE  2026) </t>
  </si>
  <si>
    <t>Grapeson Edward</t>
  </si>
  <si>
    <t>MD Mukul Ali</t>
  </si>
  <si>
    <t>Md Abdus Samad</t>
  </si>
  <si>
    <t>MAD0655</t>
  </si>
  <si>
    <t>Arulmani Kumaresan</t>
  </si>
  <si>
    <t>Attendance for JULY 2026 - Hulhumale Senior Foreign  Staff</t>
  </si>
  <si>
    <t>Attendance for  JULY 2026 - Hulhumale Junior Foreign Staff</t>
  </si>
  <si>
    <t>MAD0226</t>
  </si>
  <si>
    <t xml:space="preserve">Note:    </t>
  </si>
  <si>
    <t>OT</t>
  </si>
  <si>
    <t>Overtime: 36h30m =393 Rf (26th june - 13 july) 2026</t>
  </si>
  <si>
    <t>Salary and Allowance Settlement for July 2026 - Hulhumale Junior Foreign Staff</t>
  </si>
  <si>
    <t>Overtime: 72h = 720 Rf (26th june - 13 july) 2026</t>
  </si>
  <si>
    <t>Please  pay food allowance for 13 days( 1st -13th) July 2026</t>
  </si>
  <si>
    <t>MAD0772</t>
  </si>
  <si>
    <t>Tarek Ahmed</t>
  </si>
  <si>
    <t>JOINING ON 5TH JULY 2026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</si>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</sst>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&quot;$&quot;#,##0.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36">
    <xf numFmtId="0" fontId="0" fillId="0" borderId="0" xfId="0"/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4" fillId="0" borderId="0" xfId="0" applyFont="1"/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1" fontId="8" fillId="4" borderId="0" xfId="0" applyNumberFormat="1" applyFont="1" applyFill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20" fontId="33" fillId="4" borderId="2" xfId="0" applyNumberFormat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center" vertical="center" wrapText="1"/>
    </xf>
    <xf numFmtId="20" fontId="34" fillId="12" borderId="2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4" fillId="4" borderId="2" xfId="0" applyNumberFormat="1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20" fontId="30" fillId="4" borderId="2" xfId="0" applyNumberFormat="1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7" fillId="4" borderId="0" xfId="0" applyNumberFormat="1" applyFont="1" applyFill="1" applyAlignment="1">
      <alignment horizontal="center" vertical="center"/>
    </xf>
    <xf numFmtId="20" fontId="29" fillId="4" borderId="0" xfId="0" applyNumberFormat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5" fontId="0" fillId="0" borderId="2" xfId="0" applyNumberFormat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15" fontId="1" fillId="3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38" fillId="0" borderId="2" xfId="0" applyNumberFormat="1" applyFont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20" fontId="29" fillId="4" borderId="4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18" fillId="9" borderId="0" xfId="0" applyFont="1" applyFill="1" applyAlignment="1">
      <alignment vertical="center"/>
    </xf>
    <xf numFmtId="0" fontId="0" fillId="9" borderId="0" xfId="0" applyFill="1"/>
    <xf numFmtId="0" fontId="3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0" fillId="0" borderId="2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37" fillId="0" borderId="2" xfId="0" applyNumberFormat="1" applyFont="1" applyBorder="1" applyAlignment="1">
      <alignment horizontal="center" vertical="center" wrapText="1"/>
    </xf>
    <xf numFmtId="164" fontId="0" fillId="9" borderId="2" xfId="0" applyNumberFormat="1" applyFill="1" applyBorder="1" applyAlignment="1">
      <alignment horizontal="center" vertical="center"/>
    </xf>
    <xf numFmtId="3" fontId="37" fillId="0" borderId="2" xfId="0" applyNumberFormat="1" applyFont="1" applyBorder="1" applyAlignment="1">
      <alignment horizontal="center" vertical="center" wrapText="1"/>
    </xf>
    <xf numFmtId="164" fontId="37" fillId="0" borderId="2" xfId="0" applyNumberFormat="1" applyFont="1" applyBorder="1" applyAlignment="1">
      <alignment horizontal="center" vertical="center"/>
    </xf>
    <xf numFmtId="165" fontId="0" fillId="15" borderId="2" xfId="0" applyNumberFormat="1" applyFill="1" applyBorder="1" applyAlignment="1">
      <alignment horizontal="center" vertical="center"/>
    </xf>
    <xf numFmtId="0" fontId="38" fillId="0" borderId="3" xfId="0" applyFont="1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/>
    </xf>
    <xf numFmtId="20" fontId="30" fillId="4" borderId="3" xfId="0" applyNumberFormat="1" applyFont="1" applyFill="1" applyBorder="1" applyAlignment="1">
      <alignment horizontal="center" vertical="center" wrapText="1"/>
    </xf>
    <xf numFmtId="20" fontId="30" fillId="4" borderId="11" xfId="0" applyNumberFormat="1" applyFont="1" applyFill="1" applyBorder="1" applyAlignment="1">
      <alignment horizontal="center" vertical="center" wrapText="1"/>
    </xf>
    <xf numFmtId="20" fontId="30" fillId="4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13" fillId="2" borderId="2" xfId="0" applyFont="1" applyFill="1" applyBorder="1" applyAlignment="1">
      <alignment horizontal="center" vertical="center"/>
    </xf>
    <xf numFmtId="15" fontId="7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659"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4C0FB-DDA6-4DA1-9FFC-F74164136AFC}" name="Table2" displayName="Table2" ref="CH4:CR11" totalsRowShown="0" headerRowDxfId="658" dataDxfId="656" headerRowBorderDxfId="657" tableBorderDxfId="655" totalsRowBorderDxfId="654">
  <autoFilter ref="CH4:CR11" xr:uid="{60D4C0FB-DDA6-4DA1-9FFC-F74164136AFC}"/>
  <tableColumns count="11">
    <tableColumn id="1" xr3:uid="{FC384AC3-7600-431A-B6C2-1D7D41A86FA0}" name="MC" dataDxfId="653"/>
    <tableColumn id="2" xr3:uid="{919D7DDB-9EFB-4A8D-BE0B-C5D93CC34F5A}" name="EL" dataDxfId="652"/>
    <tableColumn id="3" xr3:uid="{7145DFD4-A922-4A4F-A6E4-C99DDA10EC7B}" name="AL" dataDxfId="651"/>
    <tableColumn id="4" xr3:uid="{9FFD4FF6-1484-462F-B15D-7E7510DA560D}" name="SUS" dataDxfId="650"/>
    <tableColumn id="5" xr3:uid="{52A2C6A8-CDF2-45EC-913D-ADF79AB595D7}" name="FL" dataDxfId="649"/>
    <tableColumn id="6" xr3:uid="{F14C484D-9F39-486E-BEC3-21F64C76F390}" name="S" dataDxfId="648"/>
    <tableColumn id="7" xr3:uid="{A4CCCDEF-327D-403A-9175-87E6156B5C61}" name="HD" dataDxfId="647"/>
    <tableColumn id="8" xr3:uid="{1EECA671-F97F-4C69-BF8E-CA0A8D62E14F}" name="AB" dataDxfId="646"/>
    <tableColumn id="9" xr3:uid="{A52320D1-512E-4ABF-937A-B1B3BCF2AC59}" name="NL" dataDxfId="645"/>
    <tableColumn id="10" xr3:uid="{73D83DD0-52B6-4032-8D58-B281C790AB98}" name="SP" dataDxfId="644"/>
    <tableColumn id="11" xr3:uid="{5020D66B-38C1-4C79-8183-E44F2FEE4C0B}" name="Total" dataDxfId="643">
      <calculatedColumnFormula>SUM(CH5:CQ5)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R61"/>
  <sheetViews>
    <sheetView zoomScaleNormal="100" workbookViewId="0">
      <pane xSplit="4" ySplit="4" topLeftCell="BF21" activePane="bottomRight" state="frozen"/>
      <selection pane="topRight" activeCell="E1" sqref="E1"/>
      <selection pane="bottomLeft" activeCell="A5" sqref="A5"/>
      <selection pane="bottomRight" activeCell="BQ35" sqref="BQ35"/>
    </sheetView>
  </sheetViews>
  <sheetFormatPr defaultRowHeight="15" x14ac:dyDescent="0.25"/>
  <cols>
    <col min="1" max="1" width="5" customWidth="1"/>
    <col min="2" max="2" width="10.85546875" style="20" customWidth="1"/>
    <col min="3" max="3" width="29.140625" customWidth="1"/>
    <col min="4" max="4" width="13.7109375" hidden="1" customWidth="1"/>
    <col min="5" max="34" width="6.42578125" customWidth="1"/>
    <col min="35" max="35" width="3.7109375" customWidth="1"/>
    <col min="36" max="36" width="5" customWidth="1"/>
    <col min="37" max="68" width="6.42578125" customWidth="1"/>
    <col min="69" max="69" width="5" customWidth="1"/>
    <col min="70" max="82" width="5.140625" customWidth="1"/>
    <col min="83" max="83" width="12.7109375" customWidth="1"/>
    <col min="86" max="96" width="5.28515625" customWidth="1"/>
  </cols>
  <sheetData>
    <row r="1" spans="1:96" ht="24" customHeight="1" x14ac:dyDescent="0.25">
      <c r="A1" s="132" t="s">
        <v>109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99"/>
      <c r="AJ1" s="132" t="s">
        <v>109</v>
      </c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</row>
    <row r="2" spans="1:96" ht="18.75" x14ac:dyDescent="0.25">
      <c r="A2" s="133" t="s">
        <v>0</v>
      </c>
      <c r="B2" s="133"/>
      <c r="C2" s="133"/>
      <c r="D2" s="73"/>
      <c r="E2" s="128" t="s">
        <v>1</v>
      </c>
      <c r="F2" s="128"/>
      <c r="G2" s="128" t="s">
        <v>2</v>
      </c>
      <c r="H2" s="128"/>
      <c r="I2" s="128" t="s">
        <v>3</v>
      </c>
      <c r="J2" s="128"/>
      <c r="K2" s="128" t="s">
        <v>4</v>
      </c>
      <c r="L2" s="128"/>
      <c r="M2" s="128" t="s">
        <v>5</v>
      </c>
      <c r="N2" s="128"/>
      <c r="O2" s="128" t="s">
        <v>6</v>
      </c>
      <c r="P2" s="128"/>
      <c r="Q2" s="128" t="s">
        <v>7</v>
      </c>
      <c r="R2" s="128"/>
      <c r="S2" s="128" t="s">
        <v>1</v>
      </c>
      <c r="T2" s="128"/>
      <c r="U2" s="128" t="s">
        <v>2</v>
      </c>
      <c r="V2" s="128"/>
      <c r="W2" s="128" t="s">
        <v>3</v>
      </c>
      <c r="X2" s="128"/>
      <c r="Y2" s="128" t="s">
        <v>4</v>
      </c>
      <c r="Z2" s="128"/>
      <c r="AA2" s="128" t="s">
        <v>5</v>
      </c>
      <c r="AB2" s="128"/>
      <c r="AC2" s="128" t="s">
        <v>6</v>
      </c>
      <c r="AD2" s="128"/>
      <c r="AE2" s="128" t="s">
        <v>7</v>
      </c>
      <c r="AF2" s="128"/>
      <c r="AG2" s="128" t="s">
        <v>1</v>
      </c>
      <c r="AH2" s="128"/>
      <c r="AI2" s="100"/>
      <c r="AJ2" s="12"/>
      <c r="AK2" s="128" t="s">
        <v>2</v>
      </c>
      <c r="AL2" s="128"/>
      <c r="AM2" s="128" t="s">
        <v>3</v>
      </c>
      <c r="AN2" s="128"/>
      <c r="AO2" s="128" t="s">
        <v>4</v>
      </c>
      <c r="AP2" s="128"/>
      <c r="AQ2" s="128" t="s">
        <v>5</v>
      </c>
      <c r="AR2" s="128"/>
      <c r="AS2" s="128" t="s">
        <v>6</v>
      </c>
      <c r="AT2" s="128"/>
      <c r="AU2" s="128" t="s">
        <v>7</v>
      </c>
      <c r="AV2" s="128"/>
      <c r="AW2" s="128" t="s">
        <v>1</v>
      </c>
      <c r="AX2" s="128"/>
      <c r="AY2" s="128" t="s">
        <v>2</v>
      </c>
      <c r="AZ2" s="128"/>
      <c r="BA2" s="128" t="s">
        <v>3</v>
      </c>
      <c r="BB2" s="128"/>
      <c r="BC2" s="128" t="s">
        <v>4</v>
      </c>
      <c r="BD2" s="128"/>
      <c r="BE2" s="128" t="s">
        <v>5</v>
      </c>
      <c r="BF2" s="128"/>
      <c r="BG2" s="128" t="s">
        <v>6</v>
      </c>
      <c r="BH2" s="128"/>
      <c r="BI2" s="128" t="s">
        <v>7</v>
      </c>
      <c r="BJ2" s="128"/>
      <c r="BK2" s="128" t="s">
        <v>1</v>
      </c>
      <c r="BL2" s="128"/>
      <c r="BM2" s="128" t="s">
        <v>2</v>
      </c>
      <c r="BN2" s="128"/>
      <c r="BO2" s="128" t="s">
        <v>3</v>
      </c>
      <c r="BP2" s="128"/>
      <c r="BQ2" s="129" t="s">
        <v>8</v>
      </c>
      <c r="BR2" s="129" t="s">
        <v>9</v>
      </c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H2" s="135" t="s">
        <v>86</v>
      </c>
      <c r="CI2" s="135"/>
      <c r="CJ2" s="135"/>
      <c r="CK2" s="135"/>
      <c r="CL2" s="135"/>
      <c r="CM2" s="135"/>
      <c r="CN2" s="135"/>
      <c r="CO2" s="135"/>
      <c r="CP2" s="135"/>
      <c r="CQ2" s="135"/>
      <c r="CR2" s="19"/>
    </row>
    <row r="3" spans="1:96" ht="18.75" x14ac:dyDescent="0.25">
      <c r="A3" s="133"/>
      <c r="B3" s="133"/>
      <c r="C3" s="133"/>
      <c r="D3" s="73"/>
      <c r="E3" s="131">
        <v>46204</v>
      </c>
      <c r="F3" s="131"/>
      <c r="G3" s="131">
        <v>46205</v>
      </c>
      <c r="H3" s="131"/>
      <c r="I3" s="131">
        <v>46206</v>
      </c>
      <c r="J3" s="131"/>
      <c r="K3" s="131">
        <v>46207</v>
      </c>
      <c r="L3" s="131"/>
      <c r="M3" s="131">
        <v>46208</v>
      </c>
      <c r="N3" s="131"/>
      <c r="O3" s="131">
        <v>46209</v>
      </c>
      <c r="P3" s="131"/>
      <c r="Q3" s="131">
        <v>46210</v>
      </c>
      <c r="R3" s="131"/>
      <c r="S3" s="131">
        <v>46211</v>
      </c>
      <c r="T3" s="131"/>
      <c r="U3" s="131">
        <v>46212</v>
      </c>
      <c r="V3" s="131"/>
      <c r="W3" s="131">
        <v>46213</v>
      </c>
      <c r="X3" s="131"/>
      <c r="Y3" s="131">
        <v>46214</v>
      </c>
      <c r="Z3" s="131"/>
      <c r="AA3" s="131">
        <v>46215</v>
      </c>
      <c r="AB3" s="131"/>
      <c r="AC3" s="131">
        <v>46216</v>
      </c>
      <c r="AD3" s="131"/>
      <c r="AE3" s="131">
        <v>46217</v>
      </c>
      <c r="AF3" s="131"/>
      <c r="AG3" s="131">
        <v>46218</v>
      </c>
      <c r="AH3" s="131"/>
      <c r="AI3" s="101"/>
      <c r="AJ3" s="97"/>
      <c r="AK3" s="131">
        <v>46219</v>
      </c>
      <c r="AL3" s="131"/>
      <c r="AM3" s="131">
        <v>46220</v>
      </c>
      <c r="AN3" s="131"/>
      <c r="AO3" s="131">
        <v>46221</v>
      </c>
      <c r="AP3" s="131"/>
      <c r="AQ3" s="131">
        <v>46222</v>
      </c>
      <c r="AR3" s="131"/>
      <c r="AS3" s="131">
        <v>46223</v>
      </c>
      <c r="AT3" s="131"/>
      <c r="AU3" s="131">
        <v>46224</v>
      </c>
      <c r="AV3" s="131"/>
      <c r="AW3" s="131">
        <v>46225</v>
      </c>
      <c r="AX3" s="131"/>
      <c r="AY3" s="131">
        <v>46226</v>
      </c>
      <c r="AZ3" s="131"/>
      <c r="BA3" s="131">
        <v>46227</v>
      </c>
      <c r="BB3" s="131"/>
      <c r="BC3" s="131">
        <v>46228</v>
      </c>
      <c r="BD3" s="131"/>
      <c r="BE3" s="131">
        <v>46229</v>
      </c>
      <c r="BF3" s="131"/>
      <c r="BG3" s="131">
        <v>46230</v>
      </c>
      <c r="BH3" s="131"/>
      <c r="BI3" s="131">
        <v>46231</v>
      </c>
      <c r="BJ3" s="131"/>
      <c r="BK3" s="131">
        <v>46232</v>
      </c>
      <c r="BL3" s="131"/>
      <c r="BM3" s="131">
        <v>46233</v>
      </c>
      <c r="BN3" s="131"/>
      <c r="BO3" s="131">
        <v>46234</v>
      </c>
      <c r="BP3" s="131"/>
      <c r="BQ3" s="129"/>
      <c r="BR3" s="129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H3" s="55" t="s">
        <v>103</v>
      </c>
      <c r="CI3" s="55"/>
      <c r="CJ3" s="55"/>
      <c r="CK3" s="55"/>
      <c r="CL3" s="55"/>
      <c r="CM3" s="55"/>
      <c r="CN3" s="55"/>
      <c r="CO3" s="55"/>
      <c r="CP3" s="55"/>
      <c r="CQ3" s="55"/>
      <c r="CR3" s="19"/>
    </row>
    <row r="4" spans="1:96" ht="18.75" customHeight="1" x14ac:dyDescent="0.25">
      <c r="A4" s="4" t="s">
        <v>10</v>
      </c>
      <c r="B4" s="4" t="s">
        <v>11</v>
      </c>
      <c r="C4" s="64" t="s">
        <v>12</v>
      </c>
      <c r="D4" s="4"/>
      <c r="E4" s="52" t="s">
        <v>13</v>
      </c>
      <c r="F4" s="52" t="s">
        <v>14</v>
      </c>
      <c r="G4" s="52" t="s">
        <v>13</v>
      </c>
      <c r="H4" s="52" t="s">
        <v>14</v>
      </c>
      <c r="I4" s="52" t="s">
        <v>13</v>
      </c>
      <c r="J4" s="52" t="s">
        <v>14</v>
      </c>
      <c r="K4" s="52" t="s">
        <v>13</v>
      </c>
      <c r="L4" s="52" t="s">
        <v>14</v>
      </c>
      <c r="M4" s="52" t="s">
        <v>13</v>
      </c>
      <c r="N4" s="5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  <c r="Y4" s="12" t="s">
        <v>13</v>
      </c>
      <c r="Z4" s="12" t="s">
        <v>14</v>
      </c>
      <c r="AA4" s="12" t="s">
        <v>13</v>
      </c>
      <c r="AB4" s="12" t="s">
        <v>14</v>
      </c>
      <c r="AC4" s="12" t="s">
        <v>13</v>
      </c>
      <c r="AD4" s="12" t="s">
        <v>14</v>
      </c>
      <c r="AE4" s="12" t="s">
        <v>13</v>
      </c>
      <c r="AF4" s="12" t="s">
        <v>14</v>
      </c>
      <c r="AG4" s="12" t="s">
        <v>13</v>
      </c>
      <c r="AH4" s="12" t="s">
        <v>14</v>
      </c>
      <c r="AI4" s="100"/>
      <c r="AJ4" s="52"/>
      <c r="AK4" s="52" t="s">
        <v>13</v>
      </c>
      <c r="AL4" s="52" t="s">
        <v>14</v>
      </c>
      <c r="AM4" s="52" t="s">
        <v>13</v>
      </c>
      <c r="AN4" s="52" t="s">
        <v>14</v>
      </c>
      <c r="AO4" s="52" t="s">
        <v>13</v>
      </c>
      <c r="AP4" s="52" t="s">
        <v>14</v>
      </c>
      <c r="AQ4" s="52" t="s">
        <v>13</v>
      </c>
      <c r="AR4" s="52" t="s">
        <v>14</v>
      </c>
      <c r="AS4" s="52" t="s">
        <v>13</v>
      </c>
      <c r="AT4" s="52" t="s">
        <v>14</v>
      </c>
      <c r="AU4" s="52" t="s">
        <v>13</v>
      </c>
      <c r="AV4" s="52" t="s">
        <v>14</v>
      </c>
      <c r="AW4" s="52" t="s">
        <v>13</v>
      </c>
      <c r="AX4" s="52" t="s">
        <v>14</v>
      </c>
      <c r="AY4" s="52" t="s">
        <v>13</v>
      </c>
      <c r="AZ4" s="52" t="s">
        <v>14</v>
      </c>
      <c r="BA4" s="52" t="s">
        <v>13</v>
      </c>
      <c r="BB4" s="52" t="s">
        <v>14</v>
      </c>
      <c r="BC4" s="52" t="s">
        <v>13</v>
      </c>
      <c r="BD4" s="52" t="s">
        <v>14</v>
      </c>
      <c r="BE4" s="52" t="s">
        <v>13</v>
      </c>
      <c r="BF4" s="52" t="s">
        <v>14</v>
      </c>
      <c r="BG4" s="52" t="s">
        <v>13</v>
      </c>
      <c r="BH4" s="52" t="s">
        <v>14</v>
      </c>
      <c r="BI4" s="52" t="s">
        <v>13</v>
      </c>
      <c r="BJ4" s="52" t="s">
        <v>14</v>
      </c>
      <c r="BK4" s="52" t="s">
        <v>13</v>
      </c>
      <c r="BL4" s="52" t="s">
        <v>14</v>
      </c>
      <c r="BM4" s="52" t="s">
        <v>13</v>
      </c>
      <c r="BN4" s="52" t="s">
        <v>14</v>
      </c>
      <c r="BO4" s="52" t="s">
        <v>13</v>
      </c>
      <c r="BP4" s="52" t="s">
        <v>14</v>
      </c>
      <c r="BQ4" s="129"/>
      <c r="BR4" s="129"/>
      <c r="BS4" s="5"/>
      <c r="BT4" s="76" t="s">
        <v>15</v>
      </c>
      <c r="BU4" s="76" t="s">
        <v>16</v>
      </c>
      <c r="BV4" s="76" t="s">
        <v>17</v>
      </c>
      <c r="BW4" s="76" t="s">
        <v>18</v>
      </c>
      <c r="BX4" s="76" t="s">
        <v>19</v>
      </c>
      <c r="BY4" s="76" t="s">
        <v>20</v>
      </c>
      <c r="BZ4" s="76" t="s">
        <v>100</v>
      </c>
      <c r="CA4" s="50" t="s">
        <v>22</v>
      </c>
      <c r="CB4" s="76" t="s">
        <v>23</v>
      </c>
      <c r="CC4" s="76" t="s">
        <v>24</v>
      </c>
      <c r="CD4" s="76" t="s">
        <v>25</v>
      </c>
      <c r="CE4" s="6" t="s">
        <v>26</v>
      </c>
      <c r="CH4" s="56" t="s">
        <v>16</v>
      </c>
      <c r="CI4" s="57" t="s">
        <v>17</v>
      </c>
      <c r="CJ4" s="57" t="s">
        <v>18</v>
      </c>
      <c r="CK4" s="57" t="s">
        <v>19</v>
      </c>
      <c r="CL4" s="57" t="s">
        <v>20</v>
      </c>
      <c r="CM4" s="57" t="s">
        <v>21</v>
      </c>
      <c r="CN4" s="57" t="s">
        <v>22</v>
      </c>
      <c r="CO4" s="57" t="s">
        <v>23</v>
      </c>
      <c r="CP4" s="57" t="s">
        <v>24</v>
      </c>
      <c r="CQ4" s="57" t="s">
        <v>25</v>
      </c>
      <c r="CR4" s="58" t="s">
        <v>87</v>
      </c>
    </row>
    <row r="5" spans="1:96" s="19" customFormat="1" ht="22.5" customHeight="1" x14ac:dyDescent="0.25">
      <c r="A5" s="7">
        <v>1</v>
      </c>
      <c r="B5" s="8" t="s">
        <v>99</v>
      </c>
      <c r="C5" s="103" t="s">
        <v>27</v>
      </c>
      <c r="D5" s="111">
        <v>43523</v>
      </c>
      <c r="E5" s="66">
        <v>0.33124999999999999</v>
      </c>
      <c r="F5" s="93">
        <v>1</v>
      </c>
      <c r="G5" s="66">
        <v>3.7499999999999999E-2</v>
      </c>
      <c r="H5" s="93">
        <v>1</v>
      </c>
      <c r="I5" s="94">
        <v>0.5625</v>
      </c>
      <c r="J5" s="94">
        <v>0.99861111111111101</v>
      </c>
      <c r="K5" s="66">
        <v>0.33333333333333331</v>
      </c>
      <c r="L5" s="66">
        <v>2.7777777777777779E-3</v>
      </c>
      <c r="M5" s="66">
        <v>0.33194444444444443</v>
      </c>
      <c r="N5" s="66">
        <v>0.98263888888888884</v>
      </c>
      <c r="O5" s="66">
        <v>0.3354166666666667</v>
      </c>
      <c r="P5" s="66">
        <v>0.98055555555555562</v>
      </c>
      <c r="Q5" s="66">
        <v>0.36874999999999997</v>
      </c>
      <c r="R5" s="93">
        <v>1</v>
      </c>
      <c r="S5" s="66">
        <v>0.33402777777777781</v>
      </c>
      <c r="T5" s="93">
        <v>1</v>
      </c>
      <c r="U5" s="66">
        <v>0.33611111111111108</v>
      </c>
      <c r="V5" s="66">
        <v>0.99791666666666667</v>
      </c>
      <c r="W5" s="82" t="s">
        <v>15</v>
      </c>
      <c r="X5" s="82" t="s">
        <v>15</v>
      </c>
      <c r="Y5" s="66">
        <v>0.33611111111111108</v>
      </c>
      <c r="Z5" s="66">
        <v>1</v>
      </c>
      <c r="AA5" s="66">
        <v>0.32916666666666666</v>
      </c>
      <c r="AB5" s="93">
        <v>1</v>
      </c>
      <c r="AC5" s="66">
        <v>0.33124999999999999</v>
      </c>
      <c r="AD5" s="66">
        <v>1.3888888888888889E-3</v>
      </c>
      <c r="AE5" s="66">
        <v>0.3347222222222222</v>
      </c>
      <c r="AF5" s="66">
        <v>0.98055555555555562</v>
      </c>
      <c r="AG5" s="66">
        <v>0.3354166666666667</v>
      </c>
      <c r="AH5" s="66"/>
      <c r="AI5" s="96"/>
      <c r="AJ5" s="7">
        <v>1</v>
      </c>
      <c r="AK5" s="115">
        <v>46219.333344907405</v>
      </c>
      <c r="AL5" s="115">
        <v>1</v>
      </c>
      <c r="AM5" s="115">
        <v>46220.562557870369</v>
      </c>
      <c r="AN5" s="115">
        <v>46220.008449074077</v>
      </c>
      <c r="AO5" s="115">
        <v>46221.335613425923</v>
      </c>
      <c r="AP5" s="115">
        <v>1</v>
      </c>
      <c r="AQ5" s="115">
        <v>46222.334224537037</v>
      </c>
      <c r="AR5" s="115">
        <v>46222.002280092594</v>
      </c>
      <c r="AS5" s="115">
        <v>46223.333622685182</v>
      </c>
      <c r="AT5" s="115">
        <v>1</v>
      </c>
      <c r="AU5" s="115">
        <v>46224.332673611112</v>
      </c>
      <c r="AV5" s="115">
        <v>46224.989664351851</v>
      </c>
      <c r="AW5" s="115">
        <v>46225.333749999998</v>
      </c>
      <c r="AX5" s="115">
        <v>46225.959560185183</v>
      </c>
      <c r="AY5" s="115">
        <v>46226.350995370369</v>
      </c>
      <c r="AZ5" s="115">
        <v>1</v>
      </c>
      <c r="BA5" s="119" t="s">
        <v>15</v>
      </c>
      <c r="BB5" s="119" t="s">
        <v>15</v>
      </c>
      <c r="BC5" s="115">
        <v>46228.331319444442</v>
      </c>
      <c r="BD5" s="115">
        <v>1</v>
      </c>
      <c r="BE5" s="115">
        <v>46229.354502314818</v>
      </c>
      <c r="BF5" s="115">
        <v>46229.980567129627</v>
      </c>
      <c r="BG5" s="115">
        <v>46230.332314814812</v>
      </c>
      <c r="BH5" s="115">
        <v>46230.974490740744</v>
      </c>
      <c r="BI5" s="115">
        <v>46231.333148148151</v>
      </c>
      <c r="BJ5" s="115">
        <v>1</v>
      </c>
      <c r="BK5" s="115">
        <v>46232.333668981482</v>
      </c>
      <c r="BL5" s="120">
        <v>1</v>
      </c>
      <c r="BM5" s="116">
        <v>46233.329791666663</v>
      </c>
      <c r="BN5" s="115">
        <v>46234.003425925926</v>
      </c>
      <c r="BO5" s="115">
        <v>46234.561921296299</v>
      </c>
      <c r="BP5" s="118">
        <v>1</v>
      </c>
      <c r="BQ5" s="15">
        <f>BS5+BT5+BU5+BV5+CA5+BY5+BZ5+CD5</f>
        <v>30.5</v>
      </c>
      <c r="BR5" s="72">
        <v>3</v>
      </c>
      <c r="BS5" s="16">
        <f>COUNT(E5:AH5)/2+COUNT(AK5:BP5)/2</f>
        <v>28.5</v>
      </c>
      <c r="BT5" s="17">
        <f>COUNTIF(B5:BP5,"OFF")/2</f>
        <v>2</v>
      </c>
      <c r="BU5" s="17">
        <f>COUNTIF(B5:BP5,"MC")/2</f>
        <v>0</v>
      </c>
      <c r="BV5" s="17">
        <f>COUNTIF(B5:BP5,"EL")/2</f>
        <v>0</v>
      </c>
      <c r="BW5" s="17">
        <f>COUNTIF(B5:BP5,"AL")/2</f>
        <v>0</v>
      </c>
      <c r="BX5" s="17">
        <f>COUNTIF(B5:BP5,"SUS")/2</f>
        <v>0</v>
      </c>
      <c r="BY5" s="17">
        <f>COUNTIF(B5:BP5,"FL")/2</f>
        <v>0</v>
      </c>
      <c r="BZ5" s="17">
        <f>COUNTIF(B5:BP5,"SICK")/2</f>
        <v>0</v>
      </c>
      <c r="CA5" s="17">
        <f>COUNTIF(B5:BP5,"HD")/2</f>
        <v>0</v>
      </c>
      <c r="CB5" s="17">
        <f>COUNTIF(B5:BP5,"AB")/2</f>
        <v>0</v>
      </c>
      <c r="CC5" s="17">
        <f>COUNTIF(B5:BP5,"NL")/2</f>
        <v>0</v>
      </c>
      <c r="CD5" s="17">
        <f>COUNTIF(B5:BP5,"SP")/2</f>
        <v>0</v>
      </c>
      <c r="CE5" s="18"/>
      <c r="CH5" s="60">
        <v>0</v>
      </c>
      <c r="CI5" s="60">
        <v>0</v>
      </c>
      <c r="CJ5" s="60">
        <v>32</v>
      </c>
      <c r="CK5" s="60">
        <v>0</v>
      </c>
      <c r="CL5" s="60">
        <v>0</v>
      </c>
      <c r="CM5" s="60">
        <v>0</v>
      </c>
      <c r="CN5" s="60">
        <v>0</v>
      </c>
      <c r="CO5" s="60">
        <v>0</v>
      </c>
      <c r="CP5" s="60">
        <v>0</v>
      </c>
      <c r="CQ5" s="60">
        <v>0</v>
      </c>
      <c r="CR5" s="64">
        <f t="shared" ref="CR5:CR11" si="0">SUM(CH5:CQ5)</f>
        <v>32</v>
      </c>
    </row>
    <row r="6" spans="1:96" s="19" customFormat="1" ht="22.5" customHeight="1" x14ac:dyDescent="0.25">
      <c r="A6" s="7">
        <v>2</v>
      </c>
      <c r="B6" s="8" t="s">
        <v>111</v>
      </c>
      <c r="C6" s="103" t="s">
        <v>28</v>
      </c>
      <c r="D6" s="111"/>
      <c r="E6" s="76" t="s">
        <v>18</v>
      </c>
      <c r="F6" s="76" t="s">
        <v>18</v>
      </c>
      <c r="G6" s="76" t="s">
        <v>18</v>
      </c>
      <c r="H6" s="76" t="s">
        <v>18</v>
      </c>
      <c r="I6" s="82" t="s">
        <v>18</v>
      </c>
      <c r="J6" s="82" t="s">
        <v>18</v>
      </c>
      <c r="K6" s="66">
        <v>0.62638888888888888</v>
      </c>
      <c r="L6" s="93">
        <v>1</v>
      </c>
      <c r="M6" s="66">
        <v>0.35486111111111113</v>
      </c>
      <c r="N6" s="66">
        <v>0.98333333333333339</v>
      </c>
      <c r="O6" s="66">
        <v>0.38819444444444445</v>
      </c>
      <c r="P6" s="66">
        <v>0.98055555555555562</v>
      </c>
      <c r="Q6" s="66">
        <v>0.35347222222222219</v>
      </c>
      <c r="R6" s="66">
        <v>0.97986111111111107</v>
      </c>
      <c r="S6" s="66">
        <v>0.35625000000000001</v>
      </c>
      <c r="T6" s="66">
        <v>0.99236111111111114</v>
      </c>
      <c r="U6" s="66">
        <v>0.35138888888888892</v>
      </c>
      <c r="V6" s="66">
        <v>0.99861111111111101</v>
      </c>
      <c r="W6" s="94">
        <v>0.5625</v>
      </c>
      <c r="X6" s="94">
        <v>0.99444444444444446</v>
      </c>
      <c r="Y6" s="66">
        <v>0.34583333333333338</v>
      </c>
      <c r="Z6" s="66">
        <v>0.34583333333333338</v>
      </c>
      <c r="AA6" s="66">
        <v>0.34791666666666665</v>
      </c>
      <c r="AB6" s="66">
        <v>0.98333333333333339</v>
      </c>
      <c r="AC6" s="66">
        <v>0.35138888888888892</v>
      </c>
      <c r="AD6" s="66">
        <v>2.7777777777777779E-3</v>
      </c>
      <c r="AE6" s="66">
        <v>0.3520833333333333</v>
      </c>
      <c r="AF6" s="66">
        <v>0.98125000000000007</v>
      </c>
      <c r="AG6" s="66">
        <v>0.35416666666666669</v>
      </c>
      <c r="AH6" s="66">
        <v>0.98749999999999993</v>
      </c>
      <c r="AI6" s="96"/>
      <c r="AJ6" s="7">
        <v>2</v>
      </c>
      <c r="AK6" s="115">
        <v>46219.354409722226</v>
      </c>
      <c r="AL6" s="115">
        <v>1</v>
      </c>
      <c r="AM6" s="115">
        <v>46220.577847222223</v>
      </c>
      <c r="AN6" s="115">
        <v>46220.008819444447</v>
      </c>
      <c r="AO6" s="115">
        <v>46221.353298611109</v>
      </c>
      <c r="AP6" s="115">
        <v>1</v>
      </c>
      <c r="AQ6" s="115">
        <v>46222.353715277779</v>
      </c>
      <c r="AR6" s="115">
        <v>46222.008020833331</v>
      </c>
      <c r="AS6" s="115">
        <v>46223.353067129632</v>
      </c>
      <c r="AT6" s="115">
        <v>1</v>
      </c>
      <c r="AU6" s="115">
        <v>46224.008819444447</v>
      </c>
      <c r="AV6" s="115">
        <v>46224.008819444447</v>
      </c>
      <c r="AW6" s="115">
        <v>46225.353773148148</v>
      </c>
      <c r="AX6" s="115">
        <v>46225.984502314815</v>
      </c>
      <c r="AY6" s="115">
        <v>46226.395243055558</v>
      </c>
      <c r="AZ6" s="115">
        <v>46226.996168981481</v>
      </c>
      <c r="BA6" s="115">
        <v>46227.558287037034</v>
      </c>
      <c r="BB6" s="115">
        <v>46227.986898148149</v>
      </c>
      <c r="BC6" s="115">
        <v>46228.353634259256</v>
      </c>
      <c r="BD6" s="115">
        <v>46228.998252314814</v>
      </c>
      <c r="BE6" s="115">
        <v>46229.35292824074</v>
      </c>
      <c r="BF6" s="115">
        <v>46229.983344907407</v>
      </c>
      <c r="BG6" s="115">
        <v>46230.355486111112</v>
      </c>
      <c r="BH6" s="115">
        <v>46230.979571759257</v>
      </c>
      <c r="BI6" s="115">
        <v>46231.354131944441</v>
      </c>
      <c r="BJ6" s="115">
        <v>46231.977870370371</v>
      </c>
      <c r="BK6" s="115">
        <v>46232.352696759262</v>
      </c>
      <c r="BL6" s="120">
        <v>1</v>
      </c>
      <c r="BM6" s="116">
        <v>46233.352314814816</v>
      </c>
      <c r="BN6" s="115">
        <v>46234.003379629627</v>
      </c>
      <c r="BO6" s="119" t="s">
        <v>15</v>
      </c>
      <c r="BP6" s="119" t="s">
        <v>15</v>
      </c>
      <c r="BQ6" s="15">
        <f>BS6+BT6+BU6+BV6+CA6+BY6+BZ6+CD6</f>
        <v>28</v>
      </c>
      <c r="BR6" s="72">
        <v>3</v>
      </c>
      <c r="BS6" s="16">
        <f t="shared" ref="BS6:BS11" si="1">COUNT(E6:AH6)/2+COUNT(AK6:BP6)/2</f>
        <v>27</v>
      </c>
      <c r="BT6" s="17">
        <f t="shared" ref="BT6:BT11" si="2">COUNTIF(B6:BP6,"OFF")/2</f>
        <v>1</v>
      </c>
      <c r="BU6" s="17">
        <f t="shared" ref="BU6:BU11" si="3">COUNTIF(B6:BP6,"MC")/2</f>
        <v>0</v>
      </c>
      <c r="BV6" s="17">
        <f t="shared" ref="BV6:BV11" si="4">COUNTIF(B6:BP6,"EL")/2</f>
        <v>0</v>
      </c>
      <c r="BW6" s="17">
        <f t="shared" ref="BW6:BW11" si="5">COUNTIF(B6:BP6,"AL")/2</f>
        <v>3</v>
      </c>
      <c r="BX6" s="17">
        <f t="shared" ref="BX6:BX11" si="6">COUNTIF(B6:BP6,"SUS")/2</f>
        <v>0</v>
      </c>
      <c r="BY6" s="17">
        <f t="shared" ref="BY6:BY11" si="7">COUNTIF(B6:BP6,"FL")/2</f>
        <v>0</v>
      </c>
      <c r="BZ6" s="17">
        <f t="shared" ref="BZ6:BZ11" si="8">COUNTIF(B6:BP6,"SICK")/2</f>
        <v>0</v>
      </c>
      <c r="CA6" s="17">
        <f t="shared" ref="CA6:CA11" si="9">COUNTIF(B6:BP6,"HD")/2</f>
        <v>0</v>
      </c>
      <c r="CB6" s="17">
        <f t="shared" ref="CB6:CB11" si="10">COUNTIF(B6:BP6,"AB")/2</f>
        <v>0</v>
      </c>
      <c r="CC6" s="17">
        <f t="shared" ref="CC6:CC11" si="11">COUNTIF(B6:BP6,"NL")/2</f>
        <v>0</v>
      </c>
      <c r="CD6" s="17">
        <f t="shared" ref="CD6:CD11" si="12">COUNTIF(B6:BP6,"SP")/2</f>
        <v>0</v>
      </c>
      <c r="CE6" s="18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4">
        <f>SUM(CH6:CQ6)</f>
        <v>0</v>
      </c>
    </row>
    <row r="7" spans="1:96" s="19" customFormat="1" ht="22.5" customHeight="1" x14ac:dyDescent="0.25">
      <c r="A7" s="7">
        <v>3</v>
      </c>
      <c r="B7" s="8" t="s">
        <v>88</v>
      </c>
      <c r="C7" s="103" t="s">
        <v>29</v>
      </c>
      <c r="D7" s="111">
        <v>43423</v>
      </c>
      <c r="E7" s="66">
        <v>0.33680555555555558</v>
      </c>
      <c r="F7" s="93">
        <v>1</v>
      </c>
      <c r="G7" s="66">
        <v>0.33888888888888885</v>
      </c>
      <c r="H7" s="93">
        <v>1</v>
      </c>
      <c r="I7" s="94">
        <v>0.56736111111111109</v>
      </c>
      <c r="J7" s="95">
        <v>1</v>
      </c>
      <c r="K7" s="66">
        <v>0.33680555555555558</v>
      </c>
      <c r="L7" s="93">
        <v>1</v>
      </c>
      <c r="M7" s="66">
        <v>0.33749999999999997</v>
      </c>
      <c r="N7" s="93">
        <v>1</v>
      </c>
      <c r="O7" s="66">
        <v>0.34236111111111112</v>
      </c>
      <c r="P7" s="93">
        <v>1</v>
      </c>
      <c r="Q7" s="66">
        <v>0.33888888888888885</v>
      </c>
      <c r="R7" s="93">
        <v>1</v>
      </c>
      <c r="S7" s="66">
        <v>0.33749999999999997</v>
      </c>
      <c r="T7" s="93">
        <v>1</v>
      </c>
      <c r="U7" s="66">
        <v>0.33680555555555558</v>
      </c>
      <c r="V7" s="93">
        <v>1</v>
      </c>
      <c r="W7" s="82" t="s">
        <v>15</v>
      </c>
      <c r="X7" s="82" t="s">
        <v>15</v>
      </c>
      <c r="Y7" s="66">
        <v>0.33680555555555558</v>
      </c>
      <c r="Z7" s="66">
        <v>1</v>
      </c>
      <c r="AA7" s="66">
        <v>0.35138888888888892</v>
      </c>
      <c r="AB7" s="93">
        <v>1</v>
      </c>
      <c r="AC7" s="66">
        <v>0.35555555555555557</v>
      </c>
      <c r="AD7" s="93">
        <v>1</v>
      </c>
      <c r="AE7" s="66">
        <v>0.35555555555555557</v>
      </c>
      <c r="AF7" s="93">
        <v>1</v>
      </c>
      <c r="AG7" s="66">
        <v>0.35416666666666669</v>
      </c>
      <c r="AH7" s="93">
        <v>1</v>
      </c>
      <c r="AI7" s="96"/>
      <c r="AJ7" s="7">
        <v>3</v>
      </c>
      <c r="AK7" s="115">
        <v>46219.350659722222</v>
      </c>
      <c r="AL7" s="115">
        <v>1</v>
      </c>
      <c r="AM7" s="115">
        <v>46220.570474537039</v>
      </c>
      <c r="AN7" s="115">
        <v>1</v>
      </c>
      <c r="AO7" s="115">
        <v>46221.349120370367</v>
      </c>
      <c r="AP7" s="115">
        <v>1</v>
      </c>
      <c r="AQ7" s="115">
        <v>46222.352094907408</v>
      </c>
      <c r="AR7" s="115">
        <v>1</v>
      </c>
      <c r="AS7" s="115">
        <v>46223.35083333333</v>
      </c>
      <c r="AT7" s="115">
        <v>46223.934016203704</v>
      </c>
      <c r="AU7" s="115">
        <v>46224.349583333336</v>
      </c>
      <c r="AV7" s="115">
        <v>1</v>
      </c>
      <c r="AW7" s="115">
        <v>46225.004652777781</v>
      </c>
      <c r="AX7" s="115">
        <v>46225.004652777781</v>
      </c>
      <c r="AY7" s="115">
        <v>46226.344398148147</v>
      </c>
      <c r="AZ7" s="115">
        <v>46226.939004629632</v>
      </c>
      <c r="BA7" s="119" t="s">
        <v>15</v>
      </c>
      <c r="BB7" s="119" t="s">
        <v>15</v>
      </c>
      <c r="BC7" s="115">
        <v>46228.331030092595</v>
      </c>
      <c r="BD7" s="115">
        <v>1</v>
      </c>
      <c r="BE7" s="115">
        <v>46229.333275462966</v>
      </c>
      <c r="BF7" s="115">
        <v>1</v>
      </c>
      <c r="BG7" s="115">
        <v>46230.331388888888</v>
      </c>
      <c r="BH7" s="115">
        <v>1</v>
      </c>
      <c r="BI7" s="115">
        <v>46231.327685185184</v>
      </c>
      <c r="BJ7" s="115">
        <v>1</v>
      </c>
      <c r="BK7" s="115">
        <v>46232.330925925926</v>
      </c>
      <c r="BL7" s="120">
        <v>1</v>
      </c>
      <c r="BM7" s="116">
        <v>46233.332013888888</v>
      </c>
      <c r="BN7" s="117">
        <v>1</v>
      </c>
      <c r="BO7" s="115">
        <v>46234.537824074076</v>
      </c>
      <c r="BP7" s="120">
        <v>1</v>
      </c>
      <c r="BQ7" s="15">
        <f t="shared" ref="BQ7:BQ11" si="13">BS7+BT7+BU7+BV7+CA7+BY7+BZ7+CD7</f>
        <v>31</v>
      </c>
      <c r="BR7" s="72">
        <v>3</v>
      </c>
      <c r="BS7" s="16">
        <f t="shared" si="1"/>
        <v>29</v>
      </c>
      <c r="BT7" s="17">
        <f t="shared" si="2"/>
        <v>2</v>
      </c>
      <c r="BU7" s="17">
        <f t="shared" si="3"/>
        <v>0</v>
      </c>
      <c r="BV7" s="17">
        <f t="shared" si="4"/>
        <v>0</v>
      </c>
      <c r="BW7" s="17">
        <f t="shared" si="5"/>
        <v>0</v>
      </c>
      <c r="BX7" s="17">
        <f t="shared" si="6"/>
        <v>0</v>
      </c>
      <c r="BY7" s="17">
        <f t="shared" si="7"/>
        <v>0</v>
      </c>
      <c r="BZ7" s="17">
        <f t="shared" si="8"/>
        <v>0</v>
      </c>
      <c r="CA7" s="17">
        <f t="shared" si="9"/>
        <v>0</v>
      </c>
      <c r="CB7" s="17">
        <f t="shared" si="10"/>
        <v>0</v>
      </c>
      <c r="CC7" s="17">
        <f t="shared" si="11"/>
        <v>0</v>
      </c>
      <c r="CD7" s="17">
        <f t="shared" si="12"/>
        <v>0</v>
      </c>
      <c r="CE7" s="2"/>
      <c r="CH7" s="60">
        <v>0</v>
      </c>
      <c r="CI7" s="60">
        <v>0</v>
      </c>
      <c r="CJ7" s="60">
        <v>60</v>
      </c>
      <c r="CK7" s="60">
        <v>0</v>
      </c>
      <c r="CL7" s="60">
        <v>0</v>
      </c>
      <c r="CM7" s="60">
        <v>1</v>
      </c>
      <c r="CN7" s="60">
        <v>0</v>
      </c>
      <c r="CO7" s="60">
        <v>0</v>
      </c>
      <c r="CP7" s="60">
        <v>0</v>
      </c>
      <c r="CQ7" s="60">
        <v>0</v>
      </c>
      <c r="CR7" s="60">
        <f t="shared" si="0"/>
        <v>61</v>
      </c>
    </row>
    <row r="8" spans="1:96" s="19" customFormat="1" ht="22.5" customHeight="1" x14ac:dyDescent="0.25">
      <c r="A8" s="7">
        <v>4</v>
      </c>
      <c r="B8" s="108" t="s">
        <v>107</v>
      </c>
      <c r="C8" s="123" t="s">
        <v>108</v>
      </c>
      <c r="D8" s="75">
        <v>45612</v>
      </c>
      <c r="E8" s="66">
        <v>0.33194444444444443</v>
      </c>
      <c r="F8" s="93">
        <v>1</v>
      </c>
      <c r="G8" s="66">
        <v>0.33124999999999999</v>
      </c>
      <c r="H8" s="93">
        <v>1</v>
      </c>
      <c r="I8" s="94">
        <v>0.56041666666666667</v>
      </c>
      <c r="J8" s="95">
        <v>1</v>
      </c>
      <c r="K8" s="66">
        <v>0.35138888888888892</v>
      </c>
      <c r="L8" s="93">
        <v>1</v>
      </c>
      <c r="M8" s="66">
        <v>0.33124999999999999</v>
      </c>
      <c r="N8" s="93">
        <v>1</v>
      </c>
      <c r="O8" s="66">
        <v>0.33263888888888887</v>
      </c>
      <c r="P8" s="93">
        <v>1</v>
      </c>
      <c r="Q8" s="66">
        <v>0.33402777777777781</v>
      </c>
      <c r="R8" s="93">
        <v>1</v>
      </c>
      <c r="S8" s="66">
        <v>0.3354166666666667</v>
      </c>
      <c r="T8" s="93">
        <v>1</v>
      </c>
      <c r="U8" s="66">
        <v>0.33194444444444443</v>
      </c>
      <c r="V8" s="93">
        <v>1</v>
      </c>
      <c r="W8" s="82" t="s">
        <v>15</v>
      </c>
      <c r="X8" s="82" t="s">
        <v>15</v>
      </c>
      <c r="Y8" s="66">
        <v>0.33263888888888887</v>
      </c>
      <c r="Z8" s="66">
        <v>1</v>
      </c>
      <c r="AA8" s="66">
        <v>0.3298611111111111</v>
      </c>
      <c r="AB8" s="93">
        <v>1</v>
      </c>
      <c r="AC8" s="66">
        <v>0.33194444444444443</v>
      </c>
      <c r="AD8" s="66">
        <v>1.3888888888888889E-3</v>
      </c>
      <c r="AE8" s="66">
        <v>0.3298611111111111</v>
      </c>
      <c r="AF8" s="66">
        <v>0.98125000000000007</v>
      </c>
      <c r="AG8" s="66">
        <v>0.33263888888888887</v>
      </c>
      <c r="AH8" s="66">
        <v>0.98611111111111116</v>
      </c>
      <c r="AI8" s="96"/>
      <c r="AJ8" s="7">
        <v>4</v>
      </c>
      <c r="AK8" s="115">
        <v>46219.38212962963</v>
      </c>
      <c r="AL8" s="115">
        <v>46219.748969907407</v>
      </c>
      <c r="AM8" s="115">
        <v>46220.580266203702</v>
      </c>
      <c r="AN8" s="115">
        <v>46220.864479166667</v>
      </c>
      <c r="AO8" s="124">
        <v>1</v>
      </c>
      <c r="AP8" s="115">
        <v>46221.784988425927</v>
      </c>
      <c r="AQ8" s="124">
        <v>1</v>
      </c>
      <c r="AR8" s="115">
        <v>46222.836967592593</v>
      </c>
      <c r="AS8" s="124">
        <v>1</v>
      </c>
      <c r="AT8" s="115">
        <v>46223.876435185186</v>
      </c>
      <c r="AU8" s="115">
        <v>46224.373113425929</v>
      </c>
      <c r="AV8" s="115">
        <v>1</v>
      </c>
      <c r="AW8" s="115">
        <v>46224.373113425929</v>
      </c>
      <c r="AX8" s="115">
        <v>46225.851574074077</v>
      </c>
      <c r="AY8" s="115">
        <v>46226.328067129631</v>
      </c>
      <c r="AZ8" s="115">
        <v>46226.860254629632</v>
      </c>
      <c r="BA8" s="115">
        <v>46227.33189814815</v>
      </c>
      <c r="BB8" s="115">
        <v>46227.845300925925</v>
      </c>
      <c r="BC8" s="115">
        <v>46228.411423611113</v>
      </c>
      <c r="BD8" s="115">
        <v>46228.843055555553</v>
      </c>
      <c r="BE8" s="115">
        <v>46229.385324074072</v>
      </c>
      <c r="BF8" s="115">
        <v>46229.832800925928</v>
      </c>
      <c r="BG8" s="115">
        <v>46230.388472222221</v>
      </c>
      <c r="BH8" s="115">
        <v>46230.849606481483</v>
      </c>
      <c r="BI8" s="115">
        <v>46231.356631944444</v>
      </c>
      <c r="BJ8" s="115">
        <v>46231.849814814814</v>
      </c>
      <c r="BK8" s="115">
        <v>46232.360162037039</v>
      </c>
      <c r="BL8" s="118">
        <v>46232.845729166664</v>
      </c>
      <c r="BM8" s="116">
        <v>46233.360474537039</v>
      </c>
      <c r="BN8" s="115">
        <v>46233.882164351853</v>
      </c>
      <c r="BO8" s="115">
        <v>46234.324421296296</v>
      </c>
      <c r="BP8" s="118">
        <v>46234.852800925924</v>
      </c>
      <c r="BQ8" s="15">
        <f t="shared" si="13"/>
        <v>31</v>
      </c>
      <c r="BR8" s="109">
        <v>4</v>
      </c>
      <c r="BS8" s="16">
        <f t="shared" si="1"/>
        <v>30</v>
      </c>
      <c r="BT8" s="17">
        <f t="shared" si="2"/>
        <v>1</v>
      </c>
      <c r="BU8" s="17">
        <f t="shared" si="3"/>
        <v>0</v>
      </c>
      <c r="BV8" s="17">
        <f t="shared" si="4"/>
        <v>0</v>
      </c>
      <c r="BW8" s="17">
        <f t="shared" si="5"/>
        <v>0</v>
      </c>
      <c r="BX8" s="17">
        <f t="shared" si="6"/>
        <v>0</v>
      </c>
      <c r="BY8" s="17">
        <f t="shared" si="7"/>
        <v>0</v>
      </c>
      <c r="BZ8" s="17">
        <f t="shared" si="8"/>
        <v>0</v>
      </c>
      <c r="CA8" s="17">
        <f t="shared" si="9"/>
        <v>0</v>
      </c>
      <c r="CB8" s="17">
        <f t="shared" si="10"/>
        <v>0</v>
      </c>
      <c r="CC8" s="17">
        <f t="shared" si="11"/>
        <v>0</v>
      </c>
      <c r="CD8" s="17">
        <f t="shared" si="12"/>
        <v>0</v>
      </c>
      <c r="CE8" s="3"/>
      <c r="CH8" s="60">
        <v>0</v>
      </c>
      <c r="CI8" s="59">
        <v>0</v>
      </c>
      <c r="CJ8" s="59">
        <v>0</v>
      </c>
      <c r="CK8" s="59">
        <v>0</v>
      </c>
      <c r="CL8" s="59">
        <v>0</v>
      </c>
      <c r="CM8" s="59">
        <v>0</v>
      </c>
      <c r="CN8" s="59">
        <v>0</v>
      </c>
      <c r="CO8" s="59">
        <v>0</v>
      </c>
      <c r="CP8" s="59">
        <v>0</v>
      </c>
      <c r="CQ8" s="59">
        <v>0</v>
      </c>
      <c r="CR8" s="64">
        <f>SUM(CH8:CQ8)</f>
        <v>0</v>
      </c>
    </row>
    <row r="9" spans="1:96" s="19" customFormat="1" ht="22.5" customHeight="1" x14ac:dyDescent="0.25">
      <c r="A9" s="7">
        <v>5</v>
      </c>
      <c r="B9" s="8" t="s">
        <v>38</v>
      </c>
      <c r="C9" s="103" t="s">
        <v>104</v>
      </c>
      <c r="D9" s="111">
        <v>46078</v>
      </c>
      <c r="E9" s="66">
        <v>0.38541666666666669</v>
      </c>
      <c r="F9" s="66">
        <v>0.85277777777777775</v>
      </c>
      <c r="G9" s="66">
        <v>0.44375000000000003</v>
      </c>
      <c r="H9" s="93">
        <v>1</v>
      </c>
      <c r="I9" s="82" t="s">
        <v>15</v>
      </c>
      <c r="J9" s="82" t="s">
        <v>15</v>
      </c>
      <c r="K9" s="66">
        <v>0.31180555555555556</v>
      </c>
      <c r="L9" s="66">
        <v>0.85833333333333339</v>
      </c>
      <c r="M9" s="66">
        <v>0.33194444444444443</v>
      </c>
      <c r="N9" s="66">
        <v>0.88680555555555562</v>
      </c>
      <c r="O9" s="66">
        <v>0.35625000000000001</v>
      </c>
      <c r="P9" s="66">
        <v>0.86319444444444438</v>
      </c>
      <c r="Q9" s="66">
        <v>0.34166666666666662</v>
      </c>
      <c r="R9" s="66">
        <v>0.9472222222222223</v>
      </c>
      <c r="S9" s="66">
        <v>0.33333333333333331</v>
      </c>
      <c r="T9" s="66">
        <v>0.86388888888888893</v>
      </c>
      <c r="U9" s="66">
        <v>0.33819444444444446</v>
      </c>
      <c r="V9" s="66">
        <v>0.89097222222222217</v>
      </c>
      <c r="W9" s="94">
        <v>0.31319444444444444</v>
      </c>
      <c r="X9" s="94">
        <v>0.84166666666666667</v>
      </c>
      <c r="Y9" s="66">
        <v>0.38819444444444445</v>
      </c>
      <c r="Z9" s="66">
        <v>0.83750000000000002</v>
      </c>
      <c r="AA9" s="66">
        <v>0.4069444444444445</v>
      </c>
      <c r="AB9" s="93">
        <v>1</v>
      </c>
      <c r="AC9" s="93">
        <v>1</v>
      </c>
      <c r="AD9" s="93">
        <v>1</v>
      </c>
      <c r="AE9" s="66">
        <v>0.9902777777777777</v>
      </c>
      <c r="AF9" s="93">
        <v>1</v>
      </c>
      <c r="AG9" s="93">
        <v>1</v>
      </c>
      <c r="AH9" s="93">
        <v>1</v>
      </c>
      <c r="AI9" s="96"/>
      <c r="AJ9" s="7">
        <v>5</v>
      </c>
      <c r="AK9" s="115">
        <v>46219.335462962961</v>
      </c>
      <c r="AL9" s="115">
        <v>46219.855821759258</v>
      </c>
      <c r="AM9" s="119" t="s">
        <v>15</v>
      </c>
      <c r="AN9" s="119" t="s">
        <v>15</v>
      </c>
      <c r="AO9" s="115">
        <v>46221.313576388886</v>
      </c>
      <c r="AP9" s="115">
        <v>46221.872048611112</v>
      </c>
      <c r="AQ9" s="115">
        <v>46222.31591435185</v>
      </c>
      <c r="AR9" s="115">
        <v>46222.86378472222</v>
      </c>
      <c r="AS9" s="115">
        <v>46223.322430555556</v>
      </c>
      <c r="AT9" s="115">
        <v>46223.861388888887</v>
      </c>
      <c r="AU9" s="115">
        <v>46224.320243055554</v>
      </c>
      <c r="AV9" s="115">
        <v>46224.923263888886</v>
      </c>
      <c r="AW9" s="115">
        <v>46225.322754629633</v>
      </c>
      <c r="AX9" s="115">
        <v>46225.88082175926</v>
      </c>
      <c r="AY9" s="115">
        <v>46226.353506944448</v>
      </c>
      <c r="AZ9" s="115">
        <v>46226.771979166668</v>
      </c>
      <c r="BA9" s="115">
        <v>46227.560972222222</v>
      </c>
      <c r="BB9" s="115">
        <v>1</v>
      </c>
      <c r="BC9" s="115">
        <v>46228.30773148148</v>
      </c>
      <c r="BD9" s="115">
        <v>1</v>
      </c>
      <c r="BE9" s="115">
        <v>46229.322627314818</v>
      </c>
      <c r="BF9" s="115">
        <v>46229.860474537039</v>
      </c>
      <c r="BG9" s="115">
        <v>46230.303703703707</v>
      </c>
      <c r="BH9" s="115">
        <v>46230.867071759261</v>
      </c>
      <c r="BI9" s="115">
        <v>46231.306539351855</v>
      </c>
      <c r="BJ9" s="115">
        <v>46231.900810185187</v>
      </c>
      <c r="BK9" s="115">
        <v>46232.308807870373</v>
      </c>
      <c r="BL9" s="118">
        <v>46232.851770833331</v>
      </c>
      <c r="BM9" s="116">
        <v>46233.317418981482</v>
      </c>
      <c r="BN9" s="115">
        <v>46233.844375000001</v>
      </c>
      <c r="BO9" s="115">
        <v>46234.570185185185</v>
      </c>
      <c r="BP9" s="120">
        <v>1</v>
      </c>
      <c r="BQ9" s="15">
        <f t="shared" si="13"/>
        <v>31</v>
      </c>
      <c r="BR9" s="72">
        <v>3</v>
      </c>
      <c r="BS9" s="16">
        <f t="shared" si="1"/>
        <v>29</v>
      </c>
      <c r="BT9" s="17">
        <f t="shared" si="2"/>
        <v>2</v>
      </c>
      <c r="BU9" s="17">
        <f t="shared" si="3"/>
        <v>0</v>
      </c>
      <c r="BV9" s="17">
        <f t="shared" si="4"/>
        <v>0</v>
      </c>
      <c r="BW9" s="17">
        <f t="shared" si="5"/>
        <v>0</v>
      </c>
      <c r="BX9" s="17">
        <f t="shared" si="6"/>
        <v>0</v>
      </c>
      <c r="BY9" s="17">
        <f t="shared" si="7"/>
        <v>0</v>
      </c>
      <c r="BZ9" s="17">
        <f t="shared" si="8"/>
        <v>0</v>
      </c>
      <c r="CA9" s="17">
        <f t="shared" si="9"/>
        <v>0</v>
      </c>
      <c r="CB9" s="17">
        <f t="shared" si="10"/>
        <v>0</v>
      </c>
      <c r="CC9" s="17">
        <f t="shared" si="11"/>
        <v>0</v>
      </c>
      <c r="CD9" s="17">
        <f t="shared" si="12"/>
        <v>0</v>
      </c>
      <c r="CE9" s="18"/>
      <c r="CH9" s="60">
        <v>0</v>
      </c>
      <c r="CI9" s="60">
        <v>0</v>
      </c>
      <c r="CJ9" s="60">
        <v>0</v>
      </c>
      <c r="CK9" s="60">
        <v>0</v>
      </c>
      <c r="CL9" s="60">
        <v>0</v>
      </c>
      <c r="CM9" s="60">
        <v>0</v>
      </c>
      <c r="CN9" s="60">
        <v>0</v>
      </c>
      <c r="CO9" s="60">
        <v>0</v>
      </c>
      <c r="CP9" s="60">
        <v>0</v>
      </c>
      <c r="CQ9" s="60">
        <v>0</v>
      </c>
      <c r="CR9" s="64">
        <f t="shared" si="0"/>
        <v>0</v>
      </c>
    </row>
    <row r="10" spans="1:96" s="19" customFormat="1" ht="22.5" customHeight="1" x14ac:dyDescent="0.25">
      <c r="A10" s="7">
        <v>6</v>
      </c>
      <c r="B10" s="8" t="str">
        <f>'[1]Hulhumale Staffs_ Sep 2025'!B9</f>
        <v>MAD0569</v>
      </c>
      <c r="C10" s="103" t="s">
        <v>31</v>
      </c>
      <c r="D10" s="111">
        <v>45295</v>
      </c>
      <c r="E10" s="66">
        <v>0.30972222222222223</v>
      </c>
      <c r="F10" s="66">
        <v>0.8965277777777777</v>
      </c>
      <c r="G10" s="66">
        <v>0.31319444444444444</v>
      </c>
      <c r="H10" s="66">
        <v>0.92708333333333337</v>
      </c>
      <c r="I10" s="94">
        <v>0.56458333333333333</v>
      </c>
      <c r="J10" s="94">
        <v>0.8520833333333333</v>
      </c>
      <c r="K10" s="66">
        <v>0.2951388888888889</v>
      </c>
      <c r="L10" s="66">
        <v>0.88541666666666663</v>
      </c>
      <c r="M10" s="66">
        <v>0.30694444444444441</v>
      </c>
      <c r="N10" s="66">
        <v>0.89236111111111116</v>
      </c>
      <c r="O10" s="66">
        <v>0.31180555555555556</v>
      </c>
      <c r="P10" s="66">
        <v>0.8833333333333333</v>
      </c>
      <c r="Q10" s="66">
        <v>0.31736111111111115</v>
      </c>
      <c r="R10" s="66">
        <v>0.88055555555555554</v>
      </c>
      <c r="S10" s="66">
        <v>0.31597222222222221</v>
      </c>
      <c r="T10" s="66">
        <v>0.8652777777777777</v>
      </c>
      <c r="U10" s="66">
        <v>0.30902777777777779</v>
      </c>
      <c r="V10" s="66">
        <v>0.89722222222222225</v>
      </c>
      <c r="W10" s="94">
        <v>0.29444444444444445</v>
      </c>
      <c r="X10" s="94">
        <v>0.56527777777777777</v>
      </c>
      <c r="Y10" s="66">
        <v>0.30972222222222223</v>
      </c>
      <c r="Z10" s="66">
        <v>0.88124999999999998</v>
      </c>
      <c r="AA10" s="66">
        <v>0.33055555555555555</v>
      </c>
      <c r="AB10" s="66">
        <v>1.6666666666666666E-2</v>
      </c>
      <c r="AC10" s="66">
        <v>0.33194444444444443</v>
      </c>
      <c r="AD10" s="66">
        <v>0.8930555555555556</v>
      </c>
      <c r="AE10" s="66">
        <v>0.32708333333333334</v>
      </c>
      <c r="AF10" s="66">
        <v>0.87847222222222221</v>
      </c>
      <c r="AG10" s="66">
        <v>0.32569444444444445</v>
      </c>
      <c r="AH10" s="66">
        <v>0.86458333333333337</v>
      </c>
      <c r="AI10" s="102"/>
      <c r="AJ10" s="7">
        <v>6</v>
      </c>
      <c r="AK10" s="115">
        <v>46219.333645833336</v>
      </c>
      <c r="AL10" s="115">
        <v>1</v>
      </c>
      <c r="AM10" s="115">
        <v>1</v>
      </c>
      <c r="AN10" s="115">
        <v>46220.983518518522</v>
      </c>
      <c r="AO10" s="115">
        <v>46221.334490740737</v>
      </c>
      <c r="AP10" s="115">
        <v>1</v>
      </c>
      <c r="AQ10" s="115">
        <v>46222.334398148145</v>
      </c>
      <c r="AR10" s="115">
        <v>1</v>
      </c>
      <c r="AS10" s="115">
        <v>46223.330057870371</v>
      </c>
      <c r="AT10" s="115">
        <v>1</v>
      </c>
      <c r="AU10" s="115">
        <v>46224.329652777778</v>
      </c>
      <c r="AV10" s="115">
        <v>46224.989745370367</v>
      </c>
      <c r="AW10" s="115">
        <v>46225.333680555559</v>
      </c>
      <c r="AX10" s="115">
        <v>1</v>
      </c>
      <c r="AY10" s="115">
        <v>46226.334768518522</v>
      </c>
      <c r="AZ10" s="115">
        <v>1</v>
      </c>
      <c r="BA10" s="119" t="s">
        <v>15</v>
      </c>
      <c r="BB10" s="119" t="s">
        <v>15</v>
      </c>
      <c r="BC10" s="115">
        <v>46228.334652777776</v>
      </c>
      <c r="BD10" s="115">
        <v>1</v>
      </c>
      <c r="BE10" s="115">
        <v>46229.331990740742</v>
      </c>
      <c r="BF10" s="115">
        <v>46229.004953703705</v>
      </c>
      <c r="BG10" s="115">
        <v>46230.33116898148</v>
      </c>
      <c r="BH10" s="115">
        <v>46230.975092592591</v>
      </c>
      <c r="BI10" s="115">
        <v>46231.352997685186</v>
      </c>
      <c r="BJ10" s="115">
        <v>1</v>
      </c>
      <c r="BK10" s="115">
        <v>46232.333449074074</v>
      </c>
      <c r="BL10" s="120">
        <v>1</v>
      </c>
      <c r="BM10" s="116">
        <v>46233.330300925925</v>
      </c>
      <c r="BN10" s="115">
        <v>46234.00172453704</v>
      </c>
      <c r="BO10" s="119" t="s">
        <v>15</v>
      </c>
      <c r="BP10" s="119" t="s">
        <v>15</v>
      </c>
      <c r="BQ10" s="15">
        <f t="shared" si="13"/>
        <v>31</v>
      </c>
      <c r="BR10" s="72">
        <v>3</v>
      </c>
      <c r="BS10" s="16">
        <f>COUNT(E10:AH10)/2+COUNT(AK10:BP10)/2</f>
        <v>29</v>
      </c>
      <c r="BT10" s="17">
        <f t="shared" si="2"/>
        <v>2</v>
      </c>
      <c r="BU10" s="17">
        <f t="shared" si="3"/>
        <v>0</v>
      </c>
      <c r="BV10" s="17">
        <f t="shared" si="4"/>
        <v>0</v>
      </c>
      <c r="BW10" s="17">
        <f t="shared" si="5"/>
        <v>0</v>
      </c>
      <c r="BX10" s="17">
        <f t="shared" si="6"/>
        <v>0</v>
      </c>
      <c r="BY10" s="17">
        <f t="shared" si="7"/>
        <v>0</v>
      </c>
      <c r="BZ10" s="17">
        <f t="shared" si="8"/>
        <v>0</v>
      </c>
      <c r="CA10" s="17">
        <f t="shared" si="9"/>
        <v>0</v>
      </c>
      <c r="CB10" s="17">
        <f t="shared" si="10"/>
        <v>0</v>
      </c>
      <c r="CC10" s="17">
        <f t="shared" si="11"/>
        <v>0</v>
      </c>
      <c r="CD10" s="17">
        <f t="shared" si="12"/>
        <v>0</v>
      </c>
      <c r="CE10" s="3"/>
      <c r="CH10" s="60">
        <v>0</v>
      </c>
      <c r="CI10" s="60">
        <v>0</v>
      </c>
      <c r="CJ10" s="60">
        <v>25</v>
      </c>
      <c r="CK10" s="60">
        <v>0</v>
      </c>
      <c r="CL10" s="60">
        <v>0</v>
      </c>
      <c r="CM10" s="60">
        <v>0</v>
      </c>
      <c r="CN10" s="60">
        <v>0</v>
      </c>
      <c r="CO10" s="60">
        <v>0</v>
      </c>
      <c r="CP10" s="60">
        <v>0</v>
      </c>
      <c r="CQ10" s="60">
        <v>0</v>
      </c>
      <c r="CR10" s="64">
        <f t="shared" si="0"/>
        <v>25</v>
      </c>
    </row>
    <row r="11" spans="1:96" s="19" customFormat="1" ht="22.5" customHeight="1" x14ac:dyDescent="0.25">
      <c r="A11" s="7">
        <v>7</v>
      </c>
      <c r="B11" s="8" t="str">
        <f>'[1]Hulhumale Staffs_ Sep 2025'!B11</f>
        <v>MAD0699</v>
      </c>
      <c r="C11" s="103" t="s">
        <v>32</v>
      </c>
      <c r="D11" s="111">
        <v>45837</v>
      </c>
      <c r="E11" s="66">
        <v>0.32847222222222222</v>
      </c>
      <c r="F11" s="93">
        <v>1</v>
      </c>
      <c r="G11" s="66">
        <v>0.32847222222222222</v>
      </c>
      <c r="H11" s="93">
        <v>1</v>
      </c>
      <c r="I11" s="82" t="s">
        <v>15</v>
      </c>
      <c r="J11" s="82" t="s">
        <v>15</v>
      </c>
      <c r="K11" s="66">
        <v>0.30833333333333335</v>
      </c>
      <c r="L11" s="93">
        <v>1</v>
      </c>
      <c r="M11" s="66">
        <v>0.31736111111111115</v>
      </c>
      <c r="N11" s="93">
        <v>1</v>
      </c>
      <c r="O11" s="66">
        <v>0.31736111111111115</v>
      </c>
      <c r="P11" s="93">
        <v>1</v>
      </c>
      <c r="Q11" s="66">
        <v>0.32777777777777778</v>
      </c>
      <c r="R11" s="66">
        <v>4.0972222222222222E-2</v>
      </c>
      <c r="S11" s="66">
        <v>0.32222222222222224</v>
      </c>
      <c r="T11" s="93">
        <v>1</v>
      </c>
      <c r="U11" s="66">
        <v>0.32847222222222222</v>
      </c>
      <c r="V11" s="66">
        <v>0.32847222222222222</v>
      </c>
      <c r="W11" s="94">
        <v>0.53888888888888886</v>
      </c>
      <c r="X11" s="94">
        <v>0.90208333333333324</v>
      </c>
      <c r="Y11" s="66">
        <v>0.32847222222222222</v>
      </c>
      <c r="Z11" s="66">
        <v>1</v>
      </c>
      <c r="AA11" s="66">
        <v>0.34166666666666662</v>
      </c>
      <c r="AB11" s="93">
        <v>1</v>
      </c>
      <c r="AC11" s="66">
        <v>0.34513888888888888</v>
      </c>
      <c r="AD11" s="93">
        <v>1</v>
      </c>
      <c r="AE11" s="66">
        <v>0.33124999999999999</v>
      </c>
      <c r="AF11" s="66">
        <v>0.98263888888888884</v>
      </c>
      <c r="AG11" s="66">
        <v>0.3347222222222222</v>
      </c>
      <c r="AH11" s="93">
        <v>1</v>
      </c>
      <c r="AI11" s="102"/>
      <c r="AJ11" s="7">
        <v>7</v>
      </c>
      <c r="AK11" s="115">
        <v>46219.341145833336</v>
      </c>
      <c r="AL11" s="117">
        <v>1</v>
      </c>
      <c r="AM11" s="119" t="s">
        <v>15</v>
      </c>
      <c r="AN11" s="119" t="s">
        <v>15</v>
      </c>
      <c r="AO11" s="115">
        <v>46221.330277777779</v>
      </c>
      <c r="AP11" s="117">
        <v>1</v>
      </c>
      <c r="AQ11" s="115">
        <v>46222.335428240738</v>
      </c>
      <c r="AR11" s="117">
        <v>1</v>
      </c>
      <c r="AS11" s="115">
        <v>46223.336053240739</v>
      </c>
      <c r="AT11" s="117">
        <v>1</v>
      </c>
      <c r="AU11" s="115">
        <v>46224.338310185187</v>
      </c>
      <c r="AV11" s="117">
        <v>1</v>
      </c>
      <c r="AW11" s="115">
        <v>46225.338263888887</v>
      </c>
      <c r="AX11" s="117">
        <v>1</v>
      </c>
      <c r="AY11" s="115">
        <v>46226.376250000001</v>
      </c>
      <c r="AZ11" s="115">
        <v>1</v>
      </c>
      <c r="BA11" s="115">
        <v>46227.546099537038</v>
      </c>
      <c r="BB11" s="115">
        <v>1</v>
      </c>
      <c r="BC11" s="115">
        <v>46228.320555555554</v>
      </c>
      <c r="BD11" s="117">
        <v>1</v>
      </c>
      <c r="BE11" s="115">
        <v>46229.320925925924</v>
      </c>
      <c r="BF11" s="115">
        <v>1</v>
      </c>
      <c r="BG11" s="115">
        <v>46230.336331018516</v>
      </c>
      <c r="BH11" s="115">
        <v>1</v>
      </c>
      <c r="BI11" s="115">
        <v>46231.320138888892</v>
      </c>
      <c r="BJ11" s="117">
        <v>1</v>
      </c>
      <c r="BK11" s="115">
        <v>46232.320381944446</v>
      </c>
      <c r="BL11" s="120">
        <v>1</v>
      </c>
      <c r="BM11" s="118">
        <v>46233.31355324074</v>
      </c>
      <c r="BN11" s="117">
        <v>1</v>
      </c>
      <c r="BO11" s="119" t="s">
        <v>15</v>
      </c>
      <c r="BP11" s="119" t="s">
        <v>15</v>
      </c>
      <c r="BQ11" s="15">
        <f t="shared" si="13"/>
        <v>31</v>
      </c>
      <c r="BR11" s="72">
        <v>2</v>
      </c>
      <c r="BS11" s="16">
        <f t="shared" si="1"/>
        <v>28</v>
      </c>
      <c r="BT11" s="17">
        <f t="shared" si="2"/>
        <v>3</v>
      </c>
      <c r="BU11" s="17">
        <f t="shared" si="3"/>
        <v>0</v>
      </c>
      <c r="BV11" s="17">
        <f t="shared" si="4"/>
        <v>0</v>
      </c>
      <c r="BW11" s="17">
        <f t="shared" si="5"/>
        <v>0</v>
      </c>
      <c r="BX11" s="17">
        <f t="shared" si="6"/>
        <v>0</v>
      </c>
      <c r="BY11" s="17">
        <f t="shared" si="7"/>
        <v>0</v>
      </c>
      <c r="BZ11" s="17">
        <f t="shared" si="8"/>
        <v>0</v>
      </c>
      <c r="CA11" s="17">
        <f t="shared" si="9"/>
        <v>0</v>
      </c>
      <c r="CB11" s="17">
        <f t="shared" si="10"/>
        <v>0</v>
      </c>
      <c r="CC11" s="17">
        <f t="shared" si="11"/>
        <v>0</v>
      </c>
      <c r="CD11" s="17">
        <f t="shared" si="12"/>
        <v>0</v>
      </c>
      <c r="CE11" s="18"/>
      <c r="CH11" s="79">
        <v>0</v>
      </c>
      <c r="CI11" s="79">
        <v>0</v>
      </c>
      <c r="CJ11" s="79">
        <v>0</v>
      </c>
      <c r="CK11" s="79">
        <v>0</v>
      </c>
      <c r="CL11" s="79">
        <v>0</v>
      </c>
      <c r="CM11" s="79">
        <v>2</v>
      </c>
      <c r="CN11" s="79">
        <v>0</v>
      </c>
      <c r="CO11" s="79">
        <v>0</v>
      </c>
      <c r="CP11" s="79">
        <v>0</v>
      </c>
      <c r="CQ11" s="79">
        <v>0</v>
      </c>
      <c r="CR11" s="80">
        <f t="shared" si="0"/>
        <v>2</v>
      </c>
    </row>
    <row r="12" spans="1:96" ht="16.5" x14ac:dyDescent="0.25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6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70"/>
      <c r="BQ12" s="71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</row>
    <row r="13" spans="1:96" ht="24" customHeight="1" x14ac:dyDescent="0.25">
      <c r="A13" s="114" t="s">
        <v>110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99"/>
      <c r="AJ13" s="114" t="s">
        <v>110</v>
      </c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</row>
    <row r="14" spans="1:96" ht="18.75" customHeight="1" x14ac:dyDescent="0.25">
      <c r="A14" s="130" t="s">
        <v>33</v>
      </c>
      <c r="B14" s="130"/>
      <c r="C14" s="130"/>
      <c r="D14" s="98"/>
      <c r="E14" s="128" t="s">
        <v>1</v>
      </c>
      <c r="F14" s="128"/>
      <c r="G14" s="128" t="s">
        <v>2</v>
      </c>
      <c r="H14" s="128"/>
      <c r="I14" s="128" t="s">
        <v>3</v>
      </c>
      <c r="J14" s="128"/>
      <c r="K14" s="128" t="s">
        <v>4</v>
      </c>
      <c r="L14" s="128"/>
      <c r="M14" s="128" t="s">
        <v>5</v>
      </c>
      <c r="N14" s="128"/>
      <c r="O14" s="128" t="s">
        <v>6</v>
      </c>
      <c r="P14" s="128"/>
      <c r="Q14" s="128" t="s">
        <v>7</v>
      </c>
      <c r="R14" s="128"/>
      <c r="S14" s="128" t="s">
        <v>1</v>
      </c>
      <c r="T14" s="128"/>
      <c r="U14" s="128" t="s">
        <v>2</v>
      </c>
      <c r="V14" s="128"/>
      <c r="W14" s="128" t="s">
        <v>3</v>
      </c>
      <c r="X14" s="128"/>
      <c r="Y14" s="128" t="s">
        <v>4</v>
      </c>
      <c r="Z14" s="128"/>
      <c r="AA14" s="128" t="s">
        <v>5</v>
      </c>
      <c r="AB14" s="128"/>
      <c r="AC14" s="128" t="s">
        <v>6</v>
      </c>
      <c r="AD14" s="128"/>
      <c r="AE14" s="128" t="s">
        <v>7</v>
      </c>
      <c r="AF14" s="128"/>
      <c r="AG14" s="128" t="s">
        <v>1</v>
      </c>
      <c r="AH14" s="128"/>
      <c r="AI14" s="100"/>
      <c r="AJ14" s="12"/>
      <c r="AK14" s="128" t="s">
        <v>2</v>
      </c>
      <c r="AL14" s="128"/>
      <c r="AM14" s="128" t="s">
        <v>3</v>
      </c>
      <c r="AN14" s="128"/>
      <c r="AO14" s="128" t="s">
        <v>4</v>
      </c>
      <c r="AP14" s="128"/>
      <c r="AQ14" s="128" t="s">
        <v>5</v>
      </c>
      <c r="AR14" s="128"/>
      <c r="AS14" s="128" t="s">
        <v>6</v>
      </c>
      <c r="AT14" s="128"/>
      <c r="AU14" s="128" t="s">
        <v>7</v>
      </c>
      <c r="AV14" s="128"/>
      <c r="AW14" s="128" t="s">
        <v>1</v>
      </c>
      <c r="AX14" s="128"/>
      <c r="AY14" s="128" t="s">
        <v>2</v>
      </c>
      <c r="AZ14" s="128"/>
      <c r="BA14" s="128" t="s">
        <v>3</v>
      </c>
      <c r="BB14" s="128"/>
      <c r="BC14" s="128" t="s">
        <v>4</v>
      </c>
      <c r="BD14" s="128"/>
      <c r="BE14" s="128" t="s">
        <v>5</v>
      </c>
      <c r="BF14" s="128"/>
      <c r="BG14" s="128" t="s">
        <v>6</v>
      </c>
      <c r="BH14" s="128"/>
      <c r="BI14" s="128" t="s">
        <v>7</v>
      </c>
      <c r="BJ14" s="128"/>
      <c r="BK14" s="128" t="s">
        <v>1</v>
      </c>
      <c r="BL14" s="128"/>
      <c r="BM14" s="128" t="s">
        <v>2</v>
      </c>
      <c r="BN14" s="128"/>
      <c r="BO14" s="128" t="s">
        <v>3</v>
      </c>
      <c r="BP14" s="128"/>
      <c r="BQ14" s="129" t="s">
        <v>8</v>
      </c>
      <c r="BR14" s="129" t="s">
        <v>9</v>
      </c>
      <c r="BS14" s="14"/>
      <c r="BT14" s="14"/>
      <c r="BU14" s="14"/>
      <c r="BV14" s="14"/>
      <c r="BW14" s="14"/>
      <c r="BX14" s="14"/>
      <c r="BY14" s="14"/>
      <c r="BZ14" s="14"/>
      <c r="CA14" s="21"/>
      <c r="CB14" s="21"/>
      <c r="CC14" s="14"/>
      <c r="CD14" s="22"/>
      <c r="CE14" s="22"/>
      <c r="CH14" s="135" t="s">
        <v>86</v>
      </c>
      <c r="CI14" s="135"/>
      <c r="CJ14" s="135"/>
      <c r="CK14" s="135"/>
      <c r="CL14" s="135"/>
      <c r="CM14" s="135"/>
      <c r="CN14" s="135"/>
      <c r="CO14" s="135"/>
      <c r="CP14" s="135"/>
      <c r="CQ14" s="135"/>
      <c r="CR14" s="19"/>
    </row>
    <row r="15" spans="1:96" ht="18.75" customHeight="1" x14ac:dyDescent="0.25">
      <c r="A15" s="130"/>
      <c r="B15" s="130"/>
      <c r="C15" s="130"/>
      <c r="D15" s="98"/>
      <c r="E15" s="131">
        <v>46204</v>
      </c>
      <c r="F15" s="131"/>
      <c r="G15" s="131">
        <v>46205</v>
      </c>
      <c r="H15" s="131"/>
      <c r="I15" s="131">
        <v>46206</v>
      </c>
      <c r="J15" s="131"/>
      <c r="K15" s="131">
        <v>46207</v>
      </c>
      <c r="L15" s="131"/>
      <c r="M15" s="131">
        <v>46208</v>
      </c>
      <c r="N15" s="131"/>
      <c r="O15" s="131">
        <v>46209</v>
      </c>
      <c r="P15" s="131"/>
      <c r="Q15" s="131">
        <v>46210</v>
      </c>
      <c r="R15" s="131"/>
      <c r="S15" s="131">
        <v>46211</v>
      </c>
      <c r="T15" s="131"/>
      <c r="U15" s="131">
        <v>46212</v>
      </c>
      <c r="V15" s="131"/>
      <c r="W15" s="131">
        <v>46213</v>
      </c>
      <c r="X15" s="131"/>
      <c r="Y15" s="131">
        <v>46214</v>
      </c>
      <c r="Z15" s="131"/>
      <c r="AA15" s="131">
        <v>46215</v>
      </c>
      <c r="AB15" s="131"/>
      <c r="AC15" s="131">
        <v>46216</v>
      </c>
      <c r="AD15" s="131"/>
      <c r="AE15" s="131">
        <v>46217</v>
      </c>
      <c r="AF15" s="131"/>
      <c r="AG15" s="131">
        <v>46218</v>
      </c>
      <c r="AH15" s="131"/>
      <c r="AI15" s="101"/>
      <c r="AJ15" s="106"/>
      <c r="AK15" s="131">
        <v>46219</v>
      </c>
      <c r="AL15" s="131"/>
      <c r="AM15" s="131">
        <v>46220</v>
      </c>
      <c r="AN15" s="131"/>
      <c r="AO15" s="131">
        <v>46221</v>
      </c>
      <c r="AP15" s="131"/>
      <c r="AQ15" s="131">
        <v>46222</v>
      </c>
      <c r="AR15" s="131"/>
      <c r="AS15" s="131">
        <v>46223</v>
      </c>
      <c r="AT15" s="131"/>
      <c r="AU15" s="131">
        <v>46224</v>
      </c>
      <c r="AV15" s="131"/>
      <c r="AW15" s="131">
        <v>46225</v>
      </c>
      <c r="AX15" s="131"/>
      <c r="AY15" s="131">
        <v>46226</v>
      </c>
      <c r="AZ15" s="131"/>
      <c r="BA15" s="131">
        <v>46227</v>
      </c>
      <c r="BB15" s="131"/>
      <c r="BC15" s="131">
        <v>46228</v>
      </c>
      <c r="BD15" s="131"/>
      <c r="BE15" s="131">
        <v>46229</v>
      </c>
      <c r="BF15" s="131"/>
      <c r="BG15" s="131">
        <v>46230</v>
      </c>
      <c r="BH15" s="131"/>
      <c r="BI15" s="131">
        <v>46231</v>
      </c>
      <c r="BJ15" s="131"/>
      <c r="BK15" s="131">
        <v>46232</v>
      </c>
      <c r="BL15" s="131"/>
      <c r="BM15" s="131">
        <v>46233</v>
      </c>
      <c r="BN15" s="131"/>
      <c r="BO15" s="131">
        <v>46234</v>
      </c>
      <c r="BP15" s="131"/>
      <c r="BQ15" s="129"/>
      <c r="BR15" s="129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H15" s="55" t="s">
        <v>103</v>
      </c>
      <c r="CI15" s="55"/>
      <c r="CJ15" s="55"/>
      <c r="CK15" s="55"/>
      <c r="CL15" s="55"/>
      <c r="CM15" s="55"/>
      <c r="CN15" s="55"/>
      <c r="CO15" s="55"/>
      <c r="CP15" s="55"/>
      <c r="CQ15" s="55"/>
      <c r="CR15" s="19"/>
    </row>
    <row r="16" spans="1:96" ht="18.75" customHeight="1" x14ac:dyDescent="0.25">
      <c r="A16" s="4" t="s">
        <v>10</v>
      </c>
      <c r="B16" s="4" t="s">
        <v>11</v>
      </c>
      <c r="C16" s="64" t="s">
        <v>12</v>
      </c>
      <c r="D16" s="4"/>
      <c r="E16" s="12" t="s">
        <v>13</v>
      </c>
      <c r="F16" s="12" t="s">
        <v>14</v>
      </c>
      <c r="G16" s="12" t="s">
        <v>13</v>
      </c>
      <c r="H16" s="12" t="s">
        <v>14</v>
      </c>
      <c r="I16" s="12" t="s">
        <v>13</v>
      </c>
      <c r="J16" s="12" t="s">
        <v>14</v>
      </c>
      <c r="K16" s="12" t="s">
        <v>13</v>
      </c>
      <c r="L16" s="12" t="s">
        <v>14</v>
      </c>
      <c r="M16" s="12" t="s">
        <v>13</v>
      </c>
      <c r="N16" s="12" t="s">
        <v>14</v>
      </c>
      <c r="O16" s="12" t="s">
        <v>13</v>
      </c>
      <c r="P16" s="12" t="s">
        <v>14</v>
      </c>
      <c r="Q16" s="12" t="s">
        <v>13</v>
      </c>
      <c r="R16" s="12" t="s">
        <v>14</v>
      </c>
      <c r="S16" s="12" t="s">
        <v>13</v>
      </c>
      <c r="T16" s="12" t="s">
        <v>14</v>
      </c>
      <c r="U16" s="12" t="s">
        <v>13</v>
      </c>
      <c r="V16" s="12" t="s">
        <v>14</v>
      </c>
      <c r="W16" s="12" t="s">
        <v>13</v>
      </c>
      <c r="X16" s="12" t="s">
        <v>14</v>
      </c>
      <c r="Y16" s="12" t="s">
        <v>13</v>
      </c>
      <c r="Z16" s="12" t="s">
        <v>14</v>
      </c>
      <c r="AA16" s="12" t="s">
        <v>13</v>
      </c>
      <c r="AB16" s="12" t="s">
        <v>14</v>
      </c>
      <c r="AC16" s="12" t="s">
        <v>13</v>
      </c>
      <c r="AD16" s="12" t="s">
        <v>14</v>
      </c>
      <c r="AE16" s="12" t="s">
        <v>13</v>
      </c>
      <c r="AF16" s="12" t="s">
        <v>14</v>
      </c>
      <c r="AG16" s="12" t="s">
        <v>13</v>
      </c>
      <c r="AH16" s="12" t="s">
        <v>14</v>
      </c>
      <c r="AI16" s="100"/>
      <c r="AJ16" s="52"/>
      <c r="AK16" s="52" t="s">
        <v>13</v>
      </c>
      <c r="AL16" s="52" t="s">
        <v>14</v>
      </c>
      <c r="AM16" s="52" t="s">
        <v>13</v>
      </c>
      <c r="AN16" s="52" t="s">
        <v>14</v>
      </c>
      <c r="AO16" s="52" t="s">
        <v>13</v>
      </c>
      <c r="AP16" s="52" t="s">
        <v>14</v>
      </c>
      <c r="AQ16" s="52" t="s">
        <v>13</v>
      </c>
      <c r="AR16" s="52" t="s">
        <v>14</v>
      </c>
      <c r="AS16" s="52" t="s">
        <v>13</v>
      </c>
      <c r="AT16" s="52" t="s">
        <v>14</v>
      </c>
      <c r="AU16" s="52" t="s">
        <v>13</v>
      </c>
      <c r="AV16" s="52" t="s">
        <v>14</v>
      </c>
      <c r="AW16" s="52" t="s">
        <v>13</v>
      </c>
      <c r="AX16" s="52" t="s">
        <v>14</v>
      </c>
      <c r="AY16" s="52" t="s">
        <v>13</v>
      </c>
      <c r="AZ16" s="52" t="s">
        <v>14</v>
      </c>
      <c r="BA16" s="52" t="s">
        <v>13</v>
      </c>
      <c r="BB16" s="52" t="s">
        <v>14</v>
      </c>
      <c r="BC16" s="52" t="s">
        <v>13</v>
      </c>
      <c r="BD16" s="52" t="s">
        <v>14</v>
      </c>
      <c r="BE16" s="52" t="s">
        <v>13</v>
      </c>
      <c r="BF16" s="52" t="s">
        <v>14</v>
      </c>
      <c r="BG16" s="52" t="s">
        <v>13</v>
      </c>
      <c r="BH16" s="52" t="s">
        <v>14</v>
      </c>
      <c r="BI16" s="52" t="s">
        <v>13</v>
      </c>
      <c r="BJ16" s="52" t="s">
        <v>14</v>
      </c>
      <c r="BK16" s="52" t="s">
        <v>13</v>
      </c>
      <c r="BL16" s="52" t="s">
        <v>14</v>
      </c>
      <c r="BM16" s="52" t="s">
        <v>13</v>
      </c>
      <c r="BN16" s="52" t="s">
        <v>14</v>
      </c>
      <c r="BO16" s="52" t="s">
        <v>13</v>
      </c>
      <c r="BP16" s="52" t="s">
        <v>14</v>
      </c>
      <c r="BQ16" s="129"/>
      <c r="BR16" s="129"/>
      <c r="BS16" s="13"/>
      <c r="BT16" s="76" t="s">
        <v>15</v>
      </c>
      <c r="BU16" s="76" t="s">
        <v>16</v>
      </c>
      <c r="BV16" s="76" t="s">
        <v>17</v>
      </c>
      <c r="BW16" s="76" t="s">
        <v>18</v>
      </c>
      <c r="BX16" s="76" t="s">
        <v>19</v>
      </c>
      <c r="BY16" s="76" t="s">
        <v>20</v>
      </c>
      <c r="BZ16" s="76" t="s">
        <v>100</v>
      </c>
      <c r="CA16" s="50" t="s">
        <v>22</v>
      </c>
      <c r="CB16" s="76" t="s">
        <v>23</v>
      </c>
      <c r="CC16" s="76" t="s">
        <v>24</v>
      </c>
      <c r="CD16" s="76" t="s">
        <v>25</v>
      </c>
      <c r="CE16" s="14" t="s">
        <v>26</v>
      </c>
      <c r="CH16" s="65" t="s">
        <v>16</v>
      </c>
      <c r="CI16" s="65" t="s">
        <v>17</v>
      </c>
      <c r="CJ16" s="65" t="s">
        <v>18</v>
      </c>
      <c r="CK16" s="65" t="s">
        <v>19</v>
      </c>
      <c r="CL16" s="65" t="s">
        <v>20</v>
      </c>
      <c r="CM16" s="65" t="s">
        <v>21</v>
      </c>
      <c r="CN16" s="65" t="s">
        <v>22</v>
      </c>
      <c r="CO16" s="65" t="s">
        <v>23</v>
      </c>
      <c r="CP16" s="65" t="s">
        <v>24</v>
      </c>
      <c r="CQ16" s="65" t="s">
        <v>25</v>
      </c>
      <c r="CR16" s="65" t="s">
        <v>87</v>
      </c>
    </row>
    <row r="17" spans="1:96" s="19" customFormat="1" ht="22.5" customHeight="1" x14ac:dyDescent="0.25">
      <c r="A17" s="7">
        <v>8</v>
      </c>
      <c r="B17" s="8" t="s">
        <v>34</v>
      </c>
      <c r="C17" s="103" t="s">
        <v>35</v>
      </c>
      <c r="D17" s="104">
        <v>43525</v>
      </c>
      <c r="E17" s="66">
        <v>0.33819444444444446</v>
      </c>
      <c r="F17" s="93">
        <v>1</v>
      </c>
      <c r="G17" s="66">
        <v>0.33263888888888887</v>
      </c>
      <c r="H17" s="93">
        <v>1</v>
      </c>
      <c r="I17" s="94">
        <v>0.56041666666666667</v>
      </c>
      <c r="J17" s="95">
        <v>1</v>
      </c>
      <c r="K17" s="66">
        <v>0.3430555555555555</v>
      </c>
      <c r="L17" s="93">
        <v>1</v>
      </c>
      <c r="M17" s="66">
        <v>0.34027777777777773</v>
      </c>
      <c r="N17" s="93">
        <v>1</v>
      </c>
      <c r="O17" s="66">
        <v>0.33680555555555558</v>
      </c>
      <c r="P17" s="93">
        <v>1</v>
      </c>
      <c r="Q17" s="66">
        <v>0.33402777777777781</v>
      </c>
      <c r="R17" s="93">
        <v>1</v>
      </c>
      <c r="S17" s="66">
        <v>0.33749999999999997</v>
      </c>
      <c r="T17" s="66">
        <v>0.86458333333333337</v>
      </c>
      <c r="U17" s="66">
        <v>0.33819444444444446</v>
      </c>
      <c r="V17" s="93">
        <v>1</v>
      </c>
      <c r="W17" s="82" t="s">
        <v>15</v>
      </c>
      <c r="X17" s="82" t="s">
        <v>15</v>
      </c>
      <c r="Y17" s="66">
        <v>0.3430555555555555</v>
      </c>
      <c r="Z17" s="93">
        <v>1</v>
      </c>
      <c r="AA17" s="66">
        <v>0.35069444444444442</v>
      </c>
      <c r="AB17" s="93">
        <v>1</v>
      </c>
      <c r="AC17" s="66">
        <v>0.35416666666666669</v>
      </c>
      <c r="AD17" s="93">
        <v>1</v>
      </c>
      <c r="AE17" s="66">
        <v>0.35833333333333334</v>
      </c>
      <c r="AF17" s="93">
        <v>1</v>
      </c>
      <c r="AG17" s="66">
        <v>0.34722222222222227</v>
      </c>
      <c r="AH17" s="93">
        <v>1</v>
      </c>
      <c r="AI17" s="96"/>
      <c r="AJ17" s="7">
        <v>8</v>
      </c>
      <c r="AK17" s="115">
        <v>46219.35125</v>
      </c>
      <c r="AL17" s="115">
        <v>1</v>
      </c>
      <c r="AM17" s="115">
        <v>46220.580254629633</v>
      </c>
      <c r="AN17" s="115">
        <v>1</v>
      </c>
      <c r="AO17" s="115">
        <v>46221.34778935185</v>
      </c>
      <c r="AP17" s="115">
        <v>1</v>
      </c>
      <c r="AQ17" s="115">
        <v>46222.352418981478</v>
      </c>
      <c r="AR17" s="115">
        <v>1</v>
      </c>
      <c r="AS17" s="115">
        <v>46223.355983796297</v>
      </c>
      <c r="AT17" s="115">
        <v>1</v>
      </c>
      <c r="AU17" s="115">
        <v>46224.353518518517</v>
      </c>
      <c r="AV17" s="115">
        <v>1</v>
      </c>
      <c r="AW17" s="115">
        <v>46225.350462962961</v>
      </c>
      <c r="AX17" s="115">
        <v>1</v>
      </c>
      <c r="AY17" s="115">
        <v>46226.345046296294</v>
      </c>
      <c r="AZ17" s="115">
        <v>1</v>
      </c>
      <c r="BA17" s="119" t="s">
        <v>15</v>
      </c>
      <c r="BB17" s="119" t="s">
        <v>15</v>
      </c>
      <c r="BC17" s="115">
        <v>46228.33148148148</v>
      </c>
      <c r="BD17" s="115">
        <v>1</v>
      </c>
      <c r="BE17" s="115">
        <v>46229.332361111112</v>
      </c>
      <c r="BF17" s="115">
        <v>1</v>
      </c>
      <c r="BG17" s="115">
        <v>46230.331550925926</v>
      </c>
      <c r="BH17" s="115">
        <v>46230.97148148148</v>
      </c>
      <c r="BI17" s="115">
        <v>46231.324189814812</v>
      </c>
      <c r="BJ17" s="115">
        <v>46231.987037037034</v>
      </c>
      <c r="BK17" s="115">
        <v>46232.329826388886</v>
      </c>
      <c r="BL17" s="118">
        <v>46232.972094907411</v>
      </c>
      <c r="BM17" s="116">
        <v>46233.329791666663</v>
      </c>
      <c r="BN17" s="117">
        <v>1</v>
      </c>
      <c r="BO17" s="115">
        <v>46234.5546412037</v>
      </c>
      <c r="BP17" s="118"/>
      <c r="BQ17" s="15">
        <f>BS17+BT17+BU17+BV17+CA17+BY17+BZ17+CD17</f>
        <v>30.5</v>
      </c>
      <c r="BR17" s="54">
        <v>3</v>
      </c>
      <c r="BS17" s="16">
        <f>COUNT(E17:AH17)/2+COUNT(AK17:BP17)/2</f>
        <v>28.5</v>
      </c>
      <c r="BT17" s="17">
        <f>COUNTIF(B17:BP17,"OFF")/2</f>
        <v>2</v>
      </c>
      <c r="BU17" s="17">
        <f>COUNTIF(B17:BP17,"MC")/2</f>
        <v>0</v>
      </c>
      <c r="BV17" s="17">
        <f>COUNTIF(B17:BP17,"EL")/2</f>
        <v>0</v>
      </c>
      <c r="BW17" s="17">
        <f>COUNTIF(B17:BP17,"AL")/2</f>
        <v>0</v>
      </c>
      <c r="BX17" s="17">
        <f>COUNTIF(B17:BP17,"SUS")/2</f>
        <v>0</v>
      </c>
      <c r="BY17" s="17">
        <f>COUNTIF(B17:BP17,"FL")/2</f>
        <v>0</v>
      </c>
      <c r="BZ17" s="17">
        <f>COUNTIF(B17:BP17,"SICK")/2</f>
        <v>0</v>
      </c>
      <c r="CA17" s="17">
        <f>COUNTIF(B17:BP17,"HD")/2</f>
        <v>0</v>
      </c>
      <c r="CB17" s="17">
        <f>COUNTIF(B17:BP17,"AB")/2</f>
        <v>0</v>
      </c>
      <c r="CC17" s="17">
        <f>COUNTIF(B17:BP17,"NL")/2</f>
        <v>0</v>
      </c>
      <c r="CD17" s="17">
        <f>COUNTIF(B17:BP17,"SP")/2</f>
        <v>0</v>
      </c>
      <c r="CE17" s="18"/>
      <c r="CH17" s="61">
        <v>0</v>
      </c>
      <c r="CI17" s="61">
        <v>0</v>
      </c>
      <c r="CJ17" s="61">
        <v>0</v>
      </c>
      <c r="CK17" s="61">
        <v>0</v>
      </c>
      <c r="CL17" s="61">
        <v>0</v>
      </c>
      <c r="CM17" s="61">
        <v>2</v>
      </c>
      <c r="CN17" s="62">
        <v>0</v>
      </c>
      <c r="CO17" s="62">
        <v>0</v>
      </c>
      <c r="CP17" s="62">
        <v>0</v>
      </c>
      <c r="CQ17" s="62">
        <v>0</v>
      </c>
      <c r="CR17" s="63">
        <f t="shared" ref="CR17:CR18" si="14">SUM(CH17:CQ17)</f>
        <v>2</v>
      </c>
    </row>
    <row r="18" spans="1:96" s="19" customFormat="1" ht="22.5" customHeight="1" x14ac:dyDescent="0.25">
      <c r="A18" s="7">
        <v>9</v>
      </c>
      <c r="B18" s="8" t="s">
        <v>36</v>
      </c>
      <c r="C18" s="103" t="s">
        <v>37</v>
      </c>
      <c r="D18" s="104">
        <v>44862</v>
      </c>
      <c r="E18" s="66">
        <v>0.35000000000000003</v>
      </c>
      <c r="F18" s="93">
        <v>1</v>
      </c>
      <c r="G18" s="66">
        <v>0.35486111111111113</v>
      </c>
      <c r="H18" s="66">
        <v>2.7777777777777779E-3</v>
      </c>
      <c r="I18" s="94">
        <v>0.57916666666666672</v>
      </c>
      <c r="J18" s="94">
        <v>0.9590277777777777</v>
      </c>
      <c r="K18" s="66">
        <v>0.34791666666666665</v>
      </c>
      <c r="L18" s="66">
        <v>0.96597222222222223</v>
      </c>
      <c r="M18" s="66">
        <v>0.34791666666666665</v>
      </c>
      <c r="N18" s="66">
        <v>0.94444444444444453</v>
      </c>
      <c r="O18" s="66">
        <v>0.35486111111111113</v>
      </c>
      <c r="P18" s="66">
        <v>0.94652777777777775</v>
      </c>
      <c r="Q18" s="66">
        <v>0.36041666666666666</v>
      </c>
      <c r="R18" s="66">
        <v>0.94374999999999998</v>
      </c>
      <c r="S18" s="66">
        <v>0.35347222222222219</v>
      </c>
      <c r="T18" s="66">
        <v>0.94930555555555562</v>
      </c>
      <c r="U18" s="66">
        <v>0.35138888888888892</v>
      </c>
      <c r="V18" s="66">
        <v>0.96666666666666667</v>
      </c>
      <c r="W18" s="94">
        <v>0.57916666666666672</v>
      </c>
      <c r="X18" s="94">
        <v>0.95277777777777783</v>
      </c>
      <c r="Y18" s="66">
        <v>0.35069444444444442</v>
      </c>
      <c r="Z18" s="66">
        <v>0.96319444444444446</v>
      </c>
      <c r="AA18" s="66">
        <v>0.34652777777777777</v>
      </c>
      <c r="AB18" s="66">
        <v>0.94374999999999998</v>
      </c>
      <c r="AC18" s="66">
        <v>0.34791666666666665</v>
      </c>
      <c r="AD18" s="66">
        <v>0.94652777777777775</v>
      </c>
      <c r="AE18" s="66">
        <v>0.3520833333333333</v>
      </c>
      <c r="AF18" s="66">
        <v>0.95277777777777783</v>
      </c>
      <c r="AG18" s="66">
        <v>0.35000000000000003</v>
      </c>
      <c r="AH18" s="66">
        <v>0.9458333333333333</v>
      </c>
      <c r="AI18" s="102"/>
      <c r="AJ18" s="7">
        <v>9</v>
      </c>
      <c r="AK18" s="115">
        <v>46219.349108796298</v>
      </c>
      <c r="AL18" s="115">
        <v>46219.964571759258</v>
      </c>
      <c r="AM18" s="115">
        <v>46220.612314814818</v>
      </c>
      <c r="AN18" s="115">
        <v>1</v>
      </c>
      <c r="AO18" s="115">
        <v>46221.34952546296</v>
      </c>
      <c r="AP18" s="115">
        <v>46221.967858796299</v>
      </c>
      <c r="AQ18" s="115">
        <v>46222.352523148147</v>
      </c>
      <c r="AR18" s="115">
        <v>46222.946828703702</v>
      </c>
      <c r="AS18" s="115">
        <v>46223.351365740738</v>
      </c>
      <c r="AT18" s="115">
        <v>46223.950023148151</v>
      </c>
      <c r="AU18" s="115">
        <v>46224.348136574074</v>
      </c>
      <c r="AV18" s="115">
        <v>46224.954305555555</v>
      </c>
      <c r="AW18" s="115">
        <v>46225.351087962961</v>
      </c>
      <c r="AX18" s="115">
        <v>46225.949560185189</v>
      </c>
      <c r="AY18" s="115">
        <v>46226.350613425922</v>
      </c>
      <c r="AZ18" s="115">
        <v>46226.968449074076</v>
      </c>
      <c r="BA18" s="115">
        <v>46227.577245370368</v>
      </c>
      <c r="BB18" s="115">
        <v>46227.955138888887</v>
      </c>
      <c r="BC18" s="115">
        <v>46228.349548611113</v>
      </c>
      <c r="BD18" s="115">
        <v>46228.961585648147</v>
      </c>
      <c r="BE18" s="115">
        <v>46229.348217592589</v>
      </c>
      <c r="BF18" s="115">
        <v>46229.942511574074</v>
      </c>
      <c r="BG18" s="115">
        <v>46230.34715277778</v>
      </c>
      <c r="BH18" s="115">
        <v>46230.94332175926</v>
      </c>
      <c r="BI18" s="115">
        <v>46231.348912037036</v>
      </c>
      <c r="BJ18" s="115">
        <v>46231.945127314815</v>
      </c>
      <c r="BK18" s="115">
        <v>46232.346875000003</v>
      </c>
      <c r="BL18" s="118">
        <v>46232.956793981481</v>
      </c>
      <c r="BM18" s="116">
        <v>46233.346701388888</v>
      </c>
      <c r="BN18" s="115">
        <v>46233.970694444448</v>
      </c>
      <c r="BO18" s="119" t="s">
        <v>15</v>
      </c>
      <c r="BP18" s="119" t="s">
        <v>15</v>
      </c>
      <c r="BQ18" s="15">
        <f t="shared" ref="BQ18:BQ35" si="15">BS18+BT18+BU18+BV18+CA18+BY18+BZ18+CD18</f>
        <v>31</v>
      </c>
      <c r="BR18" s="54">
        <v>4</v>
      </c>
      <c r="BS18" s="16">
        <f t="shared" ref="BS18:BS35" si="16">COUNT(E18:AH18)/2+COUNT(AK18:BP18)/2</f>
        <v>30</v>
      </c>
      <c r="BT18" s="17">
        <f t="shared" ref="BT18:BT35" si="17">COUNTIF(B18:BP18,"OFF")/2</f>
        <v>1</v>
      </c>
      <c r="BU18" s="17">
        <f t="shared" ref="BU18:BU35" si="18">COUNTIF(B18:BP18,"MC")/2</f>
        <v>0</v>
      </c>
      <c r="BV18" s="17">
        <f t="shared" ref="BV18:BV35" si="19">COUNTIF(B18:BP18,"EL")/2</f>
        <v>0</v>
      </c>
      <c r="BW18" s="17">
        <f t="shared" ref="BW18:BW35" si="20">COUNTIF(B18:BP18,"AL")/2</f>
        <v>0</v>
      </c>
      <c r="BX18" s="17">
        <f t="shared" ref="BX18:BX35" si="21">COUNTIF(B18:BP18,"SUS")/2</f>
        <v>0</v>
      </c>
      <c r="BY18" s="17">
        <f t="shared" ref="BY18:BY35" si="22">COUNTIF(B18:BP18,"FL")/2</f>
        <v>0</v>
      </c>
      <c r="BZ18" s="17">
        <f t="shared" ref="BZ18:BZ35" si="23">COUNTIF(B18:BP18,"SICK")/2</f>
        <v>0</v>
      </c>
      <c r="CA18" s="17">
        <f t="shared" ref="CA18:CA35" si="24">COUNTIF(B18:BP18,"HD")/2</f>
        <v>0</v>
      </c>
      <c r="CB18" s="17">
        <f t="shared" ref="CB18:CB35" si="25">COUNTIF(B18:BP18,"AB")/2</f>
        <v>0</v>
      </c>
      <c r="CC18" s="17">
        <f t="shared" ref="CC18:CC35" si="26">COUNTIF(B18:BP18,"NL")/2</f>
        <v>0</v>
      </c>
      <c r="CD18" s="17">
        <f t="shared" ref="CD18:CD35" si="27">COUNTIF(B18:BP18,"SP")/2</f>
        <v>0</v>
      </c>
      <c r="CE18" s="18"/>
      <c r="CH18" s="60">
        <v>0</v>
      </c>
      <c r="CI18" s="60">
        <v>0</v>
      </c>
      <c r="CJ18" s="60">
        <v>0</v>
      </c>
      <c r="CK18" s="59">
        <v>0</v>
      </c>
      <c r="CL18" s="59">
        <v>0</v>
      </c>
      <c r="CM18" s="59">
        <v>1</v>
      </c>
      <c r="CN18" s="59">
        <v>0</v>
      </c>
      <c r="CO18" s="59">
        <v>0</v>
      </c>
      <c r="CP18" s="59">
        <v>0</v>
      </c>
      <c r="CQ18" s="59">
        <v>0</v>
      </c>
      <c r="CR18" s="64">
        <f t="shared" si="14"/>
        <v>1</v>
      </c>
    </row>
    <row r="19" spans="1:96" s="19" customFormat="1" ht="22.5" customHeight="1" x14ac:dyDescent="0.25">
      <c r="A19" s="7">
        <v>10</v>
      </c>
      <c r="B19" s="8" t="s">
        <v>39</v>
      </c>
      <c r="C19" s="103" t="s">
        <v>40</v>
      </c>
      <c r="D19" s="104">
        <v>45374</v>
      </c>
      <c r="E19" s="66">
        <v>0.3659722222222222</v>
      </c>
      <c r="F19" s="93">
        <v>1</v>
      </c>
      <c r="G19" s="66">
        <v>0.37013888888888885</v>
      </c>
      <c r="H19" s="66">
        <v>4.8611111111111112E-3</v>
      </c>
      <c r="I19" s="94">
        <v>0.57916666666666672</v>
      </c>
      <c r="J19" s="95">
        <v>1</v>
      </c>
      <c r="K19" s="93">
        <v>1</v>
      </c>
      <c r="L19" s="93">
        <v>1</v>
      </c>
      <c r="M19" s="66">
        <v>0.35902777777777778</v>
      </c>
      <c r="N19" s="66">
        <v>0.95833333333333337</v>
      </c>
      <c r="O19" s="66">
        <v>0.35694444444444445</v>
      </c>
      <c r="P19" s="93">
        <v>1</v>
      </c>
      <c r="Q19" s="66">
        <v>0.33819444444444446</v>
      </c>
      <c r="R19" s="66">
        <v>0.96319444444444446</v>
      </c>
      <c r="S19" s="66">
        <v>0.35833333333333334</v>
      </c>
      <c r="T19" s="66">
        <v>0.96458333333333324</v>
      </c>
      <c r="U19" s="66">
        <v>0.35347222222222219</v>
      </c>
      <c r="V19" s="66">
        <v>0.97499999999999998</v>
      </c>
      <c r="W19" s="82" t="s">
        <v>15</v>
      </c>
      <c r="X19" s="82" t="s">
        <v>15</v>
      </c>
      <c r="Y19" s="66">
        <v>0.35069444444444442</v>
      </c>
      <c r="Z19" s="66">
        <v>0.97777777777777775</v>
      </c>
      <c r="AA19" s="66">
        <v>0.34722222222222227</v>
      </c>
      <c r="AB19" s="66">
        <v>0.95347222222222217</v>
      </c>
      <c r="AC19" s="66">
        <v>0.35833333333333334</v>
      </c>
      <c r="AD19" s="93">
        <v>1</v>
      </c>
      <c r="AE19" s="66">
        <v>0.35486111111111113</v>
      </c>
      <c r="AF19" s="66">
        <v>0.95347222222222217</v>
      </c>
      <c r="AG19" s="76" t="s">
        <v>23</v>
      </c>
      <c r="AH19" s="76" t="s">
        <v>23</v>
      </c>
      <c r="AI19" s="102"/>
      <c r="AJ19" s="7">
        <v>10</v>
      </c>
      <c r="AK19" s="115">
        <v>46219.350370370368</v>
      </c>
      <c r="AL19" s="117">
        <v>1</v>
      </c>
      <c r="AM19" s="115">
        <v>46220.581458333334</v>
      </c>
      <c r="AN19" s="115">
        <v>46220.964444444442</v>
      </c>
      <c r="AO19" s="115">
        <v>46221.354814814818</v>
      </c>
      <c r="AP19" s="115">
        <v>46221.984027777777</v>
      </c>
      <c r="AQ19" s="115">
        <v>46222.354490740741</v>
      </c>
      <c r="AR19" s="115">
        <v>46222.956365740742</v>
      </c>
      <c r="AS19" s="115">
        <v>46223.373344907406</v>
      </c>
      <c r="AT19" s="115">
        <v>46223.963495370372</v>
      </c>
      <c r="AU19" s="115">
        <v>46224.355474537035</v>
      </c>
      <c r="AV19" s="115">
        <v>46224.965092592596</v>
      </c>
      <c r="AW19" s="115">
        <v>46225.356956018521</v>
      </c>
      <c r="AX19" s="115">
        <v>46225.959618055553</v>
      </c>
      <c r="AY19" s="115">
        <v>46226.350937499999</v>
      </c>
      <c r="AZ19" s="115">
        <v>46226.97792824074</v>
      </c>
      <c r="BA19" s="119" t="s">
        <v>15</v>
      </c>
      <c r="BB19" s="119" t="s">
        <v>15</v>
      </c>
      <c r="BC19" s="115">
        <v>46228.356006944443</v>
      </c>
      <c r="BD19" s="115">
        <v>46228.972361111111</v>
      </c>
      <c r="BE19" s="115">
        <v>46229.357442129629</v>
      </c>
      <c r="BF19" s="115">
        <v>46229.958564814813</v>
      </c>
      <c r="BG19" s="115">
        <v>46230.359525462962</v>
      </c>
      <c r="BH19" s="115">
        <v>46230.945023148146</v>
      </c>
      <c r="BI19" s="115">
        <v>46231.349849537037</v>
      </c>
      <c r="BJ19" s="115">
        <v>46231.957314814812</v>
      </c>
      <c r="BK19" s="115">
        <v>46232.353229166663</v>
      </c>
      <c r="BL19" s="120">
        <v>1</v>
      </c>
      <c r="BM19" s="116">
        <v>46233.346747685187</v>
      </c>
      <c r="BN19" s="115">
        <v>46233.982592592591</v>
      </c>
      <c r="BO19" s="115">
        <v>46234.579062500001</v>
      </c>
      <c r="BP19" s="118">
        <v>46234.961956018517</v>
      </c>
      <c r="BQ19" s="15">
        <f>BS19+BT19+BU19+BV19+CA19+BY19+BZ19+CD19</f>
        <v>30</v>
      </c>
      <c r="BR19" s="54">
        <v>3</v>
      </c>
      <c r="BS19" s="16">
        <f t="shared" si="16"/>
        <v>28</v>
      </c>
      <c r="BT19" s="17">
        <f t="shared" si="17"/>
        <v>2</v>
      </c>
      <c r="BU19" s="17">
        <f t="shared" si="18"/>
        <v>0</v>
      </c>
      <c r="BV19" s="17">
        <f t="shared" si="19"/>
        <v>0</v>
      </c>
      <c r="BW19" s="17">
        <f t="shared" si="20"/>
        <v>0</v>
      </c>
      <c r="BX19" s="17">
        <f t="shared" si="21"/>
        <v>0</v>
      </c>
      <c r="BY19" s="17">
        <f t="shared" si="22"/>
        <v>0</v>
      </c>
      <c r="BZ19" s="17">
        <f t="shared" si="23"/>
        <v>0</v>
      </c>
      <c r="CA19" s="17">
        <f t="shared" si="24"/>
        <v>0</v>
      </c>
      <c r="CB19" s="17">
        <f t="shared" si="25"/>
        <v>1</v>
      </c>
      <c r="CC19" s="17">
        <f t="shared" si="26"/>
        <v>0</v>
      </c>
      <c r="CD19" s="17">
        <f t="shared" si="27"/>
        <v>0</v>
      </c>
      <c r="CE19" s="18"/>
      <c r="CH19" s="61">
        <v>0</v>
      </c>
      <c r="CI19" s="61">
        <v>0</v>
      </c>
      <c r="CJ19" s="61">
        <v>0</v>
      </c>
      <c r="CK19" s="61">
        <v>0</v>
      </c>
      <c r="CL19" s="61">
        <v>0</v>
      </c>
      <c r="CM19" s="61">
        <v>4</v>
      </c>
      <c r="CN19" s="62">
        <v>1</v>
      </c>
      <c r="CO19" s="62">
        <v>5</v>
      </c>
      <c r="CP19" s="62">
        <v>0</v>
      </c>
      <c r="CQ19" s="62">
        <v>0</v>
      </c>
      <c r="CR19" s="63">
        <f t="shared" ref="CR19:CR28" si="28">SUM(CH19:CQ19)</f>
        <v>10</v>
      </c>
    </row>
    <row r="20" spans="1:96" s="19" customFormat="1" ht="22.5" customHeight="1" x14ac:dyDescent="0.25">
      <c r="A20" s="7">
        <v>11</v>
      </c>
      <c r="B20" s="8" t="s">
        <v>43</v>
      </c>
      <c r="C20" s="103" t="s">
        <v>44</v>
      </c>
      <c r="D20" s="104">
        <v>45406</v>
      </c>
      <c r="E20" s="66">
        <v>0.35000000000000003</v>
      </c>
      <c r="F20" s="93">
        <v>1</v>
      </c>
      <c r="G20" s="66">
        <v>0.35486111111111113</v>
      </c>
      <c r="H20" s="66">
        <v>0.99791666666666667</v>
      </c>
      <c r="I20" s="94">
        <v>0.57986111111111105</v>
      </c>
      <c r="J20" s="94">
        <v>0.9590277777777777</v>
      </c>
      <c r="K20" s="66">
        <v>0.35069444444444442</v>
      </c>
      <c r="L20" s="66">
        <v>0.98472222222222217</v>
      </c>
      <c r="M20" s="66">
        <v>0.35138888888888892</v>
      </c>
      <c r="N20" s="66">
        <v>0.35138888888888892</v>
      </c>
      <c r="O20" s="66">
        <v>0.35972222222222222</v>
      </c>
      <c r="P20" s="66">
        <v>0.9506944444444444</v>
      </c>
      <c r="Q20" s="66">
        <v>0.36041666666666666</v>
      </c>
      <c r="R20" s="66">
        <v>0.95000000000000007</v>
      </c>
      <c r="S20" s="66">
        <v>0.35416666666666669</v>
      </c>
      <c r="T20" s="66">
        <v>0.9506944444444444</v>
      </c>
      <c r="U20" s="66">
        <v>0.35347222222222219</v>
      </c>
      <c r="V20" s="66">
        <v>0.95277777777777783</v>
      </c>
      <c r="W20" s="82" t="s">
        <v>15</v>
      </c>
      <c r="X20" s="82" t="s">
        <v>15</v>
      </c>
      <c r="Y20" s="66">
        <v>0.35069444444444442</v>
      </c>
      <c r="Z20" s="66">
        <v>0.96458333333333324</v>
      </c>
      <c r="AA20" s="66">
        <v>0.94374999999999998</v>
      </c>
      <c r="AB20" s="66">
        <v>0.94374999999999998</v>
      </c>
      <c r="AC20" s="66">
        <v>0.34861111111111115</v>
      </c>
      <c r="AD20" s="66">
        <v>0.9770833333333333</v>
      </c>
      <c r="AE20" s="66">
        <v>0.3527777777777778</v>
      </c>
      <c r="AF20" s="66">
        <v>0.3527777777777778</v>
      </c>
      <c r="AG20" s="66">
        <v>0.35069444444444442</v>
      </c>
      <c r="AH20" s="66">
        <v>0.95763888888888893</v>
      </c>
      <c r="AI20" s="102"/>
      <c r="AJ20" s="7">
        <v>11</v>
      </c>
      <c r="AK20" s="115">
        <v>46219.350138888891</v>
      </c>
      <c r="AL20" s="115">
        <v>46219.972708333335</v>
      </c>
      <c r="AM20" s="115">
        <v>46221.353622685187</v>
      </c>
      <c r="AN20" s="115">
        <v>46220.955324074072</v>
      </c>
      <c r="AO20" s="115">
        <v>46221.353622685187</v>
      </c>
      <c r="AP20" s="115">
        <v>46221.95349537037</v>
      </c>
      <c r="AQ20" s="115">
        <v>46222.354664351849</v>
      </c>
      <c r="AR20" s="115">
        <v>46222.957395833335</v>
      </c>
      <c r="AS20" s="115">
        <v>46223.36042824074</v>
      </c>
      <c r="AT20" s="115">
        <v>46223.960439814815</v>
      </c>
      <c r="AU20" s="115">
        <v>46224.353437500002</v>
      </c>
      <c r="AV20" s="115">
        <v>46224.962962962964</v>
      </c>
      <c r="AW20" s="115">
        <v>46225.351400462961</v>
      </c>
      <c r="AX20" s="115">
        <v>46225.945023148146</v>
      </c>
      <c r="AY20" s="115">
        <v>46226.3675</v>
      </c>
      <c r="AZ20" s="115">
        <v>46226.959236111114</v>
      </c>
      <c r="BA20" s="119" t="s">
        <v>15</v>
      </c>
      <c r="BB20" s="119" t="s">
        <v>15</v>
      </c>
      <c r="BC20" s="115">
        <v>46228.349664351852</v>
      </c>
      <c r="BD20" s="115">
        <v>46228.955613425926</v>
      </c>
      <c r="BE20" s="115">
        <v>46229.352187500001</v>
      </c>
      <c r="BF20" s="115">
        <v>46229.948807870373</v>
      </c>
      <c r="BG20" s="115">
        <v>46230.347314814811</v>
      </c>
      <c r="BH20" s="115">
        <v>1</v>
      </c>
      <c r="BI20" s="115">
        <v>46231.349189814813</v>
      </c>
      <c r="BJ20" s="115">
        <v>46231.944340277776</v>
      </c>
      <c r="BK20" s="115">
        <v>46232.347060185188</v>
      </c>
      <c r="BL20" s="118">
        <v>46232.955694444441</v>
      </c>
      <c r="BM20" s="116">
        <v>46233.351018518515</v>
      </c>
      <c r="BN20" s="115">
        <v>46233.953796296293</v>
      </c>
      <c r="BO20" s="119" t="s">
        <v>15</v>
      </c>
      <c r="BP20" s="119" t="s">
        <v>15</v>
      </c>
      <c r="BQ20" s="15">
        <f t="shared" si="15"/>
        <v>31</v>
      </c>
      <c r="BR20" s="54">
        <v>2</v>
      </c>
      <c r="BS20" s="16">
        <f t="shared" si="16"/>
        <v>28</v>
      </c>
      <c r="BT20" s="17">
        <f t="shared" si="17"/>
        <v>3</v>
      </c>
      <c r="BU20" s="17">
        <f t="shared" si="18"/>
        <v>0</v>
      </c>
      <c r="BV20" s="17">
        <f t="shared" si="19"/>
        <v>0</v>
      </c>
      <c r="BW20" s="17">
        <f t="shared" si="20"/>
        <v>0</v>
      </c>
      <c r="BX20" s="17">
        <f t="shared" si="21"/>
        <v>0</v>
      </c>
      <c r="BY20" s="17">
        <f t="shared" si="22"/>
        <v>0</v>
      </c>
      <c r="BZ20" s="17">
        <f t="shared" si="23"/>
        <v>0</v>
      </c>
      <c r="CA20" s="17">
        <f t="shared" si="24"/>
        <v>0</v>
      </c>
      <c r="CB20" s="17">
        <f t="shared" si="25"/>
        <v>0</v>
      </c>
      <c r="CC20" s="17">
        <f t="shared" si="26"/>
        <v>0</v>
      </c>
      <c r="CD20" s="17">
        <f t="shared" si="27"/>
        <v>0</v>
      </c>
      <c r="CE20" s="18"/>
      <c r="CH20" s="61">
        <v>0</v>
      </c>
      <c r="CI20" s="61">
        <v>0</v>
      </c>
      <c r="CJ20" s="61">
        <v>0</v>
      </c>
      <c r="CK20" s="61">
        <v>0</v>
      </c>
      <c r="CL20" s="61">
        <v>0</v>
      </c>
      <c r="CM20" s="61">
        <v>7</v>
      </c>
      <c r="CN20" s="62">
        <v>0</v>
      </c>
      <c r="CO20" s="62">
        <v>0</v>
      </c>
      <c r="CP20" s="62">
        <v>0</v>
      </c>
      <c r="CQ20" s="62">
        <v>0</v>
      </c>
      <c r="CR20" s="63">
        <f t="shared" si="28"/>
        <v>7</v>
      </c>
    </row>
    <row r="21" spans="1:96" s="19" customFormat="1" ht="22.5" customHeight="1" x14ac:dyDescent="0.25">
      <c r="A21" s="7">
        <v>12</v>
      </c>
      <c r="B21" s="8" t="s">
        <v>46</v>
      </c>
      <c r="C21" s="103" t="s">
        <v>47</v>
      </c>
      <c r="D21" s="104">
        <v>45498</v>
      </c>
      <c r="E21" s="66">
        <v>0.35625000000000001</v>
      </c>
      <c r="F21" s="93">
        <v>1</v>
      </c>
      <c r="G21" s="76" t="s">
        <v>100</v>
      </c>
      <c r="H21" s="76" t="s">
        <v>100</v>
      </c>
      <c r="I21" s="82" t="s">
        <v>15</v>
      </c>
      <c r="J21" s="82" t="s">
        <v>15</v>
      </c>
      <c r="K21" s="76" t="s">
        <v>100</v>
      </c>
      <c r="L21" s="76" t="s">
        <v>100</v>
      </c>
      <c r="M21" s="76" t="s">
        <v>100</v>
      </c>
      <c r="N21" s="76" t="s">
        <v>100</v>
      </c>
      <c r="O21" s="66">
        <v>0.37638888888888888</v>
      </c>
      <c r="P21" s="66">
        <v>0.95000000000000007</v>
      </c>
      <c r="Q21" s="66">
        <v>0.3611111111111111</v>
      </c>
      <c r="R21" s="66">
        <v>0.9458333333333333</v>
      </c>
      <c r="S21" s="66">
        <v>0.35694444444444445</v>
      </c>
      <c r="T21" s="66">
        <v>0.95486111111111116</v>
      </c>
      <c r="U21" s="66">
        <v>0.3520833333333333</v>
      </c>
      <c r="V21" s="66">
        <v>0.9555555555555556</v>
      </c>
      <c r="W21" s="94">
        <v>0.57916666666666672</v>
      </c>
      <c r="X21" s="94">
        <v>0.95277777777777783</v>
      </c>
      <c r="Y21" s="66">
        <v>0.3520833333333333</v>
      </c>
      <c r="Z21" s="66">
        <v>0.93888888888888899</v>
      </c>
      <c r="AA21" s="66">
        <v>0.34930555555555554</v>
      </c>
      <c r="AB21" s="66">
        <v>0.94374999999999998</v>
      </c>
      <c r="AC21" s="66">
        <v>0.34791666666666665</v>
      </c>
      <c r="AD21" s="66">
        <v>0.9770833333333333</v>
      </c>
      <c r="AE21" s="66">
        <v>0.3527777777777778</v>
      </c>
      <c r="AF21" s="66">
        <v>0.95277777777777783</v>
      </c>
      <c r="AG21" s="66">
        <v>0.3527777777777778</v>
      </c>
      <c r="AH21" s="66">
        <v>0.9555555555555556</v>
      </c>
      <c r="AI21" s="102"/>
      <c r="AJ21" s="7">
        <v>12</v>
      </c>
      <c r="AK21" s="115">
        <v>46219.349282407406</v>
      </c>
      <c r="AL21" s="115">
        <v>46219.967361111114</v>
      </c>
      <c r="AM21" s="119" t="s">
        <v>15</v>
      </c>
      <c r="AN21" s="119" t="s">
        <v>15</v>
      </c>
      <c r="AO21" s="115">
        <v>46221.350115740737</v>
      </c>
      <c r="AP21" s="115">
        <v>46221.968124999999</v>
      </c>
      <c r="AQ21" s="115">
        <v>46222.352870370371</v>
      </c>
      <c r="AR21" s="115">
        <v>46222.948240740741</v>
      </c>
      <c r="AS21" s="115">
        <v>46223.351666666669</v>
      </c>
      <c r="AT21" s="115">
        <v>46223.950277777774</v>
      </c>
      <c r="AU21" s="115">
        <v>46224.348298611112</v>
      </c>
      <c r="AV21" s="115">
        <v>46224.961851851855</v>
      </c>
      <c r="AW21" s="115">
        <v>46225.351238425923</v>
      </c>
      <c r="AX21" s="115">
        <v>46225.947384259256</v>
      </c>
      <c r="AY21" s="115">
        <v>46226.328541666669</v>
      </c>
      <c r="AZ21" s="115">
        <v>46226.954143518517</v>
      </c>
      <c r="BA21" s="115">
        <v>46227.578530092593</v>
      </c>
      <c r="BB21" s="115">
        <v>46227.95888888889</v>
      </c>
      <c r="BC21" s="122" t="s">
        <v>16</v>
      </c>
      <c r="BD21" s="122" t="s">
        <v>16</v>
      </c>
      <c r="BE21" s="115">
        <v>46229.348912037036</v>
      </c>
      <c r="BF21" s="115">
        <v>46229.944872685184</v>
      </c>
      <c r="BG21" s="115">
        <v>46230.34814814815</v>
      </c>
      <c r="BH21" s="115">
        <v>46230.947997685187</v>
      </c>
      <c r="BI21" s="115">
        <v>46231.349965277775</v>
      </c>
      <c r="BJ21" s="115">
        <v>46231.939062500001</v>
      </c>
      <c r="BK21" s="115">
        <v>46232.347627314812</v>
      </c>
      <c r="BL21" s="118">
        <v>46232.956041666665</v>
      </c>
      <c r="BM21" s="116">
        <v>46233.348067129627</v>
      </c>
      <c r="BN21" s="115">
        <v>46233.958425925928</v>
      </c>
      <c r="BO21" s="119" t="s">
        <v>15</v>
      </c>
      <c r="BP21" s="119" t="s">
        <v>15</v>
      </c>
      <c r="BQ21" s="15">
        <f t="shared" si="15"/>
        <v>31</v>
      </c>
      <c r="BR21" s="54">
        <v>2</v>
      </c>
      <c r="BS21" s="16">
        <f t="shared" si="16"/>
        <v>24</v>
      </c>
      <c r="BT21" s="17">
        <f t="shared" si="17"/>
        <v>3</v>
      </c>
      <c r="BU21" s="17">
        <f t="shared" si="18"/>
        <v>1</v>
      </c>
      <c r="BV21" s="17">
        <f t="shared" si="19"/>
        <v>0</v>
      </c>
      <c r="BW21" s="17">
        <f t="shared" si="20"/>
        <v>0</v>
      </c>
      <c r="BX21" s="17">
        <f t="shared" si="21"/>
        <v>0</v>
      </c>
      <c r="BY21" s="17">
        <f t="shared" si="22"/>
        <v>0</v>
      </c>
      <c r="BZ21" s="17">
        <f t="shared" si="23"/>
        <v>3</v>
      </c>
      <c r="CA21" s="17">
        <f t="shared" si="24"/>
        <v>0</v>
      </c>
      <c r="CB21" s="17">
        <f t="shared" si="25"/>
        <v>0</v>
      </c>
      <c r="CC21" s="17">
        <f t="shared" si="26"/>
        <v>0</v>
      </c>
      <c r="CD21" s="17">
        <f t="shared" si="27"/>
        <v>0</v>
      </c>
      <c r="CE21" s="18"/>
      <c r="CH21" s="61">
        <v>0</v>
      </c>
      <c r="CI21" s="61">
        <v>0</v>
      </c>
      <c r="CJ21" s="61">
        <v>0</v>
      </c>
      <c r="CK21" s="61">
        <v>0</v>
      </c>
      <c r="CL21" s="61">
        <v>0</v>
      </c>
      <c r="CM21" s="61">
        <v>22</v>
      </c>
      <c r="CN21" s="62">
        <v>0</v>
      </c>
      <c r="CO21" s="62">
        <v>1</v>
      </c>
      <c r="CP21" s="62">
        <v>0</v>
      </c>
      <c r="CQ21" s="62">
        <v>0</v>
      </c>
      <c r="CR21" s="63">
        <f t="shared" si="28"/>
        <v>23</v>
      </c>
    </row>
    <row r="22" spans="1:96" s="19" customFormat="1" ht="22.5" customHeight="1" x14ac:dyDescent="0.25">
      <c r="A22" s="7">
        <v>13</v>
      </c>
      <c r="B22" s="8" t="s">
        <v>48</v>
      </c>
      <c r="C22" s="103" t="s">
        <v>49</v>
      </c>
      <c r="D22" s="104">
        <v>45536</v>
      </c>
      <c r="E22" s="66">
        <v>0.33888888888888885</v>
      </c>
      <c r="F22" s="66">
        <v>0.96180555555555547</v>
      </c>
      <c r="G22" s="66">
        <v>0.34513888888888888</v>
      </c>
      <c r="H22" s="93">
        <v>1</v>
      </c>
      <c r="I22" s="82" t="s">
        <v>15</v>
      </c>
      <c r="J22" s="82" t="s">
        <v>15</v>
      </c>
      <c r="K22" s="66">
        <v>0.33263888888888887</v>
      </c>
      <c r="L22" s="66">
        <v>0.33333333333333331</v>
      </c>
      <c r="M22" s="66">
        <v>0.35694444444444445</v>
      </c>
      <c r="N22" s="66">
        <v>0.95833333333333337</v>
      </c>
      <c r="O22" s="66">
        <v>0.35833333333333334</v>
      </c>
      <c r="P22" s="66">
        <v>0.95277777777777783</v>
      </c>
      <c r="Q22" s="66">
        <v>0.60347222222222219</v>
      </c>
      <c r="R22" s="93">
        <v>1</v>
      </c>
      <c r="S22" s="66">
        <v>0.33680555555555558</v>
      </c>
      <c r="T22" s="93">
        <v>1</v>
      </c>
      <c r="U22" s="66">
        <v>0.35486111111111113</v>
      </c>
      <c r="V22" s="93">
        <v>1</v>
      </c>
      <c r="W22" s="94">
        <v>0.58194444444444449</v>
      </c>
      <c r="X22" s="94">
        <v>0.95416666666666661</v>
      </c>
      <c r="Y22" s="66">
        <v>0.35416666666666669</v>
      </c>
      <c r="Z22" s="66">
        <v>0.96805555555555556</v>
      </c>
      <c r="AA22" s="66">
        <v>0.35000000000000003</v>
      </c>
      <c r="AB22" s="66">
        <v>0.95486111111111116</v>
      </c>
      <c r="AC22" s="66">
        <v>0.3430555555555555</v>
      </c>
      <c r="AD22" s="66">
        <v>0.94861111111111107</v>
      </c>
      <c r="AE22" s="66">
        <v>0.4236111111111111</v>
      </c>
      <c r="AF22" s="93">
        <v>1</v>
      </c>
      <c r="AG22" s="66">
        <v>0.3527777777777778</v>
      </c>
      <c r="AH22" s="93">
        <v>1</v>
      </c>
      <c r="AI22" s="96"/>
      <c r="AJ22" s="7">
        <v>13</v>
      </c>
      <c r="AK22" s="115">
        <v>46219.352199074077</v>
      </c>
      <c r="AL22" s="115">
        <v>1</v>
      </c>
      <c r="AM22" s="119" t="s">
        <v>15</v>
      </c>
      <c r="AN22" s="119" t="s">
        <v>15</v>
      </c>
      <c r="AO22" s="115">
        <v>46221.339849537035</v>
      </c>
      <c r="AP22" s="115">
        <v>46221.971539351849</v>
      </c>
      <c r="AQ22" s="115">
        <v>46222.353587962964</v>
      </c>
      <c r="AR22" s="115">
        <v>46222.948599537034</v>
      </c>
      <c r="AS22" s="115">
        <v>46223.353726851848</v>
      </c>
      <c r="AT22" s="115">
        <v>1</v>
      </c>
      <c r="AU22" s="115">
        <v>46224.351400462961</v>
      </c>
      <c r="AV22" s="115">
        <v>46224.958368055559</v>
      </c>
      <c r="AW22" s="115">
        <v>46225.354583333334</v>
      </c>
      <c r="AX22" s="115">
        <v>1</v>
      </c>
      <c r="AY22" s="115">
        <v>46226.404733796298</v>
      </c>
      <c r="AZ22" s="115">
        <v>46226.974895833337</v>
      </c>
      <c r="BA22" s="115">
        <v>46227.580312500002</v>
      </c>
      <c r="BB22" s="115">
        <v>46227.953634259262</v>
      </c>
      <c r="BC22" s="115">
        <v>46228.339131944442</v>
      </c>
      <c r="BD22" s="115">
        <v>1</v>
      </c>
      <c r="BE22" s="115" t="s">
        <v>121</v>
      </c>
      <c r="BF22" s="115" t="s">
        <v>121</v>
      </c>
      <c r="BG22" s="115">
        <v>46230.350983796299</v>
      </c>
      <c r="BH22" s="115">
        <v>46230.948969907404</v>
      </c>
      <c r="BI22" s="115">
        <v>46231.353055555555</v>
      </c>
      <c r="BJ22" s="115">
        <v>46231.954270833332</v>
      </c>
      <c r="BK22" s="115">
        <v>46232.322754629633</v>
      </c>
      <c r="BL22" s="120">
        <v>1</v>
      </c>
      <c r="BM22" s="116">
        <v>46233.321226851855</v>
      </c>
      <c r="BN22" s="115">
        <v>46233.797106481485</v>
      </c>
      <c r="BO22" s="119" t="s">
        <v>15</v>
      </c>
      <c r="BP22" s="119" t="s">
        <v>15</v>
      </c>
      <c r="BQ22" s="15">
        <f>BS22+BT22+BU22+BV22+CA22+BY22+BZ22+CD22</f>
        <v>31</v>
      </c>
      <c r="BR22" s="54">
        <v>2</v>
      </c>
      <c r="BS22" s="16">
        <f>COUNT(E22:AH22)/2+COUNT(AK22:BP22)/2</f>
        <v>27</v>
      </c>
      <c r="BT22" s="17">
        <f t="shared" si="17"/>
        <v>3</v>
      </c>
      <c r="BU22" s="17">
        <f t="shared" si="18"/>
        <v>0</v>
      </c>
      <c r="BV22" s="17">
        <f t="shared" si="19"/>
        <v>0</v>
      </c>
      <c r="BW22" s="17">
        <f t="shared" si="20"/>
        <v>0</v>
      </c>
      <c r="BX22" s="17">
        <f t="shared" si="21"/>
        <v>0</v>
      </c>
      <c r="BY22" s="17">
        <f t="shared" si="22"/>
        <v>0</v>
      </c>
      <c r="BZ22" s="17">
        <f t="shared" si="23"/>
        <v>1</v>
      </c>
      <c r="CA22" s="17">
        <f t="shared" si="24"/>
        <v>0</v>
      </c>
      <c r="CB22" s="17">
        <f t="shared" si="25"/>
        <v>0</v>
      </c>
      <c r="CC22" s="17">
        <f t="shared" si="26"/>
        <v>0</v>
      </c>
      <c r="CD22" s="17">
        <f t="shared" si="27"/>
        <v>0</v>
      </c>
      <c r="CE22" s="18"/>
      <c r="CH22" s="60">
        <v>0</v>
      </c>
      <c r="CI22" s="60">
        <v>0</v>
      </c>
      <c r="CJ22" s="60">
        <v>0</v>
      </c>
      <c r="CK22" s="60">
        <v>0</v>
      </c>
      <c r="CL22" s="60">
        <v>0</v>
      </c>
      <c r="CM22" s="59">
        <v>5</v>
      </c>
      <c r="CN22" s="60">
        <v>0</v>
      </c>
      <c r="CO22" s="60">
        <v>0</v>
      </c>
      <c r="CP22" s="60">
        <v>0</v>
      </c>
      <c r="CQ22" s="60">
        <v>0</v>
      </c>
      <c r="CR22" s="64">
        <f t="shared" si="28"/>
        <v>5</v>
      </c>
    </row>
    <row r="23" spans="1:96" s="19" customFormat="1" ht="22.5" customHeight="1" x14ac:dyDescent="0.25">
      <c r="A23" s="7">
        <v>14</v>
      </c>
      <c r="B23" s="8" t="s">
        <v>97</v>
      </c>
      <c r="C23" s="103" t="s">
        <v>98</v>
      </c>
      <c r="D23" s="104">
        <v>45614</v>
      </c>
      <c r="E23" s="66">
        <v>0.32708333333333334</v>
      </c>
      <c r="F23" s="66">
        <v>0.86111111111111116</v>
      </c>
      <c r="G23" s="66">
        <v>0.85625000000000007</v>
      </c>
      <c r="H23" s="66">
        <v>0.85625000000000007</v>
      </c>
      <c r="I23" s="94">
        <v>0.85138888888888886</v>
      </c>
      <c r="J23" s="94">
        <v>0.85138888888888886</v>
      </c>
      <c r="K23" s="66">
        <v>0.35000000000000003</v>
      </c>
      <c r="L23" s="66">
        <v>0.8520833333333333</v>
      </c>
      <c r="M23" s="66">
        <v>0.49027777777777781</v>
      </c>
      <c r="N23" s="66">
        <v>0.85555555555555562</v>
      </c>
      <c r="O23" s="66">
        <v>0.35625000000000001</v>
      </c>
      <c r="P23" s="66">
        <v>0.85069444444444453</v>
      </c>
      <c r="Q23" s="66">
        <v>0.35347222222222219</v>
      </c>
      <c r="R23" s="66">
        <v>0.85138888888888886</v>
      </c>
      <c r="S23" s="66">
        <v>0.3743055555555555</v>
      </c>
      <c r="T23" s="66">
        <v>0.84652777777777777</v>
      </c>
      <c r="U23" s="66">
        <v>0.38750000000000001</v>
      </c>
      <c r="V23" s="93">
        <v>1</v>
      </c>
      <c r="W23" s="94">
        <v>0.56319444444444444</v>
      </c>
      <c r="X23" s="94">
        <v>0.87291666666666667</v>
      </c>
      <c r="Y23" s="66">
        <v>0.32222222222222224</v>
      </c>
      <c r="Z23" s="66">
        <v>0.90208333333333324</v>
      </c>
      <c r="AA23" s="66">
        <v>0.33958333333333335</v>
      </c>
      <c r="AB23" s="66">
        <v>0.90972222222222221</v>
      </c>
      <c r="AC23" s="66">
        <v>0.34027777777777773</v>
      </c>
      <c r="AD23" s="93">
        <v>1</v>
      </c>
      <c r="AE23" s="66">
        <v>0.32777777777777778</v>
      </c>
      <c r="AF23" s="66">
        <v>0.99513888888888891</v>
      </c>
      <c r="AG23" s="66">
        <v>0.32708333333333334</v>
      </c>
      <c r="AH23" s="66">
        <v>0.90763888888888899</v>
      </c>
      <c r="AI23" s="96"/>
      <c r="AJ23" s="7">
        <v>14</v>
      </c>
      <c r="AK23" s="115">
        <v>46219.333599537036</v>
      </c>
      <c r="AL23" s="115">
        <v>1</v>
      </c>
      <c r="AM23" s="115">
        <v>1</v>
      </c>
      <c r="AN23" s="115">
        <v>46220.871793981481</v>
      </c>
      <c r="AO23" s="115">
        <v>46221.335023148145</v>
      </c>
      <c r="AP23" s="115">
        <v>46221.907476851855</v>
      </c>
      <c r="AQ23" s="115">
        <v>46222.320821759262</v>
      </c>
      <c r="AR23" s="115">
        <v>46222.873194444444</v>
      </c>
      <c r="AS23" s="115">
        <v>46223.333229166667</v>
      </c>
      <c r="AT23" s="115">
        <v>46223.882627314815</v>
      </c>
      <c r="AU23" s="115">
        <v>46224.335474537038</v>
      </c>
      <c r="AV23" s="115">
        <v>1</v>
      </c>
      <c r="AW23" s="115">
        <v>46225.336099537039</v>
      </c>
      <c r="AX23" s="115">
        <v>1</v>
      </c>
      <c r="AY23" s="115">
        <v>46226.353518518517</v>
      </c>
      <c r="AZ23" s="115">
        <v>46226.911504629628</v>
      </c>
      <c r="BA23" s="115">
        <v>46227.547430555554</v>
      </c>
      <c r="BB23" s="115">
        <v>46227.896550925929</v>
      </c>
      <c r="BC23" s="115">
        <v>46228.326354166667</v>
      </c>
      <c r="BD23" s="115">
        <v>1</v>
      </c>
      <c r="BE23" s="115">
        <v>46229.310868055552</v>
      </c>
      <c r="BF23" s="115">
        <v>46229.892581018517</v>
      </c>
      <c r="BG23" s="115">
        <v>46230.300081018519</v>
      </c>
      <c r="BH23" s="115">
        <v>46230.884351851855</v>
      </c>
      <c r="BI23" s="115">
        <v>46231.30810185185</v>
      </c>
      <c r="BJ23" s="115">
        <v>46231.904606481483</v>
      </c>
      <c r="BK23" s="115">
        <v>46232.315682870372</v>
      </c>
      <c r="BL23" s="118">
        <v>46232.897766203707</v>
      </c>
      <c r="BM23" s="116">
        <v>46233.313240740739</v>
      </c>
      <c r="BN23" s="115">
        <v>46233.916643518518</v>
      </c>
      <c r="BO23" s="115">
        <v>46234.553136574075</v>
      </c>
      <c r="BP23" s="118">
        <v>46234.876793981479</v>
      </c>
      <c r="BQ23" s="15">
        <f t="shared" si="15"/>
        <v>31</v>
      </c>
      <c r="BR23" s="54">
        <v>5</v>
      </c>
      <c r="BS23" s="16">
        <f t="shared" si="16"/>
        <v>31</v>
      </c>
      <c r="BT23" s="17">
        <f t="shared" si="17"/>
        <v>0</v>
      </c>
      <c r="BU23" s="17">
        <f t="shared" si="18"/>
        <v>0</v>
      </c>
      <c r="BV23" s="17">
        <f t="shared" si="19"/>
        <v>0</v>
      </c>
      <c r="BW23" s="17">
        <f t="shared" si="20"/>
        <v>0</v>
      </c>
      <c r="BX23" s="17">
        <f t="shared" si="21"/>
        <v>0</v>
      </c>
      <c r="BY23" s="17">
        <f t="shared" si="22"/>
        <v>0</v>
      </c>
      <c r="BZ23" s="17">
        <f t="shared" si="23"/>
        <v>0</v>
      </c>
      <c r="CA23" s="17">
        <f t="shared" si="24"/>
        <v>0</v>
      </c>
      <c r="CB23" s="17">
        <f t="shared" si="25"/>
        <v>0</v>
      </c>
      <c r="CC23" s="17">
        <f t="shared" si="26"/>
        <v>0</v>
      </c>
      <c r="CD23" s="17">
        <f t="shared" si="27"/>
        <v>0</v>
      </c>
      <c r="CE23" s="18"/>
      <c r="CH23" s="61">
        <v>0</v>
      </c>
      <c r="CI23" s="61">
        <v>0</v>
      </c>
      <c r="CJ23" s="61">
        <v>32</v>
      </c>
      <c r="CK23" s="61">
        <v>0</v>
      </c>
      <c r="CL23" s="61">
        <v>0</v>
      </c>
      <c r="CM23" s="61">
        <v>5</v>
      </c>
      <c r="CN23" s="61">
        <v>0</v>
      </c>
      <c r="CO23" s="61">
        <v>0</v>
      </c>
      <c r="CP23" s="61">
        <v>0</v>
      </c>
      <c r="CQ23" s="61">
        <v>0</v>
      </c>
      <c r="CR23" s="61">
        <f t="shared" si="28"/>
        <v>37</v>
      </c>
    </row>
    <row r="24" spans="1:96" s="19" customFormat="1" ht="22.5" customHeight="1" x14ac:dyDescent="0.25">
      <c r="A24" s="7">
        <v>15</v>
      </c>
      <c r="B24" s="8" t="s">
        <v>52</v>
      </c>
      <c r="C24" s="103" t="s">
        <v>53</v>
      </c>
      <c r="D24" s="104">
        <v>45653</v>
      </c>
      <c r="E24" s="66">
        <v>0.34166666666666662</v>
      </c>
      <c r="F24" s="66">
        <v>0.84791666666666676</v>
      </c>
      <c r="G24" s="66">
        <v>0.34236111111111112</v>
      </c>
      <c r="H24" s="66">
        <v>0.34236111111111112</v>
      </c>
      <c r="I24" s="82" t="s">
        <v>15</v>
      </c>
      <c r="J24" s="82" t="s">
        <v>15</v>
      </c>
      <c r="K24" s="66">
        <v>0.3354166666666667</v>
      </c>
      <c r="L24" s="66">
        <v>0.8354166666666667</v>
      </c>
      <c r="M24" s="66">
        <v>0.33055555555555555</v>
      </c>
      <c r="N24" s="66">
        <v>0.85069444444444453</v>
      </c>
      <c r="O24" s="66">
        <v>0.32500000000000001</v>
      </c>
      <c r="P24" s="93">
        <v>1</v>
      </c>
      <c r="Q24" s="66">
        <v>0.34513888888888888</v>
      </c>
      <c r="R24" s="66">
        <v>3.4722222222222224E-2</v>
      </c>
      <c r="S24" s="66">
        <v>0.3298611111111111</v>
      </c>
      <c r="T24" s="93">
        <v>1</v>
      </c>
      <c r="U24" s="66">
        <v>0.3430555555555555</v>
      </c>
      <c r="V24" s="93">
        <v>1</v>
      </c>
      <c r="W24" s="94">
        <v>0.56388888888888888</v>
      </c>
      <c r="X24" s="95">
        <v>1</v>
      </c>
      <c r="Y24" s="76" t="s">
        <v>100</v>
      </c>
      <c r="Z24" s="76" t="s">
        <v>100</v>
      </c>
      <c r="AA24" s="66">
        <v>0.35000000000000003</v>
      </c>
      <c r="AB24" s="93">
        <v>1</v>
      </c>
      <c r="AC24" s="66">
        <v>0.35138888888888892</v>
      </c>
      <c r="AD24" s="93">
        <v>1</v>
      </c>
      <c r="AE24" s="66">
        <v>0.36249999999999999</v>
      </c>
      <c r="AF24" s="93">
        <v>1</v>
      </c>
      <c r="AG24" s="66">
        <v>0.3444444444444445</v>
      </c>
      <c r="AH24" s="93">
        <v>1</v>
      </c>
      <c r="AI24" s="102"/>
      <c r="AJ24" s="7">
        <v>15</v>
      </c>
      <c r="AK24" s="115">
        <v>46219.35428240741</v>
      </c>
      <c r="AL24" s="115">
        <v>46219.951574074075</v>
      </c>
      <c r="AM24" s="119" t="s">
        <v>15</v>
      </c>
      <c r="AN24" s="119" t="s">
        <v>15</v>
      </c>
      <c r="AO24" s="115">
        <v>46221.351770833331</v>
      </c>
      <c r="AP24" s="115">
        <v>1</v>
      </c>
      <c r="AQ24" s="115">
        <v>46222.386423611111</v>
      </c>
      <c r="AR24" s="115">
        <v>1</v>
      </c>
      <c r="AS24" s="115">
        <v>46223.351354166669</v>
      </c>
      <c r="AT24" s="115">
        <v>1</v>
      </c>
      <c r="AU24" s="115">
        <v>46224.350821759261</v>
      </c>
      <c r="AV24" s="115">
        <v>1</v>
      </c>
      <c r="AW24" s="115">
        <v>46225.346932870372</v>
      </c>
      <c r="AX24" s="115">
        <v>1</v>
      </c>
      <c r="AY24" s="115">
        <v>46226.391134259262</v>
      </c>
      <c r="AZ24" s="115">
        <v>1</v>
      </c>
      <c r="BA24" s="115">
        <v>46227.554976851854</v>
      </c>
      <c r="BB24" s="115">
        <v>1</v>
      </c>
      <c r="BC24" s="115">
        <v>46228.330231481479</v>
      </c>
      <c r="BD24" s="115">
        <v>1</v>
      </c>
      <c r="BE24" s="115">
        <v>46229.340428240743</v>
      </c>
      <c r="BF24" s="115">
        <v>1</v>
      </c>
      <c r="BG24" s="115">
        <v>46230.333518518521</v>
      </c>
      <c r="BH24" s="115">
        <v>1</v>
      </c>
      <c r="BI24" s="115">
        <v>46231.335740740738</v>
      </c>
      <c r="BJ24" s="115">
        <v>1</v>
      </c>
      <c r="BK24" s="115">
        <v>46232.332268518519</v>
      </c>
      <c r="BL24" s="120">
        <v>1</v>
      </c>
      <c r="BM24" s="116">
        <v>46233.329965277779</v>
      </c>
      <c r="BN24" s="117">
        <v>1</v>
      </c>
      <c r="BO24" s="119" t="s">
        <v>15</v>
      </c>
      <c r="BP24" s="119" t="s">
        <v>15</v>
      </c>
      <c r="BQ24" s="15">
        <f>BS24+BT24+BU24+BV24+CA24+BY24+BZ24+CD24</f>
        <v>31</v>
      </c>
      <c r="BR24" s="54">
        <v>2</v>
      </c>
      <c r="BS24" s="16">
        <f t="shared" si="16"/>
        <v>27</v>
      </c>
      <c r="BT24" s="17">
        <f t="shared" si="17"/>
        <v>3</v>
      </c>
      <c r="BU24" s="17">
        <f t="shared" si="18"/>
        <v>0</v>
      </c>
      <c r="BV24" s="17">
        <f t="shared" si="19"/>
        <v>0</v>
      </c>
      <c r="BW24" s="17">
        <f t="shared" si="20"/>
        <v>0</v>
      </c>
      <c r="BX24" s="17">
        <f t="shared" si="21"/>
        <v>0</v>
      </c>
      <c r="BY24" s="17">
        <f t="shared" si="22"/>
        <v>0</v>
      </c>
      <c r="BZ24" s="17">
        <f t="shared" si="23"/>
        <v>1</v>
      </c>
      <c r="CA24" s="17">
        <f t="shared" si="24"/>
        <v>0</v>
      </c>
      <c r="CB24" s="17">
        <f t="shared" si="25"/>
        <v>0</v>
      </c>
      <c r="CC24" s="17">
        <f t="shared" si="26"/>
        <v>0</v>
      </c>
      <c r="CD24" s="17">
        <f t="shared" si="27"/>
        <v>0</v>
      </c>
      <c r="CE24" s="18"/>
      <c r="CH24" s="60">
        <v>0</v>
      </c>
      <c r="CI24" s="60">
        <v>0</v>
      </c>
      <c r="CJ24" s="60">
        <v>0</v>
      </c>
      <c r="CK24" s="60">
        <v>0</v>
      </c>
      <c r="CL24" s="60">
        <v>0</v>
      </c>
      <c r="CM24" s="59">
        <v>12</v>
      </c>
      <c r="CN24" s="60">
        <v>1</v>
      </c>
      <c r="CO24" s="59">
        <v>4</v>
      </c>
      <c r="CP24" s="59">
        <v>0</v>
      </c>
      <c r="CQ24" s="59">
        <v>0</v>
      </c>
      <c r="CR24" s="64">
        <f t="shared" si="28"/>
        <v>17</v>
      </c>
    </row>
    <row r="25" spans="1:96" s="19" customFormat="1" ht="22.5" customHeight="1" x14ac:dyDescent="0.25">
      <c r="A25" s="7">
        <v>16</v>
      </c>
      <c r="B25" s="8" t="s">
        <v>54</v>
      </c>
      <c r="C25" s="103" t="s">
        <v>106</v>
      </c>
      <c r="D25" s="104">
        <v>45723</v>
      </c>
      <c r="E25" s="66">
        <v>0.35416666666666669</v>
      </c>
      <c r="F25" s="66">
        <v>0.96111111111111114</v>
      </c>
      <c r="G25" s="66">
        <v>0.35486111111111113</v>
      </c>
      <c r="H25" s="66">
        <v>0.9819444444444444</v>
      </c>
      <c r="I25" s="82" t="s">
        <v>15</v>
      </c>
      <c r="J25" s="82" t="s">
        <v>15</v>
      </c>
      <c r="K25" s="66">
        <v>0.35416666666666669</v>
      </c>
      <c r="L25" s="66">
        <v>0.97222222222222221</v>
      </c>
      <c r="M25" s="66">
        <v>0.35694444444444445</v>
      </c>
      <c r="N25" s="66">
        <v>0.95972222222222225</v>
      </c>
      <c r="O25" s="66">
        <v>0.3576388888888889</v>
      </c>
      <c r="P25" s="66">
        <v>0.95624999999999993</v>
      </c>
      <c r="Q25" s="66">
        <v>0.35694444444444445</v>
      </c>
      <c r="R25" s="66">
        <v>0.95138888888888884</v>
      </c>
      <c r="S25" s="66">
        <v>0.35694444444444445</v>
      </c>
      <c r="T25" s="66">
        <v>0.95763888888888893</v>
      </c>
      <c r="U25" s="66">
        <v>0.35486111111111113</v>
      </c>
      <c r="V25" s="66">
        <v>0.97569444444444453</v>
      </c>
      <c r="W25" s="94">
        <v>0.58194444444444449</v>
      </c>
      <c r="X25" s="94">
        <v>0.9555555555555556</v>
      </c>
      <c r="Y25" s="66">
        <v>0.35416666666666669</v>
      </c>
      <c r="Z25" s="66">
        <v>0.96805555555555556</v>
      </c>
      <c r="AA25" s="66">
        <v>0.34930555555555554</v>
      </c>
      <c r="AB25" s="66">
        <v>0.9555555555555556</v>
      </c>
      <c r="AC25" s="66">
        <v>0.35347222222222219</v>
      </c>
      <c r="AD25" s="66">
        <v>0.94930555555555562</v>
      </c>
      <c r="AE25" s="66">
        <v>0.35625000000000001</v>
      </c>
      <c r="AF25" s="66">
        <v>0.9555555555555556</v>
      </c>
      <c r="AG25" s="66">
        <v>0.3527777777777778</v>
      </c>
      <c r="AH25" s="66">
        <v>0.95624999999999993</v>
      </c>
      <c r="AI25" s="102"/>
      <c r="AJ25" s="7">
        <v>16</v>
      </c>
      <c r="AK25" s="115">
        <v>46219.351944444446</v>
      </c>
      <c r="AL25" s="115">
        <v>46219.97896990741</v>
      </c>
      <c r="AM25" s="119" t="s">
        <v>15</v>
      </c>
      <c r="AN25" s="119" t="s">
        <v>15</v>
      </c>
      <c r="AO25" s="115">
        <v>46221.353217592594</v>
      </c>
      <c r="AP25" s="115">
        <v>46221.972372685188</v>
      </c>
      <c r="AQ25" s="115">
        <v>46222.354456018518</v>
      </c>
      <c r="AR25" s="115">
        <v>46222.949282407404</v>
      </c>
      <c r="AS25" s="115">
        <v>46223.353414351855</v>
      </c>
      <c r="AT25" s="115">
        <v>1</v>
      </c>
      <c r="AU25" s="115">
        <v>46224.351701388892</v>
      </c>
      <c r="AV25" s="115">
        <v>1</v>
      </c>
      <c r="AW25" s="115">
        <v>46225.354143518518</v>
      </c>
      <c r="AX25" s="115">
        <v>1</v>
      </c>
      <c r="AY25" s="115">
        <v>46226.347511574073</v>
      </c>
      <c r="AZ25" s="115">
        <v>1</v>
      </c>
      <c r="BA25" s="115">
        <v>46227.580370370371</v>
      </c>
      <c r="BB25" s="115">
        <v>46227.950960648152</v>
      </c>
      <c r="BC25" s="115">
        <v>46228.351655092592</v>
      </c>
      <c r="BD25" s="115">
        <v>1</v>
      </c>
      <c r="BE25" s="115">
        <v>46229.349849537037</v>
      </c>
      <c r="BF25" s="115">
        <v>1</v>
      </c>
      <c r="BG25" s="115">
        <v>46230.350358796299</v>
      </c>
      <c r="BH25" s="115">
        <v>1</v>
      </c>
      <c r="BI25" s="115">
        <v>46231.35297453704</v>
      </c>
      <c r="BJ25" s="115">
        <v>46231.955081018517</v>
      </c>
      <c r="BK25" s="115">
        <v>46232.350057870368</v>
      </c>
      <c r="BL25" s="118">
        <v>46232.954699074071</v>
      </c>
      <c r="BM25" s="116">
        <v>46233.349849537037</v>
      </c>
      <c r="BN25" s="117">
        <v>1</v>
      </c>
      <c r="BO25" s="115">
        <v>46234.580370370371</v>
      </c>
      <c r="BP25" s="118">
        <v>1</v>
      </c>
      <c r="BQ25" s="15">
        <f t="shared" si="15"/>
        <v>31</v>
      </c>
      <c r="BR25" s="54">
        <v>3</v>
      </c>
      <c r="BS25" s="16">
        <f t="shared" si="16"/>
        <v>29</v>
      </c>
      <c r="BT25" s="17">
        <f t="shared" si="17"/>
        <v>2</v>
      </c>
      <c r="BU25" s="17">
        <f t="shared" si="18"/>
        <v>0</v>
      </c>
      <c r="BV25" s="17">
        <f t="shared" si="19"/>
        <v>0</v>
      </c>
      <c r="BW25" s="17">
        <f t="shared" si="20"/>
        <v>0</v>
      </c>
      <c r="BX25" s="17">
        <f t="shared" si="21"/>
        <v>0</v>
      </c>
      <c r="BY25" s="17">
        <f t="shared" si="22"/>
        <v>0</v>
      </c>
      <c r="BZ25" s="17">
        <f t="shared" si="23"/>
        <v>0</v>
      </c>
      <c r="CA25" s="17">
        <f t="shared" si="24"/>
        <v>0</v>
      </c>
      <c r="CB25" s="17">
        <f t="shared" si="25"/>
        <v>0</v>
      </c>
      <c r="CC25" s="17">
        <f t="shared" si="26"/>
        <v>0</v>
      </c>
      <c r="CD25" s="17">
        <f t="shared" si="27"/>
        <v>0</v>
      </c>
      <c r="CE25" s="18"/>
      <c r="CH25" s="61">
        <v>0</v>
      </c>
      <c r="CI25" s="61">
        <v>0</v>
      </c>
      <c r="CJ25" s="61">
        <v>0</v>
      </c>
      <c r="CK25" s="61">
        <v>0</v>
      </c>
      <c r="CL25" s="61">
        <v>0</v>
      </c>
      <c r="CM25" s="61">
        <v>5</v>
      </c>
      <c r="CN25" s="61">
        <v>0</v>
      </c>
      <c r="CO25" s="61">
        <v>0</v>
      </c>
      <c r="CP25" s="61">
        <v>0</v>
      </c>
      <c r="CQ25" s="61">
        <v>0</v>
      </c>
      <c r="CR25" s="61">
        <f t="shared" si="28"/>
        <v>5</v>
      </c>
    </row>
    <row r="26" spans="1:96" s="19" customFormat="1" ht="22.5" customHeight="1" x14ac:dyDescent="0.25">
      <c r="A26" s="7">
        <v>17</v>
      </c>
      <c r="B26" s="8" t="s">
        <v>57</v>
      </c>
      <c r="C26" s="103" t="s">
        <v>58</v>
      </c>
      <c r="D26" s="104">
        <v>45807</v>
      </c>
      <c r="E26" s="66">
        <v>0.34236111111111112</v>
      </c>
      <c r="F26" s="66">
        <v>0.84722222222222221</v>
      </c>
      <c r="G26" s="66">
        <v>0.33402777777777781</v>
      </c>
      <c r="H26" s="66">
        <v>0.82500000000000007</v>
      </c>
      <c r="I26" s="94">
        <v>0.56666666666666665</v>
      </c>
      <c r="J26" s="94">
        <v>0.78402777777777777</v>
      </c>
      <c r="K26" s="66">
        <v>0.3354166666666667</v>
      </c>
      <c r="L26" s="66">
        <v>0.83611111111111114</v>
      </c>
      <c r="M26" s="66">
        <v>0.33402777777777781</v>
      </c>
      <c r="N26" s="66">
        <v>0.85069444444444453</v>
      </c>
      <c r="O26" s="66">
        <v>0.3354166666666667</v>
      </c>
      <c r="P26" s="66">
        <v>0.3354166666666667</v>
      </c>
      <c r="Q26" s="66">
        <v>0.33680555555555558</v>
      </c>
      <c r="R26" s="66">
        <v>3.4027777777777775E-2</v>
      </c>
      <c r="S26" s="66">
        <v>0.32569444444444445</v>
      </c>
      <c r="T26" s="66">
        <v>0.8222222222222223</v>
      </c>
      <c r="U26" s="66">
        <v>0.33402777777777781</v>
      </c>
      <c r="V26" s="66">
        <v>0.81180555555555556</v>
      </c>
      <c r="W26" s="82" t="s">
        <v>15</v>
      </c>
      <c r="X26" s="82" t="s">
        <v>15</v>
      </c>
      <c r="Y26" s="66">
        <v>0.33194444444444443</v>
      </c>
      <c r="Z26" s="93">
        <v>1</v>
      </c>
      <c r="AA26" s="66">
        <v>0.34722222222222227</v>
      </c>
      <c r="AB26" s="66">
        <v>0.84097222222222223</v>
      </c>
      <c r="AC26" s="66">
        <v>0.34722222222222227</v>
      </c>
      <c r="AD26" s="66">
        <v>0.8569444444444444</v>
      </c>
      <c r="AE26" s="66">
        <v>0.35416666666666669</v>
      </c>
      <c r="AF26" s="93">
        <v>1</v>
      </c>
      <c r="AG26" s="66">
        <v>0.35972222222222222</v>
      </c>
      <c r="AH26" s="66">
        <v>0.82847222222222217</v>
      </c>
      <c r="AI26" s="96"/>
      <c r="AJ26" s="7">
        <v>17</v>
      </c>
      <c r="AK26" s="115">
        <v>46219.347210648149</v>
      </c>
      <c r="AL26" s="115">
        <v>46219.950925925928</v>
      </c>
      <c r="AM26" s="115">
        <v>46220.579652777778</v>
      </c>
      <c r="AN26" s="115">
        <v>46220.813854166663</v>
      </c>
      <c r="AO26" s="115">
        <v>46221.345856481479</v>
      </c>
      <c r="AP26" s="115">
        <v>46221.93246527778</v>
      </c>
      <c r="AQ26" s="115">
        <v>46222.3437962963</v>
      </c>
      <c r="AR26" s="115">
        <v>46222.851412037038</v>
      </c>
      <c r="AS26" s="115">
        <v>46223.352523148147</v>
      </c>
      <c r="AT26" s="115">
        <v>46223.887361111112</v>
      </c>
      <c r="AU26" s="115">
        <v>46224.346400462964</v>
      </c>
      <c r="AV26" s="115">
        <v>46224.89912037037</v>
      </c>
      <c r="AW26" s="115">
        <v>46225.34988425926</v>
      </c>
      <c r="AX26" s="115">
        <v>46225.881608796299</v>
      </c>
      <c r="AY26" s="115">
        <v>46226.353564814817</v>
      </c>
      <c r="AZ26" s="115">
        <v>1</v>
      </c>
      <c r="BA26" s="119" t="s">
        <v>15</v>
      </c>
      <c r="BB26" s="119" t="s">
        <v>15</v>
      </c>
      <c r="BC26" s="115">
        <v>46228.328587962962</v>
      </c>
      <c r="BD26" s="117">
        <v>1</v>
      </c>
      <c r="BE26" s="115">
        <v>46229.330891203703</v>
      </c>
      <c r="BF26" s="115">
        <v>46229.834120370368</v>
      </c>
      <c r="BG26" s="115">
        <v>46230.322847222225</v>
      </c>
      <c r="BH26" s="115">
        <v>1</v>
      </c>
      <c r="BI26" s="115">
        <v>46231.330185185187</v>
      </c>
      <c r="BJ26" s="117">
        <v>1</v>
      </c>
      <c r="BK26" s="115">
        <v>46232.329467592594</v>
      </c>
      <c r="BL26" s="120">
        <v>1</v>
      </c>
      <c r="BM26" s="121">
        <v>46233.33489583333</v>
      </c>
      <c r="BN26" s="117">
        <v>1</v>
      </c>
      <c r="BO26" s="115">
        <v>46234.560937499999</v>
      </c>
      <c r="BP26" s="118">
        <v>1</v>
      </c>
      <c r="BQ26" s="15">
        <f t="shared" si="15"/>
        <v>31</v>
      </c>
      <c r="BR26" s="54">
        <v>3</v>
      </c>
      <c r="BS26" s="16">
        <f t="shared" si="16"/>
        <v>29</v>
      </c>
      <c r="BT26" s="17">
        <f t="shared" si="17"/>
        <v>2</v>
      </c>
      <c r="BU26" s="17">
        <f t="shared" si="18"/>
        <v>0</v>
      </c>
      <c r="BV26" s="17">
        <f t="shared" si="19"/>
        <v>0</v>
      </c>
      <c r="BW26" s="17">
        <f t="shared" si="20"/>
        <v>0</v>
      </c>
      <c r="BX26" s="17">
        <f t="shared" si="21"/>
        <v>0</v>
      </c>
      <c r="BY26" s="17">
        <f t="shared" si="22"/>
        <v>0</v>
      </c>
      <c r="BZ26" s="17">
        <f t="shared" si="23"/>
        <v>0</v>
      </c>
      <c r="CA26" s="17">
        <f t="shared" si="24"/>
        <v>0</v>
      </c>
      <c r="CB26" s="17">
        <f t="shared" si="25"/>
        <v>0</v>
      </c>
      <c r="CC26" s="17">
        <f t="shared" si="26"/>
        <v>0</v>
      </c>
      <c r="CD26" s="17">
        <f t="shared" si="27"/>
        <v>0</v>
      </c>
      <c r="CE26" s="18"/>
      <c r="CH26" s="60">
        <v>0</v>
      </c>
      <c r="CI26" s="60">
        <v>0</v>
      </c>
      <c r="CJ26" s="60">
        <v>0</v>
      </c>
      <c r="CK26" s="60">
        <v>0</v>
      </c>
      <c r="CL26" s="60">
        <v>0</v>
      </c>
      <c r="CM26" s="59">
        <v>6</v>
      </c>
      <c r="CN26" s="60">
        <v>0</v>
      </c>
      <c r="CO26" s="59">
        <v>0</v>
      </c>
      <c r="CP26" s="59">
        <v>0</v>
      </c>
      <c r="CQ26" s="59">
        <v>0</v>
      </c>
      <c r="CR26" s="64">
        <f t="shared" si="28"/>
        <v>6</v>
      </c>
    </row>
    <row r="27" spans="1:96" s="19" customFormat="1" ht="22.5" customHeight="1" x14ac:dyDescent="0.25">
      <c r="A27" s="7">
        <v>18</v>
      </c>
      <c r="B27" s="8" t="s">
        <v>59</v>
      </c>
      <c r="C27" s="103" t="s">
        <v>60</v>
      </c>
      <c r="D27" s="104">
        <v>45807</v>
      </c>
      <c r="E27" s="66">
        <v>0.35416666666666669</v>
      </c>
      <c r="F27" s="66">
        <v>0.96180555555555547</v>
      </c>
      <c r="G27" s="66">
        <v>0.35486111111111113</v>
      </c>
      <c r="H27" s="66">
        <v>0.9819444444444444</v>
      </c>
      <c r="I27" s="82" t="s">
        <v>15</v>
      </c>
      <c r="J27" s="82" t="s">
        <v>15</v>
      </c>
      <c r="K27" s="66">
        <v>0.35416666666666669</v>
      </c>
      <c r="L27" s="66">
        <v>0.97152777777777777</v>
      </c>
      <c r="M27" s="66">
        <v>0.35694444444444445</v>
      </c>
      <c r="N27" s="66">
        <v>0.9590277777777777</v>
      </c>
      <c r="O27" s="66">
        <v>0.35833333333333334</v>
      </c>
      <c r="P27" s="66">
        <v>0.95208333333333339</v>
      </c>
      <c r="Q27" s="66">
        <v>0.3576388888888889</v>
      </c>
      <c r="R27" s="66">
        <v>0.95277777777777783</v>
      </c>
      <c r="S27" s="66">
        <v>0.35694444444444445</v>
      </c>
      <c r="T27" s="66">
        <v>0.95763888888888893</v>
      </c>
      <c r="U27" s="66">
        <v>0.35486111111111113</v>
      </c>
      <c r="V27" s="66">
        <v>0.97569444444444453</v>
      </c>
      <c r="W27" s="94">
        <v>0.58263888888888882</v>
      </c>
      <c r="X27" s="94">
        <v>0.9555555555555556</v>
      </c>
      <c r="Y27" s="66">
        <v>0.35416666666666669</v>
      </c>
      <c r="Z27" s="66">
        <v>0.96875</v>
      </c>
      <c r="AA27" s="66">
        <v>0.35000000000000003</v>
      </c>
      <c r="AB27" s="66">
        <v>0.9555555555555556</v>
      </c>
      <c r="AC27" s="66">
        <v>0.35347222222222219</v>
      </c>
      <c r="AD27" s="66">
        <v>0.94930555555555562</v>
      </c>
      <c r="AE27" s="66">
        <v>0.35625000000000001</v>
      </c>
      <c r="AF27" s="66">
        <v>0.95624999999999993</v>
      </c>
      <c r="AG27" s="66">
        <v>0.3527777777777778</v>
      </c>
      <c r="AH27" s="66">
        <v>0.95486111111111116</v>
      </c>
      <c r="AI27" s="102"/>
      <c r="AJ27" s="7">
        <v>18</v>
      </c>
      <c r="AK27" s="115">
        <v>46219.352326388886</v>
      </c>
      <c r="AL27" s="115">
        <v>46219.97828703704</v>
      </c>
      <c r="AM27" s="119" t="s">
        <v>15</v>
      </c>
      <c r="AN27" s="119" t="s">
        <v>15</v>
      </c>
      <c r="AO27" s="115">
        <v>46221.353298611109</v>
      </c>
      <c r="AP27" s="115">
        <v>46221.972800925927</v>
      </c>
      <c r="AQ27" s="115">
        <v>46222.353506944448</v>
      </c>
      <c r="AR27" s="115">
        <v>46222.949108796296</v>
      </c>
      <c r="AS27" s="115">
        <v>46223.353634259256</v>
      </c>
      <c r="AT27" s="115">
        <v>46223.952523148146</v>
      </c>
      <c r="AU27" s="115">
        <v>46224.351956018516</v>
      </c>
      <c r="AV27" s="115">
        <v>46224.963275462964</v>
      </c>
      <c r="AW27" s="115">
        <v>46225.354212962964</v>
      </c>
      <c r="AX27" s="115">
        <v>46225.958310185182</v>
      </c>
      <c r="AY27" s="115">
        <v>46226.353738425925</v>
      </c>
      <c r="AZ27" s="115">
        <v>1</v>
      </c>
      <c r="BA27" s="115">
        <v>46227.580520833333</v>
      </c>
      <c r="BB27" s="115">
        <v>46227.950729166667</v>
      </c>
      <c r="BC27" s="115">
        <v>46228.351759259262</v>
      </c>
      <c r="BD27" s="117">
        <v>1</v>
      </c>
      <c r="BE27" s="115">
        <v>46229.350428240738</v>
      </c>
      <c r="BF27" s="115">
        <v>46229.954907407409</v>
      </c>
      <c r="BG27" s="115">
        <v>46230.350925925923</v>
      </c>
      <c r="BH27" s="115">
        <v>1</v>
      </c>
      <c r="BI27" s="115">
        <v>46231.353344907409</v>
      </c>
      <c r="BJ27" s="115">
        <v>46231.955879629626</v>
      </c>
      <c r="BK27" s="115">
        <v>46232.350219907406</v>
      </c>
      <c r="BL27" s="120">
        <v>1</v>
      </c>
      <c r="BM27" s="121">
        <v>46233.349918981483</v>
      </c>
      <c r="BN27" s="115">
        <v>46233.964930555558</v>
      </c>
      <c r="BO27" s="119" t="s">
        <v>15</v>
      </c>
      <c r="BP27" s="119" t="s">
        <v>15</v>
      </c>
      <c r="BQ27" s="15">
        <f t="shared" si="15"/>
        <v>31</v>
      </c>
      <c r="BR27" s="54">
        <v>2</v>
      </c>
      <c r="BS27" s="16">
        <f t="shared" si="16"/>
        <v>28</v>
      </c>
      <c r="BT27" s="17">
        <f t="shared" si="17"/>
        <v>3</v>
      </c>
      <c r="BU27" s="17">
        <f t="shared" si="18"/>
        <v>0</v>
      </c>
      <c r="BV27" s="17">
        <f t="shared" si="19"/>
        <v>0</v>
      </c>
      <c r="BW27" s="17">
        <f t="shared" si="20"/>
        <v>0</v>
      </c>
      <c r="BX27" s="17">
        <f t="shared" si="21"/>
        <v>0</v>
      </c>
      <c r="BY27" s="17">
        <f t="shared" si="22"/>
        <v>0</v>
      </c>
      <c r="BZ27" s="17">
        <f t="shared" si="23"/>
        <v>0</v>
      </c>
      <c r="CA27" s="17">
        <f t="shared" si="24"/>
        <v>0</v>
      </c>
      <c r="CB27" s="17">
        <f t="shared" si="25"/>
        <v>0</v>
      </c>
      <c r="CC27" s="17">
        <f t="shared" si="26"/>
        <v>0</v>
      </c>
      <c r="CD27" s="17">
        <f t="shared" si="27"/>
        <v>0</v>
      </c>
      <c r="CE27" s="18"/>
      <c r="CH27" s="61">
        <v>0</v>
      </c>
      <c r="CI27" s="61">
        <v>0</v>
      </c>
      <c r="CJ27" s="61">
        <v>0</v>
      </c>
      <c r="CK27" s="61">
        <v>0</v>
      </c>
      <c r="CL27" s="61">
        <v>0</v>
      </c>
      <c r="CM27" s="61">
        <v>0</v>
      </c>
      <c r="CN27" s="61">
        <v>0</v>
      </c>
      <c r="CO27" s="61">
        <v>0</v>
      </c>
      <c r="CP27" s="61">
        <v>0</v>
      </c>
      <c r="CQ27" s="61">
        <v>0</v>
      </c>
      <c r="CR27" s="61">
        <f t="shared" si="28"/>
        <v>0</v>
      </c>
    </row>
    <row r="28" spans="1:96" s="19" customFormat="1" ht="22.5" customHeight="1" x14ac:dyDescent="0.25">
      <c r="A28" s="7">
        <v>19</v>
      </c>
      <c r="B28" s="8" t="s">
        <v>61</v>
      </c>
      <c r="C28" s="103" t="s">
        <v>62</v>
      </c>
      <c r="D28" s="104">
        <v>45883</v>
      </c>
      <c r="E28" s="66">
        <v>0.36180555555555555</v>
      </c>
      <c r="F28" s="93">
        <v>1</v>
      </c>
      <c r="G28" s="66">
        <v>0.35486111111111113</v>
      </c>
      <c r="H28" s="66">
        <v>5.5555555555555558E-3</v>
      </c>
      <c r="I28" s="94">
        <v>0.57916666666666672</v>
      </c>
      <c r="J28" s="94">
        <v>0.96805555555555556</v>
      </c>
      <c r="K28" s="66">
        <v>0.36458333333333331</v>
      </c>
      <c r="L28" s="93">
        <v>1</v>
      </c>
      <c r="M28" s="66">
        <v>0.35902777777777778</v>
      </c>
      <c r="N28" s="66">
        <v>0.9590277777777777</v>
      </c>
      <c r="O28" s="66">
        <v>0.35694444444444445</v>
      </c>
      <c r="P28" s="66">
        <v>0.95763888888888893</v>
      </c>
      <c r="Q28" s="66">
        <v>0.33819444444444446</v>
      </c>
      <c r="R28" s="66">
        <v>0.96250000000000002</v>
      </c>
      <c r="S28" s="66">
        <v>0.35902777777777778</v>
      </c>
      <c r="T28" s="66">
        <v>0.96388888888888891</v>
      </c>
      <c r="U28" s="66">
        <v>0.35138888888888892</v>
      </c>
      <c r="V28" s="66">
        <v>0.97083333333333333</v>
      </c>
      <c r="W28" s="94">
        <v>0.57986111111111105</v>
      </c>
      <c r="X28" s="95">
        <v>1</v>
      </c>
      <c r="Y28" s="66">
        <v>0.35069444444444442</v>
      </c>
      <c r="Z28" s="66">
        <v>0.97499999999999998</v>
      </c>
      <c r="AA28" s="66">
        <v>0.34652777777777777</v>
      </c>
      <c r="AB28" s="66">
        <v>0.94236111111111109</v>
      </c>
      <c r="AC28" s="66">
        <v>0.35625000000000001</v>
      </c>
      <c r="AD28" s="93">
        <v>1</v>
      </c>
      <c r="AE28" s="66">
        <v>0.35555555555555557</v>
      </c>
      <c r="AF28" s="66">
        <v>0.95277777777777783</v>
      </c>
      <c r="AG28" s="66">
        <v>0.35347222222222219</v>
      </c>
      <c r="AH28" s="66">
        <v>0.35347222222222219</v>
      </c>
      <c r="AI28" s="102"/>
      <c r="AJ28" s="7">
        <v>19</v>
      </c>
      <c r="AK28" s="115">
        <v>46219.35460648148</v>
      </c>
      <c r="AL28" s="117">
        <v>1</v>
      </c>
      <c r="AM28" s="115">
        <v>46220.962650462963</v>
      </c>
      <c r="AN28" s="115">
        <v>46220.962650462963</v>
      </c>
      <c r="AO28" s="115">
        <v>46221.355393518519</v>
      </c>
      <c r="AP28" s="115">
        <v>46221.984548611108</v>
      </c>
      <c r="AQ28" s="115">
        <v>46222.353194444448</v>
      </c>
      <c r="AR28" s="117">
        <v>1</v>
      </c>
      <c r="AS28" s="115">
        <v>46223.355810185189</v>
      </c>
      <c r="AT28" s="115">
        <v>46223.876851851855</v>
      </c>
      <c r="AU28" s="115">
        <v>46224.360671296294</v>
      </c>
      <c r="AV28" s="115">
        <v>46224.965752314813</v>
      </c>
      <c r="AW28" s="115">
        <v>46225.357175925928</v>
      </c>
      <c r="AX28" s="115">
        <v>46225.959652777776</v>
      </c>
      <c r="AY28" s="115">
        <v>46226.353981481479</v>
      </c>
      <c r="AZ28" s="115">
        <v>1</v>
      </c>
      <c r="BA28" s="115">
        <v>46227.577499999999</v>
      </c>
      <c r="BB28" s="115">
        <v>1</v>
      </c>
      <c r="BC28" s="115">
        <v>46228.356180555558</v>
      </c>
      <c r="BD28" s="117">
        <v>1</v>
      </c>
      <c r="BE28" s="115">
        <v>46229.351979166669</v>
      </c>
      <c r="BF28" s="115">
        <v>46229.957569444443</v>
      </c>
      <c r="BG28" s="115">
        <v>46230.378796296296</v>
      </c>
      <c r="BH28" s="115">
        <v>46230.947939814818</v>
      </c>
      <c r="BI28" s="115">
        <v>46231.350023148145</v>
      </c>
      <c r="BJ28" s="117">
        <v>1</v>
      </c>
      <c r="BK28" s="115">
        <v>46232.35328703704</v>
      </c>
      <c r="BL28" s="118">
        <v>46232.958194444444</v>
      </c>
      <c r="BM28" s="118">
        <v>46233.352280092593</v>
      </c>
      <c r="BN28" s="117">
        <v>1</v>
      </c>
      <c r="BO28" s="119" t="s">
        <v>15</v>
      </c>
      <c r="BP28" s="119" t="s">
        <v>15</v>
      </c>
      <c r="BQ28" s="15">
        <f t="shared" si="15"/>
        <v>31</v>
      </c>
      <c r="BR28" s="54">
        <v>4</v>
      </c>
      <c r="BS28" s="16">
        <f t="shared" si="16"/>
        <v>30</v>
      </c>
      <c r="BT28" s="17">
        <f t="shared" si="17"/>
        <v>1</v>
      </c>
      <c r="BU28" s="17">
        <f t="shared" si="18"/>
        <v>0</v>
      </c>
      <c r="BV28" s="17">
        <f t="shared" si="19"/>
        <v>0</v>
      </c>
      <c r="BW28" s="17">
        <f t="shared" si="20"/>
        <v>0</v>
      </c>
      <c r="BX28" s="17">
        <f t="shared" si="21"/>
        <v>0</v>
      </c>
      <c r="BY28" s="17">
        <f t="shared" si="22"/>
        <v>0</v>
      </c>
      <c r="BZ28" s="17">
        <f t="shared" si="23"/>
        <v>0</v>
      </c>
      <c r="CA28" s="17">
        <f t="shared" si="24"/>
        <v>0</v>
      </c>
      <c r="CB28" s="17">
        <f t="shared" si="25"/>
        <v>0</v>
      </c>
      <c r="CC28" s="17">
        <f t="shared" si="26"/>
        <v>0</v>
      </c>
      <c r="CD28" s="17">
        <f t="shared" si="27"/>
        <v>0</v>
      </c>
      <c r="CE28" s="18"/>
      <c r="CH28" s="60">
        <v>0</v>
      </c>
      <c r="CI28" s="60">
        <v>0</v>
      </c>
      <c r="CJ28" s="60">
        <v>0</v>
      </c>
      <c r="CK28" s="60">
        <v>0</v>
      </c>
      <c r="CL28" s="60">
        <v>0</v>
      </c>
      <c r="CM28" s="59">
        <v>4</v>
      </c>
      <c r="CN28" s="60">
        <v>0</v>
      </c>
      <c r="CO28" s="59">
        <v>0</v>
      </c>
      <c r="CP28" s="59">
        <v>0</v>
      </c>
      <c r="CQ28" s="59">
        <v>0</v>
      </c>
      <c r="CR28" s="64">
        <f t="shared" si="28"/>
        <v>4</v>
      </c>
    </row>
    <row r="29" spans="1:96" s="19" customFormat="1" ht="22.5" customHeight="1" x14ac:dyDescent="0.25">
      <c r="A29" s="7">
        <v>20</v>
      </c>
      <c r="B29" s="8" t="s">
        <v>63</v>
      </c>
      <c r="C29" s="103" t="s">
        <v>64</v>
      </c>
      <c r="D29" s="104">
        <v>45956</v>
      </c>
      <c r="E29" s="66">
        <v>0.35416666666666669</v>
      </c>
      <c r="F29" s="66">
        <v>0.9604166666666667</v>
      </c>
      <c r="G29" s="66">
        <v>0.35555555555555557</v>
      </c>
      <c r="H29" s="66">
        <v>0.97986111111111107</v>
      </c>
      <c r="I29" s="94">
        <v>0.58263888888888882</v>
      </c>
      <c r="J29" s="95">
        <v>1</v>
      </c>
      <c r="K29" s="66">
        <v>0.35416666666666669</v>
      </c>
      <c r="L29" s="66">
        <v>0.97083333333333333</v>
      </c>
      <c r="M29" s="66">
        <v>0.35694444444444445</v>
      </c>
      <c r="N29" s="66">
        <v>0.95833333333333337</v>
      </c>
      <c r="O29" s="66">
        <v>0.35833333333333334</v>
      </c>
      <c r="P29" s="66">
        <v>0.95277777777777783</v>
      </c>
      <c r="Q29" s="66">
        <v>0.3576388888888889</v>
      </c>
      <c r="R29" s="66">
        <v>0.95138888888888884</v>
      </c>
      <c r="S29" s="66">
        <v>0.3576388888888889</v>
      </c>
      <c r="T29" s="66">
        <v>0.95694444444444438</v>
      </c>
      <c r="U29" s="66">
        <v>0.35486111111111113</v>
      </c>
      <c r="V29" s="66">
        <v>0.97638888888888886</v>
      </c>
      <c r="W29" s="82" t="s">
        <v>15</v>
      </c>
      <c r="X29" s="82" t="s">
        <v>15</v>
      </c>
      <c r="Y29" s="66">
        <v>0.35416666666666669</v>
      </c>
      <c r="Z29" s="66">
        <v>0.96805555555555556</v>
      </c>
      <c r="AA29" s="66">
        <v>0.35000000000000003</v>
      </c>
      <c r="AB29" s="66">
        <v>0.9555555555555556</v>
      </c>
      <c r="AC29" s="66">
        <v>0.35347222222222219</v>
      </c>
      <c r="AD29" s="66">
        <v>0.94861111111111107</v>
      </c>
      <c r="AE29" s="66">
        <v>0.35625000000000001</v>
      </c>
      <c r="AF29" s="66">
        <v>0.9555555555555556</v>
      </c>
      <c r="AG29" s="66">
        <v>0.3527777777777778</v>
      </c>
      <c r="AH29" s="66">
        <v>0.95486111111111116</v>
      </c>
      <c r="AI29" s="102"/>
      <c r="AJ29" s="7">
        <v>20</v>
      </c>
      <c r="AK29" s="115">
        <v>46219.352094907408</v>
      </c>
      <c r="AL29" s="115">
        <v>46219.978587962964</v>
      </c>
      <c r="AM29" s="115">
        <v>46220.586585648147</v>
      </c>
      <c r="AN29" s="115">
        <v>46220.961539351854</v>
      </c>
      <c r="AO29" s="115">
        <v>46221.348240740743</v>
      </c>
      <c r="AP29" s="117">
        <v>1</v>
      </c>
      <c r="AQ29" s="115">
        <v>46222.351203703707</v>
      </c>
      <c r="AR29" s="115">
        <v>46222.948946759258</v>
      </c>
      <c r="AS29" s="115">
        <v>46223.353460648148</v>
      </c>
      <c r="AT29" s="115">
        <v>46223.95275462963</v>
      </c>
      <c r="AU29" s="115">
        <v>46224.351782407408</v>
      </c>
      <c r="AV29" s="115">
        <v>46224.956909722219</v>
      </c>
      <c r="AW29" s="115">
        <v>46225.354618055557</v>
      </c>
      <c r="AX29" s="115">
        <v>46225.957013888888</v>
      </c>
      <c r="AY29" s="115">
        <v>46226.351620370369</v>
      </c>
      <c r="AZ29" s="117">
        <v>1</v>
      </c>
      <c r="BA29" s="119" t="s">
        <v>15</v>
      </c>
      <c r="BB29" s="119" t="s">
        <v>15</v>
      </c>
      <c r="BC29" s="115">
        <v>46228.351909722223</v>
      </c>
      <c r="BD29" s="117">
        <v>1</v>
      </c>
      <c r="BE29" s="115">
        <v>46229.350289351853</v>
      </c>
      <c r="BF29" s="115">
        <v>46229.95449074074</v>
      </c>
      <c r="BG29" s="115">
        <v>46230.350810185184</v>
      </c>
      <c r="BH29" s="117">
        <v>1</v>
      </c>
      <c r="BI29" s="115">
        <v>46231.353159722225</v>
      </c>
      <c r="BJ29" s="115">
        <v>46231.955729166664</v>
      </c>
      <c r="BK29" s="115">
        <v>46232.350300925929</v>
      </c>
      <c r="BL29" s="118">
        <v>46232.954305555555</v>
      </c>
      <c r="BM29" s="118">
        <v>46233.350335648145</v>
      </c>
      <c r="BN29" s="117">
        <v>1</v>
      </c>
      <c r="BO29" s="115">
        <v>46234.580393518518</v>
      </c>
      <c r="BP29" s="118">
        <v>1</v>
      </c>
      <c r="BQ29" s="15">
        <f t="shared" si="15"/>
        <v>31</v>
      </c>
      <c r="BR29" s="54">
        <v>3</v>
      </c>
      <c r="BS29" s="16">
        <f t="shared" si="16"/>
        <v>29</v>
      </c>
      <c r="BT29" s="17">
        <f t="shared" si="17"/>
        <v>2</v>
      </c>
      <c r="BU29" s="17">
        <f t="shared" si="18"/>
        <v>0</v>
      </c>
      <c r="BV29" s="17">
        <f t="shared" si="19"/>
        <v>0</v>
      </c>
      <c r="BW29" s="17">
        <f t="shared" si="20"/>
        <v>0</v>
      </c>
      <c r="BX29" s="17">
        <f t="shared" si="21"/>
        <v>0</v>
      </c>
      <c r="BY29" s="17">
        <f t="shared" si="22"/>
        <v>0</v>
      </c>
      <c r="BZ29" s="17">
        <f t="shared" si="23"/>
        <v>0</v>
      </c>
      <c r="CA29" s="17">
        <f t="shared" si="24"/>
        <v>0</v>
      </c>
      <c r="CB29" s="17">
        <f t="shared" si="25"/>
        <v>0</v>
      </c>
      <c r="CC29" s="17">
        <f t="shared" si="26"/>
        <v>0</v>
      </c>
      <c r="CD29" s="17">
        <f t="shared" si="27"/>
        <v>0</v>
      </c>
      <c r="CE29" s="18"/>
      <c r="CH29" s="61">
        <v>0</v>
      </c>
      <c r="CI29" s="61">
        <v>0</v>
      </c>
      <c r="CJ29" s="61">
        <v>0</v>
      </c>
      <c r="CK29" s="61">
        <v>0</v>
      </c>
      <c r="CL29" s="61">
        <v>0</v>
      </c>
      <c r="CM29" s="61">
        <v>5</v>
      </c>
      <c r="CN29" s="61">
        <v>0</v>
      </c>
      <c r="CO29" s="61">
        <v>0</v>
      </c>
      <c r="CP29" s="61">
        <v>0</v>
      </c>
      <c r="CQ29" s="61">
        <v>0</v>
      </c>
      <c r="CR29" s="61">
        <f>SUM(CH29:CQ29)</f>
        <v>5</v>
      </c>
    </row>
    <row r="30" spans="1:96" s="19" customFormat="1" ht="22.5" customHeight="1" x14ac:dyDescent="0.25">
      <c r="A30" s="7">
        <v>21</v>
      </c>
      <c r="B30" s="8" t="s">
        <v>90</v>
      </c>
      <c r="C30" s="103" t="s">
        <v>91</v>
      </c>
      <c r="D30" s="104">
        <v>46028</v>
      </c>
      <c r="E30" s="66">
        <v>0.33749999999999997</v>
      </c>
      <c r="F30" s="66">
        <v>0.83819444444444446</v>
      </c>
      <c r="G30" s="66">
        <v>0.33749999999999997</v>
      </c>
      <c r="H30" s="66">
        <v>0.82430555555555562</v>
      </c>
      <c r="I30" s="94">
        <v>0.56874999999999998</v>
      </c>
      <c r="J30" s="94">
        <v>0.79652777777777783</v>
      </c>
      <c r="K30" s="66">
        <v>0.34097222222222223</v>
      </c>
      <c r="L30" s="66">
        <v>0.8354166666666667</v>
      </c>
      <c r="M30" s="66">
        <v>0.33611111111111108</v>
      </c>
      <c r="N30" s="66">
        <v>0.85069444444444453</v>
      </c>
      <c r="O30" s="66">
        <v>0.32847222222222222</v>
      </c>
      <c r="P30" s="66">
        <v>0.32847222222222222</v>
      </c>
      <c r="Q30" s="66">
        <v>0.33402777777777781</v>
      </c>
      <c r="R30" s="66">
        <v>3.4027777777777775E-2</v>
      </c>
      <c r="S30" s="66">
        <v>0.3298611111111111</v>
      </c>
      <c r="T30" s="66">
        <v>0.81944444444444453</v>
      </c>
      <c r="U30" s="66">
        <v>0.3347222222222222</v>
      </c>
      <c r="V30" s="66">
        <v>0.81180555555555556</v>
      </c>
      <c r="W30" s="82" t="s">
        <v>15</v>
      </c>
      <c r="X30" s="82" t="s">
        <v>15</v>
      </c>
      <c r="Y30" s="66">
        <v>0.33611111111111108</v>
      </c>
      <c r="Z30" s="66">
        <v>0.33611111111111108</v>
      </c>
      <c r="AA30" s="66">
        <v>0.33819444444444446</v>
      </c>
      <c r="AB30" s="66">
        <v>0.84027777777777779</v>
      </c>
      <c r="AC30" s="66">
        <v>0.34166666666666662</v>
      </c>
      <c r="AD30" s="66">
        <v>0.8569444444444444</v>
      </c>
      <c r="AE30" s="66">
        <v>0.35347222222222219</v>
      </c>
      <c r="AF30" s="66">
        <v>0.35347222222222219</v>
      </c>
      <c r="AG30" s="66">
        <v>0.34097222222222223</v>
      </c>
      <c r="AH30" s="66">
        <v>0.82847222222222217</v>
      </c>
      <c r="AI30" s="102"/>
      <c r="AJ30" s="7">
        <v>21</v>
      </c>
      <c r="AK30" s="115">
        <v>46219.33861111111</v>
      </c>
      <c r="AL30" s="115">
        <v>46219.951041666667</v>
      </c>
      <c r="AM30" s="115">
        <v>46220.582106481481</v>
      </c>
      <c r="AN30" s="115">
        <v>46220.81391203704</v>
      </c>
      <c r="AO30" s="115">
        <v>46221.346053240741</v>
      </c>
      <c r="AP30" s="115">
        <v>46221.932847222219</v>
      </c>
      <c r="AQ30" s="115">
        <v>46222.335034722222</v>
      </c>
      <c r="AR30" s="115">
        <v>46222.851099537038</v>
      </c>
      <c r="AS30" s="115">
        <v>46223.347488425927</v>
      </c>
      <c r="AT30" s="115">
        <v>46223.887187499997</v>
      </c>
      <c r="AU30" s="115">
        <v>46224.349166666667</v>
      </c>
      <c r="AV30" s="115">
        <v>46224.899710648147</v>
      </c>
      <c r="AW30" s="115">
        <v>46225.349594907406</v>
      </c>
      <c r="AX30" s="115">
        <v>46225.878518518519</v>
      </c>
      <c r="AY30" s="115">
        <v>46226.355567129627</v>
      </c>
      <c r="AZ30" s="115">
        <v>1</v>
      </c>
      <c r="BA30" s="119" t="s">
        <v>15</v>
      </c>
      <c r="BB30" s="119" t="s">
        <v>15</v>
      </c>
      <c r="BC30" s="115">
        <v>46228.328680555554</v>
      </c>
      <c r="BD30" s="115">
        <v>1</v>
      </c>
      <c r="BE30" s="115">
        <v>46229.330289351848</v>
      </c>
      <c r="BF30" s="115">
        <v>46229.843171296299</v>
      </c>
      <c r="BG30" s="115">
        <v>46230.326342592591</v>
      </c>
      <c r="BH30" s="115">
        <v>1</v>
      </c>
      <c r="BI30" s="115">
        <v>46231.323981481481</v>
      </c>
      <c r="BJ30" s="115">
        <v>1</v>
      </c>
      <c r="BK30" s="115">
        <v>46232.329050925924</v>
      </c>
      <c r="BL30" s="120">
        <v>1</v>
      </c>
      <c r="BM30" s="118">
        <v>46233.331597222219</v>
      </c>
      <c r="BN30" s="117">
        <v>1</v>
      </c>
      <c r="BO30" s="115">
        <v>46234.559571759259</v>
      </c>
      <c r="BP30" s="118">
        <v>1</v>
      </c>
      <c r="BQ30" s="15">
        <f t="shared" si="15"/>
        <v>31</v>
      </c>
      <c r="BR30" s="54">
        <v>3</v>
      </c>
      <c r="BS30" s="16">
        <f t="shared" si="16"/>
        <v>29</v>
      </c>
      <c r="BT30" s="17">
        <f t="shared" si="17"/>
        <v>2</v>
      </c>
      <c r="BU30" s="17">
        <f t="shared" si="18"/>
        <v>0</v>
      </c>
      <c r="BV30" s="17">
        <f t="shared" si="19"/>
        <v>0</v>
      </c>
      <c r="BW30" s="17">
        <f t="shared" si="20"/>
        <v>0</v>
      </c>
      <c r="BX30" s="17">
        <f t="shared" si="21"/>
        <v>0</v>
      </c>
      <c r="BY30" s="17">
        <f t="shared" si="22"/>
        <v>0</v>
      </c>
      <c r="BZ30" s="17">
        <f t="shared" si="23"/>
        <v>0</v>
      </c>
      <c r="CA30" s="17">
        <f t="shared" si="24"/>
        <v>0</v>
      </c>
      <c r="CB30" s="17">
        <f t="shared" si="25"/>
        <v>0</v>
      </c>
      <c r="CC30" s="17">
        <f t="shared" si="26"/>
        <v>0</v>
      </c>
      <c r="CD30" s="17">
        <f t="shared" si="27"/>
        <v>0</v>
      </c>
      <c r="CE30" s="18"/>
      <c r="CH30" s="60">
        <v>0</v>
      </c>
      <c r="CI30" s="60">
        <v>0</v>
      </c>
      <c r="CJ30" s="60">
        <v>0</v>
      </c>
      <c r="CK30" s="60">
        <v>0</v>
      </c>
      <c r="CL30" s="60">
        <v>0</v>
      </c>
      <c r="CM30" s="59">
        <v>0</v>
      </c>
      <c r="CN30" s="60">
        <v>0</v>
      </c>
      <c r="CO30" s="59">
        <v>0</v>
      </c>
      <c r="CP30" s="59">
        <v>0</v>
      </c>
      <c r="CQ30" s="59">
        <v>0</v>
      </c>
      <c r="CR30" s="64">
        <f t="shared" ref="CR30" si="29">SUM(CH30:CQ30)</f>
        <v>0</v>
      </c>
    </row>
    <row r="31" spans="1:96" s="19" customFormat="1" ht="22.5" customHeight="1" x14ac:dyDescent="0.25">
      <c r="A31" s="7">
        <v>22</v>
      </c>
      <c r="B31" s="8" t="s">
        <v>89</v>
      </c>
      <c r="C31" s="103" t="s">
        <v>92</v>
      </c>
      <c r="D31" s="104">
        <v>46028</v>
      </c>
      <c r="E31" s="66">
        <v>0.35625000000000001</v>
      </c>
      <c r="F31" s="66">
        <v>0.99097222222222225</v>
      </c>
      <c r="G31" s="66">
        <v>0.35486111111111113</v>
      </c>
      <c r="H31" s="66">
        <v>4.8611111111111112E-3</v>
      </c>
      <c r="I31" s="94">
        <v>0.57916666666666672</v>
      </c>
      <c r="J31" s="94">
        <v>0.96666666666666667</v>
      </c>
      <c r="K31" s="66">
        <v>0.35902777777777778</v>
      </c>
      <c r="L31" s="66">
        <v>0.96805555555555556</v>
      </c>
      <c r="M31" s="66">
        <v>0.35069444444444442</v>
      </c>
      <c r="N31" s="66">
        <v>0.95486111111111116</v>
      </c>
      <c r="O31" s="66">
        <v>0.35555555555555557</v>
      </c>
      <c r="P31" s="66">
        <v>0.95138888888888884</v>
      </c>
      <c r="Q31" s="66">
        <v>0.36041666666666666</v>
      </c>
      <c r="R31" s="66">
        <v>0.9472222222222223</v>
      </c>
      <c r="S31" s="66">
        <v>0.35694444444444445</v>
      </c>
      <c r="T31" s="66">
        <v>0.9506944444444444</v>
      </c>
      <c r="U31" s="66">
        <v>0.3520833333333333</v>
      </c>
      <c r="V31" s="66">
        <v>0.97499999999999998</v>
      </c>
      <c r="W31" s="82" t="s">
        <v>15</v>
      </c>
      <c r="X31" s="82" t="s">
        <v>15</v>
      </c>
      <c r="Y31" s="66">
        <v>0.35069444444444442</v>
      </c>
      <c r="Z31" s="66">
        <v>0.97013888888888899</v>
      </c>
      <c r="AA31" s="66">
        <v>0.34722222222222227</v>
      </c>
      <c r="AB31" s="66">
        <v>0.95138888888888884</v>
      </c>
      <c r="AC31" s="66">
        <v>0.35069444444444442</v>
      </c>
      <c r="AD31" s="66">
        <v>0.96180555555555547</v>
      </c>
      <c r="AE31" s="66">
        <v>0.3527777777777778</v>
      </c>
      <c r="AF31" s="66">
        <v>0.95416666666666661</v>
      </c>
      <c r="AG31" s="66">
        <v>0.35069444444444442</v>
      </c>
      <c r="AH31" s="66">
        <v>0.9604166666666667</v>
      </c>
      <c r="AI31" s="102"/>
      <c r="AJ31" s="7">
        <v>22</v>
      </c>
      <c r="AK31" s="115">
        <v>46219.349386574075</v>
      </c>
      <c r="AL31" s="115">
        <v>46219.975023148145</v>
      </c>
      <c r="AM31" s="115">
        <v>46220.581550925926</v>
      </c>
      <c r="AN31" s="115">
        <v>46220.95826388889</v>
      </c>
      <c r="AO31" s="115">
        <v>46221.349965277775</v>
      </c>
      <c r="AP31" s="115">
        <v>46221.976597222223</v>
      </c>
      <c r="AQ31" s="115">
        <v>46222.353043981479</v>
      </c>
      <c r="AR31" s="115">
        <v>46222.953043981484</v>
      </c>
      <c r="AS31" s="115">
        <v>46223.352106481485</v>
      </c>
      <c r="AT31" s="115">
        <v>46223.957650462966</v>
      </c>
      <c r="AU31" s="115">
        <v>46224.348541666666</v>
      </c>
      <c r="AV31" s="115">
        <v>46224.959062499998</v>
      </c>
      <c r="AW31" s="115">
        <v>46225.352384259262</v>
      </c>
      <c r="AX31" s="115">
        <v>46225.949780092589</v>
      </c>
      <c r="AY31" s="115">
        <v>46226.352511574078</v>
      </c>
      <c r="AZ31" s="115">
        <v>46226.970231481479</v>
      </c>
      <c r="BA31" s="119" t="s">
        <v>15</v>
      </c>
      <c r="BB31" s="119" t="s">
        <v>15</v>
      </c>
      <c r="BC31" s="115">
        <v>46228.349745370368</v>
      </c>
      <c r="BD31" s="115">
        <v>46228.955706018518</v>
      </c>
      <c r="BE31" s="115">
        <v>46229.349004629628</v>
      </c>
      <c r="BF31" s="115">
        <v>46229.946909722225</v>
      </c>
      <c r="BG31" s="115">
        <v>46230.350752314815</v>
      </c>
      <c r="BH31" s="115">
        <v>1</v>
      </c>
      <c r="BI31" s="115">
        <v>46231.350821759261</v>
      </c>
      <c r="BJ31" s="115">
        <v>46231.946886574071</v>
      </c>
      <c r="BK31" s="115">
        <v>46232.34746527778</v>
      </c>
      <c r="BL31" s="118">
        <v>46232.957951388889</v>
      </c>
      <c r="BM31" s="118">
        <v>46233.34814814815</v>
      </c>
      <c r="BN31" s="115">
        <v>46233.975682870368</v>
      </c>
      <c r="BO31" s="115">
        <v>46234.577673611115</v>
      </c>
      <c r="BP31" s="118">
        <v>46234.95040509259</v>
      </c>
      <c r="BQ31" s="15">
        <f t="shared" si="15"/>
        <v>31</v>
      </c>
      <c r="BR31" s="54">
        <v>3</v>
      </c>
      <c r="BS31" s="16">
        <f t="shared" si="16"/>
        <v>29</v>
      </c>
      <c r="BT31" s="17">
        <f t="shared" si="17"/>
        <v>2</v>
      </c>
      <c r="BU31" s="17">
        <f t="shared" si="18"/>
        <v>0</v>
      </c>
      <c r="BV31" s="17">
        <f t="shared" si="19"/>
        <v>0</v>
      </c>
      <c r="BW31" s="17">
        <f t="shared" si="20"/>
        <v>0</v>
      </c>
      <c r="BX31" s="17">
        <f t="shared" si="21"/>
        <v>0</v>
      </c>
      <c r="BY31" s="17">
        <f t="shared" si="22"/>
        <v>0</v>
      </c>
      <c r="BZ31" s="17">
        <f t="shared" si="23"/>
        <v>0</v>
      </c>
      <c r="CA31" s="17">
        <f t="shared" si="24"/>
        <v>0</v>
      </c>
      <c r="CB31" s="17">
        <f t="shared" si="25"/>
        <v>0</v>
      </c>
      <c r="CC31" s="17">
        <f t="shared" si="26"/>
        <v>0</v>
      </c>
      <c r="CD31" s="17">
        <f t="shared" si="27"/>
        <v>0</v>
      </c>
      <c r="CE31" s="18"/>
      <c r="CH31" s="61">
        <v>0</v>
      </c>
      <c r="CI31" s="61">
        <v>0</v>
      </c>
      <c r="CJ31" s="61">
        <v>0</v>
      </c>
      <c r="CK31" s="61">
        <v>0</v>
      </c>
      <c r="CL31" s="61">
        <v>0</v>
      </c>
      <c r="CM31" s="61">
        <v>0</v>
      </c>
      <c r="CN31" s="61">
        <v>0</v>
      </c>
      <c r="CO31" s="61">
        <v>0</v>
      </c>
      <c r="CP31" s="61">
        <v>0</v>
      </c>
      <c r="CQ31" s="61">
        <v>0</v>
      </c>
      <c r="CR31" s="61">
        <f>SUM(CH31:CQ31)</f>
        <v>0</v>
      </c>
    </row>
    <row r="32" spans="1:96" s="19" customFormat="1" ht="22.5" customHeight="1" x14ac:dyDescent="0.25">
      <c r="A32" s="7">
        <v>23</v>
      </c>
      <c r="B32" s="8" t="s">
        <v>93</v>
      </c>
      <c r="C32" s="103" t="s">
        <v>94</v>
      </c>
      <c r="D32" s="104">
        <v>46075</v>
      </c>
      <c r="E32" s="66">
        <v>0.35416666666666669</v>
      </c>
      <c r="F32" s="66">
        <v>0.9604166666666667</v>
      </c>
      <c r="G32" s="66">
        <v>0.35555555555555557</v>
      </c>
      <c r="H32" s="66">
        <v>0.97916666666666663</v>
      </c>
      <c r="I32" s="94">
        <v>0.58263888888888882</v>
      </c>
      <c r="J32" s="94">
        <v>0.96527777777777779</v>
      </c>
      <c r="K32" s="66">
        <v>0.35416666666666669</v>
      </c>
      <c r="L32" s="66">
        <v>0.97083333333333333</v>
      </c>
      <c r="M32" s="66">
        <v>0.35694444444444445</v>
      </c>
      <c r="N32" s="66">
        <v>0.95624999999999993</v>
      </c>
      <c r="O32" s="66">
        <v>0.35833333333333334</v>
      </c>
      <c r="P32" s="66">
        <v>0.95277777777777783</v>
      </c>
      <c r="Q32" s="66">
        <v>0.3576388888888889</v>
      </c>
      <c r="R32" s="66">
        <v>0.9506944444444444</v>
      </c>
      <c r="S32" s="66">
        <v>0.3576388888888889</v>
      </c>
      <c r="T32" s="66">
        <v>0.95694444444444438</v>
      </c>
      <c r="U32" s="66">
        <v>0.35486111111111113</v>
      </c>
      <c r="V32" s="66">
        <v>0.97569444444444453</v>
      </c>
      <c r="W32" s="82" t="s">
        <v>15</v>
      </c>
      <c r="X32" s="82" t="s">
        <v>15</v>
      </c>
      <c r="Y32" s="66">
        <v>0.35416666666666669</v>
      </c>
      <c r="Z32" s="66">
        <v>0.96736111111111101</v>
      </c>
      <c r="AA32" s="66">
        <v>0.35000000000000003</v>
      </c>
      <c r="AB32" s="66">
        <v>0.95486111111111116</v>
      </c>
      <c r="AC32" s="66">
        <v>0.35347222222222219</v>
      </c>
      <c r="AD32" s="66">
        <v>0.94791666666666663</v>
      </c>
      <c r="AE32" s="66">
        <v>0.35625000000000001</v>
      </c>
      <c r="AF32" s="66">
        <v>0.9555555555555556</v>
      </c>
      <c r="AG32" s="66">
        <v>0.3527777777777778</v>
      </c>
      <c r="AH32" s="66">
        <v>0.95416666666666661</v>
      </c>
      <c r="AI32" s="102"/>
      <c r="AJ32" s="7">
        <v>23</v>
      </c>
      <c r="AK32" s="115">
        <v>46219.352013888885</v>
      </c>
      <c r="AL32" s="115">
        <v>46219.978437500002</v>
      </c>
      <c r="AM32" s="115">
        <v>46220.586550925924</v>
      </c>
      <c r="AN32" s="115">
        <v>46220.961365740739</v>
      </c>
      <c r="AO32" s="115">
        <v>46221.353148148148</v>
      </c>
      <c r="AP32" s="115">
        <v>46221.971122685187</v>
      </c>
      <c r="AQ32" s="115">
        <v>46222.35528935185</v>
      </c>
      <c r="AR32" s="115">
        <v>46222.948530092595</v>
      </c>
      <c r="AS32" s="115">
        <v>46223.353541666664</v>
      </c>
      <c r="AT32" s="115">
        <v>46223.94971064815</v>
      </c>
      <c r="AU32" s="115">
        <v>46224.351736111108</v>
      </c>
      <c r="AV32" s="115">
        <v>46224.958437499998</v>
      </c>
      <c r="AW32" s="115">
        <v>46225.35465277778</v>
      </c>
      <c r="AX32" s="115">
        <v>46225.956828703704</v>
      </c>
      <c r="AY32" s="115">
        <v>46226.353645833333</v>
      </c>
      <c r="AZ32" s="115">
        <v>46226.974965277775</v>
      </c>
      <c r="BA32" s="119" t="s">
        <v>15</v>
      </c>
      <c r="BB32" s="119" t="s">
        <v>15</v>
      </c>
      <c r="BC32" s="115">
        <v>46228.351851851854</v>
      </c>
      <c r="BD32" s="115">
        <v>46228.970752314817</v>
      </c>
      <c r="BE32" s="115">
        <v>46229.350231481483</v>
      </c>
      <c r="BF32" s="115">
        <v>46229.954444444447</v>
      </c>
      <c r="BG32" s="115">
        <v>46230.350486111114</v>
      </c>
      <c r="BH32" s="115">
        <v>46230.948900462965</v>
      </c>
      <c r="BI32" s="115">
        <v>46231.353263888886</v>
      </c>
      <c r="BJ32" s="115">
        <v>46231.953541666669</v>
      </c>
      <c r="BK32" s="115">
        <v>46232.350243055553</v>
      </c>
      <c r="BL32" s="118">
        <v>46232.954664351855</v>
      </c>
      <c r="BM32" s="118">
        <v>46233.350023148145</v>
      </c>
      <c r="BN32" s="115">
        <v>46233.964826388888</v>
      </c>
      <c r="BO32" s="115">
        <v>46234.580324074072</v>
      </c>
      <c r="BP32" s="118">
        <v>46234.957951388889</v>
      </c>
      <c r="BQ32" s="15">
        <f t="shared" si="15"/>
        <v>31</v>
      </c>
      <c r="BR32" s="54">
        <v>3</v>
      </c>
      <c r="BS32" s="16">
        <f t="shared" si="16"/>
        <v>29</v>
      </c>
      <c r="BT32" s="17">
        <f t="shared" si="17"/>
        <v>2</v>
      </c>
      <c r="BU32" s="17">
        <f t="shared" si="18"/>
        <v>0</v>
      </c>
      <c r="BV32" s="17">
        <f t="shared" si="19"/>
        <v>0</v>
      </c>
      <c r="BW32" s="17">
        <f t="shared" si="20"/>
        <v>0</v>
      </c>
      <c r="BX32" s="17">
        <f t="shared" si="21"/>
        <v>0</v>
      </c>
      <c r="BY32" s="17">
        <f t="shared" si="22"/>
        <v>0</v>
      </c>
      <c r="BZ32" s="17">
        <f t="shared" si="23"/>
        <v>0</v>
      </c>
      <c r="CA32" s="17">
        <f t="shared" si="24"/>
        <v>0</v>
      </c>
      <c r="CB32" s="17">
        <f t="shared" si="25"/>
        <v>0</v>
      </c>
      <c r="CC32" s="17">
        <f t="shared" si="26"/>
        <v>0</v>
      </c>
      <c r="CD32" s="17">
        <f t="shared" si="27"/>
        <v>0</v>
      </c>
      <c r="CE32" s="18"/>
      <c r="CH32" s="60">
        <v>0</v>
      </c>
      <c r="CI32" s="60">
        <v>0</v>
      </c>
      <c r="CJ32" s="60">
        <v>0</v>
      </c>
      <c r="CK32" s="60">
        <v>0</v>
      </c>
      <c r="CL32" s="60">
        <v>0</v>
      </c>
      <c r="CM32" s="59">
        <v>0</v>
      </c>
      <c r="CN32" s="60">
        <v>0</v>
      </c>
      <c r="CO32" s="59">
        <v>0</v>
      </c>
      <c r="CP32" s="59">
        <v>0</v>
      </c>
      <c r="CQ32" s="59">
        <v>0</v>
      </c>
      <c r="CR32" s="64">
        <f t="shared" ref="CR32:CR33" si="30">SUM(CH32:CQ32)</f>
        <v>0</v>
      </c>
    </row>
    <row r="33" spans="1:96" s="19" customFormat="1" ht="22.5" customHeight="1" x14ac:dyDescent="0.25">
      <c r="A33" s="7">
        <v>24</v>
      </c>
      <c r="B33" s="8" t="s">
        <v>95</v>
      </c>
      <c r="C33" s="103" t="s">
        <v>96</v>
      </c>
      <c r="D33" s="104">
        <v>46078</v>
      </c>
      <c r="E33" s="66">
        <v>0.33333333333333331</v>
      </c>
      <c r="F33" s="66">
        <v>0.83819444444444446</v>
      </c>
      <c r="G33" s="66">
        <v>0.32847222222222222</v>
      </c>
      <c r="H33" s="66">
        <v>0.82430555555555562</v>
      </c>
      <c r="I33" s="82" t="s">
        <v>15</v>
      </c>
      <c r="J33" s="82" t="s">
        <v>15</v>
      </c>
      <c r="K33" s="66">
        <v>0.33055555555555555</v>
      </c>
      <c r="L33" s="66">
        <v>0.8354166666666667</v>
      </c>
      <c r="M33" s="66">
        <v>0.32916666666666666</v>
      </c>
      <c r="N33" s="93">
        <v>1</v>
      </c>
      <c r="O33" s="66">
        <v>0.32847222222222222</v>
      </c>
      <c r="P33" s="93">
        <v>1</v>
      </c>
      <c r="Q33" s="66">
        <v>0.32916666666666666</v>
      </c>
      <c r="R33" s="66">
        <v>3.4027777777777775E-2</v>
      </c>
      <c r="S33" s="66">
        <v>0.33402777777777781</v>
      </c>
      <c r="T33" s="66">
        <v>0.82152777777777775</v>
      </c>
      <c r="U33" s="66">
        <v>0.3347222222222222</v>
      </c>
      <c r="V33" s="66">
        <v>0.81111111111111101</v>
      </c>
      <c r="W33" s="94">
        <v>0.55694444444444446</v>
      </c>
      <c r="X33" s="95">
        <v>1</v>
      </c>
      <c r="Y33" s="66">
        <v>0.33333333333333331</v>
      </c>
      <c r="Z33" s="93">
        <v>1</v>
      </c>
      <c r="AA33" s="66">
        <v>0.3430555555555555</v>
      </c>
      <c r="AB33" s="66">
        <v>0.84027777777777779</v>
      </c>
      <c r="AC33" s="66">
        <v>0.34375</v>
      </c>
      <c r="AD33" s="66">
        <v>0.85763888888888884</v>
      </c>
      <c r="AE33" s="66">
        <v>0.34930555555555554</v>
      </c>
      <c r="AF33" s="93">
        <v>1</v>
      </c>
      <c r="AG33" s="66">
        <v>0.33958333333333335</v>
      </c>
      <c r="AH33" s="66">
        <v>0.82847222222222217</v>
      </c>
      <c r="AI33" s="96"/>
      <c r="AJ33" s="7">
        <v>24</v>
      </c>
      <c r="AK33" s="115">
        <v>46219.338009259256</v>
      </c>
      <c r="AL33" s="115">
        <v>46219.950972222221</v>
      </c>
      <c r="AM33" s="119" t="s">
        <v>15</v>
      </c>
      <c r="AN33" s="119" t="s">
        <v>15</v>
      </c>
      <c r="AO33" s="115">
        <v>46221.339641203704</v>
      </c>
      <c r="AP33" s="115">
        <v>46221.933136574073</v>
      </c>
      <c r="AQ33" s="115">
        <v>46222.338171296295</v>
      </c>
      <c r="AR33" s="115">
        <v>46222.851273148146</v>
      </c>
      <c r="AS33" s="115">
        <v>46223.349826388891</v>
      </c>
      <c r="AT33" s="115">
        <v>46223.887037037035</v>
      </c>
      <c r="AU33" s="115">
        <v>46224.347881944443</v>
      </c>
      <c r="AV33" s="115">
        <v>46224.899675925924</v>
      </c>
      <c r="AW33" s="115">
        <v>46225.346666666665</v>
      </c>
      <c r="AX33" s="115">
        <v>46225.881805555553</v>
      </c>
      <c r="AY33" s="115">
        <v>46226.331388888888</v>
      </c>
      <c r="AZ33" s="115">
        <v>1</v>
      </c>
      <c r="BA33" s="115">
        <v>46227.55908564815</v>
      </c>
      <c r="BB33" s="115">
        <v>1</v>
      </c>
      <c r="BC33" s="115">
        <v>46228.328784722224</v>
      </c>
      <c r="BD33" s="115">
        <v>1</v>
      </c>
      <c r="BE33" s="115">
        <v>46229.328657407408</v>
      </c>
      <c r="BF33" s="115">
        <v>46229.834178240744</v>
      </c>
      <c r="BG33" s="115">
        <v>46230.3278125</v>
      </c>
      <c r="BH33" s="115">
        <v>1</v>
      </c>
      <c r="BI33" s="115">
        <v>46231.329456018517</v>
      </c>
      <c r="BJ33" s="115">
        <v>1</v>
      </c>
      <c r="BK33" s="115">
        <v>46232.32885416667</v>
      </c>
      <c r="BL33" s="120">
        <v>1</v>
      </c>
      <c r="BM33" s="118">
        <v>46233.330416666664</v>
      </c>
      <c r="BN33" s="117">
        <v>1</v>
      </c>
      <c r="BO33" s="119" t="s">
        <v>15</v>
      </c>
      <c r="BP33" s="119" t="s">
        <v>15</v>
      </c>
      <c r="BQ33" s="15">
        <f t="shared" si="15"/>
        <v>31</v>
      </c>
      <c r="BR33" s="54">
        <v>2</v>
      </c>
      <c r="BS33" s="16">
        <f t="shared" si="16"/>
        <v>28</v>
      </c>
      <c r="BT33" s="17">
        <f t="shared" si="17"/>
        <v>3</v>
      </c>
      <c r="BU33" s="17">
        <f t="shared" si="18"/>
        <v>0</v>
      </c>
      <c r="BV33" s="17">
        <f t="shared" si="19"/>
        <v>0</v>
      </c>
      <c r="BW33" s="17">
        <f t="shared" si="20"/>
        <v>0</v>
      </c>
      <c r="BX33" s="17">
        <f t="shared" si="21"/>
        <v>0</v>
      </c>
      <c r="BY33" s="17">
        <f t="shared" si="22"/>
        <v>0</v>
      </c>
      <c r="BZ33" s="17">
        <f t="shared" si="23"/>
        <v>0</v>
      </c>
      <c r="CA33" s="17">
        <f t="shared" si="24"/>
        <v>0</v>
      </c>
      <c r="CB33" s="17">
        <f t="shared" si="25"/>
        <v>0</v>
      </c>
      <c r="CC33" s="17">
        <f t="shared" si="26"/>
        <v>0</v>
      </c>
      <c r="CD33" s="17">
        <f t="shared" si="27"/>
        <v>0</v>
      </c>
      <c r="CE33" s="18"/>
      <c r="CH33" s="61">
        <v>0</v>
      </c>
      <c r="CI33" s="61">
        <v>0</v>
      </c>
      <c r="CJ33" s="61">
        <v>0</v>
      </c>
      <c r="CK33" s="61">
        <v>0</v>
      </c>
      <c r="CL33" s="61">
        <v>0</v>
      </c>
      <c r="CM33" s="61">
        <v>0</v>
      </c>
      <c r="CN33" s="61">
        <v>0</v>
      </c>
      <c r="CO33" s="61">
        <v>0</v>
      </c>
      <c r="CP33" s="61">
        <v>0</v>
      </c>
      <c r="CQ33" s="61">
        <v>0</v>
      </c>
      <c r="CR33" s="61">
        <f t="shared" si="30"/>
        <v>0</v>
      </c>
    </row>
    <row r="34" spans="1:96" s="19" customFormat="1" ht="22.5" customHeight="1" x14ac:dyDescent="0.25">
      <c r="A34" s="7">
        <v>25</v>
      </c>
      <c r="B34" s="92" t="s">
        <v>101</v>
      </c>
      <c r="C34" s="105" t="s">
        <v>102</v>
      </c>
      <c r="D34" s="104"/>
      <c r="E34" s="66">
        <v>0.3298611111111111</v>
      </c>
      <c r="F34" s="66">
        <v>0.84861111111111109</v>
      </c>
      <c r="G34" s="66">
        <v>0.32847222222222222</v>
      </c>
      <c r="H34" s="66">
        <v>0.32847222222222222</v>
      </c>
      <c r="I34" s="82" t="s">
        <v>15</v>
      </c>
      <c r="J34" s="82" t="s">
        <v>15</v>
      </c>
      <c r="K34" s="66">
        <v>0.34097222222222223</v>
      </c>
      <c r="L34" s="66">
        <v>0.84305555555555556</v>
      </c>
      <c r="M34" s="76" t="s">
        <v>100</v>
      </c>
      <c r="N34" s="76" t="s">
        <v>100</v>
      </c>
      <c r="O34" s="66">
        <v>0.32847222222222222</v>
      </c>
      <c r="P34" s="66">
        <v>0.32847222222222222</v>
      </c>
      <c r="Q34" s="66">
        <v>0.33402777777777781</v>
      </c>
      <c r="R34" s="66">
        <v>0.33402777777777781</v>
      </c>
      <c r="S34" s="76" t="s">
        <v>100</v>
      </c>
      <c r="T34" s="76" t="s">
        <v>100</v>
      </c>
      <c r="U34" s="66">
        <v>0.3347222222222222</v>
      </c>
      <c r="V34" s="66">
        <v>0.81180555555555556</v>
      </c>
      <c r="W34" s="94">
        <v>0.56180555555555556</v>
      </c>
      <c r="X34" s="95">
        <v>1</v>
      </c>
      <c r="Y34" s="66">
        <v>0.33611111111111108</v>
      </c>
      <c r="Z34" s="66">
        <v>0.33611111111111108</v>
      </c>
      <c r="AA34" s="66">
        <v>0.34722222222222227</v>
      </c>
      <c r="AB34" s="66">
        <v>0.84513888888888899</v>
      </c>
      <c r="AC34" s="66">
        <v>0.34513888888888888</v>
      </c>
      <c r="AD34" s="66">
        <v>0.8569444444444444</v>
      </c>
      <c r="AE34" s="66">
        <v>0.35347222222222219</v>
      </c>
      <c r="AF34" s="66">
        <v>0.35347222222222219</v>
      </c>
      <c r="AG34" s="66">
        <v>0.34027777777777773</v>
      </c>
      <c r="AH34" s="66">
        <v>0.82847222222222217</v>
      </c>
      <c r="AI34" s="102"/>
      <c r="AJ34" s="7">
        <v>25</v>
      </c>
      <c r="AK34" s="115">
        <v>46219.34101851852</v>
      </c>
      <c r="AL34" s="115">
        <v>46219.981111111112</v>
      </c>
      <c r="AM34" s="115">
        <v>46220.569062499999</v>
      </c>
      <c r="AN34" s="115">
        <v>46220.956354166665</v>
      </c>
      <c r="AO34" s="115">
        <v>46221.340937499997</v>
      </c>
      <c r="AP34" s="115">
        <v>46221.975787037038</v>
      </c>
      <c r="AQ34" s="115">
        <v>46222.339930555558</v>
      </c>
      <c r="AR34" s="115">
        <v>46222.960034722222</v>
      </c>
      <c r="AS34" s="115">
        <v>46223.337939814817</v>
      </c>
      <c r="AT34" s="115">
        <v>46223.957280092596</v>
      </c>
      <c r="AU34" s="115">
        <v>46224.337962962964</v>
      </c>
      <c r="AV34" s="115">
        <v>1</v>
      </c>
      <c r="AW34" s="115">
        <v>46225.337314814817</v>
      </c>
      <c r="AX34" s="115">
        <v>46225.956087962964</v>
      </c>
      <c r="AY34" s="115">
        <v>46226.338935185187</v>
      </c>
      <c r="AZ34" s="115">
        <v>46226.974976851852</v>
      </c>
      <c r="BA34" s="119" t="s">
        <v>15</v>
      </c>
      <c r="BB34" s="119" t="s">
        <v>15</v>
      </c>
      <c r="BC34" s="115">
        <v>46228.339479166665</v>
      </c>
      <c r="BD34" s="115">
        <v>46228.968611111108</v>
      </c>
      <c r="BE34" s="115">
        <v>46229.336782407408</v>
      </c>
      <c r="BF34" s="115">
        <v>46229.950023148151</v>
      </c>
      <c r="BG34" s="115">
        <v>46230.335625</v>
      </c>
      <c r="BH34" s="115">
        <v>46230.949791666666</v>
      </c>
      <c r="BI34" s="115">
        <v>46231.339016203703</v>
      </c>
      <c r="BJ34" s="115">
        <v>1</v>
      </c>
      <c r="BK34" s="115">
        <v>46232.336886574078</v>
      </c>
      <c r="BL34" s="118">
        <v>46232.962870370371</v>
      </c>
      <c r="BM34" s="118">
        <v>46233.336886574078</v>
      </c>
      <c r="BN34" s="115">
        <v>46233.976875</v>
      </c>
      <c r="BO34" s="115">
        <v>46234.568622685183</v>
      </c>
      <c r="BP34" s="118">
        <v>46234.953553240739</v>
      </c>
      <c r="BQ34" s="15">
        <f>BS34+BT34+BU34+BV34+CA34+BY34+BZ34+CD34</f>
        <v>31</v>
      </c>
      <c r="BR34" s="54">
        <v>3</v>
      </c>
      <c r="BS34" s="16">
        <f t="shared" si="16"/>
        <v>27</v>
      </c>
      <c r="BT34" s="17">
        <f t="shared" si="17"/>
        <v>2</v>
      </c>
      <c r="BU34" s="17">
        <f t="shared" si="18"/>
        <v>0</v>
      </c>
      <c r="BV34" s="17">
        <f t="shared" si="19"/>
        <v>0</v>
      </c>
      <c r="BW34" s="17">
        <f t="shared" si="20"/>
        <v>0</v>
      </c>
      <c r="BX34" s="17">
        <f t="shared" si="21"/>
        <v>0</v>
      </c>
      <c r="BY34" s="17">
        <f t="shared" si="22"/>
        <v>0</v>
      </c>
      <c r="BZ34" s="17">
        <f t="shared" si="23"/>
        <v>2</v>
      </c>
      <c r="CA34" s="17">
        <f t="shared" si="24"/>
        <v>0</v>
      </c>
      <c r="CB34" s="17">
        <f t="shared" si="25"/>
        <v>0</v>
      </c>
      <c r="CC34" s="17">
        <f t="shared" si="26"/>
        <v>0</v>
      </c>
      <c r="CD34" s="17">
        <f t="shared" si="27"/>
        <v>0</v>
      </c>
      <c r="CE34" s="18"/>
      <c r="CH34" s="60">
        <v>0</v>
      </c>
      <c r="CI34" s="60">
        <v>0</v>
      </c>
      <c r="CJ34" s="60">
        <v>0</v>
      </c>
      <c r="CK34" s="60">
        <v>0</v>
      </c>
      <c r="CL34" s="60">
        <v>0</v>
      </c>
      <c r="CM34" s="59">
        <v>0</v>
      </c>
      <c r="CN34" s="60">
        <v>0</v>
      </c>
      <c r="CO34" s="59">
        <v>0</v>
      </c>
      <c r="CP34" s="59">
        <v>0</v>
      </c>
      <c r="CQ34" s="59">
        <v>0</v>
      </c>
      <c r="CR34" s="64">
        <f t="shared" ref="CR34" si="31">SUM(CH34:CQ34)</f>
        <v>0</v>
      </c>
    </row>
    <row r="35" spans="1:96" s="19" customFormat="1" ht="22.5" customHeight="1" x14ac:dyDescent="0.25">
      <c r="A35" s="7">
        <v>26</v>
      </c>
      <c r="B35" s="92" t="s">
        <v>118</v>
      </c>
      <c r="C35" s="105" t="s">
        <v>119</v>
      </c>
      <c r="D35" s="104"/>
      <c r="E35" s="125" t="s">
        <v>120</v>
      </c>
      <c r="F35" s="126"/>
      <c r="G35" s="126"/>
      <c r="H35" s="126"/>
      <c r="I35" s="126"/>
      <c r="J35" s="126"/>
      <c r="K35" s="126"/>
      <c r="L35" s="127"/>
      <c r="M35" s="93">
        <v>1</v>
      </c>
      <c r="N35" s="93">
        <v>1</v>
      </c>
      <c r="O35" s="93">
        <v>1</v>
      </c>
      <c r="P35" s="93">
        <v>1</v>
      </c>
      <c r="Q35" s="93">
        <v>1</v>
      </c>
      <c r="R35" s="93">
        <v>1</v>
      </c>
      <c r="S35" s="93">
        <v>1</v>
      </c>
      <c r="T35" s="93">
        <v>1</v>
      </c>
      <c r="U35" s="93">
        <v>1</v>
      </c>
      <c r="V35" s="93">
        <v>1</v>
      </c>
      <c r="W35" s="82" t="s">
        <v>15</v>
      </c>
      <c r="X35" s="82" t="s">
        <v>15</v>
      </c>
      <c r="Y35" s="66">
        <v>0.34930555555555554</v>
      </c>
      <c r="Z35" s="66">
        <v>0.97430555555555554</v>
      </c>
      <c r="AA35" s="66">
        <v>0.34722222222222227</v>
      </c>
      <c r="AB35" s="66">
        <v>0.94861111111111107</v>
      </c>
      <c r="AC35" s="66">
        <v>0.35069444444444442</v>
      </c>
      <c r="AD35" s="66">
        <v>0.95694444444444438</v>
      </c>
      <c r="AE35" s="66">
        <v>0.3520833333333333</v>
      </c>
      <c r="AF35" s="66">
        <v>0.95833333333333337</v>
      </c>
      <c r="AG35" s="66">
        <v>0.35069444444444442</v>
      </c>
      <c r="AH35" s="66">
        <v>0.9604166666666667</v>
      </c>
      <c r="AI35" s="96"/>
      <c r="AJ35" s="7">
        <v>26</v>
      </c>
      <c r="AK35" s="115">
        <v>46219.350034722222</v>
      </c>
      <c r="AL35" s="115">
        <v>46219.975138888891</v>
      </c>
      <c r="AM35" s="115">
        <v>46220.580879629626</v>
      </c>
      <c r="AN35" s="115">
        <v>46220.962581018517</v>
      </c>
      <c r="AO35" s="115">
        <v>46221.350995370369</v>
      </c>
      <c r="AP35" s="115">
        <v>46221.979201388887</v>
      </c>
      <c r="AQ35" s="115">
        <v>46222.353298611109</v>
      </c>
      <c r="AR35" s="115">
        <v>46222.956446759257</v>
      </c>
      <c r="AS35" s="115">
        <v>46223.351469907408</v>
      </c>
      <c r="AT35" s="115">
        <v>46223.957604166666</v>
      </c>
      <c r="AU35" s="115">
        <v>46224.352627314816</v>
      </c>
      <c r="AV35" s="115">
        <v>46224.960266203707</v>
      </c>
      <c r="AW35" s="115">
        <v>46225.351886574077</v>
      </c>
      <c r="AX35" s="115">
        <v>46225.959432870368</v>
      </c>
      <c r="AY35" s="115">
        <v>46226.352511574078</v>
      </c>
      <c r="AZ35" s="115">
        <v>46226.975347222222</v>
      </c>
      <c r="BA35" s="115">
        <v>46227.579675925925</v>
      </c>
      <c r="BB35" s="115">
        <v>46227.961331018516</v>
      </c>
      <c r="BC35" s="115">
        <v>46228.356064814812</v>
      </c>
      <c r="BD35" s="115">
        <v>46228.972013888888</v>
      </c>
      <c r="BE35" s="115">
        <v>46229.352476851855</v>
      </c>
      <c r="BF35" s="115">
        <v>46229.957615740743</v>
      </c>
      <c r="BG35" s="115">
        <v>46230.353414351855</v>
      </c>
      <c r="BH35" s="115">
        <v>46230.957743055558</v>
      </c>
      <c r="BI35" s="115">
        <v>46231.3515625</v>
      </c>
      <c r="BJ35" s="115">
        <v>46231.957233796296</v>
      </c>
      <c r="BK35" s="115">
        <v>46232.352442129632</v>
      </c>
      <c r="BL35" s="118">
        <v>46232.958113425928</v>
      </c>
      <c r="BM35" s="118">
        <v>46233.352384259262</v>
      </c>
      <c r="BN35" s="115">
        <v>46233.982488425929</v>
      </c>
      <c r="BO35" s="119" t="s">
        <v>15</v>
      </c>
      <c r="BP35" s="119" t="s">
        <v>15</v>
      </c>
      <c r="BQ35" s="15">
        <f t="shared" si="15"/>
        <v>27</v>
      </c>
      <c r="BR35" s="54">
        <v>2</v>
      </c>
      <c r="BS35" s="16">
        <f t="shared" si="16"/>
        <v>25</v>
      </c>
      <c r="BT35" s="17">
        <f t="shared" si="17"/>
        <v>2</v>
      </c>
      <c r="BU35" s="17">
        <f t="shared" si="18"/>
        <v>0</v>
      </c>
      <c r="BV35" s="17">
        <f t="shared" si="19"/>
        <v>0</v>
      </c>
      <c r="BW35" s="17">
        <f t="shared" si="20"/>
        <v>0</v>
      </c>
      <c r="BX35" s="17">
        <f t="shared" si="21"/>
        <v>0</v>
      </c>
      <c r="BY35" s="17">
        <f t="shared" si="22"/>
        <v>0</v>
      </c>
      <c r="BZ35" s="17">
        <f t="shared" si="23"/>
        <v>0</v>
      </c>
      <c r="CA35" s="17">
        <f t="shared" si="24"/>
        <v>0</v>
      </c>
      <c r="CB35" s="17">
        <f t="shared" si="25"/>
        <v>0</v>
      </c>
      <c r="CC35" s="17">
        <f t="shared" si="26"/>
        <v>0</v>
      </c>
      <c r="CD35" s="17">
        <f t="shared" si="27"/>
        <v>0</v>
      </c>
      <c r="CE35" s="18"/>
      <c r="CH35" s="61"/>
      <c r="CI35" s="61"/>
      <c r="CJ35" s="61"/>
      <c r="CK35" s="61"/>
      <c r="CL35" s="61"/>
      <c r="CM35" s="62"/>
      <c r="CN35" s="61"/>
      <c r="CO35" s="62"/>
      <c r="CP35" s="62"/>
      <c r="CQ35" s="62"/>
      <c r="CR35" s="61"/>
    </row>
    <row r="37" spans="1:96" ht="15.75" thickBot="1" x14ac:dyDescent="0.3">
      <c r="AK37" s="68"/>
    </row>
    <row r="38" spans="1:96" ht="16.5" thickBot="1" x14ac:dyDescent="0.3">
      <c r="F38" s="28"/>
      <c r="G38" s="29" t="s">
        <v>65</v>
      </c>
      <c r="H38" s="23"/>
      <c r="I38" s="29"/>
      <c r="J38" s="25"/>
      <c r="K38" s="25" t="s">
        <v>85</v>
      </c>
      <c r="L38" s="26"/>
      <c r="M38" s="27"/>
      <c r="O38" s="27"/>
      <c r="P38" s="30" t="s">
        <v>66</v>
      </c>
      <c r="Q38" s="30"/>
      <c r="R38" s="26"/>
      <c r="S38" s="26"/>
      <c r="T38" s="26"/>
      <c r="U38" s="26" t="s">
        <v>85</v>
      </c>
      <c r="V38" s="26"/>
      <c r="W38" s="26"/>
      <c r="X38" s="26"/>
      <c r="Y38" s="30" t="s">
        <v>67</v>
      </c>
      <c r="Z38" s="26"/>
      <c r="AK38" s="67"/>
      <c r="BR38" s="40" t="s">
        <v>74</v>
      </c>
      <c r="BS38" s="41"/>
      <c r="BT38" s="41"/>
      <c r="BU38" s="42" t="s">
        <v>15</v>
      </c>
      <c r="BV38" s="43"/>
      <c r="BW38" s="44" t="s">
        <v>75</v>
      </c>
      <c r="BX38" s="45"/>
      <c r="BY38" s="45"/>
      <c r="BZ38" s="46"/>
      <c r="CA38" s="47" t="s">
        <v>21</v>
      </c>
    </row>
    <row r="39" spans="1:96" ht="17.25" x14ac:dyDescent="0.25">
      <c r="F39" s="31"/>
      <c r="G39" s="25"/>
      <c r="H39" s="25"/>
      <c r="I39" s="25"/>
      <c r="J39" s="25"/>
      <c r="K39" s="25"/>
      <c r="L39" s="25"/>
      <c r="M39" s="32"/>
      <c r="O39" s="32"/>
      <c r="P39" s="32"/>
      <c r="Q39" s="25"/>
      <c r="R39" s="25"/>
      <c r="S39" s="33"/>
      <c r="T39" s="33"/>
      <c r="U39" s="33"/>
      <c r="V39" s="33"/>
      <c r="W39" s="33"/>
      <c r="X39" s="33"/>
      <c r="Y39" s="34"/>
      <c r="Z39" s="34"/>
      <c r="BR39" s="40" t="s">
        <v>76</v>
      </c>
      <c r="BS39" s="41"/>
      <c r="BT39" s="41"/>
      <c r="BU39" s="42" t="s">
        <v>16</v>
      </c>
      <c r="BV39" s="43"/>
      <c r="BW39" s="48" t="s">
        <v>77</v>
      </c>
      <c r="BX39" s="49"/>
      <c r="BY39" s="49"/>
      <c r="BZ39" s="46"/>
      <c r="CA39" s="47" t="s">
        <v>22</v>
      </c>
    </row>
    <row r="40" spans="1:96" ht="17.25" x14ac:dyDescent="0.25">
      <c r="F40" s="31"/>
      <c r="G40" s="35"/>
      <c r="H40" s="25"/>
      <c r="I40" s="35"/>
      <c r="J40" s="25"/>
      <c r="K40" s="25"/>
      <c r="L40" s="35" t="s">
        <v>85</v>
      </c>
      <c r="M40" s="36"/>
      <c r="O40" s="36"/>
      <c r="P40" s="32"/>
      <c r="Q40" s="25"/>
      <c r="R40" s="35"/>
      <c r="S40" s="26"/>
      <c r="T40" s="25"/>
      <c r="U40" s="25"/>
      <c r="V40" s="25"/>
      <c r="W40" s="25"/>
      <c r="X40" s="25"/>
      <c r="Y40" s="37"/>
      <c r="Z40" s="37"/>
      <c r="BR40" s="40" t="s">
        <v>78</v>
      </c>
      <c r="BS40" s="41"/>
      <c r="BT40" s="41"/>
      <c r="BU40" s="42" t="s">
        <v>17</v>
      </c>
      <c r="BV40" s="43"/>
      <c r="BW40" s="48" t="s">
        <v>79</v>
      </c>
      <c r="BX40" s="49"/>
      <c r="BY40" s="49"/>
      <c r="BZ40" s="46"/>
      <c r="CA40" s="47" t="s">
        <v>23</v>
      </c>
    </row>
    <row r="41" spans="1:96" ht="17.25" x14ac:dyDescent="0.25">
      <c r="F41" s="38"/>
      <c r="G41" s="35"/>
      <c r="H41" s="25"/>
      <c r="I41" s="35"/>
      <c r="J41" s="25"/>
      <c r="K41" s="25"/>
      <c r="L41" s="35"/>
      <c r="M41" s="36"/>
      <c r="O41" s="36"/>
      <c r="P41" s="32"/>
      <c r="Q41" s="26"/>
      <c r="R41" s="35"/>
      <c r="S41" s="26"/>
      <c r="T41" s="25"/>
      <c r="U41" s="25"/>
      <c r="V41" s="25"/>
      <c r="W41" s="25"/>
      <c r="X41" s="25"/>
      <c r="Y41" s="37"/>
      <c r="Z41" s="37"/>
      <c r="BR41" s="40" t="s">
        <v>80</v>
      </c>
      <c r="BS41" s="41"/>
      <c r="BT41" s="41"/>
      <c r="BU41" s="42" t="s">
        <v>18</v>
      </c>
      <c r="BV41" s="43"/>
      <c r="BW41" s="44" t="s">
        <v>81</v>
      </c>
      <c r="BX41" s="45"/>
      <c r="BY41" s="45"/>
      <c r="BZ41" s="46"/>
      <c r="CA41" s="47" t="s">
        <v>24</v>
      </c>
    </row>
    <row r="42" spans="1:96" ht="17.25" x14ac:dyDescent="0.25">
      <c r="F42" s="89"/>
      <c r="G42" s="39"/>
      <c r="H42" s="28"/>
      <c r="I42" s="89"/>
      <c r="J42" s="85"/>
      <c r="K42" s="85"/>
      <c r="L42" s="84"/>
      <c r="M42" s="87"/>
      <c r="O42" s="86"/>
      <c r="P42" s="90" t="s">
        <v>69</v>
      </c>
      <c r="Q42" s="85"/>
      <c r="R42" s="24"/>
      <c r="S42" s="85"/>
      <c r="T42" s="85"/>
      <c r="U42" s="85"/>
      <c r="V42" s="85"/>
      <c r="W42" s="85"/>
      <c r="X42" s="85"/>
      <c r="Y42" s="90" t="s">
        <v>70</v>
      </c>
      <c r="Z42" s="88"/>
      <c r="BR42" s="40" t="s">
        <v>82</v>
      </c>
      <c r="BS42" s="41"/>
      <c r="BT42" s="41"/>
      <c r="BU42" s="42" t="s">
        <v>19</v>
      </c>
      <c r="BV42" s="43"/>
      <c r="BW42" s="44" t="s">
        <v>83</v>
      </c>
      <c r="BX42" s="45"/>
      <c r="BY42" s="45"/>
      <c r="BZ42" s="46"/>
      <c r="CA42" s="47" t="s">
        <v>25</v>
      </c>
    </row>
    <row r="43" spans="1:96" ht="17.25" x14ac:dyDescent="0.25">
      <c r="F43" s="89"/>
      <c r="G43" s="89" t="s">
        <v>71</v>
      </c>
      <c r="H43" s="83"/>
      <c r="I43" s="83"/>
      <c r="J43" s="85"/>
      <c r="K43" s="85"/>
      <c r="L43" s="90"/>
      <c r="M43" s="91"/>
      <c r="O43" s="91"/>
      <c r="P43" s="90" t="s">
        <v>72</v>
      </c>
      <c r="Q43" s="90"/>
      <c r="R43" s="24"/>
      <c r="S43" s="90"/>
      <c r="T43" s="85"/>
      <c r="U43" s="85"/>
      <c r="V43" s="85"/>
      <c r="W43" s="85"/>
      <c r="X43" s="85"/>
      <c r="Y43" s="90" t="s">
        <v>73</v>
      </c>
      <c r="Z43" s="88"/>
      <c r="BR43" s="40" t="s">
        <v>84</v>
      </c>
      <c r="BS43" s="41"/>
      <c r="BT43" s="41"/>
      <c r="BU43" s="42" t="s">
        <v>20</v>
      </c>
      <c r="BV43" s="43"/>
      <c r="BW43" s="43"/>
      <c r="BX43" s="43"/>
      <c r="BY43" s="43"/>
      <c r="BZ43" s="43"/>
      <c r="CA43" s="43"/>
    </row>
    <row r="44" spans="1:96" x14ac:dyDescent="0.25">
      <c r="AW44" t="s">
        <v>85</v>
      </c>
    </row>
    <row r="48" spans="1:96" ht="15.75" x14ac:dyDescent="0.25">
      <c r="K48" s="24"/>
      <c r="N48" s="25"/>
    </row>
    <row r="53" spans="1:96" x14ac:dyDescent="0.25">
      <c r="J53" t="s">
        <v>85</v>
      </c>
    </row>
    <row r="57" spans="1:96" ht="22.5" customHeight="1" x14ac:dyDescent="0.25">
      <c r="A57" s="7">
        <v>20</v>
      </c>
      <c r="B57" s="8" t="s">
        <v>55</v>
      </c>
      <c r="C57" s="51" t="s">
        <v>56</v>
      </c>
      <c r="D57" s="75">
        <v>45764</v>
      </c>
      <c r="E57" s="74">
        <v>0.34513888888888888</v>
      </c>
      <c r="F57" s="74">
        <v>0.82986111111111116</v>
      </c>
      <c r="G57" s="74">
        <v>0.33888888888888885</v>
      </c>
      <c r="H57" s="74">
        <v>0.82847222222222217</v>
      </c>
      <c r="I57" s="78">
        <v>0.56944444444444442</v>
      </c>
      <c r="J57" s="78">
        <v>0.82291666666666663</v>
      </c>
      <c r="K57" s="74">
        <v>0.34513888888888888</v>
      </c>
      <c r="L57" s="74">
        <v>0.83263888888888893</v>
      </c>
      <c r="M57" s="74">
        <v>0.34375</v>
      </c>
      <c r="N57" s="74">
        <v>0.91041666666666676</v>
      </c>
      <c r="O57" s="74">
        <v>0.3430555555555555</v>
      </c>
      <c r="P57" s="74">
        <v>0.9555555555555556</v>
      </c>
      <c r="Q57" s="74">
        <v>0.34652777777777777</v>
      </c>
      <c r="R57" s="74">
        <v>0.83124999999999993</v>
      </c>
      <c r="S57" s="74">
        <v>0.3430555555555555</v>
      </c>
      <c r="T57" s="74">
        <v>0.74930555555555556</v>
      </c>
      <c r="U57" s="74">
        <v>0.34097222222222223</v>
      </c>
      <c r="V57" s="74">
        <v>0.92986111111111114</v>
      </c>
      <c r="W57" s="77" t="s">
        <v>15</v>
      </c>
      <c r="X57" s="77" t="s">
        <v>15</v>
      </c>
      <c r="Y57" s="74">
        <v>0.34513888888888888</v>
      </c>
      <c r="Z57" s="74">
        <v>0.87847222222222221</v>
      </c>
      <c r="AA57" s="74">
        <v>0.3444444444444445</v>
      </c>
      <c r="AB57" s="74">
        <v>0.85902777777777783</v>
      </c>
      <c r="AC57" s="74">
        <v>0.3444444444444445</v>
      </c>
      <c r="AD57" s="74">
        <v>0.85</v>
      </c>
      <c r="AE57" s="74">
        <v>0.33680555555555558</v>
      </c>
      <c r="AF57" s="74">
        <v>0.84791666666666676</v>
      </c>
      <c r="AG57" s="74">
        <v>0.3354166666666667</v>
      </c>
      <c r="AH57" s="74">
        <v>0.82638888888888884</v>
      </c>
      <c r="AI57" s="74"/>
      <c r="AJ57" s="7">
        <v>20</v>
      </c>
      <c r="AK57" s="74">
        <v>0.34652777777777777</v>
      </c>
      <c r="AL57" s="74">
        <v>0.8354166666666667</v>
      </c>
      <c r="AM57" s="78">
        <v>0.57777777777777783</v>
      </c>
      <c r="AN57" s="78">
        <v>0.87777777777777777</v>
      </c>
      <c r="AO57" s="74">
        <v>0.33888888888888885</v>
      </c>
      <c r="AP57" s="74">
        <v>0.33958333333333335</v>
      </c>
      <c r="AQ57" s="74">
        <v>0.35138888888888892</v>
      </c>
      <c r="AR57" s="74">
        <v>0.85</v>
      </c>
      <c r="AS57" s="74">
        <v>0.3430555555555555</v>
      </c>
      <c r="AT57" s="74">
        <v>0.85486111111111107</v>
      </c>
      <c r="AU57" s="74">
        <v>0.34027777777777773</v>
      </c>
      <c r="AV57" s="74">
        <v>0.85138888888888886</v>
      </c>
      <c r="AW57" s="74">
        <v>0.33333333333333331</v>
      </c>
      <c r="AX57" s="74">
        <v>0.33333333333333331</v>
      </c>
      <c r="AY57" s="74">
        <v>0.33749999999999997</v>
      </c>
      <c r="AZ57" s="74">
        <v>0.33749999999999997</v>
      </c>
      <c r="BA57" s="77" t="s">
        <v>15</v>
      </c>
      <c r="BB57" s="77" t="s">
        <v>15</v>
      </c>
      <c r="BC57" s="74" t="s">
        <v>18</v>
      </c>
      <c r="BD57" s="74" t="s">
        <v>18</v>
      </c>
      <c r="BE57" s="74" t="s">
        <v>18</v>
      </c>
      <c r="BF57" s="74" t="s">
        <v>18</v>
      </c>
      <c r="BI57" s="66"/>
      <c r="BJ57" s="66"/>
      <c r="BK57" s="66"/>
      <c r="BL57" s="66"/>
      <c r="BM57" s="66"/>
      <c r="BN57" s="66"/>
      <c r="BO57" s="110"/>
      <c r="BP57" s="110"/>
      <c r="BQ57" s="53">
        <f>BS57+BT57+BU57+BV57+CA57+BY57+BZ57+CD57</f>
        <v>23.5</v>
      </c>
      <c r="BR57" s="54"/>
      <c r="BS57" s="16">
        <f>COUNT(E57:AD57)/2+COUNT(AG57:BN57)/2</f>
        <v>21.5</v>
      </c>
      <c r="BT57" s="17">
        <f>COUNTIF(B57:BN57,"OFF")/2</f>
        <v>2</v>
      </c>
      <c r="BU57" s="17">
        <f>COUNTIF(B57:BN57,"MC")/2</f>
        <v>0</v>
      </c>
      <c r="BV57" s="17">
        <f>COUNTIF(B57:BN57,"EL")/2</f>
        <v>0</v>
      </c>
      <c r="BW57" s="17">
        <f>COUNTIF(B57:BN57,"AL")/2</f>
        <v>2</v>
      </c>
      <c r="BX57" s="17">
        <f>COUNTIF(B57:BN57,"SUS")/2</f>
        <v>0</v>
      </c>
      <c r="BY57" s="17">
        <f>COUNTIF(B57:BN57,"FL")/2</f>
        <v>0</v>
      </c>
      <c r="BZ57" s="17">
        <f>COUNTIF(B57:BN57,"SICK")/2</f>
        <v>0</v>
      </c>
      <c r="CA57" s="17">
        <f>COUNTIF(B57:BN57,"HD")/2</f>
        <v>0</v>
      </c>
      <c r="CB57" s="17">
        <f>COUNTIF(B57:BN57,"AB")/2</f>
        <v>0</v>
      </c>
      <c r="CC57" s="17">
        <f>COUNTIF(B57:BN57,"NL")/2</f>
        <v>0</v>
      </c>
      <c r="CD57" s="17">
        <f>COUNTIF(B57:BN57,"SP")/2</f>
        <v>0</v>
      </c>
      <c r="CE57" s="18"/>
      <c r="CH57" s="60">
        <v>0</v>
      </c>
      <c r="CI57" s="60">
        <v>0</v>
      </c>
      <c r="CJ57" s="60">
        <v>0</v>
      </c>
      <c r="CK57" s="60">
        <v>0</v>
      </c>
      <c r="CL57" s="60">
        <v>0</v>
      </c>
      <c r="CM57" s="60">
        <v>0</v>
      </c>
      <c r="CN57" s="60">
        <v>0</v>
      </c>
      <c r="CO57" s="60">
        <v>0</v>
      </c>
      <c r="CP57" s="60">
        <v>0</v>
      </c>
      <c r="CQ57" s="60">
        <v>0</v>
      </c>
      <c r="CR57" s="64">
        <f>SUM(CH57:CQ57)</f>
        <v>0</v>
      </c>
    </row>
    <row r="58" spans="1:96" ht="22.5" customHeight="1" x14ac:dyDescent="0.25">
      <c r="A58" s="7">
        <v>16</v>
      </c>
      <c r="B58" s="8" t="s">
        <v>50</v>
      </c>
      <c r="C58" s="51" t="s">
        <v>51</v>
      </c>
      <c r="D58" s="75">
        <v>45616</v>
      </c>
      <c r="E58" s="81">
        <v>0.57847222222222217</v>
      </c>
      <c r="F58" s="81">
        <v>0.57847222222222217</v>
      </c>
      <c r="G58" s="74">
        <v>0.33749999999999997</v>
      </c>
      <c r="H58" s="76">
        <v>1</v>
      </c>
      <c r="I58" s="74">
        <v>0.34027777777777773</v>
      </c>
      <c r="J58" s="74">
        <v>0.87361111111111101</v>
      </c>
      <c r="K58" s="74">
        <v>0.3263888888888889</v>
      </c>
      <c r="L58" s="76">
        <v>1</v>
      </c>
      <c r="M58" s="74">
        <v>0.3215277777777778</v>
      </c>
      <c r="N58" s="74">
        <v>0.86458333333333337</v>
      </c>
      <c r="O58" s="74">
        <v>0.3354166666666667</v>
      </c>
      <c r="P58" s="74">
        <v>0.82013888888888886</v>
      </c>
      <c r="Q58" s="74">
        <v>0.32916666666666666</v>
      </c>
      <c r="R58" s="74">
        <v>0.32916666666666666</v>
      </c>
      <c r="S58" s="76" t="s">
        <v>15</v>
      </c>
      <c r="T58" s="76" t="s">
        <v>15</v>
      </c>
      <c r="U58" s="74">
        <v>0.34166666666666662</v>
      </c>
      <c r="V58" s="76">
        <v>1</v>
      </c>
      <c r="W58" s="74">
        <v>0.32500000000000001</v>
      </c>
      <c r="X58" s="74">
        <v>0.84861111111111109</v>
      </c>
      <c r="Y58" s="74">
        <v>0.31111111111111112</v>
      </c>
      <c r="Z58" s="74">
        <v>0.84375</v>
      </c>
      <c r="AA58" s="74">
        <v>0.32847222222222222</v>
      </c>
      <c r="AB58" s="74">
        <v>0.32847222222222222</v>
      </c>
      <c r="AC58" s="74">
        <v>0.32916666666666666</v>
      </c>
      <c r="AD58" s="74">
        <v>0.86041666666666661</v>
      </c>
      <c r="AE58" s="74">
        <v>0.31736111111111115</v>
      </c>
      <c r="AF58" s="76">
        <v>1</v>
      </c>
      <c r="AG58" s="81">
        <v>0.56736111111111109</v>
      </c>
      <c r="AH58" s="82">
        <v>1</v>
      </c>
      <c r="AI58" s="82"/>
      <c r="AJ58" s="7">
        <v>16</v>
      </c>
      <c r="AK58" s="74">
        <v>0.32916666666666666</v>
      </c>
      <c r="AL58" s="74">
        <v>0.80694444444444446</v>
      </c>
      <c r="AM58" s="74">
        <v>0.32500000000000001</v>
      </c>
      <c r="AN58" s="76">
        <v>1</v>
      </c>
      <c r="AO58" s="74">
        <v>0.32916666666666666</v>
      </c>
      <c r="AP58" s="74">
        <v>0.90069444444444446</v>
      </c>
      <c r="AQ58" s="74">
        <v>0.3354166666666667</v>
      </c>
      <c r="AR58" s="74">
        <v>0.83611111111111114</v>
      </c>
      <c r="AS58" s="74">
        <v>0.33680555555555558</v>
      </c>
      <c r="AT58" s="74">
        <v>0.85138888888888886</v>
      </c>
      <c r="AU58" s="74">
        <v>0.33680555555555558</v>
      </c>
      <c r="AV58" s="76">
        <v>1</v>
      </c>
      <c r="AW58" s="82" t="s">
        <v>15</v>
      </c>
      <c r="AX58" s="82" t="s">
        <v>15</v>
      </c>
      <c r="AY58" s="74">
        <v>0.35625000000000001</v>
      </c>
      <c r="AZ58" s="74">
        <v>0.84930555555555554</v>
      </c>
      <c r="BA58" s="74">
        <v>0.34236111111111112</v>
      </c>
      <c r="BB58" s="74">
        <v>0.79166666666666663</v>
      </c>
      <c r="BC58" s="74">
        <v>0.34513888888888888</v>
      </c>
      <c r="BD58" s="74">
        <v>0.8881944444444444</v>
      </c>
      <c r="BE58" s="74">
        <v>0.34722222222222227</v>
      </c>
      <c r="BF58" s="76">
        <v>1</v>
      </c>
      <c r="BG58" s="82" t="s">
        <v>15</v>
      </c>
      <c r="BH58" s="82" t="s">
        <v>15</v>
      </c>
      <c r="BI58" s="74">
        <v>0.3298611111111111</v>
      </c>
      <c r="BJ58" s="74">
        <v>0.99513888888888891</v>
      </c>
      <c r="BK58" s="81">
        <v>0.58124999999999993</v>
      </c>
      <c r="BL58" s="81">
        <v>0.58124999999999993</v>
      </c>
      <c r="BQ58" s="53">
        <f t="shared" ref="BQ58" si="32">BS58+BT58+BU58+BV58+CA58+BY58+BZ58+CD58</f>
        <v>29</v>
      </c>
      <c r="BR58" s="54">
        <v>3</v>
      </c>
      <c r="BS58" s="16">
        <f>COUNT(E58:AH58)/2+COUNT(AK58:BN58)/2</f>
        <v>26</v>
      </c>
      <c r="BT58" s="17">
        <f>COUNTIF(B58:BL58,"OFF")/2</f>
        <v>3</v>
      </c>
      <c r="BU58" s="17">
        <f>COUNTIF(B58:BL58,"MC")/2</f>
        <v>0</v>
      </c>
      <c r="BV58" s="17">
        <f>COUNTIF(B58:BL58,"EL")/2</f>
        <v>0</v>
      </c>
      <c r="BW58" s="17">
        <f>COUNTIF(B58:BL58,"AL")/2</f>
        <v>0</v>
      </c>
      <c r="BX58" s="17">
        <f>COUNTIF(B58:BL58,"SUS")/2</f>
        <v>0</v>
      </c>
      <c r="BY58" s="17">
        <f>COUNTIF(B58:BL58,"FL")/2</f>
        <v>0</v>
      </c>
      <c r="BZ58" s="17">
        <f>COUNTIF(B58:BL58,"SICK")/2</f>
        <v>0</v>
      </c>
      <c r="CA58" s="17">
        <f>COUNTIF(B58:BL58,"HD")/2</f>
        <v>0</v>
      </c>
      <c r="CB58" s="17">
        <f>COUNTIF(B58:BL58,"AB")/2</f>
        <v>0</v>
      </c>
      <c r="CC58" s="17">
        <f>COUNTIF(B58:BL58,"NL")/2</f>
        <v>0</v>
      </c>
      <c r="CD58" s="17">
        <f>COUNTIF(B58:BL58,"SP")/2</f>
        <v>0</v>
      </c>
      <c r="CE58" s="18"/>
      <c r="CH58" s="61">
        <v>0</v>
      </c>
      <c r="CI58" s="61">
        <v>0</v>
      </c>
      <c r="CJ58" s="61">
        <v>1</v>
      </c>
      <c r="CK58" s="62">
        <v>0</v>
      </c>
      <c r="CL58" s="62">
        <v>0</v>
      </c>
      <c r="CM58" s="61">
        <v>6</v>
      </c>
      <c r="CN58" s="62">
        <v>0</v>
      </c>
      <c r="CO58" s="62">
        <v>1</v>
      </c>
      <c r="CP58" s="62">
        <v>0</v>
      </c>
      <c r="CQ58" s="62">
        <v>0</v>
      </c>
      <c r="CR58" s="63">
        <f t="shared" ref="CR58" si="33">SUM(CH58:CQ58)</f>
        <v>8</v>
      </c>
    </row>
    <row r="59" spans="1:96" ht="22.5" customHeight="1" x14ac:dyDescent="0.25">
      <c r="A59" s="7">
        <v>5</v>
      </c>
      <c r="B59" s="8" t="str">
        <f>'[1]Hulhumale Staffs_ Sep 2025'!B8</f>
        <v>MAD0457</v>
      </c>
      <c r="C59" s="103" t="s">
        <v>30</v>
      </c>
      <c r="D59" s="111">
        <v>44887</v>
      </c>
      <c r="E59" s="66">
        <v>0.32430555555555557</v>
      </c>
      <c r="F59" s="66">
        <v>7.6388888888888886E-3</v>
      </c>
      <c r="G59" s="66">
        <v>0.33888888888888885</v>
      </c>
      <c r="H59" s="93">
        <v>1</v>
      </c>
      <c r="I59" s="66">
        <v>0.32569444444444445</v>
      </c>
      <c r="J59" s="66">
        <v>0.58958333333333335</v>
      </c>
      <c r="K59" s="76" t="s">
        <v>18</v>
      </c>
      <c r="L59" s="76" t="s">
        <v>18</v>
      </c>
      <c r="M59" s="76" t="s">
        <v>18</v>
      </c>
      <c r="N59" s="76" t="s">
        <v>18</v>
      </c>
      <c r="S59" s="66"/>
      <c r="T59" s="66"/>
      <c r="U59" s="66"/>
      <c r="V59" s="66"/>
      <c r="W59" s="66"/>
      <c r="X59" s="66"/>
      <c r="Y59" s="66"/>
      <c r="Z59" s="66"/>
      <c r="AA59" s="94"/>
      <c r="AB59" s="94"/>
      <c r="AC59" s="66"/>
      <c r="AD59" s="66"/>
      <c r="AE59" s="66"/>
      <c r="AF59" s="66"/>
      <c r="AG59" s="66"/>
      <c r="AH59" s="66"/>
      <c r="AI59" s="102"/>
      <c r="AJ59" s="107">
        <v>3</v>
      </c>
      <c r="AK59" s="74"/>
      <c r="AL59" s="74"/>
      <c r="AM59" s="74"/>
      <c r="AN59" s="74"/>
      <c r="AO59" s="74"/>
      <c r="AP59" s="74"/>
      <c r="AQ59" s="81"/>
      <c r="AR59" s="81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82"/>
      <c r="BF59" s="82"/>
      <c r="BG59" s="74"/>
      <c r="BH59" s="74"/>
      <c r="BI59" s="74"/>
      <c r="BJ59" s="74"/>
      <c r="BK59" s="74"/>
      <c r="BL59" s="74"/>
      <c r="BM59" s="74"/>
      <c r="BN59" s="76"/>
      <c r="BO59" s="76"/>
      <c r="BP59" s="76"/>
      <c r="BQ59" s="15">
        <f>BS59+BT59+BU59+BV59+CA59+BY59+BZ59+CD59</f>
        <v>3</v>
      </c>
      <c r="BR59" s="72"/>
      <c r="BS59" s="16">
        <f>COUNT(E59:AH59)/2+COUNT(AK59:BN59)/2</f>
        <v>3</v>
      </c>
      <c r="BT59" s="2">
        <f>COUNTIF(E59:BN59,"OFF")/2</f>
        <v>0</v>
      </c>
      <c r="BU59" s="17">
        <f>COUNTIF(B59:BE59,"MC")/2</f>
        <v>0</v>
      </c>
      <c r="BV59" s="17">
        <f>COUNTIF(B59:BE59,"EL")/2</f>
        <v>0</v>
      </c>
      <c r="BW59" s="17">
        <f>COUNTIF(B59:BE59,"AL")/2</f>
        <v>2</v>
      </c>
      <c r="BX59" s="17">
        <f>COUNTIF(B59:BE59,"SUS")/2</f>
        <v>0</v>
      </c>
      <c r="BY59" s="17">
        <f>COUNTIF(B59:BE59,"FL")/2</f>
        <v>0</v>
      </c>
      <c r="BZ59" s="17">
        <f>COUNTIF(B59:BE59,"SICK")/2</f>
        <v>0</v>
      </c>
      <c r="CA59" s="17">
        <f>COUNTIF(B59:BE59,"HD")/2</f>
        <v>0</v>
      </c>
      <c r="CB59" s="17">
        <f>COUNTIF(B59:BE59,"AB")/2</f>
        <v>0</v>
      </c>
      <c r="CC59" s="17">
        <f>COUNTIF(B59:BE59,"NL")/2</f>
        <v>0</v>
      </c>
      <c r="CD59" s="17">
        <f>COUNTIF(B59:BE59,"SP")/2</f>
        <v>0</v>
      </c>
      <c r="CE59" s="69"/>
      <c r="CH59" s="60">
        <v>0</v>
      </c>
      <c r="CI59" s="60">
        <v>0</v>
      </c>
      <c r="CJ59" s="60">
        <v>0</v>
      </c>
      <c r="CK59" s="60">
        <v>0</v>
      </c>
      <c r="CL59" s="60">
        <v>0</v>
      </c>
      <c r="CM59" s="60">
        <v>0</v>
      </c>
      <c r="CN59" s="60">
        <v>0</v>
      </c>
      <c r="CO59" s="60">
        <v>0</v>
      </c>
      <c r="CP59" s="60">
        <v>0</v>
      </c>
      <c r="CQ59" s="60">
        <v>0</v>
      </c>
      <c r="CR59" s="64">
        <f>SUM(CH59:CQ59)</f>
        <v>0</v>
      </c>
    </row>
    <row r="60" spans="1:96" ht="22.5" customHeight="1" x14ac:dyDescent="0.25">
      <c r="A60" s="7">
        <v>10</v>
      </c>
      <c r="B60" s="8" t="s">
        <v>41</v>
      </c>
      <c r="C60" s="103" t="s">
        <v>42</v>
      </c>
      <c r="D60" s="104">
        <v>45382</v>
      </c>
      <c r="E60" s="66">
        <v>0.33402777777777781</v>
      </c>
      <c r="F60" s="66">
        <v>0.84791666666666676</v>
      </c>
      <c r="G60" s="66">
        <v>0.34097222222222223</v>
      </c>
      <c r="H60" s="66">
        <v>0.82430555555555562</v>
      </c>
      <c r="I60" s="94">
        <v>0.56597222222222221</v>
      </c>
      <c r="J60" s="94">
        <v>0.79652777777777783</v>
      </c>
      <c r="K60" s="66">
        <v>0.34097222222222223</v>
      </c>
      <c r="L60" s="66">
        <v>0.83611111111111114</v>
      </c>
      <c r="M60" s="66">
        <v>0.34027777777777773</v>
      </c>
      <c r="N60" s="66">
        <v>0.85069444444444453</v>
      </c>
      <c r="O60" s="66">
        <v>0.33749999999999997</v>
      </c>
      <c r="P60" s="93">
        <v>1</v>
      </c>
      <c r="Q60" s="66">
        <v>0.33333333333333331</v>
      </c>
      <c r="R60" s="66">
        <v>3.4027777777777775E-2</v>
      </c>
      <c r="S60" s="66">
        <v>0.33402777777777781</v>
      </c>
      <c r="T60" s="66">
        <v>0.8222222222222223</v>
      </c>
      <c r="U60" s="66">
        <v>0.33819444444444446</v>
      </c>
      <c r="V60" s="66">
        <v>0.81180555555555556</v>
      </c>
      <c r="W60" s="82" t="s">
        <v>15</v>
      </c>
      <c r="X60" s="82" t="s">
        <v>15</v>
      </c>
      <c r="Y60" s="66">
        <v>0.33749999999999997</v>
      </c>
      <c r="Z60" s="66">
        <v>1</v>
      </c>
      <c r="AA60" s="66">
        <v>0.34791666666666665</v>
      </c>
      <c r="AB60" s="66">
        <v>0.34791666666666665</v>
      </c>
      <c r="AC60" s="66">
        <v>0.35486111111111113</v>
      </c>
      <c r="AD60" s="66">
        <v>0.35486111111111113</v>
      </c>
      <c r="AE60" s="66"/>
      <c r="AF60" s="66"/>
      <c r="AG60" s="66"/>
      <c r="AH60" s="66"/>
      <c r="AI60" s="96"/>
      <c r="AJ60" s="107">
        <v>10</v>
      </c>
      <c r="AK60" s="74"/>
      <c r="AL60" s="74"/>
      <c r="AM60" s="74"/>
      <c r="AN60" s="74"/>
      <c r="AO60" s="74"/>
      <c r="AP60" s="74"/>
      <c r="AQ60" s="81"/>
      <c r="AR60" s="81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82"/>
      <c r="BF60" s="82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15">
        <f>BS60+BT60+BU60+BV60+CA60+BY60+BZ60+CD60</f>
        <v>13</v>
      </c>
      <c r="BR60" s="54"/>
      <c r="BS60" s="16">
        <f>COUNT(E60:AD60)/2+COUNT(AK60:BN60)/2</f>
        <v>12</v>
      </c>
      <c r="BT60" s="17">
        <f>COUNTIF(B60:BJ60,"OFF")/2</f>
        <v>1</v>
      </c>
      <c r="BU60" s="17">
        <f>COUNTIF(B60:BJ60,"MC")/2</f>
        <v>0</v>
      </c>
      <c r="BV60" s="17">
        <f>COUNTIF(B60:BJ60,"EL")/2</f>
        <v>0</v>
      </c>
      <c r="BW60" s="17">
        <f>COUNTIF(B60:BJ60,"AL")/2</f>
        <v>0</v>
      </c>
      <c r="BX60" s="17">
        <f>COUNTIF(B60:BJ60,"SUS")/2</f>
        <v>0</v>
      </c>
      <c r="BY60" s="17">
        <f>COUNTIF(B60:BJ60,"FL")/2</f>
        <v>0</v>
      </c>
      <c r="BZ60" s="17">
        <f>COUNTIF(B60:BJ60,"SICK")/2</f>
        <v>0</v>
      </c>
      <c r="CA60" s="17">
        <f>COUNTIF(B60:BN60,"HD")/2</f>
        <v>0</v>
      </c>
      <c r="CB60" s="17">
        <f>COUNTIF(B60:BJ60,"AB")/2</f>
        <v>0</v>
      </c>
      <c r="CC60" s="17">
        <f>COUNTIF(B60:BJ60,"NL")/2</f>
        <v>0</v>
      </c>
      <c r="CD60" s="17">
        <f>COUNTIF(B60:BJ60,"SP")/2</f>
        <v>0</v>
      </c>
      <c r="CE60" s="18"/>
      <c r="CH60" s="60">
        <v>0</v>
      </c>
      <c r="CI60" s="60">
        <v>0</v>
      </c>
      <c r="CJ60" s="60">
        <v>0</v>
      </c>
      <c r="CK60" s="60">
        <v>0</v>
      </c>
      <c r="CL60" s="60">
        <v>0</v>
      </c>
      <c r="CM60" s="59">
        <v>3</v>
      </c>
      <c r="CN60" s="60">
        <v>0</v>
      </c>
      <c r="CO60" s="60">
        <v>0</v>
      </c>
      <c r="CP60" s="60">
        <v>0</v>
      </c>
      <c r="CQ60" s="60">
        <v>0</v>
      </c>
      <c r="CR60" s="64">
        <f>SUM(CH60:CQ60)</f>
        <v>3</v>
      </c>
    </row>
    <row r="61" spans="1:96" ht="22.5" customHeight="1" x14ac:dyDescent="0.25">
      <c r="A61" s="7">
        <v>12</v>
      </c>
      <c r="B61" s="8" t="s">
        <v>45</v>
      </c>
      <c r="C61" s="103" t="s">
        <v>105</v>
      </c>
      <c r="D61" s="104">
        <v>45387</v>
      </c>
      <c r="E61" s="66">
        <v>0.35486111111111113</v>
      </c>
      <c r="F61" s="66">
        <v>0.96597222222222223</v>
      </c>
      <c r="G61" s="66">
        <v>0.35555555555555557</v>
      </c>
      <c r="H61" s="66">
        <v>2.0833333333333332E-2</v>
      </c>
      <c r="I61" s="82" t="s">
        <v>15</v>
      </c>
      <c r="J61" s="82" t="s">
        <v>15</v>
      </c>
      <c r="K61" s="66">
        <v>0.35486111111111113</v>
      </c>
      <c r="L61" s="66">
        <v>0.99791666666666667</v>
      </c>
      <c r="M61" s="66">
        <v>0.3576388888888889</v>
      </c>
      <c r="N61" s="66">
        <v>0.95833333333333337</v>
      </c>
      <c r="O61" s="66">
        <v>0.35833333333333334</v>
      </c>
      <c r="P61" s="66">
        <v>0.94861111111111107</v>
      </c>
      <c r="Q61" s="66">
        <v>0.3576388888888889</v>
      </c>
      <c r="R61" s="66">
        <v>0.95138888888888884</v>
      </c>
      <c r="S61" s="66">
        <v>0.32500000000000001</v>
      </c>
      <c r="T61" s="66">
        <v>0.97916666666666663</v>
      </c>
      <c r="U61" s="66">
        <v>0.32430555555555557</v>
      </c>
      <c r="V61" s="66">
        <v>0.97986111111111107</v>
      </c>
      <c r="W61" s="94">
        <v>0.55208333333333337</v>
      </c>
      <c r="X61" s="94">
        <v>0.95486111111111116</v>
      </c>
      <c r="Y61" s="66">
        <v>0.3298611111111111</v>
      </c>
      <c r="Z61" s="66">
        <v>0.9902777777777777</v>
      </c>
      <c r="AA61" s="66">
        <v>0.3430555555555555</v>
      </c>
      <c r="AB61" s="66">
        <v>3.472222222222222E-3</v>
      </c>
      <c r="AC61" s="66">
        <v>0.3430555555555555</v>
      </c>
      <c r="AD61" s="66"/>
      <c r="AE61" s="66"/>
      <c r="AF61" s="66"/>
      <c r="AG61" s="66"/>
      <c r="AH61" s="66"/>
      <c r="AI61" s="102"/>
      <c r="AJ61" s="107">
        <v>12</v>
      </c>
      <c r="AK61" s="74"/>
      <c r="AL61" s="74"/>
      <c r="AM61" s="74"/>
      <c r="AN61" s="74"/>
      <c r="AO61" s="74"/>
      <c r="AP61" s="74"/>
      <c r="AQ61" s="82"/>
      <c r="AR61" s="82"/>
      <c r="AS61" s="74"/>
      <c r="AT61" s="76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15">
        <f>BS61+BT61+BU61+BV61+CA61+BY61+BZ61+CD61</f>
        <v>12.5</v>
      </c>
      <c r="BR61" s="54"/>
      <c r="BS61" s="16">
        <f>COUNT(E61:AD61)/2+COUNT(AK61:BN61)/2</f>
        <v>11.5</v>
      </c>
      <c r="BT61" s="17">
        <f>COUNTIF(B61:BJ61,"OFF")/2</f>
        <v>1</v>
      </c>
      <c r="BU61" s="17">
        <f>COUNTIF(B61:BJ61,"MC")/2</f>
        <v>0</v>
      </c>
      <c r="BV61" s="17">
        <f>COUNTIF(B61:BJ61,"EL")/2</f>
        <v>0</v>
      </c>
      <c r="BW61" s="17">
        <f>COUNTIF(B61:BJ61,"AL")/2</f>
        <v>0</v>
      </c>
      <c r="BX61" s="17">
        <f>COUNTIF(B61:BJ61,"SUS")/2</f>
        <v>0</v>
      </c>
      <c r="BY61" s="17">
        <f>COUNTIF(B61:BJ61,"FL")/2</f>
        <v>0</v>
      </c>
      <c r="BZ61" s="17">
        <f>COUNTIF(B61:BJ61,"SICK")/2</f>
        <v>0</v>
      </c>
      <c r="CA61" s="17">
        <f>COUNTIF(B61:BJ61,"HD")/2</f>
        <v>0</v>
      </c>
      <c r="CB61" s="17">
        <f>COUNTIF(B61:BJ61,"AB")/2</f>
        <v>0</v>
      </c>
      <c r="CC61" s="17">
        <f>COUNTIF(B61:BJ61,"NL")/2</f>
        <v>0</v>
      </c>
      <c r="CD61" s="17">
        <f>COUNTIF(B61:BJ61,"SP")/2</f>
        <v>0</v>
      </c>
      <c r="CE61" s="18"/>
      <c r="CH61" s="60">
        <v>0</v>
      </c>
      <c r="CI61" s="60">
        <v>0</v>
      </c>
      <c r="CJ61" s="60">
        <v>0</v>
      </c>
      <c r="CK61" s="60">
        <v>0</v>
      </c>
      <c r="CL61" s="60">
        <v>0</v>
      </c>
      <c r="CM61" s="60">
        <v>0</v>
      </c>
      <c r="CN61" s="60">
        <v>0</v>
      </c>
      <c r="CO61" s="60">
        <v>0</v>
      </c>
      <c r="CP61" s="60">
        <v>0</v>
      </c>
      <c r="CQ61" s="60">
        <v>0</v>
      </c>
      <c r="CR61" s="64">
        <f>SUM(CH61:CQ61)</f>
        <v>0</v>
      </c>
    </row>
  </sheetData>
  <mergeCells count="136">
    <mergeCell ref="BO15:BP15"/>
    <mergeCell ref="BO14:BP14"/>
    <mergeCell ref="E3:F3"/>
    <mergeCell ref="Y2:Z2"/>
    <mergeCell ref="W3:X3"/>
    <mergeCell ref="U3:V3"/>
    <mergeCell ref="S3:T3"/>
    <mergeCell ref="AE2:AF2"/>
    <mergeCell ref="AC3:AD3"/>
    <mergeCell ref="BA3:BB3"/>
    <mergeCell ref="BE2:BF2"/>
    <mergeCell ref="BC2:BD2"/>
    <mergeCell ref="BA2:BB2"/>
    <mergeCell ref="AA3:AB3"/>
    <mergeCell ref="Y3:Z3"/>
    <mergeCell ref="G3:H3"/>
    <mergeCell ref="AQ3:AR3"/>
    <mergeCell ref="AS3:AT3"/>
    <mergeCell ref="AU3:AV3"/>
    <mergeCell ref="AW2:AX2"/>
    <mergeCell ref="Q3:R3"/>
    <mergeCell ref="AA2:AB2"/>
    <mergeCell ref="AK2:AL2"/>
    <mergeCell ref="AS2:AT2"/>
    <mergeCell ref="M14:N14"/>
    <mergeCell ref="O14:P14"/>
    <mergeCell ref="K15:L15"/>
    <mergeCell ref="AE14:AF14"/>
    <mergeCell ref="M3:N3"/>
    <mergeCell ref="I3:J3"/>
    <mergeCell ref="K3:L3"/>
    <mergeCell ref="Y15:Z15"/>
    <mergeCell ref="AA15:AB15"/>
    <mergeCell ref="AC15:AD15"/>
    <mergeCell ref="Q14:R14"/>
    <mergeCell ref="S14:T14"/>
    <mergeCell ref="M15:N15"/>
    <mergeCell ref="O15:P15"/>
    <mergeCell ref="Q15:R15"/>
    <mergeCell ref="S15:T15"/>
    <mergeCell ref="O3:P3"/>
    <mergeCell ref="AE3:AF3"/>
    <mergeCell ref="U14:V14"/>
    <mergeCell ref="W14:X14"/>
    <mergeCell ref="Y14:Z14"/>
    <mergeCell ref="AA14:AB14"/>
    <mergeCell ref="AC14:AD14"/>
    <mergeCell ref="BI14:BJ14"/>
    <mergeCell ref="BK2:BL2"/>
    <mergeCell ref="BI2:BJ2"/>
    <mergeCell ref="CH2:CQ2"/>
    <mergeCell ref="CH14:CQ14"/>
    <mergeCell ref="BG14:BH14"/>
    <mergeCell ref="BG3:BH3"/>
    <mergeCell ref="BG2:BH2"/>
    <mergeCell ref="AG2:AH2"/>
    <mergeCell ref="AS14:AT14"/>
    <mergeCell ref="AU14:AV14"/>
    <mergeCell ref="AM14:AN14"/>
    <mergeCell ref="AM3:AN3"/>
    <mergeCell ref="AO3:AP3"/>
    <mergeCell ref="BM3:BN3"/>
    <mergeCell ref="BM2:BN2"/>
    <mergeCell ref="BO3:BP3"/>
    <mergeCell ref="BO2:BP2"/>
    <mergeCell ref="AU2:AV2"/>
    <mergeCell ref="BK3:BL3"/>
    <mergeCell ref="AG14:AH14"/>
    <mergeCell ref="BE15:BF15"/>
    <mergeCell ref="BE3:BF3"/>
    <mergeCell ref="BA14:BB14"/>
    <mergeCell ref="AW3:AX3"/>
    <mergeCell ref="AY3:AZ3"/>
    <mergeCell ref="AU15:AV15"/>
    <mergeCell ref="AS15:AT15"/>
    <mergeCell ref="AK15:AL15"/>
    <mergeCell ref="AM15:AN15"/>
    <mergeCell ref="AO15:AP15"/>
    <mergeCell ref="AQ15:AR15"/>
    <mergeCell ref="BC14:BD14"/>
    <mergeCell ref="AK14:AL14"/>
    <mergeCell ref="BC3:BD3"/>
    <mergeCell ref="BA15:BB15"/>
    <mergeCell ref="BC15:BD15"/>
    <mergeCell ref="AW14:AX14"/>
    <mergeCell ref="AY14:AZ14"/>
    <mergeCell ref="AW15:AX15"/>
    <mergeCell ref="AY15:AZ15"/>
    <mergeCell ref="A1:AH1"/>
    <mergeCell ref="AJ1:CE1"/>
    <mergeCell ref="A2:C3"/>
    <mergeCell ref="E2:F2"/>
    <mergeCell ref="G2:H2"/>
    <mergeCell ref="I2:J2"/>
    <mergeCell ref="K2:L2"/>
    <mergeCell ref="M2:N2"/>
    <mergeCell ref="O2:P2"/>
    <mergeCell ref="Q2:R2"/>
    <mergeCell ref="AM2:AN2"/>
    <mergeCell ref="AO2:AP2"/>
    <mergeCell ref="AQ2:AR2"/>
    <mergeCell ref="S2:T2"/>
    <mergeCell ref="U2:V2"/>
    <mergeCell ref="W2:X2"/>
    <mergeCell ref="AY2:AZ2"/>
    <mergeCell ref="AG3:AH3"/>
    <mergeCell ref="AK3:AL3"/>
    <mergeCell ref="AC2:AD2"/>
    <mergeCell ref="BQ2:BQ4"/>
    <mergeCell ref="BR2:BR4"/>
    <mergeCell ref="BS2:CE2"/>
    <mergeCell ref="BI3:BJ3"/>
    <mergeCell ref="E35:L35"/>
    <mergeCell ref="E14:F14"/>
    <mergeCell ref="G14:H14"/>
    <mergeCell ref="BR14:BR16"/>
    <mergeCell ref="A14:C15"/>
    <mergeCell ref="BG15:BH15"/>
    <mergeCell ref="AG15:AH15"/>
    <mergeCell ref="BQ14:BQ16"/>
    <mergeCell ref="AE15:AF15"/>
    <mergeCell ref="E15:F15"/>
    <mergeCell ref="G15:H15"/>
    <mergeCell ref="I15:J15"/>
    <mergeCell ref="U15:V15"/>
    <mergeCell ref="W15:X15"/>
    <mergeCell ref="AO14:AP14"/>
    <mergeCell ref="AQ14:AR14"/>
    <mergeCell ref="BE14:BF14"/>
    <mergeCell ref="I14:J14"/>
    <mergeCell ref="K14:L14"/>
    <mergeCell ref="BK15:BL15"/>
    <mergeCell ref="BK14:BL14"/>
    <mergeCell ref="BI15:BJ15"/>
    <mergeCell ref="BM15:BN15"/>
    <mergeCell ref="BM14:BN14"/>
  </mergeCells>
  <phoneticPr fontId="17" type="noConversion"/>
  <conditionalFormatting sqref="A2 BR17:BR35 BR60:BR61">
    <cfRule type="cellIs" dxfId="642" priority="3389" operator="equal">
      <formula>";"</formula>
    </cfRule>
  </conditionalFormatting>
  <conditionalFormatting sqref="A14">
    <cfRule type="cellIs" dxfId="641" priority="3388" stopIfTrue="1" operator="equal">
      <formula>";"</formula>
    </cfRule>
  </conditionalFormatting>
  <conditionalFormatting sqref="C1:C5 C7 C9:C35 C37:C1048576">
    <cfRule type="duplicateValues" dxfId="640" priority="3428"/>
  </conditionalFormatting>
  <conditionalFormatting sqref="C1:C5 C7:C35 C37:C1048576">
    <cfRule type="duplicateValues" dxfId="639" priority="3399"/>
  </conditionalFormatting>
  <conditionalFormatting sqref="C6">
    <cfRule type="duplicateValues" dxfId="638" priority="251"/>
    <cfRule type="duplicateValues" dxfId="637" priority="252"/>
  </conditionalFormatting>
  <conditionalFormatting sqref="C8">
    <cfRule type="duplicateValues" dxfId="636" priority="289"/>
    <cfRule type="duplicateValues" dxfId="635" priority="287"/>
    <cfRule type="duplicateValues" dxfId="634" priority="286"/>
  </conditionalFormatting>
  <conditionalFormatting sqref="C8:D8">
    <cfRule type="duplicateValues" dxfId="633" priority="288"/>
  </conditionalFormatting>
  <conditionalFormatting sqref="D5:D6">
    <cfRule type="timePeriod" dxfId="632" priority="1484" timePeriod="thisWeek">
      <formula>AND(TODAY()-ROUNDDOWN(D5,0)&lt;=WEEKDAY(TODAY())-1,ROUNDDOWN(D5,0)-TODAY()&lt;=7-WEEKDAY(TODAY()))</formula>
    </cfRule>
    <cfRule type="timePeriod" dxfId="631" priority="1485" timePeriod="last7Days">
      <formula>AND(TODAY()-FLOOR(D5,1)&lt;=6,FLOOR(D5,1)&lt;=TODAY())</formula>
    </cfRule>
  </conditionalFormatting>
  <conditionalFormatting sqref="D5:D9">
    <cfRule type="timePeriod" dxfId="630" priority="1487" timePeriod="nextWeek">
      <formula>AND(ROUNDDOWN(D5,0)-TODAY()&gt;(7-WEEKDAY(TODAY())),ROUNDDOWN(D5,0)-TODAY()&lt;(15-WEEKDAY(TODAY())))</formula>
    </cfRule>
  </conditionalFormatting>
  <conditionalFormatting sqref="D5:D11 D57:D61">
    <cfRule type="timePeriod" priority="275" timePeriod="nextWeek">
      <formula>AND(ROUNDDOWN(D5,0)-TODAY()&gt;(7-WEEKDAY(TODAY())),ROUNDDOWN(D5,0)-TODAY()&lt;(15-WEEKDAY(TODAY())))</formula>
    </cfRule>
  </conditionalFormatting>
  <conditionalFormatting sqref="D8">
    <cfRule type="timePeriod" dxfId="629" priority="276" timePeriod="last7Days">
      <formula>AND(TODAY()-FLOOR(D8,1)&lt;=6,FLOOR(D8,1)&lt;=TODAY())</formula>
    </cfRule>
    <cfRule type="timePeriod" dxfId="628" priority="277" timePeriod="thisWeek">
      <formula>AND(TODAY()-ROUNDDOWN(D8,0)&lt;=WEEKDAY(TODAY())-1,ROUNDDOWN(D8,0)-TODAY()&lt;=7-WEEKDAY(TODAY()))</formula>
    </cfRule>
  </conditionalFormatting>
  <conditionalFormatting sqref="D9">
    <cfRule type="timePeriod" dxfId="627" priority="1585" timePeriod="last7Days">
      <formula>AND(TODAY()-FLOOR(D9,1)&lt;=6,FLOOR(D9,1)&lt;=TODAY())</formula>
    </cfRule>
  </conditionalFormatting>
  <conditionalFormatting sqref="D9:D11">
    <cfRule type="timePeriod" dxfId="626" priority="1573" timePeriod="thisWeek">
      <formula>AND(TODAY()-ROUNDDOWN(D9,0)&lt;=WEEKDAY(TODAY())-1,ROUNDDOWN(D9,0)-TODAY()&lt;=7-WEEKDAY(TODAY()))</formula>
    </cfRule>
  </conditionalFormatting>
  <conditionalFormatting sqref="D10:D11">
    <cfRule type="timePeriod" dxfId="625" priority="1572" timePeriod="last7Days">
      <formula>AND(TODAY()-FLOOR(D10,1)&lt;=6,FLOOR(D10,1)&lt;=TODAY())</formula>
    </cfRule>
    <cfRule type="timePeriod" dxfId="624" priority="1575" timePeriod="nextWeek">
      <formula>AND(ROUNDDOWN(D10,0)-TODAY()&gt;(7-WEEKDAY(TODAY())),ROUNDDOWN(D10,0)-TODAY()&lt;(15-WEEKDAY(TODAY())))</formula>
    </cfRule>
  </conditionalFormatting>
  <conditionalFormatting sqref="D17:D35 D57:D58 D60:D61">
    <cfRule type="timePeriod" dxfId="623" priority="906" timePeriod="thisWeek">
      <formula>AND(TODAY()-ROUNDDOWN(D17,0)&lt;=WEEKDAY(TODAY())-1,ROUNDDOWN(D17,0)-TODAY()&lt;=7-WEEKDAY(TODAY()))</formula>
    </cfRule>
    <cfRule type="timePeriod" dxfId="622" priority="907" timePeriod="last7Days">
      <formula>AND(TODAY()-FLOOR(D17,1)&lt;=6,FLOOR(D17,1)&lt;=TODAY())</formula>
    </cfRule>
  </conditionalFormatting>
  <conditionalFormatting sqref="D17:D35 D57:D61">
    <cfRule type="timePeriod" dxfId="621" priority="909" timePeriod="nextWeek">
      <formula>AND(ROUNDDOWN(D17,0)-TODAY()&gt;(7-WEEKDAY(TODAY())),ROUNDDOWN(D17,0)-TODAY()&lt;(15-WEEKDAY(TODAY())))</formula>
    </cfRule>
  </conditionalFormatting>
  <conditionalFormatting sqref="D17:D35">
    <cfRule type="timePeriod" priority="908" timePeriod="nextWeek">
      <formula>AND(ROUNDDOWN(D17,0)-TODAY()&gt;(7-WEEKDAY(TODAY())),ROUNDDOWN(D17,0)-TODAY()&lt;(15-WEEKDAY(TODAY())))</formula>
    </cfRule>
  </conditionalFormatting>
  <conditionalFormatting sqref="E6:J6">
    <cfRule type="containsText" dxfId="620" priority="240" operator="containsText" text="AL">
      <formula>NOT(ISERROR(SEARCH("AL",E6)))</formula>
    </cfRule>
    <cfRule type="containsText" dxfId="619" priority="239" operator="containsText" text="SICK">
      <formula>NOT(ISERROR(SEARCH("SICK",E6)))</formula>
    </cfRule>
    <cfRule type="containsText" dxfId="618" priority="238" operator="containsText" text="AB">
      <formula>NOT(ISERROR(SEARCH("AB",E6)))</formula>
    </cfRule>
    <cfRule type="containsText" dxfId="617" priority="237" operator="containsText" text="OFF">
      <formula>NOT(ISERROR(SEARCH("OFF",E6)))</formula>
    </cfRule>
    <cfRule type="containsText" dxfId="616" priority="236" operator="containsText" text="FL">
      <formula>NOT(ISERROR(SEARCH("FL",E6)))</formula>
    </cfRule>
    <cfRule type="containsText" dxfId="615" priority="235" operator="containsText" text="SUS">
      <formula>NOT(ISERROR(SEARCH("SUS",E6)))</formula>
    </cfRule>
    <cfRule type="containsText" dxfId="614" priority="234" operator="containsText" text="MC">
      <formula>NOT(ISERROR(SEARCH("MC",E6)))</formula>
    </cfRule>
    <cfRule type="containsText" dxfId="613" priority="233" operator="containsText" text="NL">
      <formula>NOT(ISERROR(SEARCH("NL",E6)))</formula>
    </cfRule>
    <cfRule type="containsText" dxfId="612" priority="232" operator="containsText" text="SP">
      <formula>NOT(ISERROR(SEARCH("SP",E6)))</formula>
    </cfRule>
    <cfRule type="containsText" dxfId="611" priority="231" operator="containsText" text="EL">
      <formula>NOT(ISERROR(SEARCH("EL",E6)))</formula>
    </cfRule>
  </conditionalFormatting>
  <conditionalFormatting sqref="G21:H21">
    <cfRule type="containsText" dxfId="610" priority="209" operator="containsText" text="SICK">
      <formula>NOT(ISERROR(SEARCH("SICK",G21)))</formula>
    </cfRule>
    <cfRule type="containsText" dxfId="609" priority="208" operator="containsText" text="AB">
      <formula>NOT(ISERROR(SEARCH("AB",G21)))</formula>
    </cfRule>
    <cfRule type="containsText" dxfId="608" priority="207" operator="containsText" text="OFF">
      <formula>NOT(ISERROR(SEARCH("OFF",G21)))</formula>
    </cfRule>
    <cfRule type="containsText" dxfId="607" priority="206" operator="containsText" text="FL">
      <formula>NOT(ISERROR(SEARCH("FL",G21)))</formula>
    </cfRule>
    <cfRule type="containsText" dxfId="606" priority="204" operator="containsText" text="MC">
      <formula>NOT(ISERROR(SEARCH("MC",G21)))</formula>
    </cfRule>
    <cfRule type="containsText" dxfId="605" priority="203" operator="containsText" text="NL">
      <formula>NOT(ISERROR(SEARCH("NL",G21)))</formula>
    </cfRule>
    <cfRule type="containsText" dxfId="604" priority="202" operator="containsText" text="SP">
      <formula>NOT(ISERROR(SEARCH("SP",G21)))</formula>
    </cfRule>
    <cfRule type="containsText" dxfId="603" priority="201" operator="containsText" text="EL">
      <formula>NOT(ISERROR(SEARCH("EL",G21)))</formula>
    </cfRule>
    <cfRule type="containsText" dxfId="602" priority="205" operator="containsText" text="SUS">
      <formula>NOT(ISERROR(SEARCH("SUS",G21)))</formula>
    </cfRule>
    <cfRule type="containsText" dxfId="601" priority="210" operator="containsText" text="AL">
      <formula>NOT(ISERROR(SEARCH("AL",G21)))</formula>
    </cfRule>
  </conditionalFormatting>
  <conditionalFormatting sqref="I9:J9">
    <cfRule type="containsText" dxfId="600" priority="230" operator="containsText" text="AL">
      <formula>NOT(ISERROR(SEARCH("AL",I9)))</formula>
    </cfRule>
    <cfRule type="containsText" dxfId="599" priority="229" operator="containsText" text="SICK">
      <formula>NOT(ISERROR(SEARCH("SICK",I9)))</formula>
    </cfRule>
    <cfRule type="containsText" dxfId="598" priority="228" operator="containsText" text="AB">
      <formula>NOT(ISERROR(SEARCH("AB",I9)))</formula>
    </cfRule>
    <cfRule type="containsText" dxfId="597" priority="227" operator="containsText" text="OFF">
      <formula>NOT(ISERROR(SEARCH("OFF",I9)))</formula>
    </cfRule>
    <cfRule type="containsText" dxfId="596" priority="226" operator="containsText" text="FL">
      <formula>NOT(ISERROR(SEARCH("FL",I9)))</formula>
    </cfRule>
    <cfRule type="containsText" dxfId="595" priority="225" operator="containsText" text="SUS">
      <formula>NOT(ISERROR(SEARCH("SUS",I9)))</formula>
    </cfRule>
    <cfRule type="containsText" dxfId="594" priority="224" operator="containsText" text="MC">
      <formula>NOT(ISERROR(SEARCH("MC",I9)))</formula>
    </cfRule>
    <cfRule type="containsText" dxfId="593" priority="223" operator="containsText" text="NL">
      <formula>NOT(ISERROR(SEARCH("NL",I9)))</formula>
    </cfRule>
    <cfRule type="containsText" dxfId="592" priority="222" operator="containsText" text="SP">
      <formula>NOT(ISERROR(SEARCH("SP",I9)))</formula>
    </cfRule>
    <cfRule type="containsText" dxfId="591" priority="221" operator="containsText" text="EL">
      <formula>NOT(ISERROR(SEARCH("EL",I9)))</formula>
    </cfRule>
  </conditionalFormatting>
  <conditionalFormatting sqref="I11:J11">
    <cfRule type="containsText" dxfId="590" priority="212" operator="containsText" text="SP">
      <formula>NOT(ISERROR(SEARCH("SP",I11)))</formula>
    </cfRule>
    <cfRule type="containsText" dxfId="589" priority="213" operator="containsText" text="NL">
      <formula>NOT(ISERROR(SEARCH("NL",I11)))</formula>
    </cfRule>
    <cfRule type="containsText" dxfId="588" priority="211" operator="containsText" text="EL">
      <formula>NOT(ISERROR(SEARCH("EL",I11)))</formula>
    </cfRule>
    <cfRule type="containsText" dxfId="587" priority="214" operator="containsText" text="MC">
      <formula>NOT(ISERROR(SEARCH("MC",I11)))</formula>
    </cfRule>
    <cfRule type="containsText" dxfId="586" priority="220" operator="containsText" text="AL">
      <formula>NOT(ISERROR(SEARCH("AL",I11)))</formula>
    </cfRule>
    <cfRule type="containsText" dxfId="585" priority="219" operator="containsText" text="SICK">
      <formula>NOT(ISERROR(SEARCH("SICK",I11)))</formula>
    </cfRule>
    <cfRule type="containsText" dxfId="584" priority="218" operator="containsText" text="AB">
      <formula>NOT(ISERROR(SEARCH("AB",I11)))</formula>
    </cfRule>
    <cfRule type="containsText" dxfId="583" priority="217" operator="containsText" text="OFF">
      <formula>NOT(ISERROR(SEARCH("OFF",I11)))</formula>
    </cfRule>
    <cfRule type="containsText" dxfId="582" priority="216" operator="containsText" text="FL">
      <formula>NOT(ISERROR(SEARCH("FL",I11)))</formula>
    </cfRule>
    <cfRule type="containsText" dxfId="581" priority="215" operator="containsText" text="SUS">
      <formula>NOT(ISERROR(SEARCH("SUS",I11)))</formula>
    </cfRule>
  </conditionalFormatting>
  <conditionalFormatting sqref="I24:J25">
    <cfRule type="containsText" dxfId="580" priority="165" operator="containsText" text="SUS">
      <formula>NOT(ISERROR(SEARCH("SUS",I24)))</formula>
    </cfRule>
    <cfRule type="containsText" dxfId="579" priority="166" operator="containsText" text="FL">
      <formula>NOT(ISERROR(SEARCH("FL",I24)))</formula>
    </cfRule>
    <cfRule type="containsText" dxfId="578" priority="167" operator="containsText" text="OFF">
      <formula>NOT(ISERROR(SEARCH("OFF",I24)))</formula>
    </cfRule>
    <cfRule type="containsText" dxfId="577" priority="168" operator="containsText" text="AB">
      <formula>NOT(ISERROR(SEARCH("AB",I24)))</formula>
    </cfRule>
    <cfRule type="containsText" dxfId="576" priority="169" operator="containsText" text="SICK">
      <formula>NOT(ISERROR(SEARCH("SICK",I24)))</formula>
    </cfRule>
    <cfRule type="containsText" dxfId="575" priority="170" operator="containsText" text="AL">
      <formula>NOT(ISERROR(SEARCH("AL",I24)))</formula>
    </cfRule>
    <cfRule type="containsText" dxfId="574" priority="161" operator="containsText" text="EL">
      <formula>NOT(ISERROR(SEARCH("EL",I24)))</formula>
    </cfRule>
    <cfRule type="containsText" dxfId="573" priority="162" operator="containsText" text="SP">
      <formula>NOT(ISERROR(SEARCH("SP",I24)))</formula>
    </cfRule>
    <cfRule type="containsText" dxfId="572" priority="163" operator="containsText" text="NL">
      <formula>NOT(ISERROR(SEARCH("NL",I24)))</formula>
    </cfRule>
    <cfRule type="containsText" dxfId="571" priority="164" operator="containsText" text="MC">
      <formula>NOT(ISERROR(SEARCH("MC",I24)))</formula>
    </cfRule>
  </conditionalFormatting>
  <conditionalFormatting sqref="I27:J27">
    <cfRule type="containsText" dxfId="570" priority="154" operator="containsText" text="MC">
      <formula>NOT(ISERROR(SEARCH("MC",I27)))</formula>
    </cfRule>
    <cfRule type="containsText" dxfId="569" priority="153" operator="containsText" text="NL">
      <formula>NOT(ISERROR(SEARCH("NL",I27)))</formula>
    </cfRule>
    <cfRule type="containsText" dxfId="568" priority="152" operator="containsText" text="SP">
      <formula>NOT(ISERROR(SEARCH("SP",I27)))</formula>
    </cfRule>
    <cfRule type="containsText" dxfId="567" priority="151" operator="containsText" text="EL">
      <formula>NOT(ISERROR(SEARCH("EL",I27)))</formula>
    </cfRule>
    <cfRule type="containsText" dxfId="566" priority="160" operator="containsText" text="AL">
      <formula>NOT(ISERROR(SEARCH("AL",I27)))</formula>
    </cfRule>
    <cfRule type="containsText" dxfId="565" priority="156" operator="containsText" text="FL">
      <formula>NOT(ISERROR(SEARCH("FL",I27)))</formula>
    </cfRule>
    <cfRule type="containsText" dxfId="564" priority="157" operator="containsText" text="OFF">
      <formula>NOT(ISERROR(SEARCH("OFF",I27)))</formula>
    </cfRule>
    <cfRule type="containsText" dxfId="563" priority="158" operator="containsText" text="AB">
      <formula>NOT(ISERROR(SEARCH("AB",I27)))</formula>
    </cfRule>
    <cfRule type="containsText" dxfId="562" priority="159" operator="containsText" text="SICK">
      <formula>NOT(ISERROR(SEARCH("SICK",I27)))</formula>
    </cfRule>
    <cfRule type="containsText" dxfId="561" priority="155" operator="containsText" text="SUS">
      <formula>NOT(ISERROR(SEARCH("SUS",I27)))</formula>
    </cfRule>
  </conditionalFormatting>
  <conditionalFormatting sqref="I33:J34">
    <cfRule type="containsText" dxfId="560" priority="141" operator="containsText" text="EL">
      <formula>NOT(ISERROR(SEARCH("EL",I33)))</formula>
    </cfRule>
    <cfRule type="containsText" dxfId="559" priority="144" operator="containsText" text="MC">
      <formula>NOT(ISERROR(SEARCH("MC",I33)))</formula>
    </cfRule>
    <cfRule type="containsText" dxfId="558" priority="147" operator="containsText" text="OFF">
      <formula>NOT(ISERROR(SEARCH("OFF",I33)))</formula>
    </cfRule>
    <cfRule type="containsText" dxfId="557" priority="150" operator="containsText" text="AL">
      <formula>NOT(ISERROR(SEARCH("AL",I33)))</formula>
    </cfRule>
    <cfRule type="containsText" dxfId="556" priority="145" operator="containsText" text="SUS">
      <formula>NOT(ISERROR(SEARCH("SUS",I33)))</formula>
    </cfRule>
    <cfRule type="containsText" dxfId="555" priority="146" operator="containsText" text="FL">
      <formula>NOT(ISERROR(SEARCH("FL",I33)))</formula>
    </cfRule>
    <cfRule type="containsText" dxfId="554" priority="148" operator="containsText" text="AB">
      <formula>NOT(ISERROR(SEARCH("AB",I33)))</formula>
    </cfRule>
    <cfRule type="containsText" dxfId="553" priority="149" operator="containsText" text="SICK">
      <formula>NOT(ISERROR(SEARCH("SICK",I33)))</formula>
    </cfRule>
    <cfRule type="containsText" dxfId="552" priority="142" operator="containsText" text="SP">
      <formula>NOT(ISERROR(SEARCH("SP",I33)))</formula>
    </cfRule>
    <cfRule type="containsText" dxfId="551" priority="143" operator="containsText" text="NL">
      <formula>NOT(ISERROR(SEARCH("NL",I33)))</formula>
    </cfRule>
  </conditionalFormatting>
  <conditionalFormatting sqref="K21:N21">
    <cfRule type="containsText" dxfId="550" priority="196" operator="containsText" text="FL">
      <formula>NOT(ISERROR(SEARCH("FL",K21)))</formula>
    </cfRule>
    <cfRule type="containsText" dxfId="549" priority="195" operator="containsText" text="SUS">
      <formula>NOT(ISERROR(SEARCH("SUS",K21)))</formula>
    </cfRule>
    <cfRule type="containsText" dxfId="548" priority="194" operator="containsText" text="MC">
      <formula>NOT(ISERROR(SEARCH("MC",K21)))</formula>
    </cfRule>
    <cfRule type="containsText" dxfId="547" priority="193" operator="containsText" text="NL">
      <formula>NOT(ISERROR(SEARCH("NL",K21)))</formula>
    </cfRule>
    <cfRule type="containsText" dxfId="546" priority="192" operator="containsText" text="SP">
      <formula>NOT(ISERROR(SEARCH("SP",K21)))</formula>
    </cfRule>
    <cfRule type="containsText" dxfId="545" priority="191" operator="containsText" text="EL">
      <formula>NOT(ISERROR(SEARCH("EL",K21)))</formula>
    </cfRule>
    <cfRule type="containsText" dxfId="544" priority="200" operator="containsText" text="AL">
      <formula>NOT(ISERROR(SEARCH("AL",K21)))</formula>
    </cfRule>
    <cfRule type="containsText" dxfId="543" priority="199" operator="containsText" text="SICK">
      <formula>NOT(ISERROR(SEARCH("SICK",K21)))</formula>
    </cfRule>
    <cfRule type="containsText" dxfId="542" priority="198" operator="containsText" text="AB">
      <formula>NOT(ISERROR(SEARCH("AB",K21)))</formula>
    </cfRule>
    <cfRule type="containsText" dxfId="541" priority="197" operator="containsText" text="OFF">
      <formula>NOT(ISERROR(SEARCH("OFF",K21)))</formula>
    </cfRule>
  </conditionalFormatting>
  <conditionalFormatting sqref="K59:N59">
    <cfRule type="containsText" dxfId="540" priority="246" operator="containsText" text="FL">
      <formula>NOT(ISERROR(SEARCH("FL",K59)))</formula>
    </cfRule>
    <cfRule type="containsText" dxfId="539" priority="245" operator="containsText" text="SUS">
      <formula>NOT(ISERROR(SEARCH("SUS",K59)))</formula>
    </cfRule>
    <cfRule type="containsText" dxfId="538" priority="244" operator="containsText" text="MC">
      <formula>NOT(ISERROR(SEARCH("MC",K59)))</formula>
    </cfRule>
    <cfRule type="containsText" dxfId="537" priority="243" operator="containsText" text="NL">
      <formula>NOT(ISERROR(SEARCH("NL",K59)))</formula>
    </cfRule>
    <cfRule type="containsText" dxfId="536" priority="241" operator="containsText" text="EL">
      <formula>NOT(ISERROR(SEARCH("EL",K59)))</formula>
    </cfRule>
    <cfRule type="containsText" dxfId="535" priority="249" operator="containsText" text="SICK">
      <formula>NOT(ISERROR(SEARCH("SICK",K59)))</formula>
    </cfRule>
    <cfRule type="containsText" dxfId="534" priority="250" operator="containsText" text="AL">
      <formula>NOT(ISERROR(SEARCH("AL",K59)))</formula>
    </cfRule>
    <cfRule type="containsText" dxfId="533" priority="242" operator="containsText" text="SP">
      <formula>NOT(ISERROR(SEARCH("SP",K59)))</formula>
    </cfRule>
    <cfRule type="containsText" dxfId="532" priority="248" operator="containsText" text="AB">
      <formula>NOT(ISERROR(SEARCH("AB",K59)))</formula>
    </cfRule>
    <cfRule type="containsText" dxfId="531" priority="247" operator="containsText" text="OFF">
      <formula>NOT(ISERROR(SEARCH("OFF",K59)))</formula>
    </cfRule>
  </conditionalFormatting>
  <conditionalFormatting sqref="M34:N34">
    <cfRule type="containsText" dxfId="530" priority="181" operator="containsText" text="EL">
      <formula>NOT(ISERROR(SEARCH("EL",M34)))</formula>
    </cfRule>
    <cfRule type="containsText" dxfId="529" priority="182" operator="containsText" text="SP">
      <formula>NOT(ISERROR(SEARCH("SP",M34)))</formula>
    </cfRule>
    <cfRule type="containsText" dxfId="528" priority="183" operator="containsText" text="NL">
      <formula>NOT(ISERROR(SEARCH("NL",M34)))</formula>
    </cfRule>
    <cfRule type="containsText" dxfId="527" priority="189" operator="containsText" text="SICK">
      <formula>NOT(ISERROR(SEARCH("SICK",M34)))</formula>
    </cfRule>
    <cfRule type="containsText" dxfId="526" priority="187" operator="containsText" text="OFF">
      <formula>NOT(ISERROR(SEARCH("OFF",M34)))</formula>
    </cfRule>
    <cfRule type="containsText" dxfId="525" priority="186" operator="containsText" text="FL">
      <formula>NOT(ISERROR(SEARCH("FL",M34)))</formula>
    </cfRule>
    <cfRule type="containsText" dxfId="524" priority="185" operator="containsText" text="SUS">
      <formula>NOT(ISERROR(SEARCH("SUS",M34)))</formula>
    </cfRule>
    <cfRule type="containsText" dxfId="523" priority="184" operator="containsText" text="MC">
      <formula>NOT(ISERROR(SEARCH("MC",M34)))</formula>
    </cfRule>
    <cfRule type="containsText" dxfId="522" priority="190" operator="containsText" text="AL">
      <formula>NOT(ISERROR(SEARCH("AL",M34)))</formula>
    </cfRule>
    <cfRule type="containsText" dxfId="521" priority="188" operator="containsText" text="AB">
      <formula>NOT(ISERROR(SEARCH("AB",M34)))</formula>
    </cfRule>
  </conditionalFormatting>
  <conditionalFormatting sqref="S34:T34">
    <cfRule type="containsText" dxfId="520" priority="91" operator="containsText" text="EL">
      <formula>NOT(ISERROR(SEARCH("EL",S34)))</formula>
    </cfRule>
    <cfRule type="containsText" dxfId="519" priority="97" operator="containsText" text="OFF">
      <formula>NOT(ISERROR(SEARCH("OFF",S34)))</formula>
    </cfRule>
    <cfRule type="containsText" dxfId="518" priority="98" operator="containsText" text="AB">
      <formula>NOT(ISERROR(SEARCH("AB",S34)))</formula>
    </cfRule>
    <cfRule type="containsText" dxfId="517" priority="99" operator="containsText" text="SICK">
      <formula>NOT(ISERROR(SEARCH("SICK",S34)))</formula>
    </cfRule>
    <cfRule type="containsText" dxfId="516" priority="100" operator="containsText" text="AL">
      <formula>NOT(ISERROR(SEARCH("AL",S34)))</formula>
    </cfRule>
    <cfRule type="containsText" dxfId="515" priority="96" operator="containsText" text="FL">
      <formula>NOT(ISERROR(SEARCH("FL",S34)))</formula>
    </cfRule>
    <cfRule type="containsText" dxfId="514" priority="95" operator="containsText" text="SUS">
      <formula>NOT(ISERROR(SEARCH("SUS",S34)))</formula>
    </cfRule>
    <cfRule type="containsText" dxfId="513" priority="94" operator="containsText" text="MC">
      <formula>NOT(ISERROR(SEARCH("MC",S34)))</formula>
    </cfRule>
    <cfRule type="containsText" dxfId="512" priority="93" operator="containsText" text="NL">
      <formula>NOT(ISERROR(SEARCH("NL",S34)))</formula>
    </cfRule>
    <cfRule type="containsText" dxfId="511" priority="92" operator="containsText" text="SP">
      <formula>NOT(ISERROR(SEARCH("SP",S34)))</formula>
    </cfRule>
  </conditionalFormatting>
  <conditionalFormatting sqref="S58:T58">
    <cfRule type="containsText" dxfId="510" priority="670" operator="containsText" text="AL">
      <formula>NOT(ISERROR(SEARCH("AL",S58)))</formula>
    </cfRule>
    <cfRule type="containsText" dxfId="509" priority="669" operator="containsText" text="SICK">
      <formula>NOT(ISERROR(SEARCH("SICK",S58)))</formula>
    </cfRule>
    <cfRule type="containsText" dxfId="508" priority="668" operator="containsText" text="AB">
      <formula>NOT(ISERROR(SEARCH("AB",S58)))</formula>
    </cfRule>
    <cfRule type="containsText" dxfId="507" priority="667" operator="containsText" text="OFF">
      <formula>NOT(ISERROR(SEARCH("OFF",S58)))</formula>
    </cfRule>
    <cfRule type="containsText" dxfId="506" priority="661" operator="containsText" text="EL">
      <formula>NOT(ISERROR(SEARCH("EL",S58)))</formula>
    </cfRule>
    <cfRule type="containsText" dxfId="505" priority="662" operator="containsText" text="SP">
      <formula>NOT(ISERROR(SEARCH("SP",S58)))</formula>
    </cfRule>
    <cfRule type="containsText" dxfId="504" priority="663" operator="containsText" text="NL">
      <formula>NOT(ISERROR(SEARCH("NL",S58)))</formula>
    </cfRule>
    <cfRule type="containsText" dxfId="503" priority="664" operator="containsText" text="MC">
      <formula>NOT(ISERROR(SEARCH("MC",S58)))</formula>
    </cfRule>
    <cfRule type="containsText" dxfId="502" priority="666" operator="containsText" text="FL">
      <formula>NOT(ISERROR(SEARCH("FL",S58)))</formula>
    </cfRule>
    <cfRule type="containsText" dxfId="501" priority="665" operator="containsText" text="SUS">
      <formula>NOT(ISERROR(SEARCH("SUS",S58)))</formula>
    </cfRule>
  </conditionalFormatting>
  <conditionalFormatting sqref="W5:X5">
    <cfRule type="containsText" dxfId="500" priority="7" operator="containsText" text="OFF">
      <formula>NOT(ISERROR(SEARCH("OFF",W5)))</formula>
    </cfRule>
    <cfRule type="containsText" dxfId="499" priority="9" operator="containsText" text="SICK">
      <formula>NOT(ISERROR(SEARCH("SICK",W5)))</formula>
    </cfRule>
    <cfRule type="containsText" dxfId="498" priority="10" operator="containsText" text="AL">
      <formula>NOT(ISERROR(SEARCH("AL",W5)))</formula>
    </cfRule>
    <cfRule type="containsText" dxfId="497" priority="1" operator="containsText" text="EL">
      <formula>NOT(ISERROR(SEARCH("EL",W5)))</formula>
    </cfRule>
    <cfRule type="containsText" dxfId="496" priority="8" operator="containsText" text="AB">
      <formula>NOT(ISERROR(SEARCH("AB",W5)))</formula>
    </cfRule>
    <cfRule type="containsText" dxfId="495" priority="2" operator="containsText" text="SP">
      <formula>NOT(ISERROR(SEARCH("SP",W5)))</formula>
    </cfRule>
    <cfRule type="containsText" dxfId="494" priority="3" operator="containsText" text="NL">
      <formula>NOT(ISERROR(SEARCH("NL",W5)))</formula>
    </cfRule>
    <cfRule type="containsText" dxfId="493" priority="4" operator="containsText" text="MC">
      <formula>NOT(ISERROR(SEARCH("MC",W5)))</formula>
    </cfRule>
    <cfRule type="containsText" dxfId="492" priority="5" operator="containsText" text="SUS">
      <formula>NOT(ISERROR(SEARCH("SUS",W5)))</formula>
    </cfRule>
    <cfRule type="containsText" dxfId="491" priority="6" operator="containsText" text="FL">
      <formula>NOT(ISERROR(SEARCH("FL",W5)))</formula>
    </cfRule>
  </conditionalFormatting>
  <conditionalFormatting sqref="W7:X8">
    <cfRule type="containsText" dxfId="490" priority="127" operator="containsText" text="OFF">
      <formula>NOT(ISERROR(SEARCH("OFF",W7)))</formula>
    </cfRule>
    <cfRule type="containsText" dxfId="489" priority="124" operator="containsText" text="MC">
      <formula>NOT(ISERROR(SEARCH("MC",W7)))</formula>
    </cfRule>
    <cfRule type="containsText" dxfId="488" priority="123" operator="containsText" text="NL">
      <formula>NOT(ISERROR(SEARCH("NL",W7)))</formula>
    </cfRule>
    <cfRule type="containsText" dxfId="487" priority="122" operator="containsText" text="SP">
      <formula>NOT(ISERROR(SEARCH("SP",W7)))</formula>
    </cfRule>
    <cfRule type="containsText" dxfId="486" priority="121" operator="containsText" text="EL">
      <formula>NOT(ISERROR(SEARCH("EL",W7)))</formula>
    </cfRule>
    <cfRule type="containsText" dxfId="485" priority="129" operator="containsText" text="SICK">
      <formula>NOT(ISERROR(SEARCH("SICK",W7)))</formula>
    </cfRule>
    <cfRule type="containsText" dxfId="484" priority="126" operator="containsText" text="FL">
      <formula>NOT(ISERROR(SEARCH("FL",W7)))</formula>
    </cfRule>
    <cfRule type="containsText" dxfId="483" priority="130" operator="containsText" text="AL">
      <formula>NOT(ISERROR(SEARCH("AL",W7)))</formula>
    </cfRule>
    <cfRule type="containsText" dxfId="482" priority="128" operator="containsText" text="AB">
      <formula>NOT(ISERROR(SEARCH("AB",W7)))</formula>
    </cfRule>
    <cfRule type="containsText" dxfId="481" priority="125" operator="containsText" text="SUS">
      <formula>NOT(ISERROR(SEARCH("SUS",W7)))</formula>
    </cfRule>
  </conditionalFormatting>
  <conditionalFormatting sqref="W17:X17">
    <cfRule type="containsText" dxfId="480" priority="84" operator="containsText" text="MC">
      <formula>NOT(ISERROR(SEARCH("MC",W17)))</formula>
    </cfRule>
    <cfRule type="containsText" dxfId="479" priority="83" operator="containsText" text="NL">
      <formula>NOT(ISERROR(SEARCH("NL",W17)))</formula>
    </cfRule>
    <cfRule type="containsText" dxfId="478" priority="85" operator="containsText" text="SUS">
      <formula>NOT(ISERROR(SEARCH("SUS",W17)))</formula>
    </cfRule>
    <cfRule type="containsText" dxfId="477" priority="86" operator="containsText" text="FL">
      <formula>NOT(ISERROR(SEARCH("FL",W17)))</formula>
    </cfRule>
    <cfRule type="containsText" dxfId="476" priority="87" operator="containsText" text="OFF">
      <formula>NOT(ISERROR(SEARCH("OFF",W17)))</formula>
    </cfRule>
    <cfRule type="containsText" dxfId="475" priority="81" operator="containsText" text="EL">
      <formula>NOT(ISERROR(SEARCH("EL",W17)))</formula>
    </cfRule>
    <cfRule type="containsText" dxfId="474" priority="82" operator="containsText" text="SP">
      <formula>NOT(ISERROR(SEARCH("SP",W17)))</formula>
    </cfRule>
    <cfRule type="containsText" dxfId="473" priority="90" operator="containsText" text="AL">
      <formula>NOT(ISERROR(SEARCH("AL",W17)))</formula>
    </cfRule>
    <cfRule type="containsText" dxfId="472" priority="89" operator="containsText" text="SICK">
      <formula>NOT(ISERROR(SEARCH("SICK",W17)))</formula>
    </cfRule>
    <cfRule type="containsText" dxfId="471" priority="88" operator="containsText" text="AB">
      <formula>NOT(ISERROR(SEARCH("AB",W17)))</formula>
    </cfRule>
  </conditionalFormatting>
  <conditionalFormatting sqref="W19:X20">
    <cfRule type="containsText" dxfId="470" priority="65" operator="containsText" text="SUS">
      <formula>NOT(ISERROR(SEARCH("SUS",W19)))</formula>
    </cfRule>
    <cfRule type="containsText" dxfId="469" priority="64" operator="containsText" text="MC">
      <formula>NOT(ISERROR(SEARCH("MC",W19)))</formula>
    </cfRule>
    <cfRule type="containsText" dxfId="468" priority="63" operator="containsText" text="NL">
      <formula>NOT(ISERROR(SEARCH("NL",W19)))</formula>
    </cfRule>
    <cfRule type="containsText" dxfId="467" priority="69" operator="containsText" text="SICK">
      <formula>NOT(ISERROR(SEARCH("SICK",W19)))</formula>
    </cfRule>
    <cfRule type="containsText" dxfId="466" priority="62" operator="containsText" text="SP">
      <formula>NOT(ISERROR(SEARCH("SP",W19)))</formula>
    </cfRule>
    <cfRule type="containsText" dxfId="465" priority="61" operator="containsText" text="EL">
      <formula>NOT(ISERROR(SEARCH("EL",W19)))</formula>
    </cfRule>
    <cfRule type="containsText" dxfId="464" priority="70" operator="containsText" text="AL">
      <formula>NOT(ISERROR(SEARCH("AL",W19)))</formula>
    </cfRule>
    <cfRule type="containsText" dxfId="463" priority="68" operator="containsText" text="AB">
      <formula>NOT(ISERROR(SEARCH("AB",W19)))</formula>
    </cfRule>
    <cfRule type="containsText" dxfId="462" priority="67" operator="containsText" text="OFF">
      <formula>NOT(ISERROR(SEARCH("OFF",W19)))</formula>
    </cfRule>
    <cfRule type="containsText" dxfId="461" priority="66" operator="containsText" text="FL">
      <formula>NOT(ISERROR(SEARCH("FL",W19)))</formula>
    </cfRule>
  </conditionalFormatting>
  <conditionalFormatting sqref="W26:X26">
    <cfRule type="containsText" dxfId="460" priority="56" operator="containsText" text="FL">
      <formula>NOT(ISERROR(SEARCH("FL",W26)))</formula>
    </cfRule>
    <cfRule type="containsText" dxfId="459" priority="51" operator="containsText" text="EL">
      <formula>NOT(ISERROR(SEARCH("EL",W26)))</formula>
    </cfRule>
    <cfRule type="containsText" dxfId="458" priority="52" operator="containsText" text="SP">
      <formula>NOT(ISERROR(SEARCH("SP",W26)))</formula>
    </cfRule>
    <cfRule type="containsText" dxfId="457" priority="53" operator="containsText" text="NL">
      <formula>NOT(ISERROR(SEARCH("NL",W26)))</formula>
    </cfRule>
    <cfRule type="containsText" dxfId="456" priority="54" operator="containsText" text="MC">
      <formula>NOT(ISERROR(SEARCH("MC",W26)))</formula>
    </cfRule>
    <cfRule type="containsText" dxfId="455" priority="55" operator="containsText" text="SUS">
      <formula>NOT(ISERROR(SEARCH("SUS",W26)))</formula>
    </cfRule>
    <cfRule type="containsText" dxfId="454" priority="57" operator="containsText" text="OFF">
      <formula>NOT(ISERROR(SEARCH("OFF",W26)))</formula>
    </cfRule>
    <cfRule type="containsText" dxfId="453" priority="58" operator="containsText" text="AB">
      <formula>NOT(ISERROR(SEARCH("AB",W26)))</formula>
    </cfRule>
    <cfRule type="containsText" dxfId="452" priority="59" operator="containsText" text="SICK">
      <formula>NOT(ISERROR(SEARCH("SICK",W26)))</formula>
    </cfRule>
    <cfRule type="containsText" dxfId="451" priority="60" operator="containsText" text="AL">
      <formula>NOT(ISERROR(SEARCH("AL",W26)))</formula>
    </cfRule>
  </conditionalFormatting>
  <conditionalFormatting sqref="W29:X32">
    <cfRule type="containsText" dxfId="450" priority="41" operator="containsText" text="EL">
      <formula>NOT(ISERROR(SEARCH("EL",W29)))</formula>
    </cfRule>
    <cfRule type="containsText" dxfId="449" priority="50" operator="containsText" text="AL">
      <formula>NOT(ISERROR(SEARCH("AL",W29)))</formula>
    </cfRule>
    <cfRule type="containsText" dxfId="448" priority="49" operator="containsText" text="SICK">
      <formula>NOT(ISERROR(SEARCH("SICK",W29)))</formula>
    </cfRule>
    <cfRule type="containsText" dxfId="447" priority="47" operator="containsText" text="OFF">
      <formula>NOT(ISERROR(SEARCH("OFF",W29)))</formula>
    </cfRule>
    <cfRule type="containsText" dxfId="446" priority="46" operator="containsText" text="FL">
      <formula>NOT(ISERROR(SEARCH("FL",W29)))</formula>
    </cfRule>
    <cfRule type="containsText" dxfId="445" priority="45" operator="containsText" text="SUS">
      <formula>NOT(ISERROR(SEARCH("SUS",W29)))</formula>
    </cfRule>
    <cfRule type="containsText" dxfId="444" priority="44" operator="containsText" text="MC">
      <formula>NOT(ISERROR(SEARCH("MC",W29)))</formula>
    </cfRule>
    <cfRule type="containsText" dxfId="443" priority="43" operator="containsText" text="NL">
      <formula>NOT(ISERROR(SEARCH("NL",W29)))</formula>
    </cfRule>
    <cfRule type="containsText" dxfId="442" priority="42" operator="containsText" text="SP">
      <formula>NOT(ISERROR(SEARCH("SP",W29)))</formula>
    </cfRule>
    <cfRule type="containsText" dxfId="441" priority="48" operator="containsText" text="AB">
      <formula>NOT(ISERROR(SEARCH("AB",W29)))</formula>
    </cfRule>
  </conditionalFormatting>
  <conditionalFormatting sqref="W35:X35">
    <cfRule type="containsText" dxfId="440" priority="33" operator="containsText" text="NL">
      <formula>NOT(ISERROR(SEARCH("NL",W35)))</formula>
    </cfRule>
    <cfRule type="containsText" dxfId="439" priority="32" operator="containsText" text="SP">
      <formula>NOT(ISERROR(SEARCH("SP",W35)))</formula>
    </cfRule>
    <cfRule type="containsText" dxfId="438" priority="31" operator="containsText" text="EL">
      <formula>NOT(ISERROR(SEARCH("EL",W35)))</formula>
    </cfRule>
    <cfRule type="containsText" dxfId="437" priority="40" operator="containsText" text="AL">
      <formula>NOT(ISERROR(SEARCH("AL",W35)))</formula>
    </cfRule>
    <cfRule type="containsText" dxfId="436" priority="39" operator="containsText" text="SICK">
      <formula>NOT(ISERROR(SEARCH("SICK",W35)))</formula>
    </cfRule>
    <cfRule type="containsText" dxfId="435" priority="38" operator="containsText" text="AB">
      <formula>NOT(ISERROR(SEARCH("AB",W35)))</formula>
    </cfRule>
    <cfRule type="containsText" dxfId="434" priority="36" operator="containsText" text="FL">
      <formula>NOT(ISERROR(SEARCH("FL",W35)))</formula>
    </cfRule>
    <cfRule type="containsText" dxfId="433" priority="35" operator="containsText" text="SUS">
      <formula>NOT(ISERROR(SEARCH("SUS",W35)))</formula>
    </cfRule>
    <cfRule type="containsText" dxfId="432" priority="34" operator="containsText" text="MC">
      <formula>NOT(ISERROR(SEARCH("MC",W35)))</formula>
    </cfRule>
    <cfRule type="containsText" dxfId="431" priority="37" operator="containsText" text="OFF">
      <formula>NOT(ISERROR(SEARCH("OFF",W35)))</formula>
    </cfRule>
  </conditionalFormatting>
  <conditionalFormatting sqref="W60:X60">
    <cfRule type="containsText" dxfId="430" priority="135" operator="containsText" text="SUS">
      <formula>NOT(ISERROR(SEARCH("SUS",W60)))</formula>
    </cfRule>
    <cfRule type="containsText" dxfId="429" priority="134" operator="containsText" text="MC">
      <formula>NOT(ISERROR(SEARCH("MC",W60)))</formula>
    </cfRule>
    <cfRule type="containsText" dxfId="428" priority="133" operator="containsText" text="NL">
      <formula>NOT(ISERROR(SEARCH("NL",W60)))</formula>
    </cfRule>
    <cfRule type="containsText" dxfId="427" priority="131" operator="containsText" text="EL">
      <formula>NOT(ISERROR(SEARCH("EL",W60)))</formula>
    </cfRule>
    <cfRule type="containsText" dxfId="426" priority="137" operator="containsText" text="OFF">
      <formula>NOT(ISERROR(SEARCH("OFF",W60)))</formula>
    </cfRule>
    <cfRule type="containsText" dxfId="425" priority="138" operator="containsText" text="AB">
      <formula>NOT(ISERROR(SEARCH("AB",W60)))</formula>
    </cfRule>
    <cfRule type="containsText" dxfId="424" priority="139" operator="containsText" text="SICK">
      <formula>NOT(ISERROR(SEARCH("SICK",W60)))</formula>
    </cfRule>
    <cfRule type="containsText" dxfId="423" priority="140" operator="containsText" text="AL">
      <formula>NOT(ISERROR(SEARCH("AL",W60)))</formula>
    </cfRule>
    <cfRule type="containsText" dxfId="422" priority="136" operator="containsText" text="FL">
      <formula>NOT(ISERROR(SEARCH("FL",W60)))</formula>
    </cfRule>
    <cfRule type="containsText" dxfId="421" priority="132" operator="containsText" text="SP">
      <formula>NOT(ISERROR(SEARCH("SP",W60)))</formula>
    </cfRule>
  </conditionalFormatting>
  <conditionalFormatting sqref="Y24:Z24">
    <cfRule type="containsText" dxfId="420" priority="106" operator="containsText" text="FL">
      <formula>NOT(ISERROR(SEARCH("FL",Y24)))</formula>
    </cfRule>
    <cfRule type="containsText" dxfId="419" priority="105" operator="containsText" text="SUS">
      <formula>NOT(ISERROR(SEARCH("SUS",Y24)))</formula>
    </cfRule>
    <cfRule type="containsText" dxfId="418" priority="104" operator="containsText" text="MC">
      <formula>NOT(ISERROR(SEARCH("MC",Y24)))</formula>
    </cfRule>
    <cfRule type="containsText" dxfId="417" priority="103" operator="containsText" text="NL">
      <formula>NOT(ISERROR(SEARCH("NL",Y24)))</formula>
    </cfRule>
    <cfRule type="containsText" dxfId="416" priority="102" operator="containsText" text="SP">
      <formula>NOT(ISERROR(SEARCH("SP",Y24)))</formula>
    </cfRule>
    <cfRule type="containsText" dxfId="415" priority="110" operator="containsText" text="AL">
      <formula>NOT(ISERROR(SEARCH("AL",Y24)))</formula>
    </cfRule>
    <cfRule type="containsText" dxfId="414" priority="109" operator="containsText" text="SICK">
      <formula>NOT(ISERROR(SEARCH("SICK",Y24)))</formula>
    </cfRule>
    <cfRule type="containsText" dxfId="413" priority="108" operator="containsText" text="AB">
      <formula>NOT(ISERROR(SEARCH("AB",Y24)))</formula>
    </cfRule>
    <cfRule type="containsText" dxfId="412" priority="107" operator="containsText" text="OFF">
      <formula>NOT(ISERROR(SEARCH("OFF",Y24)))</formula>
    </cfRule>
    <cfRule type="containsText" dxfId="411" priority="101" operator="containsText" text="EL">
      <formula>NOT(ISERROR(SEARCH("EL",Y24)))</formula>
    </cfRule>
  </conditionalFormatting>
  <conditionalFormatting sqref="AG19:AH19">
    <cfRule type="containsText" dxfId="410" priority="26" operator="containsText" text="FL">
      <formula>NOT(ISERROR(SEARCH("FL",AG19)))</formula>
    </cfRule>
    <cfRule type="containsText" dxfId="409" priority="27" operator="containsText" text="OFF">
      <formula>NOT(ISERROR(SEARCH("OFF",AG19)))</formula>
    </cfRule>
    <cfRule type="containsText" dxfId="408" priority="29" operator="containsText" text="SICK">
      <formula>NOT(ISERROR(SEARCH("SICK",AG19)))</formula>
    </cfRule>
    <cfRule type="containsText" dxfId="407" priority="30" operator="containsText" text="AL">
      <formula>NOT(ISERROR(SEARCH("AL",AG19)))</formula>
    </cfRule>
    <cfRule type="containsText" dxfId="406" priority="28" operator="containsText" text="AB">
      <formula>NOT(ISERROR(SEARCH("AB",AG19)))</formula>
    </cfRule>
    <cfRule type="containsText" dxfId="405" priority="21" operator="containsText" text="EL">
      <formula>NOT(ISERROR(SEARCH("EL",AG19)))</formula>
    </cfRule>
    <cfRule type="containsText" dxfId="404" priority="22" operator="containsText" text="SP">
      <formula>NOT(ISERROR(SEARCH("SP",AG19)))</formula>
    </cfRule>
    <cfRule type="containsText" dxfId="403" priority="23" operator="containsText" text="NL">
      <formula>NOT(ISERROR(SEARCH("NL",AG19)))</formula>
    </cfRule>
    <cfRule type="containsText" dxfId="402" priority="24" operator="containsText" text="MC">
      <formula>NOT(ISERROR(SEARCH("MC",AG19)))</formula>
    </cfRule>
    <cfRule type="containsText" dxfId="401" priority="25" operator="containsText" text="SUS">
      <formula>NOT(ISERROR(SEARCH("SUS",AG19)))</formula>
    </cfRule>
  </conditionalFormatting>
  <conditionalFormatting sqref="AQ5:AR5">
    <cfRule type="containsText" dxfId="400" priority="13" operator="containsText" text="NL">
      <formula>NOT(ISERROR(SEARCH("NL",AQ5)))</formula>
    </cfRule>
    <cfRule type="containsText" dxfId="399" priority="20" operator="containsText" text="AL">
      <formula>NOT(ISERROR(SEARCH("AL",AQ5)))</formula>
    </cfRule>
    <cfRule type="containsText" dxfId="398" priority="19" operator="containsText" text="SICK">
      <formula>NOT(ISERROR(SEARCH("SICK",AQ5)))</formula>
    </cfRule>
    <cfRule type="containsText" dxfId="397" priority="18" operator="containsText" text="AB">
      <formula>NOT(ISERROR(SEARCH("AB",AQ5)))</formula>
    </cfRule>
    <cfRule type="containsText" dxfId="396" priority="17" operator="containsText" text="OFF">
      <formula>NOT(ISERROR(SEARCH("OFF",AQ5)))</formula>
    </cfRule>
    <cfRule type="containsText" dxfId="395" priority="16" operator="containsText" text="FL">
      <formula>NOT(ISERROR(SEARCH("FL",AQ5)))</formula>
    </cfRule>
    <cfRule type="containsText" dxfId="394" priority="15" operator="containsText" text="SUS">
      <formula>NOT(ISERROR(SEARCH("SUS",AQ5)))</formula>
    </cfRule>
    <cfRule type="containsText" dxfId="393" priority="14" operator="containsText" text="MC">
      <formula>NOT(ISERROR(SEARCH("MC",AQ5)))</formula>
    </cfRule>
    <cfRule type="containsText" dxfId="392" priority="12" operator="containsText" text="SP">
      <formula>NOT(ISERROR(SEARCH("SP",AQ5)))</formula>
    </cfRule>
    <cfRule type="containsText" dxfId="391" priority="11" operator="containsText" text="EL">
      <formula>NOT(ISERROR(SEARCH("EL",AQ5)))</formula>
    </cfRule>
  </conditionalFormatting>
  <conditionalFormatting sqref="AQ10:AR11">
    <cfRule type="containsText" dxfId="390" priority="457" operator="containsText" text="AB">
      <formula>NOT(ISERROR(SEARCH("AB",AQ10)))</formula>
    </cfRule>
    <cfRule type="containsText" dxfId="389" priority="450" operator="containsText" text="EL">
      <formula>NOT(ISERROR(SEARCH("EL",AQ10)))</formula>
    </cfRule>
    <cfRule type="containsText" dxfId="388" priority="451" operator="containsText" text="SP">
      <formula>NOT(ISERROR(SEARCH("SP",AQ10)))</formula>
    </cfRule>
    <cfRule type="containsText" dxfId="387" priority="452" operator="containsText" text="NL">
      <formula>NOT(ISERROR(SEARCH("NL",AQ10)))</formula>
    </cfRule>
    <cfRule type="containsText" dxfId="386" priority="453" operator="containsText" text="MC">
      <formula>NOT(ISERROR(SEARCH("MC",AQ10)))</formula>
    </cfRule>
    <cfRule type="containsText" dxfId="385" priority="454" operator="containsText" text="SUS">
      <formula>NOT(ISERROR(SEARCH("SUS",AQ10)))</formula>
    </cfRule>
    <cfRule type="containsText" dxfId="384" priority="455" operator="containsText" text="FL">
      <formula>NOT(ISERROR(SEARCH("FL",AQ10)))</formula>
    </cfRule>
    <cfRule type="containsText" dxfId="383" priority="456" operator="containsText" text="OFF">
      <formula>NOT(ISERROR(SEARCH("OFF",AQ10)))</formula>
    </cfRule>
    <cfRule type="containsText" dxfId="382" priority="458" operator="containsText" text="SICK">
      <formula>NOT(ISERROR(SEARCH("SICK",AQ10)))</formula>
    </cfRule>
    <cfRule type="containsText" dxfId="381" priority="459" operator="containsText" text="AL">
      <formula>NOT(ISERROR(SEARCH("AL",AQ10)))</formula>
    </cfRule>
  </conditionalFormatting>
  <conditionalFormatting sqref="AQ19:AR20">
    <cfRule type="containsText" dxfId="380" priority="445" operator="containsText" text="FL">
      <formula>NOT(ISERROR(SEARCH("FL",AQ19)))</formula>
    </cfRule>
    <cfRule type="containsText" dxfId="379" priority="446" operator="containsText" text="OFF">
      <formula>NOT(ISERROR(SEARCH("OFF",AQ19)))</formula>
    </cfRule>
    <cfRule type="containsText" dxfId="378" priority="440" operator="containsText" text="EL">
      <formula>NOT(ISERROR(SEARCH("EL",AQ19)))</formula>
    </cfRule>
    <cfRule type="containsText" dxfId="377" priority="449" operator="containsText" text="AL">
      <formula>NOT(ISERROR(SEARCH("AL",AQ19)))</formula>
    </cfRule>
    <cfRule type="containsText" dxfId="376" priority="448" operator="containsText" text="SICK">
      <formula>NOT(ISERROR(SEARCH("SICK",AQ19)))</formula>
    </cfRule>
    <cfRule type="containsText" dxfId="375" priority="443" operator="containsText" text="MC">
      <formula>NOT(ISERROR(SEARCH("MC",AQ19)))</formula>
    </cfRule>
    <cfRule type="containsText" dxfId="374" priority="442" operator="containsText" text="NL">
      <formula>NOT(ISERROR(SEARCH("NL",AQ19)))</formula>
    </cfRule>
    <cfRule type="containsText" dxfId="373" priority="441" operator="containsText" text="SP">
      <formula>NOT(ISERROR(SEARCH("SP",AQ19)))</formula>
    </cfRule>
    <cfRule type="containsText" dxfId="372" priority="444" operator="containsText" text="SUS">
      <formula>NOT(ISERROR(SEARCH("SUS",AQ19)))</formula>
    </cfRule>
    <cfRule type="containsText" dxfId="371" priority="447" operator="containsText" text="AB">
      <formula>NOT(ISERROR(SEARCH("AB",AQ19)))</formula>
    </cfRule>
  </conditionalFormatting>
  <conditionalFormatting sqref="AQ22:AR22">
    <cfRule type="containsText" dxfId="370" priority="426" operator="containsText" text="OFF">
      <formula>NOT(ISERROR(SEARCH("OFF",AQ22)))</formula>
    </cfRule>
    <cfRule type="containsText" dxfId="369" priority="427" operator="containsText" text="AB">
      <formula>NOT(ISERROR(SEARCH("AB",AQ22)))</formula>
    </cfRule>
    <cfRule type="containsText" dxfId="368" priority="428" operator="containsText" text="SICK">
      <formula>NOT(ISERROR(SEARCH("SICK",AQ22)))</formula>
    </cfRule>
    <cfRule type="containsText" dxfId="367" priority="429" operator="containsText" text="AL">
      <formula>NOT(ISERROR(SEARCH("AL",AQ22)))</formula>
    </cfRule>
    <cfRule type="containsText" dxfId="366" priority="420" operator="containsText" text="EL">
      <formula>NOT(ISERROR(SEARCH("EL",AQ22)))</formula>
    </cfRule>
    <cfRule type="containsText" dxfId="365" priority="425" operator="containsText" text="FL">
      <formula>NOT(ISERROR(SEARCH("FL",AQ22)))</formula>
    </cfRule>
    <cfRule type="containsText" dxfId="364" priority="424" operator="containsText" text="SUS">
      <formula>NOT(ISERROR(SEARCH("SUS",AQ22)))</formula>
    </cfRule>
    <cfRule type="containsText" dxfId="363" priority="421" operator="containsText" text="SP">
      <formula>NOT(ISERROR(SEARCH("SP",AQ22)))</formula>
    </cfRule>
    <cfRule type="containsText" dxfId="362" priority="422" operator="containsText" text="NL">
      <formula>NOT(ISERROR(SEARCH("NL",AQ22)))</formula>
    </cfRule>
    <cfRule type="containsText" dxfId="361" priority="423" operator="containsText" text="MC">
      <formula>NOT(ISERROR(SEARCH("MC",AQ22)))</formula>
    </cfRule>
  </conditionalFormatting>
  <conditionalFormatting sqref="AQ27:AR27">
    <cfRule type="containsText" dxfId="360" priority="405" operator="containsText" text="FL">
      <formula>NOT(ISERROR(SEARCH("FL",AQ27)))</formula>
    </cfRule>
    <cfRule type="containsText" dxfId="359" priority="406" operator="containsText" text="OFF">
      <formula>NOT(ISERROR(SEARCH("OFF",AQ27)))</formula>
    </cfRule>
    <cfRule type="containsText" dxfId="358" priority="407" operator="containsText" text="AB">
      <formula>NOT(ISERROR(SEARCH("AB",AQ27)))</formula>
    </cfRule>
    <cfRule type="containsText" dxfId="357" priority="408" operator="containsText" text="SICK">
      <formula>NOT(ISERROR(SEARCH("SICK",AQ27)))</formula>
    </cfRule>
    <cfRule type="containsText" dxfId="356" priority="409" operator="containsText" text="AL">
      <formula>NOT(ISERROR(SEARCH("AL",AQ27)))</formula>
    </cfRule>
    <cfRule type="containsText" dxfId="355" priority="401" operator="containsText" text="SP">
      <formula>NOT(ISERROR(SEARCH("SP",AQ27)))</formula>
    </cfRule>
    <cfRule type="containsText" dxfId="354" priority="404" operator="containsText" text="SUS">
      <formula>NOT(ISERROR(SEARCH("SUS",AQ27)))</formula>
    </cfRule>
    <cfRule type="containsText" dxfId="353" priority="400" operator="containsText" text="EL">
      <formula>NOT(ISERROR(SEARCH("EL",AQ27)))</formula>
    </cfRule>
    <cfRule type="containsText" dxfId="352" priority="402" operator="containsText" text="NL">
      <formula>NOT(ISERROR(SEARCH("NL",AQ27)))</formula>
    </cfRule>
    <cfRule type="containsText" dxfId="351" priority="403" operator="containsText" text="MC">
      <formula>NOT(ISERROR(SEARCH("MC",AQ27)))</formula>
    </cfRule>
  </conditionalFormatting>
  <conditionalFormatting sqref="AQ31:AR31">
    <cfRule type="containsText" dxfId="350" priority="390" operator="containsText" text="EL">
      <formula>NOT(ISERROR(SEARCH("EL",AQ31)))</formula>
    </cfRule>
    <cfRule type="containsText" dxfId="349" priority="391" operator="containsText" text="SP">
      <formula>NOT(ISERROR(SEARCH("SP",AQ31)))</formula>
    </cfRule>
    <cfRule type="containsText" dxfId="348" priority="392" operator="containsText" text="NL">
      <formula>NOT(ISERROR(SEARCH("NL",AQ31)))</formula>
    </cfRule>
    <cfRule type="containsText" dxfId="347" priority="394" operator="containsText" text="SUS">
      <formula>NOT(ISERROR(SEARCH("SUS",AQ31)))</formula>
    </cfRule>
    <cfRule type="containsText" dxfId="346" priority="395" operator="containsText" text="FL">
      <formula>NOT(ISERROR(SEARCH("FL",AQ31)))</formula>
    </cfRule>
    <cfRule type="containsText" dxfId="345" priority="396" operator="containsText" text="OFF">
      <formula>NOT(ISERROR(SEARCH("OFF",AQ31)))</formula>
    </cfRule>
    <cfRule type="containsText" dxfId="344" priority="397" operator="containsText" text="AB">
      <formula>NOT(ISERROR(SEARCH("AB",AQ31)))</formula>
    </cfRule>
    <cfRule type="containsText" dxfId="343" priority="398" operator="containsText" text="SICK">
      <formula>NOT(ISERROR(SEARCH("SICK",AQ31)))</formula>
    </cfRule>
    <cfRule type="containsText" dxfId="342" priority="399" operator="containsText" text="AL">
      <formula>NOT(ISERROR(SEARCH("AL",AQ31)))</formula>
    </cfRule>
    <cfRule type="containsText" dxfId="341" priority="393" operator="containsText" text="MC">
      <formula>NOT(ISERROR(SEARCH("MC",AQ31)))</formula>
    </cfRule>
  </conditionalFormatting>
  <conditionalFormatting sqref="AQ24:AZ24">
    <cfRule type="containsText" dxfId="340" priority="365" operator="containsText" text="FL">
      <formula>NOT(ISERROR(SEARCH("FL",AQ24)))</formula>
    </cfRule>
    <cfRule type="containsText" dxfId="339" priority="362" operator="containsText" text="NL">
      <formula>NOT(ISERROR(SEARCH("NL",AQ24)))</formula>
    </cfRule>
    <cfRule type="containsText" dxfId="338" priority="369" operator="containsText" text="AL">
      <formula>NOT(ISERROR(SEARCH("AL",AQ24)))</formula>
    </cfRule>
    <cfRule type="containsText" dxfId="337" priority="368" operator="containsText" text="SICK">
      <formula>NOT(ISERROR(SEARCH("SICK",AQ24)))</formula>
    </cfRule>
    <cfRule type="containsText" dxfId="336" priority="367" operator="containsText" text="AB">
      <formula>NOT(ISERROR(SEARCH("AB",AQ24)))</formula>
    </cfRule>
    <cfRule type="containsText" dxfId="335" priority="366" operator="containsText" text="OFF">
      <formula>NOT(ISERROR(SEARCH("OFF",AQ24)))</formula>
    </cfRule>
    <cfRule type="containsText" dxfId="334" priority="363" operator="containsText" text="MC">
      <formula>NOT(ISERROR(SEARCH("MC",AQ24)))</formula>
    </cfRule>
    <cfRule type="containsText" dxfId="333" priority="364" operator="containsText" text="SUS">
      <formula>NOT(ISERROR(SEARCH("SUS",AQ24)))</formula>
    </cfRule>
    <cfRule type="containsText" dxfId="332" priority="361" operator="containsText" text="SP">
      <formula>NOT(ISERROR(SEARCH("SP",AQ24)))</formula>
    </cfRule>
    <cfRule type="containsText" dxfId="331" priority="360" operator="containsText" text="EL">
      <formula>NOT(ISERROR(SEARCH("EL",AQ24)))</formula>
    </cfRule>
  </conditionalFormatting>
  <conditionalFormatting sqref="AW58:AX58">
    <cfRule type="containsText" dxfId="330" priority="660" operator="containsText" text="AL">
      <formula>NOT(ISERROR(SEARCH("AL",AW58)))</formula>
    </cfRule>
    <cfRule type="containsText" dxfId="329" priority="653" operator="containsText" text="NL">
      <formula>NOT(ISERROR(SEARCH("NL",AW58)))</formula>
    </cfRule>
    <cfRule type="containsText" dxfId="328" priority="654" operator="containsText" text="MC">
      <formula>NOT(ISERROR(SEARCH("MC",AW58)))</formula>
    </cfRule>
    <cfRule type="containsText" dxfId="327" priority="655" operator="containsText" text="SUS">
      <formula>NOT(ISERROR(SEARCH("SUS",AW58)))</formula>
    </cfRule>
    <cfRule type="containsText" dxfId="326" priority="656" operator="containsText" text="FL">
      <formula>NOT(ISERROR(SEARCH("FL",AW58)))</formula>
    </cfRule>
    <cfRule type="containsText" dxfId="325" priority="657" operator="containsText" text="OFF">
      <formula>NOT(ISERROR(SEARCH("OFF",AW58)))</formula>
    </cfRule>
    <cfRule type="containsText" dxfId="324" priority="658" operator="containsText" text="AB">
      <formula>NOT(ISERROR(SEARCH("AB",AW58)))</formula>
    </cfRule>
    <cfRule type="containsText" dxfId="323" priority="651" operator="containsText" text="EL">
      <formula>NOT(ISERROR(SEARCH("EL",AW58)))</formula>
    </cfRule>
    <cfRule type="containsText" dxfId="322" priority="652" operator="containsText" text="SP">
      <formula>NOT(ISERROR(SEARCH("SP",AW58)))</formula>
    </cfRule>
    <cfRule type="containsText" dxfId="321" priority="659" operator="containsText" text="SICK">
      <formula>NOT(ISERROR(SEARCH("SICK",AW58)))</formula>
    </cfRule>
  </conditionalFormatting>
  <conditionalFormatting sqref="BC57:BF57">
    <cfRule type="containsText" dxfId="320" priority="1470" operator="containsText" text="SICK">
      <formula>NOT(ISERROR(SEARCH("SICK",BC57)))</formula>
    </cfRule>
    <cfRule type="containsText" dxfId="319" priority="1469" operator="containsText" text="AB">
      <formula>NOT(ISERROR(SEARCH("AB",BC57)))</formula>
    </cfRule>
    <cfRule type="cellIs" dxfId="318" priority="1468" operator="between">
      <formula>0.0625</formula>
      <formula>0.1875</formula>
    </cfRule>
    <cfRule type="containsText" dxfId="317" priority="1467" operator="containsText" text="AL">
      <formula>NOT(ISERROR(SEARCH("AL",BC57)))</formula>
    </cfRule>
  </conditionalFormatting>
  <conditionalFormatting sqref="BE6:BF6 BE7">
    <cfRule type="containsText" dxfId="316" priority="337" operator="containsText" text="AB">
      <formula>NOT(ISERROR(SEARCH("AB",BE6)))</formula>
    </cfRule>
    <cfRule type="containsText" dxfId="315" priority="330" operator="containsText" text="EL">
      <formula>NOT(ISERROR(SEARCH("EL",BE6)))</formula>
    </cfRule>
    <cfRule type="containsText" dxfId="314" priority="331" operator="containsText" text="SP">
      <formula>NOT(ISERROR(SEARCH("SP",BE6)))</formula>
    </cfRule>
    <cfRule type="containsText" dxfId="313" priority="332" operator="containsText" text="NL">
      <formula>NOT(ISERROR(SEARCH("NL",BE6)))</formula>
    </cfRule>
    <cfRule type="containsText" dxfId="312" priority="333" operator="containsText" text="MC">
      <formula>NOT(ISERROR(SEARCH("MC",BE6)))</formula>
    </cfRule>
    <cfRule type="containsText" dxfId="311" priority="334" operator="containsText" text="SUS">
      <formula>NOT(ISERROR(SEARCH("SUS",BE6)))</formula>
    </cfRule>
    <cfRule type="containsText" dxfId="310" priority="335" operator="containsText" text="FL">
      <formula>NOT(ISERROR(SEARCH("FL",BE6)))</formula>
    </cfRule>
    <cfRule type="containsText" dxfId="309" priority="336" operator="containsText" text="OFF">
      <formula>NOT(ISERROR(SEARCH("OFF",BE6)))</formula>
    </cfRule>
    <cfRule type="containsText" dxfId="308" priority="339" operator="containsText" text="AL">
      <formula>NOT(ISERROR(SEARCH("AL",BE6)))</formula>
    </cfRule>
    <cfRule type="containsText" dxfId="307" priority="338" operator="containsText" text="SICK">
      <formula>NOT(ISERROR(SEARCH("SICK",BE6)))</formula>
    </cfRule>
  </conditionalFormatting>
  <conditionalFormatting sqref="BE8:BF8 I21:J22 AQ33:AR35 I61:J61 AQ61:AR61">
    <cfRule type="containsText" dxfId="306" priority="628" operator="containsText" text="SICK">
      <formula>NOT(ISERROR(SEARCH("SICK",I8)))</formula>
    </cfRule>
    <cfRule type="containsText" dxfId="305" priority="629" operator="containsText" text="AL">
      <formula>NOT(ISERROR(SEARCH("AL",I8)))</formula>
    </cfRule>
    <cfRule type="containsText" dxfId="304" priority="620" operator="containsText" text="EL">
      <formula>NOT(ISERROR(SEARCH("EL",I8)))</formula>
    </cfRule>
    <cfRule type="containsText" dxfId="303" priority="621" operator="containsText" text="SP">
      <formula>NOT(ISERROR(SEARCH("SP",I8)))</formula>
    </cfRule>
    <cfRule type="containsText" dxfId="302" priority="622" operator="containsText" text="NL">
      <formula>NOT(ISERROR(SEARCH("NL",I8)))</formula>
    </cfRule>
    <cfRule type="containsText" dxfId="301" priority="623" operator="containsText" text="MC">
      <formula>NOT(ISERROR(SEARCH("MC",I8)))</formula>
    </cfRule>
    <cfRule type="containsText" dxfId="300" priority="624" operator="containsText" text="SUS">
      <formula>NOT(ISERROR(SEARCH("SUS",I8)))</formula>
    </cfRule>
    <cfRule type="containsText" dxfId="299" priority="625" operator="containsText" text="FL">
      <formula>NOT(ISERROR(SEARCH("FL",I8)))</formula>
    </cfRule>
    <cfRule type="containsText" dxfId="298" priority="626" operator="containsText" text="OFF">
      <formula>NOT(ISERROR(SEARCH("OFF",I8)))</formula>
    </cfRule>
    <cfRule type="containsText" dxfId="297" priority="627" operator="containsText" text="AB">
      <formula>NOT(ISERROR(SEARCH("AB",I8)))</formula>
    </cfRule>
  </conditionalFormatting>
  <conditionalFormatting sqref="BE17:BF18 BE59:BF60">
    <cfRule type="containsText" dxfId="296" priority="357" operator="containsText" text="AB">
      <formula>NOT(ISERROR(SEARCH("AB",BE17)))</formula>
    </cfRule>
    <cfRule type="containsText" dxfId="295" priority="358" operator="containsText" text="SICK">
      <formula>NOT(ISERROR(SEARCH("SICK",BE17)))</formula>
    </cfRule>
    <cfRule type="containsText" dxfId="294" priority="359" operator="containsText" text="AL">
      <formula>NOT(ISERROR(SEARCH("AL",BE17)))</formula>
    </cfRule>
    <cfRule type="containsText" dxfId="293" priority="354" operator="containsText" text="SUS">
      <formula>NOT(ISERROR(SEARCH("SUS",BE17)))</formula>
    </cfRule>
    <cfRule type="containsText" dxfId="292" priority="350" operator="containsText" text="EL">
      <formula>NOT(ISERROR(SEARCH("EL",BE17)))</formula>
    </cfRule>
    <cfRule type="containsText" dxfId="291" priority="351" operator="containsText" text="SP">
      <formula>NOT(ISERROR(SEARCH("SP",BE17)))</formula>
    </cfRule>
    <cfRule type="containsText" dxfId="290" priority="352" operator="containsText" text="NL">
      <formula>NOT(ISERROR(SEARCH("NL",BE17)))</formula>
    </cfRule>
    <cfRule type="containsText" dxfId="289" priority="353" operator="containsText" text="MC">
      <formula>NOT(ISERROR(SEARCH("MC",BE17)))</formula>
    </cfRule>
    <cfRule type="containsText" dxfId="288" priority="356" operator="containsText" text="OFF">
      <formula>NOT(ISERROR(SEARCH("OFF",BE17)))</formula>
    </cfRule>
    <cfRule type="containsText" dxfId="287" priority="355" operator="containsText" text="FL">
      <formula>NOT(ISERROR(SEARCH("FL",BE17)))</formula>
    </cfRule>
  </conditionalFormatting>
  <conditionalFormatting sqref="BE21:BF21">
    <cfRule type="containsText" dxfId="286" priority="325" operator="containsText" text="FL">
      <formula>NOT(ISERROR(SEARCH("FL",BE21)))</formula>
    </cfRule>
    <cfRule type="containsText" dxfId="285" priority="320" operator="containsText" text="EL">
      <formula>NOT(ISERROR(SEARCH("EL",BE21)))</formula>
    </cfRule>
    <cfRule type="containsText" dxfId="284" priority="321" operator="containsText" text="SP">
      <formula>NOT(ISERROR(SEARCH("SP",BE21)))</formula>
    </cfRule>
    <cfRule type="containsText" dxfId="283" priority="322" operator="containsText" text="NL">
      <formula>NOT(ISERROR(SEARCH("NL",BE21)))</formula>
    </cfRule>
    <cfRule type="containsText" dxfId="282" priority="323" operator="containsText" text="MC">
      <formula>NOT(ISERROR(SEARCH("MC",BE21)))</formula>
    </cfRule>
    <cfRule type="containsText" dxfId="281" priority="324" operator="containsText" text="SUS">
      <formula>NOT(ISERROR(SEARCH("SUS",BE21)))</formula>
    </cfRule>
    <cfRule type="containsText" dxfId="280" priority="326" operator="containsText" text="OFF">
      <formula>NOT(ISERROR(SEARCH("OFF",BE21)))</formula>
    </cfRule>
    <cfRule type="containsText" dxfId="279" priority="327" operator="containsText" text="AB">
      <formula>NOT(ISERROR(SEARCH("AB",BE21)))</formula>
    </cfRule>
    <cfRule type="containsText" dxfId="278" priority="328" operator="containsText" text="SICK">
      <formula>NOT(ISERROR(SEARCH("SICK",BE21)))</formula>
    </cfRule>
    <cfRule type="containsText" dxfId="277" priority="329" operator="containsText" text="AL">
      <formula>NOT(ISERROR(SEARCH("AL",BE21)))</formula>
    </cfRule>
  </conditionalFormatting>
  <conditionalFormatting sqref="BE26:BF26">
    <cfRule type="containsText" dxfId="276" priority="310" operator="containsText" text="EL">
      <formula>NOT(ISERROR(SEARCH("EL",BE26)))</formula>
    </cfRule>
    <cfRule type="containsText" dxfId="275" priority="312" operator="containsText" text="NL">
      <formula>NOT(ISERROR(SEARCH("NL",BE26)))</formula>
    </cfRule>
    <cfRule type="containsText" dxfId="274" priority="319" operator="containsText" text="AL">
      <formula>NOT(ISERROR(SEARCH("AL",BE26)))</formula>
    </cfRule>
    <cfRule type="containsText" dxfId="273" priority="318" operator="containsText" text="SICK">
      <formula>NOT(ISERROR(SEARCH("SICK",BE26)))</formula>
    </cfRule>
    <cfRule type="containsText" dxfId="272" priority="317" operator="containsText" text="AB">
      <formula>NOT(ISERROR(SEARCH("AB",BE26)))</formula>
    </cfRule>
    <cfRule type="containsText" dxfId="271" priority="316" operator="containsText" text="OFF">
      <formula>NOT(ISERROR(SEARCH("OFF",BE26)))</formula>
    </cfRule>
    <cfRule type="containsText" dxfId="270" priority="315" operator="containsText" text="FL">
      <formula>NOT(ISERROR(SEARCH("FL",BE26)))</formula>
    </cfRule>
    <cfRule type="containsText" dxfId="269" priority="311" operator="containsText" text="SP">
      <formula>NOT(ISERROR(SEARCH("SP",BE26)))</formula>
    </cfRule>
    <cfRule type="containsText" dxfId="268" priority="314" operator="containsText" text="SUS">
      <formula>NOT(ISERROR(SEARCH("SUS",BE26)))</formula>
    </cfRule>
    <cfRule type="containsText" dxfId="267" priority="313" operator="containsText" text="MC">
      <formula>NOT(ISERROR(SEARCH("MC",BE26)))</formula>
    </cfRule>
  </conditionalFormatting>
  <conditionalFormatting sqref="BE28:BF30 BE32:BF32">
    <cfRule type="containsText" dxfId="266" priority="308" operator="containsText" text="SICK">
      <formula>NOT(ISERROR(SEARCH("SICK",BE28)))</formula>
    </cfRule>
    <cfRule type="containsText" dxfId="265" priority="306" operator="containsText" text="OFF">
      <formula>NOT(ISERROR(SEARCH("OFF",BE28)))</formula>
    </cfRule>
    <cfRule type="containsText" dxfId="264" priority="305" operator="containsText" text="FL">
      <formula>NOT(ISERROR(SEARCH("FL",BE28)))</formula>
    </cfRule>
    <cfRule type="containsText" dxfId="263" priority="304" operator="containsText" text="SUS">
      <formula>NOT(ISERROR(SEARCH("SUS",BE28)))</formula>
    </cfRule>
    <cfRule type="containsText" dxfId="262" priority="309" operator="containsText" text="AL">
      <formula>NOT(ISERROR(SEARCH("AL",BE28)))</formula>
    </cfRule>
    <cfRule type="containsText" dxfId="261" priority="302" operator="containsText" text="NL">
      <formula>NOT(ISERROR(SEARCH("NL",BE28)))</formula>
    </cfRule>
    <cfRule type="containsText" dxfId="260" priority="301" operator="containsText" text="SP">
      <formula>NOT(ISERROR(SEARCH("SP",BE28)))</formula>
    </cfRule>
    <cfRule type="containsText" dxfId="259" priority="307" operator="containsText" text="AB">
      <formula>NOT(ISERROR(SEARCH("AB",BE28)))</formula>
    </cfRule>
    <cfRule type="containsText" dxfId="258" priority="300" operator="containsText" text="EL">
      <formula>NOT(ISERROR(SEARCH("EL",BE28)))</formula>
    </cfRule>
    <cfRule type="containsText" dxfId="257" priority="303" operator="containsText" text="MC">
      <formula>NOT(ISERROR(SEARCH("MC",BE28)))</formula>
    </cfRule>
  </conditionalFormatting>
  <conditionalFormatting sqref="BE34:BF34">
    <cfRule type="containsText" dxfId="256" priority="290" operator="containsText" text="EL">
      <formula>NOT(ISERROR(SEARCH("EL",BE34)))</formula>
    </cfRule>
    <cfRule type="containsText" dxfId="255" priority="291" operator="containsText" text="SP">
      <formula>NOT(ISERROR(SEARCH("SP",BE34)))</formula>
    </cfRule>
    <cfRule type="containsText" dxfId="254" priority="292" operator="containsText" text="NL">
      <formula>NOT(ISERROR(SEARCH("NL",BE34)))</formula>
    </cfRule>
    <cfRule type="containsText" dxfId="253" priority="293" operator="containsText" text="MC">
      <formula>NOT(ISERROR(SEARCH("MC",BE34)))</formula>
    </cfRule>
    <cfRule type="containsText" dxfId="252" priority="294" operator="containsText" text="SUS">
      <formula>NOT(ISERROR(SEARCH("SUS",BE34)))</formula>
    </cfRule>
    <cfRule type="containsText" dxfId="251" priority="295" operator="containsText" text="FL">
      <formula>NOT(ISERROR(SEARCH("FL",BE34)))</formula>
    </cfRule>
    <cfRule type="containsText" dxfId="250" priority="296" operator="containsText" text="OFF">
      <formula>NOT(ISERROR(SEARCH("OFF",BE34)))</formula>
    </cfRule>
    <cfRule type="containsText" dxfId="249" priority="297" operator="containsText" text="AB">
      <formula>NOT(ISERROR(SEARCH("AB",BE34)))</formula>
    </cfRule>
    <cfRule type="containsText" dxfId="248" priority="298" operator="containsText" text="SICK">
      <formula>NOT(ISERROR(SEARCH("SICK",BE34)))</formula>
    </cfRule>
    <cfRule type="containsText" dxfId="247" priority="299" operator="containsText" text="AL">
      <formula>NOT(ISERROR(SEARCH("AL",BE34)))</formula>
    </cfRule>
  </conditionalFormatting>
  <conditionalFormatting sqref="BG58:BH58">
    <cfRule type="containsText" dxfId="246" priority="649" operator="containsText" text="SICK">
      <formula>NOT(ISERROR(SEARCH("SICK",BG58)))</formula>
    </cfRule>
    <cfRule type="containsText" dxfId="245" priority="644" operator="containsText" text="MC">
      <formula>NOT(ISERROR(SEARCH("MC",BG58)))</formula>
    </cfRule>
    <cfRule type="containsText" dxfId="244" priority="641" operator="containsText" text="EL">
      <formula>NOT(ISERROR(SEARCH("EL",BG58)))</formula>
    </cfRule>
    <cfRule type="containsText" dxfId="243" priority="642" operator="containsText" text="SP">
      <formula>NOT(ISERROR(SEARCH("SP",BG58)))</formula>
    </cfRule>
    <cfRule type="containsText" dxfId="242" priority="643" operator="containsText" text="NL">
      <formula>NOT(ISERROR(SEARCH("NL",BG58)))</formula>
    </cfRule>
    <cfRule type="containsText" dxfId="241" priority="645" operator="containsText" text="SUS">
      <formula>NOT(ISERROR(SEARCH("SUS",BG58)))</formula>
    </cfRule>
    <cfRule type="containsText" dxfId="240" priority="646" operator="containsText" text="FL">
      <formula>NOT(ISERROR(SEARCH("FL",BG58)))</formula>
    </cfRule>
    <cfRule type="containsText" dxfId="239" priority="647" operator="containsText" text="OFF">
      <formula>NOT(ISERROR(SEARCH("OFF",BG58)))</formula>
    </cfRule>
    <cfRule type="containsText" dxfId="238" priority="648" operator="containsText" text="AB">
      <formula>NOT(ISERROR(SEARCH("AB",BG58)))</formula>
    </cfRule>
    <cfRule type="containsText" dxfId="237" priority="650" operator="containsText" text="AL">
      <formula>NOT(ISERROR(SEARCH("AL",BG58)))</formula>
    </cfRule>
  </conditionalFormatting>
  <conditionalFormatting sqref="BR5:BR7 BR9:BR11 BI57:BP57 BR59">
    <cfRule type="containsText" dxfId="236" priority="1773" operator="containsText" text="AB">
      <formula>NOT(ISERROR(SEARCH("AB",BI5)))</formula>
    </cfRule>
    <cfRule type="containsText" dxfId="235" priority="1774" operator="containsText" text="SICK">
      <formula>NOT(ISERROR(SEARCH("SICK",BI5)))</formula>
    </cfRule>
  </conditionalFormatting>
  <conditionalFormatting sqref="BR8">
    <cfRule type="cellIs" dxfId="234" priority="285" stopIfTrue="1" operator="equal">
      <formula>";"</formula>
    </cfRule>
  </conditionalFormatting>
  <conditionalFormatting sqref="BR57:BR58">
    <cfRule type="cellIs" dxfId="233" priority="675" operator="equal">
      <formula>";"</formula>
    </cfRule>
  </conditionalFormatting>
  <conditionalFormatting sqref="BT4:BZ4">
    <cfRule type="containsText" dxfId="232" priority="1324" operator="containsText" text="MC">
      <formula>NOT(ISERROR(SEARCH("MC",BT4)))</formula>
    </cfRule>
    <cfRule type="containsText" dxfId="231" priority="1326" operator="containsText" text="FL">
      <formula>NOT(ISERROR(SEARCH("FL",BT4)))</formula>
    </cfRule>
    <cfRule type="containsText" dxfId="230" priority="1330" operator="containsText" text="AL">
      <formula>NOT(ISERROR(SEARCH("AL",BT4)))</formula>
    </cfRule>
    <cfRule type="containsText" dxfId="229" priority="1327" operator="containsText" text="OFF">
      <formula>NOT(ISERROR(SEARCH("OFF",BT4)))</formula>
    </cfRule>
    <cfRule type="containsText" dxfId="228" priority="1328" operator="containsText" text="AB">
      <formula>NOT(ISERROR(SEARCH("AB",BT4)))</formula>
    </cfRule>
    <cfRule type="containsText" dxfId="227" priority="1329" operator="containsText" text="SICK">
      <formula>NOT(ISERROR(SEARCH("SICK",BT4)))</formula>
    </cfRule>
    <cfRule type="containsText" dxfId="226" priority="1325" operator="containsText" text="SUS">
      <formula>NOT(ISERROR(SEARCH("SUS",BT4)))</formula>
    </cfRule>
    <cfRule type="containsText" dxfId="225" priority="1322" operator="containsText" text="SP">
      <formula>NOT(ISERROR(SEARCH("SP",BT4)))</formula>
    </cfRule>
    <cfRule type="containsText" dxfId="224" priority="1321" operator="containsText" text="EL">
      <formula>NOT(ISERROR(SEARCH("EL",BT4)))</formula>
    </cfRule>
    <cfRule type="containsText" dxfId="223" priority="1323" operator="containsText" text="NL">
      <formula>NOT(ISERROR(SEARCH("NL",BT4)))</formula>
    </cfRule>
  </conditionalFormatting>
  <conditionalFormatting sqref="BT16:BZ16">
    <cfRule type="containsText" dxfId="222" priority="1320" operator="containsText" text="AL">
      <formula>NOT(ISERROR(SEARCH("AL",BT16)))</formula>
    </cfRule>
    <cfRule type="containsText" dxfId="221" priority="1315" operator="containsText" text="SUS">
      <formula>NOT(ISERROR(SEARCH("SUS",BT16)))</formula>
    </cfRule>
    <cfRule type="containsText" dxfId="220" priority="1312" operator="containsText" text="SP">
      <formula>NOT(ISERROR(SEARCH("SP",BT16)))</formula>
    </cfRule>
    <cfRule type="containsText" dxfId="219" priority="1311" operator="containsText" text="EL">
      <formula>NOT(ISERROR(SEARCH("EL",BT16)))</formula>
    </cfRule>
    <cfRule type="containsText" dxfId="218" priority="1314" operator="containsText" text="MC">
      <formula>NOT(ISERROR(SEARCH("MC",BT16)))</formula>
    </cfRule>
    <cfRule type="containsText" dxfId="217" priority="1316" operator="containsText" text="FL">
      <formula>NOT(ISERROR(SEARCH("FL",BT16)))</formula>
    </cfRule>
    <cfRule type="containsText" dxfId="216" priority="1317" operator="containsText" text="OFF">
      <formula>NOT(ISERROR(SEARCH("OFF",BT16)))</formula>
    </cfRule>
    <cfRule type="containsText" dxfId="215" priority="1318" operator="containsText" text="AB">
      <formula>NOT(ISERROR(SEARCH("AB",BT16)))</formula>
    </cfRule>
    <cfRule type="containsText" dxfId="214" priority="1319" operator="containsText" text="SICK">
      <formula>NOT(ISERROR(SEARCH("SICK",BT16)))</formula>
    </cfRule>
    <cfRule type="containsText" dxfId="213" priority="1313" operator="containsText" text="NL">
      <formula>NOT(ISERROR(SEARCH("NL",BT16)))</formula>
    </cfRule>
  </conditionalFormatting>
  <conditionalFormatting sqref="CB4">
    <cfRule type="containsText" dxfId="212" priority="1306" operator="containsText" text="FL">
      <formula>NOT(ISERROR(SEARCH("FL",CB4)))</formula>
    </cfRule>
    <cfRule type="containsText" dxfId="211" priority="1307" operator="containsText" text="OFF">
      <formula>NOT(ISERROR(SEARCH("OFF",CB4)))</formula>
    </cfRule>
    <cfRule type="containsText" dxfId="210" priority="1308" operator="containsText" text="AB">
      <formula>NOT(ISERROR(SEARCH("AB",CB4)))</formula>
    </cfRule>
    <cfRule type="containsText" dxfId="209" priority="1309" operator="containsText" text="SICK">
      <formula>NOT(ISERROR(SEARCH("SICK",CB4)))</formula>
    </cfRule>
    <cfRule type="containsText" dxfId="208" priority="1310" operator="containsText" text="AL">
      <formula>NOT(ISERROR(SEARCH("AL",CB4)))</formula>
    </cfRule>
    <cfRule type="containsText" dxfId="207" priority="1303" operator="containsText" text="NL">
      <formula>NOT(ISERROR(SEARCH("NL",CB4)))</formula>
    </cfRule>
    <cfRule type="containsText" dxfId="206" priority="1304" operator="containsText" text="MC">
      <formula>NOT(ISERROR(SEARCH("MC",CB4)))</formula>
    </cfRule>
    <cfRule type="containsText" dxfId="205" priority="1305" operator="containsText" text="SUS">
      <formula>NOT(ISERROR(SEARCH("SUS",CB4)))</formula>
    </cfRule>
  </conditionalFormatting>
  <conditionalFormatting sqref="CB16">
    <cfRule type="containsText" dxfId="204" priority="1300" operator="containsText" text="AL">
      <formula>NOT(ISERROR(SEARCH("AL",CB16)))</formula>
    </cfRule>
    <cfRule type="containsText" dxfId="203" priority="1299" operator="containsText" text="SICK">
      <formula>NOT(ISERROR(SEARCH("SICK",CB16)))</formula>
    </cfRule>
    <cfRule type="containsText" dxfId="202" priority="1298" operator="containsText" text="AB">
      <formula>NOT(ISERROR(SEARCH("AB",CB16)))</formula>
    </cfRule>
    <cfRule type="containsText" dxfId="201" priority="1297" operator="containsText" text="OFF">
      <formula>NOT(ISERROR(SEARCH("OFF",CB16)))</formula>
    </cfRule>
    <cfRule type="containsText" dxfId="200" priority="1296" operator="containsText" text="FL">
      <formula>NOT(ISERROR(SEARCH("FL",CB16)))</formula>
    </cfRule>
    <cfRule type="containsText" dxfId="199" priority="1294" operator="containsText" text="MC">
      <formula>NOT(ISERROR(SEARCH("MC",CB16)))</formula>
    </cfRule>
    <cfRule type="containsText" dxfId="198" priority="1293" operator="containsText" text="NL">
      <formula>NOT(ISERROR(SEARCH("NL",CB16)))</formula>
    </cfRule>
    <cfRule type="containsText" dxfId="197" priority="1295" operator="containsText" text="SUS">
      <formula>NOT(ISERROR(SEARCH("SUS",CB16)))</formula>
    </cfRule>
  </conditionalFormatting>
  <conditionalFormatting sqref="CB4:CC4">
    <cfRule type="containsText" dxfId="196" priority="1272" operator="containsText" text="SP">
      <formula>NOT(ISERROR(SEARCH("SP",CB4)))</formula>
    </cfRule>
  </conditionalFormatting>
  <conditionalFormatting sqref="CB16:CC16">
    <cfRule type="containsText" dxfId="195" priority="1262" operator="containsText" text="SP">
      <formula>NOT(ISERROR(SEARCH("SP",CB16)))</formula>
    </cfRule>
  </conditionalFormatting>
  <conditionalFormatting sqref="CB4:CD4">
    <cfRule type="containsText" dxfId="194" priority="1251" operator="containsText" text="EL">
      <formula>NOT(ISERROR(SEARCH("EL",CB4)))</formula>
    </cfRule>
  </conditionalFormatting>
  <conditionalFormatting sqref="CB16:CD16">
    <cfRule type="containsText" dxfId="193" priority="1241" operator="containsText" text="EL">
      <formula>NOT(ISERROR(SEARCH("EL",CB16)))</formula>
    </cfRule>
  </conditionalFormatting>
  <conditionalFormatting sqref="CC4">
    <cfRule type="containsText" dxfId="192" priority="1273" operator="containsText" text="NL">
      <formula>NOT(ISERROR(SEARCH("NL",CC4)))</formula>
    </cfRule>
    <cfRule type="containsText" dxfId="191" priority="1278" operator="containsText" text="AB">
      <formula>NOT(ISERROR(SEARCH("AB",CC4)))</formula>
    </cfRule>
    <cfRule type="containsText" dxfId="190" priority="1280" operator="containsText" text="AL">
      <formula>NOT(ISERROR(SEARCH("AL",CC4)))</formula>
    </cfRule>
    <cfRule type="containsText" dxfId="189" priority="1279" operator="containsText" text="SICK">
      <formula>NOT(ISERROR(SEARCH("SICK",CC4)))</formula>
    </cfRule>
    <cfRule type="containsText" dxfId="188" priority="1277" operator="containsText" text="OFF">
      <formula>NOT(ISERROR(SEARCH("OFF",CC4)))</formula>
    </cfRule>
    <cfRule type="containsText" dxfId="187" priority="1276" operator="containsText" text="FL">
      <formula>NOT(ISERROR(SEARCH("FL",CC4)))</formula>
    </cfRule>
    <cfRule type="containsText" dxfId="186" priority="1275" operator="containsText" text="SUS">
      <formula>NOT(ISERROR(SEARCH("SUS",CC4)))</formula>
    </cfRule>
    <cfRule type="containsText" dxfId="185" priority="1274" operator="containsText" text="MC">
      <formula>NOT(ISERROR(SEARCH("MC",CC4)))</formula>
    </cfRule>
  </conditionalFormatting>
  <conditionalFormatting sqref="CC16">
    <cfRule type="containsText" dxfId="184" priority="1263" operator="containsText" text="NL">
      <formula>NOT(ISERROR(SEARCH("NL",CC16)))</formula>
    </cfRule>
    <cfRule type="containsText" dxfId="183" priority="1264" operator="containsText" text="MC">
      <formula>NOT(ISERROR(SEARCH("MC",CC16)))</formula>
    </cfRule>
    <cfRule type="containsText" dxfId="182" priority="1265" operator="containsText" text="SUS">
      <formula>NOT(ISERROR(SEARCH("SUS",CC16)))</formula>
    </cfRule>
    <cfRule type="containsText" dxfId="181" priority="1270" operator="containsText" text="AL">
      <formula>NOT(ISERROR(SEARCH("AL",CC16)))</formula>
    </cfRule>
    <cfRule type="containsText" dxfId="180" priority="1266" operator="containsText" text="FL">
      <formula>NOT(ISERROR(SEARCH("FL",CC16)))</formula>
    </cfRule>
    <cfRule type="containsText" dxfId="179" priority="1267" operator="containsText" text="OFF">
      <formula>NOT(ISERROR(SEARCH("OFF",CC16)))</formula>
    </cfRule>
    <cfRule type="containsText" dxfId="178" priority="1268" operator="containsText" text="AB">
      <formula>NOT(ISERROR(SEARCH("AB",CC16)))</formula>
    </cfRule>
    <cfRule type="containsText" dxfId="177" priority="1269" operator="containsText" text="SICK">
      <formula>NOT(ISERROR(SEARCH("SICK",CC16)))</formula>
    </cfRule>
  </conditionalFormatting>
  <conditionalFormatting sqref="CD4">
    <cfRule type="containsText" dxfId="176" priority="1260" operator="containsText" text="AL">
      <formula>NOT(ISERROR(SEARCH("AL",CD4)))</formula>
    </cfRule>
    <cfRule type="containsText" dxfId="175" priority="1259" operator="containsText" text="SICK">
      <formula>NOT(ISERROR(SEARCH("SICK",CD4)))</formula>
    </cfRule>
    <cfRule type="containsText" dxfId="174" priority="1258" operator="containsText" text="AB">
      <formula>NOT(ISERROR(SEARCH("AB",CD4)))</formula>
    </cfRule>
    <cfRule type="containsText" dxfId="173" priority="1257" operator="containsText" text="OFF">
      <formula>NOT(ISERROR(SEARCH("OFF",CD4)))</formula>
    </cfRule>
    <cfRule type="containsText" dxfId="172" priority="1256" operator="containsText" text="FL">
      <formula>NOT(ISERROR(SEARCH("FL",CD4)))</formula>
    </cfRule>
    <cfRule type="containsText" dxfId="171" priority="1255" operator="containsText" text="SUS">
      <formula>NOT(ISERROR(SEARCH("SUS",CD4)))</formula>
    </cfRule>
    <cfRule type="containsText" dxfId="170" priority="1254" operator="containsText" text="MC">
      <formula>NOT(ISERROR(SEARCH("MC",CD4)))</formula>
    </cfRule>
    <cfRule type="containsText" dxfId="169" priority="1253" operator="containsText" text="NL">
      <formula>NOT(ISERROR(SEARCH("NL",CD4)))</formula>
    </cfRule>
    <cfRule type="containsText" dxfId="168" priority="1252" operator="containsText" text="SP">
      <formula>NOT(ISERROR(SEARCH("SP",CD4)))</formula>
    </cfRule>
  </conditionalFormatting>
  <conditionalFormatting sqref="CD16">
    <cfRule type="containsText" dxfId="167" priority="1242" operator="containsText" text="SP">
      <formula>NOT(ISERROR(SEARCH("SP",CD16)))</formula>
    </cfRule>
    <cfRule type="containsText" dxfId="166" priority="1247" operator="containsText" text="OFF">
      <formula>NOT(ISERROR(SEARCH("OFF",CD16)))</formula>
    </cfRule>
    <cfRule type="containsText" dxfId="165" priority="1250" operator="containsText" text="AL">
      <formula>NOT(ISERROR(SEARCH("AL",CD16)))</formula>
    </cfRule>
    <cfRule type="containsText" dxfId="164" priority="1249" operator="containsText" text="SICK">
      <formula>NOT(ISERROR(SEARCH("SICK",CD16)))</formula>
    </cfRule>
    <cfRule type="containsText" dxfId="163" priority="1248" operator="containsText" text="AB">
      <formula>NOT(ISERROR(SEARCH("AB",CD16)))</formula>
    </cfRule>
    <cfRule type="containsText" dxfId="162" priority="1246" operator="containsText" text="FL">
      <formula>NOT(ISERROR(SEARCH("FL",CD16)))</formula>
    </cfRule>
    <cfRule type="containsText" dxfId="161" priority="1245" operator="containsText" text="SUS">
      <formula>NOT(ISERROR(SEARCH("SUS",CD16)))</formula>
    </cfRule>
    <cfRule type="containsText" dxfId="160" priority="1244" operator="containsText" text="MC">
      <formula>NOT(ISERROR(SEARCH("MC",CD16)))</formula>
    </cfRule>
    <cfRule type="containsText" dxfId="159" priority="1243" operator="containsText" text="NL">
      <formula>NOT(ISERROR(SEARCH("NL",CD16)))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3023-844D-4A03-B17B-3AA76DEBF782}">
  <sheetPr>
    <pageSetUpPr fitToPage="1"/>
  </sheetPr>
  <dimension ref="A1:BF29"/>
  <sheetViews>
    <sheetView tabSelected="1" zoomScaleNormal="100" workbookViewId="0">
      <pane xSplit="4" ySplit="1" topLeftCell="U2" activePane="bottomRight" state="frozen"/>
      <selection pane="topRight" activeCell="E1" sqref="E1"/>
      <selection pane="bottomLeft" activeCell="A5" sqref="A5"/>
      <selection pane="bottomRight" activeCell="W22" sqref="W22"/>
    </sheetView>
  </sheetViews>
  <sheetFormatPr defaultRowHeight="15" x14ac:dyDescent="0.25"/>
  <cols>
    <col min="1" max="1" width="5" customWidth="1"/>
    <col min="2" max="2" width="10.85546875" style="20" customWidth="1"/>
    <col min="3" max="3" width="29.140625" customWidth="1"/>
    <col min="4" max="4" width="13.7109375" hidden="1" customWidth="1"/>
    <col min="5" max="30" width="6.42578125" customWidth="1"/>
    <col min="31" max="31" width="5" customWidth="1"/>
    <col min="32" max="44" width="5.140625" customWidth="1"/>
    <col min="45" max="45" width="12.7109375" customWidth="1"/>
    <col min="48" max="58" width="5.28515625" customWidth="1"/>
  </cols>
  <sheetData>
    <row r="1" spans="1:58" ht="24" customHeight="1" x14ac:dyDescent="0.25">
      <c r="A1" s="132" t="s">
        <v>115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</row>
    <row r="2" spans="1:58" ht="18.75" customHeight="1" x14ac:dyDescent="0.25">
      <c r="A2" s="130" t="s">
        <v>33</v>
      </c>
      <c r="B2" s="130"/>
      <c r="C2" s="130"/>
      <c r="D2" s="98"/>
      <c r="E2" s="128" t="s">
        <v>1</v>
      </c>
      <c r="F2" s="128"/>
      <c r="G2" s="128" t="s">
        <v>2</v>
      </c>
      <c r="H2" s="128"/>
      <c r="I2" s="128" t="s">
        <v>3</v>
      </c>
      <c r="J2" s="128"/>
      <c r="K2" s="128" t="s">
        <v>4</v>
      </c>
      <c r="L2" s="128"/>
      <c r="M2" s="128" t="s">
        <v>5</v>
      </c>
      <c r="N2" s="128"/>
      <c r="O2" s="128" t="s">
        <v>6</v>
      </c>
      <c r="P2" s="128"/>
      <c r="Q2" s="128" t="s">
        <v>7</v>
      </c>
      <c r="R2" s="128"/>
      <c r="S2" s="128" t="s">
        <v>1</v>
      </c>
      <c r="T2" s="128"/>
      <c r="U2" s="128" t="s">
        <v>2</v>
      </c>
      <c r="V2" s="128"/>
      <c r="W2" s="128" t="s">
        <v>3</v>
      </c>
      <c r="X2" s="128"/>
      <c r="Y2" s="128" t="s">
        <v>4</v>
      </c>
      <c r="Z2" s="128"/>
      <c r="AA2" s="128" t="s">
        <v>5</v>
      </c>
      <c r="AB2" s="128"/>
      <c r="AC2" s="128" t="s">
        <v>6</v>
      </c>
      <c r="AD2" s="128"/>
      <c r="AE2" s="129" t="s">
        <v>8</v>
      </c>
      <c r="AF2" s="129" t="s">
        <v>9</v>
      </c>
      <c r="AG2" s="14"/>
      <c r="AH2" s="14"/>
      <c r="AI2" s="14"/>
      <c r="AJ2" s="14"/>
      <c r="AK2" s="14"/>
      <c r="AL2" s="14"/>
      <c r="AM2" s="14"/>
      <c r="AN2" s="14"/>
      <c r="AO2" s="21"/>
      <c r="AP2" s="21"/>
      <c r="AQ2" s="14"/>
      <c r="AR2" s="22"/>
      <c r="AS2" s="22"/>
      <c r="AV2" s="135" t="s">
        <v>86</v>
      </c>
      <c r="AW2" s="135"/>
      <c r="AX2" s="135"/>
      <c r="AY2" s="135"/>
      <c r="AZ2" s="135"/>
      <c r="BA2" s="135"/>
      <c r="BB2" s="135"/>
      <c r="BC2" s="135"/>
      <c r="BD2" s="135"/>
      <c r="BE2" s="135"/>
      <c r="BF2" s="19"/>
    </row>
    <row r="3" spans="1:58" ht="18.75" customHeight="1" x14ac:dyDescent="0.25">
      <c r="A3" s="130"/>
      <c r="B3" s="130"/>
      <c r="C3" s="130"/>
      <c r="D3" s="98"/>
      <c r="E3" s="131">
        <v>46204</v>
      </c>
      <c r="F3" s="131"/>
      <c r="G3" s="131">
        <v>46205</v>
      </c>
      <c r="H3" s="131"/>
      <c r="I3" s="131">
        <v>46206</v>
      </c>
      <c r="J3" s="131"/>
      <c r="K3" s="131">
        <v>46207</v>
      </c>
      <c r="L3" s="131"/>
      <c r="M3" s="131">
        <v>46208</v>
      </c>
      <c r="N3" s="131"/>
      <c r="O3" s="131">
        <v>46209</v>
      </c>
      <c r="P3" s="131"/>
      <c r="Q3" s="131">
        <v>46210</v>
      </c>
      <c r="R3" s="131"/>
      <c r="S3" s="131">
        <v>46211</v>
      </c>
      <c r="T3" s="131"/>
      <c r="U3" s="131">
        <v>46212</v>
      </c>
      <c r="V3" s="131"/>
      <c r="W3" s="131">
        <v>46213</v>
      </c>
      <c r="X3" s="131"/>
      <c r="Y3" s="131">
        <v>46214</v>
      </c>
      <c r="Z3" s="131"/>
      <c r="AA3" s="131">
        <v>46215</v>
      </c>
      <c r="AB3" s="131"/>
      <c r="AC3" s="131">
        <v>46216</v>
      </c>
      <c r="AD3" s="131"/>
      <c r="AE3" s="129"/>
      <c r="AF3" s="129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V3" s="55" t="s">
        <v>103</v>
      </c>
      <c r="AW3" s="55"/>
      <c r="AX3" s="55"/>
      <c r="AY3" s="55"/>
      <c r="AZ3" s="55"/>
      <c r="BA3" s="55"/>
      <c r="BB3" s="55"/>
      <c r="BC3" s="55"/>
      <c r="BD3" s="55"/>
      <c r="BE3" s="55"/>
      <c r="BF3" s="19"/>
    </row>
    <row r="4" spans="1:58" ht="18.75" customHeight="1" x14ac:dyDescent="0.25">
      <c r="A4" s="4" t="s">
        <v>10</v>
      </c>
      <c r="B4" s="4" t="s">
        <v>11</v>
      </c>
      <c r="C4" s="4" t="s">
        <v>12</v>
      </c>
      <c r="D4" s="4"/>
      <c r="E4" s="12" t="s">
        <v>13</v>
      </c>
      <c r="F4" s="12" t="s">
        <v>14</v>
      </c>
      <c r="G4" s="12" t="s">
        <v>13</v>
      </c>
      <c r="H4" s="12" t="s">
        <v>14</v>
      </c>
      <c r="I4" s="12" t="s">
        <v>13</v>
      </c>
      <c r="J4" s="12" t="s">
        <v>14</v>
      </c>
      <c r="K4" s="12" t="s">
        <v>13</v>
      </c>
      <c r="L4" s="12" t="s">
        <v>14</v>
      </c>
      <c r="M4" s="12" t="s">
        <v>13</v>
      </c>
      <c r="N4" s="1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  <c r="Y4" s="12" t="s">
        <v>13</v>
      </c>
      <c r="Z4" s="12" t="s">
        <v>14</v>
      </c>
      <c r="AA4" s="12" t="s">
        <v>13</v>
      </c>
      <c r="AB4" s="12" t="s">
        <v>14</v>
      </c>
      <c r="AC4" s="12" t="s">
        <v>13</v>
      </c>
      <c r="AD4" s="12" t="s">
        <v>14</v>
      </c>
      <c r="AE4" s="129"/>
      <c r="AF4" s="129"/>
      <c r="AG4" s="13"/>
      <c r="AH4" s="76" t="s">
        <v>15</v>
      </c>
      <c r="AI4" s="76" t="s">
        <v>16</v>
      </c>
      <c r="AJ4" s="76" t="s">
        <v>17</v>
      </c>
      <c r="AK4" s="76" t="s">
        <v>18</v>
      </c>
      <c r="AL4" s="76" t="s">
        <v>19</v>
      </c>
      <c r="AM4" s="76" t="s">
        <v>20</v>
      </c>
      <c r="AN4" s="76" t="s">
        <v>100</v>
      </c>
      <c r="AO4" s="50" t="s">
        <v>22</v>
      </c>
      <c r="AP4" s="76" t="s">
        <v>23</v>
      </c>
      <c r="AQ4" s="76" t="s">
        <v>24</v>
      </c>
      <c r="AR4" s="76" t="s">
        <v>25</v>
      </c>
      <c r="AS4" s="14" t="s">
        <v>26</v>
      </c>
      <c r="AV4" s="65" t="s">
        <v>16</v>
      </c>
      <c r="AW4" s="65" t="s">
        <v>17</v>
      </c>
      <c r="AX4" s="65" t="s">
        <v>18</v>
      </c>
      <c r="AY4" s="65" t="s">
        <v>19</v>
      </c>
      <c r="AZ4" s="65" t="s">
        <v>20</v>
      </c>
      <c r="BA4" s="65" t="s">
        <v>21</v>
      </c>
      <c r="BB4" s="65" t="s">
        <v>22</v>
      </c>
      <c r="BC4" s="65" t="s">
        <v>23</v>
      </c>
      <c r="BD4" s="65" t="s">
        <v>24</v>
      </c>
      <c r="BE4" s="65" t="s">
        <v>25</v>
      </c>
      <c r="BF4" s="65" t="s">
        <v>87</v>
      </c>
    </row>
    <row r="5" spans="1:58" ht="22.5" customHeight="1" x14ac:dyDescent="0.25">
      <c r="A5" s="7">
        <v>1</v>
      </c>
      <c r="B5" s="8" t="s">
        <v>41</v>
      </c>
      <c r="C5" s="103" t="s">
        <v>42</v>
      </c>
      <c r="D5" s="104">
        <v>45382</v>
      </c>
      <c r="E5" s="66">
        <v>0.33402777777777781</v>
      </c>
      <c r="F5" s="66">
        <v>0.84791666666666676</v>
      </c>
      <c r="G5" s="66">
        <v>0.34097222222222223</v>
      </c>
      <c r="H5" s="66">
        <v>0.82430555555555562</v>
      </c>
      <c r="I5" s="94">
        <v>0.56597222222222221</v>
      </c>
      <c r="J5" s="94">
        <v>0.79652777777777783</v>
      </c>
      <c r="K5" s="66">
        <v>0.34097222222222223</v>
      </c>
      <c r="L5" s="66">
        <v>0.83611111111111114</v>
      </c>
      <c r="M5" s="66">
        <v>0.34027777777777773</v>
      </c>
      <c r="N5" s="66">
        <v>0.85069444444444453</v>
      </c>
      <c r="O5" s="66">
        <v>0.33749999999999997</v>
      </c>
      <c r="P5" s="72">
        <v>1</v>
      </c>
      <c r="Q5" s="66">
        <v>0.33333333333333331</v>
      </c>
      <c r="R5" s="66">
        <v>3.4027777777777775E-2</v>
      </c>
      <c r="S5" s="66">
        <v>0.33402777777777781</v>
      </c>
      <c r="T5" s="66">
        <v>0.8222222222222223</v>
      </c>
      <c r="U5" s="66">
        <v>0.33819444444444446</v>
      </c>
      <c r="V5" s="66">
        <v>0.81180555555555556</v>
      </c>
      <c r="W5" s="76" t="s">
        <v>15</v>
      </c>
      <c r="X5" s="76" t="s">
        <v>15</v>
      </c>
      <c r="Y5" s="66">
        <v>0.33749999999999997</v>
      </c>
      <c r="Z5" s="72">
        <v>1</v>
      </c>
      <c r="AA5" s="72">
        <v>1</v>
      </c>
      <c r="AB5" s="72">
        <v>1</v>
      </c>
      <c r="AC5" s="72">
        <v>1</v>
      </c>
      <c r="AD5" s="72">
        <v>1</v>
      </c>
      <c r="AE5" s="15">
        <f t="shared" ref="AE5" si="0">AG5+AH5+AI5+AJ5+AO5+AM5+AN5+AR5</f>
        <v>13</v>
      </c>
      <c r="AF5" s="54">
        <v>1</v>
      </c>
      <c r="AG5" s="16">
        <f>COUNT(E5:AD5)/2+COUNT(#REF!)/2</f>
        <v>12</v>
      </c>
      <c r="AH5" s="17">
        <f>COUNTIF(B5:AD5,"OFF")/2</f>
        <v>1</v>
      </c>
      <c r="AI5" s="17">
        <f>COUNTIF(B5:AD5,"MC")/2</f>
        <v>0</v>
      </c>
      <c r="AJ5" s="17">
        <f>COUNTIF(B5:AD5,"EL")/2</f>
        <v>0</v>
      </c>
      <c r="AK5" s="17">
        <f>COUNTIF(B5:AD5,"AL")/2</f>
        <v>0</v>
      </c>
      <c r="AL5" s="17">
        <f>COUNTIF(B5:AD5,"SUS")/2</f>
        <v>0</v>
      </c>
      <c r="AM5" s="17">
        <f>COUNTIF(B5:AD5,"FL")/2</f>
        <v>0</v>
      </c>
      <c r="AN5" s="17">
        <f>COUNTIF(B5:AD5,"SICK")/2</f>
        <v>0</v>
      </c>
      <c r="AO5" s="17">
        <f>COUNTIF(B5:AD5,"HD")/2</f>
        <v>0</v>
      </c>
      <c r="AP5" s="17">
        <f>COUNTIF(B5:AD5,"AB")/2</f>
        <v>0</v>
      </c>
      <c r="AQ5" s="17">
        <f>COUNTIF(B5:AD5,"NL")/2</f>
        <v>0</v>
      </c>
      <c r="AR5" s="17">
        <f>COUNTIF(B5:AD5,"SP")/2</f>
        <v>0</v>
      </c>
      <c r="AS5" s="18"/>
      <c r="AV5" s="60">
        <v>0</v>
      </c>
      <c r="AW5" s="60">
        <v>0</v>
      </c>
      <c r="AX5" s="60">
        <v>0</v>
      </c>
      <c r="AY5" s="60">
        <v>0</v>
      </c>
      <c r="AZ5" s="60">
        <v>0</v>
      </c>
      <c r="BA5" s="59">
        <v>3</v>
      </c>
      <c r="BB5" s="60">
        <v>0</v>
      </c>
      <c r="BC5" s="60">
        <v>0</v>
      </c>
      <c r="BD5" s="60">
        <v>0</v>
      </c>
      <c r="BE5" s="60">
        <v>0</v>
      </c>
      <c r="BF5" s="64">
        <f t="shared" ref="BF5" si="1">SUM(AV5:BE5)</f>
        <v>3</v>
      </c>
    </row>
    <row r="7" spans="1:58" ht="15.75" x14ac:dyDescent="0.25">
      <c r="F7" s="112" t="s">
        <v>112</v>
      </c>
      <c r="G7" s="112"/>
      <c r="H7" s="112" t="s">
        <v>117</v>
      </c>
      <c r="I7" s="112"/>
      <c r="J7" s="112"/>
      <c r="K7" s="112"/>
      <c r="L7" s="112"/>
      <c r="M7" s="112"/>
      <c r="N7" s="113"/>
      <c r="O7" s="113"/>
      <c r="P7" s="113"/>
      <c r="Q7" s="113"/>
    </row>
    <row r="8" spans="1:58" ht="15.75" x14ac:dyDescent="0.25">
      <c r="F8" s="112" t="s">
        <v>113</v>
      </c>
      <c r="G8" s="112"/>
      <c r="H8" s="112" t="s">
        <v>114</v>
      </c>
      <c r="I8" s="112"/>
      <c r="J8" s="112"/>
      <c r="K8" s="112"/>
      <c r="L8" s="112"/>
      <c r="M8" s="112"/>
      <c r="N8" s="113"/>
      <c r="O8" s="113"/>
      <c r="P8" s="113"/>
      <c r="Q8" s="113"/>
      <c r="AF8" s="40" t="s">
        <v>74</v>
      </c>
      <c r="AG8" s="41"/>
      <c r="AH8" s="41"/>
      <c r="AI8" s="42" t="s">
        <v>15</v>
      </c>
      <c r="AJ8" s="43"/>
      <c r="AK8" s="44" t="s">
        <v>75</v>
      </c>
      <c r="AL8" s="45"/>
      <c r="AM8" s="45"/>
      <c r="AN8" s="46"/>
      <c r="AO8" s="47" t="s">
        <v>21</v>
      </c>
    </row>
    <row r="9" spans="1:58" x14ac:dyDescent="0.25">
      <c r="AF9" s="40" t="s">
        <v>76</v>
      </c>
      <c r="AG9" s="41"/>
      <c r="AH9" s="41"/>
      <c r="AI9" s="42" t="s">
        <v>16</v>
      </c>
      <c r="AJ9" s="43"/>
      <c r="AK9" s="48" t="s">
        <v>77</v>
      </c>
      <c r="AL9" s="49"/>
      <c r="AM9" s="49"/>
      <c r="AN9" s="46"/>
      <c r="AO9" s="47" t="s">
        <v>22</v>
      </c>
    </row>
    <row r="10" spans="1:58" ht="15.75" x14ac:dyDescent="0.25">
      <c r="F10" s="28"/>
      <c r="G10" s="29" t="s">
        <v>65</v>
      </c>
      <c r="H10" s="23"/>
      <c r="I10" s="29"/>
      <c r="J10" s="25"/>
      <c r="K10" s="25"/>
      <c r="L10" s="26"/>
      <c r="M10" s="27"/>
      <c r="O10" s="27"/>
      <c r="P10" s="30" t="s">
        <v>66</v>
      </c>
      <c r="Q10" s="30"/>
      <c r="R10" s="26"/>
      <c r="S10" s="26"/>
      <c r="T10" s="26"/>
      <c r="U10" s="26" t="s">
        <v>85</v>
      </c>
      <c r="V10" s="26"/>
      <c r="W10" s="26"/>
      <c r="X10" s="26"/>
      <c r="Y10" s="30" t="s">
        <v>67</v>
      </c>
      <c r="Z10" s="26"/>
      <c r="AF10" s="40" t="s">
        <v>78</v>
      </c>
      <c r="AG10" s="41"/>
      <c r="AH10" s="41"/>
      <c r="AI10" s="42" t="s">
        <v>17</v>
      </c>
      <c r="AJ10" s="43"/>
      <c r="AK10" s="48" t="s">
        <v>79</v>
      </c>
      <c r="AL10" s="49"/>
      <c r="AM10" s="49"/>
      <c r="AN10" s="46"/>
      <c r="AO10" s="47" t="s">
        <v>23</v>
      </c>
    </row>
    <row r="11" spans="1:58" ht="17.25" x14ac:dyDescent="0.25">
      <c r="F11" s="31"/>
      <c r="G11" s="25"/>
      <c r="H11" s="25"/>
      <c r="I11" s="25"/>
      <c r="J11" s="25"/>
      <c r="K11" s="25"/>
      <c r="L11" s="25"/>
      <c r="M11" s="32"/>
      <c r="O11" s="32"/>
      <c r="P11" s="32"/>
      <c r="Q11" s="25"/>
      <c r="R11" s="25"/>
      <c r="S11" s="33"/>
      <c r="T11" s="33"/>
      <c r="U11" s="33"/>
      <c r="V11" s="33"/>
      <c r="W11" s="33"/>
      <c r="X11" s="33"/>
      <c r="Y11" s="34"/>
      <c r="Z11" s="34"/>
      <c r="AF11" s="40" t="s">
        <v>80</v>
      </c>
      <c r="AG11" s="41"/>
      <c r="AH11" s="41"/>
      <c r="AI11" s="42" t="s">
        <v>18</v>
      </c>
      <c r="AJ11" s="43"/>
      <c r="AK11" s="44" t="s">
        <v>81</v>
      </c>
      <c r="AL11" s="45"/>
      <c r="AM11" s="45"/>
      <c r="AN11" s="46"/>
      <c r="AO11" s="47" t="s">
        <v>24</v>
      </c>
    </row>
    <row r="12" spans="1:58" ht="17.25" x14ac:dyDescent="0.25">
      <c r="F12" s="31"/>
      <c r="G12" s="35"/>
      <c r="H12" s="25"/>
      <c r="I12" s="35"/>
      <c r="J12" s="25"/>
      <c r="K12" s="25"/>
      <c r="L12" s="35" t="s">
        <v>85</v>
      </c>
      <c r="M12" s="36"/>
      <c r="O12" s="36"/>
      <c r="P12" s="32"/>
      <c r="Q12" s="25"/>
      <c r="R12" s="35"/>
      <c r="S12" s="26"/>
      <c r="T12" s="25"/>
      <c r="U12" s="25"/>
      <c r="V12" s="25"/>
      <c r="W12" s="25"/>
      <c r="X12" s="25"/>
      <c r="Y12" s="37"/>
      <c r="Z12" s="37"/>
      <c r="AF12" s="40" t="s">
        <v>82</v>
      </c>
      <c r="AG12" s="41"/>
      <c r="AH12" s="41"/>
      <c r="AI12" s="42" t="s">
        <v>19</v>
      </c>
      <c r="AJ12" s="43"/>
      <c r="AK12" s="44" t="s">
        <v>83</v>
      </c>
      <c r="AL12" s="45"/>
      <c r="AM12" s="45"/>
      <c r="AN12" s="46"/>
      <c r="AO12" s="47" t="s">
        <v>25</v>
      </c>
    </row>
    <row r="13" spans="1:58" ht="17.25" x14ac:dyDescent="0.25">
      <c r="F13" s="38"/>
      <c r="G13" s="35"/>
      <c r="H13" s="25"/>
      <c r="I13" s="35"/>
      <c r="J13" s="25"/>
      <c r="K13" s="25"/>
      <c r="L13" s="35"/>
      <c r="M13" s="36"/>
      <c r="O13" s="36"/>
      <c r="P13" s="32"/>
      <c r="Q13" s="26"/>
      <c r="R13" s="35"/>
      <c r="S13" s="26"/>
      <c r="T13" s="25"/>
      <c r="U13" s="25"/>
      <c r="V13" s="25"/>
      <c r="W13" s="25"/>
      <c r="X13" s="25"/>
      <c r="Y13" s="37"/>
      <c r="Z13" s="37"/>
      <c r="AF13" s="40" t="s">
        <v>84</v>
      </c>
      <c r="AG13" s="41"/>
      <c r="AH13" s="41"/>
      <c r="AI13" s="42" t="s">
        <v>20</v>
      </c>
      <c r="AJ13" s="43"/>
      <c r="AK13" s="43"/>
      <c r="AL13" s="43"/>
      <c r="AM13" s="43"/>
      <c r="AN13" s="43"/>
      <c r="AO13" s="43"/>
    </row>
    <row r="14" spans="1:58" ht="17.25" x14ac:dyDescent="0.25">
      <c r="F14" s="89" t="s">
        <v>68</v>
      </c>
      <c r="G14" s="39"/>
      <c r="H14" s="28"/>
      <c r="I14" s="89"/>
      <c r="J14" s="85"/>
      <c r="K14" s="85"/>
      <c r="L14" s="84"/>
      <c r="M14" s="87"/>
      <c r="O14" s="86"/>
      <c r="P14" s="90" t="s">
        <v>69</v>
      </c>
      <c r="Q14" s="85"/>
      <c r="R14" s="24"/>
      <c r="S14" s="85"/>
      <c r="T14" s="85"/>
      <c r="U14" s="85"/>
      <c r="V14" s="85"/>
      <c r="W14" s="85"/>
      <c r="X14" s="85"/>
      <c r="Y14" s="90" t="s">
        <v>70</v>
      </c>
      <c r="Z14" s="88"/>
    </row>
    <row r="15" spans="1:58" ht="17.25" x14ac:dyDescent="0.25">
      <c r="F15" s="89"/>
      <c r="G15" s="89" t="s">
        <v>71</v>
      </c>
      <c r="H15" s="83"/>
      <c r="I15" s="83"/>
      <c r="J15" s="85"/>
      <c r="K15" s="85"/>
      <c r="L15" s="90"/>
      <c r="M15" s="91"/>
      <c r="O15" s="91"/>
      <c r="P15" s="90" t="s">
        <v>72</v>
      </c>
      <c r="Q15" s="90"/>
      <c r="R15" s="24"/>
      <c r="S15" s="90"/>
      <c r="T15" s="85"/>
      <c r="U15" s="85"/>
      <c r="V15" s="85"/>
      <c r="W15" s="85"/>
      <c r="X15" s="85"/>
      <c r="Y15" s="90" t="s">
        <v>73</v>
      </c>
      <c r="Z15" s="88"/>
    </row>
    <row r="18" spans="1:58" ht="15.75" x14ac:dyDescent="0.25">
      <c r="K18" s="24"/>
      <c r="N18" s="25"/>
    </row>
    <row r="23" spans="1:58" x14ac:dyDescent="0.25">
      <c r="J23" t="s">
        <v>85</v>
      </c>
    </row>
    <row r="27" spans="1:58" ht="22.5" customHeight="1" x14ac:dyDescent="0.25">
      <c r="A27" s="7">
        <v>20</v>
      </c>
      <c r="B27" s="8" t="s">
        <v>55</v>
      </c>
      <c r="C27" s="51" t="s">
        <v>56</v>
      </c>
      <c r="D27" s="75">
        <v>45764</v>
      </c>
      <c r="E27" s="74">
        <v>0.34513888888888888</v>
      </c>
      <c r="F27" s="74">
        <v>0.82986111111111116</v>
      </c>
      <c r="G27" s="74">
        <v>0.33888888888888885</v>
      </c>
      <c r="H27" s="74">
        <v>0.82847222222222217</v>
      </c>
      <c r="I27" s="78">
        <v>0.56944444444444442</v>
      </c>
      <c r="J27" s="78">
        <v>0.82291666666666663</v>
      </c>
      <c r="K27" s="74">
        <v>0.34513888888888888</v>
      </c>
      <c r="L27" s="74">
        <v>0.83263888888888893</v>
      </c>
      <c r="M27" s="74">
        <v>0.34375</v>
      </c>
      <c r="N27" s="74">
        <v>0.91041666666666676</v>
      </c>
      <c r="O27" s="74">
        <v>0.3430555555555555</v>
      </c>
      <c r="P27" s="74">
        <v>0.9555555555555556</v>
      </c>
      <c r="Q27" s="74">
        <v>0.34652777777777777</v>
      </c>
      <c r="R27" s="74">
        <v>0.83124999999999993</v>
      </c>
      <c r="S27" s="74">
        <v>0.3430555555555555</v>
      </c>
      <c r="T27" s="74">
        <v>0.74930555555555556</v>
      </c>
      <c r="U27" s="74">
        <v>0.34097222222222223</v>
      </c>
      <c r="V27" s="74">
        <v>0.92986111111111114</v>
      </c>
      <c r="W27" s="77" t="s">
        <v>15</v>
      </c>
      <c r="X27" s="77" t="s">
        <v>15</v>
      </c>
      <c r="Y27" s="74">
        <v>0.34513888888888888</v>
      </c>
      <c r="Z27" s="74">
        <v>0.87847222222222221</v>
      </c>
      <c r="AA27" s="74">
        <v>0.3444444444444445</v>
      </c>
      <c r="AB27" s="74">
        <v>0.85902777777777783</v>
      </c>
      <c r="AC27" s="74">
        <v>0.3444444444444445</v>
      </c>
      <c r="AD27" s="74">
        <v>0.85</v>
      </c>
      <c r="AE27" s="53">
        <f>AG27+AH27+AI27+AJ27+AO27+AM27+AN27+AR27</f>
        <v>13</v>
      </c>
      <c r="AF27" s="54"/>
      <c r="AG27" s="16">
        <f>COUNT(E27:AD27)/2+COUNT(#REF!)/2</f>
        <v>12</v>
      </c>
      <c r="AH27" s="17">
        <f>COUNTIF(B27:AD27,"OFF")/2</f>
        <v>1</v>
      </c>
      <c r="AI27" s="17">
        <f>COUNTIF(B27:AD27,"MC")/2</f>
        <v>0</v>
      </c>
      <c r="AJ27" s="17">
        <f>COUNTIF(B27:AD27,"EL")/2</f>
        <v>0</v>
      </c>
      <c r="AK27" s="17">
        <f>COUNTIF(B27:AD27,"AL")/2</f>
        <v>0</v>
      </c>
      <c r="AL27" s="17">
        <f>COUNTIF(B27:AD27,"SUS")/2</f>
        <v>0</v>
      </c>
      <c r="AM27" s="17">
        <f>COUNTIF(B27:AD27,"FL")/2</f>
        <v>0</v>
      </c>
      <c r="AN27" s="17">
        <f>COUNTIF(B27:AD27,"SICK")/2</f>
        <v>0</v>
      </c>
      <c r="AO27" s="17">
        <f>COUNTIF(B27:AD27,"HD")/2</f>
        <v>0</v>
      </c>
      <c r="AP27" s="17">
        <f>COUNTIF(B27:AD27,"AB")/2</f>
        <v>0</v>
      </c>
      <c r="AQ27" s="17">
        <f>COUNTIF(B27:AD27,"NL")/2</f>
        <v>0</v>
      </c>
      <c r="AR27" s="17">
        <f>COUNTIF(B27:AD27,"SP")/2</f>
        <v>0</v>
      </c>
      <c r="AS27" s="18"/>
      <c r="AV27" s="60">
        <v>0</v>
      </c>
      <c r="AW27" s="60">
        <v>0</v>
      </c>
      <c r="AX27" s="60">
        <v>0</v>
      </c>
      <c r="AY27" s="60">
        <v>0</v>
      </c>
      <c r="AZ27" s="60">
        <v>0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4">
        <f>SUM(AV27:BE27)</f>
        <v>0</v>
      </c>
    </row>
    <row r="28" spans="1:58" ht="22.5" customHeight="1" x14ac:dyDescent="0.25">
      <c r="A28" s="7">
        <v>16</v>
      </c>
      <c r="B28" s="8" t="s">
        <v>50</v>
      </c>
      <c r="C28" s="51" t="s">
        <v>51</v>
      </c>
      <c r="D28" s="75">
        <v>45616</v>
      </c>
      <c r="E28" s="81">
        <v>0.57847222222222217</v>
      </c>
      <c r="F28" s="81">
        <v>0.57847222222222217</v>
      </c>
      <c r="G28" s="74">
        <v>0.33749999999999997</v>
      </c>
      <c r="H28" s="76">
        <v>1</v>
      </c>
      <c r="I28" s="74">
        <v>0.34027777777777773</v>
      </c>
      <c r="J28" s="74">
        <v>0.87361111111111101</v>
      </c>
      <c r="K28" s="74">
        <v>0.3263888888888889</v>
      </c>
      <c r="L28" s="76">
        <v>1</v>
      </c>
      <c r="M28" s="74">
        <v>0.3215277777777778</v>
      </c>
      <c r="N28" s="74">
        <v>0.86458333333333337</v>
      </c>
      <c r="O28" s="74">
        <v>0.3354166666666667</v>
      </c>
      <c r="P28" s="74">
        <v>0.82013888888888886</v>
      </c>
      <c r="Q28" s="74">
        <v>0.32916666666666666</v>
      </c>
      <c r="R28" s="74">
        <v>0.32916666666666666</v>
      </c>
      <c r="S28" s="76" t="s">
        <v>15</v>
      </c>
      <c r="T28" s="76" t="s">
        <v>15</v>
      </c>
      <c r="U28" s="74">
        <v>0.34166666666666662</v>
      </c>
      <c r="V28" s="76">
        <v>1</v>
      </c>
      <c r="W28" s="74">
        <v>0.32500000000000001</v>
      </c>
      <c r="X28" s="74">
        <v>0.84861111111111109</v>
      </c>
      <c r="Y28" s="74">
        <v>0.31111111111111112</v>
      </c>
      <c r="Z28" s="74">
        <v>0.84375</v>
      </c>
      <c r="AA28" s="74">
        <v>0.32847222222222222</v>
      </c>
      <c r="AB28" s="74">
        <v>0.32847222222222222</v>
      </c>
      <c r="AC28" s="74">
        <v>0.32916666666666666</v>
      </c>
      <c r="AD28" s="74">
        <v>0.86041666666666661</v>
      </c>
      <c r="AE28" s="53">
        <f t="shared" ref="AE28" si="2">AG28+AH28+AI28+AJ28+AO28+AM28+AN28+AR28</f>
        <v>13</v>
      </c>
      <c r="AF28" s="54">
        <v>3</v>
      </c>
      <c r="AG28" s="16">
        <f>COUNT(E28:AD28)/2+COUNT(#REF!)/2</f>
        <v>12</v>
      </c>
      <c r="AH28" s="17">
        <f>COUNTIF(B28:AD28,"OFF")/2</f>
        <v>1</v>
      </c>
      <c r="AI28" s="17">
        <f>COUNTIF(B28:AD28,"MC")/2</f>
        <v>0</v>
      </c>
      <c r="AJ28" s="17">
        <f>COUNTIF(B28:AD28,"EL")/2</f>
        <v>0</v>
      </c>
      <c r="AK28" s="17">
        <f>COUNTIF(B28:AD28,"AL")/2</f>
        <v>0</v>
      </c>
      <c r="AL28" s="17">
        <f>COUNTIF(B28:AD28,"SUS")/2</f>
        <v>0</v>
      </c>
      <c r="AM28" s="17">
        <f>COUNTIF(B28:AD28,"FL")/2</f>
        <v>0</v>
      </c>
      <c r="AN28" s="17">
        <f>COUNTIF(B28:AD28,"SICK")/2</f>
        <v>0</v>
      </c>
      <c r="AO28" s="17">
        <f>COUNTIF(B28:AD28,"HD")/2</f>
        <v>0</v>
      </c>
      <c r="AP28" s="17">
        <f>COUNTIF(B28:AD28,"AB")/2</f>
        <v>0</v>
      </c>
      <c r="AQ28" s="17">
        <f>COUNTIF(B28:AD28,"NL")/2</f>
        <v>0</v>
      </c>
      <c r="AR28" s="17">
        <f>COUNTIF(B28:AD28,"SP")/2</f>
        <v>0</v>
      </c>
      <c r="AS28" s="18"/>
      <c r="AV28" s="61">
        <v>0</v>
      </c>
      <c r="AW28" s="61">
        <v>0</v>
      </c>
      <c r="AX28" s="61">
        <v>1</v>
      </c>
      <c r="AY28" s="62">
        <v>0</v>
      </c>
      <c r="AZ28" s="62">
        <v>0</v>
      </c>
      <c r="BA28" s="61">
        <v>6</v>
      </c>
      <c r="BB28" s="62">
        <v>0</v>
      </c>
      <c r="BC28" s="62">
        <v>1</v>
      </c>
      <c r="BD28" s="62">
        <v>0</v>
      </c>
      <c r="BE28" s="62">
        <v>0</v>
      </c>
      <c r="BF28" s="63">
        <f t="shared" ref="BF28" si="3">SUM(AV28:BE28)</f>
        <v>8</v>
      </c>
    </row>
    <row r="29" spans="1:58" ht="22.5" customHeight="1" x14ac:dyDescent="0.25">
      <c r="A29" s="7">
        <v>5</v>
      </c>
      <c r="B29" s="8" t="str">
        <f>'[1]Hulhumale Staffs_ Sep 2025'!B8</f>
        <v>MAD0457</v>
      </c>
      <c r="C29" s="103" t="s">
        <v>30</v>
      </c>
      <c r="D29" s="111">
        <v>44887</v>
      </c>
      <c r="E29" s="66">
        <v>0.32430555555555557</v>
      </c>
      <c r="F29" s="66">
        <v>7.6388888888888886E-3</v>
      </c>
      <c r="G29" s="66">
        <v>0.33888888888888885</v>
      </c>
      <c r="H29" s="93">
        <v>1</v>
      </c>
      <c r="I29" s="66">
        <v>0.32569444444444445</v>
      </c>
      <c r="J29" s="66">
        <v>0.58958333333333335</v>
      </c>
      <c r="K29" s="76" t="s">
        <v>18</v>
      </c>
      <c r="L29" s="76" t="s">
        <v>18</v>
      </c>
      <c r="M29" s="76" t="s">
        <v>18</v>
      </c>
      <c r="N29" s="76" t="s">
        <v>18</v>
      </c>
      <c r="S29" s="66"/>
      <c r="T29" s="66"/>
      <c r="U29" s="66"/>
      <c r="V29" s="66"/>
      <c r="W29" s="66"/>
      <c r="X29" s="66"/>
      <c r="Y29" s="66"/>
      <c r="Z29" s="66"/>
      <c r="AA29" s="94"/>
      <c r="AB29" s="94"/>
      <c r="AC29" s="66"/>
      <c r="AD29" s="66"/>
      <c r="AE29" s="15">
        <f>AG29+AH29+AI29+AJ29+AO29+AM29+AN29+AR29</f>
        <v>3</v>
      </c>
      <c r="AF29" s="72"/>
      <c r="AG29" s="16">
        <f>COUNT(E29:AD29)/2+COUNT(#REF!)/2</f>
        <v>3</v>
      </c>
      <c r="AH29" s="2">
        <f>COUNTIF(E29:AD29,"OFF")/2</f>
        <v>0</v>
      </c>
      <c r="AI29" s="17">
        <f>COUNTIF(B29:AD29,"MC")/2</f>
        <v>0</v>
      </c>
      <c r="AJ29" s="17">
        <f>COUNTIF(B29:AD29,"EL")/2</f>
        <v>0</v>
      </c>
      <c r="AK29" s="17">
        <f>COUNTIF(B29:AD29,"AL")/2</f>
        <v>2</v>
      </c>
      <c r="AL29" s="17">
        <f>COUNTIF(B29:AD29,"SUS")/2</f>
        <v>0</v>
      </c>
      <c r="AM29" s="17">
        <f>COUNTIF(B29:AD29,"FL")/2</f>
        <v>0</v>
      </c>
      <c r="AN29" s="17">
        <f>COUNTIF(B29:AD29,"SICK")/2</f>
        <v>0</v>
      </c>
      <c r="AO29" s="17">
        <f>COUNTIF(B29:AD29,"HD")/2</f>
        <v>0</v>
      </c>
      <c r="AP29" s="17">
        <f>COUNTIF(B29:AD29,"AB")/2</f>
        <v>0</v>
      </c>
      <c r="AQ29" s="17">
        <f>COUNTIF(B29:AD29,"NL")/2</f>
        <v>0</v>
      </c>
      <c r="AR29" s="17">
        <f>COUNTIF(B29:AD29,"SP")/2</f>
        <v>0</v>
      </c>
      <c r="AS29" s="69"/>
      <c r="AV29" s="60">
        <v>0</v>
      </c>
      <c r="AW29" s="60">
        <v>0</v>
      </c>
      <c r="AX29" s="60">
        <v>0</v>
      </c>
      <c r="AY29" s="60">
        <v>0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4">
        <f>SUM(AV29:BE29)</f>
        <v>0</v>
      </c>
    </row>
  </sheetData>
  <mergeCells count="32">
    <mergeCell ref="AV2:BE2"/>
    <mergeCell ref="E3:F3"/>
    <mergeCell ref="G3:H3"/>
    <mergeCell ref="I3:J3"/>
    <mergeCell ref="K3:L3"/>
    <mergeCell ref="M3:N3"/>
    <mergeCell ref="O3:P3"/>
    <mergeCell ref="AC2:AD2"/>
    <mergeCell ref="Q2:R2"/>
    <mergeCell ref="S2:T2"/>
    <mergeCell ref="U2:V2"/>
    <mergeCell ref="W2:X2"/>
    <mergeCell ref="Y2:Z2"/>
    <mergeCell ref="AA2:AB2"/>
    <mergeCell ref="AC3:AD3"/>
    <mergeCell ref="Q3:R3"/>
    <mergeCell ref="A1:AD1"/>
    <mergeCell ref="AE1:AS1"/>
    <mergeCell ref="A2:C3"/>
    <mergeCell ref="E2:F2"/>
    <mergeCell ref="G2:H2"/>
    <mergeCell ref="I2:J2"/>
    <mergeCell ref="K2:L2"/>
    <mergeCell ref="M2:N2"/>
    <mergeCell ref="O2:P2"/>
    <mergeCell ref="AE2:AE4"/>
    <mergeCell ref="AF2:AF4"/>
    <mergeCell ref="S3:T3"/>
    <mergeCell ref="U3:V3"/>
    <mergeCell ref="W3:X3"/>
    <mergeCell ref="Y3:Z3"/>
    <mergeCell ref="AA3:AB3"/>
  </mergeCells>
  <conditionalFormatting sqref="A2">
    <cfRule type="cellIs" dxfId="158" priority="469" stopIfTrue="1" operator="equal">
      <formula>";"</formula>
    </cfRule>
  </conditionalFormatting>
  <conditionalFormatting sqref="C7:C1048576 C1:C5">
    <cfRule type="duplicateValues" dxfId="157" priority="471"/>
  </conditionalFormatting>
  <conditionalFormatting sqref="C7:C1048576">
    <cfRule type="duplicateValues" dxfId="156" priority="472"/>
  </conditionalFormatting>
  <conditionalFormatting sqref="D5 D27:D28">
    <cfRule type="timePeriod" dxfId="155" priority="379" timePeriod="last7Days">
      <formula>AND(TODAY()-FLOOR(D5,1)&lt;=6,FLOOR(D5,1)&lt;=TODAY())</formula>
    </cfRule>
    <cfRule type="timePeriod" dxfId="154" priority="378" timePeriod="thisWeek">
      <formula>AND(TODAY()-ROUNDDOWN(D5,0)&lt;=WEEKDAY(TODAY())-1,ROUNDDOWN(D5,0)-TODAY()&lt;=7-WEEKDAY(TODAY()))</formula>
    </cfRule>
  </conditionalFormatting>
  <conditionalFormatting sqref="D5 D27:D29">
    <cfRule type="timePeriod" dxfId="153" priority="381" timePeriod="nextWeek">
      <formula>AND(ROUNDDOWN(D5,0)-TODAY()&gt;(7-WEEKDAY(TODAY())),ROUNDDOWN(D5,0)-TODAY()&lt;(15-WEEKDAY(TODAY())))</formula>
    </cfRule>
  </conditionalFormatting>
  <conditionalFormatting sqref="D5">
    <cfRule type="timePeriod" priority="380" timePeriod="nextWeek">
      <formula>AND(ROUNDDOWN(D5,0)-TODAY()&gt;(7-WEEKDAY(TODAY())),ROUNDDOWN(D5,0)-TODAY()&lt;(15-WEEKDAY(TODAY())))</formula>
    </cfRule>
  </conditionalFormatting>
  <conditionalFormatting sqref="D27:D29">
    <cfRule type="timePeriod" priority="123" timePeriod="nextWeek">
      <formula>AND(ROUNDDOWN(D27,0)-TODAY()&gt;(7-WEEKDAY(TODAY())),ROUNDDOWN(D27,0)-TODAY()&lt;(15-WEEKDAY(TODAY())))</formula>
    </cfRule>
  </conditionalFormatting>
  <conditionalFormatting sqref="K29:N29">
    <cfRule type="containsText" dxfId="152" priority="119" operator="containsText" text="SICK">
      <formula>NOT(ISERROR(SEARCH("SICK",K29)))</formula>
    </cfRule>
    <cfRule type="containsText" dxfId="151" priority="120" operator="containsText" text="AL">
      <formula>NOT(ISERROR(SEARCH("AL",K29)))</formula>
    </cfRule>
    <cfRule type="containsText" dxfId="150" priority="111" operator="containsText" text="EL">
      <formula>NOT(ISERROR(SEARCH("EL",K29)))</formula>
    </cfRule>
    <cfRule type="containsText" dxfId="149" priority="112" operator="containsText" text="SP">
      <formula>NOT(ISERROR(SEARCH("SP",K29)))</formula>
    </cfRule>
    <cfRule type="containsText" dxfId="148" priority="113" operator="containsText" text="NL">
      <formula>NOT(ISERROR(SEARCH("NL",K29)))</formula>
    </cfRule>
    <cfRule type="containsText" dxfId="147" priority="114" operator="containsText" text="MC">
      <formula>NOT(ISERROR(SEARCH("MC",K29)))</formula>
    </cfRule>
    <cfRule type="containsText" dxfId="146" priority="115" operator="containsText" text="SUS">
      <formula>NOT(ISERROR(SEARCH("SUS",K29)))</formula>
    </cfRule>
    <cfRule type="containsText" dxfId="145" priority="116" operator="containsText" text="FL">
      <formula>NOT(ISERROR(SEARCH("FL",K29)))</formula>
    </cfRule>
    <cfRule type="containsText" dxfId="144" priority="117" operator="containsText" text="OFF">
      <formula>NOT(ISERROR(SEARCH("OFF",K29)))</formula>
    </cfRule>
    <cfRule type="containsText" dxfId="143" priority="118" operator="containsText" text="AB">
      <formula>NOT(ISERROR(SEARCH("AB",K29)))</formula>
    </cfRule>
  </conditionalFormatting>
  <conditionalFormatting sqref="S28:T28">
    <cfRule type="containsText" dxfId="142" priority="374" operator="containsText" text="AB">
      <formula>NOT(ISERROR(SEARCH("AB",S28)))</formula>
    </cfRule>
    <cfRule type="containsText" dxfId="141" priority="375" operator="containsText" text="SICK">
      <formula>NOT(ISERROR(SEARCH("SICK",S28)))</formula>
    </cfRule>
    <cfRule type="containsText" dxfId="140" priority="376" operator="containsText" text="AL">
      <formula>NOT(ISERROR(SEARCH("AL",S28)))</formula>
    </cfRule>
    <cfRule type="containsText" dxfId="139" priority="367" operator="containsText" text="EL">
      <formula>NOT(ISERROR(SEARCH("EL",S28)))</formula>
    </cfRule>
    <cfRule type="containsText" dxfId="138" priority="368" operator="containsText" text="SP">
      <formula>NOT(ISERROR(SEARCH("SP",S28)))</formula>
    </cfRule>
    <cfRule type="containsText" dxfId="137" priority="369" operator="containsText" text="NL">
      <formula>NOT(ISERROR(SEARCH("NL",S28)))</formula>
    </cfRule>
    <cfRule type="containsText" dxfId="136" priority="370" operator="containsText" text="MC">
      <formula>NOT(ISERROR(SEARCH("MC",S28)))</formula>
    </cfRule>
    <cfRule type="containsText" dxfId="135" priority="371" operator="containsText" text="SUS">
      <formula>NOT(ISERROR(SEARCH("SUS",S28)))</formula>
    </cfRule>
    <cfRule type="containsText" dxfId="134" priority="372" operator="containsText" text="FL">
      <formula>NOT(ISERROR(SEARCH("FL",S28)))</formula>
    </cfRule>
    <cfRule type="containsText" dxfId="133" priority="373" operator="containsText" text="OFF">
      <formula>NOT(ISERROR(SEARCH("OFF",S28)))</formula>
    </cfRule>
  </conditionalFormatting>
  <conditionalFormatting sqref="W5:X5">
    <cfRule type="containsText" dxfId="132" priority="2" operator="containsText" text="SP">
      <formula>NOT(ISERROR(SEARCH("SP",W5)))</formula>
    </cfRule>
    <cfRule type="containsText" dxfId="131" priority="3" operator="containsText" text="NL">
      <formula>NOT(ISERROR(SEARCH("NL",W5)))</formula>
    </cfRule>
    <cfRule type="containsText" dxfId="130" priority="4" operator="containsText" text="MC">
      <formula>NOT(ISERROR(SEARCH("MC",W5)))</formula>
    </cfRule>
    <cfRule type="containsText" dxfId="129" priority="10" operator="containsText" text="AL">
      <formula>NOT(ISERROR(SEARCH("AL",W5)))</formula>
    </cfRule>
    <cfRule type="containsText" dxfId="128" priority="6" operator="containsText" text="FL">
      <formula>NOT(ISERROR(SEARCH("FL",W5)))</formula>
    </cfRule>
    <cfRule type="containsText" dxfId="127" priority="1" operator="containsText" text="EL">
      <formula>NOT(ISERROR(SEARCH("EL",W5)))</formula>
    </cfRule>
    <cfRule type="containsText" dxfId="126" priority="9" operator="containsText" text="SICK">
      <formula>NOT(ISERROR(SEARCH("SICK",W5)))</formula>
    </cfRule>
    <cfRule type="containsText" dxfId="125" priority="8" operator="containsText" text="AB">
      <formula>NOT(ISERROR(SEARCH("AB",W5)))</formula>
    </cfRule>
    <cfRule type="containsText" dxfId="124" priority="7" operator="containsText" text="OFF">
      <formula>NOT(ISERROR(SEARCH("OFF",W5)))</formula>
    </cfRule>
    <cfRule type="containsText" dxfId="123" priority="5" operator="containsText" text="SUS">
      <formula>NOT(ISERROR(SEARCH("SUS",W5)))</formula>
    </cfRule>
  </conditionalFormatting>
  <conditionalFormatting sqref="AF5">
    <cfRule type="cellIs" dxfId="122" priority="470" operator="equal">
      <formula>";"</formula>
    </cfRule>
  </conditionalFormatting>
  <conditionalFormatting sqref="AF27:AF28">
    <cfRule type="cellIs" dxfId="121" priority="377" operator="equal">
      <formula>";"</formula>
    </cfRule>
  </conditionalFormatting>
  <conditionalFormatting sqref="AF29">
    <cfRule type="containsText" dxfId="120" priority="467" operator="containsText" text="AB">
      <formula>NOT(ISERROR(SEARCH("AB",AF29)))</formula>
    </cfRule>
    <cfRule type="containsText" dxfId="119" priority="468" operator="containsText" text="SICK">
      <formula>NOT(ISERROR(SEARCH("SICK",AF29)))</formula>
    </cfRule>
  </conditionalFormatting>
  <conditionalFormatting sqref="AH4:AN4">
    <cfRule type="containsText" dxfId="118" priority="438" operator="containsText" text="NL">
      <formula>NOT(ISERROR(SEARCH("NL",AH4)))</formula>
    </cfRule>
    <cfRule type="containsText" dxfId="117" priority="439" operator="containsText" text="MC">
      <formula>NOT(ISERROR(SEARCH("MC",AH4)))</formula>
    </cfRule>
    <cfRule type="containsText" dxfId="116" priority="440" operator="containsText" text="SUS">
      <formula>NOT(ISERROR(SEARCH("SUS",AH4)))</formula>
    </cfRule>
    <cfRule type="containsText" dxfId="115" priority="441" operator="containsText" text="FL">
      <formula>NOT(ISERROR(SEARCH("FL",AH4)))</formula>
    </cfRule>
    <cfRule type="containsText" dxfId="114" priority="443" operator="containsText" text="AB">
      <formula>NOT(ISERROR(SEARCH("AB",AH4)))</formula>
    </cfRule>
    <cfRule type="containsText" dxfId="113" priority="444" operator="containsText" text="SICK">
      <formula>NOT(ISERROR(SEARCH("SICK",AH4)))</formula>
    </cfRule>
    <cfRule type="containsText" dxfId="112" priority="445" operator="containsText" text="AL">
      <formula>NOT(ISERROR(SEARCH("AL",AH4)))</formula>
    </cfRule>
    <cfRule type="containsText" dxfId="111" priority="442" operator="containsText" text="OFF">
      <formula>NOT(ISERROR(SEARCH("OFF",AH4)))</formula>
    </cfRule>
    <cfRule type="containsText" dxfId="110" priority="436" operator="containsText" text="EL">
      <formula>NOT(ISERROR(SEARCH("EL",AH4)))</formula>
    </cfRule>
    <cfRule type="containsText" dxfId="109" priority="437" operator="containsText" text="SP">
      <formula>NOT(ISERROR(SEARCH("SP",AH4)))</formula>
    </cfRule>
  </conditionalFormatting>
  <conditionalFormatting sqref="AP4">
    <cfRule type="containsText" dxfId="108" priority="420" operator="containsText" text="NL">
      <formula>NOT(ISERROR(SEARCH("NL",AP4)))</formula>
    </cfRule>
    <cfRule type="containsText" dxfId="107" priority="421" operator="containsText" text="MC">
      <formula>NOT(ISERROR(SEARCH("MC",AP4)))</formula>
    </cfRule>
    <cfRule type="containsText" dxfId="106" priority="422" operator="containsText" text="SUS">
      <formula>NOT(ISERROR(SEARCH("SUS",AP4)))</formula>
    </cfRule>
    <cfRule type="containsText" dxfId="105" priority="423" operator="containsText" text="FL">
      <formula>NOT(ISERROR(SEARCH("FL",AP4)))</formula>
    </cfRule>
    <cfRule type="containsText" dxfId="104" priority="424" operator="containsText" text="OFF">
      <formula>NOT(ISERROR(SEARCH("OFF",AP4)))</formula>
    </cfRule>
    <cfRule type="containsText" dxfId="103" priority="426" operator="containsText" text="SICK">
      <formula>NOT(ISERROR(SEARCH("SICK",AP4)))</formula>
    </cfRule>
    <cfRule type="containsText" dxfId="102" priority="427" operator="containsText" text="AL">
      <formula>NOT(ISERROR(SEARCH("AL",AP4)))</formula>
    </cfRule>
    <cfRule type="containsText" dxfId="101" priority="425" operator="containsText" text="AB">
      <formula>NOT(ISERROR(SEARCH("AB",AP4)))</formula>
    </cfRule>
  </conditionalFormatting>
  <conditionalFormatting sqref="AP4:AQ4">
    <cfRule type="containsText" dxfId="100" priority="402" operator="containsText" text="SP">
      <formula>NOT(ISERROR(SEARCH("SP",AP4)))</formula>
    </cfRule>
  </conditionalFormatting>
  <conditionalFormatting sqref="AP4:AR4">
    <cfRule type="containsText" dxfId="99" priority="382" operator="containsText" text="EL">
      <formula>NOT(ISERROR(SEARCH("EL",AP4)))</formula>
    </cfRule>
  </conditionalFormatting>
  <conditionalFormatting sqref="AQ4">
    <cfRule type="containsText" dxfId="98" priority="408" operator="containsText" text="AB">
      <formula>NOT(ISERROR(SEARCH("AB",AQ4)))</formula>
    </cfRule>
    <cfRule type="containsText" dxfId="97" priority="409" operator="containsText" text="SICK">
      <formula>NOT(ISERROR(SEARCH("SICK",AQ4)))</formula>
    </cfRule>
    <cfRule type="containsText" dxfId="96" priority="410" operator="containsText" text="AL">
      <formula>NOT(ISERROR(SEARCH("AL",AQ4)))</formula>
    </cfRule>
    <cfRule type="containsText" dxfId="95" priority="404" operator="containsText" text="MC">
      <formula>NOT(ISERROR(SEARCH("MC",AQ4)))</formula>
    </cfRule>
    <cfRule type="containsText" dxfId="94" priority="403" operator="containsText" text="NL">
      <formula>NOT(ISERROR(SEARCH("NL",AQ4)))</formula>
    </cfRule>
    <cfRule type="containsText" dxfId="93" priority="405" operator="containsText" text="SUS">
      <formula>NOT(ISERROR(SEARCH("SUS",AQ4)))</formula>
    </cfRule>
    <cfRule type="containsText" dxfId="92" priority="406" operator="containsText" text="FL">
      <formula>NOT(ISERROR(SEARCH("FL",AQ4)))</formula>
    </cfRule>
    <cfRule type="containsText" dxfId="91" priority="407" operator="containsText" text="OFF">
      <formula>NOT(ISERROR(SEARCH("OFF",AQ4)))</formula>
    </cfRule>
  </conditionalFormatting>
  <conditionalFormatting sqref="AR4">
    <cfRule type="containsText" dxfId="90" priority="384" operator="containsText" text="NL">
      <formula>NOT(ISERROR(SEARCH("NL",AR4)))</formula>
    </cfRule>
    <cfRule type="containsText" dxfId="89" priority="386" operator="containsText" text="SUS">
      <formula>NOT(ISERROR(SEARCH("SUS",AR4)))</formula>
    </cfRule>
    <cfRule type="containsText" dxfId="88" priority="387" operator="containsText" text="FL">
      <formula>NOT(ISERROR(SEARCH("FL",AR4)))</formula>
    </cfRule>
    <cfRule type="containsText" dxfId="87" priority="388" operator="containsText" text="OFF">
      <formula>NOT(ISERROR(SEARCH("OFF",AR4)))</formula>
    </cfRule>
    <cfRule type="containsText" dxfId="86" priority="389" operator="containsText" text="AB">
      <formula>NOT(ISERROR(SEARCH("AB",AR4)))</formula>
    </cfRule>
    <cfRule type="containsText" dxfId="85" priority="390" operator="containsText" text="SICK">
      <formula>NOT(ISERROR(SEARCH("SICK",AR4)))</formula>
    </cfRule>
    <cfRule type="containsText" dxfId="84" priority="391" operator="containsText" text="AL">
      <formula>NOT(ISERROR(SEARCH("AL",AR4)))</formula>
    </cfRule>
    <cfRule type="containsText" dxfId="83" priority="385" operator="containsText" text="MC">
      <formula>NOT(ISERROR(SEARCH("MC",AR4)))</formula>
    </cfRule>
    <cfRule type="containsText" dxfId="82" priority="383" operator="containsText" text="SP">
      <formula>NOT(ISERROR(SEARCH("SP",AR4)))</formula>
    </cfRule>
  </conditionalFormatting>
  <pageMargins left="0.7" right="0.7" top="0.75" bottom="0.75" header="0.3" footer="0.3"/>
  <pageSetup paperSize="9" scale="3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7EDA-6FB4-4C73-A9B6-3A84DEB578F4}">
  <sheetPr>
    <pageSetUpPr fitToPage="1"/>
  </sheetPr>
  <dimension ref="A1:BF29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X19" sqref="X19"/>
    </sheetView>
  </sheetViews>
  <sheetFormatPr defaultRowHeight="15" x14ac:dyDescent="0.25"/>
  <cols>
    <col min="1" max="1" width="5" customWidth="1"/>
    <col min="2" max="2" width="10.85546875" style="20" customWidth="1"/>
    <col min="3" max="3" width="29.140625" customWidth="1"/>
    <col min="4" max="4" width="13.7109375" hidden="1" customWidth="1"/>
    <col min="5" max="30" width="6.42578125" customWidth="1"/>
    <col min="31" max="31" width="5" customWidth="1"/>
    <col min="32" max="44" width="5.140625" customWidth="1"/>
    <col min="45" max="45" width="12.7109375" customWidth="1"/>
    <col min="48" max="58" width="5.28515625" customWidth="1"/>
  </cols>
  <sheetData>
    <row r="1" spans="1:58" ht="24" customHeight="1" x14ac:dyDescent="0.25">
      <c r="A1" s="132" t="s">
        <v>115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</row>
    <row r="2" spans="1:58" ht="18.75" customHeight="1" x14ac:dyDescent="0.25">
      <c r="A2" s="130" t="s">
        <v>33</v>
      </c>
      <c r="B2" s="130"/>
      <c r="C2" s="130"/>
      <c r="D2" s="98"/>
      <c r="E2" s="128" t="s">
        <v>1</v>
      </c>
      <c r="F2" s="128"/>
      <c r="G2" s="128" t="s">
        <v>2</v>
      </c>
      <c r="H2" s="128"/>
      <c r="I2" s="128" t="s">
        <v>3</v>
      </c>
      <c r="J2" s="128"/>
      <c r="K2" s="128" t="s">
        <v>4</v>
      </c>
      <c r="L2" s="128"/>
      <c r="M2" s="128" t="s">
        <v>5</v>
      </c>
      <c r="N2" s="128"/>
      <c r="O2" s="128" t="s">
        <v>6</v>
      </c>
      <c r="P2" s="128"/>
      <c r="Q2" s="128" t="s">
        <v>7</v>
      </c>
      <c r="R2" s="128"/>
      <c r="S2" s="128" t="s">
        <v>1</v>
      </c>
      <c r="T2" s="128"/>
      <c r="U2" s="128" t="s">
        <v>2</v>
      </c>
      <c r="V2" s="128"/>
      <c r="W2" s="128" t="s">
        <v>3</v>
      </c>
      <c r="X2" s="128"/>
      <c r="Y2" s="128" t="s">
        <v>4</v>
      </c>
      <c r="Z2" s="128"/>
      <c r="AA2" s="128" t="s">
        <v>5</v>
      </c>
      <c r="AB2" s="128"/>
      <c r="AC2" s="128" t="s">
        <v>6</v>
      </c>
      <c r="AD2" s="128"/>
      <c r="AE2" s="129" t="s">
        <v>8</v>
      </c>
      <c r="AF2" s="129" t="s">
        <v>9</v>
      </c>
      <c r="AG2" s="14"/>
      <c r="AH2" s="14"/>
      <c r="AI2" s="14"/>
      <c r="AJ2" s="14"/>
      <c r="AK2" s="14"/>
      <c r="AL2" s="14"/>
      <c r="AM2" s="14"/>
      <c r="AN2" s="14"/>
      <c r="AO2" s="21"/>
      <c r="AP2" s="21"/>
      <c r="AQ2" s="14"/>
      <c r="AR2" s="22"/>
      <c r="AS2" s="22"/>
      <c r="AV2" s="135" t="s">
        <v>86</v>
      </c>
      <c r="AW2" s="135"/>
      <c r="AX2" s="135"/>
      <c r="AY2" s="135"/>
      <c r="AZ2" s="135"/>
      <c r="BA2" s="135"/>
      <c r="BB2" s="135"/>
      <c r="BC2" s="135"/>
      <c r="BD2" s="135"/>
      <c r="BE2" s="135"/>
      <c r="BF2" s="19"/>
    </row>
    <row r="3" spans="1:58" ht="18.75" customHeight="1" x14ac:dyDescent="0.25">
      <c r="A3" s="130"/>
      <c r="B3" s="130"/>
      <c r="C3" s="130"/>
      <c r="D3" s="98"/>
      <c r="E3" s="131">
        <v>46204</v>
      </c>
      <c r="F3" s="131"/>
      <c r="G3" s="131">
        <v>46205</v>
      </c>
      <c r="H3" s="131"/>
      <c r="I3" s="131">
        <v>46206</v>
      </c>
      <c r="J3" s="131"/>
      <c r="K3" s="131">
        <v>46207</v>
      </c>
      <c r="L3" s="131"/>
      <c r="M3" s="131">
        <v>46208</v>
      </c>
      <c r="N3" s="131"/>
      <c r="O3" s="131">
        <v>46209</v>
      </c>
      <c r="P3" s="131"/>
      <c r="Q3" s="131">
        <v>46210</v>
      </c>
      <c r="R3" s="131"/>
      <c r="S3" s="131">
        <v>46211</v>
      </c>
      <c r="T3" s="131"/>
      <c r="U3" s="131">
        <v>46212</v>
      </c>
      <c r="V3" s="131"/>
      <c r="W3" s="131">
        <v>46213</v>
      </c>
      <c r="X3" s="131"/>
      <c r="Y3" s="131">
        <v>46214</v>
      </c>
      <c r="Z3" s="131"/>
      <c r="AA3" s="131">
        <v>46215</v>
      </c>
      <c r="AB3" s="131"/>
      <c r="AC3" s="131">
        <v>46216</v>
      </c>
      <c r="AD3" s="131"/>
      <c r="AE3" s="129"/>
      <c r="AF3" s="129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V3" s="55" t="s">
        <v>103</v>
      </c>
      <c r="AW3" s="55"/>
      <c r="AX3" s="55"/>
      <c r="AY3" s="55"/>
      <c r="AZ3" s="55"/>
      <c r="BA3" s="55"/>
      <c r="BB3" s="55"/>
      <c r="BC3" s="55"/>
      <c r="BD3" s="55"/>
      <c r="BE3" s="55"/>
      <c r="BF3" s="19"/>
    </row>
    <row r="4" spans="1:58" ht="18.75" customHeight="1" x14ac:dyDescent="0.25">
      <c r="A4" s="4" t="s">
        <v>10</v>
      </c>
      <c r="B4" s="4" t="s">
        <v>11</v>
      </c>
      <c r="C4" s="4" t="s">
        <v>12</v>
      </c>
      <c r="D4" s="4"/>
      <c r="E4" s="12" t="s">
        <v>13</v>
      </c>
      <c r="F4" s="12" t="s">
        <v>14</v>
      </c>
      <c r="G4" s="12" t="s">
        <v>13</v>
      </c>
      <c r="H4" s="12" t="s">
        <v>14</v>
      </c>
      <c r="I4" s="12" t="s">
        <v>13</v>
      </c>
      <c r="J4" s="12" t="s">
        <v>14</v>
      </c>
      <c r="K4" s="12" t="s">
        <v>13</v>
      </c>
      <c r="L4" s="12" t="s">
        <v>14</v>
      </c>
      <c r="M4" s="12" t="s">
        <v>13</v>
      </c>
      <c r="N4" s="12" t="s">
        <v>14</v>
      </c>
      <c r="O4" s="12" t="s">
        <v>13</v>
      </c>
      <c r="P4" s="12" t="s">
        <v>14</v>
      </c>
      <c r="Q4" s="12" t="s">
        <v>13</v>
      </c>
      <c r="R4" s="12" t="s">
        <v>14</v>
      </c>
      <c r="S4" s="12" t="s">
        <v>13</v>
      </c>
      <c r="T4" s="12" t="s">
        <v>14</v>
      </c>
      <c r="U4" s="12" t="s">
        <v>13</v>
      </c>
      <c r="V4" s="12" t="s">
        <v>14</v>
      </c>
      <c r="W4" s="12" t="s">
        <v>13</v>
      </c>
      <c r="X4" s="12" t="s">
        <v>14</v>
      </c>
      <c r="Y4" s="12" t="s">
        <v>13</v>
      </c>
      <c r="Z4" s="12" t="s">
        <v>14</v>
      </c>
      <c r="AA4" s="12" t="s">
        <v>13</v>
      </c>
      <c r="AB4" s="12" t="s">
        <v>14</v>
      </c>
      <c r="AC4" s="12" t="s">
        <v>13</v>
      </c>
      <c r="AD4" s="12" t="s">
        <v>14</v>
      </c>
      <c r="AE4" s="129"/>
      <c r="AF4" s="129"/>
      <c r="AG4" s="13"/>
      <c r="AH4" s="76" t="s">
        <v>15</v>
      </c>
      <c r="AI4" s="76" t="s">
        <v>16</v>
      </c>
      <c r="AJ4" s="76" t="s">
        <v>17</v>
      </c>
      <c r="AK4" s="76" t="s">
        <v>18</v>
      </c>
      <c r="AL4" s="76" t="s">
        <v>19</v>
      </c>
      <c r="AM4" s="76" t="s">
        <v>20</v>
      </c>
      <c r="AN4" s="76" t="s">
        <v>100</v>
      </c>
      <c r="AO4" s="50" t="s">
        <v>22</v>
      </c>
      <c r="AP4" s="76" t="s">
        <v>23</v>
      </c>
      <c r="AQ4" s="76" t="s">
        <v>24</v>
      </c>
      <c r="AR4" s="76" t="s">
        <v>25</v>
      </c>
      <c r="AS4" s="14" t="s">
        <v>26</v>
      </c>
      <c r="AV4" s="65" t="s">
        <v>16</v>
      </c>
      <c r="AW4" s="65" t="s">
        <v>17</v>
      </c>
      <c r="AX4" s="65" t="s">
        <v>18</v>
      </c>
      <c r="AY4" s="65" t="s">
        <v>19</v>
      </c>
      <c r="AZ4" s="65" t="s">
        <v>20</v>
      </c>
      <c r="BA4" s="65" t="s">
        <v>21</v>
      </c>
      <c r="BB4" s="65" t="s">
        <v>22</v>
      </c>
      <c r="BC4" s="65" t="s">
        <v>23</v>
      </c>
      <c r="BD4" s="65" t="s">
        <v>24</v>
      </c>
      <c r="BE4" s="65" t="s">
        <v>25</v>
      </c>
      <c r="BF4" s="65" t="s">
        <v>87</v>
      </c>
    </row>
    <row r="5" spans="1:58" ht="22.5" customHeight="1" x14ac:dyDescent="0.25">
      <c r="A5" s="7">
        <v>1</v>
      </c>
      <c r="B5" s="8" t="s">
        <v>45</v>
      </c>
      <c r="C5" s="103" t="s">
        <v>105</v>
      </c>
      <c r="D5" s="104">
        <v>45387</v>
      </c>
      <c r="E5" s="66">
        <v>0.35486111111111113</v>
      </c>
      <c r="F5" s="66">
        <v>0.96597222222222223</v>
      </c>
      <c r="G5" s="66">
        <v>0.35555555555555557</v>
      </c>
      <c r="H5" s="66">
        <v>2.0833333333333332E-2</v>
      </c>
      <c r="I5" s="76" t="s">
        <v>15</v>
      </c>
      <c r="J5" s="76" t="s">
        <v>15</v>
      </c>
      <c r="K5" s="66">
        <v>0.35486111111111113</v>
      </c>
      <c r="L5" s="66">
        <v>0.99791666666666667</v>
      </c>
      <c r="M5" s="66">
        <v>0.3576388888888889</v>
      </c>
      <c r="N5" s="66">
        <v>0.95833333333333337</v>
      </c>
      <c r="O5" s="66">
        <v>0.35833333333333334</v>
      </c>
      <c r="P5" s="66">
        <v>0.94861111111111107</v>
      </c>
      <c r="Q5" s="66">
        <v>0.3576388888888889</v>
      </c>
      <c r="R5" s="66">
        <v>0.95138888888888884</v>
      </c>
      <c r="S5" s="66">
        <v>0.32500000000000001</v>
      </c>
      <c r="T5" s="66">
        <v>0.97916666666666663</v>
      </c>
      <c r="U5" s="66">
        <v>0.32430555555555557</v>
      </c>
      <c r="V5" s="66">
        <v>0.97986111111111107</v>
      </c>
      <c r="W5" s="66">
        <v>0.55208333333333337</v>
      </c>
      <c r="X5" s="66">
        <v>0.95486111111111116</v>
      </c>
      <c r="Y5" s="66">
        <v>0.3298611111111111</v>
      </c>
      <c r="Z5" s="66">
        <v>0.9902777777777777</v>
      </c>
      <c r="AA5" s="72">
        <v>1</v>
      </c>
      <c r="AB5" s="72">
        <v>1</v>
      </c>
      <c r="AC5" s="72">
        <v>1</v>
      </c>
      <c r="AD5" s="72">
        <v>1</v>
      </c>
      <c r="AE5" s="15">
        <f t="shared" ref="AE5" si="0">AG5+AH5+AI5+AJ5+AO5+AM5+AN5+AR5</f>
        <v>13</v>
      </c>
      <c r="AF5" s="54">
        <v>1</v>
      </c>
      <c r="AG5" s="16">
        <f>COUNT(E5:AD5)/2+COUNT(#REF!)/2</f>
        <v>12</v>
      </c>
      <c r="AH5" s="17">
        <f>COUNTIF(B5:AD5,"OFF")/2</f>
        <v>1</v>
      </c>
      <c r="AI5" s="17">
        <f>COUNTIF(B5:AD5,"MC")/2</f>
        <v>0</v>
      </c>
      <c r="AJ5" s="17">
        <f>COUNTIF(B5:AD5,"EL")/2</f>
        <v>0</v>
      </c>
      <c r="AK5" s="17">
        <f>COUNTIF(B5:AD5,"AL")/2</f>
        <v>0</v>
      </c>
      <c r="AL5" s="17">
        <f>COUNTIF(B5:AD5,"SUS")/2</f>
        <v>0</v>
      </c>
      <c r="AM5" s="17">
        <f>COUNTIF(B5:AD5,"FL")/2</f>
        <v>0</v>
      </c>
      <c r="AN5" s="17">
        <f>COUNTIF(B5:AD5,"SICK")/2</f>
        <v>0</v>
      </c>
      <c r="AO5" s="17">
        <f>COUNTIF(B5:AD5,"HD")/2</f>
        <v>0</v>
      </c>
      <c r="AP5" s="17">
        <f>COUNTIF(B5:AD5,"AB")/2</f>
        <v>0</v>
      </c>
      <c r="AQ5" s="17">
        <f>COUNTIF(B5:AD5,"NL")/2</f>
        <v>0</v>
      </c>
      <c r="AR5" s="17">
        <f>COUNTIF(B5:AD5,"SP")/2</f>
        <v>0</v>
      </c>
      <c r="AS5" s="18"/>
      <c r="AV5" s="60">
        <v>0</v>
      </c>
      <c r="AW5" s="60">
        <v>0</v>
      </c>
      <c r="AX5" s="60">
        <v>0</v>
      </c>
      <c r="AY5" s="60">
        <v>0</v>
      </c>
      <c r="AZ5" s="60">
        <v>0</v>
      </c>
      <c r="BA5" s="59">
        <v>3</v>
      </c>
      <c r="BB5" s="60">
        <v>0</v>
      </c>
      <c r="BC5" s="60">
        <v>0</v>
      </c>
      <c r="BD5" s="60">
        <v>0</v>
      </c>
      <c r="BE5" s="60">
        <v>0</v>
      </c>
      <c r="BF5" s="64">
        <f t="shared" ref="BF5" si="1">SUM(AV5:BE5)</f>
        <v>3</v>
      </c>
    </row>
    <row r="7" spans="1:58" ht="15.75" x14ac:dyDescent="0.25">
      <c r="F7" s="112" t="s">
        <v>112</v>
      </c>
      <c r="G7" s="112"/>
      <c r="H7" s="112" t="s">
        <v>117</v>
      </c>
      <c r="I7" s="112"/>
      <c r="J7" s="112"/>
      <c r="K7" s="112"/>
      <c r="L7" s="112"/>
      <c r="M7" s="112"/>
      <c r="N7" s="113"/>
      <c r="O7" s="113"/>
      <c r="P7" s="113"/>
      <c r="Q7" s="113"/>
    </row>
    <row r="8" spans="1:58" ht="15.75" x14ac:dyDescent="0.25">
      <c r="F8" s="112" t="s">
        <v>113</v>
      </c>
      <c r="G8" s="112"/>
      <c r="H8" s="112" t="s">
        <v>116</v>
      </c>
      <c r="I8" s="112"/>
      <c r="J8" s="112"/>
      <c r="K8" s="112"/>
      <c r="L8" s="112"/>
      <c r="M8" s="112"/>
      <c r="N8" s="113"/>
      <c r="O8" s="113"/>
      <c r="P8" s="113"/>
      <c r="Q8" s="113"/>
      <c r="AF8" s="40" t="s">
        <v>74</v>
      </c>
      <c r="AG8" s="41"/>
      <c r="AH8" s="41"/>
      <c r="AI8" s="42" t="s">
        <v>15</v>
      </c>
      <c r="AJ8" s="43"/>
      <c r="AK8" s="44" t="s">
        <v>75</v>
      </c>
      <c r="AL8" s="45"/>
      <c r="AM8" s="45"/>
      <c r="AN8" s="46"/>
      <c r="AO8" s="47" t="s">
        <v>21</v>
      </c>
    </row>
    <row r="9" spans="1:58" x14ac:dyDescent="0.25">
      <c r="AF9" s="40" t="s">
        <v>76</v>
      </c>
      <c r="AG9" s="41"/>
      <c r="AH9" s="41"/>
      <c r="AI9" s="42" t="s">
        <v>16</v>
      </c>
      <c r="AJ9" s="43"/>
      <c r="AK9" s="48" t="s">
        <v>77</v>
      </c>
      <c r="AL9" s="49"/>
      <c r="AM9" s="49"/>
      <c r="AN9" s="46"/>
      <c r="AO9" s="47" t="s">
        <v>22</v>
      </c>
    </row>
    <row r="10" spans="1:58" ht="15.75" x14ac:dyDescent="0.25">
      <c r="F10" s="28"/>
      <c r="G10" s="29" t="s">
        <v>65</v>
      </c>
      <c r="H10" s="23"/>
      <c r="I10" s="29"/>
      <c r="J10" s="25"/>
      <c r="K10" s="25"/>
      <c r="L10" s="26"/>
      <c r="M10" s="27"/>
      <c r="O10" s="27"/>
      <c r="P10" s="30" t="s">
        <v>66</v>
      </c>
      <c r="Q10" s="30"/>
      <c r="R10" s="26"/>
      <c r="S10" s="26"/>
      <c r="T10" s="26"/>
      <c r="U10" s="26" t="s">
        <v>85</v>
      </c>
      <c r="V10" s="26"/>
      <c r="W10" s="26"/>
      <c r="X10" s="26"/>
      <c r="Y10" s="30" t="s">
        <v>67</v>
      </c>
      <c r="Z10" s="26"/>
      <c r="AF10" s="40" t="s">
        <v>78</v>
      </c>
      <c r="AG10" s="41"/>
      <c r="AH10" s="41"/>
      <c r="AI10" s="42" t="s">
        <v>17</v>
      </c>
      <c r="AJ10" s="43"/>
      <c r="AK10" s="48" t="s">
        <v>79</v>
      </c>
      <c r="AL10" s="49"/>
      <c r="AM10" s="49"/>
      <c r="AN10" s="46"/>
      <c r="AO10" s="47" t="s">
        <v>23</v>
      </c>
    </row>
    <row r="11" spans="1:58" ht="17.25" x14ac:dyDescent="0.25">
      <c r="F11" s="31"/>
      <c r="G11" s="25"/>
      <c r="H11" s="25"/>
      <c r="I11" s="25"/>
      <c r="J11" s="25"/>
      <c r="K11" s="25"/>
      <c r="L11" s="25"/>
      <c r="M11" s="32"/>
      <c r="O11" s="32"/>
      <c r="P11" s="32"/>
      <c r="Q11" s="25"/>
      <c r="R11" s="25"/>
      <c r="S11" s="33"/>
      <c r="T11" s="33"/>
      <c r="U11" s="33"/>
      <c r="V11" s="33"/>
      <c r="W11" s="33"/>
      <c r="X11" s="33"/>
      <c r="Y11" s="34"/>
      <c r="Z11" s="34"/>
      <c r="AF11" s="40" t="s">
        <v>80</v>
      </c>
      <c r="AG11" s="41"/>
      <c r="AH11" s="41"/>
      <c r="AI11" s="42" t="s">
        <v>18</v>
      </c>
      <c r="AJ11" s="43"/>
      <c r="AK11" s="44" t="s">
        <v>81</v>
      </c>
      <c r="AL11" s="45"/>
      <c r="AM11" s="45"/>
      <c r="AN11" s="46"/>
      <c r="AO11" s="47" t="s">
        <v>24</v>
      </c>
    </row>
    <row r="12" spans="1:58" ht="17.25" x14ac:dyDescent="0.25">
      <c r="F12" s="31"/>
      <c r="G12" s="35"/>
      <c r="H12" s="25"/>
      <c r="I12" s="35"/>
      <c r="J12" s="25"/>
      <c r="K12" s="25"/>
      <c r="L12" s="35" t="s">
        <v>85</v>
      </c>
      <c r="M12" s="36"/>
      <c r="O12" s="36"/>
      <c r="P12" s="32"/>
      <c r="Q12" s="25"/>
      <c r="R12" s="35"/>
      <c r="S12" s="26"/>
      <c r="T12" s="25"/>
      <c r="U12" s="25"/>
      <c r="V12" s="25"/>
      <c r="W12" s="25"/>
      <c r="X12" s="25"/>
      <c r="Y12" s="37"/>
      <c r="Z12" s="37"/>
      <c r="AF12" s="40" t="s">
        <v>82</v>
      </c>
      <c r="AG12" s="41"/>
      <c r="AH12" s="41"/>
      <c r="AI12" s="42" t="s">
        <v>19</v>
      </c>
      <c r="AJ12" s="43"/>
      <c r="AK12" s="44" t="s">
        <v>83</v>
      </c>
      <c r="AL12" s="45"/>
      <c r="AM12" s="45"/>
      <c r="AN12" s="46"/>
      <c r="AO12" s="47" t="s">
        <v>25</v>
      </c>
    </row>
    <row r="13" spans="1:58" ht="17.25" x14ac:dyDescent="0.25">
      <c r="F13" s="38"/>
      <c r="G13" s="35"/>
      <c r="H13" s="25"/>
      <c r="I13" s="35"/>
      <c r="J13" s="25"/>
      <c r="K13" s="25"/>
      <c r="L13" s="35"/>
      <c r="M13" s="36"/>
      <c r="O13" s="36"/>
      <c r="P13" s="32"/>
      <c r="Q13" s="26"/>
      <c r="R13" s="35"/>
      <c r="S13" s="26"/>
      <c r="T13" s="25"/>
      <c r="U13" s="25"/>
      <c r="V13" s="25"/>
      <c r="W13" s="25"/>
      <c r="X13" s="25"/>
      <c r="Y13" s="37"/>
      <c r="Z13" s="37"/>
      <c r="AF13" s="40" t="s">
        <v>84</v>
      </c>
      <c r="AG13" s="41"/>
      <c r="AH13" s="41"/>
      <c r="AI13" s="42" t="s">
        <v>20</v>
      </c>
      <c r="AJ13" s="43"/>
      <c r="AK13" s="43"/>
      <c r="AL13" s="43"/>
      <c r="AM13" s="43"/>
      <c r="AN13" s="43"/>
      <c r="AO13" s="43"/>
    </row>
    <row r="14" spans="1:58" ht="17.25" x14ac:dyDescent="0.25">
      <c r="F14" s="89" t="s">
        <v>68</v>
      </c>
      <c r="G14" s="39"/>
      <c r="H14" s="28"/>
      <c r="I14" s="89"/>
      <c r="J14" s="85"/>
      <c r="K14" s="85"/>
      <c r="L14" s="84"/>
      <c r="M14" s="87"/>
      <c r="O14" s="86"/>
      <c r="P14" s="90" t="s">
        <v>69</v>
      </c>
      <c r="Q14" s="85"/>
      <c r="R14" s="24"/>
      <c r="S14" s="85"/>
      <c r="T14" s="85"/>
      <c r="U14" s="85"/>
      <c r="V14" s="85"/>
      <c r="W14" s="85"/>
      <c r="X14" s="85"/>
      <c r="Y14" s="90" t="s">
        <v>70</v>
      </c>
      <c r="Z14" s="88"/>
    </row>
    <row r="15" spans="1:58" ht="17.25" x14ac:dyDescent="0.25">
      <c r="F15" s="89"/>
      <c r="G15" s="89" t="s">
        <v>71</v>
      </c>
      <c r="H15" s="83"/>
      <c r="I15" s="83"/>
      <c r="J15" s="85"/>
      <c r="K15" s="85"/>
      <c r="L15" s="90"/>
      <c r="M15" s="91"/>
      <c r="O15" s="91"/>
      <c r="P15" s="90" t="s">
        <v>72</v>
      </c>
      <c r="Q15" s="90"/>
      <c r="R15" s="24"/>
      <c r="S15" s="90"/>
      <c r="T15" s="85"/>
      <c r="U15" s="85"/>
      <c r="V15" s="85"/>
      <c r="W15" s="85"/>
      <c r="X15" s="85"/>
      <c r="Y15" s="90" t="s">
        <v>73</v>
      </c>
      <c r="Z15" s="88"/>
    </row>
    <row r="18" spans="1:58" ht="15.75" x14ac:dyDescent="0.25">
      <c r="K18" s="24"/>
      <c r="N18" s="25"/>
    </row>
    <row r="23" spans="1:58" x14ac:dyDescent="0.25">
      <c r="J23" t="s">
        <v>85</v>
      </c>
    </row>
    <row r="27" spans="1:58" ht="22.5" customHeight="1" x14ac:dyDescent="0.25">
      <c r="A27" s="7">
        <v>20</v>
      </c>
      <c r="B27" s="8" t="s">
        <v>55</v>
      </c>
      <c r="C27" s="51" t="s">
        <v>56</v>
      </c>
      <c r="D27" s="75">
        <v>45764</v>
      </c>
      <c r="E27" s="74">
        <v>0.34513888888888888</v>
      </c>
      <c r="F27" s="74">
        <v>0.82986111111111116</v>
      </c>
      <c r="G27" s="74">
        <v>0.33888888888888885</v>
      </c>
      <c r="H27" s="74">
        <v>0.82847222222222217</v>
      </c>
      <c r="I27" s="78">
        <v>0.56944444444444442</v>
      </c>
      <c r="J27" s="78">
        <v>0.82291666666666663</v>
      </c>
      <c r="K27" s="74">
        <v>0.34513888888888888</v>
      </c>
      <c r="L27" s="74">
        <v>0.83263888888888893</v>
      </c>
      <c r="M27" s="74">
        <v>0.34375</v>
      </c>
      <c r="N27" s="74">
        <v>0.91041666666666676</v>
      </c>
      <c r="O27" s="74">
        <v>0.3430555555555555</v>
      </c>
      <c r="P27" s="74">
        <v>0.9555555555555556</v>
      </c>
      <c r="Q27" s="74">
        <v>0.34652777777777777</v>
      </c>
      <c r="R27" s="74">
        <v>0.83124999999999993</v>
      </c>
      <c r="S27" s="74">
        <v>0.3430555555555555</v>
      </c>
      <c r="T27" s="74">
        <v>0.74930555555555556</v>
      </c>
      <c r="U27" s="74">
        <v>0.34097222222222223</v>
      </c>
      <c r="V27" s="74">
        <v>0.92986111111111114</v>
      </c>
      <c r="W27" s="77" t="s">
        <v>15</v>
      </c>
      <c r="X27" s="77" t="s">
        <v>15</v>
      </c>
      <c r="Y27" s="74">
        <v>0.34513888888888888</v>
      </c>
      <c r="Z27" s="74">
        <v>0.87847222222222221</v>
      </c>
      <c r="AA27" s="74">
        <v>0.3444444444444445</v>
      </c>
      <c r="AB27" s="74">
        <v>0.85902777777777783</v>
      </c>
      <c r="AC27" s="74">
        <v>0.3444444444444445</v>
      </c>
      <c r="AD27" s="74">
        <v>0.85</v>
      </c>
      <c r="AE27" s="53">
        <f>AG27+AH27+AI27+AJ27+AO27+AM27+AN27+AR27</f>
        <v>13</v>
      </c>
      <c r="AF27" s="54"/>
      <c r="AG27" s="16">
        <f>COUNT(E27:AD27)/2+COUNT(#REF!)/2</f>
        <v>12</v>
      </c>
      <c r="AH27" s="17">
        <f>COUNTIF(B27:AD27,"OFF")/2</f>
        <v>1</v>
      </c>
      <c r="AI27" s="17">
        <f>COUNTIF(B27:AD27,"MC")/2</f>
        <v>0</v>
      </c>
      <c r="AJ27" s="17">
        <f>COUNTIF(B27:AD27,"EL")/2</f>
        <v>0</v>
      </c>
      <c r="AK27" s="17">
        <f>COUNTIF(B27:AD27,"AL")/2</f>
        <v>0</v>
      </c>
      <c r="AL27" s="17">
        <f>COUNTIF(B27:AD27,"SUS")/2</f>
        <v>0</v>
      </c>
      <c r="AM27" s="17">
        <f>COUNTIF(B27:AD27,"FL")/2</f>
        <v>0</v>
      </c>
      <c r="AN27" s="17">
        <f>COUNTIF(B27:AD27,"SICK")/2</f>
        <v>0</v>
      </c>
      <c r="AO27" s="17">
        <f>COUNTIF(B27:AD27,"HD")/2</f>
        <v>0</v>
      </c>
      <c r="AP27" s="17">
        <f>COUNTIF(B27:AD27,"AB")/2</f>
        <v>0</v>
      </c>
      <c r="AQ27" s="17">
        <f>COUNTIF(B27:AD27,"NL")/2</f>
        <v>0</v>
      </c>
      <c r="AR27" s="17">
        <f>COUNTIF(B27:AD27,"SP")/2</f>
        <v>0</v>
      </c>
      <c r="AS27" s="18"/>
      <c r="AV27" s="60">
        <v>0</v>
      </c>
      <c r="AW27" s="60">
        <v>0</v>
      </c>
      <c r="AX27" s="60">
        <v>0</v>
      </c>
      <c r="AY27" s="60">
        <v>0</v>
      </c>
      <c r="AZ27" s="60">
        <v>0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4">
        <f>SUM(AV27:BE27)</f>
        <v>0</v>
      </c>
    </row>
    <row r="28" spans="1:58" ht="22.5" customHeight="1" x14ac:dyDescent="0.25">
      <c r="A28" s="7">
        <v>16</v>
      </c>
      <c r="B28" s="8" t="s">
        <v>50</v>
      </c>
      <c r="C28" s="51" t="s">
        <v>51</v>
      </c>
      <c r="D28" s="75">
        <v>45616</v>
      </c>
      <c r="E28" s="81">
        <v>0.57847222222222217</v>
      </c>
      <c r="F28" s="81">
        <v>0.57847222222222217</v>
      </c>
      <c r="G28" s="74">
        <v>0.33749999999999997</v>
      </c>
      <c r="H28" s="76">
        <v>1</v>
      </c>
      <c r="I28" s="74">
        <v>0.34027777777777773</v>
      </c>
      <c r="J28" s="74">
        <v>0.87361111111111101</v>
      </c>
      <c r="K28" s="74">
        <v>0.3263888888888889</v>
      </c>
      <c r="L28" s="76">
        <v>1</v>
      </c>
      <c r="M28" s="74">
        <v>0.3215277777777778</v>
      </c>
      <c r="N28" s="74">
        <v>0.86458333333333337</v>
      </c>
      <c r="O28" s="74">
        <v>0.3354166666666667</v>
      </c>
      <c r="P28" s="74">
        <v>0.82013888888888886</v>
      </c>
      <c r="Q28" s="74">
        <v>0.32916666666666666</v>
      </c>
      <c r="R28" s="74">
        <v>0.32916666666666666</v>
      </c>
      <c r="S28" s="76" t="s">
        <v>15</v>
      </c>
      <c r="T28" s="76" t="s">
        <v>15</v>
      </c>
      <c r="U28" s="74">
        <v>0.34166666666666662</v>
      </c>
      <c r="V28" s="76">
        <v>1</v>
      </c>
      <c r="W28" s="74">
        <v>0.32500000000000001</v>
      </c>
      <c r="X28" s="74">
        <v>0.84861111111111109</v>
      </c>
      <c r="Y28" s="74">
        <v>0.31111111111111112</v>
      </c>
      <c r="Z28" s="74">
        <v>0.84375</v>
      </c>
      <c r="AA28" s="74">
        <v>0.32847222222222222</v>
      </c>
      <c r="AB28" s="74">
        <v>0.32847222222222222</v>
      </c>
      <c r="AC28" s="74">
        <v>0.32916666666666666</v>
      </c>
      <c r="AD28" s="74">
        <v>0.86041666666666661</v>
      </c>
      <c r="AE28" s="53">
        <f t="shared" ref="AE28" si="2">AG28+AH28+AI28+AJ28+AO28+AM28+AN28+AR28</f>
        <v>13</v>
      </c>
      <c r="AF28" s="54">
        <v>3</v>
      </c>
      <c r="AG28" s="16">
        <f>COUNT(E28:AD28)/2+COUNT(#REF!)/2</f>
        <v>12</v>
      </c>
      <c r="AH28" s="17">
        <f>COUNTIF(B28:AD28,"OFF")/2</f>
        <v>1</v>
      </c>
      <c r="AI28" s="17">
        <f>COUNTIF(B28:AD28,"MC")/2</f>
        <v>0</v>
      </c>
      <c r="AJ28" s="17">
        <f>COUNTIF(B28:AD28,"EL")/2</f>
        <v>0</v>
      </c>
      <c r="AK28" s="17">
        <f>COUNTIF(B28:AD28,"AL")/2</f>
        <v>0</v>
      </c>
      <c r="AL28" s="17">
        <f>COUNTIF(B28:AD28,"SUS")/2</f>
        <v>0</v>
      </c>
      <c r="AM28" s="17">
        <f>COUNTIF(B28:AD28,"FL")/2</f>
        <v>0</v>
      </c>
      <c r="AN28" s="17">
        <f>COUNTIF(B28:AD28,"SICK")/2</f>
        <v>0</v>
      </c>
      <c r="AO28" s="17">
        <f>COUNTIF(B28:AD28,"HD")/2</f>
        <v>0</v>
      </c>
      <c r="AP28" s="17">
        <f>COUNTIF(B28:AD28,"AB")/2</f>
        <v>0</v>
      </c>
      <c r="AQ28" s="17">
        <f>COUNTIF(B28:AD28,"NL")/2</f>
        <v>0</v>
      </c>
      <c r="AR28" s="17">
        <f>COUNTIF(B28:AD28,"SP")/2</f>
        <v>0</v>
      </c>
      <c r="AS28" s="18"/>
      <c r="AV28" s="61">
        <v>0</v>
      </c>
      <c r="AW28" s="61">
        <v>0</v>
      </c>
      <c r="AX28" s="61">
        <v>1</v>
      </c>
      <c r="AY28" s="62">
        <v>0</v>
      </c>
      <c r="AZ28" s="62">
        <v>0</v>
      </c>
      <c r="BA28" s="61">
        <v>6</v>
      </c>
      <c r="BB28" s="62">
        <v>0</v>
      </c>
      <c r="BC28" s="62">
        <v>1</v>
      </c>
      <c r="BD28" s="62">
        <v>0</v>
      </c>
      <c r="BE28" s="62">
        <v>0</v>
      </c>
      <c r="BF28" s="63">
        <f t="shared" ref="BF28" si="3">SUM(AV28:BE28)</f>
        <v>8</v>
      </c>
    </row>
    <row r="29" spans="1:58" ht="22.5" customHeight="1" x14ac:dyDescent="0.25">
      <c r="A29" s="7">
        <v>5</v>
      </c>
      <c r="B29" s="8" t="str">
        <f>'[1]Hulhumale Staffs_ Sep 2025'!B8</f>
        <v>MAD0457</v>
      </c>
      <c r="C29" s="103" t="s">
        <v>30</v>
      </c>
      <c r="D29" s="111">
        <v>44887</v>
      </c>
      <c r="E29" s="66">
        <v>0.32430555555555557</v>
      </c>
      <c r="F29" s="66">
        <v>7.6388888888888886E-3</v>
      </c>
      <c r="G29" s="66">
        <v>0.33888888888888885</v>
      </c>
      <c r="H29" s="93">
        <v>1</v>
      </c>
      <c r="I29" s="66">
        <v>0.32569444444444445</v>
      </c>
      <c r="J29" s="66">
        <v>0.58958333333333335</v>
      </c>
      <c r="K29" s="76" t="s">
        <v>18</v>
      </c>
      <c r="L29" s="76" t="s">
        <v>18</v>
      </c>
      <c r="M29" s="76" t="s">
        <v>18</v>
      </c>
      <c r="N29" s="76" t="s">
        <v>18</v>
      </c>
      <c r="S29" s="66"/>
      <c r="T29" s="66"/>
      <c r="U29" s="66"/>
      <c r="V29" s="66"/>
      <c r="W29" s="66"/>
      <c r="X29" s="66"/>
      <c r="Y29" s="66"/>
      <c r="Z29" s="66"/>
      <c r="AA29" s="94"/>
      <c r="AB29" s="94"/>
      <c r="AC29" s="66"/>
      <c r="AD29" s="66"/>
      <c r="AE29" s="15">
        <f>AG29+AH29+AI29+AJ29+AO29+AM29+AN29+AR29</f>
        <v>3</v>
      </c>
      <c r="AF29" s="72"/>
      <c r="AG29" s="16">
        <f>COUNT(E29:AD29)/2+COUNT(#REF!)/2</f>
        <v>3</v>
      </c>
      <c r="AH29" s="2">
        <f>COUNTIF(E29:AD29,"OFF")/2</f>
        <v>0</v>
      </c>
      <c r="AI29" s="17">
        <f>COUNTIF(B29:AD29,"MC")/2</f>
        <v>0</v>
      </c>
      <c r="AJ29" s="17">
        <f>COUNTIF(B29:AD29,"EL")/2</f>
        <v>0</v>
      </c>
      <c r="AK29" s="17">
        <f>COUNTIF(B29:AD29,"AL")/2</f>
        <v>2</v>
      </c>
      <c r="AL29" s="17">
        <f>COUNTIF(B29:AD29,"SUS")/2</f>
        <v>0</v>
      </c>
      <c r="AM29" s="17">
        <f>COUNTIF(B29:AD29,"FL")/2</f>
        <v>0</v>
      </c>
      <c r="AN29" s="17">
        <f>COUNTIF(B29:AD29,"SICK")/2</f>
        <v>0</v>
      </c>
      <c r="AO29" s="17">
        <f>COUNTIF(B29:AD29,"HD")/2</f>
        <v>0</v>
      </c>
      <c r="AP29" s="17">
        <f>COUNTIF(B29:AD29,"AB")/2</f>
        <v>0</v>
      </c>
      <c r="AQ29" s="17">
        <f>COUNTIF(B29:AD29,"NL")/2</f>
        <v>0</v>
      </c>
      <c r="AR29" s="17">
        <f>COUNTIF(B29:AD29,"SP")/2</f>
        <v>0</v>
      </c>
      <c r="AS29" s="69"/>
      <c r="AV29" s="60">
        <v>0</v>
      </c>
      <c r="AW29" s="60">
        <v>0</v>
      </c>
      <c r="AX29" s="60">
        <v>0</v>
      </c>
      <c r="AY29" s="60">
        <v>0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4">
        <f>SUM(AV29:BE29)</f>
        <v>0</v>
      </c>
    </row>
  </sheetData>
  <mergeCells count="32">
    <mergeCell ref="AV2:BE2"/>
    <mergeCell ref="E3:F3"/>
    <mergeCell ref="G3:H3"/>
    <mergeCell ref="I3:J3"/>
    <mergeCell ref="K3:L3"/>
    <mergeCell ref="M3:N3"/>
    <mergeCell ref="O3:P3"/>
    <mergeCell ref="Q3:R3"/>
    <mergeCell ref="S2:T2"/>
    <mergeCell ref="U2:V2"/>
    <mergeCell ref="W2:X2"/>
    <mergeCell ref="Y2:Z2"/>
    <mergeCell ref="AA2:AB2"/>
    <mergeCell ref="S3:T3"/>
    <mergeCell ref="U3:V3"/>
    <mergeCell ref="W3:X3"/>
    <mergeCell ref="AC2:AD2"/>
    <mergeCell ref="A1:AD1"/>
    <mergeCell ref="AE1:AS1"/>
    <mergeCell ref="A2:C3"/>
    <mergeCell ref="E2:F2"/>
    <mergeCell ref="G2:H2"/>
    <mergeCell ref="I2:J2"/>
    <mergeCell ref="K2:L2"/>
    <mergeCell ref="M2:N2"/>
    <mergeCell ref="O2:P2"/>
    <mergeCell ref="Q2:R2"/>
    <mergeCell ref="AC3:AD3"/>
    <mergeCell ref="AE2:AE4"/>
    <mergeCell ref="AF2:AF4"/>
    <mergeCell ref="Y3:Z3"/>
    <mergeCell ref="AA3:AB3"/>
  </mergeCells>
  <conditionalFormatting sqref="A2">
    <cfRule type="cellIs" dxfId="81" priority="93" stopIfTrue="1" operator="equal">
      <formula>";"</formula>
    </cfRule>
  </conditionalFormatting>
  <conditionalFormatting sqref="C5">
    <cfRule type="duplicateValues" dxfId="80" priority="15"/>
    <cfRule type="duplicateValues" dxfId="79" priority="16"/>
  </conditionalFormatting>
  <conditionalFormatting sqref="C7:C1048576 C1:C4">
    <cfRule type="duplicateValues" dxfId="78" priority="95"/>
  </conditionalFormatting>
  <conditionalFormatting sqref="C7:C1048576">
    <cfRule type="duplicateValues" dxfId="77" priority="96"/>
  </conditionalFormatting>
  <conditionalFormatting sqref="D5">
    <cfRule type="timePeriod" dxfId="76" priority="11" timePeriod="thisWeek">
      <formula>AND(TODAY()-ROUNDDOWN(D5,0)&lt;=WEEKDAY(TODAY())-1,ROUNDDOWN(D5,0)-TODAY()&lt;=7-WEEKDAY(TODAY()))</formula>
    </cfRule>
    <cfRule type="timePeriod" dxfId="75" priority="14" timePeriod="nextWeek">
      <formula>AND(ROUNDDOWN(D5,0)-TODAY()&gt;(7-WEEKDAY(TODAY())),ROUNDDOWN(D5,0)-TODAY()&lt;(15-WEEKDAY(TODAY())))</formula>
    </cfRule>
    <cfRule type="timePeriod" dxfId="74" priority="12" timePeriod="last7Days">
      <formula>AND(TODAY()-FLOOR(D5,1)&lt;=6,FLOOR(D5,1)&lt;=TODAY())</formula>
    </cfRule>
    <cfRule type="timePeriod" priority="13" timePeriod="nextWeek">
      <formula>AND(ROUNDDOWN(D5,0)-TODAY()&gt;(7-WEEKDAY(TODAY())),ROUNDDOWN(D5,0)-TODAY()&lt;(15-WEEKDAY(TODAY())))</formula>
    </cfRule>
  </conditionalFormatting>
  <conditionalFormatting sqref="D27:D28">
    <cfRule type="timePeriod" dxfId="73" priority="50" timePeriod="last7Days">
      <formula>AND(TODAY()-FLOOR(D27,1)&lt;=6,FLOOR(D27,1)&lt;=TODAY())</formula>
    </cfRule>
    <cfRule type="timePeriod" dxfId="72" priority="49" timePeriod="thisWeek">
      <formula>AND(TODAY()-ROUNDDOWN(D27,0)&lt;=WEEKDAY(TODAY())-1,ROUNDDOWN(D27,0)-TODAY()&lt;=7-WEEKDAY(TODAY()))</formula>
    </cfRule>
  </conditionalFormatting>
  <conditionalFormatting sqref="D27:D29">
    <cfRule type="timePeriod" priority="37" timePeriod="nextWeek">
      <formula>AND(ROUNDDOWN(D27,0)-TODAY()&gt;(7-WEEKDAY(TODAY())),ROUNDDOWN(D27,0)-TODAY()&lt;(15-WEEKDAY(TODAY())))</formula>
    </cfRule>
    <cfRule type="timePeriod" dxfId="71" priority="52" timePeriod="nextWeek">
      <formula>AND(ROUNDDOWN(D27,0)-TODAY()&gt;(7-WEEKDAY(TODAY())),ROUNDDOWN(D27,0)-TODAY()&lt;(15-WEEKDAY(TODAY())))</formula>
    </cfRule>
  </conditionalFormatting>
  <conditionalFormatting sqref="I5:J5">
    <cfRule type="containsText" dxfId="70" priority="2" operator="containsText" text="SP">
      <formula>NOT(ISERROR(SEARCH("SP",I5)))</formula>
    </cfRule>
    <cfRule type="containsText" dxfId="69" priority="3" operator="containsText" text="NL">
      <formula>NOT(ISERROR(SEARCH("NL",I5)))</formula>
    </cfRule>
    <cfRule type="containsText" dxfId="68" priority="4" operator="containsText" text="MC">
      <formula>NOT(ISERROR(SEARCH("MC",I5)))</formula>
    </cfRule>
    <cfRule type="containsText" dxfId="67" priority="5" operator="containsText" text="SUS">
      <formula>NOT(ISERROR(SEARCH("SUS",I5)))</formula>
    </cfRule>
    <cfRule type="containsText" dxfId="66" priority="7" operator="containsText" text="OFF">
      <formula>NOT(ISERROR(SEARCH("OFF",I5)))</formula>
    </cfRule>
    <cfRule type="containsText" dxfId="65" priority="8" operator="containsText" text="AB">
      <formula>NOT(ISERROR(SEARCH("AB",I5)))</formula>
    </cfRule>
    <cfRule type="containsText" dxfId="64" priority="9" operator="containsText" text="SICK">
      <formula>NOT(ISERROR(SEARCH("SICK",I5)))</formula>
    </cfRule>
    <cfRule type="containsText" dxfId="63" priority="10" operator="containsText" text="AL">
      <formula>NOT(ISERROR(SEARCH("AL",I5)))</formula>
    </cfRule>
    <cfRule type="containsText" dxfId="62" priority="1" operator="containsText" text="EL">
      <formula>NOT(ISERROR(SEARCH("EL",I5)))</formula>
    </cfRule>
    <cfRule type="containsText" dxfId="61" priority="6" operator="containsText" text="FL">
      <formula>NOT(ISERROR(SEARCH("FL",I5)))</formula>
    </cfRule>
  </conditionalFormatting>
  <conditionalFormatting sqref="K29:N29">
    <cfRule type="containsText" dxfId="60" priority="27" operator="containsText" text="EL">
      <formula>NOT(ISERROR(SEARCH("EL",K29)))</formula>
    </cfRule>
    <cfRule type="containsText" dxfId="59" priority="35" operator="containsText" text="SICK">
      <formula>NOT(ISERROR(SEARCH("SICK",K29)))</formula>
    </cfRule>
    <cfRule type="containsText" dxfId="58" priority="36" operator="containsText" text="AL">
      <formula>NOT(ISERROR(SEARCH("AL",K29)))</formula>
    </cfRule>
    <cfRule type="containsText" dxfId="57" priority="33" operator="containsText" text="OFF">
      <formula>NOT(ISERROR(SEARCH("OFF",K29)))</formula>
    </cfRule>
    <cfRule type="containsText" dxfId="56" priority="32" operator="containsText" text="FL">
      <formula>NOT(ISERROR(SEARCH("FL",K29)))</formula>
    </cfRule>
    <cfRule type="containsText" dxfId="55" priority="31" operator="containsText" text="SUS">
      <formula>NOT(ISERROR(SEARCH("SUS",K29)))</formula>
    </cfRule>
    <cfRule type="containsText" dxfId="54" priority="30" operator="containsText" text="MC">
      <formula>NOT(ISERROR(SEARCH("MC",K29)))</formula>
    </cfRule>
    <cfRule type="containsText" dxfId="53" priority="29" operator="containsText" text="NL">
      <formula>NOT(ISERROR(SEARCH("NL",K29)))</formula>
    </cfRule>
    <cfRule type="containsText" dxfId="52" priority="34" operator="containsText" text="AB">
      <formula>NOT(ISERROR(SEARCH("AB",K29)))</formula>
    </cfRule>
    <cfRule type="containsText" dxfId="51" priority="28" operator="containsText" text="SP">
      <formula>NOT(ISERROR(SEARCH("SP",K29)))</formula>
    </cfRule>
  </conditionalFormatting>
  <conditionalFormatting sqref="S28:T28">
    <cfRule type="containsText" dxfId="50" priority="38" operator="containsText" text="EL">
      <formula>NOT(ISERROR(SEARCH("EL",S28)))</formula>
    </cfRule>
    <cfRule type="containsText" dxfId="49" priority="39" operator="containsText" text="SP">
      <formula>NOT(ISERROR(SEARCH("SP",S28)))</formula>
    </cfRule>
    <cfRule type="containsText" dxfId="48" priority="40" operator="containsText" text="NL">
      <formula>NOT(ISERROR(SEARCH("NL",S28)))</formula>
    </cfRule>
    <cfRule type="containsText" dxfId="47" priority="41" operator="containsText" text="MC">
      <formula>NOT(ISERROR(SEARCH("MC",S28)))</formula>
    </cfRule>
    <cfRule type="containsText" dxfId="46" priority="42" operator="containsText" text="SUS">
      <formula>NOT(ISERROR(SEARCH("SUS",S28)))</formula>
    </cfRule>
    <cfRule type="containsText" dxfId="45" priority="43" operator="containsText" text="FL">
      <formula>NOT(ISERROR(SEARCH("FL",S28)))</formula>
    </cfRule>
    <cfRule type="containsText" dxfId="44" priority="44" operator="containsText" text="OFF">
      <formula>NOT(ISERROR(SEARCH("OFF",S28)))</formula>
    </cfRule>
    <cfRule type="containsText" dxfId="43" priority="45" operator="containsText" text="AB">
      <formula>NOT(ISERROR(SEARCH("AB",S28)))</formula>
    </cfRule>
    <cfRule type="containsText" dxfId="42" priority="46" operator="containsText" text="SICK">
      <formula>NOT(ISERROR(SEARCH("SICK",S28)))</formula>
    </cfRule>
    <cfRule type="containsText" dxfId="41" priority="47" operator="containsText" text="AL">
      <formula>NOT(ISERROR(SEARCH("AL",S28)))</formula>
    </cfRule>
  </conditionalFormatting>
  <conditionalFormatting sqref="AF5">
    <cfRule type="cellIs" dxfId="40" priority="94" operator="equal">
      <formula>";"</formula>
    </cfRule>
  </conditionalFormatting>
  <conditionalFormatting sqref="AF27:AF28">
    <cfRule type="cellIs" dxfId="39" priority="48" operator="equal">
      <formula>";"</formula>
    </cfRule>
  </conditionalFormatting>
  <conditionalFormatting sqref="AF29">
    <cfRule type="containsText" dxfId="38" priority="91" operator="containsText" text="AB">
      <formula>NOT(ISERROR(SEARCH("AB",AF29)))</formula>
    </cfRule>
    <cfRule type="containsText" dxfId="37" priority="92" operator="containsText" text="SICK">
      <formula>NOT(ISERROR(SEARCH("SICK",AF29)))</formula>
    </cfRule>
  </conditionalFormatting>
  <conditionalFormatting sqref="AH4:AN4">
    <cfRule type="containsText" dxfId="36" priority="84" operator="containsText" text="SUS">
      <formula>NOT(ISERROR(SEARCH("SUS",AH4)))</formula>
    </cfRule>
    <cfRule type="containsText" dxfId="35" priority="86" operator="containsText" text="OFF">
      <formula>NOT(ISERROR(SEARCH("OFF",AH4)))</formula>
    </cfRule>
    <cfRule type="containsText" dxfId="34" priority="87" operator="containsText" text="AB">
      <formula>NOT(ISERROR(SEARCH("AB",AH4)))</formula>
    </cfRule>
    <cfRule type="containsText" dxfId="33" priority="88" operator="containsText" text="SICK">
      <formula>NOT(ISERROR(SEARCH("SICK",AH4)))</formula>
    </cfRule>
    <cfRule type="containsText" dxfId="32" priority="89" operator="containsText" text="AL">
      <formula>NOT(ISERROR(SEARCH("AL",AH4)))</formula>
    </cfRule>
    <cfRule type="containsText" dxfId="31" priority="85" operator="containsText" text="FL">
      <formula>NOT(ISERROR(SEARCH("FL",AH4)))</formula>
    </cfRule>
    <cfRule type="containsText" dxfId="30" priority="80" operator="containsText" text="EL">
      <formula>NOT(ISERROR(SEARCH("EL",AH4)))</formula>
    </cfRule>
    <cfRule type="containsText" dxfId="29" priority="81" operator="containsText" text="SP">
      <formula>NOT(ISERROR(SEARCH("SP",AH4)))</formula>
    </cfRule>
    <cfRule type="containsText" dxfId="28" priority="82" operator="containsText" text="NL">
      <formula>NOT(ISERROR(SEARCH("NL",AH4)))</formula>
    </cfRule>
    <cfRule type="containsText" dxfId="27" priority="83" operator="containsText" text="MC">
      <formula>NOT(ISERROR(SEARCH("MC",AH4)))</formula>
    </cfRule>
  </conditionalFormatting>
  <conditionalFormatting sqref="AP4">
    <cfRule type="containsText" dxfId="26" priority="72" operator="containsText" text="NL">
      <formula>NOT(ISERROR(SEARCH("NL",AP4)))</formula>
    </cfRule>
    <cfRule type="containsText" dxfId="25" priority="73" operator="containsText" text="MC">
      <formula>NOT(ISERROR(SEARCH("MC",AP4)))</formula>
    </cfRule>
    <cfRule type="containsText" dxfId="24" priority="74" operator="containsText" text="SUS">
      <formula>NOT(ISERROR(SEARCH("SUS",AP4)))</formula>
    </cfRule>
    <cfRule type="containsText" dxfId="23" priority="76" operator="containsText" text="OFF">
      <formula>NOT(ISERROR(SEARCH("OFF",AP4)))</formula>
    </cfRule>
    <cfRule type="containsText" dxfId="22" priority="77" operator="containsText" text="AB">
      <formula>NOT(ISERROR(SEARCH("AB",AP4)))</formula>
    </cfRule>
    <cfRule type="containsText" dxfId="21" priority="78" operator="containsText" text="SICK">
      <formula>NOT(ISERROR(SEARCH("SICK",AP4)))</formula>
    </cfRule>
    <cfRule type="containsText" dxfId="20" priority="79" operator="containsText" text="AL">
      <formula>NOT(ISERROR(SEARCH("AL",AP4)))</formula>
    </cfRule>
    <cfRule type="containsText" dxfId="19" priority="75" operator="containsText" text="FL">
      <formula>NOT(ISERROR(SEARCH("FL",AP4)))</formula>
    </cfRule>
  </conditionalFormatting>
  <conditionalFormatting sqref="AP4:AQ4">
    <cfRule type="containsText" dxfId="18" priority="63" operator="containsText" text="SP">
      <formula>NOT(ISERROR(SEARCH("SP",AP4)))</formula>
    </cfRule>
  </conditionalFormatting>
  <conditionalFormatting sqref="AP4:AR4">
    <cfRule type="containsText" dxfId="17" priority="53" operator="containsText" text="EL">
      <formula>NOT(ISERROR(SEARCH("EL",AP4)))</formula>
    </cfRule>
  </conditionalFormatting>
  <conditionalFormatting sqref="AQ4">
    <cfRule type="containsText" dxfId="16" priority="69" operator="containsText" text="AB">
      <formula>NOT(ISERROR(SEARCH("AB",AQ4)))</formula>
    </cfRule>
    <cfRule type="containsText" dxfId="15" priority="70" operator="containsText" text="SICK">
      <formula>NOT(ISERROR(SEARCH("SICK",AQ4)))</formula>
    </cfRule>
    <cfRule type="containsText" dxfId="14" priority="71" operator="containsText" text="AL">
      <formula>NOT(ISERROR(SEARCH("AL",AQ4)))</formula>
    </cfRule>
    <cfRule type="containsText" dxfId="13" priority="64" operator="containsText" text="NL">
      <formula>NOT(ISERROR(SEARCH("NL",AQ4)))</formula>
    </cfRule>
    <cfRule type="containsText" dxfId="12" priority="65" operator="containsText" text="MC">
      <formula>NOT(ISERROR(SEARCH("MC",AQ4)))</formula>
    </cfRule>
    <cfRule type="containsText" dxfId="11" priority="66" operator="containsText" text="SUS">
      <formula>NOT(ISERROR(SEARCH("SUS",AQ4)))</formula>
    </cfRule>
    <cfRule type="containsText" dxfId="10" priority="67" operator="containsText" text="FL">
      <formula>NOT(ISERROR(SEARCH("FL",AQ4)))</formula>
    </cfRule>
    <cfRule type="containsText" dxfId="9" priority="68" operator="containsText" text="OFF">
      <formula>NOT(ISERROR(SEARCH("OFF",AQ4)))</formula>
    </cfRule>
  </conditionalFormatting>
  <conditionalFormatting sqref="AR4">
    <cfRule type="containsText" dxfId="8" priority="55" operator="containsText" text="NL">
      <formula>NOT(ISERROR(SEARCH("NL",AR4)))</formula>
    </cfRule>
    <cfRule type="containsText" dxfId="7" priority="56" operator="containsText" text="MC">
      <formula>NOT(ISERROR(SEARCH("MC",AR4)))</formula>
    </cfRule>
    <cfRule type="containsText" dxfId="6" priority="57" operator="containsText" text="SUS">
      <formula>NOT(ISERROR(SEARCH("SUS",AR4)))</formula>
    </cfRule>
    <cfRule type="containsText" dxfId="5" priority="58" operator="containsText" text="FL">
      <formula>NOT(ISERROR(SEARCH("FL",AR4)))</formula>
    </cfRule>
    <cfRule type="containsText" dxfId="4" priority="59" operator="containsText" text="OFF">
      <formula>NOT(ISERROR(SEARCH("OFF",AR4)))</formula>
    </cfRule>
    <cfRule type="containsText" dxfId="3" priority="60" operator="containsText" text="AB">
      <formula>NOT(ISERROR(SEARCH("AB",AR4)))</formula>
    </cfRule>
    <cfRule type="containsText" dxfId="2" priority="61" operator="containsText" text="SICK">
      <formula>NOT(ISERROR(SEARCH("SICK",AR4)))</formula>
    </cfRule>
    <cfRule type="containsText" dxfId="1" priority="62" operator="containsText" text="AL">
      <formula>NOT(ISERROR(SEARCH("AL",AR4)))</formula>
    </cfRule>
    <cfRule type="containsText" dxfId="0" priority="54" operator="containsText" text="SP">
      <formula>NOT(ISERROR(SEARCH("SP",AR4)))</formula>
    </cfRule>
  </conditionalFormatting>
  <pageMargins left="0.7" right="0.7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Kabir Hossain</vt:lpstr>
      <vt:lpstr>MD Mukul 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2026-08-02T10:42:24Z</cp:lastPrinted>
  <dcterms:created xsi:type="dcterms:W3CDTF">2025-11-05T07:56:06Z</dcterms:created>
  <dcterms:modified xsi:type="dcterms:W3CDTF">2026-10-30T09:38:56Z</dcterms:modified>
</cp:coreProperties>
</file>