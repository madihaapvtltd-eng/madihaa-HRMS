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march\"/>
    </mc:Choice>
  </mc:AlternateContent>
  <xr:revisionPtr revIDLastSave="0" documentId="13_ncr:1_{227B2235-2FE1-4A2D-9F10-F10216A8C9F3}" xr6:coauthVersionLast="47" xr6:coauthVersionMax="47" xr10:uidLastSave="{00000000-0000-0000-0000-000000000000}"/>
  <bookViews>
    <workbookView xWindow="-120" yWindow="-120" windowWidth="29040" windowHeight="15840" tabRatio="613" xr2:uid="{7F99DDCD-0360-437A-A9FB-3353D48E4EF4}"/>
  </bookViews>
  <sheets>
    <sheet name="MASTER" sheetId="1" r:id="rId1"/>
  </sheets>
  <definedNames>
    <definedName name="_xlnm.Print_Area" localSheetId="0">MASTER!$A$1:$CE$38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T25" i="1" l="1"/>
  <c r="BS7" i="1"/>
  <c r="BS6" i="1"/>
  <c r="BT6" i="1"/>
  <c r="BU6" i="1"/>
  <c r="BV6" i="1"/>
  <c r="BW6" i="1"/>
  <c r="BX6" i="1"/>
  <c r="BY6" i="1"/>
  <c r="BZ6" i="1"/>
  <c r="CA6" i="1"/>
  <c r="CB6" i="1"/>
  <c r="CC6" i="1"/>
  <c r="CD6" i="1"/>
  <c r="BT7" i="1"/>
  <c r="BU7" i="1"/>
  <c r="BV7" i="1"/>
  <c r="BW7" i="1"/>
  <c r="BX7" i="1"/>
  <c r="BY7" i="1"/>
  <c r="BZ7" i="1"/>
  <c r="CA7" i="1"/>
  <c r="CB7" i="1"/>
  <c r="CC7" i="1"/>
  <c r="CD7" i="1"/>
  <c r="BS8" i="1"/>
  <c r="BT8" i="1"/>
  <c r="BU8" i="1"/>
  <c r="BV8" i="1"/>
  <c r="BW8" i="1"/>
  <c r="BX8" i="1"/>
  <c r="BY8" i="1"/>
  <c r="BZ8" i="1"/>
  <c r="CA8" i="1"/>
  <c r="CB8" i="1"/>
  <c r="CC8" i="1"/>
  <c r="CD8" i="1"/>
  <c r="BS9" i="1"/>
  <c r="BT9" i="1"/>
  <c r="BU9" i="1"/>
  <c r="BV9" i="1"/>
  <c r="BW9" i="1"/>
  <c r="BX9" i="1"/>
  <c r="BY9" i="1"/>
  <c r="BZ9" i="1"/>
  <c r="CA9" i="1"/>
  <c r="CB9" i="1"/>
  <c r="CC9" i="1"/>
  <c r="CD9" i="1"/>
  <c r="BS10" i="1"/>
  <c r="BT10" i="1"/>
  <c r="BU10" i="1"/>
  <c r="BV10" i="1"/>
  <c r="BW10" i="1"/>
  <c r="BX10" i="1"/>
  <c r="BY10" i="1"/>
  <c r="BZ10" i="1"/>
  <c r="CA10" i="1"/>
  <c r="CB10" i="1"/>
  <c r="CC10" i="1"/>
  <c r="CD10" i="1"/>
  <c r="BS11" i="1"/>
  <c r="BT11" i="1"/>
  <c r="BU11" i="1"/>
  <c r="BV11" i="1"/>
  <c r="BW11" i="1"/>
  <c r="BX11" i="1"/>
  <c r="BY11" i="1"/>
  <c r="BZ11" i="1"/>
  <c r="CA11" i="1"/>
  <c r="CB11" i="1"/>
  <c r="CC11" i="1"/>
  <c r="CD11" i="1"/>
  <c r="BS12" i="1"/>
  <c r="BT12" i="1"/>
  <c r="BU12" i="1"/>
  <c r="BV12" i="1"/>
  <c r="BW12" i="1"/>
  <c r="BX12" i="1"/>
  <c r="BY12" i="1"/>
  <c r="BZ12" i="1"/>
  <c r="CA12" i="1"/>
  <c r="CB12" i="1"/>
  <c r="CC12" i="1"/>
  <c r="CD12" i="1"/>
  <c r="BS13" i="1"/>
  <c r="BT13" i="1"/>
  <c r="BU13" i="1"/>
  <c r="BV13" i="1"/>
  <c r="BW13" i="1"/>
  <c r="BX13" i="1"/>
  <c r="BY13" i="1"/>
  <c r="BZ13" i="1"/>
  <c r="CA13" i="1"/>
  <c r="CB13" i="1"/>
  <c r="CC13" i="1"/>
  <c r="CD13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BS15" i="1"/>
  <c r="BT15" i="1"/>
  <c r="BU15" i="1"/>
  <c r="BV15" i="1"/>
  <c r="BW15" i="1"/>
  <c r="BX15" i="1"/>
  <c r="BY15" i="1"/>
  <c r="BZ15" i="1"/>
  <c r="CA15" i="1"/>
  <c r="CB15" i="1"/>
  <c r="CC15" i="1"/>
  <c r="CD15" i="1"/>
  <c r="BS16" i="1"/>
  <c r="BT16" i="1"/>
  <c r="BU16" i="1"/>
  <c r="BV16" i="1"/>
  <c r="BW16" i="1"/>
  <c r="BX16" i="1"/>
  <c r="BY16" i="1"/>
  <c r="BZ16" i="1"/>
  <c r="CA16" i="1"/>
  <c r="CB16" i="1"/>
  <c r="CC16" i="1"/>
  <c r="CD16" i="1"/>
  <c r="BS17" i="1"/>
  <c r="BT17" i="1"/>
  <c r="BU17" i="1"/>
  <c r="BV17" i="1"/>
  <c r="BW17" i="1"/>
  <c r="BX17" i="1"/>
  <c r="BY17" i="1"/>
  <c r="BZ17" i="1"/>
  <c r="CA17" i="1"/>
  <c r="CB17" i="1"/>
  <c r="CC17" i="1"/>
  <c r="CD17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BS19" i="1"/>
  <c r="BT19" i="1"/>
  <c r="BU19" i="1"/>
  <c r="BV19" i="1"/>
  <c r="BW19" i="1"/>
  <c r="BX19" i="1"/>
  <c r="BY19" i="1"/>
  <c r="BZ19" i="1"/>
  <c r="CA19" i="1"/>
  <c r="CB19" i="1"/>
  <c r="CC19" i="1"/>
  <c r="CD19" i="1"/>
  <c r="BS20" i="1"/>
  <c r="BT20" i="1"/>
  <c r="BU20" i="1"/>
  <c r="BV20" i="1"/>
  <c r="BW20" i="1"/>
  <c r="BX20" i="1"/>
  <c r="BY20" i="1"/>
  <c r="BZ20" i="1"/>
  <c r="CA20" i="1"/>
  <c r="CB20" i="1"/>
  <c r="CC20" i="1"/>
  <c r="CD20" i="1"/>
  <c r="BS21" i="1"/>
  <c r="BT21" i="1"/>
  <c r="BU21" i="1"/>
  <c r="BV21" i="1"/>
  <c r="BW21" i="1"/>
  <c r="BX21" i="1"/>
  <c r="BY21" i="1"/>
  <c r="BZ21" i="1"/>
  <c r="CA21" i="1"/>
  <c r="CB21" i="1"/>
  <c r="CC21" i="1"/>
  <c r="CD21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BS23" i="1"/>
  <c r="BT23" i="1"/>
  <c r="BU23" i="1"/>
  <c r="BV23" i="1"/>
  <c r="BW23" i="1"/>
  <c r="BX23" i="1"/>
  <c r="BY23" i="1"/>
  <c r="BZ23" i="1"/>
  <c r="CA23" i="1"/>
  <c r="CB23" i="1"/>
  <c r="CC23" i="1"/>
  <c r="CD23" i="1"/>
  <c r="BS24" i="1"/>
  <c r="BT24" i="1"/>
  <c r="BU24" i="1"/>
  <c r="BV24" i="1"/>
  <c r="BW24" i="1"/>
  <c r="BX24" i="1"/>
  <c r="BY24" i="1"/>
  <c r="BZ24" i="1"/>
  <c r="CA24" i="1"/>
  <c r="CB24" i="1"/>
  <c r="CC24" i="1"/>
  <c r="CD24" i="1"/>
  <c r="BS25" i="1"/>
  <c r="BU25" i="1"/>
  <c r="BV25" i="1"/>
  <c r="BW25" i="1"/>
  <c r="BX25" i="1"/>
  <c r="BY25" i="1"/>
  <c r="BZ25" i="1"/>
  <c r="CA25" i="1"/>
  <c r="CB25" i="1"/>
  <c r="CC25" i="1"/>
  <c r="CD25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BS54" i="1"/>
  <c r="BT54" i="1"/>
  <c r="BU54" i="1"/>
  <c r="BV54" i="1"/>
  <c r="BW54" i="1"/>
  <c r="BX54" i="1"/>
  <c r="BY54" i="1"/>
  <c r="BZ54" i="1"/>
  <c r="CA54" i="1"/>
  <c r="CB54" i="1"/>
  <c r="CC54" i="1"/>
  <c r="CD54" i="1"/>
  <c r="BS55" i="1"/>
  <c r="BT55" i="1"/>
  <c r="BU55" i="1"/>
  <c r="BV55" i="1"/>
  <c r="BW55" i="1"/>
  <c r="BX55" i="1"/>
  <c r="BY55" i="1"/>
  <c r="BZ55" i="1"/>
  <c r="CA55" i="1"/>
  <c r="CB55" i="1"/>
  <c r="CC55" i="1"/>
  <c r="CD55" i="1"/>
  <c r="BS56" i="1"/>
  <c r="BT56" i="1"/>
  <c r="BU56" i="1"/>
  <c r="BV56" i="1"/>
  <c r="BW56" i="1"/>
  <c r="BX56" i="1"/>
  <c r="BY56" i="1"/>
  <c r="BZ56" i="1"/>
  <c r="CA56" i="1"/>
  <c r="CB56" i="1"/>
  <c r="CC56" i="1"/>
  <c r="CD56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BS57" i="1"/>
  <c r="BT57" i="1"/>
  <c r="BU57" i="1"/>
  <c r="BV57" i="1"/>
  <c r="BW57" i="1"/>
  <c r="BX57" i="1"/>
  <c r="BY57" i="1"/>
  <c r="BZ57" i="1"/>
  <c r="CA57" i="1"/>
  <c r="CB57" i="1"/>
  <c r="CC57" i="1"/>
  <c r="CD57" i="1"/>
  <c r="BQ6" i="1" l="1"/>
  <c r="BQ24" i="1"/>
  <c r="BQ17" i="1"/>
  <c r="BQ16" i="1"/>
  <c r="BQ15" i="1"/>
  <c r="BQ14" i="1"/>
  <c r="BQ21" i="1"/>
  <c r="BQ23" i="1"/>
  <c r="BQ12" i="1"/>
  <c r="BQ8" i="1"/>
  <c r="BQ9" i="1"/>
  <c r="BQ22" i="1"/>
  <c r="BQ20" i="1"/>
  <c r="BQ19" i="1"/>
  <c r="BQ18" i="1"/>
  <c r="BQ13" i="1"/>
  <c r="BQ11" i="1"/>
  <c r="BQ10" i="1"/>
  <c r="BQ7" i="1"/>
  <c r="BQ25" i="1"/>
  <c r="BQ26" i="1"/>
  <c r="BQ27" i="1"/>
  <c r="CU57" i="1"/>
  <c r="CU55" i="1"/>
  <c r="CU56" i="1"/>
  <c r="CU26" i="1"/>
  <c r="CU25" i="1"/>
  <c r="CU24" i="1"/>
  <c r="CU23" i="1"/>
  <c r="CU22" i="1"/>
  <c r="CU21" i="1"/>
  <c r="CU20" i="1"/>
  <c r="CU19" i="1"/>
  <c r="CU18" i="1"/>
  <c r="CU17" i="1"/>
  <c r="CU16" i="1"/>
  <c r="CU15" i="1"/>
  <c r="CU14" i="1"/>
  <c r="CU13" i="1"/>
  <c r="CU12" i="1"/>
  <c r="CU11" i="1"/>
  <c r="CU10" i="1"/>
  <c r="CU9" i="1"/>
  <c r="CU8" i="1"/>
  <c r="CU7" i="1"/>
  <c r="CU6" i="1"/>
  <c r="CU5" i="1"/>
  <c r="CU54" i="1" l="1"/>
  <c r="BS5" i="1"/>
  <c r="CD5" i="1" l="1"/>
  <c r="CC5" i="1"/>
  <c r="CB5" i="1"/>
  <c r="CA5" i="1"/>
  <c r="BZ5" i="1"/>
  <c r="BY5" i="1"/>
  <c r="BX5" i="1"/>
  <c r="BW5" i="1"/>
  <c r="BV5" i="1"/>
  <c r="BU5" i="1"/>
  <c r="BT5" i="1"/>
  <c r="BQ5" i="1" l="1"/>
  <c r="CU53" i="1" l="1"/>
</calcChain>
</file>

<file path=xl/sharedStrings.xml><?xml version="1.0" encoding="utf-8"?>
<sst xmlns="http://schemas.openxmlformats.org/spreadsheetml/2006/main" count="428" uniqueCount="108">
  <si>
    <t>MALDIVIAN STAFFS</t>
  </si>
  <si>
    <t>Wed</t>
  </si>
  <si>
    <t>Thu</t>
  </si>
  <si>
    <t>Fri</t>
  </si>
  <si>
    <t>Sat</t>
  </si>
  <si>
    <t>Sun</t>
  </si>
  <si>
    <t>Mon</t>
  </si>
  <si>
    <t>Tue</t>
  </si>
  <si>
    <t>S No</t>
  </si>
  <si>
    <t>User ID</t>
  </si>
  <si>
    <t>Name</t>
  </si>
  <si>
    <t>IN</t>
  </si>
  <si>
    <t>OUT</t>
  </si>
  <si>
    <t>MD</t>
  </si>
  <si>
    <t>Ahmed Marzooq</t>
  </si>
  <si>
    <t>DMD</t>
  </si>
  <si>
    <t>Hussain Moosa</t>
  </si>
  <si>
    <t>MAD0001</t>
  </si>
  <si>
    <t>Mohamed Ali Didi</t>
  </si>
  <si>
    <t>MAD0339</t>
  </si>
  <si>
    <t>Mohamed Muaz</t>
  </si>
  <si>
    <t>MAD0653</t>
  </si>
  <si>
    <t>Aminath Shafana</t>
  </si>
  <si>
    <t>MAD0006</t>
  </si>
  <si>
    <t>Fathmath Hana</t>
  </si>
  <si>
    <t>MAD0257</t>
  </si>
  <si>
    <t>Hussain Mahir</t>
  </si>
  <si>
    <t>MAD0302</t>
  </si>
  <si>
    <t>Ibrahim Hussain</t>
  </si>
  <si>
    <t>MAD0248</t>
  </si>
  <si>
    <t>Abdulla Aboobakuru</t>
  </si>
  <si>
    <t>MAD0077</t>
  </si>
  <si>
    <t>Fathimath Hassan Zubair</t>
  </si>
  <si>
    <t>MAD0393</t>
  </si>
  <si>
    <t>Mariyam Hameedha</t>
  </si>
  <si>
    <t>MAD0523</t>
  </si>
  <si>
    <t>Aishath Naeema</t>
  </si>
  <si>
    <t>MAD0449</t>
  </si>
  <si>
    <t>Hassan Sameer</t>
  </si>
  <si>
    <t>MAD0536</t>
  </si>
  <si>
    <t>Nuzuhath Abbas</t>
  </si>
  <si>
    <t>MAD0581</t>
  </si>
  <si>
    <t>Abdul Rasheed Ismail</t>
  </si>
  <si>
    <t>MAD0625</t>
  </si>
  <si>
    <t>Aishath Nihaza</t>
  </si>
  <si>
    <t>MAD0631</t>
  </si>
  <si>
    <t>Zumna Ahmed</t>
  </si>
  <si>
    <t>MAD0645</t>
  </si>
  <si>
    <t>Hassan Azeem</t>
  </si>
  <si>
    <t>MAD0689</t>
  </si>
  <si>
    <t>Ahmed Rizny</t>
  </si>
  <si>
    <t>MAD0697</t>
  </si>
  <si>
    <t>Abdul Rahman Gasim</t>
  </si>
  <si>
    <t>Present Days</t>
  </si>
  <si>
    <t>Fridays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</si>
  <si>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</si>
  <si>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</si>
  <si>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</si>
  <si>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</si>
  <si>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</si>
  <si>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</si>
  <si>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</si>
  <si>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</si>
  <si>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</si>
  <si>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</si>
  <si>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</si>
  <si>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</si>
  <si>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Prepared</t>
  </si>
  <si>
    <t xml:space="preserve"> Checked by</t>
  </si>
  <si>
    <t>Approved by:</t>
  </si>
  <si>
    <t xml:space="preserve">Off Day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</si>
  <si>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</si>
  <si>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</si>
  <si>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</si>
  <si>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</si>
  <si>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</si>
  <si>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</si>
  <si>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</si>
  <si>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MUNESWARI SANDRAPALLI</t>
  </si>
  <si>
    <t xml:space="preserve">Moosa Ahmed </t>
  </si>
  <si>
    <t xml:space="preserve"> </t>
  </si>
  <si>
    <t>Suspended</t>
  </si>
  <si>
    <t>Special Leave</t>
  </si>
  <si>
    <t>HR Executive</t>
  </si>
  <si>
    <t>Office Manager</t>
  </si>
  <si>
    <t>Chairman</t>
  </si>
  <si>
    <t>Family Leave</t>
  </si>
  <si>
    <t>MAD0730</t>
  </si>
  <si>
    <t>Shezaa Ahmed Quraish</t>
  </si>
  <si>
    <t>Pls don’t Remove below data</t>
  </si>
  <si>
    <t>Total</t>
  </si>
  <si>
    <t>MAD0732</t>
  </si>
  <si>
    <t>Fathmath Nuha</t>
  </si>
  <si>
    <t>MAD0747</t>
  </si>
  <si>
    <t>Hussain Rifau</t>
  </si>
  <si>
    <t>Zoona Abbas</t>
  </si>
  <si>
    <t>MAD0751</t>
  </si>
  <si>
    <t>MAD0752</t>
  </si>
  <si>
    <t>Hawwa Shaiha</t>
  </si>
  <si>
    <t>MAD0753</t>
  </si>
  <si>
    <t>MAD0754</t>
  </si>
  <si>
    <t>Ziyad Moosa</t>
  </si>
  <si>
    <t>Salma Hussain</t>
  </si>
  <si>
    <t>Attendance  -  MARCH 2026 -Male Local Staffs</t>
  </si>
  <si>
    <t>Attendance  - MARCH 2026 -Male Local Staffs</t>
  </si>
  <si>
    <t>SICK</t>
  </si>
  <si>
    <t>DOJ</t>
  </si>
  <si>
    <t xml:space="preserve">Used Leave Totals (Running Year, up to end of this month -March 2026)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</si>
</sst>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h:mm;@"/>
    <numFmt numFmtId="166" formatCode="[$-409]d\-mmm\-yyyy;@"/>
  </numFmts>
  <fonts count="3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Segoe UI"/>
      <family val="2"/>
    </font>
    <font>
      <b/>
      <sz val="9"/>
      <color theme="1"/>
      <name val="Segoe UI"/>
      <family val="2"/>
    </font>
    <font>
      <b/>
      <sz val="11"/>
      <color theme="1"/>
      <name val="Segoe UI"/>
      <family val="2"/>
      <charset val="1"/>
    </font>
    <font>
      <sz val="10"/>
      <color theme="1"/>
      <name val="Segoe UI"/>
      <family val="2"/>
      <charset val="1"/>
    </font>
    <font>
      <b/>
      <sz val="10"/>
      <color theme="1"/>
      <name val="Segoe UI"/>
      <family val="2"/>
    </font>
    <font>
      <sz val="8"/>
      <name val="Calibri"/>
      <family val="2"/>
      <scheme val="minor"/>
    </font>
    <font>
      <sz val="10"/>
      <name val="Segoe UI"/>
      <family val="2"/>
    </font>
    <font>
      <b/>
      <sz val="11"/>
      <color theme="1"/>
      <name val="Segoe UI"/>
      <family val="2"/>
    </font>
    <font>
      <b/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sz val="12"/>
      <color theme="1"/>
      <name val="Calibri"/>
      <family val="2"/>
      <scheme val="minor"/>
    </font>
    <font>
      <b/>
      <u/>
      <sz val="12"/>
      <name val="Segoe UI"/>
      <family val="2"/>
    </font>
    <font>
      <sz val="12"/>
      <color theme="1"/>
      <name val="Segoe UI"/>
      <family val="2"/>
    </font>
    <font>
      <sz val="12"/>
      <name val="Segoe UI"/>
      <family val="2"/>
    </font>
    <font>
      <b/>
      <sz val="10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u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9"/>
      <name val="Segoe UI"/>
      <family val="2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9.9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b/>
      <sz val="9.9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/>
    </xf>
    <xf numFmtId="1" fontId="9" fillId="7" borderId="13" xfId="0" applyNumberFormat="1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1" fontId="6" fillId="5" borderId="11" xfId="0" applyNumberFormat="1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20" fontId="15" fillId="0" borderId="0" xfId="0" applyNumberFormat="1" applyFont="1" applyAlignment="1">
      <alignment horizontal="center" vertical="center" wrapText="1"/>
    </xf>
    <xf numFmtId="0" fontId="12" fillId="8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8" borderId="0" xfId="0" applyFont="1" applyFill="1" applyAlignment="1">
      <alignment vertical="center"/>
    </xf>
    <xf numFmtId="0" fontId="11" fillId="8" borderId="0" xfId="0" applyFont="1" applyFill="1" applyAlignment="1">
      <alignment horizontal="center" vertical="center"/>
    </xf>
    <xf numFmtId="0" fontId="16" fillId="0" borderId="0" xfId="0" applyFont="1" applyAlignment="1">
      <alignment vertical="center"/>
    </xf>
    <xf numFmtId="49" fontId="11" fillId="8" borderId="0" xfId="0" applyNumberFormat="1" applyFont="1" applyFill="1" applyAlignment="1">
      <alignment vertical="center"/>
    </xf>
    <xf numFmtId="49" fontId="11" fillId="8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5" fontId="14" fillId="0" borderId="0" xfId="0" applyNumberFormat="1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8" borderId="0" xfId="0" applyFont="1" applyFill="1"/>
    <xf numFmtId="0" fontId="6" fillId="3" borderId="11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6" borderId="8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/>
    </xf>
    <xf numFmtId="0" fontId="6" fillId="11" borderId="17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20" fontId="12" fillId="6" borderId="0" xfId="0" applyNumberFormat="1" applyFont="1" applyFill="1" applyAlignment="1">
      <alignment horizontal="center" vertical="center" wrapText="1"/>
    </xf>
    <xf numFmtId="0" fontId="10" fillId="6" borderId="0" xfId="0" applyFont="1" applyFill="1" applyAlignment="1">
      <alignment vertical="center"/>
    </xf>
    <xf numFmtId="0" fontId="19" fillId="6" borderId="0" xfId="0" applyFont="1" applyFill="1" applyAlignment="1">
      <alignment vertical="center"/>
    </xf>
    <xf numFmtId="20" fontId="19" fillId="6" borderId="0" xfId="0" applyNumberFormat="1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/>
    <xf numFmtId="1" fontId="18" fillId="6" borderId="0" xfId="0" applyNumberFormat="1" applyFont="1" applyFill="1" applyAlignment="1">
      <alignment horizontal="center" vertical="center"/>
    </xf>
    <xf numFmtId="0" fontId="20" fillId="6" borderId="0" xfId="0" applyFont="1" applyFill="1" applyAlignment="1">
      <alignment horizontal="center" vertical="center"/>
    </xf>
    <xf numFmtId="1" fontId="14" fillId="6" borderId="0" xfId="0" applyNumberFormat="1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0" fillId="6" borderId="0" xfId="0" applyFill="1"/>
    <xf numFmtId="0" fontId="10" fillId="6" borderId="0" xfId="0" applyFont="1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0" fillId="9" borderId="8" xfId="0" applyFont="1" applyFill="1" applyBorder="1" applyAlignment="1">
      <alignment horizontal="center" vertical="center"/>
    </xf>
    <xf numFmtId="0" fontId="25" fillId="0" borderId="8" xfId="0" applyFont="1" applyBorder="1" applyAlignment="1">
      <alignment horizontal="center" vertical="center" wrapText="1"/>
    </xf>
    <xf numFmtId="0" fontId="0" fillId="6" borderId="8" xfId="0" applyFill="1" applyBorder="1" applyAlignment="1">
      <alignment vertical="center"/>
    </xf>
    <xf numFmtId="0" fontId="0" fillId="13" borderId="8" xfId="0" applyFill="1" applyBorder="1" applyAlignment="1">
      <alignment vertical="center"/>
    </xf>
    <xf numFmtId="1" fontId="23" fillId="6" borderId="8" xfId="0" applyNumberFormat="1" applyFont="1" applyFill="1" applyBorder="1" applyAlignment="1">
      <alignment horizontal="center" vertical="center"/>
    </xf>
    <xf numFmtId="1" fontId="23" fillId="6" borderId="11" xfId="0" applyNumberFormat="1" applyFont="1" applyFill="1" applyBorder="1" applyAlignment="1">
      <alignment horizontal="center" vertical="center"/>
    </xf>
    <xf numFmtId="1" fontId="23" fillId="6" borderId="17" xfId="0" applyNumberFormat="1" applyFont="1" applyFill="1" applyBorder="1" applyAlignment="1">
      <alignment horizontal="center" vertical="center"/>
    </xf>
    <xf numFmtId="20" fontId="26" fillId="6" borderId="8" xfId="0" applyNumberFormat="1" applyFont="1" applyFill="1" applyBorder="1" applyAlignment="1">
      <alignment horizontal="center" vertical="center" wrapText="1"/>
    </xf>
    <xf numFmtId="0" fontId="26" fillId="6" borderId="8" xfId="0" applyFont="1" applyFill="1" applyBorder="1" applyAlignment="1">
      <alignment horizontal="center" vertical="center" wrapText="1"/>
    </xf>
    <xf numFmtId="20" fontId="27" fillId="9" borderId="8" xfId="0" applyNumberFormat="1" applyFont="1" applyFill="1" applyBorder="1" applyAlignment="1">
      <alignment horizontal="center" vertical="center" wrapText="1"/>
    </xf>
    <xf numFmtId="0" fontId="27" fillId="9" borderId="8" xfId="0" applyFont="1" applyFill="1" applyBorder="1" applyAlignment="1">
      <alignment horizontal="center" vertical="center" wrapText="1"/>
    </xf>
    <xf numFmtId="1" fontId="24" fillId="9" borderId="11" xfId="0" applyNumberFormat="1" applyFont="1" applyFill="1" applyBorder="1" applyAlignment="1">
      <alignment horizontal="center" vertical="center"/>
    </xf>
    <xf numFmtId="1" fontId="24" fillId="9" borderId="8" xfId="0" applyNumberFormat="1" applyFont="1" applyFill="1" applyBorder="1" applyAlignment="1">
      <alignment horizontal="center" vertical="center"/>
    </xf>
    <xf numFmtId="1" fontId="24" fillId="9" borderId="17" xfId="0" applyNumberFormat="1" applyFont="1" applyFill="1" applyBorder="1" applyAlignment="1">
      <alignment horizontal="center" vertical="center"/>
    </xf>
    <xf numFmtId="1" fontId="29" fillId="6" borderId="8" xfId="0" applyNumberFormat="1" applyFont="1" applyFill="1" applyBorder="1" applyAlignment="1">
      <alignment horizontal="center" vertical="center"/>
    </xf>
    <xf numFmtId="0" fontId="30" fillId="6" borderId="8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20" fontId="28" fillId="6" borderId="8" xfId="0" applyNumberFormat="1" applyFont="1" applyFill="1" applyBorder="1" applyAlignment="1">
      <alignment horizontal="center" vertical="center" wrapText="1"/>
    </xf>
    <xf numFmtId="0" fontId="28" fillId="6" borderId="8" xfId="0" applyFont="1" applyFill="1" applyBorder="1" applyAlignment="1">
      <alignment horizontal="center" vertical="center" wrapText="1"/>
    </xf>
    <xf numFmtId="20" fontId="31" fillId="9" borderId="8" xfId="0" applyNumberFormat="1" applyFont="1" applyFill="1" applyBorder="1" applyAlignment="1">
      <alignment horizontal="center" vertical="center" wrapText="1"/>
    </xf>
    <xf numFmtId="1" fontId="32" fillId="9" borderId="8" xfId="0" applyNumberFormat="1" applyFont="1" applyFill="1" applyBorder="1" applyAlignment="1">
      <alignment horizontal="center" vertical="center"/>
    </xf>
    <xf numFmtId="166" fontId="9" fillId="4" borderId="12" xfId="0" applyNumberFormat="1" applyFont="1" applyFill="1" applyBorder="1" applyAlignment="1">
      <alignment horizontal="center" vertic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166" fontId="33" fillId="0" borderId="9" xfId="0" applyNumberFormat="1" applyFont="1" applyBorder="1" applyAlignment="1">
      <alignment horizontal="center" vertical="center"/>
    </xf>
    <xf numFmtId="166" fontId="33" fillId="0" borderId="4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 wrapText="1"/>
    </xf>
    <xf numFmtId="166" fontId="33" fillId="0" borderId="1" xfId="0" applyNumberFormat="1" applyFont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3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5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 textRotation="90" wrapText="1"/>
    </xf>
    <xf numFmtId="0" fontId="3" fillId="5" borderId="15" xfId="0" applyFont="1" applyFill="1" applyBorder="1" applyAlignment="1">
      <alignment horizontal="center" vertical="center" textRotation="90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 textRotation="90" wrapText="1"/>
    </xf>
    <xf numFmtId="0" fontId="3" fillId="5" borderId="14" xfId="0" applyFont="1" applyFill="1" applyBorder="1" applyAlignment="1">
      <alignment horizontal="center" vertical="center" textRotation="90" wrapText="1"/>
    </xf>
    <xf numFmtId="164" fontId="5" fillId="3" borderId="6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6" borderId="19" xfId="0" applyFont="1" applyFill="1" applyBorder="1" applyAlignment="1">
      <alignment horizontal="center" vertical="center"/>
    </xf>
    <xf numFmtId="0" fontId="6" fillId="6" borderId="21" xfId="0" applyFont="1" applyFill="1" applyBorder="1" applyAlignment="1">
      <alignment horizontal="center" vertical="center"/>
    </xf>
  </cellXfs>
  <cellStyles count="1">
    <cellStyle name="Normal" xfId="0" builtinId="0"/>
  </cellStyles>
  <dxfs count="183"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</dxf>
    <dxf>
      <font>
        <b/>
        <i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F6E8B-7E5C-428F-AAF0-8F10E6713D94}" name="Table1" displayName="Table1" ref="CK4:CU30" totalsRowShown="0" headerRowDxfId="182" dataDxfId="180" headerRowBorderDxfId="181" tableBorderDxfId="179" totalsRowBorderDxfId="178">
  <autoFilter ref="CK4:CU30" xr:uid="{A80F6E8B-7E5C-428F-AAF0-8F10E6713D94}"/>
  <tableColumns count="11">
    <tableColumn id="1" xr3:uid="{6586E15F-C2DD-4486-A747-E3871445E7D8}" name="MC" dataDxfId="177"/>
    <tableColumn id="2" xr3:uid="{6119AEBA-2882-4A29-8B65-3CE5F50E5A35}" name="EL" dataDxfId="176"/>
    <tableColumn id="3" xr3:uid="{A4B933EF-91BB-467A-B3E2-F8748BFB0C0C}" name="AL" dataDxfId="175"/>
    <tableColumn id="4" xr3:uid="{7D2607E7-643A-4BE8-8DCF-5C28EB77BB0E}" name="SUS" dataDxfId="174"/>
    <tableColumn id="5" xr3:uid="{E23768CA-A8DD-45F9-ACBE-0E9686100AD3}" name="FL" dataDxfId="173"/>
    <tableColumn id="6" xr3:uid="{D5503395-DEA9-41D3-9732-722A5784A8F4}" name="S" dataDxfId="172"/>
    <tableColumn id="7" xr3:uid="{A9413DCE-6612-4B99-93F6-5211956ECD22}" name="HD" dataDxfId="171"/>
    <tableColumn id="8" xr3:uid="{2FC526AB-6D64-4BCF-B522-816D2118C5C0}" name="AB" dataDxfId="170"/>
    <tableColumn id="9" xr3:uid="{FF68A61F-F40D-49D4-927C-F64709C8B027}" name="NL" dataDxfId="169"/>
    <tableColumn id="10" xr3:uid="{93843698-215B-41CD-BE9E-5B86DD643899}" name="SP" dataDxfId="168"/>
    <tableColumn id="11" xr3:uid="{556FE1F1-725C-4D3F-887C-F87A4339643C}" name="Total" dataDxfId="167">
      <calculatedColumnFormula>SUM(CK5:CT5)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E4E3-8F50-4D39-A21D-03A339330479}">
  <sheetPr>
    <pageSetUpPr fitToPage="1"/>
  </sheetPr>
  <dimension ref="A1:CU57"/>
  <sheetViews>
    <sheetView tabSelected="1" zoomScaleNormal="100" workbookViewId="0">
      <pane xSplit="3" ySplit="4" topLeftCell="CE11" activePane="bottomRight" state="frozen"/>
      <selection pane="topRight" activeCell="D1" sqref="D1"/>
      <selection pane="bottomLeft" activeCell="A5" sqref="A5"/>
      <selection pane="bottomRight" activeCell="CH20" sqref="CH20"/>
    </sheetView>
  </sheetViews>
  <sheetFormatPr defaultRowHeight="15.75" x14ac:dyDescent="0.25"/>
  <cols>
    <col min="1" max="1" width="5.5703125" customWidth="1"/>
    <col min="2" max="2" width="13.85546875" customWidth="1"/>
    <col min="3" max="3" width="24.7109375" customWidth="1"/>
    <col min="4" max="4" width="15.28515625" style="94" customWidth="1"/>
    <col min="5" max="34" width="7.42578125" customWidth="1"/>
    <col min="35" max="35" width="4.28515625" customWidth="1"/>
    <col min="36" max="36" width="5.5703125" customWidth="1"/>
    <col min="37" max="68" width="6.85546875" customWidth="1"/>
    <col min="69" max="70" width="5.140625" customWidth="1"/>
    <col min="71" max="82" width="5.28515625" customWidth="1"/>
    <col min="83" max="83" width="31.28515625" customWidth="1"/>
    <col min="89" max="98" width="9.140625" style="13"/>
    <col min="99" max="99" width="9.140625" style="20"/>
  </cols>
  <sheetData>
    <row r="1" spans="1:99" ht="30.75" customHeight="1" thickBot="1" x14ac:dyDescent="0.3">
      <c r="A1" s="122" t="s">
        <v>103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  <c r="X1" s="122"/>
      <c r="Y1" s="122"/>
      <c r="Z1" s="122"/>
      <c r="AA1" s="122"/>
      <c r="AB1" s="122"/>
      <c r="AC1" s="122"/>
      <c r="AD1" s="122"/>
      <c r="AE1" s="122"/>
      <c r="AF1" s="122"/>
      <c r="AG1" s="122"/>
      <c r="AH1" s="123"/>
      <c r="AI1" s="121"/>
      <c r="AJ1" s="124" t="s">
        <v>104</v>
      </c>
      <c r="AK1" s="122"/>
      <c r="AL1" s="122"/>
      <c r="AM1" s="122"/>
      <c r="AN1" s="122"/>
      <c r="AO1" s="122"/>
      <c r="AP1" s="122"/>
      <c r="AQ1" s="122"/>
      <c r="AR1" s="122"/>
      <c r="AS1" s="122"/>
      <c r="AT1" s="122"/>
      <c r="AU1" s="122"/>
      <c r="AV1" s="122"/>
      <c r="AW1" s="122"/>
      <c r="AX1" s="122"/>
      <c r="AY1" s="122"/>
      <c r="AZ1" s="122"/>
      <c r="BA1" s="122"/>
      <c r="BB1" s="122"/>
      <c r="BC1" s="122"/>
      <c r="BD1" s="122"/>
      <c r="BE1" s="122"/>
      <c r="BF1" s="122"/>
      <c r="BG1" s="122"/>
      <c r="BH1" s="122"/>
      <c r="BI1" s="122"/>
      <c r="BJ1" s="122"/>
      <c r="BK1" s="122"/>
      <c r="BL1" s="122"/>
      <c r="BM1" s="122"/>
      <c r="BN1" s="122"/>
      <c r="BO1" s="122"/>
      <c r="BP1" s="122"/>
      <c r="BQ1" s="122"/>
      <c r="BR1" s="122"/>
      <c r="BS1" s="122"/>
      <c r="BT1" s="122"/>
      <c r="BU1" s="122"/>
      <c r="BV1" s="122"/>
      <c r="BW1" s="122"/>
      <c r="BX1" s="122"/>
      <c r="BY1" s="122"/>
      <c r="BZ1" s="122"/>
      <c r="CA1" s="122"/>
      <c r="CB1" s="122"/>
      <c r="CC1" s="122"/>
      <c r="CD1" s="122"/>
      <c r="CE1" s="122"/>
    </row>
    <row r="2" spans="1:99" ht="21.75" customHeight="1" thickBot="1" x14ac:dyDescent="0.3">
      <c r="A2" s="100" t="s">
        <v>0</v>
      </c>
      <c r="B2" s="101"/>
      <c r="C2" s="101"/>
      <c r="D2" s="102"/>
      <c r="E2" s="110" t="s">
        <v>5</v>
      </c>
      <c r="F2" s="111"/>
      <c r="G2" s="110" t="s">
        <v>6</v>
      </c>
      <c r="H2" s="111"/>
      <c r="I2" s="110" t="s">
        <v>7</v>
      </c>
      <c r="J2" s="111"/>
      <c r="K2" s="110" t="s">
        <v>1</v>
      </c>
      <c r="L2" s="111"/>
      <c r="M2" s="110" t="s">
        <v>2</v>
      </c>
      <c r="N2" s="111"/>
      <c r="O2" s="110" t="s">
        <v>3</v>
      </c>
      <c r="P2" s="111"/>
      <c r="Q2" s="110" t="s">
        <v>4</v>
      </c>
      <c r="R2" s="111"/>
      <c r="S2" s="110" t="s">
        <v>5</v>
      </c>
      <c r="T2" s="111"/>
      <c r="U2" s="110" t="s">
        <v>6</v>
      </c>
      <c r="V2" s="111"/>
      <c r="W2" s="110" t="s">
        <v>7</v>
      </c>
      <c r="X2" s="111"/>
      <c r="Y2" s="110" t="s">
        <v>1</v>
      </c>
      <c r="Z2" s="111"/>
      <c r="AA2" s="110" t="s">
        <v>2</v>
      </c>
      <c r="AB2" s="111"/>
      <c r="AC2" s="110" t="s">
        <v>3</v>
      </c>
      <c r="AD2" s="111"/>
      <c r="AE2" s="110" t="s">
        <v>4</v>
      </c>
      <c r="AF2" s="111"/>
      <c r="AG2" s="110" t="s">
        <v>5</v>
      </c>
      <c r="AH2" s="111"/>
      <c r="AI2" s="121"/>
      <c r="AJ2" s="125" t="s">
        <v>8</v>
      </c>
      <c r="AK2" s="110" t="s">
        <v>6</v>
      </c>
      <c r="AL2" s="111"/>
      <c r="AM2" s="110" t="s">
        <v>7</v>
      </c>
      <c r="AN2" s="111"/>
      <c r="AO2" s="110" t="s">
        <v>1</v>
      </c>
      <c r="AP2" s="111"/>
      <c r="AQ2" s="110" t="s">
        <v>2</v>
      </c>
      <c r="AR2" s="111"/>
      <c r="AS2" s="110" t="s">
        <v>3</v>
      </c>
      <c r="AT2" s="111"/>
      <c r="AU2" s="110" t="s">
        <v>4</v>
      </c>
      <c r="AV2" s="111"/>
      <c r="AW2" s="110" t="s">
        <v>5</v>
      </c>
      <c r="AX2" s="111"/>
      <c r="AY2" s="110" t="s">
        <v>6</v>
      </c>
      <c r="AZ2" s="111"/>
      <c r="BA2" s="110" t="s">
        <v>7</v>
      </c>
      <c r="BB2" s="111"/>
      <c r="BC2" s="110" t="s">
        <v>1</v>
      </c>
      <c r="BD2" s="111"/>
      <c r="BE2" s="110" t="s">
        <v>2</v>
      </c>
      <c r="BF2" s="111"/>
      <c r="BG2" s="110" t="s">
        <v>3</v>
      </c>
      <c r="BH2" s="111"/>
      <c r="BI2" s="110" t="s">
        <v>4</v>
      </c>
      <c r="BJ2" s="111"/>
      <c r="BK2" s="110" t="s">
        <v>5</v>
      </c>
      <c r="BL2" s="111"/>
      <c r="BM2" s="110" t="s">
        <v>6</v>
      </c>
      <c r="BN2" s="111"/>
      <c r="BO2" s="110" t="s">
        <v>7</v>
      </c>
      <c r="BP2" s="111"/>
      <c r="BQ2" s="117" t="s">
        <v>53</v>
      </c>
      <c r="BR2" s="112" t="s">
        <v>54</v>
      </c>
      <c r="BS2" s="114"/>
      <c r="BT2" s="115"/>
      <c r="BU2" s="115"/>
      <c r="BV2" s="115"/>
      <c r="BW2" s="115"/>
      <c r="BX2" s="115"/>
      <c r="BY2" s="115"/>
      <c r="BZ2" s="115"/>
      <c r="CA2" s="115"/>
      <c r="CB2" s="115"/>
      <c r="CC2" s="115"/>
      <c r="CD2" s="115"/>
      <c r="CE2" s="116"/>
      <c r="CK2" s="106" t="s">
        <v>89</v>
      </c>
      <c r="CL2" s="106"/>
      <c r="CM2" s="106"/>
      <c r="CN2" s="106"/>
      <c r="CO2" s="106"/>
      <c r="CP2" s="106"/>
      <c r="CQ2" s="106"/>
      <c r="CR2" s="106"/>
      <c r="CS2" s="106"/>
      <c r="CT2" s="106"/>
    </row>
    <row r="3" spans="1:99" ht="21.75" customHeight="1" x14ac:dyDescent="0.25">
      <c r="A3" s="103"/>
      <c r="B3" s="104"/>
      <c r="C3" s="104"/>
      <c r="D3" s="105"/>
      <c r="E3" s="119">
        <v>46082</v>
      </c>
      <c r="F3" s="120"/>
      <c r="G3" s="119">
        <v>46083</v>
      </c>
      <c r="H3" s="120"/>
      <c r="I3" s="119">
        <v>46084</v>
      </c>
      <c r="J3" s="120"/>
      <c r="K3" s="119">
        <v>46085</v>
      </c>
      <c r="L3" s="120"/>
      <c r="M3" s="119">
        <v>46086</v>
      </c>
      <c r="N3" s="120"/>
      <c r="O3" s="119">
        <v>46087</v>
      </c>
      <c r="P3" s="120"/>
      <c r="Q3" s="119">
        <v>46088</v>
      </c>
      <c r="R3" s="120"/>
      <c r="S3" s="119">
        <v>46089</v>
      </c>
      <c r="T3" s="120"/>
      <c r="U3" s="119">
        <v>46090</v>
      </c>
      <c r="V3" s="120"/>
      <c r="W3" s="119">
        <v>46091</v>
      </c>
      <c r="X3" s="120"/>
      <c r="Y3" s="119">
        <v>46092</v>
      </c>
      <c r="Z3" s="120"/>
      <c r="AA3" s="119">
        <v>46093</v>
      </c>
      <c r="AB3" s="120"/>
      <c r="AC3" s="119">
        <v>46094</v>
      </c>
      <c r="AD3" s="120"/>
      <c r="AE3" s="119">
        <v>46095</v>
      </c>
      <c r="AF3" s="120"/>
      <c r="AG3" s="119">
        <v>46096</v>
      </c>
      <c r="AH3" s="120"/>
      <c r="AI3" s="121"/>
      <c r="AJ3" s="126"/>
      <c r="AK3" s="108">
        <v>46097</v>
      </c>
      <c r="AL3" s="109"/>
      <c r="AM3" s="108">
        <v>46098</v>
      </c>
      <c r="AN3" s="109"/>
      <c r="AO3" s="108">
        <v>46099</v>
      </c>
      <c r="AP3" s="109"/>
      <c r="AQ3" s="108">
        <v>46100</v>
      </c>
      <c r="AR3" s="109"/>
      <c r="AS3" s="108">
        <v>46101</v>
      </c>
      <c r="AT3" s="109"/>
      <c r="AU3" s="108">
        <v>46102</v>
      </c>
      <c r="AV3" s="109"/>
      <c r="AW3" s="108">
        <v>46103</v>
      </c>
      <c r="AX3" s="109"/>
      <c r="AY3" s="108">
        <v>46104</v>
      </c>
      <c r="AZ3" s="109"/>
      <c r="BA3" s="108">
        <v>46105</v>
      </c>
      <c r="BB3" s="109"/>
      <c r="BC3" s="108">
        <v>46106</v>
      </c>
      <c r="BD3" s="109"/>
      <c r="BE3" s="108">
        <v>46107</v>
      </c>
      <c r="BF3" s="109"/>
      <c r="BG3" s="108">
        <v>46108</v>
      </c>
      <c r="BH3" s="109"/>
      <c r="BI3" s="108">
        <v>46109</v>
      </c>
      <c r="BJ3" s="109"/>
      <c r="BK3" s="108">
        <v>46110</v>
      </c>
      <c r="BL3" s="109"/>
      <c r="BM3" s="108">
        <v>46111</v>
      </c>
      <c r="BN3" s="109"/>
      <c r="BO3" s="108">
        <v>46112</v>
      </c>
      <c r="BP3" s="109"/>
      <c r="BQ3" s="118"/>
      <c r="BR3" s="113"/>
      <c r="BS3" s="4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5"/>
      <c r="CK3" s="107" t="s">
        <v>107</v>
      </c>
      <c r="CL3" s="107"/>
      <c r="CM3" s="107"/>
      <c r="CN3" s="107"/>
      <c r="CO3" s="107"/>
      <c r="CP3" s="107"/>
      <c r="CQ3" s="107"/>
      <c r="CR3" s="107"/>
      <c r="CS3" s="107"/>
      <c r="CT3" s="107"/>
    </row>
    <row r="4" spans="1:99" ht="25.5" customHeight="1" x14ac:dyDescent="0.25">
      <c r="A4" s="6" t="s">
        <v>8</v>
      </c>
      <c r="B4" s="6" t="s">
        <v>9</v>
      </c>
      <c r="C4" s="32" t="s">
        <v>10</v>
      </c>
      <c r="D4" s="91" t="s">
        <v>106</v>
      </c>
      <c r="E4" s="1" t="s">
        <v>11</v>
      </c>
      <c r="F4" s="2" t="s">
        <v>12</v>
      </c>
      <c r="G4" s="1" t="s">
        <v>11</v>
      </c>
      <c r="H4" s="2" t="s">
        <v>12</v>
      </c>
      <c r="I4" s="1" t="s">
        <v>11</v>
      </c>
      <c r="J4" s="2" t="s">
        <v>12</v>
      </c>
      <c r="K4" s="1" t="s">
        <v>11</v>
      </c>
      <c r="L4" s="2" t="s">
        <v>12</v>
      </c>
      <c r="M4" s="1" t="s">
        <v>11</v>
      </c>
      <c r="N4" s="2" t="s">
        <v>12</v>
      </c>
      <c r="O4" s="1" t="s">
        <v>11</v>
      </c>
      <c r="P4" s="2" t="s">
        <v>12</v>
      </c>
      <c r="Q4" s="1" t="s">
        <v>11</v>
      </c>
      <c r="R4" s="2" t="s">
        <v>12</v>
      </c>
      <c r="S4" s="1" t="s">
        <v>11</v>
      </c>
      <c r="T4" s="2" t="s">
        <v>12</v>
      </c>
      <c r="U4" s="1" t="s">
        <v>11</v>
      </c>
      <c r="V4" s="2" t="s">
        <v>12</v>
      </c>
      <c r="W4" s="1" t="s">
        <v>11</v>
      </c>
      <c r="X4" s="2" t="s">
        <v>12</v>
      </c>
      <c r="Y4" s="1" t="s">
        <v>11</v>
      </c>
      <c r="Z4" s="2" t="s">
        <v>12</v>
      </c>
      <c r="AA4" s="1" t="s">
        <v>11</v>
      </c>
      <c r="AB4" s="2" t="s">
        <v>12</v>
      </c>
      <c r="AC4" s="1" t="s">
        <v>11</v>
      </c>
      <c r="AD4" s="2" t="s">
        <v>12</v>
      </c>
      <c r="AE4" s="8" t="s">
        <v>11</v>
      </c>
      <c r="AF4" s="9" t="s">
        <v>12</v>
      </c>
      <c r="AG4" s="8" t="s">
        <v>11</v>
      </c>
      <c r="AH4" s="31" t="s">
        <v>12</v>
      </c>
      <c r="AI4" s="121"/>
      <c r="AJ4" s="126"/>
      <c r="AK4" s="8" t="s">
        <v>11</v>
      </c>
      <c r="AL4" s="9" t="s">
        <v>12</v>
      </c>
      <c r="AM4" s="8" t="s">
        <v>11</v>
      </c>
      <c r="AN4" s="9" t="s">
        <v>12</v>
      </c>
      <c r="AO4" s="8" t="s">
        <v>11</v>
      </c>
      <c r="AP4" s="9" t="s">
        <v>12</v>
      </c>
      <c r="AQ4" s="8" t="s">
        <v>11</v>
      </c>
      <c r="AR4" s="9" t="s">
        <v>12</v>
      </c>
      <c r="AS4" s="8" t="s">
        <v>11</v>
      </c>
      <c r="AT4" s="9" t="s">
        <v>12</v>
      </c>
      <c r="AU4" s="8" t="s">
        <v>11</v>
      </c>
      <c r="AV4" s="9" t="s">
        <v>12</v>
      </c>
      <c r="AW4" s="8" t="s">
        <v>11</v>
      </c>
      <c r="AX4" s="9" t="s">
        <v>12</v>
      </c>
      <c r="AY4" s="8" t="s">
        <v>11</v>
      </c>
      <c r="AZ4" s="9" t="s">
        <v>12</v>
      </c>
      <c r="BA4" s="8" t="s">
        <v>11</v>
      </c>
      <c r="BB4" s="9" t="s">
        <v>12</v>
      </c>
      <c r="BC4" s="8" t="s">
        <v>11</v>
      </c>
      <c r="BD4" s="9" t="s">
        <v>12</v>
      </c>
      <c r="BE4" s="8" t="s">
        <v>11</v>
      </c>
      <c r="BF4" s="9" t="s">
        <v>12</v>
      </c>
      <c r="BG4" s="8" t="s">
        <v>11</v>
      </c>
      <c r="BH4" s="9" t="s">
        <v>12</v>
      </c>
      <c r="BI4" s="8" t="s">
        <v>11</v>
      </c>
      <c r="BJ4" s="9" t="s">
        <v>12</v>
      </c>
      <c r="BK4" s="8" t="s">
        <v>11</v>
      </c>
      <c r="BL4" s="9" t="s">
        <v>12</v>
      </c>
      <c r="BM4" s="8" t="s">
        <v>11</v>
      </c>
      <c r="BN4" s="9" t="s">
        <v>12</v>
      </c>
      <c r="BO4" s="8" t="s">
        <v>11</v>
      </c>
      <c r="BP4" s="9" t="s">
        <v>12</v>
      </c>
      <c r="BQ4" s="118"/>
      <c r="BR4" s="113"/>
      <c r="BS4" s="10"/>
      <c r="BT4" s="11" t="s">
        <v>55</v>
      </c>
      <c r="BU4" s="11" t="s">
        <v>56</v>
      </c>
      <c r="BV4" s="11" t="s">
        <v>57</v>
      </c>
      <c r="BW4" s="11" t="s">
        <v>58</v>
      </c>
      <c r="BX4" s="11" t="s">
        <v>59</v>
      </c>
      <c r="BY4" s="11" t="s">
        <v>60</v>
      </c>
      <c r="BZ4" s="11" t="s">
        <v>61</v>
      </c>
      <c r="CA4" s="11" t="s">
        <v>62</v>
      </c>
      <c r="CB4" s="11" t="s">
        <v>63</v>
      </c>
      <c r="CC4" s="11" t="s">
        <v>64</v>
      </c>
      <c r="CD4" s="11" t="s">
        <v>65</v>
      </c>
      <c r="CE4" s="12" t="s">
        <v>66</v>
      </c>
      <c r="CK4" s="46" t="s">
        <v>56</v>
      </c>
      <c r="CL4" s="47" t="s">
        <v>57</v>
      </c>
      <c r="CM4" s="47" t="s">
        <v>58</v>
      </c>
      <c r="CN4" s="47" t="s">
        <v>59</v>
      </c>
      <c r="CO4" s="47" t="s">
        <v>60</v>
      </c>
      <c r="CP4" s="47" t="s">
        <v>61</v>
      </c>
      <c r="CQ4" s="47" t="s">
        <v>62</v>
      </c>
      <c r="CR4" s="47" t="s">
        <v>63</v>
      </c>
      <c r="CS4" s="47" t="s">
        <v>64</v>
      </c>
      <c r="CT4" s="47" t="s">
        <v>65</v>
      </c>
      <c r="CU4" s="48" t="s">
        <v>90</v>
      </c>
    </row>
    <row r="5" spans="1:99" ht="24.75" customHeight="1" x14ac:dyDescent="0.25">
      <c r="A5" s="33">
        <v>1</v>
      </c>
      <c r="B5" s="34" t="s">
        <v>13</v>
      </c>
      <c r="C5" s="35" t="s">
        <v>14</v>
      </c>
      <c r="D5" s="92"/>
      <c r="E5" s="73">
        <v>1</v>
      </c>
      <c r="F5" s="73">
        <v>1</v>
      </c>
      <c r="G5" s="73">
        <v>1</v>
      </c>
      <c r="H5" s="73">
        <v>1</v>
      </c>
      <c r="I5" s="73">
        <v>1</v>
      </c>
      <c r="J5" s="73">
        <v>1</v>
      </c>
      <c r="K5" s="73">
        <v>1</v>
      </c>
      <c r="L5" s="73">
        <v>1</v>
      </c>
      <c r="M5" s="73">
        <v>1</v>
      </c>
      <c r="N5" s="73">
        <v>1</v>
      </c>
      <c r="O5" s="69" t="s">
        <v>55</v>
      </c>
      <c r="P5" s="69" t="s">
        <v>55</v>
      </c>
      <c r="Q5" s="73">
        <v>1</v>
      </c>
      <c r="R5" s="73">
        <v>1</v>
      </c>
      <c r="S5" s="73">
        <v>1</v>
      </c>
      <c r="T5" s="73">
        <v>1</v>
      </c>
      <c r="U5" s="73">
        <v>1</v>
      </c>
      <c r="V5" s="73">
        <v>1</v>
      </c>
      <c r="W5" s="73">
        <v>1</v>
      </c>
      <c r="X5" s="73">
        <v>1</v>
      </c>
      <c r="Y5" s="73">
        <v>1</v>
      </c>
      <c r="Z5" s="73">
        <v>1</v>
      </c>
      <c r="AA5" s="73">
        <v>1</v>
      </c>
      <c r="AB5" s="73">
        <v>1</v>
      </c>
      <c r="AC5" s="69" t="s">
        <v>55</v>
      </c>
      <c r="AD5" s="69" t="s">
        <v>55</v>
      </c>
      <c r="AE5" s="73">
        <v>1</v>
      </c>
      <c r="AF5" s="73">
        <v>1</v>
      </c>
      <c r="AG5" s="73">
        <v>1</v>
      </c>
      <c r="AH5" s="73">
        <v>1</v>
      </c>
      <c r="AI5" s="121"/>
      <c r="AJ5" s="36">
        <v>1</v>
      </c>
      <c r="AK5" s="73">
        <v>1</v>
      </c>
      <c r="AL5" s="73">
        <v>1</v>
      </c>
      <c r="AM5" s="73">
        <v>1</v>
      </c>
      <c r="AN5" s="73">
        <v>1</v>
      </c>
      <c r="AO5" s="73">
        <v>1</v>
      </c>
      <c r="AP5" s="73">
        <v>1</v>
      </c>
      <c r="AQ5" s="73">
        <v>1</v>
      </c>
      <c r="AR5" s="73">
        <v>1</v>
      </c>
      <c r="AS5" s="69" t="s">
        <v>55</v>
      </c>
      <c r="AT5" s="69" t="s">
        <v>55</v>
      </c>
      <c r="AU5" s="73">
        <v>1</v>
      </c>
      <c r="AV5" s="73">
        <v>1</v>
      </c>
      <c r="AW5" s="73">
        <v>1</v>
      </c>
      <c r="AX5" s="73">
        <v>1</v>
      </c>
      <c r="AY5" s="73">
        <v>1</v>
      </c>
      <c r="AZ5" s="73">
        <v>1</v>
      </c>
      <c r="BA5" s="73">
        <v>1</v>
      </c>
      <c r="BB5" s="73">
        <v>1</v>
      </c>
      <c r="BC5" s="73">
        <v>1</v>
      </c>
      <c r="BD5" s="73">
        <v>1</v>
      </c>
      <c r="BE5" s="73">
        <v>1</v>
      </c>
      <c r="BF5" s="73">
        <v>1</v>
      </c>
      <c r="BG5" s="69" t="s">
        <v>55</v>
      </c>
      <c r="BH5" s="69" t="s">
        <v>55</v>
      </c>
      <c r="BI5" s="73">
        <v>1</v>
      </c>
      <c r="BJ5" s="73">
        <v>1</v>
      </c>
      <c r="BK5" s="73">
        <v>1</v>
      </c>
      <c r="BL5" s="73">
        <v>1</v>
      </c>
      <c r="BM5" s="73">
        <v>1</v>
      </c>
      <c r="BN5" s="73">
        <v>1</v>
      </c>
      <c r="BO5" s="73">
        <v>1</v>
      </c>
      <c r="BP5" s="73">
        <v>1</v>
      </c>
      <c r="BQ5" s="7">
        <f>BS5+BT5+BU5+BZ5+BX5+CC5</f>
        <v>31</v>
      </c>
      <c r="BR5" s="65">
        <v>0</v>
      </c>
      <c r="BS5" s="38">
        <f t="shared" ref="BS5" si="0">COUNT(E5:AH5)/2+COUNT(AK5:BP5)/2</f>
        <v>27</v>
      </c>
      <c r="BT5" s="39">
        <f t="shared" ref="BT5" si="1">COUNTIF(E5:BP5,"OFF")/2</f>
        <v>4</v>
      </c>
      <c r="BU5" s="39">
        <f t="shared" ref="BU5" si="2">COUNTIF(E5:BP5,"MC")/2</f>
        <v>0</v>
      </c>
      <c r="BV5" s="39">
        <f t="shared" ref="BV5" si="3">COUNTIF(E5:BP5,"EL")/2</f>
        <v>0</v>
      </c>
      <c r="BW5" s="39">
        <f t="shared" ref="BW5" si="4">COUNTIF(E5:BP5,"AL")/2</f>
        <v>0</v>
      </c>
      <c r="BX5" s="39">
        <f t="shared" ref="BX5" si="5">COUNTIF(E5:BP5,"SUS")/2</f>
        <v>0</v>
      </c>
      <c r="BY5" s="39">
        <f t="shared" ref="BY5" si="6">COUNTIF(E5:BP5,"FL")/2</f>
        <v>0</v>
      </c>
      <c r="BZ5" s="39">
        <f t="shared" ref="BZ5" si="7">COUNTIF(E5:BP5,"SICK")/2</f>
        <v>0</v>
      </c>
      <c r="CA5" s="39">
        <f t="shared" ref="CA5" si="8">COUNTIF(E5:BP5,"HD")/2</f>
        <v>0</v>
      </c>
      <c r="CB5" s="39">
        <f t="shared" ref="CB5" si="9">COUNTIF(E5:BP5,"AB")/2</f>
        <v>0</v>
      </c>
      <c r="CC5" s="39">
        <f t="shared" ref="CC5" si="10">COUNTIF(E5:BP5,"NL")/2</f>
        <v>0</v>
      </c>
      <c r="CD5" s="39">
        <f t="shared" ref="CD5" si="11">COUNTIF(E5:BP5,"SP")/2</f>
        <v>0</v>
      </c>
      <c r="CE5" s="40"/>
      <c r="CK5" s="37">
        <v>0</v>
      </c>
      <c r="CL5" s="33">
        <v>0</v>
      </c>
      <c r="CM5" s="33">
        <v>0</v>
      </c>
      <c r="CN5" s="33">
        <v>0</v>
      </c>
      <c r="CO5" s="33">
        <v>0</v>
      </c>
      <c r="CP5" s="33">
        <v>0</v>
      </c>
      <c r="CQ5" s="33">
        <v>0</v>
      </c>
      <c r="CR5" s="33">
        <v>0</v>
      </c>
      <c r="CS5" s="33">
        <v>0</v>
      </c>
      <c r="CT5" s="33">
        <v>0</v>
      </c>
      <c r="CU5" s="45">
        <f t="shared" ref="CU5:CU25" si="12">SUM(CK5:CT5)</f>
        <v>0</v>
      </c>
    </row>
    <row r="6" spans="1:99" ht="24.75" customHeight="1" x14ac:dyDescent="0.25">
      <c r="A6" s="33">
        <v>2</v>
      </c>
      <c r="B6" s="34" t="s">
        <v>15</v>
      </c>
      <c r="C6" s="35" t="s">
        <v>16</v>
      </c>
      <c r="D6" s="93"/>
      <c r="E6" s="74">
        <v>1</v>
      </c>
      <c r="F6" s="74">
        <v>1</v>
      </c>
      <c r="G6" s="74">
        <v>1</v>
      </c>
      <c r="H6" s="74">
        <v>1</v>
      </c>
      <c r="I6" s="74">
        <v>1</v>
      </c>
      <c r="J6" s="74">
        <v>1</v>
      </c>
      <c r="K6" s="74">
        <v>1</v>
      </c>
      <c r="L6" s="74">
        <v>1</v>
      </c>
      <c r="M6" s="74">
        <v>1</v>
      </c>
      <c r="N6" s="74">
        <v>1</v>
      </c>
      <c r="O6" s="69" t="s">
        <v>55</v>
      </c>
      <c r="P6" s="69" t="s">
        <v>55</v>
      </c>
      <c r="Q6" s="73">
        <v>1</v>
      </c>
      <c r="R6" s="73">
        <v>1</v>
      </c>
      <c r="S6" s="73">
        <v>1</v>
      </c>
      <c r="T6" s="73">
        <v>1</v>
      </c>
      <c r="U6" s="73">
        <v>1</v>
      </c>
      <c r="V6" s="73">
        <v>1</v>
      </c>
      <c r="W6" s="73">
        <v>1</v>
      </c>
      <c r="X6" s="73">
        <v>1</v>
      </c>
      <c r="Y6" s="73">
        <v>1</v>
      </c>
      <c r="Z6" s="73">
        <v>1</v>
      </c>
      <c r="AA6" s="73">
        <v>1</v>
      </c>
      <c r="AB6" s="73">
        <v>1</v>
      </c>
      <c r="AC6" s="69" t="s">
        <v>55</v>
      </c>
      <c r="AD6" s="69" t="s">
        <v>55</v>
      </c>
      <c r="AE6" s="73">
        <v>1</v>
      </c>
      <c r="AF6" s="73">
        <v>1</v>
      </c>
      <c r="AG6" s="73">
        <v>1</v>
      </c>
      <c r="AH6" s="73">
        <v>1</v>
      </c>
      <c r="AI6" s="121"/>
      <c r="AJ6" s="36">
        <v>2</v>
      </c>
      <c r="AK6" s="73">
        <v>1</v>
      </c>
      <c r="AL6" s="73">
        <v>1</v>
      </c>
      <c r="AM6" s="73">
        <v>1</v>
      </c>
      <c r="AN6" s="73">
        <v>1</v>
      </c>
      <c r="AO6" s="73">
        <v>1</v>
      </c>
      <c r="AP6" s="73">
        <v>1</v>
      </c>
      <c r="AQ6" s="73">
        <v>1</v>
      </c>
      <c r="AR6" s="73">
        <v>1</v>
      </c>
      <c r="AS6" s="69" t="s">
        <v>55</v>
      </c>
      <c r="AT6" s="69" t="s">
        <v>55</v>
      </c>
      <c r="AU6" s="74">
        <v>1</v>
      </c>
      <c r="AV6" s="74">
        <v>1</v>
      </c>
      <c r="AW6" s="74">
        <v>1</v>
      </c>
      <c r="AX6" s="74">
        <v>1</v>
      </c>
      <c r="AY6" s="74">
        <v>1</v>
      </c>
      <c r="AZ6" s="74">
        <v>1</v>
      </c>
      <c r="BA6" s="74">
        <v>1</v>
      </c>
      <c r="BB6" s="74">
        <v>1</v>
      </c>
      <c r="BC6" s="74">
        <v>1</v>
      </c>
      <c r="BD6" s="74">
        <v>1</v>
      </c>
      <c r="BE6" s="74">
        <v>1</v>
      </c>
      <c r="BF6" s="74">
        <v>1</v>
      </c>
      <c r="BG6" s="69" t="s">
        <v>55</v>
      </c>
      <c r="BH6" s="69" t="s">
        <v>55</v>
      </c>
      <c r="BI6" s="74">
        <v>1</v>
      </c>
      <c r="BJ6" s="74">
        <v>1</v>
      </c>
      <c r="BK6" s="74">
        <v>1</v>
      </c>
      <c r="BL6" s="74">
        <v>1</v>
      </c>
      <c r="BM6" s="74">
        <v>1</v>
      </c>
      <c r="BN6" s="74">
        <v>1</v>
      </c>
      <c r="BO6" s="74">
        <v>1</v>
      </c>
      <c r="BP6" s="74">
        <v>1</v>
      </c>
      <c r="BQ6" s="7">
        <f t="shared" ref="BQ6:BQ27" si="13">BS6+BT6+BU6+BZ6+BX6+CC6</f>
        <v>31</v>
      </c>
      <c r="BR6" s="65">
        <v>0</v>
      </c>
      <c r="BS6" s="38">
        <f t="shared" ref="BS6:BS27" si="14">COUNT(E6:AH6)/2+COUNT(AK6:BP6)/2</f>
        <v>27</v>
      </c>
      <c r="BT6" s="39">
        <f t="shared" ref="BT6:BT27" si="15">COUNTIF(E6:BP6,"OFF")/2</f>
        <v>4</v>
      </c>
      <c r="BU6" s="39">
        <f t="shared" ref="BU6:BU27" si="16">COUNTIF(E6:BP6,"MC")/2</f>
        <v>0</v>
      </c>
      <c r="BV6" s="39">
        <f t="shared" ref="BV6:BV27" si="17">COUNTIF(E6:BP6,"EL")/2</f>
        <v>0</v>
      </c>
      <c r="BW6" s="39">
        <f t="shared" ref="BW6:BW27" si="18">COUNTIF(E6:BP6,"AL")/2</f>
        <v>0</v>
      </c>
      <c r="BX6" s="39">
        <f t="shared" ref="BX6:BX27" si="19">COUNTIF(E6:BP6,"SUS")/2</f>
        <v>0</v>
      </c>
      <c r="BY6" s="39">
        <f t="shared" ref="BY6:BY27" si="20">COUNTIF(E6:BP6,"FL")/2</f>
        <v>0</v>
      </c>
      <c r="BZ6" s="39">
        <f t="shared" ref="BZ6:BZ27" si="21">COUNTIF(E6:BP6,"SICK")/2</f>
        <v>0</v>
      </c>
      <c r="CA6" s="39">
        <f t="shared" ref="CA6:CA27" si="22">COUNTIF(E6:BP6,"HD")/2</f>
        <v>0</v>
      </c>
      <c r="CB6" s="39">
        <f t="shared" ref="CB6:CB27" si="23">COUNTIF(E6:BP6,"AB")/2</f>
        <v>0</v>
      </c>
      <c r="CC6" s="39">
        <f t="shared" ref="CC6:CC27" si="24">COUNTIF(E6:BP6,"NL")/2</f>
        <v>0</v>
      </c>
      <c r="CD6" s="39">
        <f t="shared" ref="CD6:CD27" si="25">COUNTIF(E6:BP6,"SP")/2</f>
        <v>0</v>
      </c>
      <c r="CE6" s="40"/>
      <c r="CK6" s="37">
        <v>0</v>
      </c>
      <c r="CL6" s="33">
        <v>0</v>
      </c>
      <c r="CM6" s="33">
        <v>0</v>
      </c>
      <c r="CN6" s="33">
        <v>0</v>
      </c>
      <c r="CO6" s="33">
        <v>0</v>
      </c>
      <c r="CP6" s="33">
        <v>0</v>
      </c>
      <c r="CQ6" s="33">
        <v>0</v>
      </c>
      <c r="CR6" s="33">
        <v>0</v>
      </c>
      <c r="CS6" s="33">
        <v>0</v>
      </c>
      <c r="CT6" s="33">
        <v>0</v>
      </c>
      <c r="CU6" s="45">
        <f t="shared" si="12"/>
        <v>0</v>
      </c>
    </row>
    <row r="7" spans="1:99" ht="24.75" customHeight="1" x14ac:dyDescent="0.25">
      <c r="A7" s="33">
        <v>3</v>
      </c>
      <c r="B7" s="39" t="s">
        <v>17</v>
      </c>
      <c r="C7" s="35" t="s">
        <v>18</v>
      </c>
      <c r="D7" s="96">
        <v>35548</v>
      </c>
      <c r="E7" s="76">
        <v>0.34236111111111112</v>
      </c>
      <c r="F7" s="77">
        <v>1</v>
      </c>
      <c r="G7" s="76">
        <v>0.35902777777777778</v>
      </c>
      <c r="H7" s="77">
        <v>1</v>
      </c>
      <c r="I7" s="76">
        <v>0.33958333333333335</v>
      </c>
      <c r="J7" s="77">
        <v>1</v>
      </c>
      <c r="K7" s="76">
        <v>0.3444444444444445</v>
      </c>
      <c r="L7" s="77">
        <v>1</v>
      </c>
      <c r="M7" s="76">
        <v>0.33749999999999997</v>
      </c>
      <c r="N7" s="77">
        <v>1</v>
      </c>
      <c r="O7" s="78">
        <v>0.55833333333333335</v>
      </c>
      <c r="P7" s="79">
        <v>1</v>
      </c>
      <c r="Q7" s="76">
        <v>0.34722222222222227</v>
      </c>
      <c r="R7" s="76">
        <v>0.72777777777777775</v>
      </c>
      <c r="S7" s="76">
        <v>0.3347222222222222</v>
      </c>
      <c r="T7" s="77">
        <v>1</v>
      </c>
      <c r="U7" s="76">
        <v>0.35416666666666669</v>
      </c>
      <c r="V7" s="77">
        <v>1</v>
      </c>
      <c r="W7" s="76">
        <v>0.34236111111111112</v>
      </c>
      <c r="X7" s="77">
        <v>1</v>
      </c>
      <c r="Y7" s="77">
        <v>1</v>
      </c>
      <c r="Z7" s="77">
        <v>1</v>
      </c>
      <c r="AA7" s="76">
        <v>0.34375</v>
      </c>
      <c r="AB7" s="73">
        <v>1</v>
      </c>
      <c r="AC7" s="78">
        <v>0.55763888888888891</v>
      </c>
      <c r="AD7" s="81">
        <v>1</v>
      </c>
      <c r="AE7" s="76">
        <v>0.3354166666666667</v>
      </c>
      <c r="AF7" s="73">
        <v>1</v>
      </c>
      <c r="AG7" s="76">
        <v>0.34652777777777777</v>
      </c>
      <c r="AH7" s="73">
        <v>1</v>
      </c>
      <c r="AI7" s="121"/>
      <c r="AJ7" s="36">
        <v>3</v>
      </c>
      <c r="AK7" s="76">
        <v>0.34375</v>
      </c>
      <c r="AL7" s="76">
        <v>1</v>
      </c>
      <c r="AM7" s="76">
        <v>0.3430555555555555</v>
      </c>
      <c r="AN7" s="73">
        <v>1</v>
      </c>
      <c r="AO7" s="76">
        <v>0.35000000000000003</v>
      </c>
      <c r="AP7" s="73">
        <v>1</v>
      </c>
      <c r="AQ7" s="73">
        <v>1</v>
      </c>
      <c r="AR7" s="73">
        <v>1</v>
      </c>
      <c r="AS7" s="69" t="s">
        <v>55</v>
      </c>
      <c r="AT7" s="85" t="s">
        <v>55</v>
      </c>
      <c r="AU7" s="87">
        <v>0.32013888888888892</v>
      </c>
      <c r="AV7" s="74">
        <v>1</v>
      </c>
      <c r="AW7" s="87">
        <v>0.33124999999999999</v>
      </c>
      <c r="AX7" s="74">
        <v>1</v>
      </c>
      <c r="AY7" s="87">
        <v>0.33194444444444443</v>
      </c>
      <c r="AZ7" s="74">
        <v>1</v>
      </c>
      <c r="BA7" s="87">
        <v>0.32916666666666666</v>
      </c>
      <c r="BB7" s="74">
        <v>1</v>
      </c>
      <c r="BC7" s="87">
        <v>0.33055555555555555</v>
      </c>
      <c r="BD7" s="87">
        <v>0.73402777777777783</v>
      </c>
      <c r="BE7" s="87">
        <v>0.3347222222222222</v>
      </c>
      <c r="BF7" s="83">
        <v>1</v>
      </c>
      <c r="BG7" s="89">
        <v>0.55763888888888891</v>
      </c>
      <c r="BH7" s="90">
        <v>1</v>
      </c>
      <c r="BI7" s="87">
        <v>0.33263888888888887</v>
      </c>
      <c r="BJ7" s="87">
        <v>0.63472222222222219</v>
      </c>
      <c r="BK7" s="87">
        <v>0.38680555555555557</v>
      </c>
      <c r="BL7" s="83">
        <v>1</v>
      </c>
      <c r="BM7" s="83">
        <v>1</v>
      </c>
      <c r="BN7" s="83">
        <v>1</v>
      </c>
      <c r="BO7" s="87">
        <v>0.3298611111111111</v>
      </c>
      <c r="BP7" s="74">
        <v>1</v>
      </c>
      <c r="BQ7" s="7">
        <f t="shared" si="13"/>
        <v>31</v>
      </c>
      <c r="BR7" s="65">
        <v>3</v>
      </c>
      <c r="BS7" s="38">
        <f>COUNT(E7:AH7)/2+COUNT(AK7:BP7)/2</f>
        <v>30</v>
      </c>
      <c r="BT7" s="39">
        <f t="shared" si="15"/>
        <v>1</v>
      </c>
      <c r="BU7" s="39">
        <f t="shared" si="16"/>
        <v>0</v>
      </c>
      <c r="BV7" s="39">
        <f t="shared" si="17"/>
        <v>0</v>
      </c>
      <c r="BW7" s="39">
        <f t="shared" si="18"/>
        <v>0</v>
      </c>
      <c r="BX7" s="39">
        <f t="shared" si="19"/>
        <v>0</v>
      </c>
      <c r="BY7" s="39">
        <f t="shared" si="20"/>
        <v>0</v>
      </c>
      <c r="BZ7" s="39">
        <f t="shared" si="21"/>
        <v>0</v>
      </c>
      <c r="CA7" s="39">
        <f t="shared" si="22"/>
        <v>0</v>
      </c>
      <c r="CB7" s="39">
        <f t="shared" si="23"/>
        <v>0</v>
      </c>
      <c r="CC7" s="39">
        <f t="shared" si="24"/>
        <v>0</v>
      </c>
      <c r="CD7" s="39">
        <f t="shared" si="25"/>
        <v>0</v>
      </c>
      <c r="CE7" s="40"/>
      <c r="CK7" s="37">
        <v>0</v>
      </c>
      <c r="CL7" s="33">
        <v>0</v>
      </c>
      <c r="CM7" s="33">
        <v>13</v>
      </c>
      <c r="CN7" s="33">
        <v>0</v>
      </c>
      <c r="CO7" s="33">
        <v>0</v>
      </c>
      <c r="CP7" s="33">
        <v>0</v>
      </c>
      <c r="CQ7" s="33">
        <v>0</v>
      </c>
      <c r="CR7" s="33">
        <v>0</v>
      </c>
      <c r="CS7" s="33">
        <v>0</v>
      </c>
      <c r="CT7" s="33">
        <v>0</v>
      </c>
      <c r="CU7" s="44">
        <f t="shared" si="12"/>
        <v>13</v>
      </c>
    </row>
    <row r="8" spans="1:99" ht="24.75" customHeight="1" x14ac:dyDescent="0.25">
      <c r="A8" s="33">
        <v>4</v>
      </c>
      <c r="B8" s="39" t="s">
        <v>19</v>
      </c>
      <c r="C8" s="35" t="s">
        <v>20</v>
      </c>
      <c r="D8" s="97">
        <v>43952</v>
      </c>
      <c r="E8" s="75">
        <v>1</v>
      </c>
      <c r="F8" s="75">
        <v>1</v>
      </c>
      <c r="G8" s="75">
        <v>1</v>
      </c>
      <c r="H8" s="75">
        <v>1</v>
      </c>
      <c r="I8" s="75">
        <v>1</v>
      </c>
      <c r="J8" s="75">
        <v>1</v>
      </c>
      <c r="K8" s="75">
        <v>1</v>
      </c>
      <c r="L8" s="75">
        <v>1</v>
      </c>
      <c r="M8" s="75">
        <v>1</v>
      </c>
      <c r="N8" s="75">
        <v>1</v>
      </c>
      <c r="O8" s="69" t="s">
        <v>55</v>
      </c>
      <c r="P8" s="69" t="s">
        <v>55</v>
      </c>
      <c r="Q8" s="75">
        <v>1</v>
      </c>
      <c r="R8" s="75">
        <v>1</v>
      </c>
      <c r="S8" s="75">
        <v>1</v>
      </c>
      <c r="T8" s="75">
        <v>1</v>
      </c>
      <c r="U8" s="75">
        <v>1</v>
      </c>
      <c r="V8" s="75">
        <v>1</v>
      </c>
      <c r="W8" s="75">
        <v>1</v>
      </c>
      <c r="X8" s="75">
        <v>1</v>
      </c>
      <c r="Y8" s="75">
        <v>1</v>
      </c>
      <c r="Z8" s="75">
        <v>1</v>
      </c>
      <c r="AA8" s="75">
        <v>1</v>
      </c>
      <c r="AB8" s="75">
        <v>1</v>
      </c>
      <c r="AC8" s="69" t="s">
        <v>55</v>
      </c>
      <c r="AD8" s="69" t="s">
        <v>55</v>
      </c>
      <c r="AE8" s="73">
        <v>1</v>
      </c>
      <c r="AF8" s="73">
        <v>1</v>
      </c>
      <c r="AG8" s="73">
        <v>1</v>
      </c>
      <c r="AH8" s="73">
        <v>1</v>
      </c>
      <c r="AI8" s="121"/>
      <c r="AJ8" s="36">
        <v>4</v>
      </c>
      <c r="AK8" s="73">
        <v>1</v>
      </c>
      <c r="AL8" s="73">
        <v>1</v>
      </c>
      <c r="AM8" s="73">
        <v>1</v>
      </c>
      <c r="AN8" s="73">
        <v>1</v>
      </c>
      <c r="AO8" s="73">
        <v>1</v>
      </c>
      <c r="AP8" s="73">
        <v>1</v>
      </c>
      <c r="AQ8" s="73">
        <v>1</v>
      </c>
      <c r="AR8" s="73">
        <v>1</v>
      </c>
      <c r="AS8" s="69" t="s">
        <v>55</v>
      </c>
      <c r="AT8" s="85" t="s">
        <v>55</v>
      </c>
      <c r="AU8" s="83">
        <v>1</v>
      </c>
      <c r="AV8" s="83">
        <v>1</v>
      </c>
      <c r="AW8" s="83">
        <v>1</v>
      </c>
      <c r="AX8" s="83">
        <v>1</v>
      </c>
      <c r="AY8" s="83">
        <v>1</v>
      </c>
      <c r="AZ8" s="83">
        <v>1</v>
      </c>
      <c r="BA8" s="83">
        <v>1</v>
      </c>
      <c r="BB8" s="83">
        <v>1</v>
      </c>
      <c r="BC8" s="83">
        <v>1</v>
      </c>
      <c r="BD8" s="83">
        <v>1</v>
      </c>
      <c r="BE8" s="83">
        <v>1</v>
      </c>
      <c r="BF8" s="83">
        <v>1</v>
      </c>
      <c r="BG8" s="69" t="s">
        <v>55</v>
      </c>
      <c r="BH8" s="85" t="s">
        <v>55</v>
      </c>
      <c r="BI8" s="83">
        <v>1</v>
      </c>
      <c r="BJ8" s="83">
        <v>1</v>
      </c>
      <c r="BK8" s="83">
        <v>1</v>
      </c>
      <c r="BL8" s="83">
        <v>1</v>
      </c>
      <c r="BM8" s="83">
        <v>1</v>
      </c>
      <c r="BN8" s="83">
        <v>1</v>
      </c>
      <c r="BO8" s="83">
        <v>1</v>
      </c>
      <c r="BP8" s="83">
        <v>1</v>
      </c>
      <c r="BQ8" s="7">
        <f t="shared" si="13"/>
        <v>31</v>
      </c>
      <c r="BR8" s="65">
        <v>0</v>
      </c>
      <c r="BS8" s="38">
        <f t="shared" si="14"/>
        <v>27</v>
      </c>
      <c r="BT8" s="39">
        <f t="shared" si="15"/>
        <v>4</v>
      </c>
      <c r="BU8" s="39">
        <f t="shared" si="16"/>
        <v>0</v>
      </c>
      <c r="BV8" s="39">
        <f t="shared" si="17"/>
        <v>0</v>
      </c>
      <c r="BW8" s="39">
        <f t="shared" si="18"/>
        <v>0</v>
      </c>
      <c r="BX8" s="39">
        <f t="shared" si="19"/>
        <v>0</v>
      </c>
      <c r="BY8" s="39">
        <f t="shared" si="20"/>
        <v>0</v>
      </c>
      <c r="BZ8" s="39">
        <f t="shared" si="21"/>
        <v>0</v>
      </c>
      <c r="CA8" s="39">
        <f t="shared" si="22"/>
        <v>0</v>
      </c>
      <c r="CB8" s="39">
        <f t="shared" si="23"/>
        <v>0</v>
      </c>
      <c r="CC8" s="39">
        <f t="shared" si="24"/>
        <v>0</v>
      </c>
      <c r="CD8" s="39">
        <f t="shared" si="25"/>
        <v>0</v>
      </c>
      <c r="CE8" s="40"/>
      <c r="CK8" s="37">
        <v>0</v>
      </c>
      <c r="CL8" s="33">
        <v>0</v>
      </c>
      <c r="CM8" s="33">
        <v>33</v>
      </c>
      <c r="CN8" s="33">
        <v>0</v>
      </c>
      <c r="CO8" s="33">
        <v>0</v>
      </c>
      <c r="CP8" s="33">
        <v>0</v>
      </c>
      <c r="CQ8" s="33">
        <v>0</v>
      </c>
      <c r="CR8" s="33">
        <v>0</v>
      </c>
      <c r="CS8" s="33">
        <v>0</v>
      </c>
      <c r="CT8" s="33">
        <v>0</v>
      </c>
      <c r="CU8" s="44">
        <f t="shared" si="12"/>
        <v>33</v>
      </c>
    </row>
    <row r="9" spans="1:99" ht="24.75" customHeight="1" x14ac:dyDescent="0.25">
      <c r="A9" s="33">
        <v>5</v>
      </c>
      <c r="B9" s="41" t="s">
        <v>21</v>
      </c>
      <c r="C9" s="42" t="s">
        <v>22</v>
      </c>
      <c r="D9" s="98">
        <v>45600</v>
      </c>
      <c r="E9" s="74">
        <v>1</v>
      </c>
      <c r="F9" s="74">
        <v>1</v>
      </c>
      <c r="G9" s="74">
        <v>1</v>
      </c>
      <c r="H9" s="74">
        <v>1</v>
      </c>
      <c r="I9" s="74">
        <v>1</v>
      </c>
      <c r="J9" s="74">
        <v>1</v>
      </c>
      <c r="K9" s="74">
        <v>1</v>
      </c>
      <c r="L9" s="74">
        <v>1</v>
      </c>
      <c r="M9" s="74">
        <v>1</v>
      </c>
      <c r="N9" s="74">
        <v>1</v>
      </c>
      <c r="O9" s="69" t="s">
        <v>55</v>
      </c>
      <c r="P9" s="69" t="s">
        <v>55</v>
      </c>
      <c r="Q9" s="75">
        <v>1</v>
      </c>
      <c r="R9" s="75">
        <v>1</v>
      </c>
      <c r="S9" s="75">
        <v>1</v>
      </c>
      <c r="T9" s="75">
        <v>1</v>
      </c>
      <c r="U9" s="75">
        <v>1</v>
      </c>
      <c r="V9" s="75">
        <v>1</v>
      </c>
      <c r="W9" s="75">
        <v>1</v>
      </c>
      <c r="X9" s="75">
        <v>1</v>
      </c>
      <c r="Y9" s="75">
        <v>1</v>
      </c>
      <c r="Z9" s="75">
        <v>1</v>
      </c>
      <c r="AA9" s="75">
        <v>1</v>
      </c>
      <c r="AB9" s="75">
        <v>1</v>
      </c>
      <c r="AC9" s="69" t="s">
        <v>55</v>
      </c>
      <c r="AD9" s="69" t="s">
        <v>55</v>
      </c>
      <c r="AE9" s="73">
        <v>1</v>
      </c>
      <c r="AF9" s="73">
        <v>1</v>
      </c>
      <c r="AG9" s="73">
        <v>1</v>
      </c>
      <c r="AH9" s="73">
        <v>1</v>
      </c>
      <c r="AI9" s="121"/>
      <c r="AJ9" s="36">
        <v>5</v>
      </c>
      <c r="AK9" s="73" t="s">
        <v>58</v>
      </c>
      <c r="AL9" s="73" t="s">
        <v>58</v>
      </c>
      <c r="AM9" s="73" t="s">
        <v>58</v>
      </c>
      <c r="AN9" s="73" t="s">
        <v>58</v>
      </c>
      <c r="AO9" s="73" t="s">
        <v>58</v>
      </c>
      <c r="AP9" s="73" t="s">
        <v>58</v>
      </c>
      <c r="AQ9" s="73" t="s">
        <v>58</v>
      </c>
      <c r="AR9" s="73" t="s">
        <v>58</v>
      </c>
      <c r="AS9" s="73" t="s">
        <v>58</v>
      </c>
      <c r="AT9" s="73" t="s">
        <v>58</v>
      </c>
      <c r="AU9" s="73" t="s">
        <v>58</v>
      </c>
      <c r="AV9" s="73" t="s">
        <v>58</v>
      </c>
      <c r="AW9" s="73" t="s">
        <v>58</v>
      </c>
      <c r="AX9" s="73" t="s">
        <v>58</v>
      </c>
      <c r="AY9" s="73" t="s">
        <v>58</v>
      </c>
      <c r="AZ9" s="73" t="s">
        <v>58</v>
      </c>
      <c r="BA9" s="73" t="s">
        <v>58</v>
      </c>
      <c r="BB9" s="73" t="s">
        <v>58</v>
      </c>
      <c r="BC9" s="73" t="s">
        <v>58</v>
      </c>
      <c r="BD9" s="73" t="s">
        <v>58</v>
      </c>
      <c r="BE9" s="73" t="s">
        <v>58</v>
      </c>
      <c r="BF9" s="73" t="s">
        <v>58</v>
      </c>
      <c r="BG9" s="73" t="s">
        <v>58</v>
      </c>
      <c r="BH9" s="73" t="s">
        <v>58</v>
      </c>
      <c r="BI9" s="73" t="s">
        <v>58</v>
      </c>
      <c r="BJ9" s="73" t="s">
        <v>58</v>
      </c>
      <c r="BK9" s="73" t="s">
        <v>58</v>
      </c>
      <c r="BL9" s="73" t="s">
        <v>58</v>
      </c>
      <c r="BM9" s="73" t="s">
        <v>58</v>
      </c>
      <c r="BN9" s="73" t="s">
        <v>58</v>
      </c>
      <c r="BO9" s="83">
        <v>1</v>
      </c>
      <c r="BP9" s="83">
        <v>1</v>
      </c>
      <c r="BQ9" s="7">
        <f t="shared" si="13"/>
        <v>16</v>
      </c>
      <c r="BR9" s="65">
        <v>0</v>
      </c>
      <c r="BS9" s="38">
        <f t="shared" si="14"/>
        <v>14</v>
      </c>
      <c r="BT9" s="39">
        <f t="shared" si="15"/>
        <v>2</v>
      </c>
      <c r="BU9" s="39">
        <f t="shared" si="16"/>
        <v>0</v>
      </c>
      <c r="BV9" s="39">
        <f t="shared" si="17"/>
        <v>0</v>
      </c>
      <c r="BW9" s="39">
        <f t="shared" si="18"/>
        <v>15</v>
      </c>
      <c r="BX9" s="39">
        <f t="shared" si="19"/>
        <v>0</v>
      </c>
      <c r="BY9" s="39">
        <f t="shared" si="20"/>
        <v>0</v>
      </c>
      <c r="BZ9" s="39">
        <f t="shared" si="21"/>
        <v>0</v>
      </c>
      <c r="CA9" s="39">
        <f t="shared" si="22"/>
        <v>0</v>
      </c>
      <c r="CB9" s="39">
        <f t="shared" si="23"/>
        <v>0</v>
      </c>
      <c r="CC9" s="39">
        <f t="shared" si="24"/>
        <v>0</v>
      </c>
      <c r="CD9" s="39">
        <f t="shared" si="25"/>
        <v>0</v>
      </c>
      <c r="CE9" s="40"/>
      <c r="CK9" s="37">
        <v>0</v>
      </c>
      <c r="CL9" s="33">
        <v>0</v>
      </c>
      <c r="CM9" s="33">
        <v>0</v>
      </c>
      <c r="CN9" s="33">
        <v>0</v>
      </c>
      <c r="CO9" s="33">
        <v>0</v>
      </c>
      <c r="CP9" s="33">
        <v>0</v>
      </c>
      <c r="CQ9" s="33">
        <v>0</v>
      </c>
      <c r="CR9" s="33">
        <v>0</v>
      </c>
      <c r="CS9" s="33">
        <v>0</v>
      </c>
      <c r="CT9" s="33">
        <v>0</v>
      </c>
      <c r="CU9" s="44">
        <f t="shared" si="12"/>
        <v>0</v>
      </c>
    </row>
    <row r="10" spans="1:99" ht="24.75" customHeight="1" x14ac:dyDescent="0.25">
      <c r="A10" s="33">
        <v>6</v>
      </c>
      <c r="B10" s="39" t="s">
        <v>23</v>
      </c>
      <c r="C10" s="35" t="s">
        <v>24</v>
      </c>
      <c r="D10" s="96">
        <v>41326</v>
      </c>
      <c r="E10" s="76">
        <v>0.45</v>
      </c>
      <c r="F10" s="76">
        <v>0.7055555555555556</v>
      </c>
      <c r="G10" s="76">
        <v>0.4152777777777778</v>
      </c>
      <c r="H10" s="76">
        <v>0.72638888888888886</v>
      </c>
      <c r="I10" s="76">
        <v>0.42222222222222222</v>
      </c>
      <c r="J10" s="76">
        <v>0.71180555555555547</v>
      </c>
      <c r="K10" s="76">
        <v>0.41250000000000003</v>
      </c>
      <c r="L10" s="76">
        <v>0.72083333333333333</v>
      </c>
      <c r="M10" s="76">
        <v>0.39861111111111108</v>
      </c>
      <c r="N10" s="76">
        <v>0.70000000000000007</v>
      </c>
      <c r="O10" s="78">
        <v>0.45069444444444445</v>
      </c>
      <c r="P10" s="78">
        <v>0.72986111111111107</v>
      </c>
      <c r="Q10" s="76">
        <v>0.43402777777777773</v>
      </c>
      <c r="R10" s="76">
        <v>0.67986111111111114</v>
      </c>
      <c r="S10" s="76">
        <v>0.42569444444444443</v>
      </c>
      <c r="T10" s="76">
        <v>0.72986111111111107</v>
      </c>
      <c r="U10" s="76">
        <v>0.41180555555555554</v>
      </c>
      <c r="V10" s="76">
        <v>0.72152777777777777</v>
      </c>
      <c r="W10" s="76">
        <v>0.3923611111111111</v>
      </c>
      <c r="X10" s="75">
        <v>1</v>
      </c>
      <c r="Y10" s="76">
        <v>0.3923611111111111</v>
      </c>
      <c r="Z10" s="76">
        <v>0.70416666666666661</v>
      </c>
      <c r="AA10" s="76">
        <v>0.40416666666666662</v>
      </c>
      <c r="AB10" s="76">
        <v>0.7368055555555556</v>
      </c>
      <c r="AC10" s="69" t="s">
        <v>55</v>
      </c>
      <c r="AD10" s="69" t="s">
        <v>55</v>
      </c>
      <c r="AE10" s="76">
        <v>0.44027777777777777</v>
      </c>
      <c r="AF10" s="76">
        <v>0.73888888888888893</v>
      </c>
      <c r="AG10" s="76">
        <v>0.37638888888888888</v>
      </c>
      <c r="AH10" s="76">
        <v>0.72291666666666676</v>
      </c>
      <c r="AI10" s="121"/>
      <c r="AJ10" s="36">
        <v>6</v>
      </c>
      <c r="AK10" s="76">
        <v>0.40277777777777773</v>
      </c>
      <c r="AL10" s="76">
        <v>0.7284722222222223</v>
      </c>
      <c r="AM10" s="76">
        <v>0.4069444444444445</v>
      </c>
      <c r="AN10" s="76">
        <v>0.7368055555555556</v>
      </c>
      <c r="AO10" s="76">
        <v>0.37986111111111115</v>
      </c>
      <c r="AP10" s="76">
        <v>0.74791666666666667</v>
      </c>
      <c r="AQ10" s="76">
        <v>0.43055555555555558</v>
      </c>
      <c r="AR10" s="76">
        <v>0.72986111111111107</v>
      </c>
      <c r="AS10" s="69" t="s">
        <v>55</v>
      </c>
      <c r="AT10" s="85" t="s">
        <v>55</v>
      </c>
      <c r="AU10" s="87">
        <v>0.4826388888888889</v>
      </c>
      <c r="AV10" s="87">
        <v>0.72569444444444453</v>
      </c>
      <c r="AW10" s="87">
        <v>0.43541666666666662</v>
      </c>
      <c r="AX10" s="87">
        <v>0.73472222222222217</v>
      </c>
      <c r="AY10" s="87">
        <v>0.38819444444444445</v>
      </c>
      <c r="AZ10" s="87">
        <v>0.73333333333333339</v>
      </c>
      <c r="BA10" s="87">
        <v>0.40416666666666662</v>
      </c>
      <c r="BB10" s="87">
        <v>0.72777777777777775</v>
      </c>
      <c r="BC10" s="87">
        <v>0.38611111111111113</v>
      </c>
      <c r="BD10" s="87">
        <v>0.7402777777777777</v>
      </c>
      <c r="BE10" s="87">
        <v>0.38958333333333334</v>
      </c>
      <c r="BF10" s="87">
        <v>0.73888888888888893</v>
      </c>
      <c r="BG10" s="69" t="s">
        <v>55</v>
      </c>
      <c r="BH10" s="85" t="s">
        <v>55</v>
      </c>
      <c r="BI10" s="87">
        <v>0.49513888888888885</v>
      </c>
      <c r="BJ10" s="87">
        <v>0.72152777777777777</v>
      </c>
      <c r="BK10" s="87">
        <v>0.40416666666666662</v>
      </c>
      <c r="BL10" s="87">
        <v>0.74236111111111114</v>
      </c>
      <c r="BM10" s="87">
        <v>0.38958333333333334</v>
      </c>
      <c r="BN10" s="87">
        <v>0.77083333333333337</v>
      </c>
      <c r="BO10" s="87">
        <v>0.39027777777777778</v>
      </c>
      <c r="BP10" s="87">
        <v>0.71805555555555556</v>
      </c>
      <c r="BQ10" s="7">
        <f t="shared" si="13"/>
        <v>31</v>
      </c>
      <c r="BR10" s="65">
        <v>1</v>
      </c>
      <c r="BS10" s="38">
        <f t="shared" si="14"/>
        <v>28</v>
      </c>
      <c r="BT10" s="39">
        <f t="shared" si="15"/>
        <v>3</v>
      </c>
      <c r="BU10" s="39">
        <f t="shared" si="16"/>
        <v>0</v>
      </c>
      <c r="BV10" s="39">
        <f t="shared" si="17"/>
        <v>0</v>
      </c>
      <c r="BW10" s="39">
        <f t="shared" si="18"/>
        <v>0</v>
      </c>
      <c r="BX10" s="39">
        <f t="shared" si="19"/>
        <v>0</v>
      </c>
      <c r="BY10" s="39">
        <f t="shared" si="20"/>
        <v>0</v>
      </c>
      <c r="BZ10" s="39">
        <f t="shared" si="21"/>
        <v>0</v>
      </c>
      <c r="CA10" s="39">
        <f t="shared" si="22"/>
        <v>0</v>
      </c>
      <c r="CB10" s="39">
        <f t="shared" si="23"/>
        <v>0</v>
      </c>
      <c r="CC10" s="39">
        <f t="shared" si="24"/>
        <v>0</v>
      </c>
      <c r="CD10" s="39">
        <f t="shared" si="25"/>
        <v>0</v>
      </c>
      <c r="CE10" s="40"/>
      <c r="CK10" s="37">
        <v>0</v>
      </c>
      <c r="CL10" s="33">
        <v>0</v>
      </c>
      <c r="CM10" s="33">
        <v>18</v>
      </c>
      <c r="CN10" s="33">
        <v>0</v>
      </c>
      <c r="CO10" s="33">
        <v>0</v>
      </c>
      <c r="CP10" s="33">
        <v>8</v>
      </c>
      <c r="CQ10" s="33">
        <v>0</v>
      </c>
      <c r="CR10" s="33">
        <v>0</v>
      </c>
      <c r="CS10" s="33">
        <v>0</v>
      </c>
      <c r="CT10" s="33">
        <v>6</v>
      </c>
      <c r="CU10" s="44">
        <f t="shared" si="12"/>
        <v>32</v>
      </c>
    </row>
    <row r="11" spans="1:99" ht="24.75" customHeight="1" x14ac:dyDescent="0.25">
      <c r="A11" s="33">
        <v>7</v>
      </c>
      <c r="B11" s="39" t="s">
        <v>25</v>
      </c>
      <c r="C11" s="35" t="s">
        <v>26</v>
      </c>
      <c r="D11" s="96">
        <v>43591</v>
      </c>
      <c r="E11" s="76">
        <v>0.37638888888888888</v>
      </c>
      <c r="F11" s="76">
        <v>7.9861111111111105E-2</v>
      </c>
      <c r="G11" s="76">
        <v>0.37847222222222227</v>
      </c>
      <c r="H11" s="76">
        <v>9.1666666666666674E-2</v>
      </c>
      <c r="I11" s="76">
        <v>0.37777777777777777</v>
      </c>
      <c r="J11" s="76">
        <v>0.69930555555555562</v>
      </c>
      <c r="K11" s="76">
        <v>0.37291666666666662</v>
      </c>
      <c r="L11" s="76">
        <v>8.1250000000000003E-2</v>
      </c>
      <c r="M11" s="76">
        <v>0.3756944444444445</v>
      </c>
      <c r="N11" s="76">
        <v>6.8749999999999992E-2</v>
      </c>
      <c r="O11" s="78">
        <v>0.5756944444444444</v>
      </c>
      <c r="P11" s="78">
        <v>0.96527777777777779</v>
      </c>
      <c r="Q11" s="76">
        <v>0.37083333333333335</v>
      </c>
      <c r="R11" s="76">
        <v>6.1111111111111116E-2</v>
      </c>
      <c r="S11" s="76">
        <v>0.37708333333333338</v>
      </c>
      <c r="T11" s="76">
        <v>0.10277777777777779</v>
      </c>
      <c r="U11" s="76">
        <v>0.45069444444444445</v>
      </c>
      <c r="V11" s="76">
        <v>5.2083333333333336E-2</v>
      </c>
      <c r="W11" s="76">
        <v>0.43194444444444446</v>
      </c>
      <c r="X11" s="76">
        <v>6.25E-2</v>
      </c>
      <c r="Y11" s="76">
        <v>0.40069444444444446</v>
      </c>
      <c r="Z11" s="76">
        <v>0.7055555555555556</v>
      </c>
      <c r="AA11" s="76">
        <v>0.43124999999999997</v>
      </c>
      <c r="AB11" s="76">
        <v>4.2361111111111106E-2</v>
      </c>
      <c r="AC11" s="78">
        <v>0.58333333333333337</v>
      </c>
      <c r="AD11" s="78">
        <v>5.347222222222222E-2</v>
      </c>
      <c r="AE11" s="76">
        <v>0.4201388888888889</v>
      </c>
      <c r="AF11" s="76">
        <v>0.73472222222222217</v>
      </c>
      <c r="AG11" s="76">
        <v>0.41250000000000003</v>
      </c>
      <c r="AH11" s="76">
        <v>5.6944444444444443E-2</v>
      </c>
      <c r="AI11" s="121"/>
      <c r="AJ11" s="36">
        <v>7</v>
      </c>
      <c r="AK11" s="76">
        <v>0.40625</v>
      </c>
      <c r="AL11" s="76">
        <v>0.72430555555555554</v>
      </c>
      <c r="AM11" s="76">
        <v>0.42499999999999999</v>
      </c>
      <c r="AN11" s="76">
        <v>0.7402777777777777</v>
      </c>
      <c r="AO11" s="76">
        <v>0.40416666666666662</v>
      </c>
      <c r="AP11" s="76">
        <v>7.1527777777777787E-2</v>
      </c>
      <c r="AQ11" s="76">
        <v>0.39513888888888887</v>
      </c>
      <c r="AR11" s="76">
        <v>3.888888888888889E-2</v>
      </c>
      <c r="AS11" s="69" t="s">
        <v>55</v>
      </c>
      <c r="AT11" s="85" t="s">
        <v>55</v>
      </c>
      <c r="AU11" s="87">
        <v>0.37638888888888888</v>
      </c>
      <c r="AV11" s="87">
        <v>1.1805555555555555E-2</v>
      </c>
      <c r="AW11" s="87">
        <v>0.37083333333333335</v>
      </c>
      <c r="AX11" s="87">
        <v>6.2499999999999995E-3</v>
      </c>
      <c r="AY11" s="87">
        <v>0.38263888888888892</v>
      </c>
      <c r="AZ11" s="87">
        <v>0.73472222222222217</v>
      </c>
      <c r="BA11" s="87">
        <v>0.38194444444444442</v>
      </c>
      <c r="BB11" s="87">
        <v>4.9305555555555554E-2</v>
      </c>
      <c r="BC11" s="87">
        <v>0.39305555555555555</v>
      </c>
      <c r="BD11" s="87">
        <v>0.7368055555555556</v>
      </c>
      <c r="BE11" s="87">
        <v>0.38194444444444442</v>
      </c>
      <c r="BF11" s="87">
        <v>3.5416666666666666E-2</v>
      </c>
      <c r="BG11" s="69" t="s">
        <v>55</v>
      </c>
      <c r="BH11" s="85" t="s">
        <v>55</v>
      </c>
      <c r="BI11" s="87">
        <v>0.39027777777777778</v>
      </c>
      <c r="BJ11" s="87">
        <v>6.9444444444444447E-4</v>
      </c>
      <c r="BK11" s="87">
        <v>0.40763888888888888</v>
      </c>
      <c r="BL11" s="87">
        <v>0.60833333333333328</v>
      </c>
      <c r="BM11" s="87">
        <v>0.37222222222222223</v>
      </c>
      <c r="BN11" s="87">
        <v>0.99305555555555547</v>
      </c>
      <c r="BO11" s="87">
        <v>0.38125000000000003</v>
      </c>
      <c r="BP11" s="87">
        <v>0.99722222222222223</v>
      </c>
      <c r="BQ11" s="7">
        <f t="shared" si="13"/>
        <v>31</v>
      </c>
      <c r="BR11" s="65">
        <v>2</v>
      </c>
      <c r="BS11" s="38">
        <f>COUNT(E11:AH11)/2+COUNT(AK11:BP11)/2</f>
        <v>29</v>
      </c>
      <c r="BT11" s="39">
        <f t="shared" si="15"/>
        <v>2</v>
      </c>
      <c r="BU11" s="39">
        <f t="shared" si="16"/>
        <v>0</v>
      </c>
      <c r="BV11" s="39">
        <f t="shared" si="17"/>
        <v>0</v>
      </c>
      <c r="BW11" s="39">
        <f t="shared" si="18"/>
        <v>0</v>
      </c>
      <c r="BX11" s="39">
        <f t="shared" si="19"/>
        <v>0</v>
      </c>
      <c r="BY11" s="39">
        <f t="shared" si="20"/>
        <v>0</v>
      </c>
      <c r="BZ11" s="39">
        <f t="shared" si="21"/>
        <v>0</v>
      </c>
      <c r="CA11" s="39">
        <f t="shared" si="22"/>
        <v>0</v>
      </c>
      <c r="CB11" s="39">
        <f t="shared" si="23"/>
        <v>0</v>
      </c>
      <c r="CC11" s="39">
        <f t="shared" si="24"/>
        <v>0</v>
      </c>
      <c r="CD11" s="39">
        <f t="shared" si="25"/>
        <v>0</v>
      </c>
      <c r="CE11" s="40"/>
      <c r="CK11" s="37">
        <v>0</v>
      </c>
      <c r="CL11" s="33">
        <v>0</v>
      </c>
      <c r="CM11" s="33">
        <v>27</v>
      </c>
      <c r="CN11" s="33">
        <v>0</v>
      </c>
      <c r="CO11" s="33">
        <v>0</v>
      </c>
      <c r="CP11" s="33">
        <v>5</v>
      </c>
      <c r="CQ11" s="33">
        <v>0</v>
      </c>
      <c r="CR11" s="33">
        <v>0</v>
      </c>
      <c r="CS11" s="33">
        <v>0</v>
      </c>
      <c r="CT11" s="33">
        <v>0</v>
      </c>
      <c r="CU11" s="44">
        <f t="shared" si="12"/>
        <v>32</v>
      </c>
    </row>
    <row r="12" spans="1:99" ht="24.75" customHeight="1" x14ac:dyDescent="0.25">
      <c r="A12" s="33">
        <v>8</v>
      </c>
      <c r="B12" s="39" t="s">
        <v>27</v>
      </c>
      <c r="C12" s="35" t="s">
        <v>28</v>
      </c>
      <c r="D12" s="96">
        <v>44531</v>
      </c>
      <c r="E12" s="73">
        <v>1</v>
      </c>
      <c r="F12" s="73">
        <v>1</v>
      </c>
      <c r="G12" s="73">
        <v>1</v>
      </c>
      <c r="H12" s="73">
        <v>1</v>
      </c>
      <c r="I12" s="73">
        <v>1</v>
      </c>
      <c r="J12" s="73">
        <v>1</v>
      </c>
      <c r="K12" s="73">
        <v>1</v>
      </c>
      <c r="L12" s="73">
        <v>1</v>
      </c>
      <c r="M12" s="73">
        <v>1</v>
      </c>
      <c r="N12" s="73">
        <v>1</v>
      </c>
      <c r="O12" s="69" t="s">
        <v>55</v>
      </c>
      <c r="P12" s="69" t="s">
        <v>55</v>
      </c>
      <c r="Q12" s="73">
        <v>1</v>
      </c>
      <c r="R12" s="73">
        <v>1</v>
      </c>
      <c r="S12" s="73">
        <v>1</v>
      </c>
      <c r="T12" s="73">
        <v>1</v>
      </c>
      <c r="U12" s="73">
        <v>1</v>
      </c>
      <c r="V12" s="73">
        <v>1</v>
      </c>
      <c r="W12" s="73">
        <v>1</v>
      </c>
      <c r="X12" s="73">
        <v>1</v>
      </c>
      <c r="Y12" s="73">
        <v>1</v>
      </c>
      <c r="Z12" s="73">
        <v>1</v>
      </c>
      <c r="AA12" s="73">
        <v>1</v>
      </c>
      <c r="AB12" s="73">
        <v>1</v>
      </c>
      <c r="AC12" s="69" t="s">
        <v>55</v>
      </c>
      <c r="AD12" s="69" t="s">
        <v>55</v>
      </c>
      <c r="AE12" s="75">
        <v>1</v>
      </c>
      <c r="AF12" s="75">
        <v>1</v>
      </c>
      <c r="AG12" s="75">
        <v>1</v>
      </c>
      <c r="AH12" s="75">
        <v>1</v>
      </c>
      <c r="AI12" s="121"/>
      <c r="AJ12" s="36">
        <v>8</v>
      </c>
      <c r="AK12" s="75">
        <v>1</v>
      </c>
      <c r="AL12" s="75">
        <v>1</v>
      </c>
      <c r="AM12" s="75">
        <v>1</v>
      </c>
      <c r="AN12" s="75">
        <v>1</v>
      </c>
      <c r="AO12" s="75">
        <v>1</v>
      </c>
      <c r="AP12" s="75">
        <v>1</v>
      </c>
      <c r="AQ12" s="75">
        <v>1</v>
      </c>
      <c r="AR12" s="75">
        <v>1</v>
      </c>
      <c r="AS12" s="69" t="s">
        <v>55</v>
      </c>
      <c r="AT12" s="85" t="s">
        <v>55</v>
      </c>
      <c r="AU12" s="83">
        <v>1</v>
      </c>
      <c r="AV12" s="83">
        <v>1</v>
      </c>
      <c r="AW12" s="83">
        <v>1</v>
      </c>
      <c r="AX12" s="83">
        <v>1</v>
      </c>
      <c r="AY12" s="83">
        <v>1</v>
      </c>
      <c r="AZ12" s="83">
        <v>1</v>
      </c>
      <c r="BA12" s="83">
        <v>1</v>
      </c>
      <c r="BB12" s="83">
        <v>1</v>
      </c>
      <c r="BC12" s="83">
        <v>1</v>
      </c>
      <c r="BD12" s="83">
        <v>1</v>
      </c>
      <c r="BE12" s="83">
        <v>1</v>
      </c>
      <c r="BF12" s="83">
        <v>1</v>
      </c>
      <c r="BG12" s="69" t="s">
        <v>55</v>
      </c>
      <c r="BH12" s="85" t="s">
        <v>55</v>
      </c>
      <c r="BI12" s="83">
        <v>1</v>
      </c>
      <c r="BJ12" s="83">
        <v>1</v>
      </c>
      <c r="BK12" s="83">
        <v>1</v>
      </c>
      <c r="BL12" s="83">
        <v>1</v>
      </c>
      <c r="BM12" s="83">
        <v>1</v>
      </c>
      <c r="BN12" s="83">
        <v>1</v>
      </c>
      <c r="BO12" s="83">
        <v>1</v>
      </c>
      <c r="BP12" s="83">
        <v>1</v>
      </c>
      <c r="BQ12" s="7">
        <f t="shared" si="13"/>
        <v>31</v>
      </c>
      <c r="BR12" s="65">
        <v>0</v>
      </c>
      <c r="BS12" s="38">
        <f t="shared" si="14"/>
        <v>27</v>
      </c>
      <c r="BT12" s="39">
        <f t="shared" si="15"/>
        <v>4</v>
      </c>
      <c r="BU12" s="39">
        <f t="shared" si="16"/>
        <v>0</v>
      </c>
      <c r="BV12" s="39">
        <f t="shared" si="17"/>
        <v>0</v>
      </c>
      <c r="BW12" s="39">
        <f t="shared" si="18"/>
        <v>0</v>
      </c>
      <c r="BX12" s="39">
        <f t="shared" si="19"/>
        <v>0</v>
      </c>
      <c r="BY12" s="39">
        <f t="shared" si="20"/>
        <v>0</v>
      </c>
      <c r="BZ12" s="39">
        <f t="shared" si="21"/>
        <v>0</v>
      </c>
      <c r="CA12" s="39">
        <f t="shared" si="22"/>
        <v>0</v>
      </c>
      <c r="CB12" s="39">
        <f t="shared" si="23"/>
        <v>0</v>
      </c>
      <c r="CC12" s="39">
        <f t="shared" si="24"/>
        <v>0</v>
      </c>
      <c r="CD12" s="39">
        <f t="shared" si="25"/>
        <v>0</v>
      </c>
      <c r="CE12" s="40"/>
      <c r="CK12" s="37">
        <v>0</v>
      </c>
      <c r="CL12" s="33">
        <v>0</v>
      </c>
      <c r="CM12" s="33">
        <v>17</v>
      </c>
      <c r="CN12" s="33">
        <v>0</v>
      </c>
      <c r="CO12" s="33">
        <v>0</v>
      </c>
      <c r="CP12" s="33">
        <v>0</v>
      </c>
      <c r="CQ12" s="33">
        <v>0</v>
      </c>
      <c r="CR12" s="33">
        <v>0</v>
      </c>
      <c r="CS12" s="33">
        <v>0</v>
      </c>
      <c r="CT12" s="33">
        <v>0</v>
      </c>
      <c r="CU12" s="44">
        <f t="shared" si="12"/>
        <v>17</v>
      </c>
    </row>
    <row r="13" spans="1:99" ht="24.75" customHeight="1" x14ac:dyDescent="0.25">
      <c r="A13" s="33">
        <v>9</v>
      </c>
      <c r="B13" s="39" t="s">
        <v>29</v>
      </c>
      <c r="C13" s="35" t="s">
        <v>30</v>
      </c>
      <c r="D13" s="96">
        <v>43542</v>
      </c>
      <c r="E13" s="76">
        <v>0.36458333333333331</v>
      </c>
      <c r="F13" s="76">
        <v>0.85138888888888886</v>
      </c>
      <c r="G13" s="76">
        <v>0.3611111111111111</v>
      </c>
      <c r="H13" s="76">
        <v>0.85138888888888886</v>
      </c>
      <c r="I13" s="76">
        <v>0.72013888888888899</v>
      </c>
      <c r="J13" s="76">
        <v>3.472222222222222E-3</v>
      </c>
      <c r="K13" s="76">
        <v>0.36319444444444443</v>
      </c>
      <c r="L13" s="76">
        <v>0.85</v>
      </c>
      <c r="M13" s="76">
        <v>0.35833333333333334</v>
      </c>
      <c r="N13" s="76">
        <v>6.9444444444444441E-3</v>
      </c>
      <c r="O13" s="78">
        <v>0.57222222222222219</v>
      </c>
      <c r="P13" s="78">
        <v>5.5555555555555558E-3</v>
      </c>
      <c r="Q13" s="76">
        <v>0.36319444444444443</v>
      </c>
      <c r="R13" s="76">
        <v>2.7777777777777779E-3</v>
      </c>
      <c r="S13" s="76">
        <v>0.36180555555555555</v>
      </c>
      <c r="T13" s="76">
        <v>9.7222222222222224E-3</v>
      </c>
      <c r="U13" s="76">
        <v>0.3576388888888889</v>
      </c>
      <c r="V13" s="76">
        <v>5.5555555555555558E-3</v>
      </c>
      <c r="W13" s="76">
        <v>0.36458333333333331</v>
      </c>
      <c r="X13" s="76">
        <v>0.99930555555555556</v>
      </c>
      <c r="Y13" s="76">
        <v>0.36180555555555555</v>
      </c>
      <c r="Z13" s="76">
        <v>0.99930555555555556</v>
      </c>
      <c r="AA13" s="76">
        <v>0.36180555555555555</v>
      </c>
      <c r="AB13" s="76">
        <v>3.472222222222222E-3</v>
      </c>
      <c r="AC13" s="78">
        <v>0.57152777777777775</v>
      </c>
      <c r="AD13" s="78">
        <v>0.99722222222222223</v>
      </c>
      <c r="AE13" s="76">
        <v>0.36319444444444443</v>
      </c>
      <c r="AF13" s="76">
        <v>1.3888888888888889E-3</v>
      </c>
      <c r="AG13" s="76">
        <v>0.36458333333333331</v>
      </c>
      <c r="AH13" s="76">
        <v>0</v>
      </c>
      <c r="AI13" s="121"/>
      <c r="AJ13" s="36">
        <v>9</v>
      </c>
      <c r="AK13" s="76">
        <v>0.36388888888888887</v>
      </c>
      <c r="AL13" s="76">
        <v>0.99861111111111101</v>
      </c>
      <c r="AM13" s="76">
        <v>0.36458333333333331</v>
      </c>
      <c r="AN13" s="76">
        <v>4.8611111111111112E-3</v>
      </c>
      <c r="AO13" s="76">
        <v>0.35902777777777778</v>
      </c>
      <c r="AP13" s="76">
        <v>0.84930555555555554</v>
      </c>
      <c r="AQ13" s="76">
        <v>0.36388888888888887</v>
      </c>
      <c r="AR13" s="76">
        <v>9.7222222222222224E-3</v>
      </c>
      <c r="AS13" s="69" t="s">
        <v>55</v>
      </c>
      <c r="AT13" s="85" t="s">
        <v>55</v>
      </c>
      <c r="AU13" s="87">
        <v>0.34236111111111112</v>
      </c>
      <c r="AV13" s="87">
        <v>0.97291666666666676</v>
      </c>
      <c r="AW13" s="87">
        <v>0.33958333333333335</v>
      </c>
      <c r="AX13" s="87">
        <v>0.97361111111111109</v>
      </c>
      <c r="AY13" s="87">
        <v>0.3444444444444445</v>
      </c>
      <c r="AZ13" s="87">
        <v>0.97430555555555554</v>
      </c>
      <c r="BA13" s="87">
        <v>0.34236111111111112</v>
      </c>
      <c r="BB13" s="87">
        <v>0.97222222222222221</v>
      </c>
      <c r="BC13" s="87">
        <v>0.33958333333333335</v>
      </c>
      <c r="BD13" s="87">
        <v>0.97499999999999998</v>
      </c>
      <c r="BE13" s="87">
        <v>0.33958333333333335</v>
      </c>
      <c r="BF13" s="83">
        <v>1</v>
      </c>
      <c r="BG13" s="69" t="s">
        <v>55</v>
      </c>
      <c r="BH13" s="85" t="s">
        <v>55</v>
      </c>
      <c r="BI13" s="87">
        <v>0.3430555555555555</v>
      </c>
      <c r="BJ13" s="87">
        <v>0.97013888888888899</v>
      </c>
      <c r="BK13" s="87">
        <v>0.34513888888888888</v>
      </c>
      <c r="BL13" s="83">
        <v>1</v>
      </c>
      <c r="BM13" s="87">
        <v>0.3430555555555555</v>
      </c>
      <c r="BN13" s="83">
        <v>1</v>
      </c>
      <c r="BO13" s="87">
        <v>0.34375</v>
      </c>
      <c r="BP13" s="87">
        <v>0.95138888888888884</v>
      </c>
      <c r="BQ13" s="7">
        <f t="shared" si="13"/>
        <v>31</v>
      </c>
      <c r="BR13" s="65">
        <v>2</v>
      </c>
      <c r="BS13" s="38">
        <f t="shared" si="14"/>
        <v>29</v>
      </c>
      <c r="BT13" s="39">
        <f t="shared" si="15"/>
        <v>2</v>
      </c>
      <c r="BU13" s="39">
        <f t="shared" si="16"/>
        <v>0</v>
      </c>
      <c r="BV13" s="39">
        <f t="shared" si="17"/>
        <v>0</v>
      </c>
      <c r="BW13" s="39">
        <f t="shared" si="18"/>
        <v>0</v>
      </c>
      <c r="BX13" s="39">
        <f t="shared" si="19"/>
        <v>0</v>
      </c>
      <c r="BY13" s="39">
        <f t="shared" si="20"/>
        <v>0</v>
      </c>
      <c r="BZ13" s="39">
        <f t="shared" si="21"/>
        <v>0</v>
      </c>
      <c r="CA13" s="39">
        <f t="shared" si="22"/>
        <v>0</v>
      </c>
      <c r="CB13" s="39">
        <f t="shared" si="23"/>
        <v>0</v>
      </c>
      <c r="CC13" s="39">
        <f t="shared" si="24"/>
        <v>0</v>
      </c>
      <c r="CD13" s="39">
        <f t="shared" si="25"/>
        <v>0</v>
      </c>
      <c r="CE13" s="40"/>
      <c r="CK13" s="37">
        <v>0</v>
      </c>
      <c r="CL13" s="33">
        <v>0</v>
      </c>
      <c r="CM13" s="33">
        <v>20</v>
      </c>
      <c r="CN13" s="33">
        <v>0</v>
      </c>
      <c r="CO13" s="33">
        <v>0</v>
      </c>
      <c r="CP13" s="33">
        <v>2</v>
      </c>
      <c r="CQ13" s="33">
        <v>0</v>
      </c>
      <c r="CR13" s="33">
        <v>0</v>
      </c>
      <c r="CS13" s="33">
        <v>0</v>
      </c>
      <c r="CT13" s="33">
        <v>0</v>
      </c>
      <c r="CU13" s="44">
        <f t="shared" si="12"/>
        <v>22</v>
      </c>
    </row>
    <row r="14" spans="1:99" ht="24.75" customHeight="1" x14ac:dyDescent="0.25">
      <c r="A14" s="33">
        <v>10</v>
      </c>
      <c r="B14" s="39" t="s">
        <v>31</v>
      </c>
      <c r="C14" s="35" t="s">
        <v>32</v>
      </c>
      <c r="D14" s="96">
        <v>41888</v>
      </c>
      <c r="E14" s="77" t="s">
        <v>63</v>
      </c>
      <c r="F14" s="77" t="s">
        <v>63</v>
      </c>
      <c r="G14" s="76">
        <v>0.38541666666666669</v>
      </c>
      <c r="H14" s="76">
        <v>0.70763888888888893</v>
      </c>
      <c r="I14" s="76">
        <v>0.37708333333333338</v>
      </c>
      <c r="J14" s="76">
        <v>0.70763888888888893</v>
      </c>
      <c r="K14" s="76">
        <v>0.375</v>
      </c>
      <c r="L14" s="76">
        <v>0.50277777777777777</v>
      </c>
      <c r="M14" s="76">
        <v>0.37638888888888888</v>
      </c>
      <c r="N14" s="76">
        <v>0.6645833333333333</v>
      </c>
      <c r="O14" s="78">
        <v>0.5854166666666667</v>
      </c>
      <c r="P14" s="78">
        <v>0.98819444444444438</v>
      </c>
      <c r="Q14" s="76">
        <v>0.54027777777777775</v>
      </c>
      <c r="R14" s="76">
        <v>0.98958333333333337</v>
      </c>
      <c r="S14" s="76">
        <v>0.55625000000000002</v>
      </c>
      <c r="T14" s="76">
        <v>0.98958333333333337</v>
      </c>
      <c r="U14" s="76">
        <v>0.54236111111111118</v>
      </c>
      <c r="V14" s="76">
        <v>0.99583333333333324</v>
      </c>
      <c r="W14" s="76">
        <v>0.54305555555555551</v>
      </c>
      <c r="X14" s="76">
        <v>0.99305555555555547</v>
      </c>
      <c r="Y14" s="76">
        <v>0.54097222222222219</v>
      </c>
      <c r="Z14" s="76">
        <v>0.9916666666666667</v>
      </c>
      <c r="AA14" s="76">
        <v>0.55277777777777781</v>
      </c>
      <c r="AB14" s="76">
        <v>0.99236111111111114</v>
      </c>
      <c r="AC14" s="78">
        <v>0.58472222222222225</v>
      </c>
      <c r="AD14" s="78">
        <v>0.9868055555555556</v>
      </c>
      <c r="AE14" s="76">
        <v>0.37638888888888888</v>
      </c>
      <c r="AF14" s="76">
        <v>0.70277777777777783</v>
      </c>
      <c r="AG14" s="76">
        <v>0.37986111111111115</v>
      </c>
      <c r="AH14" s="76">
        <v>0.56180555555555556</v>
      </c>
      <c r="AI14" s="121"/>
      <c r="AJ14" s="36">
        <v>10</v>
      </c>
      <c r="AK14" s="76" t="s">
        <v>105</v>
      </c>
      <c r="AL14" s="76" t="s">
        <v>105</v>
      </c>
      <c r="AM14" s="76">
        <v>0.37986111111111115</v>
      </c>
      <c r="AN14" s="76">
        <v>0.70277777777777783</v>
      </c>
      <c r="AO14" s="76">
        <v>0.38055555555555554</v>
      </c>
      <c r="AP14" s="76">
        <v>0.70277777777777783</v>
      </c>
      <c r="AQ14" s="76">
        <v>0.38055555555555554</v>
      </c>
      <c r="AR14" s="76">
        <v>0.70416666666666661</v>
      </c>
      <c r="AS14" s="69" t="s">
        <v>55</v>
      </c>
      <c r="AT14" s="85" t="s">
        <v>55</v>
      </c>
      <c r="AU14" s="87">
        <v>0.6479166666666667</v>
      </c>
      <c r="AV14" s="87">
        <v>0.97083333333333333</v>
      </c>
      <c r="AW14" s="87">
        <v>0.64652777777777781</v>
      </c>
      <c r="AX14" s="87">
        <v>0.96944444444444444</v>
      </c>
      <c r="AY14" s="87">
        <v>0.65208333333333335</v>
      </c>
      <c r="AZ14" s="87">
        <v>0.96736111111111101</v>
      </c>
      <c r="BA14" s="87">
        <v>0.63888888888888895</v>
      </c>
      <c r="BB14" s="87">
        <v>0.97083333333333333</v>
      </c>
      <c r="BC14" s="87">
        <v>0.64722222222222225</v>
      </c>
      <c r="BD14" s="87">
        <v>0.96666666666666667</v>
      </c>
      <c r="BE14" s="87">
        <v>0.6479166666666667</v>
      </c>
      <c r="BF14" s="87">
        <v>0.96944444444444444</v>
      </c>
      <c r="BG14" s="89">
        <v>0.58194444444444449</v>
      </c>
      <c r="BH14" s="89">
        <v>0.9277777777777777</v>
      </c>
      <c r="BI14" s="87">
        <v>0.35486111111111113</v>
      </c>
      <c r="BJ14" s="87">
        <v>0.64652777777777781</v>
      </c>
      <c r="BK14" s="87">
        <v>0.35902777777777778</v>
      </c>
      <c r="BL14" s="87">
        <v>0.6479166666666667</v>
      </c>
      <c r="BM14" s="87">
        <v>0.36319444444444443</v>
      </c>
      <c r="BN14" s="87">
        <v>0.64722222222222225</v>
      </c>
      <c r="BO14" s="87">
        <v>0.3576388888888889</v>
      </c>
      <c r="BP14" s="87">
        <v>0.64861111111111114</v>
      </c>
      <c r="BQ14" s="7">
        <f t="shared" si="13"/>
        <v>30</v>
      </c>
      <c r="BR14" s="65">
        <v>3</v>
      </c>
      <c r="BS14" s="38">
        <f>COUNT(E14:AH14)/2+COUNT(AK14:BP14)/2</f>
        <v>28</v>
      </c>
      <c r="BT14" s="39">
        <f>COUNTIF(E14:BP14,"OFF")/2</f>
        <v>1</v>
      </c>
      <c r="BU14" s="39">
        <f>COUNTIF(E14:BP14,"MC")/2</f>
        <v>0</v>
      </c>
      <c r="BV14" s="39">
        <f>COUNTIF(E14:BP14,"EL")/2</f>
        <v>0</v>
      </c>
      <c r="BW14" s="39">
        <f>COUNTIF(E14:BP14,"AL")/2</f>
        <v>0</v>
      </c>
      <c r="BX14" s="39">
        <f>COUNTIF(E14:BP14,"SUS")/2</f>
        <v>0</v>
      </c>
      <c r="BY14" s="39">
        <f>COUNTIF(E14:BP14,"FL")/2</f>
        <v>0</v>
      </c>
      <c r="BZ14" s="39">
        <f>COUNTIF(E14:BP14,"SICK")/2</f>
        <v>1</v>
      </c>
      <c r="CA14" s="39">
        <f>COUNTIF(E14:BP14,"HD")/2</f>
        <v>0</v>
      </c>
      <c r="CB14" s="39">
        <f>COUNTIF(E14:BP14,"AB")/2</f>
        <v>1</v>
      </c>
      <c r="CC14" s="39">
        <f>COUNTIF(E14:BP14,"NL")/2</f>
        <v>0</v>
      </c>
      <c r="CD14" s="39">
        <f>COUNTIF(E14:BP14,"SP")/2</f>
        <v>0</v>
      </c>
      <c r="CE14" s="40"/>
      <c r="CK14" s="37">
        <v>2</v>
      </c>
      <c r="CL14" s="33">
        <v>1</v>
      </c>
      <c r="CM14" s="66">
        <v>30</v>
      </c>
      <c r="CN14" s="33">
        <v>0</v>
      </c>
      <c r="CO14" s="33">
        <v>0</v>
      </c>
      <c r="CP14" s="33">
        <v>8</v>
      </c>
      <c r="CQ14" s="33">
        <v>0</v>
      </c>
      <c r="CR14" s="33">
        <v>1</v>
      </c>
      <c r="CS14" s="33">
        <v>30</v>
      </c>
      <c r="CT14" s="33">
        <v>0</v>
      </c>
      <c r="CU14" s="44">
        <f t="shared" si="12"/>
        <v>72</v>
      </c>
    </row>
    <row r="15" spans="1:99" ht="24.75" customHeight="1" x14ac:dyDescent="0.25">
      <c r="A15" s="33">
        <v>11</v>
      </c>
      <c r="B15" s="39" t="s">
        <v>33</v>
      </c>
      <c r="C15" s="35" t="s">
        <v>34</v>
      </c>
      <c r="D15" s="96">
        <v>44513</v>
      </c>
      <c r="E15" s="76">
        <v>0.37222222222222223</v>
      </c>
      <c r="F15" s="76">
        <v>8.3333333333333332E-3</v>
      </c>
      <c r="G15" s="76">
        <v>0.37361111111111112</v>
      </c>
      <c r="H15" s="76">
        <v>2.1527777777777781E-2</v>
      </c>
      <c r="I15" s="76">
        <v>0.3756944444444445</v>
      </c>
      <c r="J15" s="76">
        <v>8.3333333333333332E-3</v>
      </c>
      <c r="K15" s="76">
        <v>0.3743055555555555</v>
      </c>
      <c r="L15" s="76">
        <v>9.0277777777777787E-3</v>
      </c>
      <c r="M15" s="76">
        <v>0.375</v>
      </c>
      <c r="N15" s="76">
        <v>2.361111111111111E-2</v>
      </c>
      <c r="O15" s="78">
        <v>0.58194444444444449</v>
      </c>
      <c r="P15" s="78">
        <v>1.3888888888888888E-2</v>
      </c>
      <c r="Q15" s="76">
        <v>0.38958333333333334</v>
      </c>
      <c r="R15" s="76">
        <v>2.6388888888888889E-2</v>
      </c>
      <c r="S15" s="76">
        <v>0.37013888888888885</v>
      </c>
      <c r="T15" s="76">
        <v>2.0833333333333332E-2</v>
      </c>
      <c r="U15" s="76">
        <v>0.37083333333333335</v>
      </c>
      <c r="V15" s="76">
        <v>2.361111111111111E-2</v>
      </c>
      <c r="W15" s="76" t="s">
        <v>63</v>
      </c>
      <c r="X15" s="76" t="s">
        <v>63</v>
      </c>
      <c r="Y15" s="76">
        <v>0.37291666666666662</v>
      </c>
      <c r="Z15" s="76">
        <v>1.2499999999999999E-2</v>
      </c>
      <c r="AA15" s="76">
        <v>0.37152777777777773</v>
      </c>
      <c r="AB15" s="76">
        <v>1.0416666666666666E-2</v>
      </c>
      <c r="AC15" s="78">
        <v>0.58263888888888882</v>
      </c>
      <c r="AD15" s="78">
        <v>3.472222222222222E-3</v>
      </c>
      <c r="AE15" s="76">
        <v>0.37222222222222223</v>
      </c>
      <c r="AF15" s="76">
        <v>9.7222222222222224E-3</v>
      </c>
      <c r="AG15" s="76">
        <v>0.3743055555555555</v>
      </c>
      <c r="AH15" s="76">
        <v>2.2916666666666669E-2</v>
      </c>
      <c r="AI15" s="121"/>
      <c r="AJ15" s="36">
        <v>11</v>
      </c>
      <c r="AK15" s="76">
        <v>0.375</v>
      </c>
      <c r="AL15" s="76">
        <v>4.8611111111111112E-3</v>
      </c>
      <c r="AM15" s="76">
        <v>0.3756944444444445</v>
      </c>
      <c r="AN15" s="76">
        <v>8.3333333333333332E-3</v>
      </c>
      <c r="AO15" s="76">
        <v>0.3743055555555555</v>
      </c>
      <c r="AP15" s="76">
        <v>3.472222222222222E-3</v>
      </c>
      <c r="AQ15" s="76">
        <v>0.3743055555555555</v>
      </c>
      <c r="AR15" s="76">
        <v>1.3194444444444444E-2</v>
      </c>
      <c r="AS15" s="69" t="s">
        <v>55</v>
      </c>
      <c r="AT15" s="85" t="s">
        <v>55</v>
      </c>
      <c r="AU15" s="87">
        <v>0.35694444444444445</v>
      </c>
      <c r="AV15" s="87">
        <v>0.9819444444444444</v>
      </c>
      <c r="AW15" s="87">
        <v>0.3520833333333333</v>
      </c>
      <c r="AX15" s="87">
        <v>0.97986111111111107</v>
      </c>
      <c r="AY15" s="87">
        <v>0.34791666666666665</v>
      </c>
      <c r="AZ15" s="87">
        <v>0.97986111111111107</v>
      </c>
      <c r="BA15" s="87">
        <v>0.35000000000000003</v>
      </c>
      <c r="BB15" s="87">
        <v>0.97916666666666663</v>
      </c>
      <c r="BC15" s="87">
        <v>0.3527777777777778</v>
      </c>
      <c r="BD15" s="87">
        <v>0.97986111111111107</v>
      </c>
      <c r="BE15" s="87">
        <v>0.35347222222222219</v>
      </c>
      <c r="BF15" s="87">
        <v>0.9819444444444444</v>
      </c>
      <c r="BG15" s="69" t="s">
        <v>55</v>
      </c>
      <c r="BH15" s="85" t="s">
        <v>55</v>
      </c>
      <c r="BI15" s="87">
        <v>0.35486111111111113</v>
      </c>
      <c r="BJ15" s="87">
        <v>0.97499999999999998</v>
      </c>
      <c r="BK15" s="87">
        <v>0.35347222222222219</v>
      </c>
      <c r="BL15" s="87">
        <v>0.95972222222222225</v>
      </c>
      <c r="BM15" s="87">
        <v>0.35416666666666669</v>
      </c>
      <c r="BN15" s="87">
        <v>0.96458333333333324</v>
      </c>
      <c r="BO15" s="87">
        <v>0.35347222222222219</v>
      </c>
      <c r="BP15" s="87">
        <v>0.95763888888888893</v>
      </c>
      <c r="BQ15" s="7">
        <f t="shared" si="13"/>
        <v>30</v>
      </c>
      <c r="BR15" s="65">
        <v>2</v>
      </c>
      <c r="BS15" s="38">
        <f>COUNT(E15:AH15)/2+COUNT(AK15:BP15)/2</f>
        <v>28</v>
      </c>
      <c r="BT15" s="39">
        <f>COUNTIF(E15:BP15,"OFF")/2</f>
        <v>2</v>
      </c>
      <c r="BU15" s="39">
        <f>COUNTIF(E15:BP15,"MC")/2</f>
        <v>0</v>
      </c>
      <c r="BV15" s="39">
        <f>COUNTIF(E15:BP15,"EL")/2</f>
        <v>0</v>
      </c>
      <c r="BW15" s="39">
        <f>COUNTIF(E15:BP15,"AL")/2</f>
        <v>0</v>
      </c>
      <c r="BX15" s="39">
        <f>COUNTIF(E15:BP15,"SUS")/2</f>
        <v>0</v>
      </c>
      <c r="BY15" s="39">
        <f>COUNTIF(E15:BP15,"FL")/2</f>
        <v>0</v>
      </c>
      <c r="BZ15" s="39">
        <f>COUNTIF(E15:BP15,"SICK")/2</f>
        <v>0</v>
      </c>
      <c r="CA15" s="39">
        <f>COUNTIF(E15:BP15,"HD")/2</f>
        <v>0</v>
      </c>
      <c r="CB15" s="39">
        <f>COUNTIF(E15:BP15,"AB")/2</f>
        <v>1</v>
      </c>
      <c r="CC15" s="39">
        <f>COUNTIF(E15:BP15,"NL")/2</f>
        <v>0</v>
      </c>
      <c r="CD15" s="39">
        <f>COUNTIF(E15:BP15,"SP")/2</f>
        <v>0</v>
      </c>
      <c r="CE15" s="40"/>
      <c r="CK15" s="37">
        <v>0</v>
      </c>
      <c r="CL15" s="33">
        <v>0</v>
      </c>
      <c r="CM15" s="33">
        <v>0</v>
      </c>
      <c r="CN15" s="33">
        <v>0</v>
      </c>
      <c r="CO15" s="33">
        <v>0</v>
      </c>
      <c r="CP15" s="33">
        <v>0</v>
      </c>
      <c r="CQ15" s="33">
        <v>0</v>
      </c>
      <c r="CR15" s="33">
        <v>0</v>
      </c>
      <c r="CS15" s="33">
        <v>0</v>
      </c>
      <c r="CT15" s="33">
        <v>0</v>
      </c>
      <c r="CU15" s="44">
        <f t="shared" si="12"/>
        <v>0</v>
      </c>
    </row>
    <row r="16" spans="1:99" ht="24.75" customHeight="1" x14ac:dyDescent="0.25">
      <c r="A16" s="33">
        <v>12</v>
      </c>
      <c r="B16" s="39" t="s">
        <v>35</v>
      </c>
      <c r="C16" s="35" t="s">
        <v>36</v>
      </c>
      <c r="D16" s="96"/>
      <c r="E16" s="76">
        <v>0.62083333333333335</v>
      </c>
      <c r="F16" s="76">
        <v>0.98749999999999993</v>
      </c>
      <c r="G16" s="76">
        <v>0.61875000000000002</v>
      </c>
      <c r="H16" s="76">
        <v>0.9916666666666667</v>
      </c>
      <c r="I16" s="76">
        <v>0.61111111111111105</v>
      </c>
      <c r="J16" s="76">
        <v>0.98749999999999993</v>
      </c>
      <c r="K16" s="76">
        <v>0.37013888888888885</v>
      </c>
      <c r="L16" s="76">
        <v>0.64652777777777781</v>
      </c>
      <c r="M16" s="76">
        <v>0.37083333333333335</v>
      </c>
      <c r="N16" s="76">
        <v>0.65694444444444444</v>
      </c>
      <c r="O16" s="78">
        <v>0.57986111111111105</v>
      </c>
      <c r="P16" s="78">
        <v>0.98472222222222217</v>
      </c>
      <c r="Q16" s="76">
        <v>0.37361111111111112</v>
      </c>
      <c r="R16" s="76">
        <v>0.65486111111111112</v>
      </c>
      <c r="S16" s="76">
        <v>0.375</v>
      </c>
      <c r="T16" s="76">
        <v>0.65416666666666667</v>
      </c>
      <c r="U16" s="76">
        <v>0.37361111111111112</v>
      </c>
      <c r="V16" s="76"/>
      <c r="W16" s="76">
        <v>0.61875000000000002</v>
      </c>
      <c r="X16" s="76">
        <v>0.98749999999999993</v>
      </c>
      <c r="Y16" s="76">
        <v>0.62777777777777777</v>
      </c>
      <c r="Z16" s="76">
        <v>0.98402777777777783</v>
      </c>
      <c r="AA16" s="76">
        <v>0.3743055555555555</v>
      </c>
      <c r="AB16" s="75">
        <v>1</v>
      </c>
      <c r="AC16" s="78">
        <v>0.58263888888888882</v>
      </c>
      <c r="AD16" s="82">
        <v>1</v>
      </c>
      <c r="AE16" s="76">
        <v>0.37777777777777777</v>
      </c>
      <c r="AF16" s="75">
        <v>1</v>
      </c>
      <c r="AG16" s="76">
        <v>0.62083333333333335</v>
      </c>
      <c r="AH16" s="76">
        <v>0.98472222222222217</v>
      </c>
      <c r="AI16" s="121"/>
      <c r="AJ16" s="36">
        <v>12</v>
      </c>
      <c r="AK16" s="76">
        <v>0.375</v>
      </c>
      <c r="AL16" s="76">
        <v>0.64861111111111114</v>
      </c>
      <c r="AM16" s="76">
        <v>0.63124999999999998</v>
      </c>
      <c r="AN16" s="76">
        <v>0.99375000000000002</v>
      </c>
      <c r="AO16" s="76">
        <v>0.37638888888888888</v>
      </c>
      <c r="AP16" s="76">
        <v>0.64652777777777781</v>
      </c>
      <c r="AQ16" s="76">
        <v>0.62013888888888891</v>
      </c>
      <c r="AR16" s="76">
        <v>0.99375000000000002</v>
      </c>
      <c r="AS16" s="69" t="s">
        <v>55</v>
      </c>
      <c r="AT16" s="85" t="s">
        <v>55</v>
      </c>
      <c r="AU16" s="87">
        <v>0.63750000000000007</v>
      </c>
      <c r="AV16" s="87">
        <v>0.9604166666666667</v>
      </c>
      <c r="AW16" s="87">
        <v>0.35694444444444445</v>
      </c>
      <c r="AX16" s="74">
        <v>1</v>
      </c>
      <c r="AY16" s="87">
        <v>0.62708333333333333</v>
      </c>
      <c r="AZ16" s="87">
        <v>0.9590277777777777</v>
      </c>
      <c r="BA16" s="87">
        <v>0.62638888888888888</v>
      </c>
      <c r="BB16" s="87">
        <v>0.96388888888888891</v>
      </c>
      <c r="BC16" s="87">
        <v>0.63194444444444442</v>
      </c>
      <c r="BD16" s="87">
        <v>0.96250000000000002</v>
      </c>
      <c r="BE16" s="87">
        <v>0.64027777777777783</v>
      </c>
      <c r="BF16" s="87">
        <v>0.96458333333333324</v>
      </c>
      <c r="BG16" s="89">
        <v>0.5854166666666667</v>
      </c>
      <c r="BH16" s="89">
        <v>0.93402777777777779</v>
      </c>
      <c r="BI16" s="87">
        <v>0.35069444444444442</v>
      </c>
      <c r="BJ16" s="87">
        <v>0.65</v>
      </c>
      <c r="BK16" s="87">
        <v>0.63263888888888886</v>
      </c>
      <c r="BL16" s="87">
        <v>0.94930555555555562</v>
      </c>
      <c r="BM16" s="87">
        <v>0.64166666666666672</v>
      </c>
      <c r="BN16" s="87">
        <v>0.94861111111111107</v>
      </c>
      <c r="BO16" s="87">
        <v>0.63541666666666663</v>
      </c>
      <c r="BP16" s="87">
        <v>0.92083333333333339</v>
      </c>
      <c r="BQ16" s="7">
        <f t="shared" si="13"/>
        <v>30.5</v>
      </c>
      <c r="BR16" s="65">
        <v>3</v>
      </c>
      <c r="BS16" s="38">
        <f>COUNT(E16:AH16)/2+COUNT(AK16:BP16)/2</f>
        <v>29.5</v>
      </c>
      <c r="BT16" s="39">
        <f>COUNTIF(E16:BP16,"OFF")/2</f>
        <v>1</v>
      </c>
      <c r="BU16" s="39">
        <f>COUNTIF(E16:BP16,"MC")/2</f>
        <v>0</v>
      </c>
      <c r="BV16" s="39">
        <f>COUNTIF(E16:BP16,"EL")/2</f>
        <v>0</v>
      </c>
      <c r="BW16" s="39">
        <f>COUNTIF(E16:BP16,"AL")/2</f>
        <v>0</v>
      </c>
      <c r="BX16" s="39">
        <f>COUNTIF(E16:BP16,"SUS")/2</f>
        <v>0</v>
      </c>
      <c r="BY16" s="39">
        <f>COUNTIF(E16:BP16,"FL")/2</f>
        <v>0</v>
      </c>
      <c r="BZ16" s="39">
        <f>COUNTIF(E16:BP16,"SICK")/2</f>
        <v>0</v>
      </c>
      <c r="CA16" s="39">
        <f>COUNTIF(E16:BP16,"HD")/2</f>
        <v>0</v>
      </c>
      <c r="CB16" s="39">
        <f>COUNTIF(E16:BP16,"AB")/2</f>
        <v>0</v>
      </c>
      <c r="CC16" s="39">
        <f>COUNTIF(E16:BP16,"NL")/2</f>
        <v>0</v>
      </c>
      <c r="CD16" s="39">
        <f>COUNTIF(E16:BP16,"SP")/2</f>
        <v>0</v>
      </c>
      <c r="CE16" s="40"/>
      <c r="CK16" s="37">
        <v>0</v>
      </c>
      <c r="CL16" s="33">
        <v>0</v>
      </c>
      <c r="CM16" s="33">
        <v>0</v>
      </c>
      <c r="CN16" s="33">
        <v>0</v>
      </c>
      <c r="CO16" s="33">
        <v>0</v>
      </c>
      <c r="CP16" s="33">
        <v>2</v>
      </c>
      <c r="CQ16" s="33">
        <v>0</v>
      </c>
      <c r="CR16" s="33">
        <v>0</v>
      </c>
      <c r="CS16" s="33">
        <v>0</v>
      </c>
      <c r="CT16" s="33">
        <v>0</v>
      </c>
      <c r="CU16" s="44">
        <f t="shared" si="12"/>
        <v>2</v>
      </c>
    </row>
    <row r="17" spans="1:99" ht="24.75" customHeight="1" x14ac:dyDescent="0.25">
      <c r="A17" s="33">
        <v>13</v>
      </c>
      <c r="B17" s="39" t="s">
        <v>37</v>
      </c>
      <c r="C17" s="35" t="s">
        <v>38</v>
      </c>
      <c r="D17" s="96">
        <v>44791</v>
      </c>
      <c r="E17" s="76">
        <v>0.38541666666666669</v>
      </c>
      <c r="F17" s="76">
        <v>0.94930555555555562</v>
      </c>
      <c r="G17" s="76">
        <v>0.38541666666666669</v>
      </c>
      <c r="H17" s="77">
        <v>1</v>
      </c>
      <c r="I17" s="76">
        <v>0.37083333333333335</v>
      </c>
      <c r="J17" s="76">
        <v>0.72013888888888899</v>
      </c>
      <c r="K17" s="77">
        <v>1</v>
      </c>
      <c r="L17" s="77">
        <v>1</v>
      </c>
      <c r="M17" s="65" t="s">
        <v>65</v>
      </c>
      <c r="N17" s="65" t="s">
        <v>65</v>
      </c>
      <c r="O17" s="65" t="s">
        <v>65</v>
      </c>
      <c r="P17" s="65" t="s">
        <v>65</v>
      </c>
      <c r="Q17" s="65" t="s">
        <v>65</v>
      </c>
      <c r="R17" s="65" t="s">
        <v>65</v>
      </c>
      <c r="S17" s="65" t="s">
        <v>65</v>
      </c>
      <c r="T17" s="65" t="s">
        <v>65</v>
      </c>
      <c r="U17" s="65" t="s">
        <v>65</v>
      </c>
      <c r="V17" s="65" t="s">
        <v>65</v>
      </c>
      <c r="W17" s="65" t="s">
        <v>65</v>
      </c>
      <c r="X17" s="65" t="s">
        <v>65</v>
      </c>
      <c r="Y17" s="65" t="s">
        <v>65</v>
      </c>
      <c r="Z17" s="65" t="s">
        <v>65</v>
      </c>
      <c r="AA17" s="65" t="s">
        <v>65</v>
      </c>
      <c r="AB17" s="65" t="s">
        <v>65</v>
      </c>
      <c r="AC17" s="69" t="s">
        <v>65</v>
      </c>
      <c r="AD17" s="69" t="s">
        <v>65</v>
      </c>
      <c r="AE17" s="65" t="s">
        <v>65</v>
      </c>
      <c r="AF17" s="65" t="s">
        <v>65</v>
      </c>
      <c r="AG17" s="65" t="s">
        <v>65</v>
      </c>
      <c r="AH17" s="65" t="s">
        <v>65</v>
      </c>
      <c r="AI17" s="121"/>
      <c r="AJ17" s="36">
        <v>13</v>
      </c>
      <c r="AK17" s="65" t="s">
        <v>65</v>
      </c>
      <c r="AL17" s="65" t="s">
        <v>65</v>
      </c>
      <c r="AM17" s="65" t="s">
        <v>65</v>
      </c>
      <c r="AN17" s="65" t="s">
        <v>65</v>
      </c>
      <c r="AO17" s="65" t="s">
        <v>65</v>
      </c>
      <c r="AP17" s="65" t="s">
        <v>65</v>
      </c>
      <c r="AQ17" s="65" t="s">
        <v>65</v>
      </c>
      <c r="AR17" s="65" t="s">
        <v>65</v>
      </c>
      <c r="AS17" s="65" t="s">
        <v>65</v>
      </c>
      <c r="AT17" s="86" t="s">
        <v>65</v>
      </c>
      <c r="AU17" s="84" t="s">
        <v>65</v>
      </c>
      <c r="AV17" s="84" t="s">
        <v>65</v>
      </c>
      <c r="AW17" s="84" t="s">
        <v>65</v>
      </c>
      <c r="AX17" s="84" t="s">
        <v>65</v>
      </c>
      <c r="AY17" s="84" t="s">
        <v>65</v>
      </c>
      <c r="AZ17" s="84" t="s">
        <v>65</v>
      </c>
      <c r="BA17" s="84" t="s">
        <v>65</v>
      </c>
      <c r="BB17" s="84" t="s">
        <v>65</v>
      </c>
      <c r="BC17" s="84" t="s">
        <v>65</v>
      </c>
      <c r="BD17" s="84" t="s">
        <v>65</v>
      </c>
      <c r="BE17" s="84" t="s">
        <v>65</v>
      </c>
      <c r="BF17" s="84" t="s">
        <v>65</v>
      </c>
      <c r="BG17" s="84" t="s">
        <v>65</v>
      </c>
      <c r="BH17" s="84" t="s">
        <v>65</v>
      </c>
      <c r="BI17" s="84" t="s">
        <v>65</v>
      </c>
      <c r="BJ17" s="84" t="s">
        <v>65</v>
      </c>
      <c r="BK17" s="84" t="s">
        <v>65</v>
      </c>
      <c r="BL17" s="84" t="s">
        <v>65</v>
      </c>
      <c r="BM17" s="84" t="s">
        <v>65</v>
      </c>
      <c r="BN17" s="84" t="s">
        <v>65</v>
      </c>
      <c r="BO17" s="84" t="s">
        <v>65</v>
      </c>
      <c r="BP17" s="84" t="s">
        <v>65</v>
      </c>
      <c r="BQ17" s="7">
        <f>BS17+BT17+BU17+BZ17+BX17+CC17+CD17</f>
        <v>31</v>
      </c>
      <c r="BR17" s="65">
        <v>0</v>
      </c>
      <c r="BS17" s="38">
        <f>COUNT(E17:AH17)/2+COUNT(AK17:BP17)/2</f>
        <v>4</v>
      </c>
      <c r="BT17" s="39">
        <f>COUNTIF(E17:BP17,"OFF")/2</f>
        <v>0</v>
      </c>
      <c r="BU17" s="39">
        <f>COUNTIF(E17:BP17,"MC")/2</f>
        <v>0</v>
      </c>
      <c r="BV17" s="39">
        <f>COUNTIF(E17:BP17,"EL")/2</f>
        <v>0</v>
      </c>
      <c r="BW17" s="39">
        <f>COUNTIF(E17:BP17,"AL")/2</f>
        <v>0</v>
      </c>
      <c r="BX17" s="39">
        <f>COUNTIF(E17:BP17,"SUS")/2</f>
        <v>0</v>
      </c>
      <c r="BY17" s="39">
        <f>COUNTIF(E17:BP17,"FL")/2</f>
        <v>0</v>
      </c>
      <c r="BZ17" s="39">
        <f>COUNTIF(E17:BP17,"SICK")/2</f>
        <v>0</v>
      </c>
      <c r="CA17" s="39">
        <f>COUNTIF(E17:BP17,"HD")/2</f>
        <v>0</v>
      </c>
      <c r="CB17" s="39">
        <f>COUNTIF(E17:BP17,"AB")/2</f>
        <v>0</v>
      </c>
      <c r="CC17" s="39">
        <f>COUNTIF(E17:BP17,"NL")/2</f>
        <v>0</v>
      </c>
      <c r="CD17" s="39">
        <f>COUNTIF(E17:BP17,"SP")/2</f>
        <v>27</v>
      </c>
      <c r="CE17" s="40"/>
      <c r="CK17" s="37">
        <v>0</v>
      </c>
      <c r="CL17" s="33">
        <v>0</v>
      </c>
      <c r="CM17" s="33">
        <v>0</v>
      </c>
      <c r="CN17" s="33">
        <v>0</v>
      </c>
      <c r="CO17" s="33">
        <v>0</v>
      </c>
      <c r="CP17" s="33">
        <v>0</v>
      </c>
      <c r="CQ17" s="33">
        <v>0</v>
      </c>
      <c r="CR17" s="33">
        <v>0</v>
      </c>
      <c r="CS17" s="33">
        <v>0</v>
      </c>
      <c r="CT17" s="33">
        <v>0</v>
      </c>
      <c r="CU17" s="44">
        <f t="shared" si="12"/>
        <v>0</v>
      </c>
    </row>
    <row r="18" spans="1:99" ht="24.75" customHeight="1" x14ac:dyDescent="0.25">
      <c r="A18" s="33">
        <v>14</v>
      </c>
      <c r="B18" s="39" t="s">
        <v>39</v>
      </c>
      <c r="C18" s="35" t="s">
        <v>40</v>
      </c>
      <c r="D18" s="96">
        <v>45156</v>
      </c>
      <c r="E18" s="76">
        <v>0.37708333333333338</v>
      </c>
      <c r="F18" s="76">
        <v>0.9868055555555556</v>
      </c>
      <c r="G18" s="76">
        <v>0.37152777777777773</v>
      </c>
      <c r="H18" s="76">
        <v>0.98611111111111116</v>
      </c>
      <c r="I18" s="76">
        <v>0.3756944444444445</v>
      </c>
      <c r="J18" s="76">
        <v>0.99097222222222225</v>
      </c>
      <c r="K18" s="76">
        <v>0.50694444444444442</v>
      </c>
      <c r="L18" s="76">
        <v>0.99305555555555547</v>
      </c>
      <c r="M18" s="76">
        <v>0.37638888888888888</v>
      </c>
      <c r="N18" s="76">
        <v>0.9916666666666667</v>
      </c>
      <c r="O18" s="78">
        <v>0.58194444444444449</v>
      </c>
      <c r="P18" s="78">
        <v>0.9902777777777777</v>
      </c>
      <c r="Q18" s="77" t="s">
        <v>105</v>
      </c>
      <c r="R18" s="77" t="s">
        <v>105</v>
      </c>
      <c r="S18" s="76">
        <v>0.37361111111111112</v>
      </c>
      <c r="T18" s="76">
        <v>0.9604166666666667</v>
      </c>
      <c r="U18" s="76">
        <v>0.375</v>
      </c>
      <c r="V18" s="76">
        <v>0.98888888888888893</v>
      </c>
      <c r="W18" s="76">
        <v>0.37361111111111112</v>
      </c>
      <c r="X18" s="76">
        <v>0.9868055555555556</v>
      </c>
      <c r="Y18" s="76">
        <v>0.37152777777777773</v>
      </c>
      <c r="Z18" s="76">
        <v>0.98888888888888893</v>
      </c>
      <c r="AA18" s="76">
        <v>0.375</v>
      </c>
      <c r="AB18" s="76">
        <v>0.9916666666666667</v>
      </c>
      <c r="AC18" s="78">
        <v>0.58194444444444449</v>
      </c>
      <c r="AD18" s="78">
        <v>0.9868055555555556</v>
      </c>
      <c r="AE18" s="76">
        <v>0.48055555555555557</v>
      </c>
      <c r="AF18" s="76">
        <v>0.98611111111111116</v>
      </c>
      <c r="AG18" s="76">
        <v>0.3743055555555555</v>
      </c>
      <c r="AH18" s="76">
        <v>0.97499999999999998</v>
      </c>
      <c r="AI18" s="121"/>
      <c r="AJ18" s="36">
        <v>14</v>
      </c>
      <c r="AK18" s="76">
        <v>0.37361111111111112</v>
      </c>
      <c r="AL18" s="76">
        <v>0.9902777777777777</v>
      </c>
      <c r="AM18" s="76">
        <v>0.37361111111111112</v>
      </c>
      <c r="AN18" s="76">
        <v>0.98611111111111116</v>
      </c>
      <c r="AO18" s="76">
        <v>0.37777777777777777</v>
      </c>
      <c r="AP18" s="76">
        <v>0.98541666666666661</v>
      </c>
      <c r="AQ18" s="76">
        <v>0.3743055555555555</v>
      </c>
      <c r="AR18" s="76">
        <v>0.98819444444444438</v>
      </c>
      <c r="AS18" s="69" t="s">
        <v>55</v>
      </c>
      <c r="AT18" s="85" t="s">
        <v>55</v>
      </c>
      <c r="AU18" s="87">
        <v>0.35138888888888892</v>
      </c>
      <c r="AV18" s="87">
        <v>0.65277777777777779</v>
      </c>
      <c r="AW18" s="87">
        <v>0.64722222222222225</v>
      </c>
      <c r="AX18" s="87">
        <v>0.96875</v>
      </c>
      <c r="AY18" s="87">
        <v>0.64513888888888882</v>
      </c>
      <c r="AZ18" s="87">
        <v>0.96805555555555556</v>
      </c>
      <c r="BA18" s="87">
        <v>0.64374999999999993</v>
      </c>
      <c r="BB18" s="87">
        <v>0.96944444444444444</v>
      </c>
      <c r="BC18" s="87">
        <v>0.65416666666666667</v>
      </c>
      <c r="BD18" s="87">
        <v>0.96597222222222223</v>
      </c>
      <c r="BE18" s="87">
        <v>0.64374999999999993</v>
      </c>
      <c r="BF18" s="87">
        <v>0.96597222222222223</v>
      </c>
      <c r="BG18" s="89">
        <v>0.58124999999999993</v>
      </c>
      <c r="BH18" s="89">
        <v>0.94791666666666663</v>
      </c>
      <c r="BI18" s="87">
        <v>0.64722222222222225</v>
      </c>
      <c r="BJ18" s="87">
        <v>0.96458333333333324</v>
      </c>
      <c r="BK18" s="87">
        <v>0.64583333333333337</v>
      </c>
      <c r="BL18" s="83">
        <v>1</v>
      </c>
      <c r="BM18" s="76" t="s">
        <v>63</v>
      </c>
      <c r="BN18" s="76" t="s">
        <v>63</v>
      </c>
      <c r="BO18" s="77" t="s">
        <v>105</v>
      </c>
      <c r="BP18" s="77" t="s">
        <v>105</v>
      </c>
      <c r="BQ18" s="7">
        <f t="shared" si="13"/>
        <v>30</v>
      </c>
      <c r="BR18" s="65">
        <v>3</v>
      </c>
      <c r="BS18" s="38">
        <f t="shared" si="14"/>
        <v>27</v>
      </c>
      <c r="BT18" s="39">
        <f t="shared" si="15"/>
        <v>1</v>
      </c>
      <c r="BU18" s="39">
        <f t="shared" si="16"/>
        <v>0</v>
      </c>
      <c r="BV18" s="39">
        <f t="shared" si="17"/>
        <v>0</v>
      </c>
      <c r="BW18" s="39">
        <f t="shared" si="18"/>
        <v>0</v>
      </c>
      <c r="BX18" s="39">
        <f t="shared" si="19"/>
        <v>0</v>
      </c>
      <c r="BY18" s="39">
        <f t="shared" si="20"/>
        <v>0</v>
      </c>
      <c r="BZ18" s="39">
        <f t="shared" si="21"/>
        <v>2</v>
      </c>
      <c r="CA18" s="39">
        <f t="shared" si="22"/>
        <v>0</v>
      </c>
      <c r="CB18" s="39">
        <f t="shared" si="23"/>
        <v>1</v>
      </c>
      <c r="CC18" s="39">
        <f t="shared" si="24"/>
        <v>0</v>
      </c>
      <c r="CD18" s="39">
        <f t="shared" si="25"/>
        <v>0</v>
      </c>
      <c r="CE18" s="40"/>
      <c r="CK18" s="37">
        <v>3</v>
      </c>
      <c r="CL18" s="33">
        <v>0</v>
      </c>
      <c r="CM18" s="33">
        <v>19</v>
      </c>
      <c r="CN18" s="33">
        <v>0</v>
      </c>
      <c r="CO18" s="33">
        <v>4</v>
      </c>
      <c r="CP18" s="33">
        <v>4</v>
      </c>
      <c r="CQ18" s="33">
        <v>0</v>
      </c>
      <c r="CR18" s="33">
        <v>4</v>
      </c>
      <c r="CS18" s="33">
        <v>0</v>
      </c>
      <c r="CT18" s="33">
        <v>0</v>
      </c>
      <c r="CU18" s="44">
        <f t="shared" si="12"/>
        <v>34</v>
      </c>
    </row>
    <row r="19" spans="1:99" ht="24.75" customHeight="1" x14ac:dyDescent="0.25">
      <c r="A19" s="33">
        <v>15</v>
      </c>
      <c r="B19" s="39" t="s">
        <v>41</v>
      </c>
      <c r="C19" s="35" t="s">
        <v>42</v>
      </c>
      <c r="D19" s="99">
        <v>45292</v>
      </c>
      <c r="E19" s="74">
        <v>1</v>
      </c>
      <c r="F19" s="74">
        <v>1</v>
      </c>
      <c r="G19" s="74">
        <v>1</v>
      </c>
      <c r="H19" s="74">
        <v>1</v>
      </c>
      <c r="I19" s="74">
        <v>1</v>
      </c>
      <c r="J19" s="74">
        <v>1</v>
      </c>
      <c r="K19" s="74">
        <v>1</v>
      </c>
      <c r="L19" s="74">
        <v>1</v>
      </c>
      <c r="M19" s="74">
        <v>1</v>
      </c>
      <c r="N19" s="74">
        <v>1</v>
      </c>
      <c r="O19" s="69" t="s">
        <v>55</v>
      </c>
      <c r="P19" s="69" t="s">
        <v>55</v>
      </c>
      <c r="Q19" s="75">
        <v>1</v>
      </c>
      <c r="R19" s="75">
        <v>1</v>
      </c>
      <c r="S19" s="75">
        <v>1</v>
      </c>
      <c r="T19" s="75">
        <v>1</v>
      </c>
      <c r="U19" s="75">
        <v>1</v>
      </c>
      <c r="V19" s="75">
        <v>1</v>
      </c>
      <c r="W19" s="75">
        <v>1</v>
      </c>
      <c r="X19" s="75">
        <v>1</v>
      </c>
      <c r="Y19" s="75">
        <v>1</v>
      </c>
      <c r="Z19" s="75">
        <v>1</v>
      </c>
      <c r="AA19" s="75">
        <v>1</v>
      </c>
      <c r="AB19" s="75">
        <v>1</v>
      </c>
      <c r="AC19" s="69" t="s">
        <v>55</v>
      </c>
      <c r="AD19" s="69" t="s">
        <v>55</v>
      </c>
      <c r="AE19" s="75">
        <v>1</v>
      </c>
      <c r="AF19" s="75">
        <v>1</v>
      </c>
      <c r="AG19" s="75">
        <v>1</v>
      </c>
      <c r="AH19" s="75">
        <v>1</v>
      </c>
      <c r="AI19" s="121"/>
      <c r="AJ19" s="36">
        <v>15</v>
      </c>
      <c r="AK19" s="75">
        <v>1</v>
      </c>
      <c r="AL19" s="75">
        <v>1</v>
      </c>
      <c r="AM19" s="75">
        <v>1</v>
      </c>
      <c r="AN19" s="75">
        <v>1</v>
      </c>
      <c r="AO19" s="75">
        <v>1</v>
      </c>
      <c r="AP19" s="75">
        <v>1</v>
      </c>
      <c r="AQ19" s="75">
        <v>1</v>
      </c>
      <c r="AR19" s="75">
        <v>1</v>
      </c>
      <c r="AS19" s="69" t="s">
        <v>55</v>
      </c>
      <c r="AT19" s="85" t="s">
        <v>55</v>
      </c>
      <c r="AU19" s="83">
        <v>1</v>
      </c>
      <c r="AV19" s="83">
        <v>1</v>
      </c>
      <c r="AW19" s="83">
        <v>1</v>
      </c>
      <c r="AX19" s="83">
        <v>1</v>
      </c>
      <c r="AY19" s="83">
        <v>1</v>
      </c>
      <c r="AZ19" s="83">
        <v>1</v>
      </c>
      <c r="BA19" s="83">
        <v>1</v>
      </c>
      <c r="BB19" s="83">
        <v>1</v>
      </c>
      <c r="BC19" s="83">
        <v>1</v>
      </c>
      <c r="BD19" s="83">
        <v>1</v>
      </c>
      <c r="BE19" s="83">
        <v>1</v>
      </c>
      <c r="BF19" s="83">
        <v>1</v>
      </c>
      <c r="BG19" s="69" t="s">
        <v>55</v>
      </c>
      <c r="BH19" s="85" t="s">
        <v>55</v>
      </c>
      <c r="BI19" s="83">
        <v>1</v>
      </c>
      <c r="BJ19" s="83">
        <v>1</v>
      </c>
      <c r="BK19" s="83">
        <v>1</v>
      </c>
      <c r="BL19" s="83">
        <v>1</v>
      </c>
      <c r="BM19" s="83">
        <v>1</v>
      </c>
      <c r="BN19" s="83">
        <v>1</v>
      </c>
      <c r="BO19" s="83">
        <v>1</v>
      </c>
      <c r="BP19" s="83">
        <v>1</v>
      </c>
      <c r="BQ19" s="7">
        <f t="shared" si="13"/>
        <v>31</v>
      </c>
      <c r="BR19" s="65">
        <v>0</v>
      </c>
      <c r="BS19" s="38">
        <f t="shared" si="14"/>
        <v>27</v>
      </c>
      <c r="BT19" s="39">
        <f t="shared" si="15"/>
        <v>4</v>
      </c>
      <c r="BU19" s="39">
        <f t="shared" si="16"/>
        <v>0</v>
      </c>
      <c r="BV19" s="39">
        <f t="shared" si="17"/>
        <v>0</v>
      </c>
      <c r="BW19" s="39">
        <f t="shared" si="18"/>
        <v>0</v>
      </c>
      <c r="BX19" s="39">
        <f t="shared" si="19"/>
        <v>0</v>
      </c>
      <c r="BY19" s="39">
        <f t="shared" si="20"/>
        <v>0</v>
      </c>
      <c r="BZ19" s="39">
        <f t="shared" si="21"/>
        <v>0</v>
      </c>
      <c r="CA19" s="39">
        <f t="shared" si="22"/>
        <v>0</v>
      </c>
      <c r="CB19" s="39">
        <f t="shared" si="23"/>
        <v>0</v>
      </c>
      <c r="CC19" s="39">
        <f t="shared" si="24"/>
        <v>0</v>
      </c>
      <c r="CD19" s="39">
        <f t="shared" si="25"/>
        <v>0</v>
      </c>
      <c r="CE19" s="40"/>
      <c r="CK19" s="37">
        <v>0</v>
      </c>
      <c r="CL19" s="33">
        <v>0</v>
      </c>
      <c r="CM19" s="33">
        <v>0</v>
      </c>
      <c r="CN19" s="33">
        <v>0</v>
      </c>
      <c r="CO19" s="33">
        <v>0</v>
      </c>
      <c r="CP19" s="33">
        <v>0</v>
      </c>
      <c r="CQ19" s="33">
        <v>0</v>
      </c>
      <c r="CR19" s="33">
        <v>0</v>
      </c>
      <c r="CS19" s="33">
        <v>0</v>
      </c>
      <c r="CT19" s="33">
        <v>0</v>
      </c>
      <c r="CU19" s="44">
        <f t="shared" si="12"/>
        <v>0</v>
      </c>
    </row>
    <row r="20" spans="1:99" ht="24.75" customHeight="1" x14ac:dyDescent="0.25">
      <c r="A20" s="33">
        <v>16</v>
      </c>
      <c r="B20" s="39" t="s">
        <v>43</v>
      </c>
      <c r="C20" s="35" t="s">
        <v>44</v>
      </c>
      <c r="D20" s="96">
        <v>45491</v>
      </c>
      <c r="E20" s="76">
        <v>0.37361111111111112</v>
      </c>
      <c r="F20" s="77">
        <v>1</v>
      </c>
      <c r="G20" s="76">
        <v>0.42430555555555555</v>
      </c>
      <c r="H20" s="77">
        <v>1</v>
      </c>
      <c r="I20" s="76">
        <v>0.3743055555555555</v>
      </c>
      <c r="J20" s="77">
        <v>1</v>
      </c>
      <c r="K20" s="76">
        <v>0.64166666666666672</v>
      </c>
      <c r="L20" s="77">
        <v>1</v>
      </c>
      <c r="M20" s="76">
        <v>0.64513888888888882</v>
      </c>
      <c r="N20" s="76">
        <v>0.8520833333333333</v>
      </c>
      <c r="O20" s="78">
        <v>0.58124999999999993</v>
      </c>
      <c r="P20" s="80">
        <v>1</v>
      </c>
      <c r="Q20" s="76">
        <v>0.64583333333333337</v>
      </c>
      <c r="R20" s="76">
        <v>0.8534722222222223</v>
      </c>
      <c r="S20" s="76">
        <v>0.64444444444444449</v>
      </c>
      <c r="T20" s="75">
        <v>1</v>
      </c>
      <c r="U20" s="76">
        <v>0.64513888888888882</v>
      </c>
      <c r="V20" s="76">
        <v>0.8534722222222223</v>
      </c>
      <c r="W20" s="76">
        <v>0.37152777777777773</v>
      </c>
      <c r="X20" s="75">
        <v>1</v>
      </c>
      <c r="Y20" s="76">
        <v>0.3743055555555555</v>
      </c>
      <c r="Z20" s="75">
        <v>1</v>
      </c>
      <c r="AA20" s="76">
        <v>0.64583333333333337</v>
      </c>
      <c r="AB20" s="75">
        <v>1</v>
      </c>
      <c r="AC20" s="78">
        <v>0.58402777777777781</v>
      </c>
      <c r="AD20" s="82">
        <v>1</v>
      </c>
      <c r="AE20" s="75">
        <v>1</v>
      </c>
      <c r="AF20" s="75">
        <v>1</v>
      </c>
      <c r="AG20" s="76">
        <v>0.37638888888888888</v>
      </c>
      <c r="AH20" s="75">
        <v>1</v>
      </c>
      <c r="AI20" s="121"/>
      <c r="AJ20" s="36">
        <v>16</v>
      </c>
      <c r="AK20" s="76">
        <v>0.64444444444444449</v>
      </c>
      <c r="AL20" s="75">
        <v>1</v>
      </c>
      <c r="AM20" s="76">
        <v>0.39305555555555555</v>
      </c>
      <c r="AN20" s="75">
        <v>1</v>
      </c>
      <c r="AO20" s="76">
        <v>0.64444444444444449</v>
      </c>
      <c r="AP20" s="76">
        <v>0.85277777777777775</v>
      </c>
      <c r="AQ20" s="76">
        <v>0.375</v>
      </c>
      <c r="AR20" s="75">
        <v>1</v>
      </c>
      <c r="AS20" s="69" t="s">
        <v>55</v>
      </c>
      <c r="AT20" s="85" t="s">
        <v>55</v>
      </c>
      <c r="AU20" s="87">
        <v>0.36388888888888887</v>
      </c>
      <c r="AV20" s="74">
        <v>1</v>
      </c>
      <c r="AW20" s="87">
        <v>0.6430555555555556</v>
      </c>
      <c r="AX20" s="74">
        <v>1</v>
      </c>
      <c r="AY20" s="87">
        <v>0.35416666666666669</v>
      </c>
      <c r="AZ20" s="87">
        <v>0.66111111111111109</v>
      </c>
      <c r="BA20" s="87">
        <v>0.36041666666666666</v>
      </c>
      <c r="BB20" s="74">
        <v>1</v>
      </c>
      <c r="BC20" s="87">
        <v>0.3576388888888889</v>
      </c>
      <c r="BD20" s="74">
        <v>1</v>
      </c>
      <c r="BE20" s="87">
        <v>0.35555555555555557</v>
      </c>
      <c r="BF20" s="87">
        <v>0.65555555555555556</v>
      </c>
      <c r="BG20" s="69" t="s">
        <v>55</v>
      </c>
      <c r="BH20" s="85" t="s">
        <v>55</v>
      </c>
      <c r="BI20" s="87">
        <v>0.66319444444444442</v>
      </c>
      <c r="BJ20" s="87">
        <v>0.96666666666666667</v>
      </c>
      <c r="BK20" s="87">
        <v>0.35625000000000001</v>
      </c>
      <c r="BL20" s="87">
        <v>0.6479166666666667</v>
      </c>
      <c r="BM20" s="87">
        <v>0.35972222222222222</v>
      </c>
      <c r="BN20" s="87">
        <v>0.64652777777777781</v>
      </c>
      <c r="BO20" s="87">
        <v>0.3527777777777778</v>
      </c>
      <c r="BP20" s="87">
        <v>0.65763888888888888</v>
      </c>
      <c r="BQ20" s="7">
        <f t="shared" si="13"/>
        <v>31</v>
      </c>
      <c r="BR20" s="65">
        <v>2</v>
      </c>
      <c r="BS20" s="38">
        <f t="shared" si="14"/>
        <v>29</v>
      </c>
      <c r="BT20" s="39">
        <f t="shared" si="15"/>
        <v>2</v>
      </c>
      <c r="BU20" s="39">
        <f t="shared" si="16"/>
        <v>0</v>
      </c>
      <c r="BV20" s="39">
        <f t="shared" si="17"/>
        <v>0</v>
      </c>
      <c r="BW20" s="39">
        <f t="shared" si="18"/>
        <v>0</v>
      </c>
      <c r="BX20" s="39">
        <f t="shared" si="19"/>
        <v>0</v>
      </c>
      <c r="BY20" s="39">
        <f t="shared" si="20"/>
        <v>0</v>
      </c>
      <c r="BZ20" s="39">
        <f t="shared" si="21"/>
        <v>0</v>
      </c>
      <c r="CA20" s="39">
        <f t="shared" si="22"/>
        <v>0</v>
      </c>
      <c r="CB20" s="39">
        <f t="shared" si="23"/>
        <v>0</v>
      </c>
      <c r="CC20" s="39">
        <f t="shared" si="24"/>
        <v>0</v>
      </c>
      <c r="CD20" s="39">
        <f t="shared" si="25"/>
        <v>0</v>
      </c>
      <c r="CE20" s="40"/>
      <c r="CK20" s="37">
        <v>0</v>
      </c>
      <c r="CL20" s="33">
        <v>10</v>
      </c>
      <c r="CM20" s="33">
        <v>6</v>
      </c>
      <c r="CN20" s="33">
        <v>0</v>
      </c>
      <c r="CO20" s="33">
        <v>0</v>
      </c>
      <c r="CP20" s="33">
        <v>2</v>
      </c>
      <c r="CQ20" s="33">
        <v>0</v>
      </c>
      <c r="CR20" s="33">
        <v>1</v>
      </c>
      <c r="CS20" s="33">
        <v>0</v>
      </c>
      <c r="CT20" s="33">
        <v>0</v>
      </c>
      <c r="CU20" s="44">
        <f t="shared" si="12"/>
        <v>19</v>
      </c>
    </row>
    <row r="21" spans="1:99" ht="24.75" customHeight="1" x14ac:dyDescent="0.25">
      <c r="A21" s="33">
        <v>17</v>
      </c>
      <c r="B21" s="39" t="s">
        <v>45</v>
      </c>
      <c r="C21" s="35" t="s">
        <v>46</v>
      </c>
      <c r="D21" s="96">
        <v>45509</v>
      </c>
      <c r="E21" s="76">
        <v>0.6430555555555556</v>
      </c>
      <c r="F21" s="76">
        <v>0.99513888888888891</v>
      </c>
      <c r="G21" s="76">
        <v>0.63055555555555554</v>
      </c>
      <c r="H21" s="76">
        <v>0.98819444444444438</v>
      </c>
      <c r="I21" s="76">
        <v>0.53749999999999998</v>
      </c>
      <c r="J21" s="76">
        <v>0.99861111111111101</v>
      </c>
      <c r="K21" s="76">
        <v>0.54652777777777783</v>
      </c>
      <c r="L21" s="76">
        <v>0.98472222222222217</v>
      </c>
      <c r="M21" s="76">
        <v>0.54166666666666663</v>
      </c>
      <c r="N21" s="76">
        <v>0.99444444444444446</v>
      </c>
      <c r="O21" s="78">
        <v>0.58194444444444449</v>
      </c>
      <c r="P21" s="78">
        <v>0.98819444444444438</v>
      </c>
      <c r="Q21" s="76">
        <v>0.37638888888888888</v>
      </c>
      <c r="R21" s="76">
        <v>0.70833333333333337</v>
      </c>
      <c r="S21" s="76">
        <v>0.37847222222222227</v>
      </c>
      <c r="T21" s="76">
        <v>0.70624999999999993</v>
      </c>
      <c r="U21" s="76">
        <v>0.3756944444444445</v>
      </c>
      <c r="V21" s="76">
        <v>0.67708333333333337</v>
      </c>
      <c r="W21" s="76">
        <v>0.3743055555555555</v>
      </c>
      <c r="X21" s="76">
        <v>0.70486111111111116</v>
      </c>
      <c r="Y21" s="76">
        <v>0.37708333333333338</v>
      </c>
      <c r="Z21" s="76">
        <v>0.68958333333333333</v>
      </c>
      <c r="AA21" s="76">
        <v>0.37847222222222227</v>
      </c>
      <c r="AB21" s="76">
        <v>0.70624999999999993</v>
      </c>
      <c r="AC21" s="78">
        <v>0.58263888888888882</v>
      </c>
      <c r="AD21" s="78">
        <v>0.98541666666666661</v>
      </c>
      <c r="AE21" s="76">
        <v>0.54375000000000007</v>
      </c>
      <c r="AF21" s="76">
        <v>0.99097222222222225</v>
      </c>
      <c r="AG21" s="76">
        <v>0.54236111111111118</v>
      </c>
      <c r="AH21" s="76">
        <v>0.98958333333333337</v>
      </c>
      <c r="AI21" s="121"/>
      <c r="AJ21" s="36">
        <v>17</v>
      </c>
      <c r="AK21" s="76">
        <v>0.54097222222222219</v>
      </c>
      <c r="AL21" s="76">
        <v>0.98819444444444438</v>
      </c>
      <c r="AM21" s="76">
        <v>0.54027777777777775</v>
      </c>
      <c r="AN21" s="76">
        <v>0.9902777777777777</v>
      </c>
      <c r="AO21" s="76">
        <v>0.54791666666666672</v>
      </c>
      <c r="AP21" s="76">
        <v>0.99236111111111114</v>
      </c>
      <c r="AQ21" s="76">
        <v>0.53819444444444442</v>
      </c>
      <c r="AR21" s="76">
        <v>0.98611111111111116</v>
      </c>
      <c r="AS21" s="69" t="s">
        <v>55</v>
      </c>
      <c r="AT21" s="85" t="s">
        <v>55</v>
      </c>
      <c r="AU21" s="87">
        <v>0.3666666666666667</v>
      </c>
      <c r="AV21" s="87">
        <v>0.55277777777777781</v>
      </c>
      <c r="AW21" s="87">
        <v>0.36041666666666666</v>
      </c>
      <c r="AX21" s="87">
        <v>0.6479166666666667</v>
      </c>
      <c r="AY21" s="87">
        <v>0.35694444444444445</v>
      </c>
      <c r="AZ21" s="87">
        <v>0.65069444444444446</v>
      </c>
      <c r="BA21" s="76" t="s">
        <v>105</v>
      </c>
      <c r="BB21" s="76" t="s">
        <v>105</v>
      </c>
      <c r="BC21" s="87">
        <v>0.35972222222222222</v>
      </c>
      <c r="BD21" s="87">
        <v>0.64722222222222225</v>
      </c>
      <c r="BE21" s="87">
        <v>0.35902777777777778</v>
      </c>
      <c r="BF21" s="87">
        <v>0.6479166666666667</v>
      </c>
      <c r="BG21" s="69" t="s">
        <v>55</v>
      </c>
      <c r="BH21" s="85" t="s">
        <v>55</v>
      </c>
      <c r="BI21" s="87">
        <v>0.64236111111111105</v>
      </c>
      <c r="BJ21" s="87">
        <v>0.96388888888888891</v>
      </c>
      <c r="BK21" s="87">
        <v>0.64374999999999993</v>
      </c>
      <c r="BL21" s="87">
        <v>0.94513888888888886</v>
      </c>
      <c r="BM21" s="87">
        <v>0.64027777777777783</v>
      </c>
      <c r="BN21" s="87">
        <v>0.9472222222222223</v>
      </c>
      <c r="BO21" s="87">
        <v>0.64513888888888882</v>
      </c>
      <c r="BP21" s="87">
        <v>0.91666666666666663</v>
      </c>
      <c r="BQ21" s="7">
        <f t="shared" si="13"/>
        <v>31</v>
      </c>
      <c r="BR21" s="65">
        <v>2</v>
      </c>
      <c r="BS21" s="38">
        <f>COUNT(E21:AH21)/2+COUNT(AK21:BP21)/2</f>
        <v>28</v>
      </c>
      <c r="BT21" s="39">
        <f>COUNTIF(E21:BP21,"OFF")/2</f>
        <v>2</v>
      </c>
      <c r="BU21" s="39">
        <f>COUNTIF(E21:BP21,"MC")/2</f>
        <v>0</v>
      </c>
      <c r="BV21" s="39">
        <f>COUNTIF(E21:BP21,"EL")/2</f>
        <v>0</v>
      </c>
      <c r="BW21" s="39">
        <f>COUNTIF(E21:BP21,"AL")/2</f>
        <v>0</v>
      </c>
      <c r="BX21" s="39">
        <f>COUNTIF(E21:BP21,"SUS")/2</f>
        <v>0</v>
      </c>
      <c r="BY21" s="39">
        <f>COUNTIF(E21:BP21,"FL")/2</f>
        <v>0</v>
      </c>
      <c r="BZ21" s="39">
        <f>COUNTIF(E21:BP21,"SICK")/2</f>
        <v>1</v>
      </c>
      <c r="CA21" s="39">
        <f>COUNTIF(E21:BP21,"HD")/2</f>
        <v>0</v>
      </c>
      <c r="CB21" s="39">
        <f>COUNTIF(E21:BP21,"AB")/2</f>
        <v>0</v>
      </c>
      <c r="CC21" s="39">
        <f>COUNTIF(E21:BP21,"NL")/2</f>
        <v>0</v>
      </c>
      <c r="CD21" s="39">
        <f>COUNTIF(E21:BP21,"SP")/2</f>
        <v>0</v>
      </c>
      <c r="CE21" s="40"/>
      <c r="CK21" s="37">
        <v>0</v>
      </c>
      <c r="CL21" s="33">
        <v>0</v>
      </c>
      <c r="CM21" s="33">
        <v>0</v>
      </c>
      <c r="CN21" s="33">
        <v>0</v>
      </c>
      <c r="CO21" s="33">
        <v>0</v>
      </c>
      <c r="CP21" s="33">
        <v>10</v>
      </c>
      <c r="CQ21" s="33">
        <v>0</v>
      </c>
      <c r="CR21" s="33">
        <v>3</v>
      </c>
      <c r="CS21" s="33">
        <v>0</v>
      </c>
      <c r="CT21" s="33">
        <v>0</v>
      </c>
      <c r="CU21" s="44">
        <f t="shared" si="12"/>
        <v>13</v>
      </c>
    </row>
    <row r="22" spans="1:99" ht="24.75" customHeight="1" x14ac:dyDescent="0.25">
      <c r="A22" s="33">
        <v>18</v>
      </c>
      <c r="B22" s="43" t="s">
        <v>47</v>
      </c>
      <c r="C22" s="35" t="s">
        <v>48</v>
      </c>
      <c r="D22" s="96">
        <v>45566</v>
      </c>
      <c r="E22" s="76">
        <v>0.37291666666666662</v>
      </c>
      <c r="F22" s="76">
        <v>0.67499999999999993</v>
      </c>
      <c r="G22" s="76">
        <v>0.37083333333333335</v>
      </c>
      <c r="H22" s="77">
        <v>1</v>
      </c>
      <c r="I22" s="76">
        <v>0.39097222222222222</v>
      </c>
      <c r="J22" s="77">
        <v>1</v>
      </c>
      <c r="K22" s="76">
        <v>0.39305555555555555</v>
      </c>
      <c r="L22" s="76">
        <v>0.6694444444444444</v>
      </c>
      <c r="M22" s="77" t="s">
        <v>105</v>
      </c>
      <c r="N22" s="77" t="s">
        <v>105</v>
      </c>
      <c r="O22" s="78">
        <v>0.39652777777777781</v>
      </c>
      <c r="P22" s="80">
        <v>1</v>
      </c>
      <c r="Q22" s="76">
        <v>0.37638888888888888</v>
      </c>
      <c r="R22" s="76">
        <v>0.67986111111111114</v>
      </c>
      <c r="S22" s="76">
        <v>0.3756944444444445</v>
      </c>
      <c r="T22" s="75">
        <v>1</v>
      </c>
      <c r="U22" s="76">
        <v>0.38680555555555557</v>
      </c>
      <c r="V22" s="75">
        <v>1</v>
      </c>
      <c r="W22" s="76">
        <v>0.3743055555555555</v>
      </c>
      <c r="X22" s="75">
        <v>1</v>
      </c>
      <c r="Y22" s="76">
        <v>0.3743055555555555</v>
      </c>
      <c r="Z22" s="75">
        <v>1</v>
      </c>
      <c r="AA22" s="76">
        <v>0.3756944444444445</v>
      </c>
      <c r="AB22" s="76">
        <v>0.67569444444444438</v>
      </c>
      <c r="AC22" s="78">
        <v>0.58263888888888882</v>
      </c>
      <c r="AD22" s="78">
        <v>0.68680555555555556</v>
      </c>
      <c r="AE22" s="76">
        <v>0.37083333333333335</v>
      </c>
      <c r="AF22" s="76">
        <v>0.88958333333333339</v>
      </c>
      <c r="AG22" s="76">
        <v>0.3743055555555555</v>
      </c>
      <c r="AH22" s="76">
        <v>0.90833333333333333</v>
      </c>
      <c r="AI22" s="121"/>
      <c r="AJ22" s="36">
        <v>18</v>
      </c>
      <c r="AK22" s="76">
        <v>0.39444444444444443</v>
      </c>
      <c r="AL22" s="76">
        <v>0.92847222222222225</v>
      </c>
      <c r="AM22" s="76">
        <v>0.3923611111111111</v>
      </c>
      <c r="AN22" s="76">
        <v>0.68541666666666667</v>
      </c>
      <c r="AO22" s="76">
        <v>0.38125000000000003</v>
      </c>
      <c r="AP22" s="76">
        <v>0.69027777777777777</v>
      </c>
      <c r="AQ22" s="76">
        <v>0.3923611111111111</v>
      </c>
      <c r="AR22" s="76">
        <v>0.6791666666666667</v>
      </c>
      <c r="AS22" s="69" t="s">
        <v>55</v>
      </c>
      <c r="AT22" s="85" t="s">
        <v>55</v>
      </c>
      <c r="AU22" s="87">
        <v>0.37222222222222223</v>
      </c>
      <c r="AV22" s="74">
        <v>1</v>
      </c>
      <c r="AW22" s="76" t="s">
        <v>105</v>
      </c>
      <c r="AX22" s="76" t="s">
        <v>105</v>
      </c>
      <c r="AY22" s="87">
        <v>0.37361111111111112</v>
      </c>
      <c r="AZ22" s="74">
        <v>1</v>
      </c>
      <c r="BA22" s="87">
        <v>0.36805555555555558</v>
      </c>
      <c r="BB22" s="74">
        <v>1</v>
      </c>
      <c r="BC22" s="87">
        <v>0.4069444444444445</v>
      </c>
      <c r="BD22" s="87">
        <v>0.75208333333333333</v>
      </c>
      <c r="BE22" s="87">
        <v>0.37083333333333335</v>
      </c>
      <c r="BF22" s="87">
        <v>0.71180555555555547</v>
      </c>
      <c r="BG22" s="69" t="s">
        <v>55</v>
      </c>
      <c r="BH22" s="85" t="s">
        <v>55</v>
      </c>
      <c r="BI22" s="87">
        <v>0.37152777777777773</v>
      </c>
      <c r="BJ22" s="83">
        <v>1</v>
      </c>
      <c r="BK22" s="87">
        <v>0.37291666666666662</v>
      </c>
      <c r="BL22" s="87">
        <v>0.7715277777777777</v>
      </c>
      <c r="BM22" s="87">
        <v>0.37291666666666662</v>
      </c>
      <c r="BN22" s="87">
        <v>0.73541666666666661</v>
      </c>
      <c r="BO22" s="87">
        <v>0.37777777777777777</v>
      </c>
      <c r="BP22" s="87">
        <v>0.83680555555555547</v>
      </c>
      <c r="BQ22" s="7">
        <f t="shared" si="13"/>
        <v>31</v>
      </c>
      <c r="BR22" s="65">
        <v>2</v>
      </c>
      <c r="BS22" s="38">
        <f t="shared" si="14"/>
        <v>27</v>
      </c>
      <c r="BT22" s="39">
        <f t="shared" si="15"/>
        <v>2</v>
      </c>
      <c r="BU22" s="39">
        <f t="shared" si="16"/>
        <v>0</v>
      </c>
      <c r="BV22" s="39">
        <f t="shared" si="17"/>
        <v>0</v>
      </c>
      <c r="BW22" s="39">
        <f t="shared" si="18"/>
        <v>0</v>
      </c>
      <c r="BX22" s="39">
        <f t="shared" si="19"/>
        <v>0</v>
      </c>
      <c r="BY22" s="39">
        <f t="shared" si="20"/>
        <v>0</v>
      </c>
      <c r="BZ22" s="39">
        <f t="shared" si="21"/>
        <v>2</v>
      </c>
      <c r="CA22" s="39">
        <f t="shared" si="22"/>
        <v>0</v>
      </c>
      <c r="CB22" s="39">
        <f t="shared" si="23"/>
        <v>0</v>
      </c>
      <c r="CC22" s="39">
        <f t="shared" si="24"/>
        <v>0</v>
      </c>
      <c r="CD22" s="39">
        <f t="shared" si="25"/>
        <v>0</v>
      </c>
      <c r="CE22" s="40"/>
      <c r="CK22" s="37">
        <v>0</v>
      </c>
      <c r="CL22" s="33">
        <v>0</v>
      </c>
      <c r="CM22" s="33">
        <v>30</v>
      </c>
      <c r="CN22" s="33">
        <v>0</v>
      </c>
      <c r="CO22" s="33">
        <v>0</v>
      </c>
      <c r="CP22" s="33">
        <v>2</v>
      </c>
      <c r="CQ22" s="33">
        <v>0</v>
      </c>
      <c r="CR22" s="33">
        <v>0</v>
      </c>
      <c r="CS22" s="33">
        <v>0</v>
      </c>
      <c r="CT22" s="33">
        <v>0</v>
      </c>
      <c r="CU22" s="44">
        <f t="shared" si="12"/>
        <v>32</v>
      </c>
    </row>
    <row r="23" spans="1:99" ht="24.75" customHeight="1" x14ac:dyDescent="0.25">
      <c r="A23" s="33">
        <v>19</v>
      </c>
      <c r="B23" s="43" t="s">
        <v>49</v>
      </c>
      <c r="C23" s="35" t="s">
        <v>50</v>
      </c>
      <c r="D23" s="96">
        <v>45785</v>
      </c>
      <c r="E23" s="76">
        <v>0.375</v>
      </c>
      <c r="F23" s="76">
        <v>3.8194444444444441E-2</v>
      </c>
      <c r="G23" s="76">
        <v>0.36874999999999997</v>
      </c>
      <c r="H23" s="76">
        <v>6.7361111111111108E-2</v>
      </c>
      <c r="I23" s="76">
        <v>0.36319444444444443</v>
      </c>
      <c r="J23" s="76">
        <v>1.8055555555555557E-2</v>
      </c>
      <c r="K23" s="76">
        <v>0.37152777777777773</v>
      </c>
      <c r="L23" s="76">
        <v>2.9861111111111113E-2</v>
      </c>
      <c r="M23" s="76">
        <v>0.37083333333333335</v>
      </c>
      <c r="N23" s="76">
        <v>1.3888888888888888E-2</v>
      </c>
      <c r="O23" s="78">
        <v>0.5805555555555556</v>
      </c>
      <c r="P23" s="80">
        <v>1</v>
      </c>
      <c r="Q23" s="76">
        <v>0.37013888888888885</v>
      </c>
      <c r="R23" s="76">
        <v>1.9444444444444445E-2</v>
      </c>
      <c r="S23" s="76">
        <v>0.37708333333333338</v>
      </c>
      <c r="T23" s="76">
        <v>8.2638888888888887E-2</v>
      </c>
      <c r="U23" s="76">
        <v>0.38611111111111113</v>
      </c>
      <c r="V23" s="76">
        <v>2.9166666666666664E-2</v>
      </c>
      <c r="W23" s="76">
        <v>0.38194444444444442</v>
      </c>
      <c r="X23" s="76">
        <v>0.14166666666666666</v>
      </c>
      <c r="Y23" s="76">
        <v>0.3972222222222222</v>
      </c>
      <c r="Z23" s="75">
        <v>1</v>
      </c>
      <c r="AA23" s="76">
        <v>0.39305555555555555</v>
      </c>
      <c r="AB23" s="75">
        <v>1</v>
      </c>
      <c r="AC23" s="78">
        <v>0.58888888888888891</v>
      </c>
      <c r="AD23" s="82">
        <v>1</v>
      </c>
      <c r="AE23" s="76">
        <v>0.37986111111111115</v>
      </c>
      <c r="AF23" s="75">
        <v>1</v>
      </c>
      <c r="AG23" s="76">
        <v>0.38055555555555554</v>
      </c>
      <c r="AH23" s="76">
        <v>3.125E-2</v>
      </c>
      <c r="AI23" s="121"/>
      <c r="AJ23" s="36">
        <v>19</v>
      </c>
      <c r="AK23" s="76">
        <v>1.2499999999999999E-2</v>
      </c>
      <c r="AL23" s="75">
        <v>1</v>
      </c>
      <c r="AM23" s="76">
        <v>0.39027777777777778</v>
      </c>
      <c r="AN23" s="76">
        <v>0.99305555555555547</v>
      </c>
      <c r="AO23" s="76">
        <v>0.37291666666666662</v>
      </c>
      <c r="AP23" s="76">
        <v>0.9902777777777777</v>
      </c>
      <c r="AQ23" s="76">
        <v>0.375</v>
      </c>
      <c r="AR23" s="75">
        <v>1</v>
      </c>
      <c r="AS23" s="69" t="s">
        <v>55</v>
      </c>
      <c r="AT23" s="85" t="s">
        <v>55</v>
      </c>
      <c r="AU23" s="87">
        <v>0.36527777777777781</v>
      </c>
      <c r="AV23" s="87">
        <v>0.96944444444444444</v>
      </c>
      <c r="AW23" s="87">
        <v>0.36319444444444443</v>
      </c>
      <c r="AX23" s="87">
        <v>0.92083333333333339</v>
      </c>
      <c r="AY23" s="87">
        <v>0.37986111111111115</v>
      </c>
      <c r="AZ23" s="74">
        <v>1</v>
      </c>
      <c r="BA23" s="87">
        <v>0.38263888888888892</v>
      </c>
      <c r="BB23" s="74">
        <v>1</v>
      </c>
      <c r="BC23" s="87">
        <v>0.37986111111111115</v>
      </c>
      <c r="BD23" s="74">
        <v>1</v>
      </c>
      <c r="BE23" s="87">
        <v>0.37777777777777777</v>
      </c>
      <c r="BF23" s="74">
        <v>1</v>
      </c>
      <c r="BG23" s="89">
        <v>0.5854166666666667</v>
      </c>
      <c r="BH23" s="80">
        <v>1</v>
      </c>
      <c r="BI23" s="83">
        <v>1</v>
      </c>
      <c r="BJ23" s="83">
        <v>1</v>
      </c>
      <c r="BK23" s="87">
        <v>0.37013888888888885</v>
      </c>
      <c r="BL23" s="83">
        <v>1</v>
      </c>
      <c r="BM23" s="87">
        <v>0.36388888888888887</v>
      </c>
      <c r="BN23" s="83">
        <v>1</v>
      </c>
      <c r="BO23" s="87">
        <v>0.37013888888888885</v>
      </c>
      <c r="BP23" s="83">
        <v>1</v>
      </c>
      <c r="BQ23" s="7">
        <f t="shared" si="13"/>
        <v>31</v>
      </c>
      <c r="BR23" s="65">
        <v>3</v>
      </c>
      <c r="BS23" s="38">
        <f>COUNT(E23:AH23)/2+COUNT(AK23:BP23)/2</f>
        <v>30</v>
      </c>
      <c r="BT23" s="39">
        <f>COUNTIF(E23:BP23,"OFF")/2</f>
        <v>1</v>
      </c>
      <c r="BU23" s="39">
        <f>COUNTIF(E23:BP23,"MC")/2</f>
        <v>0</v>
      </c>
      <c r="BV23" s="39">
        <f>COUNTIF(E23:BP23,"EL")/2</f>
        <v>0</v>
      </c>
      <c r="BW23" s="39">
        <f>COUNTIF(E23:BP23,"AL")/2</f>
        <v>0</v>
      </c>
      <c r="BX23" s="39">
        <f>COUNTIF(E23:BP23,"SUS")/2</f>
        <v>0</v>
      </c>
      <c r="BY23" s="39">
        <f>COUNTIF(E23:BP23,"FL")/2</f>
        <v>0</v>
      </c>
      <c r="BZ23" s="39">
        <f>COUNTIF(E23:BP23,"SICK")/2</f>
        <v>0</v>
      </c>
      <c r="CA23" s="39">
        <f>COUNTIF(E23:BP23,"HD")/2</f>
        <v>0</v>
      </c>
      <c r="CB23" s="39">
        <f>COUNTIF(E23:BP23,"AB")/2</f>
        <v>0</v>
      </c>
      <c r="CC23" s="39">
        <f>COUNTIF(E23:BP23,"NL")/2</f>
        <v>0</v>
      </c>
      <c r="CD23" s="39">
        <f>COUNTIF(E23:BP23,"SP")/2</f>
        <v>0</v>
      </c>
      <c r="CE23" s="40"/>
      <c r="CK23" s="37">
        <v>0</v>
      </c>
      <c r="CL23" s="33">
        <v>0</v>
      </c>
      <c r="CM23" s="33">
        <v>0</v>
      </c>
      <c r="CN23" s="33">
        <v>0</v>
      </c>
      <c r="CO23" s="33">
        <v>0</v>
      </c>
      <c r="CP23" s="33">
        <v>0</v>
      </c>
      <c r="CQ23" s="33">
        <v>0</v>
      </c>
      <c r="CR23" s="33">
        <v>0</v>
      </c>
      <c r="CS23" s="33">
        <v>0</v>
      </c>
      <c r="CT23" s="33">
        <v>0</v>
      </c>
      <c r="CU23" s="44">
        <f t="shared" si="12"/>
        <v>0</v>
      </c>
    </row>
    <row r="24" spans="1:99" ht="24.75" customHeight="1" x14ac:dyDescent="0.25">
      <c r="A24" s="33">
        <v>20</v>
      </c>
      <c r="B24" s="43" t="s">
        <v>51</v>
      </c>
      <c r="C24" s="35" t="s">
        <v>52</v>
      </c>
      <c r="D24" s="96">
        <v>45826</v>
      </c>
      <c r="E24" s="76">
        <v>0.375</v>
      </c>
      <c r="F24" s="76">
        <v>7.9861111111111105E-2</v>
      </c>
      <c r="G24" s="76">
        <v>0.3743055555555555</v>
      </c>
      <c r="H24" s="76">
        <v>9.8611111111111108E-2</v>
      </c>
      <c r="I24" s="76">
        <v>0.3743055555555555</v>
      </c>
      <c r="J24" s="76">
        <v>8.1250000000000003E-2</v>
      </c>
      <c r="K24" s="76">
        <v>0.3743055555555555</v>
      </c>
      <c r="L24" s="76">
        <v>8.1250000000000003E-2</v>
      </c>
      <c r="M24" s="76">
        <v>0.34583333333333338</v>
      </c>
      <c r="N24" s="76">
        <v>6.8749999999999992E-2</v>
      </c>
      <c r="O24" s="78">
        <v>0.75277777777777777</v>
      </c>
      <c r="P24" s="78">
        <v>5.6250000000000001E-2</v>
      </c>
      <c r="Q24" s="76">
        <v>0.37638888888888888</v>
      </c>
      <c r="R24" s="76">
        <v>0.74583333333333324</v>
      </c>
      <c r="S24" s="76">
        <v>0.37291666666666662</v>
      </c>
      <c r="T24" s="76">
        <v>0.10277777777777779</v>
      </c>
      <c r="U24" s="76">
        <v>0.40833333333333338</v>
      </c>
      <c r="V24" s="76">
        <v>4.7222222222222221E-2</v>
      </c>
      <c r="W24" s="76">
        <v>0.36874999999999997</v>
      </c>
      <c r="X24" s="76">
        <v>8.8888888888888892E-2</v>
      </c>
      <c r="Y24" s="76">
        <v>0.37291666666666662</v>
      </c>
      <c r="Z24" s="76">
        <v>5.6944444444444443E-2</v>
      </c>
      <c r="AA24" s="76">
        <v>0.36874999999999997</v>
      </c>
      <c r="AB24" s="76">
        <v>6.5277777777777782E-2</v>
      </c>
      <c r="AC24" s="78">
        <v>0.58124999999999993</v>
      </c>
      <c r="AD24" s="78">
        <v>0.78402777777777777</v>
      </c>
      <c r="AE24" s="76">
        <v>0.37291666666666662</v>
      </c>
      <c r="AF24" s="76">
        <v>4.9999999999999996E-2</v>
      </c>
      <c r="AG24" s="76">
        <v>0.3666666666666667</v>
      </c>
      <c r="AH24" s="76">
        <v>5.6944444444444443E-2</v>
      </c>
      <c r="AI24" s="121"/>
      <c r="AJ24" s="36">
        <v>20</v>
      </c>
      <c r="AK24" s="76">
        <v>0.41041666666666665</v>
      </c>
      <c r="AL24" s="76">
        <v>6.0416666666666667E-2</v>
      </c>
      <c r="AM24" s="76">
        <v>0.37013888888888885</v>
      </c>
      <c r="AN24" s="76">
        <v>6.6666666666666666E-2</v>
      </c>
      <c r="AO24" s="76">
        <v>0.41597222222222219</v>
      </c>
      <c r="AP24" s="76">
        <v>7.1527777777777787E-2</v>
      </c>
      <c r="AQ24" s="76">
        <v>0.34166666666666662</v>
      </c>
      <c r="AR24" s="76">
        <v>4.027777777777778E-2</v>
      </c>
      <c r="AS24" s="69" t="s">
        <v>55</v>
      </c>
      <c r="AT24" s="85" t="s">
        <v>55</v>
      </c>
      <c r="AU24" s="88" t="s">
        <v>60</v>
      </c>
      <c r="AV24" s="88" t="s">
        <v>60</v>
      </c>
      <c r="AW24" s="88" t="s">
        <v>60</v>
      </c>
      <c r="AX24" s="88" t="s">
        <v>60</v>
      </c>
      <c r="AY24" s="87">
        <v>0.34583333333333338</v>
      </c>
      <c r="AZ24" s="87">
        <v>5.2083333333333336E-2</v>
      </c>
      <c r="BA24" s="87">
        <v>0.32222222222222224</v>
      </c>
      <c r="BB24" s="87">
        <v>4.9305555555555554E-2</v>
      </c>
      <c r="BC24" s="87">
        <v>0.34722222222222227</v>
      </c>
      <c r="BD24" s="87">
        <v>1.8749999999999999E-2</v>
      </c>
      <c r="BE24" s="87">
        <v>0.33958333333333335</v>
      </c>
      <c r="BF24" s="87">
        <v>0.58402777777777781</v>
      </c>
      <c r="BG24" s="89">
        <v>0.57152777777777775</v>
      </c>
      <c r="BH24" s="89">
        <v>0.9868055555555556</v>
      </c>
      <c r="BI24" s="87">
        <v>0.34861111111111115</v>
      </c>
      <c r="BJ24" s="87">
        <v>6.9444444444444447E-4</v>
      </c>
      <c r="BK24" s="87">
        <v>0.3215277777777778</v>
      </c>
      <c r="BL24" s="87">
        <v>0.52361111111111114</v>
      </c>
      <c r="BM24" s="87">
        <v>0.31805555555555554</v>
      </c>
      <c r="BN24" s="87">
        <v>4.3750000000000004E-2</v>
      </c>
      <c r="BO24" s="87">
        <v>0.31458333333333333</v>
      </c>
      <c r="BP24" s="83">
        <v>1</v>
      </c>
      <c r="BQ24" s="7">
        <f>BS24+BT24+BU24+BZ24+BX24+CC24+BY24</f>
        <v>31</v>
      </c>
      <c r="BR24" s="65">
        <v>3</v>
      </c>
      <c r="BS24" s="38">
        <f>COUNT(E24:AH24)/2+COUNT(AK24:BP24)/2</f>
        <v>28</v>
      </c>
      <c r="BT24" s="39">
        <f>COUNTIF(E24:BP24,"OFF")/2</f>
        <v>1</v>
      </c>
      <c r="BU24" s="39">
        <f>COUNTIF(E24:BP24,"MC")/2</f>
        <v>0</v>
      </c>
      <c r="BV24" s="39">
        <f>COUNTIF(E24:BP24,"EL")/2</f>
        <v>0</v>
      </c>
      <c r="BW24" s="39">
        <f>COUNTIF(E24:BP24,"AL")/2</f>
        <v>0</v>
      </c>
      <c r="BX24" s="39">
        <f>COUNTIF(E24:BP24,"SUS")/2</f>
        <v>0</v>
      </c>
      <c r="BY24" s="39">
        <f>COUNTIF(E24:BP24,"FL")/2</f>
        <v>2</v>
      </c>
      <c r="BZ24" s="39">
        <f>COUNTIF(E24:BP24,"SICK")/2</f>
        <v>0</v>
      </c>
      <c r="CA24" s="39">
        <f>COUNTIF(E24:BP24,"HD")/2</f>
        <v>0</v>
      </c>
      <c r="CB24" s="39">
        <f>COUNTIF(E24:BP24,"AB")/2</f>
        <v>0</v>
      </c>
      <c r="CC24" s="39">
        <f>COUNTIF(E24:BP24,"NL")/2</f>
        <v>0</v>
      </c>
      <c r="CD24" s="39">
        <f>COUNTIF(E24:BP24,"SP")/2</f>
        <v>0</v>
      </c>
      <c r="CE24" s="40"/>
      <c r="CK24" s="37">
        <v>0</v>
      </c>
      <c r="CL24" s="33">
        <v>0</v>
      </c>
      <c r="CM24" s="33">
        <v>0</v>
      </c>
      <c r="CN24" s="33">
        <v>0</v>
      </c>
      <c r="CO24" s="33">
        <v>7</v>
      </c>
      <c r="CP24" s="33">
        <v>1</v>
      </c>
      <c r="CQ24" s="33">
        <v>0</v>
      </c>
      <c r="CR24" s="33">
        <v>0</v>
      </c>
      <c r="CS24" s="33">
        <v>0</v>
      </c>
      <c r="CT24" s="33">
        <v>0</v>
      </c>
      <c r="CU24" s="44">
        <f t="shared" si="12"/>
        <v>8</v>
      </c>
    </row>
    <row r="25" spans="1:99" ht="24.75" customHeight="1" x14ac:dyDescent="0.25">
      <c r="A25" s="33">
        <v>21</v>
      </c>
      <c r="B25" s="43" t="s">
        <v>87</v>
      </c>
      <c r="C25" s="35" t="s">
        <v>88</v>
      </c>
      <c r="D25" s="96">
        <v>45985</v>
      </c>
      <c r="E25" s="65" t="s">
        <v>105</v>
      </c>
      <c r="F25" s="65" t="s">
        <v>105</v>
      </c>
      <c r="G25" s="76">
        <v>0.39305555555555555</v>
      </c>
      <c r="H25" s="76">
        <v>0.72986111111111107</v>
      </c>
      <c r="I25" s="76">
        <v>0.39583333333333331</v>
      </c>
      <c r="J25" s="76">
        <v>0.58888888888888891</v>
      </c>
      <c r="K25" s="76">
        <v>0.39861111111111108</v>
      </c>
      <c r="L25" s="76">
        <v>0.66875000000000007</v>
      </c>
      <c r="M25" s="76">
        <v>0.39444444444444443</v>
      </c>
      <c r="N25" s="76">
        <v>0.67152777777777783</v>
      </c>
      <c r="O25" s="69" t="s">
        <v>55</v>
      </c>
      <c r="P25" s="69" t="s">
        <v>55</v>
      </c>
      <c r="Q25" s="76">
        <v>0.40069444444444446</v>
      </c>
      <c r="R25" s="76">
        <v>0.66875000000000007</v>
      </c>
      <c r="S25" s="76">
        <v>0.39305555555555555</v>
      </c>
      <c r="T25" s="76">
        <v>0.67499999999999993</v>
      </c>
      <c r="U25" s="76">
        <v>0.39999999999999997</v>
      </c>
      <c r="V25" s="76">
        <v>0.6875</v>
      </c>
      <c r="W25" s="76">
        <v>0.39930555555555558</v>
      </c>
      <c r="X25" s="75">
        <v>1</v>
      </c>
      <c r="Y25" s="76">
        <v>0.39930555555555558</v>
      </c>
      <c r="Z25" s="76">
        <v>0.67152777777777783</v>
      </c>
      <c r="AA25" s="76" t="s">
        <v>105</v>
      </c>
      <c r="AB25" s="76" t="s">
        <v>105</v>
      </c>
      <c r="AC25" s="69" t="s">
        <v>55</v>
      </c>
      <c r="AD25" s="69" t="s">
        <v>55</v>
      </c>
      <c r="AE25" s="76">
        <v>0.39652777777777781</v>
      </c>
      <c r="AF25" s="76">
        <v>0.69444444444444453</v>
      </c>
      <c r="AG25" s="76">
        <v>0.40069444444444446</v>
      </c>
      <c r="AH25" s="76">
        <v>0.67013888888888884</v>
      </c>
      <c r="AI25" s="121"/>
      <c r="AJ25" s="36">
        <v>21</v>
      </c>
      <c r="AK25" s="76">
        <v>0.39513888888888887</v>
      </c>
      <c r="AL25" s="76">
        <v>0.6430555555555556</v>
      </c>
      <c r="AM25" s="76" t="s">
        <v>105</v>
      </c>
      <c r="AN25" s="76" t="s">
        <v>105</v>
      </c>
      <c r="AO25" s="76">
        <v>0.40208333333333335</v>
      </c>
      <c r="AP25" s="76">
        <v>0.6972222222222223</v>
      </c>
      <c r="AQ25" s="76">
        <v>0.47638888888888892</v>
      </c>
      <c r="AR25" s="76">
        <v>0.6694444444444444</v>
      </c>
      <c r="AS25" s="69" t="s">
        <v>55</v>
      </c>
      <c r="AT25" s="85" t="s">
        <v>55</v>
      </c>
      <c r="AU25" s="87">
        <v>0.36944444444444446</v>
      </c>
      <c r="AV25" s="87">
        <v>0.70972222222222225</v>
      </c>
      <c r="AW25" s="87">
        <v>0.36874999999999997</v>
      </c>
      <c r="AX25" s="87">
        <v>0.60902777777777783</v>
      </c>
      <c r="AY25" s="87">
        <v>0.38819444444444445</v>
      </c>
      <c r="AZ25" s="87">
        <v>0.71458333333333324</v>
      </c>
      <c r="BA25" s="87">
        <v>0.38472222222222219</v>
      </c>
      <c r="BB25" s="87">
        <v>0.71666666666666667</v>
      </c>
      <c r="BC25" s="87">
        <v>0.38055555555555554</v>
      </c>
      <c r="BD25" s="87">
        <v>0.71527777777777779</v>
      </c>
      <c r="BE25" s="87">
        <v>0.36527777777777781</v>
      </c>
      <c r="BF25" s="87">
        <v>0.7270833333333333</v>
      </c>
      <c r="BG25" s="69" t="s">
        <v>55</v>
      </c>
      <c r="BH25" s="85" t="s">
        <v>55</v>
      </c>
      <c r="BI25" s="87">
        <v>0.38680555555555557</v>
      </c>
      <c r="BJ25" s="87">
        <v>0.71458333333333324</v>
      </c>
      <c r="BK25" s="87">
        <v>0.37083333333333335</v>
      </c>
      <c r="BL25" s="87">
        <v>0.70972222222222225</v>
      </c>
      <c r="BM25" s="87">
        <v>0.37847222222222227</v>
      </c>
      <c r="BN25" s="87">
        <v>0.71875</v>
      </c>
      <c r="BO25" s="87">
        <v>0.38958333333333334</v>
      </c>
      <c r="BP25" s="87">
        <v>0.71180555555555547</v>
      </c>
      <c r="BQ25" s="7">
        <f t="shared" si="13"/>
        <v>31</v>
      </c>
      <c r="BR25" s="65">
        <v>0</v>
      </c>
      <c r="BS25" s="38">
        <f t="shared" si="14"/>
        <v>24</v>
      </c>
      <c r="BT25" s="39">
        <f t="shared" si="15"/>
        <v>4</v>
      </c>
      <c r="BU25" s="39">
        <f t="shared" si="16"/>
        <v>0</v>
      </c>
      <c r="BV25" s="39">
        <f t="shared" si="17"/>
        <v>0</v>
      </c>
      <c r="BW25" s="39">
        <f t="shared" si="18"/>
        <v>0</v>
      </c>
      <c r="BX25" s="39">
        <f t="shared" si="19"/>
        <v>0</v>
      </c>
      <c r="BY25" s="39">
        <f t="shared" si="20"/>
        <v>0</v>
      </c>
      <c r="BZ25" s="39">
        <f t="shared" si="21"/>
        <v>3</v>
      </c>
      <c r="CA25" s="39">
        <f t="shared" si="22"/>
        <v>0</v>
      </c>
      <c r="CB25" s="39">
        <f t="shared" si="23"/>
        <v>0</v>
      </c>
      <c r="CC25" s="39">
        <f t="shared" si="24"/>
        <v>0</v>
      </c>
      <c r="CD25" s="39">
        <f t="shared" si="25"/>
        <v>0</v>
      </c>
      <c r="CE25" s="40"/>
      <c r="CK25" s="67">
        <v>0</v>
      </c>
      <c r="CL25" s="68">
        <v>0</v>
      </c>
      <c r="CM25" s="68">
        <v>0</v>
      </c>
      <c r="CN25" s="68">
        <v>0</v>
      </c>
      <c r="CO25" s="68">
        <v>0</v>
      </c>
      <c r="CP25" s="68">
        <v>0</v>
      </c>
      <c r="CQ25" s="68">
        <v>0</v>
      </c>
      <c r="CR25" s="68">
        <v>0</v>
      </c>
      <c r="CS25" s="68">
        <v>0</v>
      </c>
      <c r="CT25" s="68">
        <v>0</v>
      </c>
      <c r="CU25" s="49">
        <f t="shared" si="12"/>
        <v>0</v>
      </c>
    </row>
    <row r="26" spans="1:99" s="63" customFormat="1" ht="27.75" customHeight="1" x14ac:dyDescent="0.25">
      <c r="A26" s="33">
        <v>22</v>
      </c>
      <c r="B26" s="43" t="s">
        <v>91</v>
      </c>
      <c r="C26" s="35" t="s">
        <v>92</v>
      </c>
      <c r="D26" s="96">
        <v>45999</v>
      </c>
      <c r="E26" s="76">
        <v>0.3756944444444445</v>
      </c>
      <c r="F26" s="76">
        <v>0.6694444444444444</v>
      </c>
      <c r="G26" s="76">
        <v>0.3756944444444445</v>
      </c>
      <c r="H26" s="76">
        <v>0.66041666666666665</v>
      </c>
      <c r="I26" s="76">
        <v>0.37916666666666665</v>
      </c>
      <c r="J26" s="76">
        <v>0.65208333333333335</v>
      </c>
      <c r="K26" s="76">
        <v>0.3756944444444445</v>
      </c>
      <c r="L26" s="76">
        <v>0.65763888888888888</v>
      </c>
      <c r="M26" s="76">
        <v>0.37916666666666665</v>
      </c>
      <c r="N26" s="76">
        <v>0.65277777777777779</v>
      </c>
      <c r="O26" s="78">
        <v>0.58333333333333337</v>
      </c>
      <c r="P26" s="78">
        <v>0.99722222222222223</v>
      </c>
      <c r="Q26" s="76">
        <v>0.3756944444444445</v>
      </c>
      <c r="R26" s="76">
        <v>0.64930555555555558</v>
      </c>
      <c r="S26" s="76">
        <v>0.37708333333333338</v>
      </c>
      <c r="T26" s="76">
        <v>0.64861111111111114</v>
      </c>
      <c r="U26" s="76">
        <v>0.37708333333333338</v>
      </c>
      <c r="V26" s="76">
        <v>0.65277777777777779</v>
      </c>
      <c r="W26" s="76">
        <v>0.38680555555555557</v>
      </c>
      <c r="X26" s="76">
        <v>0.65</v>
      </c>
      <c r="Y26" s="76">
        <v>0.37777777777777777</v>
      </c>
      <c r="Z26" s="76">
        <v>0.65138888888888891</v>
      </c>
      <c r="AA26" s="76">
        <v>0.37847222222222227</v>
      </c>
      <c r="AB26" s="76">
        <v>0.64652777777777781</v>
      </c>
      <c r="AC26" s="78">
        <v>0.58333333333333337</v>
      </c>
      <c r="AD26" s="78">
        <v>2.7777777777777779E-3</v>
      </c>
      <c r="AE26" s="76">
        <v>0.37916666666666665</v>
      </c>
      <c r="AF26" s="76">
        <v>0.6479166666666667</v>
      </c>
      <c r="AG26" s="76">
        <v>0.37638888888888888</v>
      </c>
      <c r="AH26" s="76">
        <v>0.6479166666666667</v>
      </c>
      <c r="AI26" s="121"/>
      <c r="AJ26" s="36">
        <v>22</v>
      </c>
      <c r="AK26" s="76">
        <v>0.37916666666666665</v>
      </c>
      <c r="AL26" s="76">
        <v>0.57638888888888895</v>
      </c>
      <c r="AM26" s="76">
        <v>0.37916666666666665</v>
      </c>
      <c r="AN26" s="76">
        <v>0.65</v>
      </c>
      <c r="AO26" s="76">
        <v>0.37638888888888888</v>
      </c>
      <c r="AP26" s="76">
        <v>0.64236111111111105</v>
      </c>
      <c r="AQ26" s="76">
        <v>0.38194444444444442</v>
      </c>
      <c r="AR26" s="76">
        <v>0.64722222222222225</v>
      </c>
      <c r="AS26" s="69" t="s">
        <v>55</v>
      </c>
      <c r="AT26" s="85" t="s">
        <v>55</v>
      </c>
      <c r="AU26" s="87">
        <v>0.38125000000000003</v>
      </c>
      <c r="AV26" s="87">
        <v>0.64722222222222225</v>
      </c>
      <c r="AW26" s="87">
        <v>0.35972222222222222</v>
      </c>
      <c r="AX26" s="88">
        <v>1</v>
      </c>
      <c r="AY26" s="87">
        <v>0.3576388888888889</v>
      </c>
      <c r="AZ26" s="87">
        <v>0.65555555555555556</v>
      </c>
      <c r="BA26" s="87">
        <v>0.36041666666666666</v>
      </c>
      <c r="BB26" s="87">
        <v>0.66597222222222219</v>
      </c>
      <c r="BC26" s="87">
        <v>0.3611111111111111</v>
      </c>
      <c r="BD26" s="87">
        <v>0.67152777777777783</v>
      </c>
      <c r="BE26" s="87">
        <v>0.35902777777777778</v>
      </c>
      <c r="BF26" s="87">
        <v>0.66597222222222219</v>
      </c>
      <c r="BG26" s="69" t="s">
        <v>55</v>
      </c>
      <c r="BH26" s="85" t="s">
        <v>55</v>
      </c>
      <c r="BI26" s="87">
        <v>0.35625000000000001</v>
      </c>
      <c r="BJ26" s="87">
        <v>0.65138888888888891</v>
      </c>
      <c r="BK26" s="87">
        <v>0.36041666666666666</v>
      </c>
      <c r="BL26" s="87">
        <v>0.64722222222222225</v>
      </c>
      <c r="BM26" s="87">
        <v>0.36041666666666666</v>
      </c>
      <c r="BN26" s="87">
        <v>0.64861111111111114</v>
      </c>
      <c r="BO26" s="87">
        <v>0.35972222222222222</v>
      </c>
      <c r="BP26" s="87">
        <v>0.64722222222222225</v>
      </c>
      <c r="BQ26" s="7">
        <f t="shared" si="13"/>
        <v>31</v>
      </c>
      <c r="BR26" s="65">
        <v>2</v>
      </c>
      <c r="BS26" s="38">
        <f>COUNT(E26:AH26)/2+COUNT(AK26:BP26)/2</f>
        <v>29</v>
      </c>
      <c r="BT26" s="39">
        <f t="shared" si="15"/>
        <v>2</v>
      </c>
      <c r="BU26" s="39">
        <f t="shared" si="16"/>
        <v>0</v>
      </c>
      <c r="BV26" s="39">
        <f t="shared" si="17"/>
        <v>0</v>
      </c>
      <c r="BW26" s="39">
        <f t="shared" si="18"/>
        <v>0</v>
      </c>
      <c r="BX26" s="39">
        <f t="shared" si="19"/>
        <v>0</v>
      </c>
      <c r="BY26" s="39">
        <f t="shared" si="20"/>
        <v>0</v>
      </c>
      <c r="BZ26" s="39">
        <f t="shared" si="21"/>
        <v>0</v>
      </c>
      <c r="CA26" s="39">
        <f t="shared" si="22"/>
        <v>0</v>
      </c>
      <c r="CB26" s="39">
        <f t="shared" si="23"/>
        <v>0</v>
      </c>
      <c r="CC26" s="39">
        <f t="shared" si="24"/>
        <v>0</v>
      </c>
      <c r="CD26" s="39">
        <f t="shared" si="25"/>
        <v>0</v>
      </c>
      <c r="CE26" s="40"/>
      <c r="CK26" s="67">
        <v>0</v>
      </c>
      <c r="CL26" s="68">
        <v>0</v>
      </c>
      <c r="CM26" s="68">
        <v>0</v>
      </c>
      <c r="CN26" s="68">
        <v>0</v>
      </c>
      <c r="CO26" s="68">
        <v>0</v>
      </c>
      <c r="CP26" s="68">
        <v>1</v>
      </c>
      <c r="CQ26" s="68">
        <v>0</v>
      </c>
      <c r="CR26" s="68">
        <v>1</v>
      </c>
      <c r="CS26" s="68">
        <v>0</v>
      </c>
      <c r="CT26" s="68">
        <v>0</v>
      </c>
      <c r="CU26" s="49">
        <f t="shared" ref="CU26" si="26">SUM(CK26:CT26)</f>
        <v>2</v>
      </c>
    </row>
    <row r="27" spans="1:99" s="70" customFormat="1" ht="27.75" customHeight="1" x14ac:dyDescent="0.25">
      <c r="A27" s="33">
        <v>23</v>
      </c>
      <c r="B27" s="43" t="s">
        <v>99</v>
      </c>
      <c r="C27" s="35" t="s">
        <v>101</v>
      </c>
      <c r="D27" s="96">
        <v>46061</v>
      </c>
      <c r="E27" s="76">
        <v>0.36805555555555558</v>
      </c>
      <c r="F27" s="76">
        <v>1.4583333333333332E-2</v>
      </c>
      <c r="G27" s="76">
        <v>0.375</v>
      </c>
      <c r="H27" s="76">
        <v>6.9444444444444441E-3</v>
      </c>
      <c r="I27" s="76">
        <v>0.3743055555555555</v>
      </c>
      <c r="J27" s="76">
        <v>7.6388888888888886E-3</v>
      </c>
      <c r="K27" s="76">
        <v>0.37361111111111112</v>
      </c>
      <c r="L27" s="76">
        <v>1.3888888888888888E-2</v>
      </c>
      <c r="M27" s="76">
        <v>0.36041666666666666</v>
      </c>
      <c r="N27" s="76">
        <v>0.86041666666666661</v>
      </c>
      <c r="O27" s="81">
        <v>1</v>
      </c>
      <c r="P27" s="78">
        <v>1.3194444444444444E-2</v>
      </c>
      <c r="Q27" s="76">
        <v>0.375</v>
      </c>
      <c r="R27" s="76">
        <v>1.5277777777777777E-2</v>
      </c>
      <c r="S27" s="76">
        <v>0.38055555555555554</v>
      </c>
      <c r="T27" s="76">
        <v>2.1527777777777781E-2</v>
      </c>
      <c r="U27" s="76">
        <v>0.37916666666666665</v>
      </c>
      <c r="V27" s="76">
        <v>3.9583333333333331E-2</v>
      </c>
      <c r="W27" s="76">
        <v>0.34166666666666662</v>
      </c>
      <c r="X27" s="75">
        <v>1</v>
      </c>
      <c r="Y27" s="76">
        <v>0.34166666666666662</v>
      </c>
      <c r="Z27" s="76">
        <v>1.7361111111111112E-2</v>
      </c>
      <c r="AA27" s="76">
        <v>0.37638888888888888</v>
      </c>
      <c r="AB27" s="76">
        <v>1.6666666666666666E-2</v>
      </c>
      <c r="AC27" s="78">
        <v>0.58750000000000002</v>
      </c>
      <c r="AD27" s="78">
        <v>1.3194444444444444E-2</v>
      </c>
      <c r="AE27" s="76">
        <v>2.4999999999999998E-2</v>
      </c>
      <c r="AF27" s="75">
        <v>1</v>
      </c>
      <c r="AG27" s="76">
        <v>0.37777777777777777</v>
      </c>
      <c r="AH27" s="76">
        <v>4.9305555555555554E-2</v>
      </c>
      <c r="AI27" s="121"/>
      <c r="AJ27" s="36">
        <v>23</v>
      </c>
      <c r="AK27" s="76">
        <v>0.375</v>
      </c>
      <c r="AL27" s="76">
        <v>8.3333333333333332E-3</v>
      </c>
      <c r="AM27" s="76">
        <v>0.3756944444444445</v>
      </c>
      <c r="AN27" s="75">
        <v>1</v>
      </c>
      <c r="AO27" s="76">
        <v>1.1805555555555555E-2</v>
      </c>
      <c r="AP27" s="75">
        <v>1</v>
      </c>
      <c r="AQ27" s="76">
        <v>0.3659722222222222</v>
      </c>
      <c r="AR27" s="76">
        <v>2.361111111111111E-2</v>
      </c>
      <c r="AS27" s="69" t="s">
        <v>55</v>
      </c>
      <c r="AT27" s="85" t="s">
        <v>55</v>
      </c>
      <c r="AU27" s="87">
        <v>0.3743055555555555</v>
      </c>
      <c r="AV27" s="87">
        <v>0.98263888888888884</v>
      </c>
      <c r="AW27" s="87">
        <v>0.37638888888888888</v>
      </c>
      <c r="AX27" s="87">
        <v>0.96666666666666667</v>
      </c>
      <c r="AY27" s="87">
        <v>0.36874999999999997</v>
      </c>
      <c r="AZ27" s="87">
        <v>0.98055555555555562</v>
      </c>
      <c r="BA27" s="87">
        <v>0.37222222222222223</v>
      </c>
      <c r="BB27" s="87">
        <v>0.97916666666666663</v>
      </c>
      <c r="BC27" s="87">
        <v>0.38055555555555554</v>
      </c>
      <c r="BD27" s="87">
        <v>0.9784722222222223</v>
      </c>
      <c r="BE27" s="87">
        <v>0.37361111111111112</v>
      </c>
      <c r="BF27" s="87">
        <v>0.98819444444444438</v>
      </c>
      <c r="BG27" s="69" t="s">
        <v>55</v>
      </c>
      <c r="BH27" s="85" t="s">
        <v>55</v>
      </c>
      <c r="BI27" s="87">
        <v>0.3756944444444445</v>
      </c>
      <c r="BJ27" s="87">
        <v>0.97986111111111107</v>
      </c>
      <c r="BK27" s="87">
        <v>0.375</v>
      </c>
      <c r="BL27" s="83">
        <v>1</v>
      </c>
      <c r="BM27" s="87">
        <v>0.36874999999999997</v>
      </c>
      <c r="BN27" s="87">
        <v>0.97499999999999998</v>
      </c>
      <c r="BO27" s="87">
        <v>0.37638888888888888</v>
      </c>
      <c r="BP27" s="87">
        <v>0.96180555555555547</v>
      </c>
      <c r="BQ27" s="7">
        <f t="shared" si="13"/>
        <v>31</v>
      </c>
      <c r="BR27" s="65">
        <v>2</v>
      </c>
      <c r="BS27" s="38">
        <f t="shared" si="14"/>
        <v>29</v>
      </c>
      <c r="BT27" s="39">
        <f t="shared" si="15"/>
        <v>2</v>
      </c>
      <c r="BU27" s="39">
        <f t="shared" si="16"/>
        <v>0</v>
      </c>
      <c r="BV27" s="39">
        <f t="shared" si="17"/>
        <v>0</v>
      </c>
      <c r="BW27" s="39">
        <f t="shared" si="18"/>
        <v>0</v>
      </c>
      <c r="BX27" s="39">
        <f t="shared" si="19"/>
        <v>0</v>
      </c>
      <c r="BY27" s="39">
        <f t="shared" si="20"/>
        <v>0</v>
      </c>
      <c r="BZ27" s="39">
        <f t="shared" si="21"/>
        <v>0</v>
      </c>
      <c r="CA27" s="39">
        <f t="shared" si="22"/>
        <v>0</v>
      </c>
      <c r="CB27" s="39">
        <f t="shared" si="23"/>
        <v>0</v>
      </c>
      <c r="CC27" s="39">
        <f t="shared" si="24"/>
        <v>0</v>
      </c>
      <c r="CD27" s="39">
        <f t="shared" si="25"/>
        <v>0</v>
      </c>
      <c r="CE27" s="40"/>
      <c r="CF27" s="63"/>
      <c r="CG27" s="63"/>
      <c r="CH27" s="63"/>
      <c r="CI27" s="63"/>
      <c r="CJ27" s="63"/>
    </row>
    <row r="31" spans="1:99" x14ac:dyDescent="0.25">
      <c r="CF31" s="63"/>
      <c r="CG31" s="63"/>
      <c r="CH31" s="63"/>
      <c r="CI31" s="63"/>
      <c r="CJ31" s="63"/>
      <c r="CK31" s="56"/>
      <c r="CL31" s="56"/>
      <c r="CM31" s="56"/>
      <c r="CN31" s="56"/>
      <c r="CO31" s="56"/>
      <c r="CP31" s="56"/>
      <c r="CQ31" s="56"/>
      <c r="CR31" s="56"/>
      <c r="CS31" s="56"/>
      <c r="CT31" s="56"/>
      <c r="CU31" s="64"/>
    </row>
    <row r="32" spans="1:99" s="63" customFormat="1" ht="27.75" customHeight="1" x14ac:dyDescent="0.25">
      <c r="A32" s="56"/>
      <c r="B32" s="50"/>
      <c r="C32" s="51"/>
      <c r="D32" s="95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6"/>
      <c r="AB32" s="56"/>
      <c r="AC32" s="52"/>
      <c r="AD32" s="52"/>
      <c r="AE32" s="53"/>
      <c r="AF32" s="53"/>
      <c r="AG32" s="53"/>
      <c r="AH32" s="53"/>
      <c r="AI32" s="57"/>
      <c r="AJ32" s="56"/>
      <c r="AK32" s="54"/>
      <c r="AL32" s="54"/>
      <c r="AM32" s="54"/>
      <c r="AN32" s="54"/>
      <c r="AO32" s="54"/>
      <c r="AP32" s="54"/>
      <c r="AQ32" s="54"/>
      <c r="AR32" s="54"/>
      <c r="AS32" s="54"/>
      <c r="AT32" s="54"/>
      <c r="AU32"/>
      <c r="AV32" s="54"/>
      <c r="AW32" s="54"/>
      <c r="AX32" s="54"/>
      <c r="AY32" s="54"/>
      <c r="AZ32" s="54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  <c r="BM32" s="52"/>
      <c r="BN32" s="52"/>
      <c r="BO32" s="55"/>
      <c r="BP32" s="55"/>
      <c r="BQ32" s="58"/>
      <c r="BR32" s="59"/>
      <c r="BS32" s="60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2"/>
      <c r="CF32"/>
      <c r="CG32"/>
      <c r="CH32"/>
      <c r="CI32"/>
      <c r="CJ32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20"/>
    </row>
    <row r="33" spans="6:81" ht="17.25" x14ac:dyDescent="0.3">
      <c r="F33" s="13"/>
      <c r="G33" s="13"/>
      <c r="H33" s="14" t="s">
        <v>67</v>
      </c>
      <c r="I33" s="14"/>
      <c r="J33" s="14"/>
      <c r="K33" s="13"/>
      <c r="L33" s="13"/>
      <c r="M33" s="15"/>
      <c r="Q33" s="16"/>
      <c r="R33" s="14" t="s">
        <v>68</v>
      </c>
      <c r="S33" s="13"/>
      <c r="T33" s="13"/>
      <c r="X33" s="17"/>
      <c r="Y33" s="13"/>
      <c r="Z33" s="13"/>
      <c r="AA33" s="14" t="s">
        <v>69</v>
      </c>
      <c r="AB33" s="17"/>
      <c r="AC33" s="17"/>
      <c r="AD33" s="13"/>
      <c r="AE33" s="13"/>
      <c r="AF33" s="13"/>
      <c r="AG33" s="13"/>
      <c r="AR33" s="13"/>
      <c r="AS33" s="13"/>
      <c r="BS33" s="30" t="s">
        <v>70</v>
      </c>
      <c r="BT33" s="22"/>
      <c r="BU33" s="18"/>
      <c r="BV33" s="18"/>
      <c r="BW33" s="19" t="s">
        <v>55</v>
      </c>
      <c r="BX33" s="20"/>
      <c r="BY33" s="21" t="s">
        <v>71</v>
      </c>
      <c r="BZ33" s="22"/>
      <c r="CA33" s="22"/>
      <c r="CB33" s="13"/>
      <c r="CC33" s="23" t="s">
        <v>61</v>
      </c>
    </row>
    <row r="34" spans="6:81" ht="17.25" x14ac:dyDescent="0.3">
      <c r="F34" s="13"/>
      <c r="G34" s="13"/>
      <c r="H34" s="13"/>
      <c r="I34" s="13"/>
      <c r="J34" s="13"/>
      <c r="K34" s="13"/>
      <c r="L34" s="13"/>
      <c r="M34" s="13"/>
      <c r="Q34" s="13"/>
      <c r="R34" s="13"/>
      <c r="S34" s="13"/>
      <c r="T34" s="13"/>
      <c r="X34" s="17"/>
      <c r="Y34" s="13"/>
      <c r="Z34" s="13"/>
      <c r="AA34" s="13"/>
      <c r="AB34" s="13"/>
      <c r="AC34" s="17"/>
      <c r="AD34" s="13"/>
      <c r="AE34" s="13"/>
      <c r="AF34" s="13"/>
      <c r="AG34" s="13"/>
      <c r="AR34" s="13"/>
      <c r="AS34" s="13"/>
      <c r="BS34" s="30" t="s">
        <v>72</v>
      </c>
      <c r="BT34" s="22"/>
      <c r="BU34" s="18"/>
      <c r="BV34" s="18"/>
      <c r="BW34" s="19" t="s">
        <v>56</v>
      </c>
      <c r="BX34" s="20"/>
      <c r="BY34" s="24" t="s">
        <v>73</v>
      </c>
      <c r="BZ34" s="25"/>
      <c r="CA34" s="25"/>
      <c r="CB34" s="13"/>
      <c r="CC34" s="23" t="s">
        <v>62</v>
      </c>
    </row>
    <row r="35" spans="6:81" ht="17.25" x14ac:dyDescent="0.3">
      <c r="F35" s="13"/>
      <c r="G35" s="13"/>
      <c r="H35" s="13"/>
      <c r="I35" s="13"/>
      <c r="J35" s="13"/>
      <c r="K35" s="13"/>
      <c r="L35" s="13"/>
      <c r="M35" s="13"/>
      <c r="Q35" s="13"/>
      <c r="R35" s="13"/>
      <c r="S35" s="13"/>
      <c r="T35" s="13"/>
      <c r="X35" s="17"/>
      <c r="Y35" s="13"/>
      <c r="Z35" s="13"/>
      <c r="AA35" s="13"/>
      <c r="AB35" s="13"/>
      <c r="AC35" s="17"/>
      <c r="AD35" s="13"/>
      <c r="AE35" s="13"/>
      <c r="AF35" s="13"/>
      <c r="AG35" s="13"/>
      <c r="AR35" s="13"/>
      <c r="AS35" s="13"/>
      <c r="BS35" s="30" t="s">
        <v>74</v>
      </c>
      <c r="BT35" s="22"/>
      <c r="BU35" s="18"/>
      <c r="BV35" s="18"/>
      <c r="BW35" s="19" t="s">
        <v>57</v>
      </c>
      <c r="BX35" s="20"/>
      <c r="BY35" s="24" t="s">
        <v>75</v>
      </c>
      <c r="BZ35" s="25"/>
      <c r="CA35" s="25"/>
      <c r="CB35" s="13"/>
      <c r="CC35" s="23" t="s">
        <v>63</v>
      </c>
    </row>
    <row r="36" spans="6:81" ht="17.25" x14ac:dyDescent="0.3">
      <c r="F36" s="13"/>
      <c r="G36" s="13"/>
      <c r="H36" s="26"/>
      <c r="I36" s="27"/>
      <c r="J36" s="26"/>
      <c r="K36" s="13"/>
      <c r="L36" s="13"/>
      <c r="M36" s="28"/>
      <c r="Q36" s="16"/>
      <c r="R36" s="13"/>
      <c r="S36" s="27"/>
      <c r="T36" s="13"/>
      <c r="X36" s="13"/>
      <c r="Y36" s="13"/>
      <c r="Z36" s="27"/>
      <c r="AA36" s="13"/>
      <c r="AB36" s="27"/>
      <c r="AC36" s="13"/>
      <c r="AD36" s="13"/>
      <c r="AE36" s="13"/>
      <c r="AF36" s="13"/>
      <c r="AG36" s="13"/>
      <c r="AR36" s="13"/>
      <c r="AS36" s="13"/>
      <c r="BS36" s="30" t="s">
        <v>76</v>
      </c>
      <c r="BT36" s="22"/>
      <c r="BU36" s="18"/>
      <c r="BV36" s="18"/>
      <c r="BW36" s="19" t="s">
        <v>58</v>
      </c>
      <c r="BX36" s="20"/>
      <c r="BY36" s="21" t="s">
        <v>77</v>
      </c>
      <c r="BZ36" s="22"/>
      <c r="CA36" s="22"/>
      <c r="CB36" s="13"/>
      <c r="CC36" s="23" t="s">
        <v>64</v>
      </c>
    </row>
    <row r="37" spans="6:81" ht="17.25" x14ac:dyDescent="0.3">
      <c r="F37" s="13"/>
      <c r="G37" s="13"/>
      <c r="H37" s="29" t="s">
        <v>78</v>
      </c>
      <c r="I37" s="29"/>
      <c r="J37" s="27"/>
      <c r="K37" s="13"/>
      <c r="L37" s="13"/>
      <c r="M37" s="16"/>
      <c r="Q37" s="16"/>
      <c r="R37" s="29" t="s">
        <v>26</v>
      </c>
      <c r="S37" s="26"/>
      <c r="T37" s="13"/>
      <c r="X37" s="13"/>
      <c r="Y37" s="13" t="s">
        <v>80</v>
      </c>
      <c r="Z37" s="26"/>
      <c r="AA37" s="29" t="s">
        <v>79</v>
      </c>
      <c r="AB37" s="26"/>
      <c r="AC37" s="13"/>
      <c r="AD37" s="13"/>
      <c r="AE37" s="13"/>
      <c r="AF37" s="13"/>
      <c r="AG37" s="13"/>
      <c r="AR37" s="13"/>
      <c r="AS37" s="13"/>
      <c r="BS37" s="30" t="s">
        <v>81</v>
      </c>
      <c r="BT37" s="22"/>
      <c r="BU37" s="18"/>
      <c r="BV37" s="18"/>
      <c r="BW37" s="19" t="s">
        <v>59</v>
      </c>
      <c r="BX37" s="20"/>
      <c r="BY37" s="21" t="s">
        <v>82</v>
      </c>
      <c r="BZ37" s="22"/>
      <c r="CA37" s="22"/>
      <c r="CB37" s="13"/>
      <c r="CC37" s="23" t="s">
        <v>65</v>
      </c>
    </row>
    <row r="38" spans="6:81" ht="17.25" x14ac:dyDescent="0.3">
      <c r="F38" s="13"/>
      <c r="G38" s="13"/>
      <c r="H38" s="29" t="s">
        <v>83</v>
      </c>
      <c r="I38" s="29"/>
      <c r="J38" s="29"/>
      <c r="K38" s="13"/>
      <c r="L38" s="13"/>
      <c r="M38" s="28"/>
      <c r="Q38" s="16"/>
      <c r="R38" s="29" t="s">
        <v>84</v>
      </c>
      <c r="S38" s="29"/>
      <c r="T38" s="13"/>
      <c r="X38" s="13"/>
      <c r="Y38" s="13"/>
      <c r="Z38" s="27"/>
      <c r="AA38" s="29" t="s">
        <v>85</v>
      </c>
      <c r="AB38" s="29"/>
      <c r="AC38" s="13"/>
      <c r="AD38" s="13"/>
      <c r="AE38" s="13"/>
      <c r="AF38" s="13"/>
      <c r="AG38" s="13"/>
      <c r="AR38" s="13"/>
      <c r="AS38" s="13"/>
      <c r="BS38" s="30" t="s">
        <v>86</v>
      </c>
      <c r="BT38" s="22"/>
      <c r="BU38" s="18"/>
      <c r="BV38" s="18"/>
      <c r="BW38" s="19" t="s">
        <v>60</v>
      </c>
      <c r="BX38" s="20"/>
      <c r="BY38" s="20"/>
      <c r="BZ38" s="20"/>
      <c r="CA38" s="20"/>
      <c r="CB38" s="20"/>
      <c r="CC38" s="20"/>
    </row>
    <row r="39" spans="6:81" ht="17.25" x14ac:dyDescent="0.25">
      <c r="F39" s="27"/>
      <c r="G39" s="26"/>
      <c r="H39" s="27"/>
      <c r="I39" s="27"/>
      <c r="J39" s="27"/>
      <c r="K39" s="27"/>
      <c r="L39" s="28"/>
      <c r="M39" s="28"/>
      <c r="Q39" s="16"/>
      <c r="R39" s="13"/>
      <c r="S39" s="13"/>
      <c r="T39" s="27"/>
      <c r="X39" s="13"/>
      <c r="Y39" s="20"/>
      <c r="Z39" s="27"/>
      <c r="AA39" s="13"/>
      <c r="AB39" s="13"/>
      <c r="AC39" s="13"/>
      <c r="AD39" s="20"/>
      <c r="AE39" s="20"/>
      <c r="AF39" s="20"/>
      <c r="AG39" s="20"/>
      <c r="AH39" s="20"/>
      <c r="AI39" s="20"/>
      <c r="AJ39" s="13"/>
      <c r="AK39" s="29"/>
      <c r="AL39" s="29"/>
      <c r="AM39" s="13"/>
      <c r="AN39" s="13"/>
      <c r="AO39" s="13"/>
      <c r="AP39" s="13"/>
      <c r="AQ39" s="13"/>
      <c r="AR39" s="13"/>
      <c r="AS39" s="13"/>
    </row>
    <row r="40" spans="6:81" x14ac:dyDescent="0.25">
      <c r="F40" s="13"/>
      <c r="G40" s="13"/>
      <c r="H40" s="13"/>
      <c r="I40" s="13"/>
      <c r="J40" s="13"/>
      <c r="K40" s="13"/>
      <c r="L40" s="13"/>
      <c r="M40" s="13"/>
      <c r="Q40" s="13"/>
      <c r="R40" s="13"/>
      <c r="S40" s="13"/>
      <c r="T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</row>
    <row r="41" spans="6:81" x14ac:dyDescent="0.25"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</row>
    <row r="44" spans="6:81" ht="21.75" customHeight="1" x14ac:dyDescent="0.25"/>
    <row r="53" spans="1:99" x14ac:dyDescent="0.25">
      <c r="CK53" s="37">
        <v>0</v>
      </c>
      <c r="CL53" s="33">
        <v>0</v>
      </c>
      <c r="CM53" s="33">
        <v>0</v>
      </c>
      <c r="CN53" s="33">
        <v>0</v>
      </c>
      <c r="CO53" s="33">
        <v>0</v>
      </c>
      <c r="CP53" s="33">
        <v>1</v>
      </c>
      <c r="CQ53" s="33">
        <v>0</v>
      </c>
      <c r="CR53" s="33">
        <v>1</v>
      </c>
      <c r="CS53" s="33">
        <v>0</v>
      </c>
      <c r="CT53" s="33">
        <v>0</v>
      </c>
      <c r="CU53" s="44">
        <f>SUM(CK53:CT53)</f>
        <v>2</v>
      </c>
    </row>
    <row r="54" spans="1:99" ht="24.75" customHeight="1" x14ac:dyDescent="0.25">
      <c r="A54" s="33">
        <v>23</v>
      </c>
      <c r="B54" s="43" t="s">
        <v>93</v>
      </c>
      <c r="C54" s="35" t="s">
        <v>94</v>
      </c>
      <c r="D54" s="92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57"/>
      <c r="AJ54" s="36">
        <v>23</v>
      </c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2"/>
      <c r="BR54" s="71"/>
      <c r="BS54" s="38">
        <f>COUNT(E54:AH54)/2+COUNT(AK54:BP54)/2</f>
        <v>0</v>
      </c>
      <c r="BT54" s="39">
        <f>COUNTIF(E54:BP54,"OFF")/2</f>
        <v>0</v>
      </c>
      <c r="BU54" s="39">
        <f>COUNTIF(E54:BP54,"MC")/2</f>
        <v>0</v>
      </c>
      <c r="BV54" s="39">
        <f>COUNTIF(E54:BP54,"EL")/2</f>
        <v>0</v>
      </c>
      <c r="BW54" s="39">
        <f>COUNTIF(E54:BP54,"AL")/2</f>
        <v>0</v>
      </c>
      <c r="BX54" s="39">
        <f>COUNTIF(E54:BP54,"SUS")/2</f>
        <v>0</v>
      </c>
      <c r="BY54" s="39">
        <f>COUNTIF(E54:BP54,"FL")/2</f>
        <v>0</v>
      </c>
      <c r="BZ54" s="39">
        <f>COUNTIF(E54:BP54,"SICK")/2</f>
        <v>0</v>
      </c>
      <c r="CA54" s="39">
        <f>COUNTIF(E54:BP54,"HD")/2</f>
        <v>0</v>
      </c>
      <c r="CB54" s="39">
        <f>COUNTIF(E54:BP54,"AB")/2</f>
        <v>0</v>
      </c>
      <c r="CC54" s="39">
        <f>COUNTIF(E54:BP54,"NL")/2</f>
        <v>0</v>
      </c>
      <c r="CD54" s="39">
        <f>COUNTIF(E54:BP54,"SP")/2</f>
        <v>0</v>
      </c>
      <c r="CE54" s="40"/>
      <c r="CK54" s="37">
        <v>0</v>
      </c>
      <c r="CL54" s="33">
        <v>0</v>
      </c>
      <c r="CM54" s="33">
        <v>0</v>
      </c>
      <c r="CN54" s="33">
        <v>0</v>
      </c>
      <c r="CO54" s="33">
        <v>0</v>
      </c>
      <c r="CP54" s="33">
        <v>0</v>
      </c>
      <c r="CQ54" s="33">
        <v>0</v>
      </c>
      <c r="CR54" s="33">
        <v>0</v>
      </c>
      <c r="CS54" s="33">
        <v>0</v>
      </c>
      <c r="CT54" s="33">
        <v>0</v>
      </c>
      <c r="CU54" s="49">
        <f>SUM(CK54:CT54)</f>
        <v>0</v>
      </c>
    </row>
    <row r="55" spans="1:99" s="63" customFormat="1" ht="27.75" customHeight="1" x14ac:dyDescent="0.25">
      <c r="A55" s="33">
        <v>24</v>
      </c>
      <c r="B55" s="43" t="s">
        <v>96</v>
      </c>
      <c r="C55" s="35" t="s">
        <v>95</v>
      </c>
      <c r="D55" s="92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57"/>
      <c r="AJ55" s="36">
        <v>24</v>
      </c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2"/>
      <c r="BR55" s="71"/>
      <c r="BS55" s="38">
        <f>COUNT(E55:AH55)/2+COUNT(AK55:BP55)/2</f>
        <v>0</v>
      </c>
      <c r="BT55" s="39">
        <f>COUNTIF(E55:BP55,"OFF")/2</f>
        <v>0</v>
      </c>
      <c r="BU55" s="39">
        <f>COUNTIF(E55:BP55,"MC")/2</f>
        <v>0</v>
      </c>
      <c r="BV55" s="39">
        <f>COUNTIF(E55:BP55,"EL")/2</f>
        <v>0</v>
      </c>
      <c r="BW55" s="39">
        <f>COUNTIF(E55:BP55,"AL")/2</f>
        <v>0</v>
      </c>
      <c r="BX55" s="39">
        <f>COUNTIF(E55:BP55,"SUS")/2</f>
        <v>0</v>
      </c>
      <c r="BY55" s="39">
        <f>COUNTIF(E55:BP55,"FL")/2</f>
        <v>0</v>
      </c>
      <c r="BZ55" s="39">
        <f>COUNTIF(E55:BP55,"SICK")/2</f>
        <v>0</v>
      </c>
      <c r="CA55" s="39">
        <f>COUNTIF(E55:BP55,"HD")/2</f>
        <v>0</v>
      </c>
      <c r="CB55" s="39">
        <f>COUNTIF(E55:BP55,"AB")/2</f>
        <v>0</v>
      </c>
      <c r="CC55" s="39">
        <f>COUNTIF(E55:BP55,"NL")/2</f>
        <v>0</v>
      </c>
      <c r="CD55" s="39">
        <f>COUNTIF(E55:BP55,"SP")/2</f>
        <v>0</v>
      </c>
      <c r="CE55" s="40"/>
      <c r="CK55" s="67"/>
      <c r="CL55" s="68"/>
      <c r="CM55" s="68"/>
      <c r="CN55" s="68"/>
      <c r="CO55" s="68"/>
      <c r="CP55" s="68"/>
      <c r="CQ55" s="68"/>
      <c r="CR55" s="68"/>
      <c r="CS55" s="68"/>
      <c r="CT55" s="68"/>
      <c r="CU55" s="49">
        <f>SUM(CK55:CT55)</f>
        <v>0</v>
      </c>
    </row>
    <row r="56" spans="1:99" s="63" customFormat="1" ht="27.75" customHeight="1" x14ac:dyDescent="0.25">
      <c r="A56" s="33">
        <v>25</v>
      </c>
      <c r="B56" s="43" t="s">
        <v>97</v>
      </c>
      <c r="C56" s="35" t="s">
        <v>98</v>
      </c>
      <c r="D56" s="92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57"/>
      <c r="AJ56" s="36">
        <v>25</v>
      </c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2"/>
      <c r="BR56" s="71"/>
      <c r="BS56" s="38">
        <f>COUNT(E56:AH56)/2+COUNT(AK56:BP56)/2</f>
        <v>0</v>
      </c>
      <c r="BT56" s="39">
        <f>COUNTIF(E56:BP56,"OFF")/2</f>
        <v>0</v>
      </c>
      <c r="BU56" s="39">
        <f>COUNTIF(E56:BP56,"MC")/2</f>
        <v>0</v>
      </c>
      <c r="BV56" s="39">
        <f>COUNTIF(E56:BP56,"EL")/2</f>
        <v>0</v>
      </c>
      <c r="BW56" s="39">
        <f>COUNTIF(E56:BP56,"AL")/2</f>
        <v>0</v>
      </c>
      <c r="BX56" s="39">
        <f>COUNTIF(E56:BP56,"SUS")/2</f>
        <v>0</v>
      </c>
      <c r="BY56" s="39">
        <f>COUNTIF(E56:BP56,"FL")/2</f>
        <v>0</v>
      </c>
      <c r="BZ56" s="39">
        <f>COUNTIF(E56:BP56,"SICK")/2</f>
        <v>0</v>
      </c>
      <c r="CA56" s="39">
        <f>COUNTIF(E56:BP56,"HD")/2</f>
        <v>0</v>
      </c>
      <c r="CB56" s="39">
        <f>COUNTIF(E56:BP56,"AB")/2</f>
        <v>0</v>
      </c>
      <c r="CC56" s="39">
        <f>COUNTIF(E56:BP56,"NL")/2</f>
        <v>0</v>
      </c>
      <c r="CD56" s="39">
        <f>COUNTIF(E56:BP56,"SP")/2</f>
        <v>0</v>
      </c>
      <c r="CE56" s="40"/>
      <c r="CK56" s="67"/>
      <c r="CL56" s="68"/>
      <c r="CM56" s="68"/>
      <c r="CN56" s="68"/>
      <c r="CO56" s="68"/>
      <c r="CP56" s="68"/>
      <c r="CQ56" s="68"/>
      <c r="CR56" s="68"/>
      <c r="CS56" s="68"/>
      <c r="CT56" s="68"/>
      <c r="CU56" s="49">
        <f>SUM(CK56:CT56)</f>
        <v>0</v>
      </c>
    </row>
    <row r="57" spans="1:99" s="63" customFormat="1" ht="27.75" customHeight="1" x14ac:dyDescent="0.25">
      <c r="A57" s="33">
        <v>27</v>
      </c>
      <c r="B57" s="43" t="s">
        <v>100</v>
      </c>
      <c r="C57" s="35" t="s">
        <v>102</v>
      </c>
      <c r="D57" s="92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57"/>
      <c r="AJ57" s="36">
        <v>27</v>
      </c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2"/>
      <c r="BR57" s="71"/>
      <c r="BS57" s="38">
        <f>COUNT(E57:AH57)/2+COUNT(AK57:BP57)/2</f>
        <v>0</v>
      </c>
      <c r="BT57" s="39">
        <f>COUNTIF(E57:BP57,"OFF")/2</f>
        <v>0</v>
      </c>
      <c r="BU57" s="39">
        <f>COUNTIF(E57:BP57,"MC")/2</f>
        <v>0</v>
      </c>
      <c r="BV57" s="39">
        <f>COUNTIF(E57:BP57,"EL")/2</f>
        <v>0</v>
      </c>
      <c r="BW57" s="39">
        <f>COUNTIF(E57:BP57,"AL")/2</f>
        <v>0</v>
      </c>
      <c r="BX57" s="39">
        <f>COUNTIF(E57:BP57,"SUS")/2</f>
        <v>0</v>
      </c>
      <c r="BY57" s="39">
        <f>COUNTIF(E57:BP57,"FL")/2</f>
        <v>0</v>
      </c>
      <c r="BZ57" s="39">
        <f>COUNTIF(E57:BP57,"SICK")/2</f>
        <v>0</v>
      </c>
      <c r="CA57" s="39">
        <f>COUNTIF(E57:BP57,"HD")/2</f>
        <v>0</v>
      </c>
      <c r="CB57" s="39">
        <f>COUNTIF(E57:BP57,"AB")/2</f>
        <v>0</v>
      </c>
      <c r="CC57" s="39">
        <f>COUNTIF(E57:BP57,"NL")/2</f>
        <v>0</v>
      </c>
      <c r="CD57" s="39">
        <f>COUNTIF(E57:BP57,"SP")/2</f>
        <v>0</v>
      </c>
      <c r="CE57" s="40"/>
      <c r="CF57"/>
      <c r="CG57"/>
      <c r="CH57"/>
      <c r="CI57"/>
      <c r="CJ57"/>
      <c r="CK57" s="67"/>
      <c r="CL57" s="68"/>
      <c r="CM57" s="68"/>
      <c r="CN57" s="68"/>
      <c r="CO57" s="68"/>
      <c r="CP57" s="68"/>
      <c r="CQ57" s="68"/>
      <c r="CR57" s="68"/>
      <c r="CS57" s="68"/>
      <c r="CT57" s="68"/>
      <c r="CU57" s="49">
        <f>SUM(CK57:CT57)</f>
        <v>0</v>
      </c>
    </row>
  </sheetData>
  <mergeCells count="72">
    <mergeCell ref="AJ2:AJ4"/>
    <mergeCell ref="E3:F3"/>
    <mergeCell ref="G3:H3"/>
    <mergeCell ref="AO3:AP3"/>
    <mergeCell ref="AQ3:AR3"/>
    <mergeCell ref="AE2:AF2"/>
    <mergeCell ref="AA2:AB2"/>
    <mergeCell ref="AC2:AD2"/>
    <mergeCell ref="AC3:AD3"/>
    <mergeCell ref="W2:X2"/>
    <mergeCell ref="Y2:Z2"/>
    <mergeCell ref="AE3:AF3"/>
    <mergeCell ref="W3:X3"/>
    <mergeCell ref="Y3:Z3"/>
    <mergeCell ref="AG3:AH3"/>
    <mergeCell ref="I3:J3"/>
    <mergeCell ref="K3:L3"/>
    <mergeCell ref="M2:N2"/>
    <mergeCell ref="O2:P2"/>
    <mergeCell ref="Q2:R2"/>
    <mergeCell ref="I2:J2"/>
    <mergeCell ref="K2:L2"/>
    <mergeCell ref="U3:V3"/>
    <mergeCell ref="M3:N3"/>
    <mergeCell ref="O3:P3"/>
    <mergeCell ref="Q3:R3"/>
    <mergeCell ref="BA2:BB2"/>
    <mergeCell ref="BA3:BB3"/>
    <mergeCell ref="AG2:AH2"/>
    <mergeCell ref="U2:V2"/>
    <mergeCell ref="AA3:AB3"/>
    <mergeCell ref="AI1:AI27"/>
    <mergeCell ref="A1:AH1"/>
    <mergeCell ref="E2:F2"/>
    <mergeCell ref="G2:H2"/>
    <mergeCell ref="S2:T2"/>
    <mergeCell ref="S3:T3"/>
    <mergeCell ref="AJ1:CE1"/>
    <mergeCell ref="BC2:BD2"/>
    <mergeCell ref="BE2:BF2"/>
    <mergeCell ref="AK2:AL2"/>
    <mergeCell ref="AM2:AN2"/>
    <mergeCell ref="AO2:AP2"/>
    <mergeCell ref="AQ2:AR2"/>
    <mergeCell ref="AS2:AT2"/>
    <mergeCell ref="AU2:AV2"/>
    <mergeCell ref="AW2:AX2"/>
    <mergeCell ref="AY2:AZ2"/>
    <mergeCell ref="BC3:BD3"/>
    <mergeCell ref="AM3:AN3"/>
    <mergeCell ref="AK3:AL3"/>
    <mergeCell ref="BE3:BF3"/>
    <mergeCell ref="AS3:AT3"/>
    <mergeCell ref="AU3:AV3"/>
    <mergeCell ref="AW3:AX3"/>
    <mergeCell ref="AY3:AZ3"/>
    <mergeCell ref="A2:D3"/>
    <mergeCell ref="CK2:CT2"/>
    <mergeCell ref="CK3:CT3"/>
    <mergeCell ref="BG3:BH3"/>
    <mergeCell ref="BO3:BP3"/>
    <mergeCell ref="BG2:BH2"/>
    <mergeCell ref="BR2:BR4"/>
    <mergeCell ref="BS2:CE2"/>
    <mergeCell ref="BO2:BP2"/>
    <mergeCell ref="BM3:BN3"/>
    <mergeCell ref="BK3:BL3"/>
    <mergeCell ref="BI3:BJ3"/>
    <mergeCell ref="BM2:BN2"/>
    <mergeCell ref="BK2:BL2"/>
    <mergeCell ref="BI2:BJ2"/>
    <mergeCell ref="BQ2:BQ4"/>
  </mergeCells>
  <phoneticPr fontId="7" type="noConversion"/>
  <conditionalFormatting sqref="B4">
    <cfRule type="duplicateValues" dxfId="166" priority="9917"/>
  </conditionalFormatting>
  <conditionalFormatting sqref="B5">
    <cfRule type="duplicateValues" dxfId="165" priority="9899"/>
  </conditionalFormatting>
  <conditionalFormatting sqref="B6:B7">
    <cfRule type="duplicateValues" dxfId="164" priority="9905"/>
  </conditionalFormatting>
  <conditionalFormatting sqref="B8">
    <cfRule type="duplicateValues" dxfId="163" priority="9904"/>
  </conditionalFormatting>
  <conditionalFormatting sqref="B10:B17">
    <cfRule type="duplicateValues" dxfId="162" priority="12158"/>
  </conditionalFormatting>
  <conditionalFormatting sqref="B18">
    <cfRule type="duplicateValues" dxfId="161" priority="9902"/>
  </conditionalFormatting>
  <conditionalFormatting sqref="B18:B19">
    <cfRule type="duplicateValues" dxfId="160" priority="9901"/>
  </conditionalFormatting>
  <conditionalFormatting sqref="B19">
    <cfRule type="duplicateValues" dxfId="159" priority="9906"/>
  </conditionalFormatting>
  <conditionalFormatting sqref="B20">
    <cfRule type="duplicateValues" dxfId="158" priority="9907"/>
  </conditionalFormatting>
  <conditionalFormatting sqref="B20:B21">
    <cfRule type="duplicateValues" dxfId="157" priority="9900"/>
  </conditionalFormatting>
  <conditionalFormatting sqref="B5:D7">
    <cfRule type="containsText" dxfId="156" priority="9898" operator="containsText" text="AB">
      <formula>NOT(ISERROR(SEARCH("AB",B5)))</formula>
    </cfRule>
  </conditionalFormatting>
  <conditionalFormatting sqref="B8:D8 B10:D17 B18:B21 C18:D27 C32:D32 C54:D57">
    <cfRule type="containsText" dxfId="155" priority="9897" operator="containsText" text="ABST">
      <formula>NOT(ISERROR(SEARCH("ABST",B8)))</formula>
    </cfRule>
  </conditionalFormatting>
  <conditionalFormatting sqref="C54:D54">
    <cfRule type="duplicateValues" dxfId="154" priority="4907"/>
  </conditionalFormatting>
  <conditionalFormatting sqref="C55:D56 C32:D32 C5:D26">
    <cfRule type="duplicateValues" dxfId="153" priority="12151"/>
  </conditionalFormatting>
  <conditionalFormatting sqref="C57:D57 C27:D27">
    <cfRule type="duplicateValues" dxfId="152" priority="12157"/>
  </conditionalFormatting>
  <conditionalFormatting sqref="E10:X11">
    <cfRule type="containsText" dxfId="151" priority="198" operator="containsText" text="AB">
      <formula>NOT(ISERROR(SEARCH("AB",E10)))</formula>
    </cfRule>
    <cfRule type="containsText" dxfId="150" priority="199" operator="containsText" text="SICK">
      <formula>NOT(ISERROR(SEARCH("SICK",E10)))</formula>
    </cfRule>
  </conditionalFormatting>
  <conditionalFormatting sqref="E8:AB9 AE8:AH9 E17:AH17 AK17:BP17">
    <cfRule type="containsText" dxfId="149" priority="240" operator="containsText" text="SICK">
      <formula>NOT(ISERROR(SEARCH("SICK",E8)))</formula>
    </cfRule>
  </conditionalFormatting>
  <conditionalFormatting sqref="E4:AH4">
    <cfRule type="cellIs" dxfId="148" priority="9909" operator="equal">
      <formula>"AB"</formula>
    </cfRule>
    <cfRule type="cellIs" dxfId="147" priority="9908" operator="equal">
      <formula>"Sick"</formula>
    </cfRule>
    <cfRule type="dataBar" priority="9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{5239E42C-A990-4FB9-832E-3C6A5CD3AC83}</x14:id>
        </ext>
      </extLst>
    </cfRule>
    <cfRule type="containsText" dxfId="146" priority="9916" operator="containsText" text="S">
      <formula>NOT(ISERROR(SEARCH("S",#REF!)))</formula>
    </cfRule>
    <cfRule type="containsText" dxfId="145" priority="9915" operator="containsText" text="HD">
      <formula>NOT(ISERROR(SEARCH("HD",#REF!)))</formula>
    </cfRule>
    <cfRule type="containsText" dxfId="144" priority="9914" operator="containsText" text="AB">
      <formula>NOT(ISERROR(SEARCH("AB",#REF!)))</formula>
    </cfRule>
    <cfRule type="expression" priority="9912">
      <formula>AND(ISNUMBER($Z2), ISNUMBER($AA2))</formula>
    </cfRule>
    <cfRule type="cellIs" dxfId="143" priority="9910" operator="equal">
      <formula>"OFF"</formula>
    </cfRule>
  </conditionalFormatting>
  <conditionalFormatting sqref="E17:AH17 AK17:BP17 E8:AB9 AE8:AH9">
    <cfRule type="containsText" dxfId="142" priority="239" operator="containsText" text="AB">
      <formula>NOT(ISERROR(SEARCH("AB",E8)))</formula>
    </cfRule>
  </conditionalFormatting>
  <conditionalFormatting sqref="E18:AH27">
    <cfRule type="containsText" dxfId="141" priority="16" operator="containsText" text="AB">
      <formula>NOT(ISERROR(SEARCH("AB",E18)))</formula>
    </cfRule>
    <cfRule type="containsText" dxfId="140" priority="17" operator="containsText" text="SICK">
      <formula>NOT(ISERROR(SEARCH("SICK",E18)))</formula>
    </cfRule>
  </conditionalFormatting>
  <conditionalFormatting sqref="M17:AH17">
    <cfRule type="containsText" dxfId="139" priority="238" operator="containsText" text="SP">
      <formula>NOT(ISERROR(SEARCH("SP",M17)))</formula>
    </cfRule>
  </conditionalFormatting>
  <conditionalFormatting sqref="W32:AH32">
    <cfRule type="containsText" dxfId="138" priority="8988" operator="containsText" text="NL">
      <formula>NOT(ISERROR(SEARCH("NL",W32)))</formula>
    </cfRule>
    <cfRule type="containsText" dxfId="137" priority="8987" operator="containsText" text="SICK">
      <formula>NOT(ISERROR(SEARCH("SICK",W32)))</formula>
    </cfRule>
    <cfRule type="containsText" dxfId="136" priority="8985" operator="containsText" text="AB">
      <formula>NOT(ISERROR(SEARCH("AB",W32)))</formula>
    </cfRule>
    <cfRule type="containsText" dxfId="135" priority="8986" operator="containsText" text="AL">
      <formula>NOT(ISERROR(SEARCH("AL",W32)))</formula>
    </cfRule>
  </conditionalFormatting>
  <conditionalFormatting sqref="Y10:AB10 AE10:AG10 Y11:AG11">
    <cfRule type="containsText" dxfId="134" priority="194" operator="containsText" text="AB">
      <formula>NOT(ISERROR(SEARCH("AB",Y10)))</formula>
    </cfRule>
    <cfRule type="containsText" dxfId="133" priority="195" operator="containsText" text="SICK">
      <formula>NOT(ISERROR(SEARCH("SICK",Y10)))</formula>
    </cfRule>
  </conditionalFormatting>
  <conditionalFormatting sqref="AA32:AB32">
    <cfRule type="containsText" dxfId="132" priority="9027" stopIfTrue="1" operator="containsText" text="SICK">
      <formula>NOT(ISERROR(SEARCH("SICK",AA32)))</formula>
    </cfRule>
    <cfRule type="containsText" dxfId="131" priority="9026" stopIfTrue="1" operator="containsText" text="SP">
      <formula>NOT(ISERROR(SEARCH("SP",AA32)))</formula>
    </cfRule>
    <cfRule type="containsText" dxfId="130" priority="9025" stopIfTrue="1" operator="containsText" text="AL">
      <formula>NOT(ISERROR(SEARCH("AL",AA32)))</formula>
    </cfRule>
  </conditionalFormatting>
  <conditionalFormatting sqref="AC8:AD10">
    <cfRule type="containsText" dxfId="129" priority="178" operator="containsText" text="AB">
      <formula>NOT(ISERROR(SEARCH("AB",AC8)))</formula>
    </cfRule>
    <cfRule type="containsText" dxfId="128" priority="179" operator="containsText" text="SICK">
      <formula>NOT(ISERROR(SEARCH("SICK",AC8)))</formula>
    </cfRule>
  </conditionalFormatting>
  <conditionalFormatting sqref="AH10:AH11">
    <cfRule type="containsText" dxfId="127" priority="153" operator="containsText" text="SICK">
      <formula>NOT(ISERROR(SEARCH("SICK",AH10)))</formula>
    </cfRule>
    <cfRule type="containsText" dxfId="126" priority="152" operator="containsText" text="AB">
      <formula>NOT(ISERROR(SEARCH("AB",AH10)))</formula>
    </cfRule>
  </conditionalFormatting>
  <conditionalFormatting sqref="AI54:AI57">
    <cfRule type="containsText" dxfId="125" priority="7498" stopIfTrue="1" operator="containsText" text="AB">
      <formula>NOT(ISERROR(SEARCH("AB",AI54)))</formula>
    </cfRule>
    <cfRule type="containsText" dxfId="124" priority="7500" operator="containsText" text="SICK">
      <formula>NOT(ISERROR(SEARCH("SICK",AI54)))</formula>
    </cfRule>
  </conditionalFormatting>
  <conditionalFormatting sqref="AI54:AJ57 AJ5:AK5 AJ6:AJ27">
    <cfRule type="containsText" dxfId="123" priority="7538" operator="containsText" text="AL">
      <formula>NOT(ISERROR(SEARCH("AL",AI5)))</formula>
    </cfRule>
    <cfRule type="containsText" priority="7537" operator="containsText" text="FL">
      <formula>NOT(ISERROR(SEARCH("FL",AI5)))</formula>
    </cfRule>
  </conditionalFormatting>
  <conditionalFormatting sqref="AI54:AJ57">
    <cfRule type="containsText" dxfId="122" priority="6726" stopIfTrue="1" operator="containsText" text="FL">
      <formula>NOT(ISERROR(SEARCH("FL",AI54)))</formula>
    </cfRule>
  </conditionalFormatting>
  <conditionalFormatting sqref="AJ5:AK5 AJ6:AJ27 AJ54:AJ57">
    <cfRule type="containsText" dxfId="121" priority="7539" operator="containsText" text="AB">
      <formula>NOT(ISERROR(SEARCH("AB",AJ5)))</formula>
    </cfRule>
    <cfRule type="containsText" dxfId="120" priority="7540" operator="containsText" text="SICK">
      <formula>NOT(ISERROR(SEARCH("SICK",AJ5)))</formula>
    </cfRule>
  </conditionalFormatting>
  <conditionalFormatting sqref="AJ5:AK5 AJ6:AJ27">
    <cfRule type="containsText" dxfId="119" priority="7411" stopIfTrue="1" operator="containsText" text="FL">
      <formula>NOT(ISERROR(SEARCH("FL",AJ5)))</formula>
    </cfRule>
  </conditionalFormatting>
  <conditionalFormatting sqref="AJ5:BP6 E5:AH7 BP7 AJ7:AJ27">
    <cfRule type="containsText" dxfId="118" priority="180" operator="containsText" text="AB">
      <formula>NOT(ISERROR(SEARCH("AB",E5)))</formula>
    </cfRule>
    <cfRule type="containsText" dxfId="117" priority="181" operator="containsText" text="SICK">
      <formula>NOT(ISERROR(SEARCH("SICK",E5)))</formula>
    </cfRule>
  </conditionalFormatting>
  <conditionalFormatting sqref="AK5 E32 AK32:AT32 AV32:BP32">
    <cfRule type="containsText" dxfId="116" priority="9333" operator="containsText" text="NL">
      <formula>NOT(ISERROR(SEARCH("NL",E5)))</formula>
    </cfRule>
    <cfRule type="containsText" dxfId="115" priority="9332" operator="containsText" text="SICK">
      <formula>NOT(ISERROR(SEARCH("SICK",E5)))</formula>
    </cfRule>
    <cfRule type="containsText" dxfId="114" priority="9331" operator="containsText" text="AL">
      <formula>NOT(ISERROR(SEARCH("AL",E5)))</formula>
    </cfRule>
  </conditionalFormatting>
  <conditionalFormatting sqref="AK5">
    <cfRule type="containsText" dxfId="113" priority="1263" stopIfTrue="1" operator="containsText" text="NL">
      <formula>NOT(ISERROR(SEARCH("NL",AK5)))</formula>
    </cfRule>
    <cfRule type="containsText" dxfId="112" priority="1264" stopIfTrue="1" operator="containsText" text="AB">
      <formula>NOT(ISERROR(SEARCH("AB",AK5)))</formula>
    </cfRule>
    <cfRule type="containsText" dxfId="111" priority="1266" stopIfTrue="1" operator="containsText" text="AL">
      <formula>NOT(ISERROR(SEARCH("AL",AK5)))</formula>
    </cfRule>
    <cfRule type="containsText" dxfId="110" priority="1267" stopIfTrue="1" operator="containsText" text="SP">
      <formula>NOT(ISERROR(SEARCH("SP",AK5)))</formula>
    </cfRule>
    <cfRule type="containsText" dxfId="109" priority="1268" stopIfTrue="1" operator="containsText" text="SICK">
      <formula>NOT(ISERROR(SEARCH("SICK",AK5)))</formula>
    </cfRule>
    <cfRule type="containsText" dxfId="108" priority="6631" stopIfTrue="1" operator="containsText" text="AB">
      <formula>NOT(ISERROR(SEARCH("AB",AK5)))</formula>
    </cfRule>
    <cfRule type="containsText" dxfId="107" priority="6632" stopIfTrue="1" operator="containsText" text="AL">
      <formula>NOT(ISERROR(SEARCH("AL",AK5)))</formula>
    </cfRule>
    <cfRule type="containsText" dxfId="106" priority="6633" stopIfTrue="1" operator="containsText" text="EL">
      <formula>NOT(ISERROR(SEARCH("EL",AK5)))</formula>
    </cfRule>
    <cfRule type="containsText" dxfId="105" priority="6634" stopIfTrue="1" operator="containsText" text="SICK">
      <formula>NOT(ISERROR(SEARCH("SICK",AK5)))</formula>
    </cfRule>
    <cfRule type="containsText" dxfId="104" priority="6635" stopIfTrue="1" operator="containsText" text="AB">
      <formula>NOT(ISERROR(SEARCH("AB",AK5)))</formula>
    </cfRule>
    <cfRule type="containsText" dxfId="103" priority="6636" stopIfTrue="1" operator="containsText" text="AL">
      <formula>NOT(ISERROR(SEARCH("AL",AK5)))</formula>
    </cfRule>
    <cfRule type="containsText" dxfId="102" priority="6637" stopIfTrue="1" operator="containsText" text="SP">
      <formula>NOT(ISERROR(SEARCH("SP",AK5)))</formula>
    </cfRule>
    <cfRule type="containsText" dxfId="101" priority="6638" stopIfTrue="1" operator="containsText" text="SICK">
      <formula>NOT(ISERROR(SEARCH("SICK",AK5)))</formula>
    </cfRule>
    <cfRule type="containsText" dxfId="100" priority="8685" stopIfTrue="1" operator="containsText" text="AL">
      <formula>NOT(ISERROR(SEARCH("AL",AK5)))</formula>
    </cfRule>
    <cfRule type="containsText" dxfId="99" priority="8686" stopIfTrue="1" operator="containsText" text="SP">
      <formula>NOT(ISERROR(SEARCH("SP",AK5)))</formula>
    </cfRule>
    <cfRule type="containsText" dxfId="98" priority="8687" stopIfTrue="1" operator="containsText" text="SICK">
      <formula>NOT(ISERROR(SEARCH("SICK",AK5)))</formula>
    </cfRule>
    <cfRule type="containsText" dxfId="97" priority="9334" stopIfTrue="1" operator="containsText" text="AL">
      <formula>NOT(ISERROR(SEARCH("AL",AK5)))</formula>
    </cfRule>
    <cfRule type="containsText" dxfId="96" priority="9335" stopIfTrue="1" operator="containsText" text="SP">
      <formula>NOT(ISERROR(SEARCH("SP",AK5)))</formula>
    </cfRule>
    <cfRule type="containsText" dxfId="95" priority="9336" stopIfTrue="1" operator="containsText" text="SICK">
      <formula>NOT(ISERROR(SEARCH("SICK",AK5)))</formula>
    </cfRule>
    <cfRule type="containsText" dxfId="94" priority="1261" stopIfTrue="1" operator="containsText" text="AL">
      <formula>NOT(ISERROR(SEARCH("AL",AK5)))</formula>
    </cfRule>
    <cfRule type="containsText" dxfId="93" priority="1262" stopIfTrue="1" operator="containsText" text="SICK">
      <formula>NOT(ISERROR(SEARCH("SICK",AK5)))</formula>
    </cfRule>
  </conditionalFormatting>
  <conditionalFormatting sqref="AK4:AL4">
    <cfRule type="dataBar" priority="9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{6D63F4DB-2A84-4176-BA69-1F31123C92AF}</x14:id>
        </ext>
      </extLst>
    </cfRule>
  </conditionalFormatting>
  <conditionalFormatting sqref="AK7:AT8 AK10:AT16">
    <cfRule type="containsText" dxfId="92" priority="58" operator="containsText" text="AB">
      <formula>NOT(ISERROR(SEARCH("AB",AK7)))</formula>
    </cfRule>
    <cfRule type="containsText" dxfId="91" priority="59" operator="containsText" text="SICK">
      <formula>NOT(ISERROR(SEARCH("SICK",AK7)))</formula>
    </cfRule>
  </conditionalFormatting>
  <conditionalFormatting sqref="AK18:AT27">
    <cfRule type="containsText" dxfId="90" priority="97" operator="containsText" text="AB">
      <formula>NOT(ISERROR(SEARCH("AB",AK18)))</formula>
    </cfRule>
    <cfRule type="containsText" dxfId="89" priority="98" operator="containsText" text="SICK">
      <formula>NOT(ISERROR(SEARCH("SICK",AK18)))</formula>
    </cfRule>
  </conditionalFormatting>
  <conditionalFormatting sqref="AK9:BN9">
    <cfRule type="containsText" dxfId="88" priority="1" operator="containsText" text="AL">
      <formula>NOT(ISERROR(SEARCH("AL",AK9)))</formula>
    </cfRule>
  </conditionalFormatting>
  <conditionalFormatting sqref="AK4:BP4">
    <cfRule type="expression" priority="9874">
      <formula>AND(ISNUMBER($Z2), ISNUMBER($AA2))</formula>
    </cfRule>
    <cfRule type="cellIs" dxfId="87" priority="9876" operator="equal">
      <formula>"Sick"</formula>
    </cfRule>
    <cfRule type="cellIs" dxfId="86" priority="9877" operator="equal">
      <formula>"AB"</formula>
    </cfRule>
    <cfRule type="cellIs" dxfId="85" priority="9878" operator="equal">
      <formula>"OFF"</formula>
    </cfRule>
    <cfRule type="containsText" dxfId="84" priority="9879" operator="containsText" text="AB">
      <formula>NOT(ISERROR(SEARCH("AB",#REF!)))</formula>
    </cfRule>
    <cfRule type="containsText" dxfId="83" priority="9881" operator="containsText" text="S">
      <formula>NOT(ISERROR(SEARCH("S",#REF!)))</formula>
    </cfRule>
    <cfRule type="containsText" dxfId="82" priority="9880" operator="containsText" text="HD">
      <formula>NOT(ISERROR(SEARCH("HD",#REF!)))</formula>
    </cfRule>
  </conditionalFormatting>
  <conditionalFormatting sqref="AK9:BP9 AU8:BP8">
    <cfRule type="containsText" dxfId="81" priority="34" operator="containsText" text="AB">
      <formula>NOT(ISERROR(SEARCH("AB",AK8)))</formula>
    </cfRule>
  </conditionalFormatting>
  <conditionalFormatting sqref="AK17:BP17">
    <cfRule type="containsText" dxfId="80" priority="121" operator="containsText" text="SP">
      <formula>NOT(ISERROR(SEARCH("SP",AK17)))</formula>
    </cfRule>
  </conditionalFormatting>
  <conditionalFormatting sqref="AM4:AN4">
    <cfRule type="dataBar" priority="9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{1DEE2E95-95D7-4817-9D43-5F7067415350}</x14:id>
        </ext>
      </extLst>
    </cfRule>
  </conditionalFormatting>
  <conditionalFormatting sqref="AO4:AP4">
    <cfRule type="dataBar" priority="9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{E58797D3-2A86-4195-A6FD-0094D016F6D2}</x14:id>
        </ext>
      </extLst>
    </cfRule>
  </conditionalFormatting>
  <conditionalFormatting sqref="AQ4:AR4">
    <cfRule type="dataBar" priority="9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{8260E6E5-BD28-4085-8022-04E6B4FBD105}</x14:id>
        </ext>
      </extLst>
    </cfRule>
  </conditionalFormatting>
  <conditionalFormatting sqref="AS4:AT4">
    <cfRule type="dataBar" priority="98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{E3F6B5F3-5936-4733-A5D2-38B68623B0E7}</x14:id>
        </ext>
      </extLst>
    </cfRule>
  </conditionalFormatting>
  <conditionalFormatting sqref="AU4:AV4">
    <cfRule type="dataBar" priority="98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{C0AAB12F-FE43-4F10-896C-80D7B0ED7A97}</x14:id>
        </ext>
      </extLst>
    </cfRule>
  </conditionalFormatting>
  <conditionalFormatting sqref="AU24:AX24">
    <cfRule type="containsText" dxfId="79" priority="60" operator="containsText" text="FL">
      <formula>NOT(ISERROR(SEARCH("FL",AU24)))</formula>
    </cfRule>
  </conditionalFormatting>
  <conditionalFormatting sqref="AU12:BF12 E12:AH16">
    <cfRule type="containsText" dxfId="78" priority="148" operator="containsText" text="AB">
      <formula>NOT(ISERROR(SEARCH("AB",E12)))</formula>
    </cfRule>
    <cfRule type="containsText" dxfId="77" priority="149" operator="containsText" text="SICK">
      <formula>NOT(ISERROR(SEARCH("SICK",E12)))</formula>
    </cfRule>
  </conditionalFormatting>
  <conditionalFormatting sqref="AU19:BF19 BI19:BP19">
    <cfRule type="containsText" dxfId="76" priority="132" operator="containsText" text="AB">
      <formula>NOT(ISERROR(SEARCH("AB",AU19)))</formula>
    </cfRule>
    <cfRule type="containsText" dxfId="75" priority="136" operator="containsText" text="SICK">
      <formula>NOT(ISERROR(SEARCH("SICK",AU19)))</formula>
    </cfRule>
  </conditionalFormatting>
  <conditionalFormatting sqref="AU8:BP8 AK9:BP9">
    <cfRule type="containsText" dxfId="74" priority="35" operator="containsText" text="SICK">
      <formula>NOT(ISERROR(SEARCH("SICK",AK8)))</formula>
    </cfRule>
  </conditionalFormatting>
  <conditionalFormatting sqref="AV7">
    <cfRule type="containsText" dxfId="73" priority="94" operator="containsText" text="SICK">
      <formula>NOT(ISERROR(SEARCH("SICK",AV7)))</formula>
    </cfRule>
    <cfRule type="containsText" dxfId="72" priority="93" operator="containsText" text="AB">
      <formula>NOT(ISERROR(SEARCH("AB",AV7)))</formula>
    </cfRule>
  </conditionalFormatting>
  <conditionalFormatting sqref="AV20">
    <cfRule type="containsText" dxfId="71" priority="83" operator="containsText" text="AB">
      <formula>NOT(ISERROR(SEARCH("AB",AV20)))</formula>
    </cfRule>
    <cfRule type="containsText" dxfId="70" priority="84" operator="containsText" text="SICK">
      <formula>NOT(ISERROR(SEARCH("SICK",AV20)))</formula>
    </cfRule>
  </conditionalFormatting>
  <conditionalFormatting sqref="AV22:AX22">
    <cfRule type="containsText" dxfId="69" priority="72" operator="containsText" text="SICK">
      <formula>NOT(ISERROR(SEARCH("SICK",AV22)))</formula>
    </cfRule>
    <cfRule type="containsText" dxfId="68" priority="71" operator="containsText" text="AB">
      <formula>NOT(ISERROR(SEARCH("AB",AV22)))</formula>
    </cfRule>
  </conditionalFormatting>
  <conditionalFormatting sqref="AV32:BP32 AK5 E32 AK32:AT32">
    <cfRule type="containsText" dxfId="67" priority="9330" operator="containsText" text="AB">
      <formula>NOT(ISERROR(SEARCH("AB",E5)))</formula>
    </cfRule>
  </conditionalFormatting>
  <conditionalFormatting sqref="AW4:AX4">
    <cfRule type="dataBar" priority="98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{676084F8-BB6E-4808-A9C4-805D79F8740B}</x14:id>
        </ext>
      </extLst>
    </cfRule>
  </conditionalFormatting>
  <conditionalFormatting sqref="AX7">
    <cfRule type="containsText" dxfId="66" priority="91" operator="containsText" text="AB">
      <formula>NOT(ISERROR(SEARCH("AB",AX7)))</formula>
    </cfRule>
    <cfRule type="containsText" dxfId="65" priority="92" operator="containsText" text="SICK">
      <formula>NOT(ISERROR(SEARCH("SICK",AX7)))</formula>
    </cfRule>
  </conditionalFormatting>
  <conditionalFormatting sqref="AX16">
    <cfRule type="containsText" dxfId="64" priority="85" operator="containsText" text="AB">
      <formula>NOT(ISERROR(SEARCH("AB",AX16)))</formula>
    </cfRule>
    <cfRule type="containsText" dxfId="63" priority="86" operator="containsText" text="SICK">
      <formula>NOT(ISERROR(SEARCH("SICK",AX16)))</formula>
    </cfRule>
  </conditionalFormatting>
  <conditionalFormatting sqref="AX20">
    <cfRule type="containsText" dxfId="62" priority="81" operator="containsText" text="AB">
      <formula>NOT(ISERROR(SEARCH("AB",AX20)))</formula>
    </cfRule>
    <cfRule type="containsText" dxfId="61" priority="82" operator="containsText" text="SICK">
      <formula>NOT(ISERROR(SEARCH("SICK",AX20)))</formula>
    </cfRule>
  </conditionalFormatting>
  <conditionalFormatting sqref="AY4:AZ4">
    <cfRule type="dataBar" priority="98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{18A82118-9CAA-4B92-A71A-8D02BC2C2A4B}</x14:id>
        </ext>
      </extLst>
    </cfRule>
  </conditionalFormatting>
  <conditionalFormatting sqref="AZ7">
    <cfRule type="containsText" dxfId="60" priority="90" operator="containsText" text="SICK">
      <formula>NOT(ISERROR(SEARCH("SICK",AZ7)))</formula>
    </cfRule>
    <cfRule type="containsText" dxfId="59" priority="89" operator="containsText" text="AB">
      <formula>NOT(ISERROR(SEARCH("AB",AZ7)))</formula>
    </cfRule>
  </conditionalFormatting>
  <conditionalFormatting sqref="AZ22:AZ23">
    <cfRule type="containsText" dxfId="58" priority="65" operator="containsText" text="AB">
      <formula>NOT(ISERROR(SEARCH("AB",AZ22)))</formula>
    </cfRule>
    <cfRule type="containsText" dxfId="57" priority="66" operator="containsText" text="SICK">
      <formula>NOT(ISERROR(SEARCH("SICK",AZ22)))</formula>
    </cfRule>
  </conditionalFormatting>
  <conditionalFormatting sqref="BA4:BB4">
    <cfRule type="dataBar" priority="9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{F06A211D-83EF-48EB-8E3E-F5071C1034C2}</x14:id>
        </ext>
      </extLst>
    </cfRule>
  </conditionalFormatting>
  <conditionalFormatting sqref="BA21:BB21">
    <cfRule type="containsText" dxfId="56" priority="75" operator="containsText" text="AB">
      <formula>NOT(ISERROR(SEARCH("AB",BA21)))</formula>
    </cfRule>
    <cfRule type="containsText" dxfId="55" priority="76" operator="containsText" text="SICK">
      <formula>NOT(ISERROR(SEARCH("SICK",BA21)))</formula>
    </cfRule>
  </conditionalFormatting>
  <conditionalFormatting sqref="BA32:BN32">
    <cfRule type="containsText" dxfId="54" priority="9870" stopIfTrue="1" operator="containsText" text="AL">
      <formula>NOT(ISERROR(SEARCH("AL",BA32)))</formula>
    </cfRule>
    <cfRule type="containsText" dxfId="53" priority="9871" stopIfTrue="1" operator="containsText" text="SP">
      <formula>NOT(ISERROR(SEARCH("SP",BA32)))</formula>
    </cfRule>
    <cfRule type="containsText" dxfId="52" priority="9872" stopIfTrue="1" operator="containsText" text="SICK">
      <formula>NOT(ISERROR(SEARCH("SICK",BA32)))</formula>
    </cfRule>
  </conditionalFormatting>
  <conditionalFormatting sqref="BB7">
    <cfRule type="containsText" dxfId="51" priority="87" operator="containsText" text="AB">
      <formula>NOT(ISERROR(SEARCH("AB",BB7)))</formula>
    </cfRule>
    <cfRule type="containsText" dxfId="50" priority="88" operator="containsText" text="SICK">
      <formula>NOT(ISERROR(SEARCH("SICK",BB7)))</formula>
    </cfRule>
  </conditionalFormatting>
  <conditionalFormatting sqref="BB20">
    <cfRule type="containsText" dxfId="49" priority="80" operator="containsText" text="SICK">
      <formula>NOT(ISERROR(SEARCH("SICK",BB20)))</formula>
    </cfRule>
    <cfRule type="containsText" dxfId="48" priority="79" operator="containsText" text="AB">
      <formula>NOT(ISERROR(SEARCH("AB",BB20)))</formula>
    </cfRule>
  </conditionalFormatting>
  <conditionalFormatting sqref="BB22:BB23">
    <cfRule type="containsText" dxfId="47" priority="63" operator="containsText" text="AB">
      <formula>NOT(ISERROR(SEARCH("AB",BB22)))</formula>
    </cfRule>
    <cfRule type="containsText" dxfId="46" priority="64" operator="containsText" text="SICK">
      <formula>NOT(ISERROR(SEARCH("SICK",BB22)))</formula>
    </cfRule>
  </conditionalFormatting>
  <conditionalFormatting sqref="BC4:BD4">
    <cfRule type="dataBar" priority="98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{B5883476-EC16-4F79-A91B-A59F2189912D}</x14:id>
        </ext>
      </extLst>
    </cfRule>
  </conditionalFormatting>
  <conditionalFormatting sqref="BD20">
    <cfRule type="containsText" dxfId="45" priority="77" operator="containsText" text="AB">
      <formula>NOT(ISERROR(SEARCH("AB",BD20)))</formula>
    </cfRule>
    <cfRule type="containsText" dxfId="44" priority="78" operator="containsText" text="SICK">
      <formula>NOT(ISERROR(SEARCH("SICK",BD20)))</formula>
    </cfRule>
  </conditionalFormatting>
  <conditionalFormatting sqref="BD23">
    <cfRule type="containsText" dxfId="43" priority="61" operator="containsText" text="AB">
      <formula>NOT(ISERROR(SEARCH("AB",BD23)))</formula>
    </cfRule>
    <cfRule type="containsText" dxfId="42" priority="62" operator="containsText" text="SICK">
      <formula>NOT(ISERROR(SEARCH("SICK",BD23)))</formula>
    </cfRule>
  </conditionalFormatting>
  <conditionalFormatting sqref="BE4:BF4">
    <cfRule type="dataBar" priority="98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{0AFF2630-7AB1-47C1-82A0-74BACF86AC98}</x14:id>
        </ext>
      </extLst>
    </cfRule>
  </conditionalFormatting>
  <conditionalFormatting sqref="BF7">
    <cfRule type="containsText" dxfId="41" priority="36" operator="containsText" text="AB">
      <formula>NOT(ISERROR(SEARCH("AB",BF7)))</formula>
    </cfRule>
    <cfRule type="containsText" dxfId="40" priority="37" operator="containsText" text="SICK">
      <formula>NOT(ISERROR(SEARCH("SICK",BF7)))</formula>
    </cfRule>
  </conditionalFormatting>
  <conditionalFormatting sqref="BF13">
    <cfRule type="containsText" dxfId="39" priority="43" operator="containsText" text="SICK">
      <formula>NOT(ISERROR(SEARCH("SICK",BF13)))</formula>
    </cfRule>
    <cfRule type="containsText" dxfId="38" priority="42" operator="containsText" text="AB">
      <formula>NOT(ISERROR(SEARCH("AB",BF13)))</formula>
    </cfRule>
  </conditionalFormatting>
  <conditionalFormatting sqref="BF23">
    <cfRule type="containsText" dxfId="37" priority="47" operator="containsText" text="SICK">
      <formula>NOT(ISERROR(SEARCH("SICK",BF23)))</formula>
    </cfRule>
    <cfRule type="containsText" dxfId="36" priority="46" operator="containsText" text="AB">
      <formula>NOT(ISERROR(SEARCH("AB",BF23)))</formula>
    </cfRule>
  </conditionalFormatting>
  <conditionalFormatting sqref="BG10:BH13">
    <cfRule type="containsText" dxfId="35" priority="2" operator="containsText" text="AB">
      <formula>NOT(ISERROR(SEARCH("AB",BG10)))</formula>
    </cfRule>
    <cfRule type="containsText" dxfId="34" priority="3" operator="containsText" text="SICK">
      <formula>NOT(ISERROR(SEARCH("SICK",BG10)))</formula>
    </cfRule>
  </conditionalFormatting>
  <conditionalFormatting sqref="BG15:BH15">
    <cfRule type="containsText" dxfId="33" priority="53" operator="containsText" text="SICK">
      <formula>NOT(ISERROR(SEARCH("SICK",BG15)))</formula>
    </cfRule>
    <cfRule type="containsText" dxfId="32" priority="52" operator="containsText" text="AB">
      <formula>NOT(ISERROR(SEARCH("AB",BG15)))</formula>
    </cfRule>
  </conditionalFormatting>
  <conditionalFormatting sqref="BG19:BH22">
    <cfRule type="containsText" dxfId="31" priority="50" operator="containsText" text="AB">
      <formula>NOT(ISERROR(SEARCH("AB",BG19)))</formula>
    </cfRule>
    <cfRule type="containsText" dxfId="30" priority="51" operator="containsText" text="SICK">
      <formula>NOT(ISERROR(SEARCH("SICK",BG19)))</formula>
    </cfRule>
  </conditionalFormatting>
  <conditionalFormatting sqref="BG25:BH27">
    <cfRule type="containsText" dxfId="29" priority="49" operator="containsText" text="SICK">
      <formula>NOT(ISERROR(SEARCH("SICK",BG25)))</formula>
    </cfRule>
    <cfRule type="containsText" dxfId="28" priority="48" operator="containsText" text="AB">
      <formula>NOT(ISERROR(SEARCH("AB",BG25)))</formula>
    </cfRule>
  </conditionalFormatting>
  <conditionalFormatting sqref="BG4:BP4">
    <cfRule type="dataBar" priority="9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{22553D2D-F165-4A6E-9CD6-5A7C28AFC73C}</x14:id>
        </ext>
      </extLst>
    </cfRule>
  </conditionalFormatting>
  <conditionalFormatting sqref="BH7">
    <cfRule type="containsText" dxfId="27" priority="38" operator="containsText" text="AB">
      <formula>NOT(ISERROR(SEARCH("AB",BH7)))</formula>
    </cfRule>
    <cfRule type="containsText" dxfId="26" priority="39" operator="containsText" text="SICK">
      <formula>NOT(ISERROR(SEARCH("SICK",BH7)))</formula>
    </cfRule>
  </conditionalFormatting>
  <conditionalFormatting sqref="BH23:BJ23">
    <cfRule type="containsText" dxfId="25" priority="21" operator="containsText" text="SICK">
      <formula>NOT(ISERROR(SEARCH("SICK",BH23)))</formula>
    </cfRule>
    <cfRule type="containsText" dxfId="24" priority="20" operator="containsText" text="AB">
      <formula>NOT(ISERROR(SEARCH("AB",BH23)))</formula>
    </cfRule>
  </conditionalFormatting>
  <conditionalFormatting sqref="BI12:BP12">
    <cfRule type="containsText" dxfId="23" priority="33" operator="containsText" text="SICK">
      <formula>NOT(ISERROR(SEARCH("SICK",BI12)))</formula>
    </cfRule>
    <cfRule type="containsText" dxfId="22" priority="32" operator="containsText" text="AB">
      <formula>NOT(ISERROR(SEARCH("AB",BI12)))</formula>
    </cfRule>
  </conditionalFormatting>
  <conditionalFormatting sqref="BJ22">
    <cfRule type="containsText" dxfId="21" priority="27" operator="containsText" text="SICK">
      <formula>NOT(ISERROR(SEARCH("SICK",BJ22)))</formula>
    </cfRule>
    <cfRule type="containsText" dxfId="20" priority="26" operator="containsText" text="AB">
      <formula>NOT(ISERROR(SEARCH("AB",BJ22)))</formula>
    </cfRule>
  </conditionalFormatting>
  <conditionalFormatting sqref="BL13">
    <cfRule type="containsText" dxfId="19" priority="31" operator="containsText" text="SICK">
      <formula>NOT(ISERROR(SEARCH("SICK",BL13)))</formula>
    </cfRule>
    <cfRule type="containsText" dxfId="18" priority="30" operator="containsText" text="AB">
      <formula>NOT(ISERROR(SEARCH("AB",BL13)))</formula>
    </cfRule>
  </conditionalFormatting>
  <conditionalFormatting sqref="BL23">
    <cfRule type="containsText" dxfId="17" priority="25" operator="containsText" text="SICK">
      <formula>NOT(ISERROR(SEARCH("SICK",BL23)))</formula>
    </cfRule>
    <cfRule type="containsText" dxfId="16" priority="24" operator="containsText" text="AB">
      <formula>NOT(ISERROR(SEARCH("AB",BL23)))</formula>
    </cfRule>
  </conditionalFormatting>
  <conditionalFormatting sqref="BL27">
    <cfRule type="containsText" dxfId="15" priority="23" operator="containsText" text="SICK">
      <formula>NOT(ISERROR(SEARCH("SICK",BL27)))</formula>
    </cfRule>
    <cfRule type="containsText" dxfId="14" priority="22" operator="containsText" text="AB">
      <formula>NOT(ISERROR(SEARCH("AB",BL27)))</formula>
    </cfRule>
  </conditionalFormatting>
  <conditionalFormatting sqref="BL7:BN7">
    <cfRule type="containsText" dxfId="13" priority="19" operator="containsText" text="SICK">
      <formula>NOT(ISERROR(SEARCH("SICK",BL7)))</formula>
    </cfRule>
    <cfRule type="containsText" dxfId="12" priority="18" operator="containsText" text="AB">
      <formula>NOT(ISERROR(SEARCH("AB",BL7)))</formula>
    </cfRule>
  </conditionalFormatting>
  <conditionalFormatting sqref="BL18:BP18">
    <cfRule type="containsText" dxfId="11" priority="7" operator="containsText" text="SICK">
      <formula>NOT(ISERROR(SEARCH("SICK",BL18)))</formula>
    </cfRule>
    <cfRule type="containsText" dxfId="10" priority="6" operator="containsText" text="AB">
      <formula>NOT(ISERROR(SEARCH("AB",BL18)))</formula>
    </cfRule>
  </conditionalFormatting>
  <conditionalFormatting sqref="BN13">
    <cfRule type="containsText" dxfId="9" priority="13" operator="containsText" text="SICK">
      <formula>NOT(ISERROR(SEARCH("SICK",BN13)))</formula>
    </cfRule>
    <cfRule type="containsText" dxfId="8" priority="12" operator="containsText" text="AB">
      <formula>NOT(ISERROR(SEARCH("AB",BN13)))</formula>
    </cfRule>
  </conditionalFormatting>
  <conditionalFormatting sqref="BN23">
    <cfRule type="containsText" dxfId="7" priority="9" operator="containsText" text="SICK">
      <formula>NOT(ISERROR(SEARCH("SICK",BN23)))</formula>
    </cfRule>
    <cfRule type="containsText" dxfId="6" priority="8" operator="containsText" text="AB">
      <formula>NOT(ISERROR(SEARCH("AB",BN23)))</formula>
    </cfRule>
  </conditionalFormatting>
  <conditionalFormatting sqref="BO4:BP4">
    <cfRule type="dataBar" priority="9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{2230C556-5F3D-44BC-959A-7C247CA0A667}</x14:id>
        </ext>
      </extLst>
    </cfRule>
  </conditionalFormatting>
  <conditionalFormatting sqref="BO32:BP32">
    <cfRule type="containsText" dxfId="5" priority="9327" stopIfTrue="1" operator="containsText" text="SP">
      <formula>NOT(ISERROR(SEARCH("SP",BO32)))</formula>
    </cfRule>
    <cfRule type="containsText" dxfId="4" priority="9326" stopIfTrue="1" operator="containsText" text="AL">
      <formula>NOT(ISERROR(SEARCH("AL",BO32)))</formula>
    </cfRule>
    <cfRule type="containsText" dxfId="3" priority="9328" stopIfTrue="1" operator="containsText" text="SICK">
      <formula>NOT(ISERROR(SEARCH("SICK",BO32)))</formula>
    </cfRule>
  </conditionalFormatting>
  <conditionalFormatting sqref="BP23:BP24">
    <cfRule type="containsText" dxfId="2" priority="4" operator="containsText" text="AB">
      <formula>NOT(ISERROR(SEARCH("AB",BP23)))</formula>
    </cfRule>
    <cfRule type="containsText" dxfId="1" priority="5" operator="containsText" text="SICK">
      <formula>NOT(ISERROR(SEARCH("SICK",BP23)))</formula>
    </cfRule>
  </conditionalFormatting>
  <conditionalFormatting sqref="BR32">
    <cfRule type="cellIs" dxfId="0" priority="9869" operator="equal">
      <formula>";"</formula>
    </cfRule>
  </conditionalFormatting>
  <pageMargins left="0.7" right="0.7" top="0.75" bottom="0.75" header="0.3" footer="0.3"/>
  <pageSetup paperSize="9" scale="21" orientation="landscape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39E42C-A990-4FB9-832E-3C6A5CD3AC8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E4:AH4</xm:sqref>
        </x14:conditionalFormatting>
        <x14:conditionalFormatting xmlns:xm="http://schemas.microsoft.com/office/excel/2006/main">
          <x14:cfRule type="dataBar" id="{6D63F4DB-2A84-4176-BA69-1F31123C92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AK4:AL4</xm:sqref>
        </x14:conditionalFormatting>
        <x14:conditionalFormatting xmlns:xm="http://schemas.microsoft.com/office/excel/2006/main">
          <x14:cfRule type="dataBar" id="{1DEE2E95-95D7-4817-9D43-5F70674153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AM4:AN4</xm:sqref>
        </x14:conditionalFormatting>
        <x14:conditionalFormatting xmlns:xm="http://schemas.microsoft.com/office/excel/2006/main">
          <x14:cfRule type="dataBar" id="{E58797D3-2A86-4195-A6FD-0094D016F6D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AO4:AP4</xm:sqref>
        </x14:conditionalFormatting>
        <x14:conditionalFormatting xmlns:xm="http://schemas.microsoft.com/office/excel/2006/main">
          <x14:cfRule type="dataBar" id="{8260E6E5-BD28-4085-8022-04E6B4FBD1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AQ4:AR4</xm:sqref>
        </x14:conditionalFormatting>
        <x14:conditionalFormatting xmlns:xm="http://schemas.microsoft.com/office/excel/2006/main">
          <x14:cfRule type="dataBar" id="{E3F6B5F3-5936-4733-A5D2-38B68623B0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AS4:AT4</xm:sqref>
        </x14:conditionalFormatting>
        <x14:conditionalFormatting xmlns:xm="http://schemas.microsoft.com/office/excel/2006/main">
          <x14:cfRule type="dataBar" id="{C0AAB12F-FE43-4F10-896C-80D7B0ED7A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AU4:AV4</xm:sqref>
        </x14:conditionalFormatting>
        <x14:conditionalFormatting xmlns:xm="http://schemas.microsoft.com/office/excel/2006/main">
          <x14:cfRule type="dataBar" id="{676084F8-BB6E-4808-A9C4-805D79F874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AW4:AX4</xm:sqref>
        </x14:conditionalFormatting>
        <x14:conditionalFormatting xmlns:xm="http://schemas.microsoft.com/office/excel/2006/main">
          <x14:cfRule type="dataBar" id="{18A82118-9CAA-4B92-A71A-8D02BC2C2A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AY4:AZ4</xm:sqref>
        </x14:conditionalFormatting>
        <x14:conditionalFormatting xmlns:xm="http://schemas.microsoft.com/office/excel/2006/main">
          <x14:cfRule type="dataBar" id="{F06A211D-83EF-48EB-8E3E-F5071C1034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BA4:BB4</xm:sqref>
        </x14:conditionalFormatting>
        <x14:conditionalFormatting xmlns:xm="http://schemas.microsoft.com/office/excel/2006/main">
          <x14:cfRule type="dataBar" id="{B5883476-EC16-4F79-A91B-A59F218991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BC4:BD4</xm:sqref>
        </x14:conditionalFormatting>
        <x14:conditionalFormatting xmlns:xm="http://schemas.microsoft.com/office/excel/2006/main">
          <x14:cfRule type="dataBar" id="{0AFF2630-7AB1-47C1-82A0-74BACF86AC9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BE4:BF4</xm:sqref>
        </x14:conditionalFormatting>
        <x14:conditionalFormatting xmlns:xm="http://schemas.microsoft.com/office/excel/2006/main">
          <x14:cfRule type="dataBar" id="{22553D2D-F165-4A6E-9CD6-5A7C28AFC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BG4:BP4</xm:sqref>
        </x14:conditionalFormatting>
        <x14:conditionalFormatting xmlns:xm="http://schemas.microsoft.com/office/excel/2006/main">
          <x14:cfRule type="dataBar" id="{2230C556-5F3D-44BC-959A-7C247CA0A6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BO4:BP4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2026-04-01T06:22:59Z</cp:lastPrinted>
  <dcterms:created xsi:type="dcterms:W3CDTF">2025-11-01T09:49:58Z</dcterms:created>
  <dcterms:modified xsi:type="dcterms:W3CDTF">2026-10-30T09:06:41Z</dcterms:modified>
</cp:coreProperties>
</file>