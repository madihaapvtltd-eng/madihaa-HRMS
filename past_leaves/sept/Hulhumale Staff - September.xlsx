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sept\"/>
    </mc:Choice>
  </mc:AlternateContent>
  <xr:revisionPtr revIDLastSave="0" documentId="13_ncr:1_{7A334DF1-C2AE-4D67-B5D2-5208C566A27A}" xr6:coauthVersionLast="47" xr6:coauthVersionMax="47" xr10:uidLastSave="{00000000-0000-0000-0000-000000000000}"/>
  <bookViews>
    <workbookView xWindow="-120" yWindow="-120" windowWidth="29040" windowHeight="15840" activeTab="1" xr2:uid="{F40E51D0-06DA-454F-A274-231ADDE8369D}"/>
  </bookViews>
  <sheets>
    <sheet name="MASTER" sheetId="7" r:id="rId1"/>
    <sheet name="James" sheetId="10" r:id="rId2"/>
  </sheets>
  <externalReferences>
    <externalReference r:id="rId3"/>
  </externalReferences>
  <definedNames>
    <definedName name="_xlnm._FilterDatabase" localSheetId="1" hidden="1">James!#REF!</definedName>
    <definedName name="_xlnm._FilterDatabase" localSheetId="0" hidden="1">MASTER!$CH$4:$CR$4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30" i="7" l="1"/>
  <c r="BS31" i="7"/>
  <c r="BS32" i="7"/>
  <c r="BS33" i="7"/>
  <c r="BS34" i="7"/>
  <c r="BS35" i="7"/>
  <c r="BS36" i="7"/>
  <c r="BS37" i="7"/>
  <c r="BS38" i="7"/>
  <c r="BS39" i="7"/>
  <c r="BS40" i="7"/>
  <c r="BS41" i="7"/>
  <c r="BS42" i="7"/>
  <c r="BS43" i="7"/>
  <c r="BS44" i="7"/>
  <c r="BS45" i="7"/>
  <c r="BS46" i="7"/>
  <c r="BS27" i="7"/>
  <c r="BS28" i="7"/>
  <c r="BS29" i="7"/>
  <c r="BS26" i="7"/>
  <c r="BS6" i="7"/>
  <c r="BS7" i="7"/>
  <c r="BS8" i="7"/>
  <c r="BS9" i="7"/>
  <c r="BS10" i="7"/>
  <c r="BS11" i="7"/>
  <c r="BS12" i="7"/>
  <c r="BS5" i="7"/>
  <c r="BT6" i="7"/>
  <c r="BU6" i="7"/>
  <c r="BV6" i="7"/>
  <c r="BW6" i="7"/>
  <c r="BX6" i="7"/>
  <c r="BY6" i="7"/>
  <c r="BZ6" i="7"/>
  <c r="CA6" i="7"/>
  <c r="CB6" i="7"/>
  <c r="CC6" i="7"/>
  <c r="CD6" i="7"/>
  <c r="BT7" i="7"/>
  <c r="BU7" i="7"/>
  <c r="BV7" i="7"/>
  <c r="BW7" i="7"/>
  <c r="BX7" i="7"/>
  <c r="BY7" i="7"/>
  <c r="BZ7" i="7"/>
  <c r="CA7" i="7"/>
  <c r="CB7" i="7"/>
  <c r="CC7" i="7"/>
  <c r="CD7" i="7"/>
  <c r="BT8" i="7"/>
  <c r="BU8" i="7"/>
  <c r="BV8" i="7"/>
  <c r="BW8" i="7"/>
  <c r="BX8" i="7"/>
  <c r="BY8" i="7"/>
  <c r="BZ8" i="7"/>
  <c r="CA8" i="7"/>
  <c r="CB8" i="7"/>
  <c r="CC8" i="7"/>
  <c r="CD8" i="7"/>
  <c r="BT9" i="7"/>
  <c r="BU9" i="7"/>
  <c r="BV9" i="7"/>
  <c r="BW9" i="7"/>
  <c r="BX9" i="7"/>
  <c r="BY9" i="7"/>
  <c r="BZ9" i="7"/>
  <c r="CA9" i="7"/>
  <c r="CB9" i="7"/>
  <c r="CC9" i="7"/>
  <c r="CD9" i="7"/>
  <c r="BT11" i="7"/>
  <c r="BU11" i="7"/>
  <c r="BV11" i="7"/>
  <c r="BW11" i="7"/>
  <c r="BX11" i="7"/>
  <c r="BY11" i="7"/>
  <c r="BZ11" i="7"/>
  <c r="CA11" i="7"/>
  <c r="CB11" i="7"/>
  <c r="CC11" i="7"/>
  <c r="CD11" i="7"/>
  <c r="BT12" i="7"/>
  <c r="BU12" i="7"/>
  <c r="BV12" i="7"/>
  <c r="BW12" i="7"/>
  <c r="BX12" i="7"/>
  <c r="BY12" i="7"/>
  <c r="BZ12" i="7"/>
  <c r="CA12" i="7"/>
  <c r="CB12" i="7"/>
  <c r="CC12" i="7"/>
  <c r="CD12" i="7"/>
  <c r="BS63" i="7"/>
  <c r="BJ5" i="10"/>
  <c r="AV5" i="10"/>
  <c r="AU5" i="10"/>
  <c r="AT5" i="10"/>
  <c r="AS5" i="10"/>
  <c r="AR5" i="10"/>
  <c r="AQ5" i="10"/>
  <c r="AP5" i="10"/>
  <c r="AO5" i="10"/>
  <c r="AN5" i="10"/>
  <c r="AM5" i="10"/>
  <c r="AL5" i="10"/>
  <c r="CD29" i="7"/>
  <c r="CC29" i="7"/>
  <c r="CB29" i="7"/>
  <c r="CA29" i="7"/>
  <c r="BZ29" i="7"/>
  <c r="BY29" i="7"/>
  <c r="BX29" i="7"/>
  <c r="BW29" i="7"/>
  <c r="BV29" i="7"/>
  <c r="BU29" i="7"/>
  <c r="BT29" i="7"/>
  <c r="CB64" i="7"/>
  <c r="BS64" i="7"/>
  <c r="BQ12" i="7" l="1"/>
  <c r="BQ8" i="7"/>
  <c r="BQ9" i="7"/>
  <c r="BQ6" i="7"/>
  <c r="BQ11" i="7"/>
  <c r="BQ7" i="7"/>
  <c r="AI5" i="10"/>
  <c r="BQ29" i="7"/>
  <c r="BT46" i="7"/>
  <c r="BU46" i="7"/>
  <c r="BV46" i="7"/>
  <c r="BW46" i="7"/>
  <c r="BX46" i="7"/>
  <c r="BY46" i="7"/>
  <c r="BZ46" i="7"/>
  <c r="CA46" i="7"/>
  <c r="CB46" i="7"/>
  <c r="CC46" i="7"/>
  <c r="CD46" i="7"/>
  <c r="BT64" i="7"/>
  <c r="BU64" i="7"/>
  <c r="BV64" i="7"/>
  <c r="BW64" i="7"/>
  <c r="BX64" i="7"/>
  <c r="BY64" i="7"/>
  <c r="BZ64" i="7"/>
  <c r="CA64" i="7"/>
  <c r="CC64" i="7"/>
  <c r="CD64" i="7"/>
  <c r="CR46" i="7"/>
  <c r="CR64" i="7"/>
  <c r="CR32" i="7"/>
  <c r="CD32" i="7"/>
  <c r="CC32" i="7"/>
  <c r="CB32" i="7"/>
  <c r="CA32" i="7"/>
  <c r="BZ32" i="7"/>
  <c r="BY32" i="7"/>
  <c r="BX32" i="7"/>
  <c r="BW32" i="7"/>
  <c r="BV32" i="7"/>
  <c r="BU32" i="7"/>
  <c r="BT32" i="7"/>
  <c r="CR30" i="7"/>
  <c r="CD30" i="7"/>
  <c r="CC30" i="7"/>
  <c r="CB30" i="7"/>
  <c r="CA30" i="7"/>
  <c r="BZ30" i="7"/>
  <c r="BY30" i="7"/>
  <c r="BX30" i="7"/>
  <c r="BW30" i="7"/>
  <c r="BV30" i="7"/>
  <c r="BU30" i="7"/>
  <c r="BT30" i="7"/>
  <c r="CR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CR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CR45" i="7"/>
  <c r="CD45" i="7"/>
  <c r="CC45" i="7"/>
  <c r="CB45" i="7"/>
  <c r="CA45" i="7"/>
  <c r="BZ45" i="7"/>
  <c r="BY45" i="7"/>
  <c r="BX45" i="7"/>
  <c r="BW45" i="7"/>
  <c r="BV45" i="7"/>
  <c r="BU45" i="7"/>
  <c r="BT45" i="7"/>
  <c r="CR44" i="7"/>
  <c r="CD44" i="7"/>
  <c r="CC44" i="7"/>
  <c r="CB44" i="7"/>
  <c r="CA44" i="7"/>
  <c r="BZ44" i="7"/>
  <c r="BY44" i="7"/>
  <c r="BX44" i="7"/>
  <c r="BW44" i="7"/>
  <c r="BV44" i="7"/>
  <c r="BU44" i="7"/>
  <c r="BT44" i="7"/>
  <c r="CR43" i="7"/>
  <c r="CD43" i="7"/>
  <c r="CC43" i="7"/>
  <c r="CB43" i="7"/>
  <c r="CA43" i="7"/>
  <c r="BZ43" i="7"/>
  <c r="BY43" i="7"/>
  <c r="BX43" i="7"/>
  <c r="BW43" i="7"/>
  <c r="BV43" i="7"/>
  <c r="BU43" i="7"/>
  <c r="BT43" i="7"/>
  <c r="CR42" i="7"/>
  <c r="CD42" i="7"/>
  <c r="CC42" i="7"/>
  <c r="CB42" i="7"/>
  <c r="CA42" i="7"/>
  <c r="BZ42" i="7"/>
  <c r="BY42" i="7"/>
  <c r="BX42" i="7"/>
  <c r="BW42" i="7"/>
  <c r="BV42" i="7"/>
  <c r="BU42" i="7"/>
  <c r="BT42" i="7"/>
  <c r="CR41" i="7"/>
  <c r="CD41" i="7"/>
  <c r="CC41" i="7"/>
  <c r="CB41" i="7"/>
  <c r="CA41" i="7"/>
  <c r="BZ41" i="7"/>
  <c r="BY41" i="7"/>
  <c r="BX41" i="7"/>
  <c r="BW41" i="7"/>
  <c r="BV41" i="7"/>
  <c r="BU41" i="7"/>
  <c r="BT41" i="7"/>
  <c r="CR40" i="7"/>
  <c r="CD40" i="7"/>
  <c r="CC40" i="7"/>
  <c r="CB40" i="7"/>
  <c r="CA40" i="7"/>
  <c r="BZ40" i="7"/>
  <c r="BY40" i="7"/>
  <c r="BX40" i="7"/>
  <c r="BW40" i="7"/>
  <c r="BV40" i="7"/>
  <c r="BU40" i="7"/>
  <c r="BT40" i="7"/>
  <c r="CR39" i="7"/>
  <c r="CD39" i="7"/>
  <c r="CC39" i="7"/>
  <c r="CB39" i="7"/>
  <c r="CA39" i="7"/>
  <c r="BZ39" i="7"/>
  <c r="BY39" i="7"/>
  <c r="BX39" i="7"/>
  <c r="BW39" i="7"/>
  <c r="BV39" i="7"/>
  <c r="BU39" i="7"/>
  <c r="BT39" i="7"/>
  <c r="CR38" i="7"/>
  <c r="CD38" i="7"/>
  <c r="CC38" i="7"/>
  <c r="CB38" i="7"/>
  <c r="CA38" i="7"/>
  <c r="BZ38" i="7"/>
  <c r="BY38" i="7"/>
  <c r="BX38" i="7"/>
  <c r="BW38" i="7"/>
  <c r="BV38" i="7"/>
  <c r="BU38" i="7"/>
  <c r="BT38" i="7"/>
  <c r="CR37" i="7"/>
  <c r="CD37" i="7"/>
  <c r="CC37" i="7"/>
  <c r="CB37" i="7"/>
  <c r="CA37" i="7"/>
  <c r="BZ37" i="7"/>
  <c r="BY37" i="7"/>
  <c r="BX37" i="7"/>
  <c r="BW37" i="7"/>
  <c r="BV37" i="7"/>
  <c r="BU37" i="7"/>
  <c r="BT37" i="7"/>
  <c r="CR36" i="7"/>
  <c r="CD36" i="7"/>
  <c r="CC36" i="7"/>
  <c r="CB36" i="7"/>
  <c r="CA36" i="7"/>
  <c r="BZ36" i="7"/>
  <c r="BY36" i="7"/>
  <c r="BX36" i="7"/>
  <c r="BW36" i="7"/>
  <c r="BV36" i="7"/>
  <c r="BU36" i="7"/>
  <c r="BT36" i="7"/>
  <c r="CR35" i="7"/>
  <c r="CD35" i="7"/>
  <c r="CC35" i="7"/>
  <c r="CB35" i="7"/>
  <c r="CA35" i="7"/>
  <c r="BZ35" i="7"/>
  <c r="BY35" i="7"/>
  <c r="BX35" i="7"/>
  <c r="BW35" i="7"/>
  <c r="BV35" i="7"/>
  <c r="BU35" i="7"/>
  <c r="BT35" i="7"/>
  <c r="CR34" i="7"/>
  <c r="CD34" i="7"/>
  <c r="CC34" i="7"/>
  <c r="CB34" i="7"/>
  <c r="CA34" i="7"/>
  <c r="BZ34" i="7"/>
  <c r="BY34" i="7"/>
  <c r="BX34" i="7"/>
  <c r="BW34" i="7"/>
  <c r="BV34" i="7"/>
  <c r="BU34" i="7"/>
  <c r="BT34" i="7"/>
  <c r="CR33" i="7"/>
  <c r="CD33" i="7"/>
  <c r="CC33" i="7"/>
  <c r="CB33" i="7"/>
  <c r="CA33" i="7"/>
  <c r="BZ33" i="7"/>
  <c r="BY33" i="7"/>
  <c r="BX33" i="7"/>
  <c r="BW33" i="7"/>
  <c r="BV33" i="7"/>
  <c r="BU33" i="7"/>
  <c r="BT33" i="7"/>
  <c r="CR31" i="7"/>
  <c r="CD31" i="7"/>
  <c r="CC31" i="7"/>
  <c r="CB31" i="7"/>
  <c r="CA31" i="7"/>
  <c r="BZ31" i="7"/>
  <c r="BY31" i="7"/>
  <c r="BX31" i="7"/>
  <c r="BW31" i="7"/>
  <c r="BV31" i="7"/>
  <c r="BU31" i="7"/>
  <c r="BT31" i="7"/>
  <c r="CR28" i="7"/>
  <c r="CD28" i="7"/>
  <c r="CC28" i="7"/>
  <c r="CB28" i="7"/>
  <c r="CA28" i="7"/>
  <c r="BZ28" i="7"/>
  <c r="BY28" i="7"/>
  <c r="BX28" i="7"/>
  <c r="BW28" i="7"/>
  <c r="BV28" i="7"/>
  <c r="BU28" i="7"/>
  <c r="BT28" i="7"/>
  <c r="CR27" i="7"/>
  <c r="CD27" i="7"/>
  <c r="CC27" i="7"/>
  <c r="CB27" i="7"/>
  <c r="CA27" i="7"/>
  <c r="BZ27" i="7"/>
  <c r="BY27" i="7"/>
  <c r="BX27" i="7"/>
  <c r="BW27" i="7"/>
  <c r="BV27" i="7"/>
  <c r="BU27" i="7"/>
  <c r="BT27" i="7"/>
  <c r="CR26" i="7"/>
  <c r="CD26" i="7"/>
  <c r="CC26" i="7"/>
  <c r="CB26" i="7"/>
  <c r="CA26" i="7"/>
  <c r="BZ26" i="7"/>
  <c r="BY26" i="7"/>
  <c r="BX26" i="7"/>
  <c r="BW26" i="7"/>
  <c r="BV26" i="7"/>
  <c r="BU26" i="7"/>
  <c r="BT26" i="7"/>
  <c r="CR11" i="7"/>
  <c r="CR63" i="7"/>
  <c r="B63" i="7"/>
  <c r="CR10" i="7"/>
  <c r="B10" i="7"/>
  <c r="CR9" i="7"/>
  <c r="CR8" i="7"/>
  <c r="CR7" i="7"/>
  <c r="CR6" i="7"/>
  <c r="CR5" i="7"/>
  <c r="CD5" i="7"/>
  <c r="CC5" i="7"/>
  <c r="CB5" i="7"/>
  <c r="CA5" i="7"/>
  <c r="BZ5" i="7"/>
  <c r="BY5" i="7"/>
  <c r="BX5" i="7"/>
  <c r="BW5" i="7"/>
  <c r="BV5" i="7"/>
  <c r="BU5" i="7"/>
  <c r="BT5" i="7"/>
  <c r="BV63" i="7" l="1"/>
  <c r="BZ63" i="7"/>
  <c r="CD63" i="7"/>
  <c r="BY63" i="7"/>
  <c r="BW63" i="7"/>
  <c r="CA63" i="7"/>
  <c r="BU63" i="7"/>
  <c r="BT63" i="7"/>
  <c r="BX63" i="7"/>
  <c r="CB63" i="7"/>
  <c r="CC63" i="7"/>
  <c r="BU10" i="7"/>
  <c r="BY10" i="7"/>
  <c r="CC10" i="7"/>
  <c r="BT10" i="7"/>
  <c r="BX10" i="7"/>
  <c r="BV10" i="7"/>
  <c r="BZ10" i="7"/>
  <c r="CD10" i="7"/>
  <c r="BW10" i="7"/>
  <c r="CA10" i="7"/>
  <c r="CB10" i="7"/>
  <c r="BQ46" i="7"/>
  <c r="BQ64" i="7"/>
  <c r="BQ36" i="7"/>
  <c r="BQ31" i="7"/>
  <c r="BQ66" i="7"/>
  <c r="BQ42" i="7"/>
  <c r="BQ28" i="7"/>
  <c r="BQ35" i="7"/>
  <c r="BQ39" i="7"/>
  <c r="BQ43" i="7"/>
  <c r="BQ67" i="7"/>
  <c r="BQ27" i="7"/>
  <c r="BQ34" i="7"/>
  <c r="BQ38" i="7"/>
  <c r="BQ40" i="7"/>
  <c r="BQ44" i="7"/>
  <c r="BQ30" i="7"/>
  <c r="BQ26" i="7"/>
  <c r="BQ33" i="7"/>
  <c r="BQ37" i="7"/>
  <c r="BQ41" i="7"/>
  <c r="BQ45" i="7"/>
  <c r="BQ32" i="7"/>
  <c r="BQ5" i="7"/>
  <c r="BQ10" i="7" l="1"/>
  <c r="BQ63" i="7"/>
</calcChain>
</file>

<file path=xl/sharedStrings.xml><?xml version="1.0" encoding="utf-8"?>
<sst xmlns="http://schemas.openxmlformats.org/spreadsheetml/2006/main" count="718" uniqueCount="127">
  <si>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</si>
  <si>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</si>
  <si>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</si>
  <si>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</si>
  <si>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</si>
  <si>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</si>
  <si>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</si>
  <si>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</si>
  <si>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</si>
  <si>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</si>
  <si>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</si>
  <si>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</si>
  <si>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</si>
  <si>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</si>
  <si>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</si>
  <si>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</si>
  <si>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</si>
  <si>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</si>
  <si>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</si>
  <si>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</si>
  <si>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</si>
  <si>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</si>
  <si>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</si>
  <si>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</si>
  <si>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</si>
  <si>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</si>
  <si>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</si>
  <si>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</si>
  <si>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</si>
  <si>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</si>
  <si>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</si>
  <si>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</si>
  <si>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</si>
  <si>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</si>
  <si>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</si>
  <si>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</si>
  <si>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</si>
  <si>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MAD0556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</si>
  <si>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</si>
  <si>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</si>
  <si>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</si>
  <si>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</si>
  <si>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</si>
  <si>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</si>
  <si>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</si>
  <si>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MAD0627</t>
  </si>
  <si>
    <t>Manirul Laskar</t>
  </si>
  <si>
    <t>MAD0658</t>
  </si>
  <si>
    <t>Javed Alam</t>
  </si>
  <si>
    <t>MAD0671</t>
  </si>
  <si>
    <t>Najare Alam Ansari</t>
  </si>
  <si>
    <t>MAD0685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</si>
  <si>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</si>
  <si>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</si>
  <si>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</si>
  <si>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</si>
  <si>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</si>
  <si>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</si>
  <si>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</si>
  <si>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</si>
  <si>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</si>
  <si>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</si>
  <si>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</si>
  <si>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</si>
  <si>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</si>
  <si>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</si>
  <si>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</si>
  <si>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</si>
  <si>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</si>
  <si>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</si>
  <si>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</si>
  <si>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</si>
  <si>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</si>
  <si>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</si>
  <si>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</si>
  <si>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</si>
  <si>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</si>
  <si>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</si>
  <si>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</si>
  <si>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</si>
  <si>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</si>
  <si>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</si>
  <si>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</si>
  <si>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>Total</t>
  </si>
  <si>
    <t>MDA0196</t>
  </si>
  <si>
    <t>MAD0745</t>
  </si>
  <si>
    <t>MAD0744</t>
  </si>
  <si>
    <t>Alamgir Hosain</t>
  </si>
  <si>
    <t>Saddam Hossian</t>
  </si>
  <si>
    <t>MAD0760</t>
  </si>
  <si>
    <t>MD Tarikul Islam tarik</t>
  </si>
  <si>
    <t>MAD0761</t>
  </si>
  <si>
    <t>MD Soriful Islam</t>
  </si>
  <si>
    <t>MAD0657</t>
  </si>
  <si>
    <t>Firoj Pawariya</t>
  </si>
  <si>
    <t>MAD0244</t>
  </si>
  <si>
    <t>SICK</t>
  </si>
  <si>
    <t>MAD0766</t>
  </si>
  <si>
    <t>MD Nahid Mia</t>
  </si>
  <si>
    <t xml:space="preserve">Used Leave Totals (Running Year, up to end of this month - JUNE  2026) </t>
  </si>
  <si>
    <t>Grapeson Edward</t>
  </si>
  <si>
    <t>MD Mukul Ali</t>
  </si>
  <si>
    <t>Md Abdus Samad</t>
  </si>
  <si>
    <t>MAD0655</t>
  </si>
  <si>
    <t>Arulmani Kumaresan</t>
  </si>
  <si>
    <t>MAD0226</t>
  </si>
  <si>
    <t xml:space="preserve">Note:    </t>
  </si>
  <si>
    <t>MAD0772</t>
  </si>
  <si>
    <t>Tarek Ahmed</t>
  </si>
  <si>
    <t>MAD0457</t>
  </si>
  <si>
    <t>MD Manir Hossain</t>
  </si>
  <si>
    <t>MAD0204</t>
  </si>
  <si>
    <t>MD Nadim Mahmud</t>
  </si>
  <si>
    <t>MAD0781</t>
  </si>
  <si>
    <t>Joined on 24th August 2026</t>
  </si>
  <si>
    <t>Lila Ibrahim</t>
  </si>
  <si>
    <t>MAD0774</t>
  </si>
  <si>
    <t>MD Rakib Mia</t>
  </si>
  <si>
    <t>Attendance for SEPTEMBER 2026 - Hulhumale Senior Foreign  Staff</t>
  </si>
  <si>
    <t>Attendance for SEPTEMBER 2026 - Hulhumale Junior Foreign Staff</t>
  </si>
  <si>
    <t>Attendance for  SEPTEMBER 2026 - Hulhumale Junior Foreign Staff</t>
  </si>
  <si>
    <t>Settlement for James Chinnappan - Sep 2026 - Hulhumale Junior Foreign Staff</t>
  </si>
  <si>
    <t>MAD0699</t>
  </si>
  <si>
    <t xml:space="preserve"> James Chinnappan</t>
  </si>
  <si>
    <t xml:space="preserve">Food Allowance for 15 days    </t>
  </si>
  <si>
    <t>Fixed OT     MVR 1500.00</t>
  </si>
  <si>
    <t xml:space="preserve">Mohamed Hidayathulla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</si>
</sst>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12"/>
      <color theme="1"/>
      <name val="Segoe UI"/>
      <family val="2"/>
    </font>
    <font>
      <sz val="12"/>
      <name val="Calibri"/>
      <family val="2"/>
      <scheme val="minor"/>
    </font>
    <font>
      <sz val="9"/>
      <name val="Segoe U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9.9"/>
      <color rgb="FFFF0000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  <charset val="1"/>
    </font>
    <font>
      <sz val="12"/>
      <name val="Segoe UI"/>
      <family val="2"/>
    </font>
    <font>
      <b/>
      <sz val="10"/>
      <color theme="1"/>
      <name val="Calibri"/>
      <family val="2"/>
      <charset val="1"/>
      <scheme val="minor"/>
    </font>
    <font>
      <sz val="13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Segoe UI"/>
      <family val="2"/>
    </font>
    <font>
      <b/>
      <sz val="13"/>
      <name val="Calibri"/>
      <family val="2"/>
      <scheme val="minor"/>
    </font>
    <font>
      <b/>
      <u/>
      <sz val="13"/>
      <name val="Calibri"/>
      <family val="2"/>
      <scheme val="minor"/>
    </font>
    <font>
      <b/>
      <sz val="13"/>
      <name val="Segoe UI"/>
      <family val="2"/>
    </font>
    <font>
      <b/>
      <sz val="13"/>
      <color theme="1"/>
      <name val="Segoe UI"/>
      <family val="2"/>
    </font>
    <font>
      <sz val="1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253">
    <xf numFmtId="0" fontId="0" fillId="0" borderId="0" xfId="0"/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4" fillId="10" borderId="0" xfId="0" applyFont="1" applyFill="1" applyAlignment="1">
      <alignment vertical="center"/>
    </xf>
    <xf numFmtId="0" fontId="24" fillId="1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4" fillId="11" borderId="0" xfId="0" applyFont="1" applyFill="1" applyAlignment="1">
      <alignment vertical="center"/>
    </xf>
    <xf numFmtId="0" fontId="24" fillId="11" borderId="0" xfId="0" applyFont="1" applyFill="1" applyAlignment="1">
      <alignment horizontal="left" vertical="center"/>
    </xf>
    <xf numFmtId="0" fontId="21" fillId="11" borderId="0" xfId="0" applyFont="1" applyFill="1"/>
    <xf numFmtId="0" fontId="25" fillId="0" borderId="0" xfId="0" applyFont="1" applyAlignment="1">
      <alignment vertical="center"/>
    </xf>
    <xf numFmtId="49" fontId="24" fillId="11" borderId="0" xfId="0" applyNumberFormat="1" applyFont="1" applyFill="1" applyAlignment="1">
      <alignment vertical="center"/>
    </xf>
    <xf numFmtId="49" fontId="24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8" fillId="4" borderId="2" xfId="0" applyNumberFormat="1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center" vertical="center" wrapText="1"/>
    </xf>
    <xf numFmtId="0" fontId="29" fillId="4" borderId="10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top" wrapText="1"/>
    </xf>
    <xf numFmtId="1" fontId="28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20" fontId="31" fillId="4" borderId="2" xfId="0" applyNumberFormat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20" fontId="32" fillId="12" borderId="2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32" fillId="4" borderId="2" xfId="0" applyNumberFormat="1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7" fillId="4" borderId="0" xfId="0" applyNumberFormat="1" applyFont="1" applyFill="1" applyAlignment="1">
      <alignment horizontal="center" vertical="center"/>
    </xf>
    <xf numFmtId="20" fontId="28" fillId="4" borderId="0" xfId="0" applyNumberFormat="1" applyFont="1" applyFill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5" fontId="0" fillId="0" borderId="2" xfId="0" applyNumberFormat="1" applyBorder="1" applyAlignment="1">
      <alignment horizontal="center" vertical="center"/>
    </xf>
    <xf numFmtId="0" fontId="35" fillId="0" borderId="2" xfId="0" applyFont="1" applyBorder="1" applyAlignment="1">
      <alignment horizontal="left" vertical="center" wrapText="1"/>
    </xf>
    <xf numFmtId="15" fontId="1" fillId="3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/>
    </xf>
    <xf numFmtId="0" fontId="36" fillId="4" borderId="3" xfId="0" applyFont="1" applyFill="1" applyBorder="1" applyAlignment="1">
      <alignment horizontal="left" vertical="center" wrapText="1"/>
    </xf>
    <xf numFmtId="0" fontId="37" fillId="4" borderId="2" xfId="0" applyFont="1" applyFill="1" applyBorder="1" applyAlignment="1">
      <alignment horizontal="center" vertical="center"/>
    </xf>
    <xf numFmtId="20" fontId="28" fillId="4" borderId="4" xfId="0" applyNumberFormat="1" applyFont="1" applyFill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0" fillId="9" borderId="0" xfId="0" applyFill="1"/>
    <xf numFmtId="164" fontId="31" fillId="4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/>
    </xf>
    <xf numFmtId="15" fontId="0" fillId="0" borderId="12" xfId="0" applyNumberFormat="1" applyBorder="1" applyAlignment="1">
      <alignment horizontal="center" vertical="center"/>
    </xf>
    <xf numFmtId="1" fontId="28" fillId="4" borderId="5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1" fontId="28" fillId="4" borderId="0" xfId="0" applyNumberFormat="1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164" fontId="31" fillId="4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0" borderId="2" xfId="0" quotePrefix="1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19" fillId="13" borderId="2" xfId="0" applyFont="1" applyFill="1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164" fontId="0" fillId="17" borderId="2" xfId="0" applyNumberFormat="1" applyFill="1" applyBorder="1" applyAlignment="1">
      <alignment horizontal="center" vertical="center"/>
    </xf>
    <xf numFmtId="164" fontId="28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16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1" fontId="12" fillId="8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10" fillId="9" borderId="2" xfId="1" applyFont="1" applyFill="1" applyBorder="1" applyAlignment="1">
      <alignment horizontal="left" vertical="center" wrapText="1"/>
    </xf>
    <xf numFmtId="15" fontId="0" fillId="9" borderId="2" xfId="0" applyNumberFormat="1" applyFill="1" applyBorder="1" applyAlignment="1">
      <alignment horizontal="center" vertical="center"/>
    </xf>
    <xf numFmtId="20" fontId="28" fillId="9" borderId="0" xfId="0" applyNumberFormat="1" applyFont="1" applyFill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/>
    </xf>
    <xf numFmtId="164" fontId="0" fillId="9" borderId="2" xfId="0" applyNumberFormat="1" applyFill="1" applyBorder="1"/>
    <xf numFmtId="20" fontId="38" fillId="9" borderId="2" xfId="0" applyNumberFormat="1" applyFont="1" applyFill="1" applyBorder="1" applyAlignment="1">
      <alignment horizontal="center" vertical="center" wrapText="1"/>
    </xf>
    <xf numFmtId="1" fontId="8" fillId="9" borderId="2" xfId="0" applyNumberFormat="1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20" fontId="28" fillId="4" borderId="1" xfId="0" applyNumberFormat="1" applyFont="1" applyFill="1" applyBorder="1" applyAlignment="1">
      <alignment horizontal="center" vertical="center" wrapText="1"/>
    </xf>
    <xf numFmtId="164" fontId="0" fillId="16" borderId="2" xfId="0" applyNumberFormat="1" applyFill="1" applyBorder="1" applyAlignment="1">
      <alignment horizontal="center"/>
    </xf>
    <xf numFmtId="164" fontId="0" fillId="18" borderId="2" xfId="0" applyNumberFormat="1" applyFill="1" applyBorder="1" applyAlignment="1">
      <alignment horizontal="center" vertical="center"/>
    </xf>
    <xf numFmtId="164" fontId="0" fillId="19" borderId="2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center" vertical="center"/>
    </xf>
    <xf numFmtId="0" fontId="41" fillId="13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1" fontId="42" fillId="7" borderId="2" xfId="0" applyNumberFormat="1" applyFont="1" applyFill="1" applyBorder="1" applyAlignment="1">
      <alignment horizontal="center" vertical="center"/>
    </xf>
    <xf numFmtId="0" fontId="43" fillId="0" borderId="2" xfId="1" applyFont="1" applyBorder="1" applyAlignment="1">
      <alignment horizontal="left" vertical="center" wrapText="1"/>
    </xf>
    <xf numFmtId="15" fontId="19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3" fillId="10" borderId="0" xfId="0" applyFont="1" applyFill="1" applyAlignment="1">
      <alignment vertical="center"/>
    </xf>
    <xf numFmtId="0" fontId="33" fillId="10" borderId="0" xfId="0" applyFont="1" applyFill="1" applyAlignment="1">
      <alignment horizontal="center" vertical="center"/>
    </xf>
    <xf numFmtId="0" fontId="33" fillId="11" borderId="0" xfId="0" applyFont="1" applyFill="1" applyAlignment="1">
      <alignment vertical="center"/>
    </xf>
    <xf numFmtId="0" fontId="33" fillId="11" borderId="0" xfId="0" applyFont="1" applyFill="1" applyAlignment="1">
      <alignment horizontal="left" vertical="center"/>
    </xf>
    <xf numFmtId="0" fontId="19" fillId="11" borderId="0" xfId="0" applyFont="1" applyFill="1"/>
    <xf numFmtId="49" fontId="33" fillId="11" borderId="0" xfId="0" applyNumberFormat="1" applyFont="1" applyFill="1" applyAlignment="1">
      <alignment vertical="center"/>
    </xf>
    <xf numFmtId="49" fontId="33" fillId="11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164" fontId="45" fillId="0" borderId="2" xfId="0" applyNumberFormat="1" applyFont="1" applyBorder="1" applyAlignment="1">
      <alignment horizontal="center" vertical="center"/>
    </xf>
    <xf numFmtId="164" fontId="45" fillId="15" borderId="2" xfId="0" applyNumberFormat="1" applyFont="1" applyFill="1" applyBorder="1" applyAlignment="1">
      <alignment horizontal="center" vertical="center"/>
    </xf>
    <xf numFmtId="20" fontId="46" fillId="4" borderId="2" xfId="0" applyNumberFormat="1" applyFont="1" applyFill="1" applyBorder="1" applyAlignment="1">
      <alignment horizontal="center" vertical="center" wrapText="1"/>
    </xf>
    <xf numFmtId="1" fontId="47" fillId="8" borderId="2" xfId="0" applyNumberFormat="1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1" fontId="45" fillId="0" borderId="2" xfId="0" applyNumberFormat="1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164" fontId="46" fillId="4" borderId="2" xfId="0" applyNumberFormat="1" applyFont="1" applyFill="1" applyBorder="1" applyAlignment="1">
      <alignment horizontal="center" vertical="center" wrapText="1"/>
    </xf>
    <xf numFmtId="1" fontId="46" fillId="4" borderId="2" xfId="0" applyNumberFormat="1" applyFont="1" applyFill="1" applyBorder="1" applyAlignment="1">
      <alignment horizontal="center" vertical="center" wrapText="1"/>
    </xf>
    <xf numFmtId="0" fontId="45" fillId="0" borderId="0" xfId="0" applyFont="1"/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164" fontId="47" fillId="0" borderId="0" xfId="0" applyNumberFormat="1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 wrapText="1"/>
    </xf>
    <xf numFmtId="0" fontId="50" fillId="0" borderId="0" xfId="0" applyFont="1" applyAlignment="1">
      <alignment vertical="center"/>
    </xf>
    <xf numFmtId="164" fontId="47" fillId="0" borderId="0" xfId="0" applyNumberFormat="1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0" xfId="0" applyFont="1"/>
    <xf numFmtId="164" fontId="47" fillId="0" borderId="0" xfId="0" applyNumberFormat="1" applyFont="1" applyAlignment="1">
      <alignment horizontal="center" vertical="center"/>
    </xf>
    <xf numFmtId="164" fontId="51" fillId="0" borderId="0" xfId="0" applyNumberFormat="1" applyFont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vertical="center"/>
    </xf>
    <xf numFmtId="164" fontId="45" fillId="0" borderId="0" xfId="0" applyNumberFormat="1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4" fontId="5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5" fontId="7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5" fontId="18" fillId="3" borderId="3" xfId="0" applyNumberFormat="1" applyFont="1" applyFill="1" applyBorder="1" applyAlignment="1">
      <alignment horizontal="center" vertical="center"/>
    </xf>
    <xf numFmtId="15" fontId="18" fillId="3" borderId="4" xfId="0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2" fillId="5" borderId="5" xfId="0" applyFont="1" applyFill="1" applyBorder="1" applyAlignment="1">
      <alignment horizontal="center" vertical="center" textRotation="90" wrapText="1"/>
    </xf>
    <xf numFmtId="0" fontId="42" fillId="5" borderId="13" xfId="0" applyFont="1" applyFill="1" applyBorder="1" applyAlignment="1">
      <alignment horizontal="center" vertical="center" textRotation="90" wrapText="1"/>
    </xf>
    <xf numFmtId="0" fontId="42" fillId="5" borderId="8" xfId="0" applyFont="1" applyFill="1" applyBorder="1" applyAlignment="1">
      <alignment horizontal="center" vertical="center" textRotation="90" wrapText="1"/>
    </xf>
    <xf numFmtId="0" fontId="18" fillId="3" borderId="2" xfId="0" applyFont="1" applyFill="1" applyBorder="1" applyAlignment="1">
      <alignment horizontal="center" vertical="center"/>
    </xf>
    <xf numFmtId="15" fontId="18" fillId="3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213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4267A-56DC-463F-92C7-7C9A7DB70A5A}" name="Table22" displayName="Table22" ref="CH4:CR10" totalsRowShown="0" headerRowDxfId="212" dataDxfId="210" headerRowBorderDxfId="211" tableBorderDxfId="209" totalsRowBorderDxfId="208">
  <autoFilter ref="CH4:CR10" xr:uid="{60D4C0FB-DDA6-4DA1-9FFC-F74164136AFC}"/>
  <tableColumns count="11">
    <tableColumn id="1" xr3:uid="{377D7A40-7B06-4A92-A1DC-DEAF1C9AB59E}" name="MC" dataDxfId="207"/>
    <tableColumn id="2" xr3:uid="{0C68EF4E-1D9C-4587-AF19-CD6417A18FB8}" name="EL" dataDxfId="206"/>
    <tableColumn id="3" xr3:uid="{B9C5D40E-AF8F-4B04-9AF2-1BD6D6058FDE}" name="AL" dataDxfId="205"/>
    <tableColumn id="4" xr3:uid="{E3576F87-268D-48FA-9E8C-1FB0D184A472}" name="SUS" dataDxfId="204"/>
    <tableColumn id="5" xr3:uid="{01FB102F-C550-467D-8F86-9A7970A3B06D}" name="FL" dataDxfId="203"/>
    <tableColumn id="6" xr3:uid="{26217668-4148-4C10-BBFC-1D7BB10B6E9C}" name="S" dataDxfId="202"/>
    <tableColumn id="7" xr3:uid="{82F5F653-0A0A-405B-96F3-B54BE3F86F8C}" name="HD" dataDxfId="201"/>
    <tableColumn id="8" xr3:uid="{F5F1D75F-DBAE-45F0-9EC2-4D630A0928EF}" name="AB" dataDxfId="200"/>
    <tableColumn id="9" xr3:uid="{367EB2A3-32A1-41E1-AEC1-D65C7D47B369}" name="NL" dataDxfId="199"/>
    <tableColumn id="10" xr3:uid="{1B9C670C-757D-4C00-A55B-A4923A16BBC8}" name="SP" dataDxfId="198"/>
    <tableColumn id="11" xr3:uid="{8DD3196B-CA6F-427E-A214-05EFE3D29A8D}" name="Total" dataDxfId="197">
      <calculatedColumnFormula>SUM(CH5:CQ5)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AB58-3D38-4108-BA91-F5FE9830ADA9}">
  <sheetPr>
    <pageSetUpPr fitToPage="1"/>
  </sheetPr>
  <dimension ref="A1:CR67"/>
  <sheetViews>
    <sheetView zoomScaleNormal="100" workbookViewId="0">
      <pane xSplit="4" ySplit="4" topLeftCell="W37" activePane="bottomRight" state="frozen"/>
      <selection pane="topRight" activeCell="E1" sqref="E1"/>
      <selection pane="bottomLeft" activeCell="A5" sqref="A5"/>
      <selection pane="bottomRight" activeCell="AF55" sqref="AF55"/>
    </sheetView>
  </sheetViews>
  <sheetFormatPr defaultRowHeight="15" x14ac:dyDescent="0.25"/>
  <cols>
    <col min="1" max="1" width="5.5703125" customWidth="1"/>
    <col min="2" max="2" width="10.85546875" style="18" customWidth="1"/>
    <col min="3" max="3" width="29.140625" customWidth="1"/>
    <col min="4" max="4" width="13.7109375" hidden="1" customWidth="1"/>
    <col min="5" max="34" width="6.42578125" customWidth="1"/>
    <col min="35" max="35" width="3.7109375" customWidth="1"/>
    <col min="36" max="36" width="5.5703125" customWidth="1"/>
    <col min="37" max="65" width="6.42578125" customWidth="1"/>
    <col min="66" max="66" width="6.140625" customWidth="1"/>
    <col min="67" max="68" width="6.42578125" hidden="1" customWidth="1"/>
    <col min="69" max="69" width="5" customWidth="1"/>
    <col min="70" max="82" width="5.140625" customWidth="1"/>
    <col min="83" max="83" width="21.140625" customWidth="1"/>
    <col min="86" max="96" width="5.28515625" customWidth="1"/>
  </cols>
  <sheetData>
    <row r="1" spans="1:96" ht="24" customHeight="1" x14ac:dyDescent="0.25">
      <c r="A1" s="225" t="s">
        <v>118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87"/>
      <c r="AJ1" s="225" t="s">
        <v>118</v>
      </c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B1" s="225"/>
      <c r="BC1" s="225"/>
      <c r="BD1" s="225"/>
      <c r="BE1" s="225"/>
      <c r="BF1" s="225"/>
      <c r="BG1" s="225"/>
      <c r="BH1" s="225"/>
      <c r="BI1" s="225"/>
      <c r="BJ1" s="225"/>
      <c r="BK1" s="225"/>
      <c r="BL1" s="225"/>
      <c r="BM1" s="225"/>
      <c r="BN1" s="225"/>
      <c r="BO1" s="225"/>
      <c r="BP1" s="225"/>
      <c r="BQ1" s="225"/>
      <c r="BR1" s="225"/>
      <c r="BS1" s="225"/>
      <c r="BT1" s="225"/>
      <c r="BU1" s="225"/>
      <c r="BV1" s="225"/>
      <c r="BW1" s="225"/>
      <c r="BX1" s="225"/>
      <c r="BY1" s="225"/>
      <c r="BZ1" s="225"/>
      <c r="CA1" s="225"/>
      <c r="CB1" s="225"/>
      <c r="CC1" s="225"/>
      <c r="CD1" s="225"/>
      <c r="CE1" s="225"/>
    </row>
    <row r="2" spans="1:96" ht="18.75" x14ac:dyDescent="0.25">
      <c r="A2" s="226" t="s">
        <v>0</v>
      </c>
      <c r="B2" s="226"/>
      <c r="C2" s="226"/>
      <c r="D2" s="64"/>
      <c r="E2" s="227" t="s">
        <v>7</v>
      </c>
      <c r="F2" s="227"/>
      <c r="G2" s="227" t="s">
        <v>1</v>
      </c>
      <c r="H2" s="227"/>
      <c r="I2" s="227" t="s">
        <v>2</v>
      </c>
      <c r="J2" s="227"/>
      <c r="K2" s="227" t="s">
        <v>3</v>
      </c>
      <c r="L2" s="227"/>
      <c r="M2" s="227" t="s">
        <v>4</v>
      </c>
      <c r="N2" s="227"/>
      <c r="O2" s="227" t="s">
        <v>5</v>
      </c>
      <c r="P2" s="227"/>
      <c r="Q2" s="227" t="s">
        <v>6</v>
      </c>
      <c r="R2" s="227"/>
      <c r="S2" s="227" t="s">
        <v>7</v>
      </c>
      <c r="T2" s="227"/>
      <c r="U2" s="227" t="s">
        <v>1</v>
      </c>
      <c r="V2" s="227"/>
      <c r="W2" s="227" t="s">
        <v>2</v>
      </c>
      <c r="X2" s="227"/>
      <c r="Y2" s="227" t="s">
        <v>3</v>
      </c>
      <c r="Z2" s="227"/>
      <c r="AA2" s="227" t="s">
        <v>4</v>
      </c>
      <c r="AB2" s="227"/>
      <c r="AC2" s="227" t="s">
        <v>5</v>
      </c>
      <c r="AD2" s="227"/>
      <c r="AE2" s="227" t="s">
        <v>6</v>
      </c>
      <c r="AF2" s="227"/>
      <c r="AG2" s="227" t="s">
        <v>7</v>
      </c>
      <c r="AH2" s="227"/>
      <c r="AI2" s="88"/>
      <c r="AJ2" s="10"/>
      <c r="AK2" s="227" t="s">
        <v>1</v>
      </c>
      <c r="AL2" s="227"/>
      <c r="AM2" s="227" t="s">
        <v>2</v>
      </c>
      <c r="AN2" s="227"/>
      <c r="AO2" s="227" t="s">
        <v>3</v>
      </c>
      <c r="AP2" s="227"/>
      <c r="AQ2" s="227" t="s">
        <v>4</v>
      </c>
      <c r="AR2" s="227"/>
      <c r="AS2" s="227" t="s">
        <v>5</v>
      </c>
      <c r="AT2" s="227"/>
      <c r="AU2" s="227" t="s">
        <v>6</v>
      </c>
      <c r="AV2" s="227"/>
      <c r="AW2" s="227" t="s">
        <v>7</v>
      </c>
      <c r="AX2" s="227"/>
      <c r="AY2" s="227" t="s">
        <v>1</v>
      </c>
      <c r="AZ2" s="227"/>
      <c r="BA2" s="227" t="s">
        <v>2</v>
      </c>
      <c r="BB2" s="227"/>
      <c r="BC2" s="227" t="s">
        <v>3</v>
      </c>
      <c r="BD2" s="227"/>
      <c r="BE2" s="227" t="s">
        <v>4</v>
      </c>
      <c r="BF2" s="227"/>
      <c r="BG2" s="227" t="s">
        <v>5</v>
      </c>
      <c r="BH2" s="227"/>
      <c r="BI2" s="227" t="s">
        <v>6</v>
      </c>
      <c r="BJ2" s="227"/>
      <c r="BK2" s="227" t="s">
        <v>7</v>
      </c>
      <c r="BL2" s="227"/>
      <c r="BM2" s="227" t="s">
        <v>1</v>
      </c>
      <c r="BN2" s="227"/>
      <c r="BO2" s="227" t="s">
        <v>6</v>
      </c>
      <c r="BP2" s="227"/>
      <c r="BQ2" s="228" t="s">
        <v>8</v>
      </c>
      <c r="BR2" s="228" t="s">
        <v>9</v>
      </c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H2" s="230" t="s">
        <v>82</v>
      </c>
      <c r="CI2" s="230"/>
      <c r="CJ2" s="230"/>
      <c r="CK2" s="230"/>
      <c r="CL2" s="230"/>
      <c r="CM2" s="230"/>
      <c r="CN2" s="230"/>
      <c r="CO2" s="230"/>
      <c r="CP2" s="230"/>
      <c r="CQ2" s="230"/>
      <c r="CR2" s="17"/>
    </row>
    <row r="3" spans="1:96" ht="18.75" x14ac:dyDescent="0.25">
      <c r="A3" s="226"/>
      <c r="B3" s="226"/>
      <c r="C3" s="226"/>
      <c r="D3" s="64"/>
      <c r="E3" s="224">
        <v>46266</v>
      </c>
      <c r="F3" s="224"/>
      <c r="G3" s="224">
        <v>46267</v>
      </c>
      <c r="H3" s="224"/>
      <c r="I3" s="224">
        <v>46268</v>
      </c>
      <c r="J3" s="224"/>
      <c r="K3" s="224">
        <v>46269</v>
      </c>
      <c r="L3" s="224"/>
      <c r="M3" s="224">
        <v>46270</v>
      </c>
      <c r="N3" s="224"/>
      <c r="O3" s="224">
        <v>46271</v>
      </c>
      <c r="P3" s="224"/>
      <c r="Q3" s="224">
        <v>46272</v>
      </c>
      <c r="R3" s="224"/>
      <c r="S3" s="224">
        <v>46273</v>
      </c>
      <c r="T3" s="224"/>
      <c r="U3" s="224">
        <v>46274</v>
      </c>
      <c r="V3" s="224"/>
      <c r="W3" s="224">
        <v>46275</v>
      </c>
      <c r="X3" s="224"/>
      <c r="Y3" s="224">
        <v>46276</v>
      </c>
      <c r="Z3" s="224"/>
      <c r="AA3" s="224">
        <v>46277</v>
      </c>
      <c r="AB3" s="224"/>
      <c r="AC3" s="224">
        <v>46278</v>
      </c>
      <c r="AD3" s="224"/>
      <c r="AE3" s="224">
        <v>46279</v>
      </c>
      <c r="AF3" s="224"/>
      <c r="AG3" s="224">
        <v>46280</v>
      </c>
      <c r="AH3" s="224"/>
      <c r="AI3" s="89"/>
      <c r="AJ3" s="85"/>
      <c r="AK3" s="224">
        <v>46281</v>
      </c>
      <c r="AL3" s="224"/>
      <c r="AM3" s="224">
        <v>46282</v>
      </c>
      <c r="AN3" s="224"/>
      <c r="AO3" s="224">
        <v>46283</v>
      </c>
      <c r="AP3" s="224"/>
      <c r="AQ3" s="224">
        <v>46284</v>
      </c>
      <c r="AR3" s="224"/>
      <c r="AS3" s="224">
        <v>46285</v>
      </c>
      <c r="AT3" s="224"/>
      <c r="AU3" s="224">
        <v>46286</v>
      </c>
      <c r="AV3" s="224"/>
      <c r="AW3" s="224">
        <v>46287</v>
      </c>
      <c r="AX3" s="224"/>
      <c r="AY3" s="224">
        <v>46288</v>
      </c>
      <c r="AZ3" s="224"/>
      <c r="BA3" s="224">
        <v>46289</v>
      </c>
      <c r="BB3" s="224"/>
      <c r="BC3" s="224">
        <v>46290</v>
      </c>
      <c r="BD3" s="224"/>
      <c r="BE3" s="224">
        <v>46291</v>
      </c>
      <c r="BF3" s="224"/>
      <c r="BG3" s="224">
        <v>46292</v>
      </c>
      <c r="BH3" s="224"/>
      <c r="BI3" s="224">
        <v>46293</v>
      </c>
      <c r="BJ3" s="224"/>
      <c r="BK3" s="224">
        <v>46294</v>
      </c>
      <c r="BL3" s="224"/>
      <c r="BM3" s="224">
        <v>46295</v>
      </c>
      <c r="BN3" s="224"/>
      <c r="BO3" s="224">
        <v>46296</v>
      </c>
      <c r="BP3" s="224"/>
      <c r="BQ3" s="228"/>
      <c r="BR3" s="228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H3" s="48" t="s">
        <v>99</v>
      </c>
      <c r="CI3" s="48"/>
      <c r="CJ3" s="48"/>
      <c r="CK3" s="48"/>
      <c r="CL3" s="48"/>
      <c r="CM3" s="48"/>
      <c r="CN3" s="48"/>
      <c r="CO3" s="48"/>
      <c r="CP3" s="48"/>
      <c r="CQ3" s="48"/>
      <c r="CR3" s="17"/>
    </row>
    <row r="4" spans="1:96" ht="18.75" customHeight="1" x14ac:dyDescent="0.25">
      <c r="A4" s="4" t="s">
        <v>10</v>
      </c>
      <c r="B4" s="4" t="s">
        <v>11</v>
      </c>
      <c r="C4" s="4" t="s">
        <v>12</v>
      </c>
      <c r="D4" s="4"/>
      <c r="E4" s="45" t="s">
        <v>13</v>
      </c>
      <c r="F4" s="45" t="s">
        <v>14</v>
      </c>
      <c r="G4" s="45" t="s">
        <v>13</v>
      </c>
      <c r="H4" s="45" t="s">
        <v>14</v>
      </c>
      <c r="I4" s="45" t="s">
        <v>13</v>
      </c>
      <c r="J4" s="45" t="s">
        <v>14</v>
      </c>
      <c r="K4" s="45" t="s">
        <v>13</v>
      </c>
      <c r="L4" s="45" t="s">
        <v>14</v>
      </c>
      <c r="M4" s="45" t="s">
        <v>13</v>
      </c>
      <c r="N4" s="45" t="s">
        <v>14</v>
      </c>
      <c r="O4" s="10" t="s">
        <v>13</v>
      </c>
      <c r="P4" s="10" t="s">
        <v>14</v>
      </c>
      <c r="Q4" s="10" t="s">
        <v>13</v>
      </c>
      <c r="R4" s="10" t="s">
        <v>14</v>
      </c>
      <c r="S4" s="10" t="s">
        <v>13</v>
      </c>
      <c r="T4" s="10" t="s">
        <v>14</v>
      </c>
      <c r="U4" s="10" t="s">
        <v>13</v>
      </c>
      <c r="V4" s="10" t="s">
        <v>14</v>
      </c>
      <c r="W4" s="10" t="s">
        <v>13</v>
      </c>
      <c r="X4" s="10" t="s">
        <v>14</v>
      </c>
      <c r="Y4" s="10" t="s">
        <v>13</v>
      </c>
      <c r="Z4" s="10" t="s">
        <v>14</v>
      </c>
      <c r="AA4" s="10" t="s">
        <v>13</v>
      </c>
      <c r="AB4" s="10" t="s">
        <v>14</v>
      </c>
      <c r="AC4" s="10" t="s">
        <v>13</v>
      </c>
      <c r="AD4" s="10" t="s">
        <v>14</v>
      </c>
      <c r="AE4" s="10" t="s">
        <v>13</v>
      </c>
      <c r="AF4" s="10" t="s">
        <v>14</v>
      </c>
      <c r="AG4" s="10" t="s">
        <v>13</v>
      </c>
      <c r="AH4" s="10" t="s">
        <v>14</v>
      </c>
      <c r="AI4" s="88"/>
      <c r="AJ4" s="10"/>
      <c r="AK4" s="45" t="s">
        <v>13</v>
      </c>
      <c r="AL4" s="45" t="s">
        <v>14</v>
      </c>
      <c r="AM4" s="45" t="s">
        <v>13</v>
      </c>
      <c r="AN4" s="45" t="s">
        <v>14</v>
      </c>
      <c r="AO4" s="45" t="s">
        <v>13</v>
      </c>
      <c r="AP4" s="45" t="s">
        <v>14</v>
      </c>
      <c r="AQ4" s="45" t="s">
        <v>13</v>
      </c>
      <c r="AR4" s="45" t="s">
        <v>14</v>
      </c>
      <c r="AS4" s="45" t="s">
        <v>13</v>
      </c>
      <c r="AT4" s="45" t="s">
        <v>14</v>
      </c>
      <c r="AU4" s="10" t="s">
        <v>13</v>
      </c>
      <c r="AV4" s="10" t="s">
        <v>14</v>
      </c>
      <c r="AW4" s="10" t="s">
        <v>13</v>
      </c>
      <c r="AX4" s="10" t="s">
        <v>14</v>
      </c>
      <c r="AY4" s="10" t="s">
        <v>13</v>
      </c>
      <c r="AZ4" s="10" t="s">
        <v>14</v>
      </c>
      <c r="BA4" s="10" t="s">
        <v>13</v>
      </c>
      <c r="BB4" s="10" t="s">
        <v>14</v>
      </c>
      <c r="BC4" s="10" t="s">
        <v>13</v>
      </c>
      <c r="BD4" s="10" t="s">
        <v>14</v>
      </c>
      <c r="BE4" s="10" t="s">
        <v>13</v>
      </c>
      <c r="BF4" s="10" t="s">
        <v>14</v>
      </c>
      <c r="BG4" s="10" t="s">
        <v>13</v>
      </c>
      <c r="BH4" s="10" t="s">
        <v>14</v>
      </c>
      <c r="BI4" s="10" t="s">
        <v>13</v>
      </c>
      <c r="BJ4" s="10" t="s">
        <v>14</v>
      </c>
      <c r="BK4" s="10" t="s">
        <v>13</v>
      </c>
      <c r="BL4" s="10" t="s">
        <v>14</v>
      </c>
      <c r="BM4" s="10" t="s">
        <v>13</v>
      </c>
      <c r="BN4" s="10" t="s">
        <v>14</v>
      </c>
      <c r="BO4" s="10" t="s">
        <v>13</v>
      </c>
      <c r="BP4" s="10" t="s">
        <v>14</v>
      </c>
      <c r="BQ4" s="228"/>
      <c r="BR4" s="228"/>
      <c r="BS4" s="5"/>
      <c r="BT4" s="67" t="s">
        <v>15</v>
      </c>
      <c r="BU4" s="67" t="s">
        <v>16</v>
      </c>
      <c r="BV4" s="67" t="s">
        <v>17</v>
      </c>
      <c r="BW4" s="67" t="s">
        <v>18</v>
      </c>
      <c r="BX4" s="67" t="s">
        <v>19</v>
      </c>
      <c r="BY4" s="67" t="s">
        <v>20</v>
      </c>
      <c r="BZ4" s="67" t="s">
        <v>96</v>
      </c>
      <c r="CA4" s="43" t="s">
        <v>22</v>
      </c>
      <c r="CB4" s="67" t="s">
        <v>23</v>
      </c>
      <c r="CC4" s="67" t="s">
        <v>24</v>
      </c>
      <c r="CD4" s="67" t="s">
        <v>25</v>
      </c>
      <c r="CE4" s="6" t="s">
        <v>26</v>
      </c>
      <c r="CH4" s="49" t="s">
        <v>16</v>
      </c>
      <c r="CI4" s="50" t="s">
        <v>17</v>
      </c>
      <c r="CJ4" s="50" t="s">
        <v>18</v>
      </c>
      <c r="CK4" s="50" t="s">
        <v>19</v>
      </c>
      <c r="CL4" s="50" t="s">
        <v>20</v>
      </c>
      <c r="CM4" s="50" t="s">
        <v>21</v>
      </c>
      <c r="CN4" s="50" t="s">
        <v>22</v>
      </c>
      <c r="CO4" s="50" t="s">
        <v>23</v>
      </c>
      <c r="CP4" s="50" t="s">
        <v>24</v>
      </c>
      <c r="CQ4" s="50" t="s">
        <v>25</v>
      </c>
      <c r="CR4" s="51" t="s">
        <v>83</v>
      </c>
    </row>
    <row r="5" spans="1:96" ht="22.5" customHeight="1" x14ac:dyDescent="0.25">
      <c r="A5" s="96">
        <v>1</v>
      </c>
      <c r="B5" s="8" t="s">
        <v>95</v>
      </c>
      <c r="C5" s="91" t="s">
        <v>27</v>
      </c>
      <c r="D5" s="101">
        <v>43523</v>
      </c>
      <c r="E5" s="104">
        <v>46266.351770833331</v>
      </c>
      <c r="F5" s="104">
        <v>46264.959768518522</v>
      </c>
      <c r="G5" s="104">
        <v>46267.350011574075</v>
      </c>
      <c r="H5" s="104">
        <v>0</v>
      </c>
      <c r="I5" s="104">
        <v>46268.349953703706</v>
      </c>
      <c r="J5" s="104">
        <v>0</v>
      </c>
      <c r="K5" s="162" t="s">
        <v>15</v>
      </c>
      <c r="L5" s="162" t="s">
        <v>15</v>
      </c>
      <c r="M5" s="104">
        <v>46270.348113425927</v>
      </c>
      <c r="N5" s="104">
        <v>0</v>
      </c>
      <c r="O5" s="104">
        <v>46271.348043981481</v>
      </c>
      <c r="P5" s="104">
        <v>0</v>
      </c>
      <c r="Q5" s="104">
        <v>46272.34778935185</v>
      </c>
      <c r="R5" s="104">
        <v>0</v>
      </c>
      <c r="S5" s="104">
        <v>46273.348124999997</v>
      </c>
      <c r="T5" s="104">
        <v>0</v>
      </c>
      <c r="U5" s="104">
        <v>46274.34715277778</v>
      </c>
      <c r="V5" s="104">
        <v>0</v>
      </c>
      <c r="W5" s="104">
        <v>46275.348564814813</v>
      </c>
      <c r="X5" s="104">
        <v>0</v>
      </c>
      <c r="Y5" s="104">
        <v>46276.576597222222</v>
      </c>
      <c r="Z5" s="104">
        <v>0</v>
      </c>
      <c r="AA5" s="104">
        <v>46277.347233796296</v>
      </c>
      <c r="AB5" s="104">
        <v>0</v>
      </c>
      <c r="AC5" s="104">
        <v>46278.347800925927</v>
      </c>
      <c r="AD5" s="104">
        <v>0</v>
      </c>
      <c r="AE5" s="104">
        <v>46279.347372685188</v>
      </c>
      <c r="AF5" s="104">
        <v>0</v>
      </c>
      <c r="AG5" s="104">
        <v>46280.347569444442</v>
      </c>
      <c r="AH5" s="104">
        <v>0</v>
      </c>
      <c r="AI5" s="84"/>
      <c r="AJ5" s="136">
        <v>1</v>
      </c>
      <c r="AK5" s="104">
        <v>46281.347245370373</v>
      </c>
      <c r="AL5" s="104">
        <v>0</v>
      </c>
      <c r="AM5" s="128">
        <v>46282.347951388889</v>
      </c>
      <c r="AN5" s="104">
        <v>0</v>
      </c>
      <c r="AO5" s="137" t="s">
        <v>15</v>
      </c>
      <c r="AP5" s="137" t="s">
        <v>15</v>
      </c>
      <c r="AQ5" s="104">
        <v>46284.346446759257</v>
      </c>
      <c r="AR5" s="104">
        <v>0</v>
      </c>
      <c r="AS5" s="104">
        <v>46285.347384259258</v>
      </c>
      <c r="AT5" s="104">
        <v>0</v>
      </c>
      <c r="AU5" s="104">
        <v>46286.346076388887</v>
      </c>
      <c r="AV5" s="104">
        <v>0</v>
      </c>
      <c r="AW5" s="104">
        <v>46287.347800925927</v>
      </c>
      <c r="AX5" s="104">
        <v>0</v>
      </c>
      <c r="AY5" s="104">
        <v>46288.34747685185</v>
      </c>
      <c r="AZ5" s="104">
        <v>0</v>
      </c>
      <c r="BA5" s="104">
        <v>46289.347025462965</v>
      </c>
      <c r="BB5" s="104">
        <v>0</v>
      </c>
      <c r="BC5" s="104">
        <v>0</v>
      </c>
      <c r="BD5" s="104">
        <v>0</v>
      </c>
      <c r="BE5" s="104">
        <v>46291.348692129628</v>
      </c>
      <c r="BF5" s="104">
        <v>0</v>
      </c>
      <c r="BG5" s="104">
        <v>46292.348321759258</v>
      </c>
      <c r="BH5" s="104">
        <v>0</v>
      </c>
      <c r="BI5" s="104">
        <v>46293.34684027778</v>
      </c>
      <c r="BJ5" s="104">
        <v>0</v>
      </c>
      <c r="BK5" s="104">
        <v>46294.345763888887</v>
      </c>
      <c r="BL5" s="104">
        <v>0</v>
      </c>
      <c r="BM5" s="104">
        <v>46295.345439814817</v>
      </c>
      <c r="BN5" s="104">
        <v>0</v>
      </c>
      <c r="BO5" s="65"/>
      <c r="BP5" s="65"/>
      <c r="BQ5" s="13">
        <f>BS5+BT5+BU5+BV5+CA5+BY5+BZ5+CD5</f>
        <v>30</v>
      </c>
      <c r="BR5" s="63">
        <v>2</v>
      </c>
      <c r="BS5" s="14">
        <f>COUNT(E5:AH5)/2+COUNT(AK5:BN5)/2</f>
        <v>28</v>
      </c>
      <c r="BT5" s="15">
        <f>COUNTIF(B5:BN5,"OFF")/2</f>
        <v>2</v>
      </c>
      <c r="BU5" s="15">
        <f>COUNTIF(B5:BN5,"MC")/2</f>
        <v>0</v>
      </c>
      <c r="BV5" s="15">
        <f>COUNTIF(B5:BN5,"EL")/2</f>
        <v>0</v>
      </c>
      <c r="BW5" s="15">
        <f>COUNTIF(B5:BN5,"AL")/2</f>
        <v>0</v>
      </c>
      <c r="BX5" s="15">
        <f>COUNTIF(B5:BN5,"SUS")/2</f>
        <v>0</v>
      </c>
      <c r="BY5" s="15">
        <f>COUNTIF(B5:BN5,"FL")/2</f>
        <v>0</v>
      </c>
      <c r="BZ5" s="15">
        <f>COUNTIF(B5:BN5,"SICK")/2</f>
        <v>0</v>
      </c>
      <c r="CA5" s="15">
        <f>COUNTIF(B5:BN5,"HD")/2</f>
        <v>0</v>
      </c>
      <c r="CB5" s="15">
        <f>COUNTIF(B5:BN5,"AB")/2</f>
        <v>0</v>
      </c>
      <c r="CC5" s="15">
        <f>COUNTIF(B5:BN5,"NL")/2</f>
        <v>0</v>
      </c>
      <c r="CD5" s="15">
        <f>COUNTIF(B5:BN5,"SP")/2</f>
        <v>0</v>
      </c>
      <c r="CE5" s="16"/>
      <c r="CH5" s="53">
        <v>0</v>
      </c>
      <c r="CI5" s="53">
        <v>0</v>
      </c>
      <c r="CJ5" s="53">
        <v>32</v>
      </c>
      <c r="CK5" s="53">
        <v>0</v>
      </c>
      <c r="CL5" s="53">
        <v>0</v>
      </c>
      <c r="CM5" s="53">
        <v>0</v>
      </c>
      <c r="CN5" s="53">
        <v>0</v>
      </c>
      <c r="CO5" s="53">
        <v>0</v>
      </c>
      <c r="CP5" s="53">
        <v>0</v>
      </c>
      <c r="CQ5" s="53">
        <v>0</v>
      </c>
      <c r="CR5" s="57">
        <f t="shared" ref="CR5:CR10" si="0">SUM(CH5:CQ5)</f>
        <v>32</v>
      </c>
    </row>
    <row r="6" spans="1:96" ht="22.5" customHeight="1" x14ac:dyDescent="0.25">
      <c r="A6" s="96">
        <v>2</v>
      </c>
      <c r="B6" s="8" t="s">
        <v>105</v>
      </c>
      <c r="C6" s="91" t="s">
        <v>28</v>
      </c>
      <c r="D6" s="101"/>
      <c r="E6" s="104">
        <v>46266.353645833333</v>
      </c>
      <c r="F6" s="104">
        <v>46264.958587962959</v>
      </c>
      <c r="G6" s="104">
        <v>46267.387986111113</v>
      </c>
      <c r="H6" s="104">
        <v>46267.984305555554</v>
      </c>
      <c r="I6" s="104">
        <v>46268.352048611108</v>
      </c>
      <c r="J6" s="104">
        <v>0</v>
      </c>
      <c r="K6" s="104">
        <v>46269.557523148149</v>
      </c>
      <c r="L6" s="104">
        <v>46269.984814814816</v>
      </c>
      <c r="M6" s="104">
        <v>46270.352627314816</v>
      </c>
      <c r="N6" s="104">
        <v>46270.999895833331</v>
      </c>
      <c r="O6" s="104">
        <v>46271.351574074077</v>
      </c>
      <c r="P6" s="104">
        <v>46271.97142361111</v>
      </c>
      <c r="Q6" s="104">
        <v>46272.353101851855</v>
      </c>
      <c r="R6" s="104">
        <v>46272.969849537039</v>
      </c>
      <c r="S6" s="104">
        <v>46273.35224537037</v>
      </c>
      <c r="T6" s="104">
        <v>46273.972824074073</v>
      </c>
      <c r="U6" s="104">
        <v>46274.354768518519</v>
      </c>
      <c r="V6" s="104">
        <v>46274.97415509259</v>
      </c>
      <c r="W6" s="104">
        <v>46275.354224537034</v>
      </c>
      <c r="X6" s="104">
        <v>46275.99255787037</v>
      </c>
      <c r="Y6" s="137" t="s">
        <v>15</v>
      </c>
      <c r="Z6" s="137" t="s">
        <v>15</v>
      </c>
      <c r="AA6" s="104">
        <v>46277.351643518516</v>
      </c>
      <c r="AB6" s="104">
        <v>46277.991655092592</v>
      </c>
      <c r="AC6" s="104">
        <v>46278.353182870371</v>
      </c>
      <c r="AD6" s="104">
        <v>46278.970671296294</v>
      </c>
      <c r="AE6" s="104">
        <v>46279.351631944446</v>
      </c>
      <c r="AF6" s="104">
        <v>46279.973101851851</v>
      </c>
      <c r="AG6" s="104">
        <v>46280.354270833333</v>
      </c>
      <c r="AH6" s="104">
        <v>46280.980023148149</v>
      </c>
      <c r="AI6" s="84"/>
      <c r="AJ6" s="136">
        <v>2</v>
      </c>
      <c r="AK6" s="104">
        <v>46281.352500000001</v>
      </c>
      <c r="AL6" s="104">
        <v>46281.975023148145</v>
      </c>
      <c r="AM6" s="104">
        <v>46282.351215277777</v>
      </c>
      <c r="AN6" s="104">
        <v>0</v>
      </c>
      <c r="AO6" s="104">
        <v>46283.554803240739</v>
      </c>
      <c r="AP6" s="104">
        <v>46283.968217592592</v>
      </c>
      <c r="AQ6" s="104">
        <v>46284.354930555557</v>
      </c>
      <c r="AR6" s="104">
        <v>46284.998124999998</v>
      </c>
      <c r="AS6" s="104">
        <v>46285.353171296294</v>
      </c>
      <c r="AT6" s="104">
        <v>46285.97278935185</v>
      </c>
      <c r="AU6" s="104">
        <v>46286.354108796295</v>
      </c>
      <c r="AV6" s="104">
        <v>46286.971250000002</v>
      </c>
      <c r="AW6" s="104">
        <v>46287.348726851851</v>
      </c>
      <c r="AX6" s="104">
        <v>46287.969722222224</v>
      </c>
      <c r="AY6" s="104">
        <v>46288.353171296294</v>
      </c>
      <c r="AZ6" s="104">
        <v>46288.971180555556</v>
      </c>
      <c r="BA6" s="104">
        <v>46289.350787037038</v>
      </c>
      <c r="BB6" s="104">
        <v>0</v>
      </c>
      <c r="BC6" s="137" t="s">
        <v>15</v>
      </c>
      <c r="BD6" s="137" t="s">
        <v>15</v>
      </c>
      <c r="BE6" s="104">
        <v>46291.353680555556</v>
      </c>
      <c r="BF6" s="104">
        <v>46291.996944444443</v>
      </c>
      <c r="BG6" s="104">
        <v>46292.352916666663</v>
      </c>
      <c r="BH6" s="104">
        <v>46292.976273148146</v>
      </c>
      <c r="BI6" s="104">
        <v>46293.354467592595</v>
      </c>
      <c r="BJ6" s="104">
        <v>46293.975127314814</v>
      </c>
      <c r="BK6" s="104">
        <v>46294.354259259257</v>
      </c>
      <c r="BL6" s="104">
        <v>46294.976712962962</v>
      </c>
      <c r="BM6" s="104">
        <v>46295.354398148149</v>
      </c>
      <c r="BN6" s="104">
        <v>46295.965613425928</v>
      </c>
      <c r="BO6" s="65"/>
      <c r="BP6" s="65"/>
      <c r="BQ6" s="13">
        <f t="shared" ref="BQ6:BQ12" si="1">BS6+BT6+BU6+BV6+CA6+BY6+BZ6+CD6</f>
        <v>30</v>
      </c>
      <c r="BR6" s="63">
        <v>2</v>
      </c>
      <c r="BS6" s="14">
        <f t="shared" ref="BS6:BS12" si="2">COUNT(E6:AH6)/2+COUNT(AK6:BN6)/2</f>
        <v>28</v>
      </c>
      <c r="BT6" s="15">
        <f t="shared" ref="BT6:BT12" si="3">COUNTIF(B6:BN6,"OFF")/2</f>
        <v>2</v>
      </c>
      <c r="BU6" s="15">
        <f t="shared" ref="BU6:BU12" si="4">COUNTIF(B6:BN6,"MC")/2</f>
        <v>0</v>
      </c>
      <c r="BV6" s="15">
        <f t="shared" ref="BV6:BV12" si="5">COUNTIF(B6:BN6,"EL")/2</f>
        <v>0</v>
      </c>
      <c r="BW6" s="15">
        <f t="shared" ref="BW6:BW12" si="6">COUNTIF(B6:BN6,"AL")/2</f>
        <v>0</v>
      </c>
      <c r="BX6" s="15">
        <f t="shared" ref="BX6:BX12" si="7">COUNTIF(B6:BN6,"SUS")/2</f>
        <v>0</v>
      </c>
      <c r="BY6" s="15">
        <f t="shared" ref="BY6:BY12" si="8">COUNTIF(B6:BN6,"FL")/2</f>
        <v>0</v>
      </c>
      <c r="BZ6" s="15">
        <f t="shared" ref="BZ6:BZ12" si="9">COUNTIF(B6:BN6,"SICK")/2</f>
        <v>0</v>
      </c>
      <c r="CA6" s="15">
        <f t="shared" ref="CA6:CA12" si="10">COUNTIF(B6:BN6,"HD")/2</f>
        <v>0</v>
      </c>
      <c r="CB6" s="15">
        <f t="shared" ref="CB6:CB12" si="11">COUNTIF(B6:BN6,"AB")/2</f>
        <v>0</v>
      </c>
      <c r="CC6" s="15">
        <f t="shared" ref="CC6:CC12" si="12">COUNTIF(B6:BN6,"NL")/2</f>
        <v>0</v>
      </c>
      <c r="CD6" s="15">
        <f t="shared" ref="CD6:CD12" si="13">COUNTIF(B6:BN6,"SP")/2</f>
        <v>0</v>
      </c>
      <c r="CE6" s="16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7">
        <f>SUM(CH6:CQ6)</f>
        <v>0</v>
      </c>
    </row>
    <row r="7" spans="1:96" ht="22.5" customHeight="1" x14ac:dyDescent="0.25">
      <c r="A7" s="96">
        <v>3</v>
      </c>
      <c r="B7" s="8" t="s">
        <v>84</v>
      </c>
      <c r="C7" s="91" t="s">
        <v>29</v>
      </c>
      <c r="D7" s="101">
        <v>43423</v>
      </c>
      <c r="E7" s="104">
        <v>46266.334062499998</v>
      </c>
      <c r="F7" s="104">
        <v>46264.957696759258</v>
      </c>
      <c r="G7" s="104">
        <v>46267.335497685184</v>
      </c>
      <c r="H7" s="104">
        <v>0</v>
      </c>
      <c r="I7" s="104">
        <v>46268.33253472222</v>
      </c>
      <c r="J7" s="104">
        <v>0</v>
      </c>
      <c r="K7" s="137" t="s">
        <v>15</v>
      </c>
      <c r="L7" s="137" t="s">
        <v>15</v>
      </c>
      <c r="M7" s="104">
        <v>46270.332604166666</v>
      </c>
      <c r="N7" s="104">
        <v>0</v>
      </c>
      <c r="O7" s="104">
        <v>46271.331921296296</v>
      </c>
      <c r="P7" s="104">
        <v>0</v>
      </c>
      <c r="Q7" s="104">
        <v>46272.332465277781</v>
      </c>
      <c r="R7" s="104">
        <v>0</v>
      </c>
      <c r="S7" s="104">
        <v>46273.333634259259</v>
      </c>
      <c r="T7" s="104">
        <v>0</v>
      </c>
      <c r="U7" s="104">
        <v>46274.33222222222</v>
      </c>
      <c r="V7" s="104">
        <v>46274.969212962962</v>
      </c>
      <c r="W7" s="104">
        <v>46275.333506944444</v>
      </c>
      <c r="X7" s="104">
        <v>0</v>
      </c>
      <c r="Y7" s="104">
        <v>46276.56077546296</v>
      </c>
      <c r="Z7" s="104">
        <v>46276.979502314818</v>
      </c>
      <c r="AA7" s="104">
        <v>46277.353206018517</v>
      </c>
      <c r="AB7" s="104">
        <v>0</v>
      </c>
      <c r="AC7" s="104">
        <v>46278.355300925927</v>
      </c>
      <c r="AD7" s="104">
        <v>0</v>
      </c>
      <c r="AE7" s="104">
        <v>46279.331342592595</v>
      </c>
      <c r="AF7" s="104">
        <v>0</v>
      </c>
      <c r="AG7" s="104">
        <v>46280.332592592589</v>
      </c>
      <c r="AH7" s="104">
        <v>0</v>
      </c>
      <c r="AI7" s="84"/>
      <c r="AJ7" s="136">
        <v>3</v>
      </c>
      <c r="AK7" s="104">
        <v>46281.331516203703</v>
      </c>
      <c r="AL7" s="104">
        <v>0</v>
      </c>
      <c r="AM7" s="104">
        <v>46282.330821759257</v>
      </c>
      <c r="AN7" s="104">
        <v>0</v>
      </c>
      <c r="AO7" s="137" t="s">
        <v>15</v>
      </c>
      <c r="AP7" s="137" t="s">
        <v>15</v>
      </c>
      <c r="AQ7" s="104">
        <v>46284.332546296297</v>
      </c>
      <c r="AR7" s="104">
        <v>0</v>
      </c>
      <c r="AS7" s="104">
        <v>46285.331631944442</v>
      </c>
      <c r="AT7" s="104">
        <v>0</v>
      </c>
      <c r="AU7" s="104">
        <v>46286.332488425927</v>
      </c>
      <c r="AV7" s="104">
        <v>0</v>
      </c>
      <c r="AW7" s="104">
        <v>46287.332499999997</v>
      </c>
      <c r="AX7" s="104">
        <v>0</v>
      </c>
      <c r="AY7" s="104">
        <v>46288.331759259258</v>
      </c>
      <c r="AZ7" s="104">
        <v>0</v>
      </c>
      <c r="BA7" s="104">
        <v>46289.330810185187</v>
      </c>
      <c r="BB7" s="104">
        <v>0</v>
      </c>
      <c r="BC7" s="104">
        <v>46290.559618055559</v>
      </c>
      <c r="BD7" s="104">
        <v>0</v>
      </c>
      <c r="BE7" s="104">
        <v>46291.332569444443</v>
      </c>
      <c r="BF7" s="104">
        <v>0</v>
      </c>
      <c r="BG7" s="104">
        <v>46292.332106481481</v>
      </c>
      <c r="BH7" s="104">
        <v>0</v>
      </c>
      <c r="BI7" s="104">
        <v>46293.329895833333</v>
      </c>
      <c r="BJ7" s="104">
        <v>0</v>
      </c>
      <c r="BK7" s="104">
        <v>46294.331782407404</v>
      </c>
      <c r="BL7" s="104">
        <v>46294.976643518516</v>
      </c>
      <c r="BM7" s="104">
        <v>46295.33085648148</v>
      </c>
      <c r="BN7" s="104">
        <v>0</v>
      </c>
      <c r="BO7" s="103"/>
      <c r="BP7" s="103"/>
      <c r="BQ7" s="13">
        <f t="shared" si="1"/>
        <v>30</v>
      </c>
      <c r="BR7" s="63">
        <v>2</v>
      </c>
      <c r="BS7" s="14">
        <f t="shared" si="2"/>
        <v>28</v>
      </c>
      <c r="BT7" s="15">
        <f t="shared" si="3"/>
        <v>2</v>
      </c>
      <c r="BU7" s="15">
        <f t="shared" si="4"/>
        <v>0</v>
      </c>
      <c r="BV7" s="15">
        <f t="shared" si="5"/>
        <v>0</v>
      </c>
      <c r="BW7" s="15">
        <f t="shared" si="6"/>
        <v>0</v>
      </c>
      <c r="BX7" s="15">
        <f t="shared" si="7"/>
        <v>0</v>
      </c>
      <c r="BY7" s="15">
        <f t="shared" si="8"/>
        <v>0</v>
      </c>
      <c r="BZ7" s="15">
        <f t="shared" si="9"/>
        <v>0</v>
      </c>
      <c r="CA7" s="15">
        <f t="shared" si="10"/>
        <v>0</v>
      </c>
      <c r="CB7" s="15">
        <f t="shared" si="11"/>
        <v>0</v>
      </c>
      <c r="CC7" s="15">
        <f t="shared" si="12"/>
        <v>0</v>
      </c>
      <c r="CD7" s="15">
        <f t="shared" si="13"/>
        <v>0</v>
      </c>
      <c r="CE7" s="2"/>
      <c r="CH7" s="53">
        <v>0</v>
      </c>
      <c r="CI7" s="53">
        <v>0</v>
      </c>
      <c r="CJ7" s="53">
        <v>60</v>
      </c>
      <c r="CK7" s="53">
        <v>0</v>
      </c>
      <c r="CL7" s="53">
        <v>0</v>
      </c>
      <c r="CM7" s="53">
        <v>1</v>
      </c>
      <c r="CN7" s="53">
        <v>0</v>
      </c>
      <c r="CO7" s="53">
        <v>0</v>
      </c>
      <c r="CP7" s="53">
        <v>0</v>
      </c>
      <c r="CQ7" s="53">
        <v>0</v>
      </c>
      <c r="CR7" s="53">
        <f t="shared" si="0"/>
        <v>61</v>
      </c>
    </row>
    <row r="8" spans="1:96" ht="22.5" customHeight="1" x14ac:dyDescent="0.25">
      <c r="A8" s="96">
        <v>4</v>
      </c>
      <c r="B8" s="97" t="s">
        <v>103</v>
      </c>
      <c r="C8" s="98" t="s">
        <v>104</v>
      </c>
      <c r="D8" s="66">
        <v>45612</v>
      </c>
      <c r="E8" s="104">
        <v>46266.334699074076</v>
      </c>
      <c r="F8" s="104">
        <v>46264.922372685185</v>
      </c>
      <c r="G8" s="104">
        <v>46267.333819444444</v>
      </c>
      <c r="H8" s="104">
        <v>0</v>
      </c>
      <c r="I8" s="104">
        <v>46268.334039351852</v>
      </c>
      <c r="J8" s="104">
        <v>46268.991944444446</v>
      </c>
      <c r="K8" s="137" t="s">
        <v>15</v>
      </c>
      <c r="L8" s="137" t="s">
        <v>15</v>
      </c>
      <c r="M8" s="104">
        <v>46270.327731481484</v>
      </c>
      <c r="N8" s="104">
        <v>46270.966770833336</v>
      </c>
      <c r="O8" s="104">
        <v>46271.335821759261</v>
      </c>
      <c r="P8" s="104">
        <v>46271.94494212963</v>
      </c>
      <c r="Q8" s="104">
        <v>46272.331493055557</v>
      </c>
      <c r="R8" s="104">
        <v>0</v>
      </c>
      <c r="S8" s="104">
        <v>46273.330462962964</v>
      </c>
      <c r="T8" s="104">
        <v>0</v>
      </c>
      <c r="U8" s="104">
        <v>46274.333958333336</v>
      </c>
      <c r="V8" s="104">
        <v>0</v>
      </c>
      <c r="W8" s="104">
        <v>46275.335046296299</v>
      </c>
      <c r="X8" s="104">
        <v>0</v>
      </c>
      <c r="Y8" s="104">
        <v>46276.561840277776</v>
      </c>
      <c r="Z8" s="104">
        <v>46276.97755787037</v>
      </c>
      <c r="AA8" s="104">
        <v>46277.337627314817</v>
      </c>
      <c r="AB8" s="104">
        <v>0</v>
      </c>
      <c r="AC8" s="104">
        <v>46278.342719907407</v>
      </c>
      <c r="AD8" s="104">
        <v>0</v>
      </c>
      <c r="AE8" s="104">
        <v>46279.332499999997</v>
      </c>
      <c r="AF8" s="104">
        <v>46279.949490740742</v>
      </c>
      <c r="AG8" s="104">
        <v>46280.332071759258</v>
      </c>
      <c r="AH8" s="104">
        <v>46280.947835648149</v>
      </c>
      <c r="AI8" s="84"/>
      <c r="AJ8" s="136">
        <v>4</v>
      </c>
      <c r="AK8" s="104">
        <v>46281.334074074075</v>
      </c>
      <c r="AL8" s="104">
        <v>46281.947280092594</v>
      </c>
      <c r="AM8" s="104">
        <v>46282.329953703702</v>
      </c>
      <c r="AN8" s="104">
        <v>0</v>
      </c>
      <c r="AO8" s="137" t="s">
        <v>15</v>
      </c>
      <c r="AP8" s="137" t="s">
        <v>15</v>
      </c>
      <c r="AQ8" s="104">
        <v>46284.337395833332</v>
      </c>
      <c r="AR8" s="104">
        <v>0</v>
      </c>
      <c r="AS8" s="104">
        <v>0</v>
      </c>
      <c r="AT8" s="104">
        <v>0</v>
      </c>
      <c r="AU8" s="104">
        <v>46286.329236111109</v>
      </c>
      <c r="AV8" s="104">
        <v>0</v>
      </c>
      <c r="AW8" s="104">
        <v>46287.332349537035</v>
      </c>
      <c r="AX8" s="104">
        <v>46287.945821759262</v>
      </c>
      <c r="AY8" s="104">
        <v>46288.333819444444</v>
      </c>
      <c r="AZ8" s="104">
        <v>46288.94667824074</v>
      </c>
      <c r="BA8" s="104">
        <v>46289.332083333335</v>
      </c>
      <c r="BB8" s="104">
        <v>0</v>
      </c>
      <c r="BC8" s="104">
        <v>46290.562280092592</v>
      </c>
      <c r="BD8" s="104">
        <v>46290.944953703707</v>
      </c>
      <c r="BE8" s="104">
        <v>46291.331261574072</v>
      </c>
      <c r="BF8" s="104">
        <v>46291.972824074073</v>
      </c>
      <c r="BG8" s="104">
        <v>46292.334791666668</v>
      </c>
      <c r="BH8" s="104">
        <v>0</v>
      </c>
      <c r="BI8" s="104">
        <v>46293.336354166669</v>
      </c>
      <c r="BJ8" s="104">
        <v>0</v>
      </c>
      <c r="BK8" s="104">
        <v>46294.33185185185</v>
      </c>
      <c r="BL8" s="104">
        <v>0</v>
      </c>
      <c r="BM8" s="104">
        <v>46295.353472222225</v>
      </c>
      <c r="BN8" s="104">
        <v>0</v>
      </c>
      <c r="BO8" s="103"/>
      <c r="BP8" s="103"/>
      <c r="BQ8" s="13">
        <f t="shared" si="1"/>
        <v>30</v>
      </c>
      <c r="BR8" s="99">
        <v>2</v>
      </c>
      <c r="BS8" s="14">
        <f t="shared" si="2"/>
        <v>28</v>
      </c>
      <c r="BT8" s="15">
        <f t="shared" si="3"/>
        <v>2</v>
      </c>
      <c r="BU8" s="15">
        <f t="shared" si="4"/>
        <v>0</v>
      </c>
      <c r="BV8" s="15">
        <f t="shared" si="5"/>
        <v>0</v>
      </c>
      <c r="BW8" s="15">
        <f t="shared" si="6"/>
        <v>0</v>
      </c>
      <c r="BX8" s="15">
        <f t="shared" si="7"/>
        <v>0</v>
      </c>
      <c r="BY8" s="15">
        <f t="shared" si="8"/>
        <v>0</v>
      </c>
      <c r="BZ8" s="15">
        <f t="shared" si="9"/>
        <v>0</v>
      </c>
      <c r="CA8" s="15">
        <f t="shared" si="10"/>
        <v>0</v>
      </c>
      <c r="CB8" s="15">
        <f t="shared" si="11"/>
        <v>0</v>
      </c>
      <c r="CC8" s="15">
        <f t="shared" si="12"/>
        <v>0</v>
      </c>
      <c r="CD8" s="15">
        <f t="shared" si="13"/>
        <v>0</v>
      </c>
      <c r="CE8" s="3"/>
      <c r="CH8" s="53">
        <v>0</v>
      </c>
      <c r="CI8" s="52">
        <v>0</v>
      </c>
      <c r="CJ8" s="52">
        <v>0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7">
        <f>SUM(CH8:CQ8)</f>
        <v>0</v>
      </c>
    </row>
    <row r="9" spans="1:96" ht="22.5" customHeight="1" x14ac:dyDescent="0.25">
      <c r="A9" s="96">
        <v>5</v>
      </c>
      <c r="B9" s="8" t="s">
        <v>37</v>
      </c>
      <c r="C9" s="91" t="s">
        <v>100</v>
      </c>
      <c r="D9" s="101">
        <v>46078</v>
      </c>
      <c r="E9" s="104">
        <v>46266.389479166668</v>
      </c>
      <c r="F9" s="104">
        <v>46264.939976851849</v>
      </c>
      <c r="G9" s="104">
        <v>46267.372731481482</v>
      </c>
      <c r="H9" s="104">
        <v>46267.866319444445</v>
      </c>
      <c r="I9" s="104">
        <v>46268.394918981481</v>
      </c>
      <c r="J9" s="104">
        <v>46268.908194444448</v>
      </c>
      <c r="K9" s="104">
        <v>46269.337708333333</v>
      </c>
      <c r="L9" s="104">
        <v>46269.863645833335</v>
      </c>
      <c r="M9" s="104">
        <v>46270.376238425924</v>
      </c>
      <c r="N9" s="104">
        <v>46270.866099537037</v>
      </c>
      <c r="O9" s="104">
        <v>46271.366967592592</v>
      </c>
      <c r="P9" s="104">
        <v>46271.853888888887</v>
      </c>
      <c r="Q9" s="104">
        <v>46272.364791666667</v>
      </c>
      <c r="R9" s="104">
        <v>46272.859247685185</v>
      </c>
      <c r="S9" s="104">
        <v>46273.374166666668</v>
      </c>
      <c r="T9" s="104">
        <v>46273.837430555555</v>
      </c>
      <c r="U9" s="104">
        <v>46274.403877314813</v>
      </c>
      <c r="V9" s="104">
        <v>46274.852835648147</v>
      </c>
      <c r="W9" s="104">
        <v>46275.366157407407</v>
      </c>
      <c r="X9" s="104">
        <v>0</v>
      </c>
      <c r="Y9" s="162" t="s">
        <v>15</v>
      </c>
      <c r="Z9" s="162" t="s">
        <v>15</v>
      </c>
      <c r="AA9" s="104">
        <v>0</v>
      </c>
      <c r="AB9" s="104">
        <v>46277.841354166667</v>
      </c>
      <c r="AC9" s="104">
        <v>46278.372986111113</v>
      </c>
      <c r="AD9" s="104">
        <v>46278.855937499997</v>
      </c>
      <c r="AE9" s="104">
        <v>46279.385937500003</v>
      </c>
      <c r="AF9" s="104">
        <v>46279.84746527778</v>
      </c>
      <c r="AG9" s="104">
        <v>46280.385243055556</v>
      </c>
      <c r="AH9" s="104">
        <v>46280.748842592591</v>
      </c>
      <c r="AI9" s="84"/>
      <c r="AJ9" s="136">
        <v>5</v>
      </c>
      <c r="AK9" s="104">
        <v>0</v>
      </c>
      <c r="AL9" s="104">
        <v>46281.850381944445</v>
      </c>
      <c r="AM9" s="104">
        <v>46282.370775462965</v>
      </c>
      <c r="AN9" s="104">
        <v>46282.973564814813</v>
      </c>
      <c r="AO9" s="104">
        <v>46283.332650462966</v>
      </c>
      <c r="AP9" s="104">
        <v>46283.857673611114</v>
      </c>
      <c r="AQ9" s="104">
        <v>46284.377199074072</v>
      </c>
      <c r="AR9" s="104">
        <v>46284.855717592596</v>
      </c>
      <c r="AS9" s="104">
        <v>46285.376423611109</v>
      </c>
      <c r="AT9" s="104">
        <v>46285.767314814817</v>
      </c>
      <c r="AU9" s="104">
        <v>0</v>
      </c>
      <c r="AV9" s="104">
        <v>46286.794050925928</v>
      </c>
      <c r="AW9" s="104">
        <v>0</v>
      </c>
      <c r="AX9" s="104">
        <v>46287.871516203704</v>
      </c>
      <c r="AY9" s="104">
        <v>0</v>
      </c>
      <c r="AZ9" s="104">
        <v>46288.857569444444</v>
      </c>
      <c r="BA9" s="104">
        <v>46289.379652777781</v>
      </c>
      <c r="BB9" s="104">
        <v>46289.876018518517</v>
      </c>
      <c r="BC9" s="104">
        <v>46290.353414351855</v>
      </c>
      <c r="BD9" s="104">
        <v>46290.841574074075</v>
      </c>
      <c r="BE9" s="104">
        <v>46291.379756944443</v>
      </c>
      <c r="BF9" s="104">
        <v>46291.752118055556</v>
      </c>
      <c r="BG9" s="104">
        <v>46292.372407407405</v>
      </c>
      <c r="BH9" s="104">
        <v>46292.853518518517</v>
      </c>
      <c r="BI9" s="104">
        <v>46293.378935185188</v>
      </c>
      <c r="BJ9" s="104">
        <v>46293.846226851849</v>
      </c>
      <c r="BK9" s="104">
        <v>46294.37332175926</v>
      </c>
      <c r="BL9" s="104">
        <v>46294.845902777779</v>
      </c>
      <c r="BM9" s="104">
        <v>46295.385185185187</v>
      </c>
      <c r="BN9" s="104">
        <v>46295.824120370373</v>
      </c>
      <c r="BO9" s="103"/>
      <c r="BP9" s="103"/>
      <c r="BQ9" s="13">
        <f t="shared" si="1"/>
        <v>30</v>
      </c>
      <c r="BR9" s="63">
        <v>3</v>
      </c>
      <c r="BS9" s="14">
        <f t="shared" si="2"/>
        <v>29</v>
      </c>
      <c r="BT9" s="15">
        <f t="shared" si="3"/>
        <v>1</v>
      </c>
      <c r="BU9" s="15">
        <f t="shared" si="4"/>
        <v>0</v>
      </c>
      <c r="BV9" s="15">
        <f t="shared" si="5"/>
        <v>0</v>
      </c>
      <c r="BW9" s="15">
        <f t="shared" si="6"/>
        <v>0</v>
      </c>
      <c r="BX9" s="15">
        <f t="shared" si="7"/>
        <v>0</v>
      </c>
      <c r="BY9" s="15">
        <f t="shared" si="8"/>
        <v>0</v>
      </c>
      <c r="BZ9" s="15">
        <f t="shared" si="9"/>
        <v>0</v>
      </c>
      <c r="CA9" s="15">
        <f t="shared" si="10"/>
        <v>0</v>
      </c>
      <c r="CB9" s="15">
        <f t="shared" si="11"/>
        <v>0</v>
      </c>
      <c r="CC9" s="15">
        <f t="shared" si="12"/>
        <v>0</v>
      </c>
      <c r="CD9" s="15">
        <f t="shared" si="13"/>
        <v>0</v>
      </c>
      <c r="CE9" s="133"/>
      <c r="CH9" s="53">
        <v>0</v>
      </c>
      <c r="CI9" s="53">
        <v>0</v>
      </c>
      <c r="CJ9" s="53">
        <v>0</v>
      </c>
      <c r="CK9" s="53">
        <v>0</v>
      </c>
      <c r="CL9" s="53">
        <v>0</v>
      </c>
      <c r="CM9" s="53">
        <v>0</v>
      </c>
      <c r="CN9" s="53">
        <v>0</v>
      </c>
      <c r="CO9" s="53">
        <v>0</v>
      </c>
      <c r="CP9" s="53">
        <v>0</v>
      </c>
      <c r="CQ9" s="53">
        <v>0</v>
      </c>
      <c r="CR9" s="57">
        <f t="shared" si="0"/>
        <v>0</v>
      </c>
    </row>
    <row r="10" spans="1:96" ht="22.5" customHeight="1" x14ac:dyDescent="0.25">
      <c r="A10" s="96">
        <v>6</v>
      </c>
      <c r="B10" s="8" t="str">
        <f>'[1]Hulhumale Staffs_ Sep 2025'!B9</f>
        <v>MAD0569</v>
      </c>
      <c r="C10" s="91" t="s">
        <v>31</v>
      </c>
      <c r="D10" s="101">
        <v>45295</v>
      </c>
      <c r="E10" s="104">
        <v>46266.319247685184</v>
      </c>
      <c r="F10" s="104">
        <v>46264.955011574071</v>
      </c>
      <c r="G10" s="104">
        <v>46267.339016203703</v>
      </c>
      <c r="H10" s="104">
        <v>46267.859918981485</v>
      </c>
      <c r="I10" s="104">
        <v>46268.31827546296</v>
      </c>
      <c r="J10" s="104">
        <v>46268.857615740744</v>
      </c>
      <c r="K10" s="104">
        <v>46269.291319444441</v>
      </c>
      <c r="L10" s="104">
        <v>0</v>
      </c>
      <c r="M10" s="104">
        <v>46270.325023148151</v>
      </c>
      <c r="N10" s="104">
        <v>46270.847962962966</v>
      </c>
      <c r="O10" s="104">
        <v>46271.33011574074</v>
      </c>
      <c r="P10" s="104">
        <v>46271.853668981479</v>
      </c>
      <c r="Q10" s="104">
        <v>46272.32508101852</v>
      </c>
      <c r="R10" s="104">
        <v>46272.878888888888</v>
      </c>
      <c r="S10" s="104">
        <v>46273.32671296296</v>
      </c>
      <c r="T10" s="104">
        <v>46273.871504629627</v>
      </c>
      <c r="U10" s="104">
        <v>46274.342245370368</v>
      </c>
      <c r="V10" s="104">
        <v>46274.861759259256</v>
      </c>
      <c r="W10" s="104">
        <v>46275.342268518521</v>
      </c>
      <c r="X10" s="104">
        <v>46275.866354166668</v>
      </c>
      <c r="Y10" s="104">
        <v>46276.584456018521</v>
      </c>
      <c r="Z10" s="104">
        <v>0</v>
      </c>
      <c r="AA10" s="104">
        <v>46277.331134259257</v>
      </c>
      <c r="AB10" s="104">
        <v>46277.855196759258</v>
      </c>
      <c r="AC10" s="104">
        <v>46278.3280787037</v>
      </c>
      <c r="AD10" s="104">
        <v>46278.877743055556</v>
      </c>
      <c r="AE10" s="104">
        <v>46279.324745370373</v>
      </c>
      <c r="AF10" s="104">
        <v>46279.861307870371</v>
      </c>
      <c r="AG10" s="104">
        <v>46280.339826388888</v>
      </c>
      <c r="AH10" s="104">
        <v>46280.871076388888</v>
      </c>
      <c r="AI10" s="90"/>
      <c r="AJ10" s="136">
        <v>6</v>
      </c>
      <c r="AK10" s="104">
        <v>46281.329444444447</v>
      </c>
      <c r="AL10" s="104">
        <v>46281.855254629627</v>
      </c>
      <c r="AM10" s="104">
        <v>46282.327326388891</v>
      </c>
      <c r="AN10" s="104">
        <v>46282.866574074076</v>
      </c>
      <c r="AO10" s="137" t="s">
        <v>15</v>
      </c>
      <c r="AP10" s="137" t="s">
        <v>15</v>
      </c>
      <c r="AQ10" s="104">
        <v>46284.323761574073</v>
      </c>
      <c r="AR10" s="104">
        <v>46284.876875000002</v>
      </c>
      <c r="AS10" s="104">
        <v>46285.329594907409</v>
      </c>
      <c r="AT10" s="104">
        <v>46285.876550925925</v>
      </c>
      <c r="AU10" s="104">
        <v>46286.338703703703</v>
      </c>
      <c r="AV10" s="104">
        <v>46286.865925925929</v>
      </c>
      <c r="AW10" s="104">
        <v>46287.322557870371</v>
      </c>
      <c r="AX10" s="104">
        <v>46287.858344907407</v>
      </c>
      <c r="AY10" s="104">
        <v>46288.333414351851</v>
      </c>
      <c r="AZ10" s="104">
        <v>46288.874918981484</v>
      </c>
      <c r="BA10" s="104">
        <v>46289.322476851848</v>
      </c>
      <c r="BB10" s="104">
        <v>46289.867928240739</v>
      </c>
      <c r="BC10" s="104">
        <v>46290.296631944446</v>
      </c>
      <c r="BD10" s="104">
        <v>0</v>
      </c>
      <c r="BE10" s="104">
        <v>46291.322754629633</v>
      </c>
      <c r="BF10" s="104">
        <v>46291.859201388892</v>
      </c>
      <c r="BG10" s="104">
        <v>46292.324317129627</v>
      </c>
      <c r="BH10" s="104">
        <v>46292.866249999999</v>
      </c>
      <c r="BI10" s="104">
        <v>46293.318611111114</v>
      </c>
      <c r="BJ10" s="104">
        <v>46293.869467592594</v>
      </c>
      <c r="BK10" s="104">
        <v>46294.304178240738</v>
      </c>
      <c r="BL10" s="104">
        <v>46294.90011574074</v>
      </c>
      <c r="BM10" s="104">
        <v>46295.323009259257</v>
      </c>
      <c r="BN10" s="104">
        <v>46295.879583333335</v>
      </c>
      <c r="BO10" s="103"/>
      <c r="BP10" s="103"/>
      <c r="BQ10" s="13">
        <f t="shared" si="1"/>
        <v>30</v>
      </c>
      <c r="BR10" s="63">
        <v>3</v>
      </c>
      <c r="BS10" s="14">
        <f t="shared" si="2"/>
        <v>29</v>
      </c>
      <c r="BT10" s="15">
        <f t="shared" si="3"/>
        <v>1</v>
      </c>
      <c r="BU10" s="15">
        <f t="shared" si="4"/>
        <v>0</v>
      </c>
      <c r="BV10" s="15">
        <f t="shared" si="5"/>
        <v>0</v>
      </c>
      <c r="BW10" s="15">
        <f t="shared" si="6"/>
        <v>0</v>
      </c>
      <c r="BX10" s="15">
        <f t="shared" si="7"/>
        <v>0</v>
      </c>
      <c r="BY10" s="15">
        <f t="shared" si="8"/>
        <v>0</v>
      </c>
      <c r="BZ10" s="15">
        <f t="shared" si="9"/>
        <v>0</v>
      </c>
      <c r="CA10" s="15">
        <f t="shared" si="10"/>
        <v>0</v>
      </c>
      <c r="CB10" s="15">
        <f t="shared" si="11"/>
        <v>0</v>
      </c>
      <c r="CC10" s="15">
        <f t="shared" si="12"/>
        <v>0</v>
      </c>
      <c r="CD10" s="15">
        <f t="shared" si="13"/>
        <v>0</v>
      </c>
      <c r="CE10" s="133"/>
      <c r="CH10" s="53">
        <v>0</v>
      </c>
      <c r="CI10" s="53">
        <v>0</v>
      </c>
      <c r="CJ10" s="53">
        <v>25</v>
      </c>
      <c r="CK10" s="53">
        <v>0</v>
      </c>
      <c r="CL10" s="53">
        <v>0</v>
      </c>
      <c r="CM10" s="53">
        <v>0</v>
      </c>
      <c r="CN10" s="53">
        <v>0</v>
      </c>
      <c r="CO10" s="53">
        <v>0</v>
      </c>
      <c r="CP10" s="53">
        <v>0</v>
      </c>
      <c r="CQ10" s="53">
        <v>0</v>
      </c>
      <c r="CR10" s="57">
        <f t="shared" si="0"/>
        <v>25</v>
      </c>
    </row>
    <row r="11" spans="1:96" s="110" customFormat="1" ht="22.5" customHeight="1" x14ac:dyDescent="0.25">
      <c r="A11" s="96">
        <v>7</v>
      </c>
      <c r="B11" s="8" t="s">
        <v>109</v>
      </c>
      <c r="C11" s="91" t="s">
        <v>30</v>
      </c>
      <c r="D11" s="92">
        <v>44887</v>
      </c>
      <c r="E11" s="104">
        <v>46266.368645833332</v>
      </c>
      <c r="F11" s="104">
        <v>46264.972546296296</v>
      </c>
      <c r="G11" s="104">
        <v>46267.331006944441</v>
      </c>
      <c r="H11" s="104">
        <v>46267.875949074078</v>
      </c>
      <c r="I11" s="104">
        <v>46268.329212962963</v>
      </c>
      <c r="J11" s="104">
        <v>46268.880497685182</v>
      </c>
      <c r="K11" s="104">
        <v>46269.552534722221</v>
      </c>
      <c r="L11" s="104">
        <v>46269.894201388888</v>
      </c>
      <c r="M11" s="104">
        <v>46270.370578703703</v>
      </c>
      <c r="N11" s="127">
        <v>46270.895069444443</v>
      </c>
      <c r="O11" s="127">
        <v>46271.352083333331</v>
      </c>
      <c r="P11" s="127">
        <v>46271.89261574074</v>
      </c>
      <c r="Q11" s="127">
        <v>46272.357939814814</v>
      </c>
      <c r="R11" s="127">
        <v>46272.937303240738</v>
      </c>
      <c r="S11" s="127">
        <v>46273.368020833332</v>
      </c>
      <c r="T11" s="104">
        <v>0</v>
      </c>
      <c r="U11" s="104">
        <v>46274.002118055556</v>
      </c>
      <c r="V11" s="104">
        <v>46274.908506944441</v>
      </c>
      <c r="W11" s="104">
        <v>46275.321250000001</v>
      </c>
      <c r="X11" s="104">
        <v>46275.905914351853</v>
      </c>
      <c r="Y11" s="104">
        <v>46276.541759259257</v>
      </c>
      <c r="Z11" s="104">
        <v>0</v>
      </c>
      <c r="AA11" s="104">
        <v>46277.356689814813</v>
      </c>
      <c r="AB11" s="104">
        <v>46277.983541666668</v>
      </c>
      <c r="AC11" s="104">
        <v>46278.353993055556</v>
      </c>
      <c r="AD11" s="104">
        <v>46278.881018518521</v>
      </c>
      <c r="AE11" s="104">
        <v>46279.347129629627</v>
      </c>
      <c r="AF11" s="104">
        <v>46279.977569444447</v>
      </c>
      <c r="AG11" s="104">
        <v>46280.34412037037</v>
      </c>
      <c r="AH11" s="104">
        <v>46280.943182870367</v>
      </c>
      <c r="AI11" s="59"/>
      <c r="AJ11" s="136">
        <v>7</v>
      </c>
      <c r="AK11" s="104">
        <v>46281.345335648148</v>
      </c>
      <c r="AL11" s="104">
        <v>46281.880266203705</v>
      </c>
      <c r="AM11" s="128">
        <v>46282.343078703707</v>
      </c>
      <c r="AN11" s="104">
        <v>0</v>
      </c>
      <c r="AO11" s="104">
        <v>46283.560150462959</v>
      </c>
      <c r="AP11" s="104">
        <v>46283.892488425925</v>
      </c>
      <c r="AQ11" s="104">
        <v>46284.348634259259</v>
      </c>
      <c r="AR11" s="104">
        <v>46284.867465277777</v>
      </c>
      <c r="AS11" s="104">
        <v>46285.351817129631</v>
      </c>
      <c r="AT11" s="104">
        <v>0</v>
      </c>
      <c r="AU11" s="104">
        <v>46286.346620370372</v>
      </c>
      <c r="AV11" s="104">
        <v>46286.926018518519</v>
      </c>
      <c r="AW11" s="104">
        <v>46287.363599537035</v>
      </c>
      <c r="AX11" s="104">
        <v>46287.923576388886</v>
      </c>
      <c r="AY11" s="104">
        <v>46288.35297453704</v>
      </c>
      <c r="AZ11" s="104">
        <v>46288.987870370373</v>
      </c>
      <c r="BA11" s="104">
        <v>46289.364189814813</v>
      </c>
      <c r="BB11" s="104">
        <v>46289.88858796296</v>
      </c>
      <c r="BC11" s="137" t="s">
        <v>15</v>
      </c>
      <c r="BD11" s="137" t="s">
        <v>15</v>
      </c>
      <c r="BE11" s="104">
        <v>46291.347638888888</v>
      </c>
      <c r="BF11" s="104">
        <v>0</v>
      </c>
      <c r="BG11" s="104">
        <v>46292.322858796295</v>
      </c>
      <c r="BH11" s="104">
        <v>0</v>
      </c>
      <c r="BI11" s="104">
        <v>46293.338182870371</v>
      </c>
      <c r="BJ11" s="104">
        <v>46293.961539351854</v>
      </c>
      <c r="BK11" s="104">
        <v>46294.355231481481</v>
      </c>
      <c r="BL11" s="104">
        <v>46294.948055555556</v>
      </c>
      <c r="BM11" s="104">
        <v>46295.345127314817</v>
      </c>
      <c r="BN11" s="104">
        <v>46295.91134259259</v>
      </c>
      <c r="BO11" s="103"/>
      <c r="BP11" s="103"/>
      <c r="BQ11" s="13">
        <f t="shared" si="1"/>
        <v>30</v>
      </c>
      <c r="BR11" s="63">
        <v>3</v>
      </c>
      <c r="BS11" s="14">
        <f t="shared" si="2"/>
        <v>29</v>
      </c>
      <c r="BT11" s="15">
        <f t="shared" si="3"/>
        <v>1</v>
      </c>
      <c r="BU11" s="15">
        <f t="shared" si="4"/>
        <v>0</v>
      </c>
      <c r="BV11" s="15">
        <f t="shared" si="5"/>
        <v>0</v>
      </c>
      <c r="BW11" s="15">
        <f t="shared" si="6"/>
        <v>0</v>
      </c>
      <c r="BX11" s="15">
        <f t="shared" si="7"/>
        <v>0</v>
      </c>
      <c r="BY11" s="15">
        <f t="shared" si="8"/>
        <v>0</v>
      </c>
      <c r="BZ11" s="15">
        <f t="shared" si="9"/>
        <v>0</v>
      </c>
      <c r="CA11" s="15">
        <f t="shared" si="10"/>
        <v>0</v>
      </c>
      <c r="CB11" s="15">
        <f t="shared" si="11"/>
        <v>0</v>
      </c>
      <c r="CC11" s="15">
        <f t="shared" si="12"/>
        <v>0</v>
      </c>
      <c r="CD11" s="15">
        <f t="shared" si="13"/>
        <v>0</v>
      </c>
      <c r="CE11" s="62"/>
      <c r="CF11"/>
      <c r="CG11"/>
      <c r="CH11" s="53">
        <v>0</v>
      </c>
      <c r="CI11" s="53">
        <v>0</v>
      </c>
      <c r="CJ11" s="53">
        <v>0</v>
      </c>
      <c r="CK11" s="53">
        <v>0</v>
      </c>
      <c r="CL11" s="53">
        <v>0</v>
      </c>
      <c r="CM11" s="53">
        <v>0</v>
      </c>
      <c r="CN11" s="53">
        <v>0</v>
      </c>
      <c r="CO11" s="53">
        <v>0</v>
      </c>
      <c r="CP11" s="53">
        <v>0</v>
      </c>
      <c r="CQ11" s="53">
        <v>0</v>
      </c>
      <c r="CR11" s="57">
        <f>SUM(CH11:CQ11)</f>
        <v>0</v>
      </c>
    </row>
    <row r="12" spans="1:96" ht="22.5" customHeight="1" x14ac:dyDescent="0.25">
      <c r="A12" s="96">
        <v>8</v>
      </c>
      <c r="B12" s="8" t="s">
        <v>111</v>
      </c>
      <c r="C12" s="93" t="s">
        <v>110</v>
      </c>
      <c r="D12" s="92">
        <v>46247</v>
      </c>
      <c r="E12" s="104">
        <v>46266.346828703703</v>
      </c>
      <c r="F12" s="104">
        <v>46266.98065972222</v>
      </c>
      <c r="G12" s="104">
        <v>46267.350219907406</v>
      </c>
      <c r="H12" s="104">
        <v>46267.979537037034</v>
      </c>
      <c r="I12" s="104">
        <v>46268.353032407409</v>
      </c>
      <c r="J12" s="104">
        <v>0</v>
      </c>
      <c r="K12" s="104">
        <v>46269.554166666669</v>
      </c>
      <c r="L12" s="104">
        <v>0</v>
      </c>
      <c r="M12" s="104">
        <v>46270.348252314812</v>
      </c>
      <c r="N12" s="104">
        <v>0</v>
      </c>
      <c r="O12" s="104">
        <v>46271.348726851851</v>
      </c>
      <c r="P12" s="104">
        <v>0</v>
      </c>
      <c r="Q12" s="104">
        <v>46272.348333333335</v>
      </c>
      <c r="R12" s="104">
        <v>46272.969293981485</v>
      </c>
      <c r="S12" s="104">
        <v>46273.347662037035</v>
      </c>
      <c r="T12" s="104">
        <v>46273.97284722222</v>
      </c>
      <c r="U12" s="104">
        <v>46274.347581018519</v>
      </c>
      <c r="V12" s="104">
        <v>46274.971932870372</v>
      </c>
      <c r="W12" s="104">
        <v>46275.348877314813</v>
      </c>
      <c r="X12" s="104">
        <v>46275.9921875</v>
      </c>
      <c r="Y12" s="137" t="s">
        <v>15</v>
      </c>
      <c r="Z12" s="137" t="s">
        <v>15</v>
      </c>
      <c r="AA12" s="104">
        <v>46277.34784722222</v>
      </c>
      <c r="AB12" s="104">
        <v>46277.991539351853</v>
      </c>
      <c r="AC12" s="104">
        <v>46278.348645833335</v>
      </c>
      <c r="AD12" s="104">
        <v>46278.970358796294</v>
      </c>
      <c r="AE12" s="104">
        <v>46279.349270833336</v>
      </c>
      <c r="AF12" s="104">
        <v>0</v>
      </c>
      <c r="AG12" s="104">
        <v>46280.348287037035</v>
      </c>
      <c r="AH12" s="104">
        <v>46280.974317129629</v>
      </c>
      <c r="AI12" s="90"/>
      <c r="AJ12" s="136">
        <v>8</v>
      </c>
      <c r="AK12" s="104">
        <v>46281.349317129629</v>
      </c>
      <c r="AL12" s="104">
        <v>46281.975057870368</v>
      </c>
      <c r="AM12" s="104">
        <v>46282.348958333336</v>
      </c>
      <c r="AN12" s="104">
        <v>0</v>
      </c>
      <c r="AO12" s="104">
        <v>46283.558645833335</v>
      </c>
      <c r="AP12" s="104">
        <v>0</v>
      </c>
      <c r="AQ12" s="104">
        <v>46284.345972222225</v>
      </c>
      <c r="AR12" s="104">
        <v>0</v>
      </c>
      <c r="AS12" s="104">
        <v>46285.351018518515</v>
      </c>
      <c r="AT12" s="104">
        <v>0</v>
      </c>
      <c r="AU12" s="104">
        <v>46286.349386574075</v>
      </c>
      <c r="AV12" s="104">
        <v>46286.96980324074</v>
      </c>
      <c r="AW12" s="104">
        <v>46287.347939814812</v>
      </c>
      <c r="AX12" s="104">
        <v>0</v>
      </c>
      <c r="AY12" s="129">
        <v>46288.35050925926</v>
      </c>
      <c r="AZ12" s="129">
        <v>0</v>
      </c>
      <c r="BA12" s="104">
        <v>46289.350138888891</v>
      </c>
      <c r="BB12" s="104">
        <v>46289.99628472222</v>
      </c>
      <c r="BC12" s="137" t="s">
        <v>15</v>
      </c>
      <c r="BD12" s="137" t="s">
        <v>15</v>
      </c>
      <c r="BE12" s="104">
        <v>46291.349988425929</v>
      </c>
      <c r="BF12" s="129">
        <v>0</v>
      </c>
      <c r="BG12" s="129">
        <v>46292.351967592593</v>
      </c>
      <c r="BH12" s="129">
        <v>0</v>
      </c>
      <c r="BI12" s="129">
        <v>46293.348553240743</v>
      </c>
      <c r="BJ12" s="129">
        <v>0</v>
      </c>
      <c r="BK12" s="129">
        <v>46294.348055555558</v>
      </c>
      <c r="BL12" s="129">
        <v>0</v>
      </c>
      <c r="BM12" s="129">
        <v>46295.349641203706</v>
      </c>
      <c r="BN12" s="129">
        <v>46295.964282407411</v>
      </c>
      <c r="BO12" s="104"/>
      <c r="BP12" s="104"/>
      <c r="BQ12" s="13">
        <f t="shared" si="1"/>
        <v>30</v>
      </c>
      <c r="BR12" s="63">
        <v>2</v>
      </c>
      <c r="BS12" s="14">
        <f t="shared" si="2"/>
        <v>28</v>
      </c>
      <c r="BT12" s="15">
        <f t="shared" si="3"/>
        <v>2</v>
      </c>
      <c r="BU12" s="15">
        <f t="shared" si="4"/>
        <v>0</v>
      </c>
      <c r="BV12" s="15">
        <f t="shared" si="5"/>
        <v>0</v>
      </c>
      <c r="BW12" s="15">
        <f t="shared" si="6"/>
        <v>0</v>
      </c>
      <c r="BX12" s="15">
        <f t="shared" si="7"/>
        <v>0</v>
      </c>
      <c r="BY12" s="15">
        <f t="shared" si="8"/>
        <v>0</v>
      </c>
      <c r="BZ12" s="15">
        <f t="shared" si="9"/>
        <v>0</v>
      </c>
      <c r="CA12" s="15">
        <f t="shared" si="10"/>
        <v>0</v>
      </c>
      <c r="CB12" s="15">
        <f t="shared" si="11"/>
        <v>0</v>
      </c>
      <c r="CC12" s="15">
        <f t="shared" si="12"/>
        <v>0</v>
      </c>
      <c r="CD12" s="15">
        <f t="shared" si="13"/>
        <v>0</v>
      </c>
      <c r="CE12" s="62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1"/>
    </row>
    <row r="13" spans="1:96" ht="22.5" customHeight="1" x14ac:dyDescent="0.25">
      <c r="A13" s="17"/>
      <c r="B13" s="112"/>
      <c r="C13" s="219"/>
      <c r="D13" s="113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90"/>
      <c r="AJ13" s="17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1"/>
      <c r="AZ13" s="221"/>
      <c r="BA13" s="220"/>
      <c r="BB13" s="220"/>
      <c r="BC13" s="220"/>
      <c r="BD13" s="220"/>
      <c r="BE13" s="220"/>
      <c r="BF13" s="221"/>
      <c r="BG13" s="221"/>
      <c r="BH13" s="221"/>
      <c r="BI13" s="221"/>
      <c r="BJ13" s="221"/>
      <c r="BK13" s="221"/>
      <c r="BL13" s="221"/>
      <c r="BM13" s="221"/>
      <c r="BN13" s="221"/>
      <c r="BO13" s="221"/>
      <c r="BP13" s="221"/>
      <c r="BQ13" s="221"/>
      <c r="BR13" s="114"/>
      <c r="BS13" s="115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7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105"/>
    </row>
    <row r="14" spans="1:96" ht="22.5" customHeight="1" x14ac:dyDescent="0.25">
      <c r="A14" s="17"/>
      <c r="B14" s="112"/>
      <c r="C14" s="219"/>
      <c r="D14" s="113"/>
      <c r="E14" s="220"/>
      <c r="F14" s="220"/>
      <c r="G14" s="222" t="s">
        <v>62</v>
      </c>
      <c r="H14" s="222"/>
      <c r="I14" s="222"/>
      <c r="J14" s="23"/>
      <c r="K14" s="20"/>
      <c r="L14" s="20"/>
      <c r="M14" s="21"/>
      <c r="N14" s="22"/>
      <c r="P14" s="22"/>
      <c r="Q14" s="24" t="s">
        <v>63</v>
      </c>
      <c r="R14" s="24"/>
      <c r="S14" s="21"/>
      <c r="T14" s="21"/>
      <c r="U14" s="21"/>
      <c r="V14" s="21" t="s">
        <v>81</v>
      </c>
      <c r="W14" s="21"/>
      <c r="X14" s="21"/>
      <c r="Y14" s="21"/>
      <c r="Z14" s="24" t="s">
        <v>64</v>
      </c>
      <c r="AA14" s="21"/>
      <c r="AB14" s="220"/>
      <c r="AC14" s="220"/>
      <c r="AD14" s="220"/>
      <c r="AE14" s="220"/>
      <c r="AF14" s="220"/>
      <c r="AG14" s="220"/>
      <c r="AH14" s="220"/>
      <c r="AI14" s="90"/>
      <c r="AJ14" s="17"/>
      <c r="AK14" s="220"/>
      <c r="AL14" s="220"/>
      <c r="AM14" s="220"/>
      <c r="AN14" s="220"/>
      <c r="AO14" s="222" t="s">
        <v>62</v>
      </c>
      <c r="AP14" s="222"/>
      <c r="AQ14" s="222"/>
      <c r="AR14" s="23"/>
      <c r="AS14" s="20"/>
      <c r="AT14" s="20"/>
      <c r="AU14" s="21"/>
      <c r="AV14" s="22"/>
      <c r="AX14" s="22"/>
      <c r="AY14" s="24" t="s">
        <v>63</v>
      </c>
      <c r="AZ14" s="24"/>
      <c r="BA14" s="21"/>
      <c r="BB14" s="21"/>
      <c r="BC14" s="21"/>
      <c r="BD14" s="21" t="s">
        <v>81</v>
      </c>
      <c r="BE14" s="21"/>
      <c r="BF14" s="21"/>
      <c r="BG14" s="21"/>
      <c r="BH14" s="24" t="s">
        <v>64</v>
      </c>
      <c r="BI14" s="21"/>
      <c r="BJ14" s="220"/>
      <c r="BK14" s="221"/>
      <c r="BL14" s="221"/>
      <c r="BM14" s="221"/>
      <c r="BN14" s="221"/>
      <c r="BO14" s="221"/>
      <c r="BP14" s="221"/>
      <c r="BQ14" s="221"/>
      <c r="BR14" s="114"/>
      <c r="BS14" s="115"/>
      <c r="BT14" s="116" t="s">
        <v>81</v>
      </c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7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105"/>
    </row>
    <row r="15" spans="1:96" ht="22.5" customHeight="1" x14ac:dyDescent="0.25">
      <c r="A15" s="17"/>
      <c r="B15" s="112"/>
      <c r="C15" s="219"/>
      <c r="D15" s="113"/>
      <c r="E15" s="220"/>
      <c r="F15" s="220"/>
      <c r="G15" s="25"/>
      <c r="H15" s="20"/>
      <c r="I15" s="20"/>
      <c r="J15" s="20"/>
      <c r="K15" s="20"/>
      <c r="L15" s="20"/>
      <c r="M15" s="20"/>
      <c r="N15" s="26"/>
      <c r="P15" s="26"/>
      <c r="Q15" s="26"/>
      <c r="R15" s="20"/>
      <c r="S15" s="20"/>
      <c r="T15" s="27"/>
      <c r="U15" s="27"/>
      <c r="V15" s="27"/>
      <c r="W15" s="27"/>
      <c r="X15" s="27"/>
      <c r="Y15" s="27"/>
      <c r="Z15" s="28"/>
      <c r="AA15" s="28"/>
      <c r="AB15" s="220"/>
      <c r="AC15" s="220"/>
      <c r="AD15" s="220"/>
      <c r="AE15" s="220"/>
      <c r="AF15" s="220"/>
      <c r="AG15" s="220"/>
      <c r="AH15" s="220"/>
      <c r="AI15" s="90"/>
      <c r="AJ15" s="17"/>
      <c r="AK15" s="220"/>
      <c r="AL15" s="220"/>
      <c r="AM15" s="220"/>
      <c r="AN15" s="220"/>
      <c r="AO15" s="25"/>
      <c r="AP15" s="20"/>
      <c r="AQ15" s="20"/>
      <c r="AR15" s="20"/>
      <c r="AS15" s="20"/>
      <c r="AT15" s="20"/>
      <c r="AU15" s="20"/>
      <c r="AV15" s="26"/>
      <c r="AX15" s="26"/>
      <c r="AY15" s="26"/>
      <c r="AZ15" s="20"/>
      <c r="BA15" s="20"/>
      <c r="BB15" s="27"/>
      <c r="BC15" s="27"/>
      <c r="BD15" s="27"/>
      <c r="BE15" s="27"/>
      <c r="BF15" s="27"/>
      <c r="BG15" s="27"/>
      <c r="BH15" s="28"/>
      <c r="BI15" s="28"/>
      <c r="BJ15" s="220"/>
      <c r="BK15" s="221"/>
      <c r="BL15" s="221"/>
      <c r="BM15" s="221"/>
      <c r="BN15" s="221"/>
      <c r="BO15" s="221"/>
      <c r="BP15" s="221"/>
      <c r="BQ15" s="221"/>
      <c r="BR15" s="114"/>
      <c r="BS15" s="115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7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105"/>
    </row>
    <row r="16" spans="1:96" ht="22.5" customHeight="1" x14ac:dyDescent="0.25">
      <c r="A16" s="17"/>
      <c r="B16" s="112"/>
      <c r="C16" s="219" t="s">
        <v>81</v>
      </c>
      <c r="D16" s="113"/>
      <c r="E16" s="220"/>
      <c r="F16" s="220"/>
      <c r="G16" s="32"/>
      <c r="H16" s="29"/>
      <c r="I16" s="20"/>
      <c r="J16" s="29"/>
      <c r="K16" s="20"/>
      <c r="L16" s="20"/>
      <c r="M16" s="29"/>
      <c r="N16" s="30"/>
      <c r="P16" s="30"/>
      <c r="Q16" s="26"/>
      <c r="R16" s="21"/>
      <c r="S16" s="29"/>
      <c r="T16" s="21"/>
      <c r="U16" s="20"/>
      <c r="V16" s="20"/>
      <c r="W16" s="20"/>
      <c r="X16" s="20"/>
      <c r="Y16" s="20"/>
      <c r="Z16" s="31"/>
      <c r="AA16" s="31"/>
      <c r="AB16" s="220"/>
      <c r="AC16" s="220"/>
      <c r="AD16" s="220"/>
      <c r="AE16" s="220"/>
      <c r="AF16" s="220"/>
      <c r="AG16" s="220"/>
      <c r="AH16" s="220"/>
      <c r="AI16" s="90"/>
      <c r="AJ16" s="17"/>
      <c r="AK16" s="220"/>
      <c r="AL16" s="220"/>
      <c r="AM16" s="220"/>
      <c r="AN16" s="220"/>
      <c r="AO16" s="32"/>
      <c r="AP16" s="29"/>
      <c r="AQ16" s="20"/>
      <c r="AR16" s="29"/>
      <c r="AS16" s="20"/>
      <c r="AT16" s="20"/>
      <c r="AU16" s="29"/>
      <c r="AV16" s="30"/>
      <c r="AX16" s="30"/>
      <c r="AY16" s="26"/>
      <c r="AZ16" s="21"/>
      <c r="BA16" s="29"/>
      <c r="BB16" s="21"/>
      <c r="BC16" s="20"/>
      <c r="BD16" s="20"/>
      <c r="BE16" s="20"/>
      <c r="BF16" s="20"/>
      <c r="BG16" s="20"/>
      <c r="BH16" s="31"/>
      <c r="BI16" s="31"/>
      <c r="BJ16" s="220"/>
      <c r="BK16" s="221"/>
      <c r="BL16" s="221"/>
      <c r="BM16" s="221"/>
      <c r="BN16" s="221"/>
      <c r="BO16" s="221"/>
      <c r="BP16" s="221"/>
      <c r="BQ16" s="221"/>
      <c r="BR16" s="114"/>
      <c r="BS16" s="115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7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105"/>
    </row>
    <row r="17" spans="1:96" ht="22.5" customHeight="1" x14ac:dyDescent="0.25">
      <c r="A17" s="17"/>
      <c r="B17" s="112"/>
      <c r="C17" s="219"/>
      <c r="D17" s="113"/>
      <c r="E17" s="220"/>
      <c r="F17" s="220"/>
      <c r="G17" s="223" t="s">
        <v>115</v>
      </c>
      <c r="H17" s="223"/>
      <c r="I17" s="223"/>
      <c r="J17" s="80"/>
      <c r="K17" s="76"/>
      <c r="L17" s="76"/>
      <c r="M17" s="75"/>
      <c r="N17" s="78"/>
      <c r="P17" s="77"/>
      <c r="Q17" s="81" t="s">
        <v>65</v>
      </c>
      <c r="R17" s="76"/>
      <c r="S17" s="19"/>
      <c r="T17" s="76"/>
      <c r="U17" s="76"/>
      <c r="V17" s="76"/>
      <c r="W17" s="76"/>
      <c r="X17" s="76"/>
      <c r="Y17" s="76"/>
      <c r="Z17" s="81" t="s">
        <v>66</v>
      </c>
      <c r="AA17" s="79"/>
      <c r="AB17" s="220"/>
      <c r="AC17" s="220"/>
      <c r="AD17" s="220"/>
      <c r="AE17" s="220"/>
      <c r="AF17" s="220"/>
      <c r="AG17" s="220"/>
      <c r="AH17" s="220"/>
      <c r="AI17" s="90"/>
      <c r="AJ17" s="17"/>
      <c r="AK17" s="220"/>
      <c r="AL17" s="220"/>
      <c r="AM17" s="220"/>
      <c r="AN17" s="220"/>
      <c r="AO17" s="223" t="s">
        <v>115</v>
      </c>
      <c r="AP17" s="223"/>
      <c r="AQ17" s="223"/>
      <c r="AR17" s="80"/>
      <c r="AS17" s="76"/>
      <c r="AT17" s="76"/>
      <c r="AU17" s="75"/>
      <c r="AV17" s="78"/>
      <c r="AX17" s="77"/>
      <c r="AY17" s="81" t="s">
        <v>65</v>
      </c>
      <c r="AZ17" s="76"/>
      <c r="BA17" s="19"/>
      <c r="BB17" s="76"/>
      <c r="BC17" s="76"/>
      <c r="BD17" s="76"/>
      <c r="BE17" s="76"/>
      <c r="BF17" s="76"/>
      <c r="BG17" s="76"/>
      <c r="BH17" s="81" t="s">
        <v>66</v>
      </c>
      <c r="BI17" s="79"/>
      <c r="BJ17" s="220"/>
      <c r="BK17" s="221"/>
      <c r="BL17" s="221"/>
      <c r="BM17" s="221"/>
      <c r="BN17" s="221"/>
      <c r="BO17" s="221"/>
      <c r="BP17" s="221"/>
      <c r="BQ17" s="221" t="s">
        <v>81</v>
      </c>
      <c r="BR17" s="114"/>
      <c r="BS17" s="115"/>
      <c r="BT17" s="116"/>
      <c r="BU17" s="116"/>
      <c r="BV17" s="116" t="s">
        <v>81</v>
      </c>
      <c r="BW17" s="116"/>
      <c r="BX17" s="116"/>
      <c r="BY17" s="116" t="s">
        <v>81</v>
      </c>
      <c r="BZ17" s="116"/>
      <c r="CA17" s="116"/>
      <c r="CB17" s="116"/>
      <c r="CC17" s="116"/>
      <c r="CD17" s="116"/>
      <c r="CE17" s="117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105"/>
    </row>
    <row r="18" spans="1:96" ht="22.5" customHeight="1" x14ac:dyDescent="0.25">
      <c r="A18" s="17"/>
      <c r="B18" s="112"/>
      <c r="C18" s="219"/>
      <c r="D18" s="113"/>
      <c r="E18" s="220"/>
      <c r="F18" s="220"/>
      <c r="G18" s="223" t="s">
        <v>67</v>
      </c>
      <c r="H18" s="223"/>
      <c r="I18" s="223"/>
      <c r="J18" s="74"/>
      <c r="K18" s="76"/>
      <c r="L18" s="76"/>
      <c r="M18" s="81"/>
      <c r="N18" s="82"/>
      <c r="P18" s="82"/>
      <c r="Q18" s="81" t="s">
        <v>68</v>
      </c>
      <c r="R18" s="81"/>
      <c r="S18" s="19"/>
      <c r="T18" s="81"/>
      <c r="U18" s="76"/>
      <c r="V18" s="76"/>
      <c r="W18" s="76"/>
      <c r="X18" s="76"/>
      <c r="Y18" s="76"/>
      <c r="Z18" s="81" t="s">
        <v>69</v>
      </c>
      <c r="AA18" s="79"/>
      <c r="AB18" s="220"/>
      <c r="AC18" s="220"/>
      <c r="AD18" s="220"/>
      <c r="AE18" s="220"/>
      <c r="AF18" s="220"/>
      <c r="AG18" s="220"/>
      <c r="AH18" s="220"/>
      <c r="AI18" s="90"/>
      <c r="AJ18" s="17"/>
      <c r="AK18" s="220"/>
      <c r="AL18" s="220"/>
      <c r="AM18" s="220"/>
      <c r="AN18" s="220"/>
      <c r="AO18" s="223" t="s">
        <v>67</v>
      </c>
      <c r="AP18" s="223"/>
      <c r="AQ18" s="223"/>
      <c r="AR18" s="74"/>
      <c r="AS18" s="76"/>
      <c r="AT18" s="76"/>
      <c r="AU18" s="81"/>
      <c r="AV18" s="82"/>
      <c r="AX18" s="82"/>
      <c r="AY18" s="81" t="s">
        <v>68</v>
      </c>
      <c r="AZ18" s="81"/>
      <c r="BA18" s="19"/>
      <c r="BB18" s="81"/>
      <c r="BC18" s="76"/>
      <c r="BD18" s="76"/>
      <c r="BE18" s="76"/>
      <c r="BF18" s="76"/>
      <c r="BG18" s="76"/>
      <c r="BH18" s="81" t="s">
        <v>69</v>
      </c>
      <c r="BI18" s="79"/>
      <c r="BJ18" s="220"/>
      <c r="BK18" s="221"/>
      <c r="BL18" s="221"/>
      <c r="BM18" s="221"/>
      <c r="BN18" s="221"/>
      <c r="BO18" s="221"/>
      <c r="BP18" s="221"/>
      <c r="BQ18" s="221"/>
      <c r="BR18" s="114"/>
      <c r="BS18" s="115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7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105"/>
    </row>
    <row r="19" spans="1:96" ht="22.5" customHeight="1" x14ac:dyDescent="0.25">
      <c r="A19" s="17"/>
      <c r="B19" s="112"/>
      <c r="C19" s="219"/>
      <c r="D19" s="113"/>
      <c r="E19" s="220"/>
      <c r="F19" s="220"/>
      <c r="G19" s="81"/>
      <c r="H19" s="81"/>
      <c r="I19" s="81"/>
      <c r="J19" s="74"/>
      <c r="K19" s="76"/>
      <c r="L19" s="76"/>
      <c r="M19" s="81"/>
      <c r="N19" s="82"/>
      <c r="P19" s="82"/>
      <c r="Q19" s="81"/>
      <c r="R19" s="81"/>
      <c r="S19" s="19"/>
      <c r="T19" s="81"/>
      <c r="U19" s="76"/>
      <c r="V19" s="76"/>
      <c r="W19" s="76"/>
      <c r="X19" s="76"/>
      <c r="Y19" s="76"/>
      <c r="Z19" s="81"/>
      <c r="AA19" s="79"/>
      <c r="AB19" s="220"/>
      <c r="AC19" s="220"/>
      <c r="AD19" s="220"/>
      <c r="AE19" s="220"/>
      <c r="AF19" s="220"/>
      <c r="AG19" s="220"/>
      <c r="AH19" s="220"/>
      <c r="AI19" s="90"/>
      <c r="AJ19" s="17"/>
      <c r="AK19" s="220"/>
      <c r="AL19" s="220"/>
      <c r="AM19" s="220"/>
      <c r="AN19" s="220"/>
      <c r="AO19" s="81"/>
      <c r="AP19" s="81"/>
      <c r="AQ19" s="81"/>
      <c r="AR19" s="74"/>
      <c r="AS19" s="76"/>
      <c r="AT19" s="76"/>
      <c r="AU19" s="81"/>
      <c r="AV19" s="82"/>
      <c r="AX19" s="82"/>
      <c r="AY19" s="81"/>
      <c r="AZ19" s="81"/>
      <c r="BA19" s="19"/>
      <c r="BB19" s="81"/>
      <c r="BC19" s="76"/>
      <c r="BD19" s="76"/>
      <c r="BE19" s="76"/>
      <c r="BF19" s="76"/>
      <c r="BG19" s="76"/>
      <c r="BH19" s="81"/>
      <c r="BI19" s="79"/>
      <c r="BJ19" s="220"/>
      <c r="BK19" s="221"/>
      <c r="BL19" s="221"/>
      <c r="BM19" s="221"/>
      <c r="BN19" s="221"/>
      <c r="BO19" s="221"/>
      <c r="BP19" s="221"/>
      <c r="BQ19" s="221"/>
      <c r="BR19" s="114"/>
      <c r="BS19" s="115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7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105"/>
    </row>
    <row r="20" spans="1:96" ht="22.5" customHeight="1" x14ac:dyDescent="0.25">
      <c r="A20" s="17"/>
      <c r="B20" s="112"/>
      <c r="C20" s="219"/>
      <c r="D20" s="113"/>
      <c r="E20" s="220"/>
      <c r="F20" s="220"/>
      <c r="G20" s="81"/>
      <c r="H20" s="81"/>
      <c r="I20" s="81"/>
      <c r="J20" s="74"/>
      <c r="K20" s="76"/>
      <c r="L20" s="76"/>
      <c r="M20" s="81"/>
      <c r="N20" s="82"/>
      <c r="P20" s="82"/>
      <c r="Q20" s="81"/>
      <c r="R20" s="81"/>
      <c r="S20" s="19"/>
      <c r="T20" s="81"/>
      <c r="U20" s="76"/>
      <c r="V20" s="76"/>
      <c r="W20" s="76"/>
      <c r="X20" s="76"/>
      <c r="Y20" s="76"/>
      <c r="Z20" s="81"/>
      <c r="AA20" s="79"/>
      <c r="AB20" s="220"/>
      <c r="AC20" s="220"/>
      <c r="AD20" s="220"/>
      <c r="AE20" s="220"/>
      <c r="AF20" s="220"/>
      <c r="AG20" s="220"/>
      <c r="AH20" s="220"/>
      <c r="AI20" s="90"/>
      <c r="AJ20" s="17"/>
      <c r="AK20" s="220"/>
      <c r="AL20" s="220"/>
      <c r="AM20" s="220"/>
      <c r="AN20" s="220"/>
      <c r="AO20" s="81"/>
      <c r="AP20" s="81"/>
      <c r="AQ20" s="81"/>
      <c r="AR20" s="74"/>
      <c r="AS20" s="76"/>
      <c r="AT20" s="76"/>
      <c r="AU20" s="81"/>
      <c r="AV20" s="82"/>
      <c r="AX20" s="82"/>
      <c r="AY20" s="81"/>
      <c r="AZ20" s="81"/>
      <c r="BA20" s="19"/>
      <c r="BB20" s="81"/>
      <c r="BC20" s="76"/>
      <c r="BD20" s="76"/>
      <c r="BE20" s="76"/>
      <c r="BF20" s="76"/>
      <c r="BG20" s="76"/>
      <c r="BH20" s="81"/>
      <c r="BI20" s="79"/>
      <c r="BJ20" s="220"/>
      <c r="BK20" s="221"/>
      <c r="BL20" s="221"/>
      <c r="BM20" s="221"/>
      <c r="BN20" s="221"/>
      <c r="BO20" s="221"/>
      <c r="BP20" s="221"/>
      <c r="BQ20" s="221"/>
      <c r="BR20" s="114"/>
      <c r="BS20" s="115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7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105"/>
    </row>
    <row r="21" spans="1:96" ht="22.5" customHeight="1" x14ac:dyDescent="0.25">
      <c r="A21" s="17"/>
      <c r="B21" s="112"/>
      <c r="C21" s="219"/>
      <c r="D21" s="113"/>
      <c r="E21" s="220"/>
      <c r="F21" s="220"/>
      <c r="G21" s="81"/>
      <c r="H21" s="81"/>
      <c r="I21" s="81"/>
      <c r="J21" s="74"/>
      <c r="K21" s="76"/>
      <c r="L21" s="76"/>
      <c r="M21" s="81"/>
      <c r="N21" s="82"/>
      <c r="P21" s="82"/>
      <c r="Q21" s="81"/>
      <c r="R21" s="81"/>
      <c r="S21" s="19"/>
      <c r="T21" s="81"/>
      <c r="U21" s="76"/>
      <c r="V21" s="76"/>
      <c r="W21" s="76"/>
      <c r="X21" s="76"/>
      <c r="Y21" s="76"/>
      <c r="Z21" s="81"/>
      <c r="AA21" s="79"/>
      <c r="AB21" s="220"/>
      <c r="AC21" s="220"/>
      <c r="AD21" s="220"/>
      <c r="AE21" s="220"/>
      <c r="AF21" s="220"/>
      <c r="AG21" s="220"/>
      <c r="AH21" s="220"/>
      <c r="AI21" s="90"/>
      <c r="AJ21" s="17"/>
      <c r="AK21" s="220"/>
      <c r="AL21" s="220"/>
      <c r="AM21" s="220"/>
      <c r="AN21" s="220"/>
      <c r="AO21" s="81"/>
      <c r="AP21" s="81"/>
      <c r="AQ21" s="81"/>
      <c r="AR21" s="74"/>
      <c r="AS21" s="76"/>
      <c r="AT21" s="76"/>
      <c r="AU21" s="81"/>
      <c r="AV21" s="82"/>
      <c r="AX21" s="82"/>
      <c r="AY21" s="81"/>
      <c r="AZ21" s="81"/>
      <c r="BA21" s="19"/>
      <c r="BB21" s="81"/>
      <c r="BC21" s="76"/>
      <c r="BD21" s="76"/>
      <c r="BE21" s="76"/>
      <c r="BF21" s="76"/>
      <c r="BG21" s="76"/>
      <c r="BH21" s="81"/>
      <c r="BI21" s="79"/>
      <c r="BJ21" s="220"/>
      <c r="BK21" s="221"/>
      <c r="BL21" s="221"/>
      <c r="BM21" s="221"/>
      <c r="BN21" s="221"/>
      <c r="BO21" s="221"/>
      <c r="BP21" s="221"/>
      <c r="BQ21" s="221"/>
      <c r="BR21" s="114"/>
      <c r="BS21" s="115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7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105"/>
    </row>
    <row r="22" spans="1:96" s="110" customFormat="1" ht="24" customHeight="1" x14ac:dyDescent="0.25">
      <c r="A22" s="232" t="s">
        <v>120</v>
      </c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4"/>
      <c r="AI22" s="125"/>
      <c r="AJ22" s="225" t="s">
        <v>119</v>
      </c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225"/>
      <c r="BM22" s="225"/>
      <c r="BN22" s="225"/>
      <c r="BO22" s="225"/>
      <c r="BP22" s="225"/>
      <c r="BQ22" s="225"/>
      <c r="BR22" s="225"/>
      <c r="BS22" s="225"/>
      <c r="BT22" s="225"/>
      <c r="BU22" s="225"/>
      <c r="BV22" s="225"/>
      <c r="BW22" s="225"/>
      <c r="BX22" s="225"/>
      <c r="BY22" s="225"/>
      <c r="BZ22" s="225"/>
      <c r="CA22" s="225"/>
      <c r="CB22" s="225"/>
      <c r="CC22" s="225"/>
      <c r="CD22" s="225"/>
      <c r="CE22" s="225"/>
      <c r="CF22"/>
      <c r="CG22"/>
    </row>
    <row r="23" spans="1:96" ht="18.75" customHeight="1" x14ac:dyDescent="0.25">
      <c r="A23" s="235" t="s">
        <v>33</v>
      </c>
      <c r="B23" s="235"/>
      <c r="C23" s="235"/>
      <c r="D23" s="120"/>
      <c r="E23" s="231" t="s">
        <v>7</v>
      </c>
      <c r="F23" s="231"/>
      <c r="G23" s="231" t="s">
        <v>1</v>
      </c>
      <c r="H23" s="231"/>
      <c r="I23" s="231" t="s">
        <v>2</v>
      </c>
      <c r="J23" s="231"/>
      <c r="K23" s="231" t="s">
        <v>3</v>
      </c>
      <c r="L23" s="231"/>
      <c r="M23" s="231" t="s">
        <v>4</v>
      </c>
      <c r="N23" s="231"/>
      <c r="O23" s="231" t="s">
        <v>5</v>
      </c>
      <c r="P23" s="231"/>
      <c r="Q23" s="231" t="s">
        <v>6</v>
      </c>
      <c r="R23" s="231"/>
      <c r="S23" s="231" t="s">
        <v>7</v>
      </c>
      <c r="T23" s="231"/>
      <c r="U23" s="231" t="s">
        <v>1</v>
      </c>
      <c r="V23" s="231"/>
      <c r="W23" s="231" t="s">
        <v>2</v>
      </c>
      <c r="X23" s="231"/>
      <c r="Y23" s="231" t="s">
        <v>3</v>
      </c>
      <c r="Z23" s="231"/>
      <c r="AA23" s="231" t="s">
        <v>4</v>
      </c>
      <c r="AB23" s="231"/>
      <c r="AC23" s="231" t="s">
        <v>5</v>
      </c>
      <c r="AD23" s="231"/>
      <c r="AE23" s="231" t="s">
        <v>6</v>
      </c>
      <c r="AF23" s="231"/>
      <c r="AG23" s="231" t="s">
        <v>7</v>
      </c>
      <c r="AH23" s="231"/>
      <c r="AI23" s="88"/>
      <c r="AJ23" s="121"/>
      <c r="AK23" s="231" t="s">
        <v>1</v>
      </c>
      <c r="AL23" s="231"/>
      <c r="AM23" s="231" t="s">
        <v>2</v>
      </c>
      <c r="AN23" s="231"/>
      <c r="AO23" s="231" t="s">
        <v>3</v>
      </c>
      <c r="AP23" s="231"/>
      <c r="AQ23" s="231" t="s">
        <v>4</v>
      </c>
      <c r="AR23" s="231"/>
      <c r="AS23" s="231" t="s">
        <v>5</v>
      </c>
      <c r="AT23" s="231"/>
      <c r="AU23" s="231" t="s">
        <v>6</v>
      </c>
      <c r="AV23" s="231"/>
      <c r="AW23" s="231" t="s">
        <v>7</v>
      </c>
      <c r="AX23" s="231"/>
      <c r="AY23" s="231" t="s">
        <v>1</v>
      </c>
      <c r="AZ23" s="231"/>
      <c r="BA23" s="231" t="s">
        <v>2</v>
      </c>
      <c r="BB23" s="231"/>
      <c r="BC23" s="231" t="s">
        <v>3</v>
      </c>
      <c r="BD23" s="231"/>
      <c r="BE23" s="231" t="s">
        <v>4</v>
      </c>
      <c r="BF23" s="231"/>
      <c r="BG23" s="231" t="s">
        <v>5</v>
      </c>
      <c r="BH23" s="231"/>
      <c r="BI23" s="231" t="s">
        <v>6</v>
      </c>
      <c r="BJ23" s="231"/>
      <c r="BK23" s="231" t="s">
        <v>7</v>
      </c>
      <c r="BL23" s="231"/>
      <c r="BM23" s="231" t="s">
        <v>1</v>
      </c>
      <c r="BN23" s="231"/>
      <c r="BO23" s="231" t="s">
        <v>6</v>
      </c>
      <c r="BP23" s="231"/>
      <c r="BQ23" s="228" t="s">
        <v>8</v>
      </c>
      <c r="BR23" s="228" t="s">
        <v>9</v>
      </c>
      <c r="BS23" s="122"/>
      <c r="BT23" s="122"/>
      <c r="BU23" s="122"/>
      <c r="BV23" s="122"/>
      <c r="BW23" s="122"/>
      <c r="BX23" s="122"/>
      <c r="BY23" s="122"/>
      <c r="BZ23" s="122"/>
      <c r="CA23" s="123"/>
      <c r="CB23" s="123"/>
      <c r="CC23" s="122"/>
      <c r="CD23" s="124"/>
      <c r="CE23" s="124"/>
      <c r="CH23" s="230" t="s">
        <v>82</v>
      </c>
      <c r="CI23" s="230"/>
      <c r="CJ23" s="230"/>
      <c r="CK23" s="230"/>
      <c r="CL23" s="230"/>
      <c r="CM23" s="230"/>
      <c r="CN23" s="230"/>
      <c r="CO23" s="230"/>
      <c r="CP23" s="230"/>
      <c r="CQ23" s="230"/>
      <c r="CR23" s="17"/>
    </row>
    <row r="24" spans="1:96" ht="18.75" customHeight="1" x14ac:dyDescent="0.25">
      <c r="A24" s="235"/>
      <c r="B24" s="235"/>
      <c r="C24" s="235"/>
      <c r="D24" s="86"/>
      <c r="E24" s="224">
        <v>46266</v>
      </c>
      <c r="F24" s="224"/>
      <c r="G24" s="224">
        <v>46267</v>
      </c>
      <c r="H24" s="224"/>
      <c r="I24" s="224">
        <v>46268</v>
      </c>
      <c r="J24" s="224"/>
      <c r="K24" s="224">
        <v>46269</v>
      </c>
      <c r="L24" s="224"/>
      <c r="M24" s="224">
        <v>46270</v>
      </c>
      <c r="N24" s="224"/>
      <c r="O24" s="224">
        <v>46271</v>
      </c>
      <c r="P24" s="224"/>
      <c r="Q24" s="224">
        <v>46272</v>
      </c>
      <c r="R24" s="224"/>
      <c r="S24" s="224">
        <v>46273</v>
      </c>
      <c r="T24" s="224"/>
      <c r="U24" s="224">
        <v>46274</v>
      </c>
      <c r="V24" s="224"/>
      <c r="W24" s="224">
        <v>46275</v>
      </c>
      <c r="X24" s="224"/>
      <c r="Y24" s="224">
        <v>46276</v>
      </c>
      <c r="Z24" s="224"/>
      <c r="AA24" s="224">
        <v>46277</v>
      </c>
      <c r="AB24" s="224"/>
      <c r="AC24" s="224">
        <v>46278</v>
      </c>
      <c r="AD24" s="224"/>
      <c r="AE24" s="224">
        <v>46279</v>
      </c>
      <c r="AF24" s="224"/>
      <c r="AG24" s="224">
        <v>46280</v>
      </c>
      <c r="AH24" s="224"/>
      <c r="AI24" s="89"/>
      <c r="AJ24" s="94"/>
      <c r="AK24" s="224">
        <v>46281</v>
      </c>
      <c r="AL24" s="224"/>
      <c r="AM24" s="224">
        <v>46282</v>
      </c>
      <c r="AN24" s="224"/>
      <c r="AO24" s="224">
        <v>46283</v>
      </c>
      <c r="AP24" s="224"/>
      <c r="AQ24" s="224">
        <v>46284</v>
      </c>
      <c r="AR24" s="224"/>
      <c r="AS24" s="224">
        <v>46285</v>
      </c>
      <c r="AT24" s="224"/>
      <c r="AU24" s="224">
        <v>46286</v>
      </c>
      <c r="AV24" s="224"/>
      <c r="AW24" s="224">
        <v>46287</v>
      </c>
      <c r="AX24" s="224"/>
      <c r="AY24" s="224">
        <v>46288</v>
      </c>
      <c r="AZ24" s="224"/>
      <c r="BA24" s="224">
        <v>46289</v>
      </c>
      <c r="BB24" s="224"/>
      <c r="BC24" s="224">
        <v>46290</v>
      </c>
      <c r="BD24" s="224"/>
      <c r="BE24" s="224">
        <v>46291</v>
      </c>
      <c r="BF24" s="224"/>
      <c r="BG24" s="224">
        <v>46292</v>
      </c>
      <c r="BH24" s="224"/>
      <c r="BI24" s="224">
        <v>46293</v>
      </c>
      <c r="BJ24" s="224"/>
      <c r="BK24" s="224">
        <v>46294</v>
      </c>
      <c r="BL24" s="224"/>
      <c r="BM24" s="224">
        <v>46295</v>
      </c>
      <c r="BN24" s="224"/>
      <c r="BO24" s="224">
        <v>46296</v>
      </c>
      <c r="BP24" s="224"/>
      <c r="BQ24" s="228"/>
      <c r="BR24" s="228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H24" s="48" t="s">
        <v>99</v>
      </c>
      <c r="CI24" s="48"/>
      <c r="CJ24" s="48"/>
      <c r="CK24" s="48"/>
      <c r="CL24" s="48"/>
      <c r="CM24" s="48"/>
      <c r="CN24" s="48"/>
      <c r="CO24" s="48"/>
      <c r="CP24" s="48"/>
      <c r="CQ24" s="48"/>
      <c r="CR24" s="17"/>
    </row>
    <row r="25" spans="1:96" ht="18.75" customHeight="1" x14ac:dyDescent="0.25">
      <c r="A25" s="4" t="s">
        <v>10</v>
      </c>
      <c r="B25" s="4" t="s">
        <v>11</v>
      </c>
      <c r="C25" s="4" t="s">
        <v>12</v>
      </c>
      <c r="D25" s="4"/>
      <c r="E25" s="10" t="s">
        <v>13</v>
      </c>
      <c r="F25" s="10" t="s">
        <v>14</v>
      </c>
      <c r="G25" s="10" t="s">
        <v>13</v>
      </c>
      <c r="H25" s="10" t="s">
        <v>14</v>
      </c>
      <c r="I25" s="10" t="s">
        <v>13</v>
      </c>
      <c r="J25" s="10" t="s">
        <v>14</v>
      </c>
      <c r="K25" s="10" t="s">
        <v>13</v>
      </c>
      <c r="L25" s="10" t="s">
        <v>14</v>
      </c>
      <c r="M25" s="10" t="s">
        <v>13</v>
      </c>
      <c r="N25" s="10" t="s">
        <v>14</v>
      </c>
      <c r="O25" s="10" t="s">
        <v>13</v>
      </c>
      <c r="P25" s="10" t="s">
        <v>14</v>
      </c>
      <c r="Q25" s="10" t="s">
        <v>13</v>
      </c>
      <c r="R25" s="10" t="s">
        <v>14</v>
      </c>
      <c r="S25" s="10" t="s">
        <v>13</v>
      </c>
      <c r="T25" s="10" t="s">
        <v>14</v>
      </c>
      <c r="U25" s="10" t="s">
        <v>13</v>
      </c>
      <c r="V25" s="10" t="s">
        <v>14</v>
      </c>
      <c r="W25" s="10" t="s">
        <v>13</v>
      </c>
      <c r="X25" s="10" t="s">
        <v>14</v>
      </c>
      <c r="Y25" s="10" t="s">
        <v>13</v>
      </c>
      <c r="Z25" s="10" t="s">
        <v>14</v>
      </c>
      <c r="AA25" s="10" t="s">
        <v>13</v>
      </c>
      <c r="AB25" s="10" t="s">
        <v>14</v>
      </c>
      <c r="AC25" s="10" t="s">
        <v>13</v>
      </c>
      <c r="AD25" s="10" t="s">
        <v>14</v>
      </c>
      <c r="AE25" s="10" t="s">
        <v>13</v>
      </c>
      <c r="AF25" s="10" t="s">
        <v>14</v>
      </c>
      <c r="AG25" s="10" t="s">
        <v>13</v>
      </c>
      <c r="AH25" s="10" t="s">
        <v>14</v>
      </c>
      <c r="AI25" s="88"/>
      <c r="AJ25" s="10"/>
      <c r="AK25" s="45" t="s">
        <v>13</v>
      </c>
      <c r="AL25" s="45" t="s">
        <v>14</v>
      </c>
      <c r="AM25" s="45" t="s">
        <v>13</v>
      </c>
      <c r="AN25" s="45" t="s">
        <v>14</v>
      </c>
      <c r="AO25" s="45" t="s">
        <v>13</v>
      </c>
      <c r="AP25" s="45" t="s">
        <v>14</v>
      </c>
      <c r="AQ25" s="45" t="s">
        <v>13</v>
      </c>
      <c r="AR25" s="45" t="s">
        <v>14</v>
      </c>
      <c r="AS25" s="45" t="s">
        <v>13</v>
      </c>
      <c r="AT25" s="45" t="s">
        <v>14</v>
      </c>
      <c r="AU25" s="10" t="s">
        <v>13</v>
      </c>
      <c r="AV25" s="10" t="s">
        <v>14</v>
      </c>
      <c r="AW25" s="10" t="s">
        <v>13</v>
      </c>
      <c r="AX25" s="10" t="s">
        <v>14</v>
      </c>
      <c r="AY25" s="10" t="s">
        <v>13</v>
      </c>
      <c r="AZ25" s="10" t="s">
        <v>14</v>
      </c>
      <c r="BA25" s="10" t="s">
        <v>13</v>
      </c>
      <c r="BB25" s="10" t="s">
        <v>14</v>
      </c>
      <c r="BC25" s="10" t="s">
        <v>13</v>
      </c>
      <c r="BD25" s="10" t="s">
        <v>14</v>
      </c>
      <c r="BE25" s="10" t="s">
        <v>13</v>
      </c>
      <c r="BF25" s="10" t="s">
        <v>14</v>
      </c>
      <c r="BG25" s="10" t="s">
        <v>13</v>
      </c>
      <c r="BH25" s="10" t="s">
        <v>14</v>
      </c>
      <c r="BI25" s="10" t="s">
        <v>13</v>
      </c>
      <c r="BJ25" s="10" t="s">
        <v>14</v>
      </c>
      <c r="BK25" s="10" t="s">
        <v>13</v>
      </c>
      <c r="BL25" s="10" t="s">
        <v>14</v>
      </c>
      <c r="BM25" s="10" t="s">
        <v>13</v>
      </c>
      <c r="BN25" s="10" t="s">
        <v>14</v>
      </c>
      <c r="BO25" s="10" t="s">
        <v>13</v>
      </c>
      <c r="BP25" s="10" t="s">
        <v>14</v>
      </c>
      <c r="BQ25" s="228"/>
      <c r="BR25" s="228"/>
      <c r="BS25" s="11"/>
      <c r="BT25" s="67" t="s">
        <v>15</v>
      </c>
      <c r="BU25" s="67" t="s">
        <v>16</v>
      </c>
      <c r="BV25" s="67" t="s">
        <v>17</v>
      </c>
      <c r="BW25" s="67" t="s">
        <v>18</v>
      </c>
      <c r="BX25" s="67" t="s">
        <v>19</v>
      </c>
      <c r="BY25" s="67" t="s">
        <v>20</v>
      </c>
      <c r="BZ25" s="67" t="s">
        <v>96</v>
      </c>
      <c r="CA25" s="43" t="s">
        <v>22</v>
      </c>
      <c r="CB25" s="67" t="s">
        <v>23</v>
      </c>
      <c r="CC25" s="67" t="s">
        <v>24</v>
      </c>
      <c r="CD25" s="67" t="s">
        <v>25</v>
      </c>
      <c r="CE25" s="12" t="s">
        <v>26</v>
      </c>
      <c r="CH25" s="58" t="s">
        <v>16</v>
      </c>
      <c r="CI25" s="58" t="s">
        <v>17</v>
      </c>
      <c r="CJ25" s="58" t="s">
        <v>18</v>
      </c>
      <c r="CK25" s="58" t="s">
        <v>19</v>
      </c>
      <c r="CL25" s="58" t="s">
        <v>20</v>
      </c>
      <c r="CM25" s="58" t="s">
        <v>21</v>
      </c>
      <c r="CN25" s="58" t="s">
        <v>22</v>
      </c>
      <c r="CO25" s="58" t="s">
        <v>23</v>
      </c>
      <c r="CP25" s="58" t="s">
        <v>24</v>
      </c>
      <c r="CQ25" s="58" t="s">
        <v>25</v>
      </c>
      <c r="CR25" s="58" t="s">
        <v>83</v>
      </c>
    </row>
    <row r="26" spans="1:96" ht="22.5" customHeight="1" x14ac:dyDescent="0.25">
      <c r="A26" s="96">
        <v>9</v>
      </c>
      <c r="B26" s="8" t="s">
        <v>34</v>
      </c>
      <c r="C26" s="91" t="s">
        <v>35</v>
      </c>
      <c r="D26" s="92">
        <v>43525</v>
      </c>
      <c r="E26" s="104">
        <v>46266.350208333337</v>
      </c>
      <c r="F26" s="104">
        <v>46264.754212962966</v>
      </c>
      <c r="G26" s="104">
        <v>46267.350312499999</v>
      </c>
      <c r="H26" s="104">
        <v>0</v>
      </c>
      <c r="I26" s="104">
        <v>46268.348425925928</v>
      </c>
      <c r="J26" s="104">
        <v>0</v>
      </c>
      <c r="K26" s="161" t="s">
        <v>15</v>
      </c>
      <c r="L26" s="161" t="s">
        <v>15</v>
      </c>
      <c r="M26" s="104">
        <v>46270.345509259256</v>
      </c>
      <c r="N26" s="104">
        <v>0</v>
      </c>
      <c r="O26" s="104">
        <v>46271.347430555557</v>
      </c>
      <c r="P26" s="104">
        <v>0</v>
      </c>
      <c r="Q26" s="104">
        <v>46272.346493055556</v>
      </c>
      <c r="R26" s="104">
        <v>0</v>
      </c>
      <c r="S26" s="104">
        <v>46273.347650462965</v>
      </c>
      <c r="T26" s="104">
        <v>0</v>
      </c>
      <c r="U26" s="104">
        <v>46274.348067129627</v>
      </c>
      <c r="V26" s="104">
        <v>0</v>
      </c>
      <c r="W26" s="104">
        <v>46275.346562500003</v>
      </c>
      <c r="X26" s="104">
        <v>0</v>
      </c>
      <c r="Y26" s="104">
        <v>0</v>
      </c>
      <c r="Z26" s="104">
        <v>0</v>
      </c>
      <c r="AA26" s="104">
        <v>46277.347557870373</v>
      </c>
      <c r="AB26" s="104">
        <v>0</v>
      </c>
      <c r="AC26" s="104">
        <v>46278.351435185185</v>
      </c>
      <c r="AD26" s="104">
        <v>0</v>
      </c>
      <c r="AE26" s="104">
        <v>46279.349976851852</v>
      </c>
      <c r="AF26" s="104">
        <v>0</v>
      </c>
      <c r="AG26" s="104">
        <v>46280.352013888885</v>
      </c>
      <c r="AH26" s="104">
        <v>0</v>
      </c>
      <c r="AI26" s="84"/>
      <c r="AJ26" s="95">
        <v>9</v>
      </c>
      <c r="AK26" s="104">
        <v>46281.352500000001</v>
      </c>
      <c r="AL26" s="104">
        <v>0</v>
      </c>
      <c r="AM26" s="128">
        <v>46282.346226851849</v>
      </c>
      <c r="AN26" s="104">
        <v>0</v>
      </c>
      <c r="AO26" s="104">
        <v>0</v>
      </c>
      <c r="AP26" s="104">
        <v>0</v>
      </c>
      <c r="AQ26" s="104">
        <v>46284.348020833335</v>
      </c>
      <c r="AR26" s="104">
        <v>0</v>
      </c>
      <c r="AS26" s="104">
        <v>46285.347812499997</v>
      </c>
      <c r="AT26" s="104">
        <v>0</v>
      </c>
      <c r="AU26" s="104">
        <v>46286.346736111111</v>
      </c>
      <c r="AV26" s="104">
        <v>0</v>
      </c>
      <c r="AW26" s="104">
        <v>46287.344004629631</v>
      </c>
      <c r="AX26" s="104">
        <v>0</v>
      </c>
      <c r="AY26" s="104">
        <v>46288.349039351851</v>
      </c>
      <c r="AZ26" s="104">
        <v>0</v>
      </c>
      <c r="BA26" s="104">
        <v>46289.350925925923</v>
      </c>
      <c r="BB26" s="104">
        <v>0</v>
      </c>
      <c r="BC26" s="104">
        <v>46290.570821759262</v>
      </c>
      <c r="BD26" s="104">
        <v>0</v>
      </c>
      <c r="BE26" s="104">
        <v>46291.347233796296</v>
      </c>
      <c r="BF26" s="104">
        <v>0</v>
      </c>
      <c r="BG26" s="104">
        <v>46292.354085648149</v>
      </c>
      <c r="BH26" s="104">
        <v>0</v>
      </c>
      <c r="BI26" s="104">
        <v>46293.35765046296</v>
      </c>
      <c r="BJ26" s="104">
        <v>0</v>
      </c>
      <c r="BK26" s="104">
        <v>46294.350127314814</v>
      </c>
      <c r="BL26" s="104">
        <v>0</v>
      </c>
      <c r="BM26" s="104">
        <v>46295.348391203705</v>
      </c>
      <c r="BN26" s="104">
        <v>0</v>
      </c>
      <c r="BO26" s="65"/>
      <c r="BP26" s="65"/>
      <c r="BQ26" s="13">
        <f>BS26+BT26+BU26+BV26+CA26+BY26+BZ26+CD26</f>
        <v>30</v>
      </c>
      <c r="BR26" s="47">
        <v>3</v>
      </c>
      <c r="BS26" s="14">
        <f>COUNT(E26:AH26)/2+COUNT(AK26:BN26)/2</f>
        <v>29</v>
      </c>
      <c r="BT26" s="15">
        <f>COUNTIF(B26:BN26,"OFF")/2</f>
        <v>1</v>
      </c>
      <c r="BU26" s="15">
        <f>COUNTIF(B26:BN26,"MC")/2</f>
        <v>0</v>
      </c>
      <c r="BV26" s="15">
        <f>COUNTIF(B26:BN26,"EL")/2</f>
        <v>0</v>
      </c>
      <c r="BW26" s="15">
        <f>COUNTIF(B26:BN26,"AL")/2</f>
        <v>0</v>
      </c>
      <c r="BX26" s="15">
        <f>COUNTIF(B26:BN26,"SUS")/2</f>
        <v>0</v>
      </c>
      <c r="BY26" s="15">
        <f>COUNTIF(B26:BN26,"FL")/2</f>
        <v>0</v>
      </c>
      <c r="BZ26" s="15">
        <f>COUNTIF(B26:BN26,"SICK")/2</f>
        <v>0</v>
      </c>
      <c r="CA26" s="15">
        <f>COUNTIF(B26:BN26,"HD")/2</f>
        <v>0</v>
      </c>
      <c r="CB26" s="15">
        <f>COUNTIF(B26:BN26,"AB")/2</f>
        <v>0</v>
      </c>
      <c r="CC26" s="15">
        <f>COUNTIF(B26:BN26,"NL")/2</f>
        <v>0</v>
      </c>
      <c r="CD26" s="15">
        <f>COUNTIF(B26:BN26,"SP")/2</f>
        <v>0</v>
      </c>
      <c r="CE26" s="16"/>
      <c r="CH26" s="54">
        <v>0</v>
      </c>
      <c r="CI26" s="54">
        <v>0</v>
      </c>
      <c r="CJ26" s="54">
        <v>0</v>
      </c>
      <c r="CK26" s="54">
        <v>0</v>
      </c>
      <c r="CL26" s="54">
        <v>0</v>
      </c>
      <c r="CM26" s="54">
        <v>2</v>
      </c>
      <c r="CN26" s="55">
        <v>0</v>
      </c>
      <c r="CO26" s="55">
        <v>0</v>
      </c>
      <c r="CP26" s="55">
        <v>0</v>
      </c>
      <c r="CQ26" s="55">
        <v>0</v>
      </c>
      <c r="CR26" s="56">
        <f t="shared" ref="CR26:CR39" si="14">SUM(CH26:CQ26)</f>
        <v>2</v>
      </c>
    </row>
    <row r="27" spans="1:96" ht="22.5" customHeight="1" x14ac:dyDescent="0.25">
      <c r="A27" s="96">
        <v>10</v>
      </c>
      <c r="B27" s="8" t="s">
        <v>36</v>
      </c>
      <c r="C27" s="91" t="s">
        <v>126</v>
      </c>
      <c r="D27" s="92">
        <v>44862</v>
      </c>
      <c r="E27" s="104">
        <v>46266.347777777781</v>
      </c>
      <c r="F27" s="104">
        <v>46264.959374999999</v>
      </c>
      <c r="G27" s="104">
        <v>46267.348761574074</v>
      </c>
      <c r="H27" s="104">
        <v>46267.944097222222</v>
      </c>
      <c r="I27" s="104">
        <v>46268.349490740744</v>
      </c>
      <c r="J27" s="104">
        <v>46268.963090277779</v>
      </c>
      <c r="K27" s="104">
        <v>46269.57912037037</v>
      </c>
      <c r="L27" s="104">
        <v>0</v>
      </c>
      <c r="M27" s="104">
        <v>46270.345821759256</v>
      </c>
      <c r="N27" s="104">
        <v>46270.963159722225</v>
      </c>
      <c r="O27" s="104">
        <v>46271.350092592591</v>
      </c>
      <c r="P27" s="104">
        <v>46271.946875000001</v>
      </c>
      <c r="Q27" s="104">
        <v>46272.349629629629</v>
      </c>
      <c r="R27" s="104">
        <v>46272.941527777781</v>
      </c>
      <c r="S27" s="104">
        <v>46273.349236111113</v>
      </c>
      <c r="T27" s="104">
        <v>46273.944097222222</v>
      </c>
      <c r="U27" s="104">
        <v>46274.34951388889</v>
      </c>
      <c r="V27" s="104">
        <v>46274.941041666665</v>
      </c>
      <c r="W27" s="104">
        <v>46275.349618055552</v>
      </c>
      <c r="X27" s="104">
        <v>46275.958449074074</v>
      </c>
      <c r="Y27" s="161" t="s">
        <v>15</v>
      </c>
      <c r="Z27" s="161" t="s">
        <v>15</v>
      </c>
      <c r="AA27" s="104">
        <v>46277.353113425925</v>
      </c>
      <c r="AB27" s="104">
        <v>46277.961388888885</v>
      </c>
      <c r="AC27" s="104">
        <v>46278.351539351854</v>
      </c>
      <c r="AD27" s="104">
        <v>46278.942233796297</v>
      </c>
      <c r="AE27" s="104">
        <v>46279.348657407405</v>
      </c>
      <c r="AF27" s="104">
        <v>46279.939293981479</v>
      </c>
      <c r="AG27" s="104">
        <v>46280.348287037035</v>
      </c>
      <c r="AH27" s="104">
        <v>46280.944085648145</v>
      </c>
      <c r="AI27" s="90"/>
      <c r="AJ27" s="95">
        <v>10</v>
      </c>
      <c r="AK27" s="104">
        <v>46281.346817129626</v>
      </c>
      <c r="AL27" s="104">
        <v>46281.942685185182</v>
      </c>
      <c r="AM27" s="104">
        <v>46282.344224537039</v>
      </c>
      <c r="AN27" s="104">
        <v>46282.964953703704</v>
      </c>
      <c r="AO27" s="104">
        <v>46283.572314814817</v>
      </c>
      <c r="AP27" s="104">
        <v>46283.947754629633</v>
      </c>
      <c r="AQ27" s="104">
        <v>46284.349606481483</v>
      </c>
      <c r="AR27" s="104">
        <v>0</v>
      </c>
      <c r="AS27" s="104">
        <v>46285.348483796297</v>
      </c>
      <c r="AT27" s="104">
        <v>46285.940578703703</v>
      </c>
      <c r="AU27" s="104">
        <v>46286.34716435185</v>
      </c>
      <c r="AV27" s="104">
        <v>46286.945625</v>
      </c>
      <c r="AW27" s="104">
        <v>46287.345497685186</v>
      </c>
      <c r="AX27" s="104">
        <v>46287.944016203706</v>
      </c>
      <c r="AY27" s="104">
        <v>46288.346956018519</v>
      </c>
      <c r="AZ27" s="104">
        <v>46288.943993055553</v>
      </c>
      <c r="BA27" s="104">
        <v>46289.34574074074</v>
      </c>
      <c r="BB27" s="104">
        <v>46289.964131944442</v>
      </c>
      <c r="BC27" s="104">
        <v>0</v>
      </c>
      <c r="BD27" s="104">
        <v>0</v>
      </c>
      <c r="BE27" s="104">
        <v>46291.345462962963</v>
      </c>
      <c r="BF27" s="104">
        <v>46291.962430555555</v>
      </c>
      <c r="BG27" s="104">
        <v>46292.350428240738</v>
      </c>
      <c r="BH27" s="104">
        <v>46292.94431712963</v>
      </c>
      <c r="BI27" s="104">
        <v>46293.349340277775</v>
      </c>
      <c r="BJ27" s="104">
        <v>46293.941053240742</v>
      </c>
      <c r="BK27" s="104">
        <v>46294.348923611113</v>
      </c>
      <c r="BL27" s="104">
        <v>46294.945092592592</v>
      </c>
      <c r="BM27" s="104">
        <v>46295.349282407406</v>
      </c>
      <c r="BN27" s="104">
        <v>46295.944374999999</v>
      </c>
      <c r="BO27" s="65"/>
      <c r="BP27" s="65"/>
      <c r="BQ27" s="13">
        <f t="shared" ref="BQ27:BQ44" si="15">BS27+BT27+BU27+BV27+CA27+BY27+BZ27+CD27</f>
        <v>30</v>
      </c>
      <c r="BR27" s="47">
        <v>3</v>
      </c>
      <c r="BS27" s="14">
        <f t="shared" ref="BS27:BS46" si="16">COUNT(E27:AH27)/2+COUNT(AK27:BN27)/2</f>
        <v>29</v>
      </c>
      <c r="BT27" s="15">
        <f>COUNTIF(B27:BJ27,"OFF")/2</f>
        <v>1</v>
      </c>
      <c r="BU27" s="15">
        <f>COUNTIF(B27:BJ27,"MC")/2</f>
        <v>0</v>
      </c>
      <c r="BV27" s="15">
        <f>COUNTIF(B27:BJ27,"EL")/2</f>
        <v>0</v>
      </c>
      <c r="BW27" s="15">
        <f>COUNTIF(B27:BJ27,"AL")/2</f>
        <v>0</v>
      </c>
      <c r="BX27" s="15">
        <f>COUNTIF(B27:BJ27,"SUS")/2</f>
        <v>0</v>
      </c>
      <c r="BY27" s="15">
        <f>COUNTIF(B27:BJ27,"FL")/2</f>
        <v>0</v>
      </c>
      <c r="BZ27" s="15">
        <f>COUNTIF(B27:BJ27,"SICK")/2</f>
        <v>0</v>
      </c>
      <c r="CA27" s="15">
        <f>COUNTIF(B27:BN27,"HD")/2</f>
        <v>0</v>
      </c>
      <c r="CB27" s="15">
        <f>COUNTIF(B27:BJ27,"AB")/2</f>
        <v>0</v>
      </c>
      <c r="CC27" s="15">
        <f>COUNTIF(B27:BJ27,"NL")/2</f>
        <v>0</v>
      </c>
      <c r="CD27" s="15">
        <f>COUNTIF(B27:BJ27,"SP")/2</f>
        <v>0</v>
      </c>
      <c r="CE27" s="16"/>
      <c r="CH27" s="53">
        <v>0</v>
      </c>
      <c r="CI27" s="53">
        <v>0</v>
      </c>
      <c r="CJ27" s="53">
        <v>0</v>
      </c>
      <c r="CK27" s="52">
        <v>0</v>
      </c>
      <c r="CL27" s="52">
        <v>0</v>
      </c>
      <c r="CM27" s="52">
        <v>1</v>
      </c>
      <c r="CN27" s="52">
        <v>0</v>
      </c>
      <c r="CO27" s="52">
        <v>0</v>
      </c>
      <c r="CP27" s="52">
        <v>0</v>
      </c>
      <c r="CQ27" s="52">
        <v>0</v>
      </c>
      <c r="CR27" s="57">
        <f t="shared" si="14"/>
        <v>1</v>
      </c>
    </row>
    <row r="28" spans="1:96" ht="22.5" customHeight="1" x14ac:dyDescent="0.25">
      <c r="A28" s="96">
        <v>11</v>
      </c>
      <c r="B28" s="8" t="s">
        <v>38</v>
      </c>
      <c r="C28" s="91" t="s">
        <v>39</v>
      </c>
      <c r="D28" s="92">
        <v>45374</v>
      </c>
      <c r="E28" s="104">
        <v>46266.350347222222</v>
      </c>
      <c r="F28" s="104">
        <v>46264.958657407406</v>
      </c>
      <c r="G28" s="104">
        <v>46267.355115740742</v>
      </c>
      <c r="H28" s="104">
        <v>0</v>
      </c>
      <c r="I28" s="104">
        <v>46268.351921296293</v>
      </c>
      <c r="J28" s="104">
        <v>46268.975300925929</v>
      </c>
      <c r="K28" s="161" t="s">
        <v>15</v>
      </c>
      <c r="L28" s="161" t="s">
        <v>15</v>
      </c>
      <c r="M28" s="104">
        <v>46270.3516087963</v>
      </c>
      <c r="N28" s="104">
        <v>46270.97246527778</v>
      </c>
      <c r="O28" s="104">
        <v>0</v>
      </c>
      <c r="P28" s="104">
        <v>46271.952164351853</v>
      </c>
      <c r="Q28" s="104">
        <v>46272.348773148151</v>
      </c>
      <c r="R28" s="104">
        <v>46272.952430555553</v>
      </c>
      <c r="S28" s="104">
        <v>46273.349953703706</v>
      </c>
      <c r="T28" s="104">
        <v>46273.953287037039</v>
      </c>
      <c r="U28" s="104">
        <v>0</v>
      </c>
      <c r="V28" s="104">
        <v>46274.950925925928</v>
      </c>
      <c r="W28" s="104">
        <v>46275.344594907408</v>
      </c>
      <c r="X28" s="104">
        <v>46275.966284722221</v>
      </c>
      <c r="Y28" s="104">
        <v>46276.583784722221</v>
      </c>
      <c r="Z28" s="104">
        <v>46276.951481481483</v>
      </c>
      <c r="AA28" s="104">
        <v>0</v>
      </c>
      <c r="AB28" s="104">
        <v>0</v>
      </c>
      <c r="AC28" s="104">
        <v>46278.346238425926</v>
      </c>
      <c r="AD28" s="104">
        <v>46278.945057870369</v>
      </c>
      <c r="AE28" s="104">
        <v>0</v>
      </c>
      <c r="AF28" s="104">
        <v>46279.946574074071</v>
      </c>
      <c r="AG28" s="163" t="s">
        <v>96</v>
      </c>
      <c r="AH28" s="163" t="s">
        <v>96</v>
      </c>
      <c r="AI28" s="90"/>
      <c r="AJ28" s="95">
        <v>11</v>
      </c>
      <c r="AK28" s="104">
        <v>46281.347430555557</v>
      </c>
      <c r="AL28" s="104">
        <v>46281.953506944446</v>
      </c>
      <c r="AM28" s="104">
        <v>46282.349432870367</v>
      </c>
      <c r="AN28" s="104">
        <v>0</v>
      </c>
      <c r="AO28" s="104">
        <v>46283.57267361111</v>
      </c>
      <c r="AP28" s="104">
        <v>46283.948750000003</v>
      </c>
      <c r="AQ28" s="104">
        <v>46284.34951388889</v>
      </c>
      <c r="AR28" s="104">
        <v>0</v>
      </c>
      <c r="AS28" s="104">
        <v>46285.349861111114</v>
      </c>
      <c r="AT28" s="104">
        <v>0</v>
      </c>
      <c r="AU28" s="104">
        <v>46286.346956018519</v>
      </c>
      <c r="AV28" s="104">
        <v>46286.950115740743</v>
      </c>
      <c r="AW28" s="104">
        <v>46287.342893518522</v>
      </c>
      <c r="AX28" s="104">
        <v>46287.950682870367</v>
      </c>
      <c r="AY28" s="104">
        <v>46288.376944444448</v>
      </c>
      <c r="AZ28" s="104">
        <v>46288.952430555553</v>
      </c>
      <c r="BA28" s="104">
        <v>46289.353495370371</v>
      </c>
      <c r="BB28" s="104">
        <v>46289.970879629633</v>
      </c>
      <c r="BC28" s="104">
        <v>46290.582951388889</v>
      </c>
      <c r="BD28" s="104">
        <v>46290.951736111114</v>
      </c>
      <c r="BE28" s="104">
        <v>46291.353773148148</v>
      </c>
      <c r="BF28" s="104">
        <v>46291.970243055555</v>
      </c>
      <c r="BG28" s="104">
        <v>46292.34820601852</v>
      </c>
      <c r="BH28" s="104">
        <v>0</v>
      </c>
      <c r="BI28" s="104">
        <v>46293.349108796298</v>
      </c>
      <c r="BJ28" s="104">
        <v>46293.948981481481</v>
      </c>
      <c r="BK28" s="104">
        <v>46294.347928240742</v>
      </c>
      <c r="BL28" s="104">
        <v>0</v>
      </c>
      <c r="BM28" s="104">
        <v>46295.350393518522</v>
      </c>
      <c r="BN28" s="104">
        <v>46295.945833333331</v>
      </c>
      <c r="BO28" s="65"/>
      <c r="BP28" s="65"/>
      <c r="BQ28" s="13">
        <f>BS28+BT28+BU28+BV28+CA28+BY28+BZ28+CD28</f>
        <v>30</v>
      </c>
      <c r="BR28" s="47">
        <v>3</v>
      </c>
      <c r="BS28" s="14">
        <f t="shared" si="16"/>
        <v>28</v>
      </c>
      <c r="BT28" s="15">
        <f>COUNTIF(B28:BJ28,"OFF")/2</f>
        <v>1</v>
      </c>
      <c r="BU28" s="15">
        <f>COUNTIF(B28:BJ28,"MC")/2</f>
        <v>0</v>
      </c>
      <c r="BV28" s="15">
        <f>COUNTIF(B28:BJ28,"EL")/2</f>
        <v>0</v>
      </c>
      <c r="BW28" s="15">
        <f>COUNTIF(B28:BJ28,"AL")/2</f>
        <v>0</v>
      </c>
      <c r="BX28" s="15">
        <f>COUNTIF(B28:BJ28,"SUS")/2</f>
        <v>0</v>
      </c>
      <c r="BY28" s="15">
        <f>COUNTIF(B28:BJ28,"FL")/2</f>
        <v>0</v>
      </c>
      <c r="BZ28" s="15">
        <f>COUNTIF(B28:BJ28,"SICK")/2</f>
        <v>1</v>
      </c>
      <c r="CA28" s="15">
        <f>COUNTIF(B28:BN28,"HD")/2</f>
        <v>0</v>
      </c>
      <c r="CB28" s="15">
        <f>COUNTIF(B28:BJ28,"AB")/2</f>
        <v>0</v>
      </c>
      <c r="CC28" s="15">
        <f>COUNTIF(B28:BJ28,"NL")/2</f>
        <v>0</v>
      </c>
      <c r="CD28" s="15">
        <f>COUNTIF(B28:BJ28,"SP")/2</f>
        <v>0</v>
      </c>
      <c r="CE28" s="16"/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4</v>
      </c>
      <c r="CN28" s="55">
        <v>1</v>
      </c>
      <c r="CO28" s="55">
        <v>5</v>
      </c>
      <c r="CP28" s="55">
        <v>0</v>
      </c>
      <c r="CQ28" s="55">
        <v>0</v>
      </c>
      <c r="CR28" s="56">
        <f t="shared" si="14"/>
        <v>10</v>
      </c>
    </row>
    <row r="29" spans="1:96" s="141" customFormat="1" ht="21" customHeight="1" x14ac:dyDescent="0.25">
      <c r="A29" s="96">
        <v>12</v>
      </c>
      <c r="B29" s="96" t="s">
        <v>116</v>
      </c>
      <c r="C29" s="138" t="s">
        <v>117</v>
      </c>
      <c r="D29" s="66">
        <v>46228</v>
      </c>
      <c r="E29" s="104">
        <v>0</v>
      </c>
      <c r="F29" s="104">
        <v>46266.950497685182</v>
      </c>
      <c r="G29" s="104">
        <v>46267.3515162037</v>
      </c>
      <c r="H29" s="104">
        <v>46267.955983796295</v>
      </c>
      <c r="I29" s="104">
        <v>46268.354594907411</v>
      </c>
      <c r="J29" s="104">
        <v>46268.986250000002</v>
      </c>
      <c r="K29" s="161" t="s">
        <v>15</v>
      </c>
      <c r="L29" s="161" t="s">
        <v>15</v>
      </c>
      <c r="M29" s="104">
        <v>46270.35083333333</v>
      </c>
      <c r="N29" s="104">
        <v>46270.966631944444</v>
      </c>
      <c r="O29" s="104">
        <v>46271.352986111109</v>
      </c>
      <c r="P29" s="104">
        <v>46271.945092592592</v>
      </c>
      <c r="Q29" s="104">
        <v>46272.352453703701</v>
      </c>
      <c r="R29" s="104">
        <v>46272.94730324074</v>
      </c>
      <c r="S29" s="104">
        <v>46273.352592592593</v>
      </c>
      <c r="T29" s="104">
        <v>46273.94872685185</v>
      </c>
      <c r="U29" s="104">
        <v>46274.352789351855</v>
      </c>
      <c r="V29" s="104">
        <v>46274.947048611109</v>
      </c>
      <c r="W29" s="104">
        <v>46275.353252314817</v>
      </c>
      <c r="X29" s="104">
        <v>46275.967662037037</v>
      </c>
      <c r="Y29" s="104">
        <v>46276.577870370369</v>
      </c>
      <c r="Z29" s="104">
        <v>46276.94976851852</v>
      </c>
      <c r="AA29" s="104">
        <v>46277.356099537035</v>
      </c>
      <c r="AB29" s="104">
        <v>46277.961747685185</v>
      </c>
      <c r="AC29" s="104">
        <v>46278.353703703702</v>
      </c>
      <c r="AD29" s="104">
        <v>46278.947164351855</v>
      </c>
      <c r="AE29" s="104">
        <v>46279.351875</v>
      </c>
      <c r="AF29" s="104">
        <v>46279.947905092595</v>
      </c>
      <c r="AG29" s="104">
        <v>46280.351365740738</v>
      </c>
      <c r="AH29" s="104">
        <v>46280.947175925925</v>
      </c>
      <c r="AI29" s="139"/>
      <c r="AJ29" s="95">
        <v>12</v>
      </c>
      <c r="AK29" s="104">
        <v>46281.352638888886</v>
      </c>
      <c r="AL29" s="104">
        <v>0</v>
      </c>
      <c r="AM29" s="104">
        <v>46282.353171296294</v>
      </c>
      <c r="AN29" s="104">
        <v>46282.977881944447</v>
      </c>
      <c r="AO29" s="137" t="s">
        <v>15</v>
      </c>
      <c r="AP29" s="137" t="s">
        <v>15</v>
      </c>
      <c r="AQ29" s="104">
        <v>46284.353217592594</v>
      </c>
      <c r="AR29" s="104">
        <v>46284.968368055554</v>
      </c>
      <c r="AS29" s="104">
        <v>46285.353738425925</v>
      </c>
      <c r="AT29" s="104">
        <v>46285.948807870373</v>
      </c>
      <c r="AU29" s="104">
        <v>46286.351180555554</v>
      </c>
      <c r="AV29" s="104">
        <v>46286.945914351854</v>
      </c>
      <c r="AW29" s="104">
        <v>46287.352337962962</v>
      </c>
      <c r="AX29" s="104">
        <v>46287.944826388892</v>
      </c>
      <c r="AY29" s="104">
        <v>46288.351261574076</v>
      </c>
      <c r="AZ29" s="104">
        <v>46288.946469907409</v>
      </c>
      <c r="BA29" s="104">
        <v>46289.352523148147</v>
      </c>
      <c r="BB29" s="104">
        <v>46289.970520833333</v>
      </c>
      <c r="BC29" s="104">
        <v>46290.577905092592</v>
      </c>
      <c r="BD29" s="104">
        <v>46290.944918981484</v>
      </c>
      <c r="BE29" s="104">
        <v>46291.3518287037</v>
      </c>
      <c r="BF29" s="129">
        <v>46291.971168981479</v>
      </c>
      <c r="BG29" s="129">
        <v>46292.353819444441</v>
      </c>
      <c r="BH29" s="129">
        <v>46292.946666666663</v>
      </c>
      <c r="BI29" s="129">
        <v>46293.353055555555</v>
      </c>
      <c r="BJ29" s="129">
        <v>46293.948379629626</v>
      </c>
      <c r="BK29" s="129">
        <v>46294.353182870371</v>
      </c>
      <c r="BL29" s="129">
        <v>46294.948275462964</v>
      </c>
      <c r="BM29" s="129">
        <v>46295.352534722224</v>
      </c>
      <c r="BN29" s="129">
        <v>46295.931655092594</v>
      </c>
      <c r="BO29" s="104"/>
      <c r="BP29" s="104"/>
      <c r="BQ29" s="140">
        <f t="shared" ref="BQ29" si="17">BS29+BT29+BV29+CA29+BY29+BZ29+CD29+BU29</f>
        <v>30</v>
      </c>
      <c r="BR29" s="99">
        <v>2</v>
      </c>
      <c r="BS29" s="14">
        <f t="shared" si="16"/>
        <v>28</v>
      </c>
      <c r="BT29" s="2">
        <f t="shared" ref="BT29" si="18">COUNTIF(E29:BN29,"OFF")/2</f>
        <v>2</v>
      </c>
      <c r="BU29" s="2">
        <f t="shared" ref="BU29" si="19">COUNTIF(E29:BN29,"MC")/2</f>
        <v>0</v>
      </c>
      <c r="BV29" s="2">
        <f t="shared" ref="BV29" si="20">COUNTIF(E29:BN29,"EL")/2</f>
        <v>0</v>
      </c>
      <c r="BW29" s="2">
        <f t="shared" ref="BW29" si="21">COUNTIF(E29:BN29,"AL")/2</f>
        <v>0</v>
      </c>
      <c r="BX29" s="2">
        <f t="shared" ref="BX29" si="22">COUNTIF(E29:BN29,"SUS")/2</f>
        <v>0</v>
      </c>
      <c r="BY29" s="2">
        <f t="shared" ref="BY29" si="23">COUNTIF(E29:BN29,"FL")/2</f>
        <v>0</v>
      </c>
      <c r="BZ29" s="2">
        <f t="shared" ref="BZ29" si="24">COUNTIF(E29:BN29,"SICK")/2</f>
        <v>0</v>
      </c>
      <c r="CA29" s="2">
        <f t="shared" ref="CA29" si="25">COUNTIF(E29:BN29,"HD")/2</f>
        <v>0</v>
      </c>
      <c r="CB29" s="2">
        <f t="shared" ref="CB29" si="26">COUNTIF(E29:BN29,"AB")/2</f>
        <v>0</v>
      </c>
      <c r="CC29" s="2">
        <f t="shared" ref="CC29" si="27">COUNTIF(E29:BN29,"NL")/2</f>
        <v>0</v>
      </c>
      <c r="CD29" s="2">
        <f t="shared" ref="CD29" si="28">COUNTIF(E29:BN29,"SP")/2</f>
        <v>0</v>
      </c>
      <c r="CE29" s="3"/>
    </row>
    <row r="30" spans="1:96" ht="22.5" customHeight="1" x14ac:dyDescent="0.25">
      <c r="A30" s="96">
        <v>13</v>
      </c>
      <c r="B30" s="8" t="s">
        <v>40</v>
      </c>
      <c r="C30" s="91" t="s">
        <v>41</v>
      </c>
      <c r="D30" s="92">
        <v>45382</v>
      </c>
      <c r="E30" s="126" t="s">
        <v>18</v>
      </c>
      <c r="F30" s="126" t="s">
        <v>18</v>
      </c>
      <c r="G30" s="126" t="s">
        <v>18</v>
      </c>
      <c r="H30" s="126" t="s">
        <v>18</v>
      </c>
      <c r="I30" s="126" t="s">
        <v>18</v>
      </c>
      <c r="J30" s="126" t="s">
        <v>18</v>
      </c>
      <c r="K30" s="126" t="s">
        <v>18</v>
      </c>
      <c r="L30" s="126" t="s">
        <v>18</v>
      </c>
      <c r="M30" s="126" t="s">
        <v>18</v>
      </c>
      <c r="N30" s="126" t="s">
        <v>18</v>
      </c>
      <c r="O30" s="126" t="s">
        <v>18</v>
      </c>
      <c r="P30" s="126" t="s">
        <v>18</v>
      </c>
      <c r="Q30" s="126" t="s">
        <v>18</v>
      </c>
      <c r="R30" s="126" t="s">
        <v>18</v>
      </c>
      <c r="S30" s="126" t="s">
        <v>18</v>
      </c>
      <c r="T30" s="126" t="s">
        <v>18</v>
      </c>
      <c r="U30" s="126" t="s">
        <v>18</v>
      </c>
      <c r="V30" s="126" t="s">
        <v>18</v>
      </c>
      <c r="W30" s="126" t="s">
        <v>18</v>
      </c>
      <c r="X30" s="126" t="s">
        <v>18</v>
      </c>
      <c r="Y30" s="126" t="s">
        <v>18</v>
      </c>
      <c r="Z30" s="126" t="s">
        <v>18</v>
      </c>
      <c r="AA30" s="126" t="s">
        <v>18</v>
      </c>
      <c r="AB30" s="126" t="s">
        <v>18</v>
      </c>
      <c r="AC30" s="126" t="s">
        <v>18</v>
      </c>
      <c r="AD30" s="126" t="s">
        <v>18</v>
      </c>
      <c r="AE30" s="126" t="s">
        <v>18</v>
      </c>
      <c r="AF30" s="126" t="s">
        <v>18</v>
      </c>
      <c r="AG30" s="126" t="s">
        <v>18</v>
      </c>
      <c r="AH30" s="126" t="s">
        <v>18</v>
      </c>
      <c r="AI30" s="84"/>
      <c r="AJ30" s="95">
        <v>13</v>
      </c>
      <c r="AK30" s="127">
        <v>0.34513888888888888</v>
      </c>
      <c r="AL30" s="127">
        <v>46281.952164351853</v>
      </c>
      <c r="AM30" s="127">
        <v>0.34375</v>
      </c>
      <c r="AN30" s="127">
        <v>0</v>
      </c>
      <c r="AO30" s="127">
        <v>7.2222222222222229E-2</v>
      </c>
      <c r="AP30" s="127">
        <v>46283.968854166669</v>
      </c>
      <c r="AQ30" s="127">
        <v>0.34861111111111115</v>
      </c>
      <c r="AR30" s="127">
        <v>46284.98777777778</v>
      </c>
      <c r="AS30" s="127">
        <v>0.35416666666666669</v>
      </c>
      <c r="AT30" s="127">
        <v>46285.977060185185</v>
      </c>
      <c r="AU30" s="127">
        <v>0.34652777777777777</v>
      </c>
      <c r="AV30" s="127">
        <v>46286.965868055559</v>
      </c>
      <c r="AW30" s="127">
        <v>0.33958333333333335</v>
      </c>
      <c r="AX30" s="127">
        <v>46287.972199074073</v>
      </c>
      <c r="AY30" s="127">
        <v>0.34652777777777777</v>
      </c>
      <c r="AZ30" s="127">
        <v>46288.966099537036</v>
      </c>
      <c r="BA30" s="127">
        <v>0.34652777777777777</v>
      </c>
      <c r="BB30" s="127">
        <v>46289.99962962963</v>
      </c>
      <c r="BC30" s="104">
        <v>46290.57849537037</v>
      </c>
      <c r="BD30" s="104">
        <v>0</v>
      </c>
      <c r="BE30" s="104">
        <v>46291.346435185187</v>
      </c>
      <c r="BF30" s="104">
        <v>0</v>
      </c>
      <c r="BG30" s="104">
        <v>46292.347048611111</v>
      </c>
      <c r="BH30" s="104">
        <v>0</v>
      </c>
      <c r="BI30" s="104">
        <v>46293.347256944442</v>
      </c>
      <c r="BJ30" s="104">
        <v>0</v>
      </c>
      <c r="BK30" s="104">
        <v>46294.347129629627</v>
      </c>
      <c r="BL30" s="104">
        <v>0</v>
      </c>
      <c r="BM30" s="104">
        <v>46295.347905092596</v>
      </c>
      <c r="BN30" s="104">
        <v>46295.863449074073</v>
      </c>
      <c r="BO30" s="65"/>
      <c r="BP30" s="65"/>
      <c r="BQ30" s="13">
        <f>BS30+BT30+BU30+BV30+CA30+BY30+BZ30+CD30</f>
        <v>15</v>
      </c>
      <c r="BR30" s="47">
        <v>2</v>
      </c>
      <c r="BS30" s="14">
        <f t="shared" si="16"/>
        <v>15</v>
      </c>
      <c r="BT30" s="15">
        <f>COUNTIF(B30:BJ30,"OFF")/2</f>
        <v>0</v>
      </c>
      <c r="BU30" s="15">
        <f>COUNTIF(B30:BJ30,"MC")/2</f>
        <v>0</v>
      </c>
      <c r="BV30" s="15">
        <f>COUNTIF(B30:BJ30,"EL")/2</f>
        <v>0</v>
      </c>
      <c r="BW30" s="15">
        <f>COUNTIF(B30:BJ30,"AL")/2</f>
        <v>15</v>
      </c>
      <c r="BX30" s="15">
        <f>COUNTIF(B30:BJ30,"SUS")/2</f>
        <v>0</v>
      </c>
      <c r="BY30" s="15">
        <f>COUNTIF(B30:BJ30,"FL")/2</f>
        <v>0</v>
      </c>
      <c r="BZ30" s="15">
        <f>COUNTIF(B30:BJ30,"SICK")/2</f>
        <v>0</v>
      </c>
      <c r="CA30" s="15">
        <f>COUNTIF(B30:BN30,"HD")/2</f>
        <v>0</v>
      </c>
      <c r="CB30" s="15">
        <f>COUNTIF(B30:BJ30,"AB")/2</f>
        <v>0</v>
      </c>
      <c r="CC30" s="15">
        <f>COUNTIF(B30:BJ30,"NL")/2</f>
        <v>0</v>
      </c>
      <c r="CD30" s="15">
        <f>COUNTIF(B30:BJ30,"SP")/2</f>
        <v>0</v>
      </c>
      <c r="CE30" s="16"/>
      <c r="CH30" s="53">
        <v>0</v>
      </c>
      <c r="CI30" s="53">
        <v>0</v>
      </c>
      <c r="CJ30" s="53">
        <v>0</v>
      </c>
      <c r="CK30" s="53">
        <v>0</v>
      </c>
      <c r="CL30" s="53">
        <v>0</v>
      </c>
      <c r="CM30" s="52">
        <v>3</v>
      </c>
      <c r="CN30" s="53">
        <v>0</v>
      </c>
      <c r="CO30" s="53">
        <v>0</v>
      </c>
      <c r="CP30" s="53">
        <v>0</v>
      </c>
      <c r="CQ30" s="53">
        <v>0</v>
      </c>
      <c r="CR30" s="57">
        <f>SUM(CH30:CQ30)</f>
        <v>3</v>
      </c>
    </row>
    <row r="31" spans="1:96" ht="22.5" customHeight="1" x14ac:dyDescent="0.25">
      <c r="A31" s="96">
        <v>14</v>
      </c>
      <c r="B31" s="8" t="s">
        <v>42</v>
      </c>
      <c r="C31" s="91" t="s">
        <v>43</v>
      </c>
      <c r="D31" s="92">
        <v>45406</v>
      </c>
      <c r="E31" s="134" t="s">
        <v>96</v>
      </c>
      <c r="F31" s="134" t="s">
        <v>96</v>
      </c>
      <c r="G31" s="104">
        <v>46267.349085648151</v>
      </c>
      <c r="H31" s="104">
        <v>46267.940636574072</v>
      </c>
      <c r="I31" s="104">
        <v>46268.344409722224</v>
      </c>
      <c r="J31" s="104">
        <v>46268.961145833331</v>
      </c>
      <c r="K31" s="161" t="s">
        <v>15</v>
      </c>
      <c r="L31" s="161" t="s">
        <v>15</v>
      </c>
      <c r="M31" s="104">
        <v>46270.34847222222</v>
      </c>
      <c r="N31" s="104">
        <v>46270.959398148145</v>
      </c>
      <c r="O31" s="104">
        <v>46271.348229166666</v>
      </c>
      <c r="P31" s="104">
        <v>46271.946909722225</v>
      </c>
      <c r="Q31" s="104">
        <v>46272.349097222221</v>
      </c>
      <c r="R31" s="104">
        <v>46272.942152777781</v>
      </c>
      <c r="S31" s="104">
        <v>46273.345300925925</v>
      </c>
      <c r="T31" s="104">
        <v>46273.945868055554</v>
      </c>
      <c r="U31" s="104">
        <v>46274.346296296295</v>
      </c>
      <c r="V31" s="104">
        <v>46274.952372685184</v>
      </c>
      <c r="W31" s="104">
        <v>46275.349930555552</v>
      </c>
      <c r="X31" s="104">
        <v>46275.970578703702</v>
      </c>
      <c r="Y31" s="104">
        <v>46276.580578703702</v>
      </c>
      <c r="Z31" s="104">
        <v>46276.937650462962</v>
      </c>
      <c r="AA31" s="104">
        <v>46277.347557870373</v>
      </c>
      <c r="AB31" s="104">
        <v>46277.961446759262</v>
      </c>
      <c r="AC31" s="104">
        <v>46278.348425925928</v>
      </c>
      <c r="AD31" s="104">
        <v>46278.945162037038</v>
      </c>
      <c r="AE31" s="104">
        <v>46279.347581018519</v>
      </c>
      <c r="AF31" s="104">
        <v>46279.942349537036</v>
      </c>
      <c r="AG31" s="104">
        <v>46280.348900462966</v>
      </c>
      <c r="AH31" s="104">
        <v>46280.938263888886</v>
      </c>
      <c r="AI31" s="90"/>
      <c r="AJ31" s="95">
        <v>14</v>
      </c>
      <c r="AK31" s="104">
        <v>46281.348379629628</v>
      </c>
      <c r="AL31" s="104">
        <v>46281.944456018522</v>
      </c>
      <c r="AM31" s="104">
        <v>46282.346747685187</v>
      </c>
      <c r="AN31" s="104">
        <v>46282.965081018519</v>
      </c>
      <c r="AO31" s="137" t="s">
        <v>15</v>
      </c>
      <c r="AP31" s="137" t="s">
        <v>15</v>
      </c>
      <c r="AQ31" s="104">
        <v>46284.348668981482</v>
      </c>
      <c r="AR31" s="104">
        <v>46284.955185185187</v>
      </c>
      <c r="AS31" s="104">
        <v>46285.347245370373</v>
      </c>
      <c r="AT31" s="104">
        <v>46285.940925925926</v>
      </c>
      <c r="AU31" s="104">
        <v>46286.348807870374</v>
      </c>
      <c r="AV31" s="104">
        <v>46286.949108796296</v>
      </c>
      <c r="AW31" s="104">
        <v>46287.347083333334</v>
      </c>
      <c r="AX31" s="104">
        <v>46287.941817129627</v>
      </c>
      <c r="AY31" s="104">
        <v>46288.349976851852</v>
      </c>
      <c r="AZ31" s="104">
        <v>46288.947291666664</v>
      </c>
      <c r="BA31" s="104">
        <v>46289.347800925927</v>
      </c>
      <c r="BB31" s="104">
        <v>46289.967013888891</v>
      </c>
      <c r="BC31" s="104">
        <v>46290.58021990741</v>
      </c>
      <c r="BD31" s="104">
        <v>0</v>
      </c>
      <c r="BE31" s="104">
        <v>46291.347222222219</v>
      </c>
      <c r="BF31" s="104">
        <v>46291.958333333336</v>
      </c>
      <c r="BG31" s="104">
        <v>46292.347141203703</v>
      </c>
      <c r="BH31" s="104">
        <v>0</v>
      </c>
      <c r="BI31" s="104">
        <v>46293.350185185183</v>
      </c>
      <c r="BJ31" s="104">
        <v>46293.937719907408</v>
      </c>
      <c r="BK31" s="104">
        <v>46294.346782407411</v>
      </c>
      <c r="BL31" s="104">
        <v>46294.943784722222</v>
      </c>
      <c r="BM31" s="104">
        <v>46295.346805555557</v>
      </c>
      <c r="BN31" s="104">
        <v>46295.937395833331</v>
      </c>
      <c r="BO31" s="65"/>
      <c r="BP31" s="65"/>
      <c r="BQ31" s="13">
        <f t="shared" si="15"/>
        <v>30</v>
      </c>
      <c r="BR31" s="47">
        <v>2</v>
      </c>
      <c r="BS31" s="14">
        <f t="shared" si="16"/>
        <v>27</v>
      </c>
      <c r="BT31" s="15">
        <f>COUNTIF(B31:BJ31,"OFF")/2</f>
        <v>2</v>
      </c>
      <c r="BU31" s="15">
        <f>COUNTIF(B31:BJ31,"MC")/2</f>
        <v>0</v>
      </c>
      <c r="BV31" s="15">
        <f>COUNTIF(B31:BJ31,"EL")/2</f>
        <v>0</v>
      </c>
      <c r="BW31" s="15">
        <f>COUNTIF(B31:BJ31,"AL")/2</f>
        <v>0</v>
      </c>
      <c r="BX31" s="15">
        <f>COUNTIF(B31:BJ31,"SUS")/2</f>
        <v>0</v>
      </c>
      <c r="BY31" s="15">
        <f>COUNTIF(B31:BJ31,"FL")/2</f>
        <v>0</v>
      </c>
      <c r="BZ31" s="15">
        <f>COUNTIF(B31:BJ31,"SICK")/2</f>
        <v>1</v>
      </c>
      <c r="CA31" s="15">
        <f>COUNTIF(B31:BJ31,"HD")/2</f>
        <v>0</v>
      </c>
      <c r="CB31" s="15">
        <f>COUNTIF(B31:BJ31,"AB")/2</f>
        <v>0</v>
      </c>
      <c r="CC31" s="15">
        <f>COUNTIF(B31:BJ31,"NL")/2</f>
        <v>0</v>
      </c>
      <c r="CD31" s="15">
        <f>COUNTIF(B31:BJ31,"SP")/2</f>
        <v>0</v>
      </c>
      <c r="CE31" s="16"/>
      <c r="CH31" s="54">
        <v>0</v>
      </c>
      <c r="CI31" s="54">
        <v>0</v>
      </c>
      <c r="CJ31" s="54">
        <v>0</v>
      </c>
      <c r="CK31" s="54">
        <v>0</v>
      </c>
      <c r="CL31" s="54">
        <v>0</v>
      </c>
      <c r="CM31" s="54">
        <v>7</v>
      </c>
      <c r="CN31" s="55">
        <v>0</v>
      </c>
      <c r="CO31" s="55">
        <v>0</v>
      </c>
      <c r="CP31" s="55">
        <v>0</v>
      </c>
      <c r="CQ31" s="55">
        <v>0</v>
      </c>
      <c r="CR31" s="56">
        <f t="shared" si="14"/>
        <v>7</v>
      </c>
    </row>
    <row r="32" spans="1:96" ht="22.5" customHeight="1" x14ac:dyDescent="0.25">
      <c r="A32" s="96">
        <v>15</v>
      </c>
      <c r="B32" s="8" t="s">
        <v>44</v>
      </c>
      <c r="C32" s="91" t="s">
        <v>101</v>
      </c>
      <c r="D32" s="92">
        <v>45387</v>
      </c>
      <c r="E32" s="126" t="s">
        <v>18</v>
      </c>
      <c r="F32" s="126" t="s">
        <v>18</v>
      </c>
      <c r="G32" s="126" t="s">
        <v>18</v>
      </c>
      <c r="H32" s="126" t="s">
        <v>18</v>
      </c>
      <c r="I32" s="126" t="s">
        <v>18</v>
      </c>
      <c r="J32" s="126" t="s">
        <v>18</v>
      </c>
      <c r="K32" s="126" t="s">
        <v>18</v>
      </c>
      <c r="L32" s="126" t="s">
        <v>18</v>
      </c>
      <c r="M32" s="126" t="s">
        <v>18</v>
      </c>
      <c r="N32" s="126" t="s">
        <v>18</v>
      </c>
      <c r="O32" s="126" t="s">
        <v>18</v>
      </c>
      <c r="P32" s="126" t="s">
        <v>18</v>
      </c>
      <c r="Q32" s="126" t="s">
        <v>18</v>
      </c>
      <c r="R32" s="126" t="s">
        <v>18</v>
      </c>
      <c r="S32" s="126" t="s">
        <v>18</v>
      </c>
      <c r="T32" s="126" t="s">
        <v>18</v>
      </c>
      <c r="U32" s="126" t="s">
        <v>18</v>
      </c>
      <c r="V32" s="126" t="s">
        <v>18</v>
      </c>
      <c r="W32" s="126" t="s">
        <v>18</v>
      </c>
      <c r="X32" s="126" t="s">
        <v>18</v>
      </c>
      <c r="Y32" s="126" t="s">
        <v>18</v>
      </c>
      <c r="Z32" s="126" t="s">
        <v>18</v>
      </c>
      <c r="AA32" s="126" t="s">
        <v>18</v>
      </c>
      <c r="AB32" s="126" t="s">
        <v>18</v>
      </c>
      <c r="AC32" s="126" t="s">
        <v>18</v>
      </c>
      <c r="AD32" s="126" t="s">
        <v>18</v>
      </c>
      <c r="AE32" s="126" t="s">
        <v>18</v>
      </c>
      <c r="AF32" s="126" t="s">
        <v>18</v>
      </c>
      <c r="AG32" s="126" t="s">
        <v>18</v>
      </c>
      <c r="AH32" s="126" t="s">
        <v>18</v>
      </c>
      <c r="AI32" s="90"/>
      <c r="AJ32" s="95">
        <v>15</v>
      </c>
      <c r="AK32" s="104">
        <v>0</v>
      </c>
      <c r="AL32" s="104">
        <v>46281.952164351853</v>
      </c>
      <c r="AM32" s="104">
        <v>0</v>
      </c>
      <c r="AN32" s="104">
        <v>0</v>
      </c>
      <c r="AO32" s="104">
        <v>0</v>
      </c>
      <c r="AP32" s="104">
        <v>46283.968854166669</v>
      </c>
      <c r="AQ32" s="104">
        <v>0</v>
      </c>
      <c r="AR32" s="104">
        <v>46284.98777777778</v>
      </c>
      <c r="AS32" s="104">
        <v>0</v>
      </c>
      <c r="AT32" s="104">
        <v>46285.977060185185</v>
      </c>
      <c r="AU32" s="104">
        <v>0</v>
      </c>
      <c r="AV32" s="104">
        <v>46286.965868055559</v>
      </c>
      <c r="AW32" s="104">
        <v>0</v>
      </c>
      <c r="AX32" s="104">
        <v>46287.972199074073</v>
      </c>
      <c r="AY32" s="104">
        <v>0</v>
      </c>
      <c r="AZ32" s="104">
        <v>46288.966099537036</v>
      </c>
      <c r="BA32" s="104">
        <v>0</v>
      </c>
      <c r="BB32" s="104">
        <v>46289.99962962963</v>
      </c>
      <c r="BC32" s="137" t="s">
        <v>15</v>
      </c>
      <c r="BD32" s="137" t="s">
        <v>15</v>
      </c>
      <c r="BE32" s="104">
        <v>46291.35423611111</v>
      </c>
      <c r="BF32" s="104">
        <v>46291.977754629632</v>
      </c>
      <c r="BG32" s="104">
        <v>46292.354432870372</v>
      </c>
      <c r="BH32" s="104">
        <v>46292.98133101852</v>
      </c>
      <c r="BI32" s="104">
        <v>46293.354537037034</v>
      </c>
      <c r="BJ32" s="104">
        <v>46293.966504629629</v>
      </c>
      <c r="BK32" s="104">
        <v>46294.355775462966</v>
      </c>
      <c r="BL32" s="104">
        <v>46294.97519675926</v>
      </c>
      <c r="BM32" s="104">
        <v>46295.354861111111</v>
      </c>
      <c r="BN32" s="104">
        <v>46295.953217592592</v>
      </c>
      <c r="BO32" s="65"/>
      <c r="BP32" s="65"/>
      <c r="BQ32" s="13">
        <f>BS32+BT32+BU32+BV32+CA32+BY32+BZ32+CD32</f>
        <v>15</v>
      </c>
      <c r="BR32" s="47">
        <v>1</v>
      </c>
      <c r="BS32" s="14">
        <f t="shared" si="16"/>
        <v>14</v>
      </c>
      <c r="BT32" s="15">
        <f>COUNTIF(B32:BJ32,"OFF")/2</f>
        <v>1</v>
      </c>
      <c r="BU32" s="15">
        <f>COUNTIF(B32:BJ32,"MC")/2</f>
        <v>0</v>
      </c>
      <c r="BV32" s="15">
        <f>COUNTIF(B32:BJ32,"EL")/2</f>
        <v>0</v>
      </c>
      <c r="BW32" s="15">
        <f>COUNTIF(B32:BJ32,"AL")/2</f>
        <v>15</v>
      </c>
      <c r="BX32" s="15">
        <f>COUNTIF(B32:BJ32,"SUS")/2</f>
        <v>0</v>
      </c>
      <c r="BY32" s="15">
        <f>COUNTIF(B32:BJ32,"FL")/2</f>
        <v>0</v>
      </c>
      <c r="BZ32" s="15">
        <f>COUNTIF(B32:BJ32,"SICK")/2</f>
        <v>0</v>
      </c>
      <c r="CA32" s="15">
        <f>COUNTIF(B32:BJ32,"HD")/2</f>
        <v>0</v>
      </c>
      <c r="CB32" s="15">
        <f>COUNTIF(B32:BJ32,"AB")/2</f>
        <v>0</v>
      </c>
      <c r="CC32" s="15">
        <f>COUNTIF(B32:BJ32,"NL")/2</f>
        <v>0</v>
      </c>
      <c r="CD32" s="15">
        <f>COUNTIF(B32:BJ32,"SP")/2</f>
        <v>0</v>
      </c>
      <c r="CE32" s="16"/>
      <c r="CH32" s="53">
        <v>0</v>
      </c>
      <c r="CI32" s="53">
        <v>0</v>
      </c>
      <c r="CJ32" s="53">
        <v>0</v>
      </c>
      <c r="CK32" s="53">
        <v>0</v>
      </c>
      <c r="CL32" s="53">
        <v>0</v>
      </c>
      <c r="CM32" s="53">
        <v>0</v>
      </c>
      <c r="CN32" s="53">
        <v>0</v>
      </c>
      <c r="CO32" s="53">
        <v>0</v>
      </c>
      <c r="CP32" s="53">
        <v>0</v>
      </c>
      <c r="CQ32" s="53">
        <v>0</v>
      </c>
      <c r="CR32" s="57">
        <f>SUM(CH32:CQ32)</f>
        <v>0</v>
      </c>
    </row>
    <row r="33" spans="1:96" ht="22.5" customHeight="1" x14ac:dyDescent="0.25">
      <c r="A33" s="96">
        <v>16</v>
      </c>
      <c r="B33" s="8" t="s">
        <v>45</v>
      </c>
      <c r="C33" s="91" t="s">
        <v>46</v>
      </c>
      <c r="D33" s="92">
        <v>45498</v>
      </c>
      <c r="E33" s="104">
        <v>46266.348449074074</v>
      </c>
      <c r="F33" s="104">
        <v>46264.938842592594</v>
      </c>
      <c r="G33" s="104">
        <v>46267.354259259257</v>
      </c>
      <c r="H33" s="104">
        <v>46267.94263888889</v>
      </c>
      <c r="I33" s="104">
        <v>46268.349768518521</v>
      </c>
      <c r="J33" s="104">
        <v>46268.961643518516</v>
      </c>
      <c r="K33" s="104">
        <v>46269.579479166663</v>
      </c>
      <c r="L33" s="104">
        <v>0</v>
      </c>
      <c r="M33" s="104">
        <v>46270.347812499997</v>
      </c>
      <c r="N33" s="104">
        <v>46270.963356481479</v>
      </c>
      <c r="O33" s="104">
        <v>46271.350289351853</v>
      </c>
      <c r="P33" s="104">
        <v>46271.949155092596</v>
      </c>
      <c r="Q33" s="104">
        <v>46272.349953703706</v>
      </c>
      <c r="R33" s="104">
        <v>46272.944131944445</v>
      </c>
      <c r="S33" s="104">
        <v>46273.349872685183</v>
      </c>
      <c r="T33" s="104">
        <v>46273.946701388886</v>
      </c>
      <c r="U33" s="104">
        <v>46274.349918981483</v>
      </c>
      <c r="V33" s="104">
        <v>0</v>
      </c>
      <c r="W33" s="104">
        <v>46275.35056712963</v>
      </c>
      <c r="X33" s="104">
        <v>46275.968449074076</v>
      </c>
      <c r="Y33" s="161" t="s">
        <v>15</v>
      </c>
      <c r="Z33" s="161" t="s">
        <v>15</v>
      </c>
      <c r="AA33" s="104">
        <v>46277.353449074071</v>
      </c>
      <c r="AB33" s="104">
        <v>46277.962881944448</v>
      </c>
      <c r="AC33" s="104">
        <v>46278.351793981485</v>
      </c>
      <c r="AD33" s="104">
        <v>46278.944907407407</v>
      </c>
      <c r="AE33" s="104">
        <v>46279.355497685188</v>
      </c>
      <c r="AF33" s="104">
        <v>46279.944039351853</v>
      </c>
      <c r="AG33" s="104">
        <v>46280.352233796293</v>
      </c>
      <c r="AH33" s="104">
        <v>46280.944386574076</v>
      </c>
      <c r="AI33" s="90"/>
      <c r="AJ33" s="95">
        <v>16</v>
      </c>
      <c r="AK33" s="104">
        <v>46281.347013888888</v>
      </c>
      <c r="AL33" s="104">
        <v>46281.945486111108</v>
      </c>
      <c r="AM33" s="104">
        <v>46282.349803240744</v>
      </c>
      <c r="AN33" s="104">
        <v>46282.96702546296</v>
      </c>
      <c r="AO33" s="104">
        <v>46283.572858796295</v>
      </c>
      <c r="AP33" s="104">
        <v>46283.949270833335</v>
      </c>
      <c r="AQ33" s="104">
        <v>46284.350185185183</v>
      </c>
      <c r="AR33" s="104">
        <v>46284.961458333331</v>
      </c>
      <c r="AS33" s="104">
        <v>46285.348900462966</v>
      </c>
      <c r="AT33" s="104">
        <v>46285.940694444442</v>
      </c>
      <c r="AU33" s="104">
        <v>46286.347303240742</v>
      </c>
      <c r="AV33" s="104">
        <v>46286.947638888887</v>
      </c>
      <c r="AW33" s="104">
        <v>46287.349166666667</v>
      </c>
      <c r="AX33" s="104">
        <v>46287.944108796299</v>
      </c>
      <c r="AY33" s="104">
        <v>46288.347256944442</v>
      </c>
      <c r="AZ33" s="104">
        <v>46288.944467592592</v>
      </c>
      <c r="BA33" s="104">
        <v>46289.346562500003</v>
      </c>
      <c r="BB33" s="104">
        <v>46289.952986111108</v>
      </c>
      <c r="BC33" s="137" t="s">
        <v>15</v>
      </c>
      <c r="BD33" s="137" t="s">
        <v>15</v>
      </c>
      <c r="BE33" s="104">
        <v>46291.34642361111</v>
      </c>
      <c r="BF33" s="104">
        <v>46291.952685185184</v>
      </c>
      <c r="BG33" s="104">
        <v>46292.35052083333</v>
      </c>
      <c r="BH33" s="104">
        <v>46292.945972222224</v>
      </c>
      <c r="BI33" s="104">
        <v>46293.354884259257</v>
      </c>
      <c r="BJ33" s="104">
        <v>46293.939270833333</v>
      </c>
      <c r="BK33" s="104">
        <v>46294.349270833336</v>
      </c>
      <c r="BL33" s="104">
        <v>46294.946435185186</v>
      </c>
      <c r="BM33" s="104">
        <v>46295.352951388886</v>
      </c>
      <c r="BN33" s="104">
        <v>46295.94059027778</v>
      </c>
      <c r="BO33" s="65"/>
      <c r="BP33" s="65"/>
      <c r="BQ33" s="13">
        <f t="shared" si="15"/>
        <v>30</v>
      </c>
      <c r="BR33" s="47">
        <v>2</v>
      </c>
      <c r="BS33" s="14">
        <f t="shared" si="16"/>
        <v>28</v>
      </c>
      <c r="BT33" s="15">
        <f>COUNTIF(B33:BJ33,"OFF")/2</f>
        <v>2</v>
      </c>
      <c r="BU33" s="15">
        <f>COUNTIF(B33:BJ33,"MC")/2</f>
        <v>0</v>
      </c>
      <c r="BV33" s="15">
        <f>COUNTIF(B33:BJ33,"EL")/2</f>
        <v>0</v>
      </c>
      <c r="BW33" s="15">
        <f>COUNTIF(B33:BJ33,"AL")/2</f>
        <v>0</v>
      </c>
      <c r="BX33" s="15">
        <f>COUNTIF(B33:BJ33,"SUS")/2</f>
        <v>0</v>
      </c>
      <c r="BY33" s="15">
        <f>COUNTIF(B33:BJ33,"FL")/2</f>
        <v>0</v>
      </c>
      <c r="BZ33" s="15">
        <f>COUNTIF(B33:BJ33,"SICK")/2</f>
        <v>0</v>
      </c>
      <c r="CA33" s="15">
        <f>COUNTIF(B33:BJ33,"HD")/2</f>
        <v>0</v>
      </c>
      <c r="CB33" s="15">
        <f>COUNTIF(B33:BJ33,"AB")/2</f>
        <v>0</v>
      </c>
      <c r="CC33" s="15">
        <f>COUNTIF(B33:BJ33,"NL")/2</f>
        <v>0</v>
      </c>
      <c r="CD33" s="15">
        <f>COUNTIF(B33:BJ33,"SP")/2</f>
        <v>0</v>
      </c>
      <c r="CE33" s="16"/>
      <c r="CH33" s="54">
        <v>0</v>
      </c>
      <c r="CI33" s="54">
        <v>0</v>
      </c>
      <c r="CJ33" s="54">
        <v>0</v>
      </c>
      <c r="CK33" s="54">
        <v>0</v>
      </c>
      <c r="CL33" s="54">
        <v>0</v>
      </c>
      <c r="CM33" s="54">
        <v>22</v>
      </c>
      <c r="CN33" s="55">
        <v>0</v>
      </c>
      <c r="CO33" s="55">
        <v>1</v>
      </c>
      <c r="CP33" s="55">
        <v>0</v>
      </c>
      <c r="CQ33" s="55">
        <v>0</v>
      </c>
      <c r="CR33" s="56">
        <f t="shared" si="14"/>
        <v>23</v>
      </c>
    </row>
    <row r="34" spans="1:96" ht="22.5" customHeight="1" x14ac:dyDescent="0.25">
      <c r="A34" s="96">
        <v>17</v>
      </c>
      <c r="B34" s="8" t="s">
        <v>93</v>
      </c>
      <c r="C34" s="91" t="s">
        <v>94</v>
      </c>
      <c r="D34" s="92">
        <v>45614</v>
      </c>
      <c r="E34" s="104">
        <v>46266.336631944447</v>
      </c>
      <c r="F34" s="104">
        <v>46264.946516203701</v>
      </c>
      <c r="G34" s="104">
        <v>46267.337002314816</v>
      </c>
      <c r="H34" s="104">
        <v>0</v>
      </c>
      <c r="I34" s="104">
        <v>46268.337476851855</v>
      </c>
      <c r="J34" s="104">
        <v>46268.940428240741</v>
      </c>
      <c r="K34" s="104">
        <v>0</v>
      </c>
      <c r="L34" s="104">
        <v>0</v>
      </c>
      <c r="M34" s="104">
        <v>46270.328032407408</v>
      </c>
      <c r="N34" s="104">
        <v>46270.897673611114</v>
      </c>
      <c r="O34" s="104">
        <v>46271.337118055555</v>
      </c>
      <c r="P34" s="104">
        <v>0</v>
      </c>
      <c r="Q34" s="104">
        <v>46272.333541666667</v>
      </c>
      <c r="R34" s="104">
        <v>46272.909490740742</v>
      </c>
      <c r="S34" s="104">
        <v>46273.343506944446</v>
      </c>
      <c r="T34" s="104">
        <v>0</v>
      </c>
      <c r="U34" s="104">
        <v>46274.33222222222</v>
      </c>
      <c r="V34" s="104">
        <v>46274.907986111109</v>
      </c>
      <c r="W34" s="104">
        <v>46275.321435185186</v>
      </c>
      <c r="X34" s="104">
        <v>46275.89565972222</v>
      </c>
      <c r="Y34" s="162" t="s">
        <v>15</v>
      </c>
      <c r="Z34" s="162" t="s">
        <v>15</v>
      </c>
      <c r="AA34" s="104">
        <v>46277.331759259258</v>
      </c>
      <c r="AB34" s="104">
        <v>0</v>
      </c>
      <c r="AC34" s="104">
        <v>46278.335879629631</v>
      </c>
      <c r="AD34" s="104">
        <v>46278.906006944446</v>
      </c>
      <c r="AE34" s="104">
        <v>46279.337395833332</v>
      </c>
      <c r="AF34" s="104">
        <v>46279.902488425927</v>
      </c>
      <c r="AG34" s="104">
        <v>46280.335347222222</v>
      </c>
      <c r="AH34" s="104">
        <v>46280.900266203702</v>
      </c>
      <c r="AI34" s="84"/>
      <c r="AJ34" s="95">
        <v>17</v>
      </c>
      <c r="AK34" s="104">
        <v>46281.332326388889</v>
      </c>
      <c r="AL34" s="104">
        <v>46281.903148148151</v>
      </c>
      <c r="AM34" s="104">
        <v>46282.329837962963</v>
      </c>
      <c r="AN34" s="104">
        <v>0</v>
      </c>
      <c r="AO34" s="104">
        <v>46283.354699074072</v>
      </c>
      <c r="AP34" s="104">
        <v>0</v>
      </c>
      <c r="AQ34" s="104">
        <v>46284.335092592592</v>
      </c>
      <c r="AR34" s="104">
        <v>0</v>
      </c>
      <c r="AS34" s="104">
        <v>46285.340219907404</v>
      </c>
      <c r="AT34" s="104">
        <v>46285.899884259263</v>
      </c>
      <c r="AU34" s="104">
        <v>46286.343391203707</v>
      </c>
      <c r="AV34" s="104">
        <v>0</v>
      </c>
      <c r="AW34" s="104">
        <v>46287.3278587963</v>
      </c>
      <c r="AX34" s="104">
        <v>46287.897314814814</v>
      </c>
      <c r="AY34" s="104">
        <v>46288.332453703704</v>
      </c>
      <c r="AZ34" s="104">
        <v>0</v>
      </c>
      <c r="BA34" s="104">
        <v>46289.330937500003</v>
      </c>
      <c r="BB34" s="104">
        <v>0</v>
      </c>
      <c r="BC34" s="104">
        <v>46290.57372685185</v>
      </c>
      <c r="BD34" s="104">
        <v>0</v>
      </c>
      <c r="BE34" s="104">
        <v>46291.337094907409</v>
      </c>
      <c r="BF34" s="104">
        <v>0</v>
      </c>
      <c r="BG34" s="104">
        <v>46292.325821759259</v>
      </c>
      <c r="BH34" s="104">
        <v>0</v>
      </c>
      <c r="BI34" s="104">
        <v>46293.332337962966</v>
      </c>
      <c r="BJ34" s="104">
        <v>46293.900648148148</v>
      </c>
      <c r="BK34" s="104">
        <v>46294.330937500003</v>
      </c>
      <c r="BL34" s="104">
        <v>0</v>
      </c>
      <c r="BM34" s="104">
        <v>46295.337488425925</v>
      </c>
      <c r="BN34" s="104">
        <v>0</v>
      </c>
      <c r="BO34" s="65"/>
      <c r="BP34" s="65"/>
      <c r="BQ34" s="13">
        <f t="shared" si="15"/>
        <v>30</v>
      </c>
      <c r="BR34" s="47">
        <v>3</v>
      </c>
      <c r="BS34" s="14">
        <f t="shared" si="16"/>
        <v>29</v>
      </c>
      <c r="BT34" s="15">
        <f>COUNTIF(B34:BL34,"OFF")/2</f>
        <v>1</v>
      </c>
      <c r="BU34" s="15">
        <f>COUNTIF(B34:BL34,"MC")/2</f>
        <v>0</v>
      </c>
      <c r="BV34" s="15">
        <f>COUNTIF(B34:BL34,"EL")/2</f>
        <v>0</v>
      </c>
      <c r="BW34" s="15">
        <f>COUNTIF(B34:BL34,"AL")/2</f>
        <v>0</v>
      </c>
      <c r="BX34" s="15">
        <f>COUNTIF(B34:BL34,"SUS")/2</f>
        <v>0</v>
      </c>
      <c r="BY34" s="15">
        <f>COUNTIF(B34:BL34,"FL")/2</f>
        <v>0</v>
      </c>
      <c r="BZ34" s="15">
        <f>COUNTIF(B34:BL34,"SICK")/2</f>
        <v>0</v>
      </c>
      <c r="CA34" s="15">
        <f>COUNTIF(B34:BL34,"HD")/2</f>
        <v>0</v>
      </c>
      <c r="CB34" s="15">
        <f>COUNTIF(B34:BL34,"AB")/2</f>
        <v>0</v>
      </c>
      <c r="CC34" s="15">
        <f>COUNTIF(B34:BL34,"NL")/2</f>
        <v>0</v>
      </c>
      <c r="CD34" s="15">
        <f>COUNTIF(B34:BL34,"SP")/2</f>
        <v>0</v>
      </c>
      <c r="CE34" s="16"/>
      <c r="CH34" s="54">
        <v>0</v>
      </c>
      <c r="CI34" s="54">
        <v>0</v>
      </c>
      <c r="CJ34" s="54">
        <v>32</v>
      </c>
      <c r="CK34" s="54">
        <v>0</v>
      </c>
      <c r="CL34" s="54">
        <v>0</v>
      </c>
      <c r="CM34" s="54">
        <v>5</v>
      </c>
      <c r="CN34" s="54">
        <v>0</v>
      </c>
      <c r="CO34" s="54">
        <v>0</v>
      </c>
      <c r="CP34" s="54">
        <v>0</v>
      </c>
      <c r="CQ34" s="54">
        <v>0</v>
      </c>
      <c r="CR34" s="54">
        <f t="shared" si="14"/>
        <v>37</v>
      </c>
    </row>
    <row r="35" spans="1:96" ht="22.5" customHeight="1" x14ac:dyDescent="0.25">
      <c r="A35" s="96">
        <v>18</v>
      </c>
      <c r="B35" s="8" t="s">
        <v>49</v>
      </c>
      <c r="C35" s="91" t="s">
        <v>50</v>
      </c>
      <c r="D35" s="92">
        <v>45653</v>
      </c>
      <c r="E35" s="104">
        <v>46266.350810185184</v>
      </c>
      <c r="F35" s="104">
        <v>46264.709421296298</v>
      </c>
      <c r="G35" s="104">
        <v>46267.352222222224</v>
      </c>
      <c r="H35" s="104">
        <v>46267.946296296293</v>
      </c>
      <c r="I35" s="104">
        <v>46268.341967592591</v>
      </c>
      <c r="J35" s="104">
        <v>46268.94295138889</v>
      </c>
      <c r="K35" s="104">
        <v>46269.570439814815</v>
      </c>
      <c r="L35" s="104">
        <v>46269.940370370372</v>
      </c>
      <c r="M35" s="104">
        <v>0.35416666666666669</v>
      </c>
      <c r="N35" s="104">
        <v>0</v>
      </c>
      <c r="O35" s="104">
        <v>0.34583333333333338</v>
      </c>
      <c r="P35" s="104">
        <v>0</v>
      </c>
      <c r="Q35" s="104">
        <v>0.34583333333333338</v>
      </c>
      <c r="R35" s="104">
        <v>0</v>
      </c>
      <c r="S35" s="104">
        <v>0.3520833333333333</v>
      </c>
      <c r="T35" s="104">
        <v>0</v>
      </c>
      <c r="U35" s="104">
        <v>46274.34033564815</v>
      </c>
      <c r="V35" s="104">
        <v>0</v>
      </c>
      <c r="W35" s="104">
        <v>0</v>
      </c>
      <c r="X35" s="104">
        <v>0</v>
      </c>
      <c r="Y35" s="161" t="s">
        <v>15</v>
      </c>
      <c r="Z35" s="161" t="s">
        <v>15</v>
      </c>
      <c r="AA35" s="104">
        <v>46277.344143518516</v>
      </c>
      <c r="AB35" s="104">
        <v>0</v>
      </c>
      <c r="AC35" s="104">
        <v>46278.341967592591</v>
      </c>
      <c r="AD35" s="104">
        <v>0</v>
      </c>
      <c r="AE35" s="104">
        <v>46279.345717592594</v>
      </c>
      <c r="AF35" s="104">
        <v>0</v>
      </c>
      <c r="AG35" s="104">
        <v>46280.345567129632</v>
      </c>
      <c r="AH35" s="104">
        <v>0</v>
      </c>
      <c r="AI35" s="90"/>
      <c r="AJ35" s="95">
        <v>18</v>
      </c>
      <c r="AK35" s="104">
        <v>46281.333692129629</v>
      </c>
      <c r="AL35" s="104">
        <v>0</v>
      </c>
      <c r="AM35" s="104">
        <v>46282.336064814815</v>
      </c>
      <c r="AN35" s="104">
        <v>0</v>
      </c>
      <c r="AO35" s="104">
        <v>46283.563159722224</v>
      </c>
      <c r="AP35" s="104">
        <v>0</v>
      </c>
      <c r="AQ35" s="104">
        <v>46284.335300925923</v>
      </c>
      <c r="AR35" s="104">
        <v>0</v>
      </c>
      <c r="AS35" s="104">
        <v>46285.349895833337</v>
      </c>
      <c r="AT35" s="104">
        <v>0</v>
      </c>
      <c r="AU35" s="104">
        <v>46286.343715277777</v>
      </c>
      <c r="AV35" s="104">
        <v>0</v>
      </c>
      <c r="AW35" s="104">
        <v>46287.345879629633</v>
      </c>
      <c r="AX35" s="104">
        <v>0</v>
      </c>
      <c r="AY35" s="104">
        <v>46288.338252314818</v>
      </c>
      <c r="AZ35" s="104">
        <v>0</v>
      </c>
      <c r="BA35" s="104">
        <v>46289.336655092593</v>
      </c>
      <c r="BB35" s="104">
        <v>0</v>
      </c>
      <c r="BC35" s="137" t="s">
        <v>15</v>
      </c>
      <c r="BD35" s="137" t="s">
        <v>15</v>
      </c>
      <c r="BE35" s="104">
        <v>46291.347951388889</v>
      </c>
      <c r="BF35" s="104">
        <v>0</v>
      </c>
      <c r="BG35" s="104">
        <v>46292.347291666665</v>
      </c>
      <c r="BH35" s="104">
        <v>0</v>
      </c>
      <c r="BI35" s="104">
        <v>46293.339814814812</v>
      </c>
      <c r="BJ35" s="104">
        <v>0</v>
      </c>
      <c r="BK35" s="104">
        <v>46294.347604166665</v>
      </c>
      <c r="BL35" s="104">
        <v>0</v>
      </c>
      <c r="BM35" s="104">
        <v>46295.347997685189</v>
      </c>
      <c r="BN35" s="104">
        <v>0</v>
      </c>
      <c r="BO35" s="65"/>
      <c r="BP35" s="65"/>
      <c r="BQ35" s="13">
        <f>BS35+BT35+BU35+BV35+CA35+BY35+BZ35+CD35</f>
        <v>30</v>
      </c>
      <c r="BR35" s="47">
        <v>2</v>
      </c>
      <c r="BS35" s="14">
        <f t="shared" si="16"/>
        <v>28</v>
      </c>
      <c r="BT35" s="15">
        <f>COUNTIF(B35:BL35,"OFF")/2</f>
        <v>2</v>
      </c>
      <c r="BU35" s="15">
        <f>COUNTIF(B35:BL35,"MC")/2</f>
        <v>0</v>
      </c>
      <c r="BV35" s="15">
        <f>COUNTIF(B35:BL35,"EL")/2</f>
        <v>0</v>
      </c>
      <c r="BW35" s="15">
        <f>COUNTIF(B35:BL35,"AL")/2</f>
        <v>0</v>
      </c>
      <c r="BX35" s="15">
        <f>COUNTIF(B35:BL35,"SUS")/2</f>
        <v>0</v>
      </c>
      <c r="BY35" s="15">
        <f>COUNTIF(B35:BL35,"FL")/2</f>
        <v>0</v>
      </c>
      <c r="BZ35" s="15">
        <f>COUNTIF(B35:BL35,"SICK")/2</f>
        <v>0</v>
      </c>
      <c r="CA35" s="15">
        <f>COUNTIF(B35:BL35,"HD")/2</f>
        <v>0</v>
      </c>
      <c r="CB35" s="15">
        <f>COUNTIF(B35:BL35,"AB")/2</f>
        <v>0</v>
      </c>
      <c r="CC35" s="15">
        <f>COUNTIF(B35:BL35,"NL")/2</f>
        <v>0</v>
      </c>
      <c r="CD35" s="15">
        <f>COUNTIF(B35:BL35,"SP")/2</f>
        <v>0</v>
      </c>
      <c r="CE35" s="3"/>
      <c r="CH35" s="53">
        <v>0</v>
      </c>
      <c r="CI35" s="53">
        <v>0</v>
      </c>
      <c r="CJ35" s="53">
        <v>0</v>
      </c>
      <c r="CK35" s="53">
        <v>0</v>
      </c>
      <c r="CL35" s="53">
        <v>0</v>
      </c>
      <c r="CM35" s="52">
        <v>12</v>
      </c>
      <c r="CN35" s="53">
        <v>1</v>
      </c>
      <c r="CO35" s="52">
        <v>4</v>
      </c>
      <c r="CP35" s="52">
        <v>0</v>
      </c>
      <c r="CQ35" s="52">
        <v>0</v>
      </c>
      <c r="CR35" s="57">
        <f t="shared" si="14"/>
        <v>17</v>
      </c>
    </row>
    <row r="36" spans="1:96" ht="22.5" customHeight="1" x14ac:dyDescent="0.25">
      <c r="A36" s="96">
        <v>19</v>
      </c>
      <c r="B36" s="8" t="s">
        <v>51</v>
      </c>
      <c r="C36" s="91" t="s">
        <v>102</v>
      </c>
      <c r="D36" s="92">
        <v>45723</v>
      </c>
      <c r="E36" s="104">
        <v>0</v>
      </c>
      <c r="F36" s="104">
        <v>46264.952604166669</v>
      </c>
      <c r="G36" s="104">
        <v>46267.351469907408</v>
      </c>
      <c r="H36" s="104">
        <v>46267.976747685185</v>
      </c>
      <c r="I36" s="104">
        <v>46268.352685185186</v>
      </c>
      <c r="J36" s="104">
        <v>46268.975405092591</v>
      </c>
      <c r="K36" s="161" t="s">
        <v>15</v>
      </c>
      <c r="L36" s="161" t="s">
        <v>15</v>
      </c>
      <c r="M36" s="104">
        <v>46270.354699074072</v>
      </c>
      <c r="N36" s="104">
        <v>46270.970694444448</v>
      </c>
      <c r="O36" s="104">
        <v>46271.354699074072</v>
      </c>
      <c r="P36" s="104">
        <v>46271.957326388889</v>
      </c>
      <c r="Q36" s="104">
        <v>46272.352430555555</v>
      </c>
      <c r="R36" s="104">
        <v>46272.947071759256</v>
      </c>
      <c r="S36" s="104">
        <v>46273.354178240741</v>
      </c>
      <c r="T36" s="104">
        <v>46273.949247685188</v>
      </c>
      <c r="U36" s="104">
        <v>46274.352777777778</v>
      </c>
      <c r="V36" s="104">
        <v>46274.950138888889</v>
      </c>
      <c r="W36" s="104">
        <v>46275.354166666664</v>
      </c>
      <c r="X36" s="104">
        <v>46275.966261574074</v>
      </c>
      <c r="Y36" s="104">
        <v>0</v>
      </c>
      <c r="Z36" s="104">
        <v>46276.949907407405</v>
      </c>
      <c r="AA36" s="104">
        <v>46277.356041666666</v>
      </c>
      <c r="AB36" s="104">
        <v>46277.96234953704</v>
      </c>
      <c r="AC36" s="104">
        <v>0</v>
      </c>
      <c r="AD36" s="104">
        <v>46278.947337962964</v>
      </c>
      <c r="AE36" s="104">
        <v>46279.351689814815</v>
      </c>
      <c r="AF36" s="104">
        <v>46279.95071759259</v>
      </c>
      <c r="AG36" s="104">
        <v>46280.35119212963</v>
      </c>
      <c r="AH36" s="104">
        <v>46280.948611111111</v>
      </c>
      <c r="AI36" s="90"/>
      <c r="AJ36" s="95">
        <v>19</v>
      </c>
      <c r="AK36" s="104">
        <v>46281.352569444447</v>
      </c>
      <c r="AL36" s="104">
        <v>46281.951192129629</v>
      </c>
      <c r="AM36" s="104">
        <v>46282.353101851855</v>
      </c>
      <c r="AN36" s="104">
        <v>46282.973078703704</v>
      </c>
      <c r="AO36" s="137" t="s">
        <v>15</v>
      </c>
      <c r="AP36" s="137" t="s">
        <v>15</v>
      </c>
      <c r="AQ36" s="104">
        <v>46284.352939814817</v>
      </c>
      <c r="AR36" s="104">
        <v>46284.969895833332</v>
      </c>
      <c r="AS36" s="104">
        <v>46285.353541666664</v>
      </c>
      <c r="AT36" s="104">
        <v>46285.957233796296</v>
      </c>
      <c r="AU36" s="104">
        <v>46286.350659722222</v>
      </c>
      <c r="AV36" s="104">
        <v>46286.951643518521</v>
      </c>
      <c r="AW36" s="104">
        <v>46287.352083333331</v>
      </c>
      <c r="AX36" s="104">
        <v>46287.956319444442</v>
      </c>
      <c r="AY36" s="104">
        <v>46288.351215277777</v>
      </c>
      <c r="AZ36" s="104">
        <v>46288.947164351855</v>
      </c>
      <c r="BA36" s="104">
        <v>46289.352430555555</v>
      </c>
      <c r="BB36" s="104">
        <v>46289.973009259258</v>
      </c>
      <c r="BC36" s="104">
        <v>46290.582337962966</v>
      </c>
      <c r="BD36" s="104">
        <v>46290.95275462963</v>
      </c>
      <c r="BE36" s="104">
        <v>46291.351631944446</v>
      </c>
      <c r="BF36" s="104">
        <v>46291.971956018519</v>
      </c>
      <c r="BG36" s="104">
        <v>46292.353715277779</v>
      </c>
      <c r="BH36" s="104">
        <v>0</v>
      </c>
      <c r="BI36" s="104">
        <v>46293.353032407409</v>
      </c>
      <c r="BJ36" s="104">
        <v>46293.949456018519</v>
      </c>
      <c r="BK36" s="104">
        <v>46294.353136574071</v>
      </c>
      <c r="BL36" s="104">
        <v>46294.958483796298</v>
      </c>
      <c r="BM36" s="104">
        <v>46295.352511574078</v>
      </c>
      <c r="BN36" s="104">
        <v>46295.959733796299</v>
      </c>
      <c r="BO36" s="135"/>
      <c r="BP36" s="135"/>
      <c r="BQ36" s="13">
        <f t="shared" si="15"/>
        <v>30</v>
      </c>
      <c r="BR36" s="47">
        <v>2</v>
      </c>
      <c r="BS36" s="14">
        <f t="shared" si="16"/>
        <v>28</v>
      </c>
      <c r="BT36" s="15">
        <f>COUNTIF(B36:BJ36,"OFF")/2</f>
        <v>2</v>
      </c>
      <c r="BU36" s="15">
        <f>COUNTIF(B36:BJ36,"MC")/2</f>
        <v>0</v>
      </c>
      <c r="BV36" s="15">
        <f>COUNTIF(B36:BJ36,"EL")/2</f>
        <v>0</v>
      </c>
      <c r="BW36" s="15">
        <f>COUNTIF(B36:BJ36,"AL")/2</f>
        <v>0</v>
      </c>
      <c r="BX36" s="15">
        <f>COUNTIF(B36:BJ36,"SUS")/2</f>
        <v>0</v>
      </c>
      <c r="BY36" s="15">
        <f>COUNTIF(B36:BJ36,"FL")/2</f>
        <v>0</v>
      </c>
      <c r="BZ36" s="15">
        <f>COUNTIF(B36:BJ36,"SICK")/2</f>
        <v>0</v>
      </c>
      <c r="CA36" s="15">
        <f>COUNTIF(B36:BJ36,"HD")/2</f>
        <v>0</v>
      </c>
      <c r="CB36" s="15">
        <f>COUNTIF(B36:BJ36,"AB")/2</f>
        <v>0</v>
      </c>
      <c r="CC36" s="15">
        <f>COUNTIF(B36:BJ36,"NL")/2</f>
        <v>0</v>
      </c>
      <c r="CD36" s="15">
        <f>COUNTIF(B36:BJ36,"SP")/2</f>
        <v>0</v>
      </c>
      <c r="CE36" s="16"/>
      <c r="CH36" s="54">
        <v>0</v>
      </c>
      <c r="CI36" s="54">
        <v>0</v>
      </c>
      <c r="CJ36" s="54">
        <v>0</v>
      </c>
      <c r="CK36" s="54">
        <v>0</v>
      </c>
      <c r="CL36" s="54">
        <v>0</v>
      </c>
      <c r="CM36" s="54">
        <v>5</v>
      </c>
      <c r="CN36" s="54">
        <v>0</v>
      </c>
      <c r="CO36" s="54">
        <v>0</v>
      </c>
      <c r="CP36" s="54">
        <v>0</v>
      </c>
      <c r="CQ36" s="54">
        <v>0</v>
      </c>
      <c r="CR36" s="54">
        <f t="shared" si="14"/>
        <v>5</v>
      </c>
    </row>
    <row r="37" spans="1:96" ht="22.5" customHeight="1" x14ac:dyDescent="0.25">
      <c r="A37" s="96">
        <v>20</v>
      </c>
      <c r="B37" s="8" t="s">
        <v>54</v>
      </c>
      <c r="C37" s="91" t="s">
        <v>55</v>
      </c>
      <c r="D37" s="92">
        <v>45807</v>
      </c>
      <c r="E37" s="104">
        <v>46266.348275462966</v>
      </c>
      <c r="F37" s="104">
        <v>46264.939699074072</v>
      </c>
      <c r="G37" s="104">
        <v>46267.349872685183</v>
      </c>
      <c r="H37" s="104">
        <v>0</v>
      </c>
      <c r="I37" s="104">
        <v>46268.346400462964</v>
      </c>
      <c r="J37" s="129">
        <v>0</v>
      </c>
      <c r="K37" s="162" t="s">
        <v>15</v>
      </c>
      <c r="L37" s="162" t="s">
        <v>15</v>
      </c>
      <c r="M37" s="104">
        <v>46270.350601851853</v>
      </c>
      <c r="N37" s="104">
        <v>0</v>
      </c>
      <c r="O37" s="104">
        <v>46271.338761574072</v>
      </c>
      <c r="P37" s="104">
        <v>0</v>
      </c>
      <c r="Q37" s="104">
        <v>46272.339375000003</v>
      </c>
      <c r="R37" s="104">
        <v>0</v>
      </c>
      <c r="S37" s="104">
        <v>46273.339016203703</v>
      </c>
      <c r="T37" s="104">
        <v>0</v>
      </c>
      <c r="U37" s="104">
        <v>46274.344143518516</v>
      </c>
      <c r="V37" s="104">
        <v>0</v>
      </c>
      <c r="W37" s="104">
        <v>46275.392754629633</v>
      </c>
      <c r="X37" s="104">
        <v>0</v>
      </c>
      <c r="Y37" s="104">
        <v>0</v>
      </c>
      <c r="Z37" s="104">
        <v>46276.922997685186</v>
      </c>
      <c r="AA37" s="104">
        <v>46277.345277777778</v>
      </c>
      <c r="AB37" s="104">
        <v>0</v>
      </c>
      <c r="AC37" s="104">
        <v>46278.341493055559</v>
      </c>
      <c r="AD37" s="104">
        <v>0</v>
      </c>
      <c r="AE37" s="104">
        <v>46279.346504629626</v>
      </c>
      <c r="AF37" s="104">
        <v>0</v>
      </c>
      <c r="AG37" s="104">
        <v>46280.343958333331</v>
      </c>
      <c r="AH37" s="104">
        <v>0</v>
      </c>
      <c r="AI37" s="84"/>
      <c r="AJ37" s="95">
        <v>20</v>
      </c>
      <c r="AK37" s="104">
        <v>46281.344826388886</v>
      </c>
      <c r="AL37" s="104">
        <v>0</v>
      </c>
      <c r="AM37" s="104">
        <v>46282.344074074077</v>
      </c>
      <c r="AN37" s="104">
        <v>0</v>
      </c>
      <c r="AO37" s="137" t="s">
        <v>15</v>
      </c>
      <c r="AP37" s="137" t="s">
        <v>15</v>
      </c>
      <c r="AQ37" s="104">
        <v>46284.343773148146</v>
      </c>
      <c r="AR37" s="104">
        <v>0</v>
      </c>
      <c r="AS37" s="104">
        <v>46285.342256944445</v>
      </c>
      <c r="AT37" s="104">
        <v>0</v>
      </c>
      <c r="AU37" s="104">
        <v>46286.344166666669</v>
      </c>
      <c r="AV37" s="104">
        <v>0</v>
      </c>
      <c r="AW37" s="104">
        <v>46287.345254629632</v>
      </c>
      <c r="AX37" s="104">
        <v>0</v>
      </c>
      <c r="AY37" s="104">
        <v>46288.346435185187</v>
      </c>
      <c r="AZ37" s="104">
        <v>0</v>
      </c>
      <c r="BA37" s="104">
        <v>46289.344108796293</v>
      </c>
      <c r="BB37" s="104">
        <v>0</v>
      </c>
      <c r="BC37" s="104">
        <v>0</v>
      </c>
      <c r="BD37" s="104">
        <v>0</v>
      </c>
      <c r="BE37" s="104">
        <v>46291.343958333331</v>
      </c>
      <c r="BF37" s="104">
        <v>0</v>
      </c>
      <c r="BG37" s="104">
        <v>46292.346550925926</v>
      </c>
      <c r="BH37" s="104">
        <v>0</v>
      </c>
      <c r="BI37" s="104">
        <v>46293.345891203702</v>
      </c>
      <c r="BJ37" s="104">
        <v>0</v>
      </c>
      <c r="BK37" s="104">
        <v>46294.344756944447</v>
      </c>
      <c r="BL37" s="104">
        <v>0</v>
      </c>
      <c r="BM37" s="104">
        <v>46295.34579861111</v>
      </c>
      <c r="BN37" s="104">
        <v>0</v>
      </c>
      <c r="BO37" s="103"/>
      <c r="BP37" s="103"/>
      <c r="BQ37" s="13">
        <f t="shared" si="15"/>
        <v>30</v>
      </c>
      <c r="BR37" s="47">
        <v>2</v>
      </c>
      <c r="BS37" s="14">
        <f t="shared" si="16"/>
        <v>28</v>
      </c>
      <c r="BT37" s="15">
        <f t="shared" ref="BT37:BT46" si="29">COUNTIF(B37:BN37,"OFF")/2</f>
        <v>2</v>
      </c>
      <c r="BU37" s="15">
        <f t="shared" ref="BU37:BU46" si="30">COUNTIF(B37:BN37,"MC")/2</f>
        <v>0</v>
      </c>
      <c r="BV37" s="15">
        <f t="shared" ref="BV37:BV46" si="31">COUNTIF(B37:BN37,"EL")/2</f>
        <v>0</v>
      </c>
      <c r="BW37" s="15">
        <f t="shared" ref="BW37:BW46" si="32">COUNTIF(B37:BN37,"AL")/2</f>
        <v>0</v>
      </c>
      <c r="BX37" s="15">
        <f t="shared" ref="BX37:BX46" si="33">COUNTIF(B37:BN37,"SUS")/2</f>
        <v>0</v>
      </c>
      <c r="BY37" s="15">
        <f t="shared" ref="BY37:BY46" si="34">COUNTIF(B37:BN37,"FL")/2</f>
        <v>0</v>
      </c>
      <c r="BZ37" s="15">
        <f t="shared" ref="BZ37:BZ46" si="35">COUNTIF(B37:BN37,"SICK")/2</f>
        <v>0</v>
      </c>
      <c r="CA37" s="15">
        <f t="shared" ref="CA37:CA46" si="36">COUNTIF(B37:BN37,"HD")/2</f>
        <v>0</v>
      </c>
      <c r="CB37" s="15">
        <f t="shared" ref="CB37:CB46" si="37">COUNTIF(B37:BN37,"AB")/2</f>
        <v>0</v>
      </c>
      <c r="CC37" s="15">
        <f t="shared" ref="CC37:CC46" si="38">COUNTIF(B37:BN37,"NL")/2</f>
        <v>0</v>
      </c>
      <c r="CD37" s="15">
        <f t="shared" ref="CD37:CD46" si="39">COUNTIF(B37:BN37,"SP")/2</f>
        <v>0</v>
      </c>
      <c r="CE37" s="16"/>
      <c r="CH37" s="53">
        <v>0</v>
      </c>
      <c r="CI37" s="53">
        <v>0</v>
      </c>
      <c r="CJ37" s="53">
        <v>0</v>
      </c>
      <c r="CK37" s="53">
        <v>0</v>
      </c>
      <c r="CL37" s="53">
        <v>0</v>
      </c>
      <c r="CM37" s="52">
        <v>6</v>
      </c>
      <c r="CN37" s="53">
        <v>0</v>
      </c>
      <c r="CO37" s="52">
        <v>0</v>
      </c>
      <c r="CP37" s="52">
        <v>0</v>
      </c>
      <c r="CQ37" s="52">
        <v>0</v>
      </c>
      <c r="CR37" s="57">
        <f t="shared" si="14"/>
        <v>6</v>
      </c>
    </row>
    <row r="38" spans="1:96" ht="22.5" customHeight="1" x14ac:dyDescent="0.25">
      <c r="A38" s="96">
        <v>21</v>
      </c>
      <c r="B38" s="8" t="s">
        <v>56</v>
      </c>
      <c r="C38" s="91" t="s">
        <v>57</v>
      </c>
      <c r="D38" s="92">
        <v>45807</v>
      </c>
      <c r="E38" s="104">
        <v>0</v>
      </c>
      <c r="F38" s="104">
        <v>46264.931354166663</v>
      </c>
      <c r="G38" s="104">
        <v>46267.351782407408</v>
      </c>
      <c r="H38" s="104">
        <v>0</v>
      </c>
      <c r="I38" s="104">
        <v>46268.352835648147</v>
      </c>
      <c r="J38" s="104">
        <v>0</v>
      </c>
      <c r="K38" s="104">
        <v>0</v>
      </c>
      <c r="L38" s="104">
        <v>0</v>
      </c>
      <c r="M38" s="104">
        <v>46270.34615740741</v>
      </c>
      <c r="N38" s="104">
        <v>0</v>
      </c>
      <c r="O38" s="104">
        <v>46271.34652777778</v>
      </c>
      <c r="P38" s="104">
        <v>0</v>
      </c>
      <c r="Q38" s="104">
        <v>46272.346087962964</v>
      </c>
      <c r="R38" s="104">
        <v>0</v>
      </c>
      <c r="S38" s="104">
        <v>46273.340983796297</v>
      </c>
      <c r="T38" s="104">
        <v>46273.948969907404</v>
      </c>
      <c r="U38" s="104">
        <v>46274.353171296294</v>
      </c>
      <c r="V38" s="104">
        <v>46274.94730324074</v>
      </c>
      <c r="W38" s="104">
        <v>46275.343333333331</v>
      </c>
      <c r="X38" s="104">
        <v>0</v>
      </c>
      <c r="Y38" s="161" t="s">
        <v>15</v>
      </c>
      <c r="Z38" s="161" t="s">
        <v>15</v>
      </c>
      <c r="AA38" s="104">
        <v>46277.356296296297</v>
      </c>
      <c r="AB38" s="104">
        <v>46277.962280092594</v>
      </c>
      <c r="AC38" s="104">
        <v>46278.353796296295</v>
      </c>
      <c r="AD38" s="104">
        <v>0</v>
      </c>
      <c r="AE38" s="104">
        <v>46279.351747685185</v>
      </c>
      <c r="AF38" s="104">
        <v>46279.948171296295</v>
      </c>
      <c r="AG38" s="104">
        <v>46280.351273148146</v>
      </c>
      <c r="AH38" s="104">
        <v>46280.947696759256</v>
      </c>
      <c r="AI38" s="90"/>
      <c r="AJ38" s="95">
        <v>21</v>
      </c>
      <c r="AK38" s="104">
        <v>46281.352627314816</v>
      </c>
      <c r="AL38" s="104">
        <v>0</v>
      </c>
      <c r="AM38" s="104">
        <v>46282.353263888886</v>
      </c>
      <c r="AN38" s="104">
        <v>0</v>
      </c>
      <c r="AO38" s="104">
        <v>46283.577974537038</v>
      </c>
      <c r="AP38" s="104">
        <v>0</v>
      </c>
      <c r="AQ38" s="104">
        <v>46284.353055555555</v>
      </c>
      <c r="AR38" s="104">
        <v>0</v>
      </c>
      <c r="AS38" s="104">
        <v>46285.353622685187</v>
      </c>
      <c r="AT38" s="104">
        <v>0</v>
      </c>
      <c r="AU38" s="104">
        <v>46286.350740740738</v>
      </c>
      <c r="AV38" s="104">
        <v>0</v>
      </c>
      <c r="AW38" s="104">
        <v>46287.352164351854</v>
      </c>
      <c r="AX38" s="104">
        <v>0</v>
      </c>
      <c r="AY38" s="104">
        <v>46288.3512962963</v>
      </c>
      <c r="AZ38" s="104">
        <v>46288.942476851851</v>
      </c>
      <c r="BA38" s="104">
        <v>46289.352465277778</v>
      </c>
      <c r="BB38" s="104">
        <v>0</v>
      </c>
      <c r="BC38" s="104">
        <v>46290.576516203706</v>
      </c>
      <c r="BD38" s="104">
        <v>0</v>
      </c>
      <c r="BE38" s="104">
        <v>46291.351666666669</v>
      </c>
      <c r="BF38" s="104">
        <v>0</v>
      </c>
      <c r="BG38" s="104">
        <v>46292.353796296295</v>
      </c>
      <c r="BH38" s="104">
        <v>0</v>
      </c>
      <c r="BI38" s="104">
        <v>46293.353263888886</v>
      </c>
      <c r="BJ38" s="104">
        <v>46293.948298611111</v>
      </c>
      <c r="BK38" s="104">
        <v>46294.353310185186</v>
      </c>
      <c r="BL38" s="104">
        <v>0</v>
      </c>
      <c r="BM38" s="104">
        <v>46295.352696759262</v>
      </c>
      <c r="BN38" s="104">
        <v>46295.863171296296</v>
      </c>
      <c r="BO38" s="103"/>
      <c r="BP38" s="103"/>
      <c r="BQ38" s="13">
        <f t="shared" si="15"/>
        <v>30</v>
      </c>
      <c r="BR38" s="47">
        <v>3</v>
      </c>
      <c r="BS38" s="14">
        <f t="shared" si="16"/>
        <v>29</v>
      </c>
      <c r="BT38" s="15">
        <f t="shared" si="29"/>
        <v>1</v>
      </c>
      <c r="BU38" s="15">
        <f t="shared" si="30"/>
        <v>0</v>
      </c>
      <c r="BV38" s="15">
        <f t="shared" si="31"/>
        <v>0</v>
      </c>
      <c r="BW38" s="15">
        <f t="shared" si="32"/>
        <v>0</v>
      </c>
      <c r="BX38" s="15">
        <f t="shared" si="33"/>
        <v>0</v>
      </c>
      <c r="BY38" s="15">
        <f t="shared" si="34"/>
        <v>0</v>
      </c>
      <c r="BZ38" s="15">
        <f t="shared" si="35"/>
        <v>0</v>
      </c>
      <c r="CA38" s="15">
        <f t="shared" si="36"/>
        <v>0</v>
      </c>
      <c r="CB38" s="15">
        <f t="shared" si="37"/>
        <v>0</v>
      </c>
      <c r="CC38" s="15">
        <f t="shared" si="38"/>
        <v>0</v>
      </c>
      <c r="CD38" s="15">
        <f t="shared" si="39"/>
        <v>0</v>
      </c>
      <c r="CE38" s="16"/>
      <c r="CH38" s="54">
        <v>0</v>
      </c>
      <c r="CI38" s="54">
        <v>0</v>
      </c>
      <c r="CJ38" s="54">
        <v>0</v>
      </c>
      <c r="CK38" s="54">
        <v>0</v>
      </c>
      <c r="CL38" s="54">
        <v>0</v>
      </c>
      <c r="CM38" s="54">
        <v>0</v>
      </c>
      <c r="CN38" s="54">
        <v>0</v>
      </c>
      <c r="CO38" s="54">
        <v>0</v>
      </c>
      <c r="CP38" s="54">
        <v>0</v>
      </c>
      <c r="CQ38" s="54">
        <v>0</v>
      </c>
      <c r="CR38" s="54">
        <f t="shared" si="14"/>
        <v>0</v>
      </c>
    </row>
    <row r="39" spans="1:96" ht="22.5" customHeight="1" x14ac:dyDescent="0.25">
      <c r="A39" s="96">
        <v>22</v>
      </c>
      <c r="B39" s="8" t="s">
        <v>58</v>
      </c>
      <c r="C39" s="91" t="s">
        <v>59</v>
      </c>
      <c r="D39" s="92">
        <v>45883</v>
      </c>
      <c r="E39" s="104">
        <v>46266.352627314816</v>
      </c>
      <c r="F39" s="104">
        <v>46264.967280092591</v>
      </c>
      <c r="G39" s="104">
        <v>46267.353020833332</v>
      </c>
      <c r="H39" s="104">
        <v>46267.966840277775</v>
      </c>
      <c r="I39" s="104">
        <v>46268.356562499997</v>
      </c>
      <c r="J39" s="104">
        <v>46268.958368055559</v>
      </c>
      <c r="K39" s="104">
        <v>46269.565601851849</v>
      </c>
      <c r="L39" s="104">
        <v>46269.958425925928</v>
      </c>
      <c r="M39" s="104">
        <v>46270.319062499999</v>
      </c>
      <c r="N39" s="104">
        <v>46270.960439814815</v>
      </c>
      <c r="O39" s="104">
        <v>46271.317314814813</v>
      </c>
      <c r="P39" s="104">
        <v>0</v>
      </c>
      <c r="Q39" s="104">
        <v>46272.322766203702</v>
      </c>
      <c r="R39" s="104">
        <v>46272.944976851853</v>
      </c>
      <c r="S39" s="104">
        <v>46273.312384259261</v>
      </c>
      <c r="T39" s="104">
        <v>46273.952766203707</v>
      </c>
      <c r="U39" s="104">
        <v>0</v>
      </c>
      <c r="V39" s="104">
        <v>0</v>
      </c>
      <c r="W39" s="104">
        <v>46275.320416666669</v>
      </c>
      <c r="X39" s="104">
        <v>0</v>
      </c>
      <c r="Y39" s="161" t="s">
        <v>15</v>
      </c>
      <c r="Z39" s="161" t="s">
        <v>15</v>
      </c>
      <c r="AA39" s="104">
        <v>46277.353252314817</v>
      </c>
      <c r="AB39" s="104">
        <v>46277.965046296296</v>
      </c>
      <c r="AC39" s="104">
        <v>46278.350347222222</v>
      </c>
      <c r="AD39" s="104">
        <v>0</v>
      </c>
      <c r="AE39" s="104">
        <v>46279.355532407404</v>
      </c>
      <c r="AF39" s="104">
        <v>0</v>
      </c>
      <c r="AG39" s="104">
        <v>46280.352048611108</v>
      </c>
      <c r="AH39" s="104">
        <v>46280.949502314812</v>
      </c>
      <c r="AI39" s="90"/>
      <c r="AJ39" s="95">
        <v>22</v>
      </c>
      <c r="AK39" s="104">
        <v>46281.34752314815</v>
      </c>
      <c r="AL39" s="104">
        <v>0</v>
      </c>
      <c r="AM39" s="104">
        <v>46282.350092592591</v>
      </c>
      <c r="AN39" s="104">
        <v>46282.964259259257</v>
      </c>
      <c r="AO39" s="104">
        <v>46283.575173611112</v>
      </c>
      <c r="AP39" s="104">
        <v>0</v>
      </c>
      <c r="AQ39" s="104">
        <v>46284.349768518521</v>
      </c>
      <c r="AR39" s="104">
        <v>0</v>
      </c>
      <c r="AS39" s="104">
        <v>46285.349918981483</v>
      </c>
      <c r="AT39" s="104">
        <v>0</v>
      </c>
      <c r="AU39" s="104">
        <v>46286.346898148149</v>
      </c>
      <c r="AV39" s="104">
        <v>0</v>
      </c>
      <c r="AW39" s="104">
        <v>46287.348495370374</v>
      </c>
      <c r="AX39" s="104">
        <v>0</v>
      </c>
      <c r="AY39" s="104">
        <v>46288.347083333334</v>
      </c>
      <c r="AZ39" s="104">
        <v>0</v>
      </c>
      <c r="BA39" s="104">
        <v>46289.34851851852</v>
      </c>
      <c r="BB39" s="104">
        <v>46289.963472222225</v>
      </c>
      <c r="BC39" s="104">
        <v>46290.562685185185</v>
      </c>
      <c r="BD39" s="104">
        <v>46290.922685185185</v>
      </c>
      <c r="BE39" s="104">
        <v>46291.353738425925</v>
      </c>
      <c r="BF39" s="104">
        <v>0</v>
      </c>
      <c r="BG39" s="104">
        <v>46292.346747685187</v>
      </c>
      <c r="BH39" s="104">
        <v>46292.98510416667</v>
      </c>
      <c r="BI39" s="104">
        <v>46293.354930555557</v>
      </c>
      <c r="BJ39" s="104">
        <v>0</v>
      </c>
      <c r="BK39" s="104">
        <v>46294.34884259259</v>
      </c>
      <c r="BL39" s="104">
        <v>46294.966064814813</v>
      </c>
      <c r="BM39" s="104">
        <v>46295.349548611113</v>
      </c>
      <c r="BN39" s="104">
        <v>46295.963125000002</v>
      </c>
      <c r="BO39" s="103"/>
      <c r="BP39" s="103"/>
      <c r="BQ39" s="13">
        <f t="shared" si="15"/>
        <v>30</v>
      </c>
      <c r="BR39" s="47">
        <v>3</v>
      </c>
      <c r="BS39" s="14">
        <f t="shared" si="16"/>
        <v>29</v>
      </c>
      <c r="BT39" s="15">
        <f t="shared" si="29"/>
        <v>1</v>
      </c>
      <c r="BU39" s="15">
        <f t="shared" si="30"/>
        <v>0</v>
      </c>
      <c r="BV39" s="15">
        <f t="shared" si="31"/>
        <v>0</v>
      </c>
      <c r="BW39" s="15">
        <f t="shared" si="32"/>
        <v>0</v>
      </c>
      <c r="BX39" s="15">
        <f t="shared" si="33"/>
        <v>0</v>
      </c>
      <c r="BY39" s="15">
        <f t="shared" si="34"/>
        <v>0</v>
      </c>
      <c r="BZ39" s="15">
        <f t="shared" si="35"/>
        <v>0</v>
      </c>
      <c r="CA39" s="15">
        <f t="shared" si="36"/>
        <v>0</v>
      </c>
      <c r="CB39" s="15">
        <f t="shared" si="37"/>
        <v>0</v>
      </c>
      <c r="CC39" s="15">
        <f t="shared" si="38"/>
        <v>0</v>
      </c>
      <c r="CD39" s="15">
        <f t="shared" si="39"/>
        <v>0</v>
      </c>
      <c r="CE39" s="16"/>
      <c r="CH39" s="53">
        <v>0</v>
      </c>
      <c r="CI39" s="53">
        <v>0</v>
      </c>
      <c r="CJ39" s="53">
        <v>0</v>
      </c>
      <c r="CK39" s="53">
        <v>0</v>
      </c>
      <c r="CL39" s="53">
        <v>0</v>
      </c>
      <c r="CM39" s="52">
        <v>4</v>
      </c>
      <c r="CN39" s="53">
        <v>0</v>
      </c>
      <c r="CO39" s="52">
        <v>0</v>
      </c>
      <c r="CP39" s="52">
        <v>0</v>
      </c>
      <c r="CQ39" s="52">
        <v>0</v>
      </c>
      <c r="CR39" s="57">
        <f t="shared" si="14"/>
        <v>4</v>
      </c>
    </row>
    <row r="40" spans="1:96" ht="22.5" customHeight="1" x14ac:dyDescent="0.25">
      <c r="A40" s="96">
        <v>23</v>
      </c>
      <c r="B40" s="8" t="s">
        <v>60</v>
      </c>
      <c r="C40" s="91" t="s">
        <v>61</v>
      </c>
      <c r="D40" s="92">
        <v>45956</v>
      </c>
      <c r="E40" s="104">
        <v>0</v>
      </c>
      <c r="F40" s="104">
        <v>46264.94798611111</v>
      </c>
      <c r="G40" s="104">
        <v>46267.351678240739</v>
      </c>
      <c r="H40" s="104">
        <v>46267.950474537036</v>
      </c>
      <c r="I40" s="104">
        <v>46268.352754629632</v>
      </c>
      <c r="J40" s="104">
        <v>46268.929224537038</v>
      </c>
      <c r="K40" s="161" t="s">
        <v>15</v>
      </c>
      <c r="L40" s="161" t="s">
        <v>15</v>
      </c>
      <c r="M40" s="163" t="s">
        <v>96</v>
      </c>
      <c r="N40" s="163" t="s">
        <v>96</v>
      </c>
      <c r="O40" s="104">
        <v>0</v>
      </c>
      <c r="P40" s="104">
        <v>46271.971851851849</v>
      </c>
      <c r="Q40" s="104">
        <v>46272.339201388888</v>
      </c>
      <c r="R40" s="104">
        <v>46272.949016203704</v>
      </c>
      <c r="S40" s="104">
        <v>46273.329930555556</v>
      </c>
      <c r="T40" s="104">
        <v>46273.949097222219</v>
      </c>
      <c r="U40" s="104">
        <v>46274.352881944447</v>
      </c>
      <c r="V40" s="104">
        <v>46274.948344907411</v>
      </c>
      <c r="W40" s="104">
        <v>46275.343287037038</v>
      </c>
      <c r="X40" s="104">
        <v>46275.965370370373</v>
      </c>
      <c r="Y40" s="104" t="e">
        <v>#N/A</v>
      </c>
      <c r="Z40" s="104">
        <v>46276.949861111112</v>
      </c>
      <c r="AA40" s="104">
        <v>46277.356481481482</v>
      </c>
      <c r="AB40" s="104">
        <v>46277.961006944446</v>
      </c>
      <c r="AC40" s="104">
        <v>46278.35359953704</v>
      </c>
      <c r="AD40" s="104">
        <v>46278.947048611109</v>
      </c>
      <c r="AE40" s="104">
        <v>46279.351782407408</v>
      </c>
      <c r="AF40" s="104">
        <v>46279.948738425926</v>
      </c>
      <c r="AG40" s="104">
        <v>46280.351504629631</v>
      </c>
      <c r="AH40" s="104">
        <v>46280.947476851848</v>
      </c>
      <c r="AI40" s="90"/>
      <c r="AJ40" s="95">
        <v>23</v>
      </c>
      <c r="AK40" s="104">
        <v>46281.352719907409</v>
      </c>
      <c r="AL40" s="104">
        <v>46281.959039351852</v>
      </c>
      <c r="AM40" s="104">
        <v>46282.353298611109</v>
      </c>
      <c r="AN40" s="104">
        <v>46282.98704861111</v>
      </c>
      <c r="AO40" s="104">
        <v>0</v>
      </c>
      <c r="AP40" s="104">
        <v>46283.956643518519</v>
      </c>
      <c r="AQ40" s="104">
        <v>46284.35297453704</v>
      </c>
      <c r="AR40" s="104">
        <v>46284.932962962965</v>
      </c>
      <c r="AS40" s="104">
        <v>46285.353668981479</v>
      </c>
      <c r="AT40" s="104">
        <v>0</v>
      </c>
      <c r="AU40" s="104">
        <v>46286.350844907407</v>
      </c>
      <c r="AV40" s="104">
        <v>0</v>
      </c>
      <c r="AW40" s="104">
        <v>46287.352361111109</v>
      </c>
      <c r="AX40" s="104">
        <v>46287.979733796295</v>
      </c>
      <c r="AY40" s="104">
        <v>46288.351400462961</v>
      </c>
      <c r="AZ40" s="104">
        <v>46288.946516203701</v>
      </c>
      <c r="BA40" s="104">
        <v>46289.352905092594</v>
      </c>
      <c r="BB40" s="104">
        <v>46289.97314814815</v>
      </c>
      <c r="BC40" s="104">
        <v>46290.577488425923</v>
      </c>
      <c r="BD40" s="104">
        <v>46290.919039351851</v>
      </c>
      <c r="BE40" s="104">
        <v>46291.351805555554</v>
      </c>
      <c r="BF40" s="104">
        <v>46291.966851851852</v>
      </c>
      <c r="BG40" s="104">
        <v>46292.353912037041</v>
      </c>
      <c r="BH40" s="104">
        <v>46292.922233796293</v>
      </c>
      <c r="BI40" s="104">
        <v>46293.353148148148</v>
      </c>
      <c r="BJ40" s="104">
        <v>46293.949224537035</v>
      </c>
      <c r="BK40" s="104">
        <v>46294.353449074071</v>
      </c>
      <c r="BL40" s="104">
        <v>46294.938101851854</v>
      </c>
      <c r="BM40" s="104">
        <v>46295.352812500001</v>
      </c>
      <c r="BN40" s="104">
        <v>46295.948009259257</v>
      </c>
      <c r="BO40" s="103"/>
      <c r="BP40" s="103"/>
      <c r="BQ40" s="13">
        <f t="shared" si="15"/>
        <v>29.5</v>
      </c>
      <c r="BR40" s="47">
        <v>3</v>
      </c>
      <c r="BS40" s="14">
        <f t="shared" si="16"/>
        <v>27.5</v>
      </c>
      <c r="BT40" s="15">
        <f t="shared" si="29"/>
        <v>1</v>
      </c>
      <c r="BU40" s="15">
        <f t="shared" si="30"/>
        <v>0</v>
      </c>
      <c r="BV40" s="15">
        <f t="shared" si="31"/>
        <v>0</v>
      </c>
      <c r="BW40" s="15">
        <f t="shared" si="32"/>
        <v>0</v>
      </c>
      <c r="BX40" s="15">
        <f t="shared" si="33"/>
        <v>0</v>
      </c>
      <c r="BY40" s="15">
        <f t="shared" si="34"/>
        <v>0</v>
      </c>
      <c r="BZ40" s="15">
        <f t="shared" si="35"/>
        <v>1</v>
      </c>
      <c r="CA40" s="15">
        <f t="shared" si="36"/>
        <v>0</v>
      </c>
      <c r="CB40" s="15">
        <f t="shared" si="37"/>
        <v>0</v>
      </c>
      <c r="CC40" s="15">
        <f t="shared" si="38"/>
        <v>0</v>
      </c>
      <c r="CD40" s="15">
        <f t="shared" si="39"/>
        <v>0</v>
      </c>
      <c r="CE40" s="16"/>
      <c r="CH40" s="54">
        <v>0</v>
      </c>
      <c r="CI40" s="54">
        <v>0</v>
      </c>
      <c r="CJ40" s="54">
        <v>0</v>
      </c>
      <c r="CK40" s="54">
        <v>0</v>
      </c>
      <c r="CL40" s="54">
        <v>0</v>
      </c>
      <c r="CM40" s="54">
        <v>5</v>
      </c>
      <c r="CN40" s="54">
        <v>0</v>
      </c>
      <c r="CO40" s="54">
        <v>0</v>
      </c>
      <c r="CP40" s="54">
        <v>0</v>
      </c>
      <c r="CQ40" s="54">
        <v>0</v>
      </c>
      <c r="CR40" s="54">
        <f>SUM(CH40:CQ40)</f>
        <v>5</v>
      </c>
    </row>
    <row r="41" spans="1:96" ht="22.5" customHeight="1" x14ac:dyDescent="0.25">
      <c r="A41" s="96">
        <v>24</v>
      </c>
      <c r="B41" s="8" t="s">
        <v>86</v>
      </c>
      <c r="C41" s="91" t="s">
        <v>87</v>
      </c>
      <c r="D41" s="92">
        <v>46028</v>
      </c>
      <c r="E41" s="104">
        <v>46266.353333333333</v>
      </c>
      <c r="F41" s="104">
        <v>46266.980740740742</v>
      </c>
      <c r="G41" s="104">
        <v>46267.349363425928</v>
      </c>
      <c r="H41" s="104">
        <v>0</v>
      </c>
      <c r="I41" s="104">
        <v>46268.35056712963</v>
      </c>
      <c r="J41" s="104">
        <v>0</v>
      </c>
      <c r="K41" s="161" t="s">
        <v>15</v>
      </c>
      <c r="L41" s="161" t="s">
        <v>15</v>
      </c>
      <c r="M41" s="104">
        <v>46270.349560185183</v>
      </c>
      <c r="N41" s="104">
        <v>0</v>
      </c>
      <c r="O41" s="104">
        <v>46271.349131944444</v>
      </c>
      <c r="P41" s="104">
        <v>0</v>
      </c>
      <c r="Q41" s="104">
        <v>46272.344594907408</v>
      </c>
      <c r="R41" s="104">
        <v>0</v>
      </c>
      <c r="S41" s="104">
        <v>46273.342453703706</v>
      </c>
      <c r="T41" s="104">
        <v>0</v>
      </c>
      <c r="U41" s="104">
        <v>46274.340486111112</v>
      </c>
      <c r="V41" s="104">
        <v>0</v>
      </c>
      <c r="W41" s="104">
        <v>46275.345925925925</v>
      </c>
      <c r="X41" s="104">
        <v>0</v>
      </c>
      <c r="Y41" s="104">
        <v>0</v>
      </c>
      <c r="Z41" s="104">
        <v>46276.923090277778</v>
      </c>
      <c r="AA41" s="104">
        <v>46277.347129629627</v>
      </c>
      <c r="AB41" s="104">
        <v>0</v>
      </c>
      <c r="AC41" s="104">
        <v>46278.343854166669</v>
      </c>
      <c r="AD41" s="104">
        <v>0</v>
      </c>
      <c r="AE41" s="104">
        <v>46279.336076388892</v>
      </c>
      <c r="AF41" s="104">
        <v>0</v>
      </c>
      <c r="AG41" s="104">
        <v>46280.345717592594</v>
      </c>
      <c r="AH41" s="104">
        <v>0</v>
      </c>
      <c r="AI41" s="90"/>
      <c r="AJ41" s="95">
        <v>24</v>
      </c>
      <c r="AK41" s="104">
        <v>46281.342766203707</v>
      </c>
      <c r="AL41" s="104">
        <v>0</v>
      </c>
      <c r="AM41" s="104">
        <v>46282.32912037037</v>
      </c>
      <c r="AN41" s="104">
        <v>0</v>
      </c>
      <c r="AO41" s="104">
        <v>0</v>
      </c>
      <c r="AP41" s="104">
        <v>46283.932222222225</v>
      </c>
      <c r="AQ41" s="104">
        <v>46284.348171296297</v>
      </c>
      <c r="AR41" s="104">
        <v>46284.970046296294</v>
      </c>
      <c r="AS41" s="104">
        <v>46285.343206018515</v>
      </c>
      <c r="AT41" s="104">
        <v>46285.954791666663</v>
      </c>
      <c r="AU41" s="104">
        <v>46286.346851851849</v>
      </c>
      <c r="AV41" s="104">
        <v>46286.946944444448</v>
      </c>
      <c r="AW41" s="104">
        <v>46287.345706018517</v>
      </c>
      <c r="AX41" s="104">
        <v>0</v>
      </c>
      <c r="AY41" s="104">
        <v>46288.346990740742</v>
      </c>
      <c r="AZ41" s="104">
        <v>0</v>
      </c>
      <c r="BA41" s="104">
        <v>0</v>
      </c>
      <c r="BB41" s="104">
        <v>46289.978703703702</v>
      </c>
      <c r="BC41" s="137" t="s">
        <v>15</v>
      </c>
      <c r="BD41" s="137" t="s">
        <v>15</v>
      </c>
      <c r="BE41" s="104">
        <v>46291.345775462964</v>
      </c>
      <c r="BF41" s="104">
        <v>46291.945347222223</v>
      </c>
      <c r="BG41" s="104">
        <v>46292.344733796293</v>
      </c>
      <c r="BH41" s="104">
        <v>46292.968599537038</v>
      </c>
      <c r="BI41" s="104">
        <v>46293.347534722219</v>
      </c>
      <c r="BJ41" s="104">
        <v>0</v>
      </c>
      <c r="BK41" s="104">
        <v>46294.347858796296</v>
      </c>
      <c r="BL41" s="104">
        <v>0</v>
      </c>
      <c r="BM41" s="104">
        <v>46295.346770833334</v>
      </c>
      <c r="BN41" s="104">
        <v>46295.863275462965</v>
      </c>
      <c r="BO41" s="103"/>
      <c r="BP41" s="103"/>
      <c r="BQ41" s="13">
        <f t="shared" si="15"/>
        <v>30</v>
      </c>
      <c r="BR41" s="47">
        <v>2</v>
      </c>
      <c r="BS41" s="14">
        <f t="shared" si="16"/>
        <v>28</v>
      </c>
      <c r="BT41" s="15">
        <f t="shared" si="29"/>
        <v>2</v>
      </c>
      <c r="BU41" s="15">
        <f t="shared" si="30"/>
        <v>0</v>
      </c>
      <c r="BV41" s="15">
        <f t="shared" si="31"/>
        <v>0</v>
      </c>
      <c r="BW41" s="15">
        <f t="shared" si="32"/>
        <v>0</v>
      </c>
      <c r="BX41" s="15">
        <f t="shared" si="33"/>
        <v>0</v>
      </c>
      <c r="BY41" s="15">
        <f t="shared" si="34"/>
        <v>0</v>
      </c>
      <c r="BZ41" s="15">
        <f t="shared" si="35"/>
        <v>0</v>
      </c>
      <c r="CA41" s="15">
        <f t="shared" si="36"/>
        <v>0</v>
      </c>
      <c r="CB41" s="15">
        <f t="shared" si="37"/>
        <v>0</v>
      </c>
      <c r="CC41" s="15">
        <f t="shared" si="38"/>
        <v>0</v>
      </c>
      <c r="CD41" s="15">
        <f t="shared" si="39"/>
        <v>0</v>
      </c>
      <c r="CE41" s="16"/>
      <c r="CH41" s="53">
        <v>0</v>
      </c>
      <c r="CI41" s="53">
        <v>0</v>
      </c>
      <c r="CJ41" s="53">
        <v>0</v>
      </c>
      <c r="CK41" s="53">
        <v>0</v>
      </c>
      <c r="CL41" s="53">
        <v>0</v>
      </c>
      <c r="CM41" s="52">
        <v>0</v>
      </c>
      <c r="CN41" s="53">
        <v>0</v>
      </c>
      <c r="CO41" s="52">
        <v>0</v>
      </c>
      <c r="CP41" s="52">
        <v>0</v>
      </c>
      <c r="CQ41" s="52">
        <v>0</v>
      </c>
      <c r="CR41" s="57">
        <f t="shared" ref="CR41" si="40">SUM(CH41:CQ41)</f>
        <v>0</v>
      </c>
    </row>
    <row r="42" spans="1:96" ht="22.5" customHeight="1" x14ac:dyDescent="0.25">
      <c r="A42" s="96">
        <v>25</v>
      </c>
      <c r="B42" s="8" t="s">
        <v>85</v>
      </c>
      <c r="C42" s="91" t="s">
        <v>88</v>
      </c>
      <c r="D42" s="92">
        <v>46028</v>
      </c>
      <c r="E42" s="104">
        <v>46266.35255787037</v>
      </c>
      <c r="F42" s="104">
        <v>0</v>
      </c>
      <c r="G42" s="104">
        <v>46267.353263888886</v>
      </c>
      <c r="H42" s="104">
        <v>46267.945960648147</v>
      </c>
      <c r="I42" s="104">
        <v>46268.352870370371</v>
      </c>
      <c r="J42" s="104">
        <v>46268.965266203704</v>
      </c>
      <c r="K42" s="161" t="s">
        <v>15</v>
      </c>
      <c r="L42" s="161" t="s">
        <v>15</v>
      </c>
      <c r="M42" s="104">
        <v>46270.349652777775</v>
      </c>
      <c r="N42" s="104">
        <v>46270.959155092591</v>
      </c>
      <c r="O42" s="104">
        <v>46271.354259259257</v>
      </c>
      <c r="P42" s="104">
        <v>46271.945659722223</v>
      </c>
      <c r="Q42" s="104">
        <v>46272.351620370369</v>
      </c>
      <c r="R42" s="104">
        <v>46272.951817129629</v>
      </c>
      <c r="S42" s="104">
        <v>46273.351111111115</v>
      </c>
      <c r="T42" s="104">
        <v>46273.945625</v>
      </c>
      <c r="U42" s="104">
        <v>46274.35019675926</v>
      </c>
      <c r="V42" s="104">
        <v>46274.946747685186</v>
      </c>
      <c r="W42" s="104">
        <v>46275.350347222222</v>
      </c>
      <c r="X42" s="104">
        <v>46275.966215277775</v>
      </c>
      <c r="Y42" s="104">
        <v>0</v>
      </c>
      <c r="Z42" s="104">
        <v>46276.94939814815</v>
      </c>
      <c r="AA42" s="104">
        <v>46277.35392361111</v>
      </c>
      <c r="AB42" s="104">
        <v>46277.963090277779</v>
      </c>
      <c r="AC42" s="104">
        <v>46278.353437500002</v>
      </c>
      <c r="AD42" s="104">
        <v>46278.944409722222</v>
      </c>
      <c r="AE42" s="104">
        <v>46279.349872685183</v>
      </c>
      <c r="AF42" s="104">
        <v>46279.941712962966</v>
      </c>
      <c r="AG42" s="127">
        <v>46280.350115740737</v>
      </c>
      <c r="AH42" s="104">
        <v>46280.946550925924</v>
      </c>
      <c r="AI42" s="90"/>
      <c r="AJ42" s="95">
        <v>25</v>
      </c>
      <c r="AK42" s="104">
        <v>46281.347615740742</v>
      </c>
      <c r="AL42" s="104">
        <v>46281.94394675926</v>
      </c>
      <c r="AM42" s="104">
        <v>46282.346018518518</v>
      </c>
      <c r="AN42" s="104">
        <v>46282.968993055554</v>
      </c>
      <c r="AO42" s="137" t="s">
        <v>15</v>
      </c>
      <c r="AP42" s="137" t="s">
        <v>15</v>
      </c>
      <c r="AQ42" s="104">
        <v>46284.350763888891</v>
      </c>
      <c r="AR42" s="104">
        <v>0</v>
      </c>
      <c r="AS42" s="104">
        <v>46285.348668981482</v>
      </c>
      <c r="AT42" s="104">
        <v>0</v>
      </c>
      <c r="AU42" s="104">
        <v>46286.348368055558</v>
      </c>
      <c r="AV42" s="104">
        <v>0</v>
      </c>
      <c r="AW42" s="104">
        <v>46287.349733796298</v>
      </c>
      <c r="AX42" s="104">
        <v>46287.946076388886</v>
      </c>
      <c r="AY42" s="104">
        <v>46288.349907407406</v>
      </c>
      <c r="AZ42" s="104">
        <v>46288.936331018522</v>
      </c>
      <c r="BA42" s="104">
        <v>46289.349328703705</v>
      </c>
      <c r="BB42" s="104">
        <v>0</v>
      </c>
      <c r="BC42" s="104">
        <v>46290.575925925928</v>
      </c>
      <c r="BD42" s="104">
        <v>0</v>
      </c>
      <c r="BE42" s="104">
        <v>46291.350439814814</v>
      </c>
      <c r="BF42" s="104">
        <v>0</v>
      </c>
      <c r="BG42" s="104">
        <v>46292.350300925929</v>
      </c>
      <c r="BH42" s="104">
        <v>0</v>
      </c>
      <c r="BI42" s="104">
        <v>46293.349687499998</v>
      </c>
      <c r="BJ42" s="104">
        <v>46293.937268518515</v>
      </c>
      <c r="BK42" s="104">
        <v>46294.352951388886</v>
      </c>
      <c r="BL42" s="104">
        <v>46294.949317129627</v>
      </c>
      <c r="BM42" s="104">
        <v>46295.353252314817</v>
      </c>
      <c r="BN42" s="104">
        <v>46295.937534722223</v>
      </c>
      <c r="BO42" s="135"/>
      <c r="BP42" s="135"/>
      <c r="BQ42" s="13">
        <f t="shared" si="15"/>
        <v>30</v>
      </c>
      <c r="BR42" s="47">
        <v>2</v>
      </c>
      <c r="BS42" s="14">
        <f t="shared" si="16"/>
        <v>28</v>
      </c>
      <c r="BT42" s="15">
        <f t="shared" si="29"/>
        <v>2</v>
      </c>
      <c r="BU42" s="15">
        <f t="shared" si="30"/>
        <v>0</v>
      </c>
      <c r="BV42" s="15">
        <f t="shared" si="31"/>
        <v>0</v>
      </c>
      <c r="BW42" s="15">
        <f t="shared" si="32"/>
        <v>0</v>
      </c>
      <c r="BX42" s="15">
        <f t="shared" si="33"/>
        <v>0</v>
      </c>
      <c r="BY42" s="15">
        <f t="shared" si="34"/>
        <v>0</v>
      </c>
      <c r="BZ42" s="15">
        <f t="shared" si="35"/>
        <v>0</v>
      </c>
      <c r="CA42" s="15">
        <f t="shared" si="36"/>
        <v>0</v>
      </c>
      <c r="CB42" s="15">
        <f t="shared" si="37"/>
        <v>0</v>
      </c>
      <c r="CC42" s="15">
        <f t="shared" si="38"/>
        <v>0</v>
      </c>
      <c r="CD42" s="15">
        <f t="shared" si="39"/>
        <v>0</v>
      </c>
      <c r="CE42" s="16"/>
      <c r="CH42" s="54">
        <v>0</v>
      </c>
      <c r="CI42" s="54">
        <v>0</v>
      </c>
      <c r="CJ42" s="54">
        <v>0</v>
      </c>
      <c r="CK42" s="54">
        <v>0</v>
      </c>
      <c r="CL42" s="54">
        <v>0</v>
      </c>
      <c r="CM42" s="54">
        <v>0</v>
      </c>
      <c r="CN42" s="54">
        <v>0</v>
      </c>
      <c r="CO42" s="54">
        <v>0</v>
      </c>
      <c r="CP42" s="54">
        <v>0</v>
      </c>
      <c r="CQ42" s="54">
        <v>0</v>
      </c>
      <c r="CR42" s="54">
        <f>SUM(CH42:CQ42)</f>
        <v>0</v>
      </c>
    </row>
    <row r="43" spans="1:96" ht="22.5" customHeight="1" x14ac:dyDescent="0.25">
      <c r="A43" s="96">
        <v>26</v>
      </c>
      <c r="B43" s="8" t="s">
        <v>89</v>
      </c>
      <c r="C43" s="91" t="s">
        <v>90</v>
      </c>
      <c r="D43" s="92">
        <v>46075</v>
      </c>
      <c r="E43" s="104">
        <v>0</v>
      </c>
      <c r="F43" s="104">
        <v>46266.986655092594</v>
      </c>
      <c r="G43" s="104">
        <v>46267.350092592591</v>
      </c>
      <c r="H43" s="104">
        <v>46267.956006944441</v>
      </c>
      <c r="I43" s="104">
        <v>46268.347256944442</v>
      </c>
      <c r="J43" s="104">
        <v>46268.986111111109</v>
      </c>
      <c r="K43" s="104">
        <v>46269.581064814818</v>
      </c>
      <c r="L43" s="104">
        <v>46269.952488425923</v>
      </c>
      <c r="M43" s="104">
        <v>46270.348935185182</v>
      </c>
      <c r="N43" s="104">
        <v>46270.966597222221</v>
      </c>
      <c r="O43" s="104">
        <v>46271.353217592594</v>
      </c>
      <c r="P43" s="104">
        <v>46271.945057870369</v>
      </c>
      <c r="Q43" s="104">
        <v>46272.352465277778</v>
      </c>
      <c r="R43" s="104">
        <v>46272.947187500002</v>
      </c>
      <c r="S43" s="104">
        <v>46273.352418981478</v>
      </c>
      <c r="T43" s="104">
        <v>46273.948564814818</v>
      </c>
      <c r="U43" s="104">
        <v>46274.352986111109</v>
      </c>
      <c r="V43" s="104">
        <v>46274.947106481479</v>
      </c>
      <c r="W43" s="104">
        <v>46275.353425925925</v>
      </c>
      <c r="X43" s="104">
        <v>46275.965520833335</v>
      </c>
      <c r="Y43" s="161" t="s">
        <v>15</v>
      </c>
      <c r="Z43" s="161" t="s">
        <v>15</v>
      </c>
      <c r="AA43" s="104">
        <v>46277.356226851851</v>
      </c>
      <c r="AB43" s="104">
        <v>46277.958935185183</v>
      </c>
      <c r="AC43" s="104">
        <v>46278.353622685187</v>
      </c>
      <c r="AD43" s="104">
        <v>46278.947002314817</v>
      </c>
      <c r="AE43" s="104">
        <v>46279.351956018516</v>
      </c>
      <c r="AF43" s="104">
        <v>46279.947800925926</v>
      </c>
      <c r="AG43" s="104">
        <v>46280.351331018515</v>
      </c>
      <c r="AH43" s="104">
        <v>46280.946805555555</v>
      </c>
      <c r="AI43" s="90"/>
      <c r="AJ43" s="95">
        <v>26</v>
      </c>
      <c r="AK43" s="104">
        <v>46281.352847222224</v>
      </c>
      <c r="AL43" s="104">
        <v>46281.945856481485</v>
      </c>
      <c r="AM43" s="104">
        <v>46282.353136574071</v>
      </c>
      <c r="AN43" s="104">
        <v>46282.978229166663</v>
      </c>
      <c r="AO43" s="104">
        <v>46283.577928240738</v>
      </c>
      <c r="AP43" s="104">
        <v>46283.9450462963</v>
      </c>
      <c r="AQ43" s="104">
        <v>46284.353159722225</v>
      </c>
      <c r="AR43" s="104">
        <v>0</v>
      </c>
      <c r="AS43" s="104">
        <v>46285.353587962964</v>
      </c>
      <c r="AT43" s="104">
        <v>46285.959143518521</v>
      </c>
      <c r="AU43" s="104">
        <v>46286.350902777776</v>
      </c>
      <c r="AV43" s="104">
        <v>46286.955810185187</v>
      </c>
      <c r="AW43" s="104">
        <v>46287.35224537037</v>
      </c>
      <c r="AX43" s="104">
        <v>46287.944745370369</v>
      </c>
      <c r="AY43" s="104">
        <v>46288.351493055554</v>
      </c>
      <c r="AZ43" s="104">
        <v>46288.946423611109</v>
      </c>
      <c r="BA43" s="104">
        <v>46289.35261574074</v>
      </c>
      <c r="BB43" s="104">
        <v>46289.973935185182</v>
      </c>
      <c r="BC43" s="137" t="s">
        <v>15</v>
      </c>
      <c r="BD43" s="137" t="s">
        <v>15</v>
      </c>
      <c r="BE43" s="104">
        <v>46291.351782407408</v>
      </c>
      <c r="BF43" s="104">
        <v>0</v>
      </c>
      <c r="BG43" s="104">
        <v>46292.353750000002</v>
      </c>
      <c r="BH43" s="104">
        <v>46292.988587962966</v>
      </c>
      <c r="BI43" s="104">
        <v>46293.353113425925</v>
      </c>
      <c r="BJ43" s="104">
        <v>46293.948576388888</v>
      </c>
      <c r="BK43" s="104">
        <v>46294.353356481479</v>
      </c>
      <c r="BL43" s="104">
        <v>46294.948900462965</v>
      </c>
      <c r="BM43" s="104">
        <v>46295.352777777778</v>
      </c>
      <c r="BN43" s="104">
        <v>46295.931712962964</v>
      </c>
      <c r="BO43" s="135"/>
      <c r="BP43" s="135"/>
      <c r="BQ43" s="13">
        <f t="shared" si="15"/>
        <v>30</v>
      </c>
      <c r="BR43" s="47">
        <v>2</v>
      </c>
      <c r="BS43" s="14">
        <f t="shared" si="16"/>
        <v>28</v>
      </c>
      <c r="BT43" s="15">
        <f t="shared" si="29"/>
        <v>2</v>
      </c>
      <c r="BU43" s="15">
        <f t="shared" si="30"/>
        <v>0</v>
      </c>
      <c r="BV43" s="15">
        <f t="shared" si="31"/>
        <v>0</v>
      </c>
      <c r="BW43" s="15">
        <f t="shared" si="32"/>
        <v>0</v>
      </c>
      <c r="BX43" s="15">
        <f t="shared" si="33"/>
        <v>0</v>
      </c>
      <c r="BY43" s="15">
        <f t="shared" si="34"/>
        <v>0</v>
      </c>
      <c r="BZ43" s="15">
        <f t="shared" si="35"/>
        <v>0</v>
      </c>
      <c r="CA43" s="15">
        <f t="shared" si="36"/>
        <v>0</v>
      </c>
      <c r="CB43" s="15">
        <f t="shared" si="37"/>
        <v>0</v>
      </c>
      <c r="CC43" s="15">
        <f t="shared" si="38"/>
        <v>0</v>
      </c>
      <c r="CD43" s="15">
        <f t="shared" si="39"/>
        <v>0</v>
      </c>
      <c r="CE43" s="16"/>
      <c r="CH43" s="53">
        <v>0</v>
      </c>
      <c r="CI43" s="53">
        <v>0</v>
      </c>
      <c r="CJ43" s="53">
        <v>0</v>
      </c>
      <c r="CK43" s="53">
        <v>0</v>
      </c>
      <c r="CL43" s="53">
        <v>0</v>
      </c>
      <c r="CM43" s="52">
        <v>0</v>
      </c>
      <c r="CN43" s="53">
        <v>0</v>
      </c>
      <c r="CO43" s="52">
        <v>0</v>
      </c>
      <c r="CP43" s="52">
        <v>0</v>
      </c>
      <c r="CQ43" s="52">
        <v>0</v>
      </c>
      <c r="CR43" s="57">
        <f t="shared" ref="CR43:CR45" si="41">SUM(CH43:CQ43)</f>
        <v>0</v>
      </c>
    </row>
    <row r="44" spans="1:96" ht="22.5" customHeight="1" x14ac:dyDescent="0.25">
      <c r="A44" s="96">
        <v>27</v>
      </c>
      <c r="B44" s="8" t="s">
        <v>91</v>
      </c>
      <c r="C44" s="91" t="s">
        <v>92</v>
      </c>
      <c r="D44" s="92">
        <v>46078</v>
      </c>
      <c r="E44" s="104">
        <v>46266.351388888892</v>
      </c>
      <c r="F44" s="104">
        <v>46266.956608796296</v>
      </c>
      <c r="G44" s="104">
        <v>46267.341261574074</v>
      </c>
      <c r="H44" s="104">
        <v>0</v>
      </c>
      <c r="I44" s="104">
        <v>46268.334074074075</v>
      </c>
      <c r="J44" s="104">
        <v>0</v>
      </c>
      <c r="K44" s="104">
        <v>46269.576458333337</v>
      </c>
      <c r="L44" s="104">
        <v>0</v>
      </c>
      <c r="M44" s="104">
        <v>46270.349270833336</v>
      </c>
      <c r="N44" s="104">
        <v>0</v>
      </c>
      <c r="O44" s="104">
        <v>46271.347696759258</v>
      </c>
      <c r="P44" s="104">
        <v>0</v>
      </c>
      <c r="Q44" s="104">
        <v>46272.346828703703</v>
      </c>
      <c r="R44" s="104">
        <v>0</v>
      </c>
      <c r="S44" s="104">
        <v>46273.342256944445</v>
      </c>
      <c r="T44" s="104">
        <v>0</v>
      </c>
      <c r="U44" s="104">
        <v>46274.340567129628</v>
      </c>
      <c r="V44" s="104">
        <v>0</v>
      </c>
      <c r="W44" s="104">
        <v>46275.345069444447</v>
      </c>
      <c r="X44" s="104">
        <v>0</v>
      </c>
      <c r="Y44" s="162" t="s">
        <v>15</v>
      </c>
      <c r="Z44" s="162" t="s">
        <v>15</v>
      </c>
      <c r="AA44" s="104">
        <v>46277.341539351852</v>
      </c>
      <c r="AB44" s="104">
        <v>0</v>
      </c>
      <c r="AC44" s="104">
        <v>46278.343715277777</v>
      </c>
      <c r="AD44" s="104">
        <v>0</v>
      </c>
      <c r="AE44" s="104">
        <v>46279.350416666668</v>
      </c>
      <c r="AF44" s="104">
        <v>0</v>
      </c>
      <c r="AG44" s="104">
        <v>46280.344826388886</v>
      </c>
      <c r="AH44" s="104">
        <v>0</v>
      </c>
      <c r="AI44" s="84"/>
      <c r="AJ44" s="95">
        <v>27</v>
      </c>
      <c r="AK44" s="104">
        <v>46281.344953703701</v>
      </c>
      <c r="AL44" s="104">
        <v>0</v>
      </c>
      <c r="AM44" s="104">
        <v>46282.345925925925</v>
      </c>
      <c r="AN44" s="104">
        <v>0</v>
      </c>
      <c r="AO44" s="104">
        <v>46283.576018518521</v>
      </c>
      <c r="AP44" s="104">
        <v>46283.946747685186</v>
      </c>
      <c r="AQ44" s="104">
        <v>46284.345439814817</v>
      </c>
      <c r="AR44" s="104">
        <v>46284.967997685184</v>
      </c>
      <c r="AS44" s="104">
        <v>46285.342962962961</v>
      </c>
      <c r="AT44" s="104">
        <v>46285.947916666664</v>
      </c>
      <c r="AU44" s="104">
        <v>46286.344270833331</v>
      </c>
      <c r="AV44" s="104">
        <v>46286.946342592593</v>
      </c>
      <c r="AW44" s="104">
        <v>46287.345590277779</v>
      </c>
      <c r="AX44" s="104">
        <v>0</v>
      </c>
      <c r="AY44" s="104">
        <v>46288.346493055556</v>
      </c>
      <c r="AZ44" s="104">
        <v>0</v>
      </c>
      <c r="BA44" s="104">
        <v>46289.346851851849</v>
      </c>
      <c r="BB44" s="104">
        <v>46289.971736111111</v>
      </c>
      <c r="BC44" s="137" t="s">
        <v>15</v>
      </c>
      <c r="BD44" s="137" t="s">
        <v>15</v>
      </c>
      <c r="BE44" s="104">
        <v>46291.345833333333</v>
      </c>
      <c r="BF44" s="104">
        <v>46291.971134259256</v>
      </c>
      <c r="BG44" s="104">
        <v>46292.346666666665</v>
      </c>
      <c r="BH44" s="104">
        <v>46292.946643518517</v>
      </c>
      <c r="BI44" s="104">
        <v>46293.348067129627</v>
      </c>
      <c r="BJ44" s="104">
        <v>0</v>
      </c>
      <c r="BK44" s="104">
        <v>46294.34033564815</v>
      </c>
      <c r="BL44" s="104">
        <v>0</v>
      </c>
      <c r="BM44" s="104">
        <v>46295.346828703703</v>
      </c>
      <c r="BN44" s="104">
        <v>46295.863229166665</v>
      </c>
      <c r="BO44" s="103"/>
      <c r="BP44" s="103"/>
      <c r="BQ44" s="13">
        <f t="shared" si="15"/>
        <v>30</v>
      </c>
      <c r="BR44" s="47">
        <v>2</v>
      </c>
      <c r="BS44" s="14">
        <f t="shared" si="16"/>
        <v>28</v>
      </c>
      <c r="BT44" s="15">
        <f t="shared" si="29"/>
        <v>2</v>
      </c>
      <c r="BU44" s="15">
        <f t="shared" si="30"/>
        <v>0</v>
      </c>
      <c r="BV44" s="15">
        <f t="shared" si="31"/>
        <v>0</v>
      </c>
      <c r="BW44" s="15">
        <f t="shared" si="32"/>
        <v>0</v>
      </c>
      <c r="BX44" s="15">
        <f t="shared" si="33"/>
        <v>0</v>
      </c>
      <c r="BY44" s="15">
        <f t="shared" si="34"/>
        <v>0</v>
      </c>
      <c r="BZ44" s="15">
        <f t="shared" si="35"/>
        <v>0</v>
      </c>
      <c r="CA44" s="15">
        <f t="shared" si="36"/>
        <v>0</v>
      </c>
      <c r="CB44" s="15">
        <f t="shared" si="37"/>
        <v>0</v>
      </c>
      <c r="CC44" s="15">
        <f t="shared" si="38"/>
        <v>0</v>
      </c>
      <c r="CD44" s="15">
        <f t="shared" si="39"/>
        <v>0</v>
      </c>
      <c r="CE44" s="16"/>
      <c r="CH44" s="54">
        <v>0</v>
      </c>
      <c r="CI44" s="54">
        <v>0</v>
      </c>
      <c r="CJ44" s="54">
        <v>0</v>
      </c>
      <c r="CK44" s="54">
        <v>0</v>
      </c>
      <c r="CL44" s="54">
        <v>0</v>
      </c>
      <c r="CM44" s="54">
        <v>0</v>
      </c>
      <c r="CN44" s="54">
        <v>0</v>
      </c>
      <c r="CO44" s="54">
        <v>0</v>
      </c>
      <c r="CP44" s="54">
        <v>0</v>
      </c>
      <c r="CQ44" s="54">
        <v>0</v>
      </c>
      <c r="CR44" s="54">
        <f t="shared" si="41"/>
        <v>0</v>
      </c>
    </row>
    <row r="45" spans="1:96" ht="22.5" customHeight="1" x14ac:dyDescent="0.25">
      <c r="A45" s="96">
        <v>28</v>
      </c>
      <c r="B45" s="83" t="s">
        <v>97</v>
      </c>
      <c r="C45" s="93" t="s">
        <v>98</v>
      </c>
      <c r="D45" s="92">
        <v>46162</v>
      </c>
      <c r="E45" s="104">
        <v>46266.342303240737</v>
      </c>
      <c r="F45" s="104">
        <v>46266.730543981481</v>
      </c>
      <c r="G45" s="104">
        <v>46267.351759259262</v>
      </c>
      <c r="H45" s="104">
        <v>0</v>
      </c>
      <c r="I45" s="104">
        <v>46268.351145833331</v>
      </c>
      <c r="J45" s="104">
        <v>0</v>
      </c>
      <c r="K45" s="104">
        <v>46269.578043981484</v>
      </c>
      <c r="L45" s="104">
        <v>0</v>
      </c>
      <c r="M45" s="104">
        <v>46270.342627314814</v>
      </c>
      <c r="N45" s="104">
        <v>0</v>
      </c>
      <c r="O45" s="104">
        <v>46271.345277777778</v>
      </c>
      <c r="P45" s="104">
        <v>0</v>
      </c>
      <c r="Q45" s="104">
        <v>46272.341354166667</v>
      </c>
      <c r="R45" s="104">
        <v>0</v>
      </c>
      <c r="S45" s="104">
        <v>46273.340486111112</v>
      </c>
      <c r="T45" s="104">
        <v>0</v>
      </c>
      <c r="U45" s="104">
        <v>46274.341956018521</v>
      </c>
      <c r="V45" s="104">
        <v>0</v>
      </c>
      <c r="W45" s="104">
        <v>46275.339722222219</v>
      </c>
      <c r="X45" s="104">
        <v>0</v>
      </c>
      <c r="Y45" s="162" t="s">
        <v>15</v>
      </c>
      <c r="Z45" s="162" t="s">
        <v>15</v>
      </c>
      <c r="AA45" s="104">
        <v>46277.346747685187</v>
      </c>
      <c r="AB45" s="104">
        <v>0</v>
      </c>
      <c r="AC45" s="104">
        <v>46278.337083333332</v>
      </c>
      <c r="AD45" s="104">
        <v>0</v>
      </c>
      <c r="AE45" s="104">
        <v>46279.346979166665</v>
      </c>
      <c r="AF45" s="104">
        <v>0</v>
      </c>
      <c r="AG45" s="104">
        <v>46280.345266203702</v>
      </c>
      <c r="AH45" s="104">
        <v>0</v>
      </c>
      <c r="AI45" s="90"/>
      <c r="AJ45" s="95">
        <v>28</v>
      </c>
      <c r="AK45" s="104">
        <v>46281.342175925929</v>
      </c>
      <c r="AL45" s="104">
        <v>0</v>
      </c>
      <c r="AM45" s="104">
        <v>46282.345717592594</v>
      </c>
      <c r="AN45" s="104">
        <v>0</v>
      </c>
      <c r="AO45" s="104">
        <v>46283.57671296296</v>
      </c>
      <c r="AP45" s="104">
        <v>0</v>
      </c>
      <c r="AQ45" s="104">
        <v>46284.342604166668</v>
      </c>
      <c r="AR45" s="104">
        <v>0</v>
      </c>
      <c r="AS45" s="104">
        <v>46285.343981481485</v>
      </c>
      <c r="AT45" s="104">
        <v>0</v>
      </c>
      <c r="AU45" s="104">
        <v>46286.345231481479</v>
      </c>
      <c r="AV45" s="104">
        <v>0</v>
      </c>
      <c r="AW45" s="104">
        <v>46287.34033564815</v>
      </c>
      <c r="AX45" s="104">
        <v>0</v>
      </c>
      <c r="AY45" s="104">
        <v>46288.340879629628</v>
      </c>
      <c r="AZ45" s="104">
        <v>0</v>
      </c>
      <c r="BA45" s="104">
        <v>46289.343865740739</v>
      </c>
      <c r="BB45" s="104">
        <v>0</v>
      </c>
      <c r="BC45" s="137" t="s">
        <v>15</v>
      </c>
      <c r="BD45" s="137" t="s">
        <v>15</v>
      </c>
      <c r="BE45" s="104">
        <v>46291.343182870369</v>
      </c>
      <c r="BF45" s="104">
        <v>0</v>
      </c>
      <c r="BG45" s="104">
        <v>46292.344583333332</v>
      </c>
      <c r="BH45" s="104">
        <v>0</v>
      </c>
      <c r="BI45" s="104">
        <v>46293.346006944441</v>
      </c>
      <c r="BJ45" s="104">
        <v>0</v>
      </c>
      <c r="BK45" s="104">
        <v>46294.345995370371</v>
      </c>
      <c r="BL45" s="104">
        <v>0</v>
      </c>
      <c r="BM45" s="104">
        <v>46295.345694444448</v>
      </c>
      <c r="BN45" s="104">
        <v>46295.863391203704</v>
      </c>
      <c r="BO45" s="135"/>
      <c r="BP45" s="135"/>
      <c r="BQ45" s="13">
        <f>BS45+BT45+BU45+BV45+CA45+BY45+BZ45+CD45</f>
        <v>30</v>
      </c>
      <c r="BR45" s="47">
        <v>2</v>
      </c>
      <c r="BS45" s="14">
        <f t="shared" si="16"/>
        <v>28</v>
      </c>
      <c r="BT45" s="15">
        <f t="shared" si="29"/>
        <v>2</v>
      </c>
      <c r="BU45" s="15">
        <f t="shared" si="30"/>
        <v>0</v>
      </c>
      <c r="BV45" s="15">
        <f t="shared" si="31"/>
        <v>0</v>
      </c>
      <c r="BW45" s="15">
        <f t="shared" si="32"/>
        <v>0</v>
      </c>
      <c r="BX45" s="15">
        <f t="shared" si="33"/>
        <v>0</v>
      </c>
      <c r="BY45" s="15">
        <f t="shared" si="34"/>
        <v>0</v>
      </c>
      <c r="BZ45" s="15">
        <f t="shared" si="35"/>
        <v>0</v>
      </c>
      <c r="CA45" s="15">
        <f t="shared" si="36"/>
        <v>0</v>
      </c>
      <c r="CB45" s="15">
        <f t="shared" si="37"/>
        <v>0</v>
      </c>
      <c r="CC45" s="15">
        <f t="shared" si="38"/>
        <v>0</v>
      </c>
      <c r="CD45" s="15">
        <f t="shared" si="39"/>
        <v>0</v>
      </c>
      <c r="CE45" s="133"/>
      <c r="CH45" s="53">
        <v>0</v>
      </c>
      <c r="CI45" s="53">
        <v>0</v>
      </c>
      <c r="CJ45" s="53">
        <v>0</v>
      </c>
      <c r="CK45" s="53">
        <v>0</v>
      </c>
      <c r="CL45" s="53">
        <v>0</v>
      </c>
      <c r="CM45" s="52">
        <v>0</v>
      </c>
      <c r="CN45" s="53">
        <v>0</v>
      </c>
      <c r="CO45" s="52">
        <v>0</v>
      </c>
      <c r="CP45" s="52">
        <v>0</v>
      </c>
      <c r="CQ45" s="52">
        <v>0</v>
      </c>
      <c r="CR45" s="57">
        <f t="shared" si="41"/>
        <v>0</v>
      </c>
    </row>
    <row r="46" spans="1:96" ht="22.5" customHeight="1" x14ac:dyDescent="0.25">
      <c r="A46" s="96">
        <v>29</v>
      </c>
      <c r="B46" s="83" t="s">
        <v>107</v>
      </c>
      <c r="C46" s="93" t="s">
        <v>108</v>
      </c>
      <c r="D46" s="92">
        <v>46208</v>
      </c>
      <c r="E46" s="104">
        <v>46266.348611111112</v>
      </c>
      <c r="F46" s="104">
        <v>0</v>
      </c>
      <c r="G46" s="104">
        <v>46267.349247685182</v>
      </c>
      <c r="H46" s="104">
        <v>46267.952326388891</v>
      </c>
      <c r="I46" s="104">
        <v>46268.347581018519</v>
      </c>
      <c r="J46" s="104">
        <v>46268.963425925926</v>
      </c>
      <c r="K46" s="104">
        <v>46269.579270833332</v>
      </c>
      <c r="L46" s="104">
        <v>46269.953067129631</v>
      </c>
      <c r="M46" s="104">
        <v>46270.348136574074</v>
      </c>
      <c r="N46" s="104">
        <v>46270.972384259258</v>
      </c>
      <c r="O46" s="104">
        <v>46271.350393518522</v>
      </c>
      <c r="P46" s="104">
        <v>46271.95113425926</v>
      </c>
      <c r="Q46" s="104">
        <v>46272.35019675926</v>
      </c>
      <c r="R46" s="104">
        <v>46272.951874999999</v>
      </c>
      <c r="S46" s="104">
        <v>46273.350856481484</v>
      </c>
      <c r="T46" s="104">
        <v>46273.952708333331</v>
      </c>
      <c r="U46" s="104">
        <v>46274.349444444444</v>
      </c>
      <c r="V46" s="104">
        <v>46274.950497685182</v>
      </c>
      <c r="W46" s="104">
        <v>46275.349745370368</v>
      </c>
      <c r="X46" s="104">
        <v>46275.966597222221</v>
      </c>
      <c r="Y46" s="161" t="s">
        <v>15</v>
      </c>
      <c r="Z46" s="161" t="s">
        <v>15</v>
      </c>
      <c r="AA46" s="104">
        <v>46277.353344907409</v>
      </c>
      <c r="AB46" s="104">
        <v>0</v>
      </c>
      <c r="AC46" s="104">
        <v>46278.350636574076</v>
      </c>
      <c r="AD46" s="104">
        <v>0</v>
      </c>
      <c r="AE46" s="104">
        <v>46279.348344907405</v>
      </c>
      <c r="AF46" s="104">
        <v>46279.949618055558</v>
      </c>
      <c r="AG46" s="104">
        <v>46280.348611111112</v>
      </c>
      <c r="AH46" s="104">
        <v>46280.955613425926</v>
      </c>
      <c r="AI46" s="160"/>
      <c r="AJ46" s="95">
        <v>29</v>
      </c>
      <c r="AK46" s="104">
        <v>46281.350011574075</v>
      </c>
      <c r="AL46" s="104">
        <v>46281.953564814816</v>
      </c>
      <c r="AM46" s="104">
        <v>46282.347361111111</v>
      </c>
      <c r="AN46" s="104">
        <v>46281.953564814816</v>
      </c>
      <c r="AO46" s="104">
        <v>46283.572256944448</v>
      </c>
      <c r="AP46" s="104">
        <v>46283.94866898148</v>
      </c>
      <c r="AQ46" s="104">
        <v>46284.353680555556</v>
      </c>
      <c r="AR46" s="104">
        <v>46284.961631944447</v>
      </c>
      <c r="AS46" s="104">
        <v>46285.35596064815</v>
      </c>
      <c r="AT46" s="104">
        <v>0</v>
      </c>
      <c r="AU46" s="104">
        <v>46286.349351851852</v>
      </c>
      <c r="AV46" s="104">
        <v>46286.950173611112</v>
      </c>
      <c r="AW46" s="104">
        <v>46287.345671296294</v>
      </c>
      <c r="AX46" s="104">
        <v>46287.95076388889</v>
      </c>
      <c r="AY46" s="104">
        <v>46288.348807870374</v>
      </c>
      <c r="AZ46" s="104">
        <v>46288.952465277776</v>
      </c>
      <c r="BA46" s="104">
        <v>46289.345613425925</v>
      </c>
      <c r="BB46" s="104">
        <v>46289.968576388892</v>
      </c>
      <c r="BC46" s="137" t="s">
        <v>15</v>
      </c>
      <c r="BD46" s="137" t="s">
        <v>15</v>
      </c>
      <c r="BE46" s="104">
        <v>46291.350034722222</v>
      </c>
      <c r="BF46" s="104">
        <v>46291.971250000002</v>
      </c>
      <c r="BG46" s="104">
        <v>46292.350208333337</v>
      </c>
      <c r="BH46" s="104">
        <v>46292.943101851852</v>
      </c>
      <c r="BI46" s="104">
        <v>46293.350185185183</v>
      </c>
      <c r="BJ46" s="104">
        <v>46293.948912037034</v>
      </c>
      <c r="BK46" s="104">
        <v>46294.349050925928</v>
      </c>
      <c r="BL46" s="104">
        <v>46294.95034722222</v>
      </c>
      <c r="BM46" s="104">
        <v>46295.349432870367</v>
      </c>
      <c r="BN46" s="104">
        <v>46295.945416666669</v>
      </c>
      <c r="BO46" s="103"/>
      <c r="BP46" s="103"/>
      <c r="BQ46" s="13">
        <f t="shared" ref="BQ46" si="42">BS46+BT46+BU46+BV46+CA46+BY46+BZ46+CD46</f>
        <v>30</v>
      </c>
      <c r="BR46" s="47">
        <v>2</v>
      </c>
      <c r="BS46" s="14">
        <f t="shared" si="16"/>
        <v>28</v>
      </c>
      <c r="BT46" s="15">
        <f t="shared" si="29"/>
        <v>2</v>
      </c>
      <c r="BU46" s="15">
        <f t="shared" si="30"/>
        <v>0</v>
      </c>
      <c r="BV46" s="15">
        <f t="shared" si="31"/>
        <v>0</v>
      </c>
      <c r="BW46" s="15">
        <f t="shared" si="32"/>
        <v>0</v>
      </c>
      <c r="BX46" s="15">
        <f t="shared" si="33"/>
        <v>0</v>
      </c>
      <c r="BY46" s="15">
        <f t="shared" si="34"/>
        <v>0</v>
      </c>
      <c r="BZ46" s="15">
        <f t="shared" si="35"/>
        <v>0</v>
      </c>
      <c r="CA46" s="15">
        <f t="shared" si="36"/>
        <v>0</v>
      </c>
      <c r="CB46" s="15">
        <f t="shared" si="37"/>
        <v>0</v>
      </c>
      <c r="CC46" s="15">
        <f t="shared" si="38"/>
        <v>0</v>
      </c>
      <c r="CD46" s="15">
        <f t="shared" si="39"/>
        <v>0</v>
      </c>
      <c r="CE46" s="16"/>
      <c r="CH46" s="130">
        <v>0</v>
      </c>
      <c r="CI46" s="130">
        <v>0</v>
      </c>
      <c r="CJ46" s="130">
        <v>0</v>
      </c>
      <c r="CK46" s="130">
        <v>0</v>
      </c>
      <c r="CL46" s="130">
        <v>0</v>
      </c>
      <c r="CM46" s="131">
        <v>0</v>
      </c>
      <c r="CN46" s="130">
        <v>0</v>
      </c>
      <c r="CO46" s="131">
        <v>0</v>
      </c>
      <c r="CP46" s="131">
        <v>0</v>
      </c>
      <c r="CQ46" s="131">
        <v>0</v>
      </c>
      <c r="CR46" s="132">
        <f t="shared" ref="CR46" si="43">SUM(CH46:CQ46)</f>
        <v>0</v>
      </c>
    </row>
    <row r="47" spans="1:96" ht="15.75" thickBot="1" x14ac:dyDescent="0.3">
      <c r="A47" s="111"/>
      <c r="C47" s="18"/>
      <c r="AI47" s="90"/>
      <c r="AK47" s="61"/>
    </row>
    <row r="48" spans="1:96" ht="16.5" thickBot="1" x14ac:dyDescent="0.3">
      <c r="F48" s="222" t="s">
        <v>62</v>
      </c>
      <c r="G48" s="222"/>
      <c r="H48" s="222"/>
      <c r="I48" s="23"/>
      <c r="J48" s="20"/>
      <c r="K48" s="20"/>
      <c r="L48" s="21"/>
      <c r="M48" s="22"/>
      <c r="N48" s="222" t="s">
        <v>63</v>
      </c>
      <c r="O48" s="222"/>
      <c r="P48" s="222"/>
      <c r="Q48" s="222"/>
      <c r="R48" s="21"/>
      <c r="S48" s="21"/>
      <c r="T48" s="21"/>
      <c r="U48" s="21" t="s">
        <v>81</v>
      </c>
      <c r="V48" s="21"/>
      <c r="W48" s="21"/>
      <c r="X48" s="21"/>
      <c r="Y48" s="24" t="s">
        <v>64</v>
      </c>
      <c r="Z48" s="21"/>
      <c r="AK48" s="60"/>
      <c r="BR48" s="33" t="s">
        <v>70</v>
      </c>
      <c r="BS48" s="34"/>
      <c r="BT48" s="34"/>
      <c r="BU48" s="35" t="s">
        <v>15</v>
      </c>
      <c r="BV48" s="36"/>
      <c r="BW48" s="37" t="s">
        <v>71</v>
      </c>
      <c r="BX48" s="38"/>
      <c r="BY48" s="38"/>
      <c r="BZ48" s="39"/>
      <c r="CA48" s="40" t="s">
        <v>21</v>
      </c>
    </row>
    <row r="49" spans="1:96" ht="17.25" x14ac:dyDescent="0.25">
      <c r="F49" s="25"/>
      <c r="G49" s="20"/>
      <c r="H49" s="20"/>
      <c r="I49" s="20"/>
      <c r="J49" s="20"/>
      <c r="K49" s="20"/>
      <c r="L49" s="20"/>
      <c r="M49" s="26"/>
      <c r="O49" s="26"/>
      <c r="P49" s="26"/>
      <c r="Q49" s="20"/>
      <c r="R49" s="20"/>
      <c r="S49" s="27"/>
      <c r="T49" s="27"/>
      <c r="U49" s="27"/>
      <c r="V49" s="27"/>
      <c r="W49" s="27"/>
      <c r="X49" s="27"/>
      <c r="Y49" s="28"/>
      <c r="Z49" s="28"/>
      <c r="AN49" s="222" t="s">
        <v>62</v>
      </c>
      <c r="AO49" s="222"/>
      <c r="AP49" s="222"/>
      <c r="AQ49" s="23"/>
      <c r="AR49" s="20"/>
      <c r="AS49" s="20"/>
      <c r="AT49" s="21"/>
      <c r="AU49" s="22"/>
      <c r="AW49" s="22"/>
      <c r="AX49" s="24" t="s">
        <v>63</v>
      </c>
      <c r="AY49" s="24"/>
      <c r="AZ49" s="21"/>
      <c r="BA49" s="21"/>
      <c r="BB49" s="21"/>
      <c r="BC49" s="21" t="s">
        <v>81</v>
      </c>
      <c r="BD49" s="21"/>
      <c r="BE49" s="21"/>
      <c r="BF49" s="21"/>
      <c r="BG49" s="24" t="s">
        <v>64</v>
      </c>
      <c r="BH49" s="21"/>
      <c r="BR49" s="33" t="s">
        <v>72</v>
      </c>
      <c r="BS49" s="34"/>
      <c r="BT49" s="34"/>
      <c r="BU49" s="35" t="s">
        <v>16</v>
      </c>
      <c r="BV49" s="36"/>
      <c r="BW49" s="41" t="s">
        <v>73</v>
      </c>
      <c r="BX49" s="42"/>
      <c r="BY49" s="42"/>
      <c r="BZ49" s="39"/>
      <c r="CA49" s="40" t="s">
        <v>22</v>
      </c>
    </row>
    <row r="50" spans="1:96" ht="17.25" x14ac:dyDescent="0.25">
      <c r="F50" s="32"/>
      <c r="G50" s="29"/>
      <c r="H50" s="20"/>
      <c r="I50" s="29"/>
      <c r="J50" s="20"/>
      <c r="K50" s="20"/>
      <c r="L50" s="29"/>
      <c r="M50" s="30"/>
      <c r="O50" s="30"/>
      <c r="P50" s="26"/>
      <c r="Q50" s="21"/>
      <c r="R50" s="29"/>
      <c r="S50" s="21"/>
      <c r="T50" s="20"/>
      <c r="U50" s="20"/>
      <c r="V50" s="20"/>
      <c r="W50" s="20"/>
      <c r="X50" s="20"/>
      <c r="Y50" s="31"/>
      <c r="Z50" s="31"/>
      <c r="AN50" s="25"/>
      <c r="AO50" s="20"/>
      <c r="AP50" s="20"/>
      <c r="AQ50" s="20"/>
      <c r="AR50" s="20"/>
      <c r="AS50" s="20"/>
      <c r="AT50" s="20"/>
      <c r="AU50" s="26"/>
      <c r="AW50" s="26"/>
      <c r="AX50" s="26"/>
      <c r="AY50" s="20"/>
      <c r="AZ50" s="20"/>
      <c r="BA50" s="27"/>
      <c r="BB50" s="27"/>
      <c r="BC50" s="27"/>
      <c r="BD50" s="27"/>
      <c r="BE50" s="27"/>
      <c r="BF50" s="27"/>
      <c r="BG50" s="28"/>
      <c r="BH50" s="28"/>
      <c r="BR50" s="33" t="s">
        <v>76</v>
      </c>
      <c r="BS50" s="34"/>
      <c r="BT50" s="34"/>
      <c r="BU50" s="35" t="s">
        <v>18</v>
      </c>
      <c r="BV50" s="36"/>
      <c r="BW50" s="37" t="s">
        <v>77</v>
      </c>
      <c r="BX50" s="38"/>
      <c r="BY50" s="38"/>
      <c r="BZ50" s="39"/>
      <c r="CA50" s="40" t="s">
        <v>24</v>
      </c>
    </row>
    <row r="51" spans="1:96" ht="17.25" x14ac:dyDescent="0.25">
      <c r="F51" s="223" t="s">
        <v>115</v>
      </c>
      <c r="G51" s="223"/>
      <c r="H51" s="223"/>
      <c r="I51" s="80"/>
      <c r="J51" s="76"/>
      <c r="K51" s="76"/>
      <c r="L51" s="75"/>
      <c r="M51" s="78"/>
      <c r="N51" s="77"/>
      <c r="O51" s="81" t="s">
        <v>65</v>
      </c>
      <c r="P51" s="76"/>
      <c r="Q51" s="76"/>
      <c r="R51" s="19"/>
      <c r="S51" s="76"/>
      <c r="T51" s="76"/>
      <c r="U51" s="76"/>
      <c r="V51" s="76"/>
      <c r="W51" s="76"/>
      <c r="X51" s="76"/>
      <c r="Y51" s="81" t="s">
        <v>66</v>
      </c>
      <c r="Z51" s="79"/>
      <c r="AN51" s="32"/>
      <c r="AO51" s="29"/>
      <c r="AP51" s="20"/>
      <c r="AQ51" s="29"/>
      <c r="AR51" s="20"/>
      <c r="AS51" s="20"/>
      <c r="AT51" s="29"/>
      <c r="AU51" s="30"/>
      <c r="AW51" s="30"/>
      <c r="AX51" s="26"/>
      <c r="AY51" s="21"/>
      <c r="AZ51" s="29"/>
      <c r="BA51" s="21"/>
      <c r="BB51" s="20"/>
      <c r="BC51" s="20"/>
      <c r="BD51" s="20"/>
      <c r="BE51" s="20"/>
      <c r="BF51" s="20"/>
      <c r="BG51" s="31"/>
      <c r="BH51" s="31"/>
      <c r="BR51" s="33" t="s">
        <v>78</v>
      </c>
      <c r="BS51" s="34"/>
      <c r="BT51" s="34"/>
      <c r="BU51" s="35" t="s">
        <v>19</v>
      </c>
      <c r="BV51" s="36"/>
      <c r="BW51" s="37" t="s">
        <v>79</v>
      </c>
      <c r="BX51" s="38"/>
      <c r="BY51" s="38"/>
      <c r="BZ51" s="39"/>
      <c r="CA51" s="40" t="s">
        <v>25</v>
      </c>
    </row>
    <row r="52" spans="1:96" ht="17.25" x14ac:dyDescent="0.25">
      <c r="F52" s="223" t="s">
        <v>67</v>
      </c>
      <c r="G52" s="223"/>
      <c r="H52" s="223"/>
      <c r="I52" s="74"/>
      <c r="J52" s="76"/>
      <c r="K52" s="76"/>
      <c r="L52" s="81"/>
      <c r="M52" s="82"/>
      <c r="N52" s="82"/>
      <c r="O52" s="81" t="s">
        <v>68</v>
      </c>
      <c r="P52" s="81"/>
      <c r="Q52" s="81"/>
      <c r="R52" s="19"/>
      <c r="S52" s="81"/>
      <c r="T52" s="76"/>
      <c r="U52" s="76"/>
      <c r="V52" s="76"/>
      <c r="W52" s="76"/>
      <c r="X52" s="76"/>
      <c r="Y52" s="81" t="s">
        <v>69</v>
      </c>
      <c r="Z52" s="79"/>
      <c r="AN52" s="223" t="s">
        <v>115</v>
      </c>
      <c r="AO52" s="223"/>
      <c r="AP52" s="223"/>
      <c r="AQ52" s="80"/>
      <c r="AR52" s="76"/>
      <c r="AS52" s="76"/>
      <c r="AT52" s="75"/>
      <c r="AU52" s="78"/>
      <c r="AW52" s="77"/>
      <c r="AX52" s="81" t="s">
        <v>65</v>
      </c>
      <c r="AY52" s="76"/>
      <c r="AZ52" s="19"/>
      <c r="BA52" s="76"/>
      <c r="BB52" s="76"/>
      <c r="BC52" s="76"/>
      <c r="BD52" s="76"/>
      <c r="BE52" s="76"/>
      <c r="BF52" s="76"/>
      <c r="BG52" s="81" t="s">
        <v>66</v>
      </c>
      <c r="BH52" s="79"/>
      <c r="BR52" s="33" t="s">
        <v>80</v>
      </c>
      <c r="BS52" s="34"/>
      <c r="BT52" s="34"/>
      <c r="BU52" s="35" t="s">
        <v>20</v>
      </c>
      <c r="BV52" s="36"/>
      <c r="BW52" s="36"/>
      <c r="BX52" s="36"/>
      <c r="BY52" s="36"/>
      <c r="BZ52" s="36"/>
      <c r="CA52" s="36"/>
    </row>
    <row r="53" spans="1:96" ht="17.25" x14ac:dyDescent="0.25">
      <c r="AN53" s="223" t="s">
        <v>67</v>
      </c>
      <c r="AO53" s="223"/>
      <c r="AP53" s="223"/>
      <c r="AQ53" s="74"/>
      <c r="AR53" s="76"/>
      <c r="AS53" s="76"/>
      <c r="AT53" s="81"/>
      <c r="AU53" s="82"/>
      <c r="AW53" s="82"/>
      <c r="AX53" s="81" t="s">
        <v>68</v>
      </c>
      <c r="AY53" s="81"/>
      <c r="AZ53" s="19"/>
      <c r="BA53" s="81"/>
      <c r="BB53" s="76"/>
      <c r="BC53" s="76"/>
      <c r="BD53" s="76"/>
      <c r="BE53" s="76"/>
      <c r="BF53" s="76"/>
      <c r="BG53" s="81" t="s">
        <v>69</v>
      </c>
      <c r="BH53" s="79"/>
    </row>
    <row r="57" spans="1:96" ht="15.75" x14ac:dyDescent="0.25">
      <c r="K57" s="19"/>
      <c r="N57" s="20"/>
    </row>
    <row r="62" spans="1:96" x14ac:dyDescent="0.25">
      <c r="J62" t="s">
        <v>81</v>
      </c>
    </row>
    <row r="63" spans="1:96" ht="22.5" customHeight="1" x14ac:dyDescent="0.25">
      <c r="A63" s="96">
        <v>7</v>
      </c>
      <c r="B63" s="106" t="str">
        <f>'[1]Hulhumale Staffs_ Sep 2025'!B11</f>
        <v>MAD0699</v>
      </c>
      <c r="C63" s="107" t="s">
        <v>32</v>
      </c>
      <c r="D63" s="108">
        <v>45837</v>
      </c>
      <c r="E63" s="104">
        <v>46266.342453703706</v>
      </c>
      <c r="F63" s="104">
        <v>46264.950995370367</v>
      </c>
      <c r="G63" s="104">
        <v>46267.343472222223</v>
      </c>
      <c r="H63" s="104">
        <v>0</v>
      </c>
      <c r="I63" s="104">
        <v>46268.33017361111</v>
      </c>
      <c r="J63" s="104">
        <v>0</v>
      </c>
      <c r="K63" s="104">
        <v>46269.579340277778</v>
      </c>
      <c r="L63" s="104">
        <v>46269.998391203706</v>
      </c>
      <c r="M63" s="104">
        <v>46270.352870370371</v>
      </c>
      <c r="N63" s="104">
        <v>46270.999976851854</v>
      </c>
      <c r="O63" s="104">
        <v>46271.345219907409</v>
      </c>
      <c r="P63" s="104">
        <v>0</v>
      </c>
      <c r="Q63" s="104">
        <v>46272.346817129626</v>
      </c>
      <c r="R63" s="104">
        <v>0</v>
      </c>
      <c r="S63" s="104">
        <v>46273.312314814815</v>
      </c>
      <c r="T63" s="104">
        <v>0</v>
      </c>
      <c r="U63" s="104">
        <v>46274.335335648146</v>
      </c>
      <c r="V63" s="104">
        <v>0</v>
      </c>
      <c r="W63" s="104">
        <v>46275.35292824074</v>
      </c>
      <c r="X63" s="104">
        <v>0</v>
      </c>
      <c r="Y63" s="162" t="s">
        <v>15</v>
      </c>
      <c r="Z63" s="162" t="s">
        <v>15</v>
      </c>
      <c r="AA63" s="104">
        <v>46277.339282407411</v>
      </c>
      <c r="AB63" s="104">
        <v>0</v>
      </c>
      <c r="AC63" s="104">
        <v>46278.339212962965</v>
      </c>
      <c r="AD63" s="104">
        <v>0</v>
      </c>
      <c r="AE63" s="104">
        <v>46279.339756944442</v>
      </c>
      <c r="AF63" s="104">
        <v>0</v>
      </c>
      <c r="AG63" s="104">
        <v>46280.339421296296</v>
      </c>
      <c r="AH63" s="104">
        <v>0</v>
      </c>
      <c r="AI63" s="90"/>
      <c r="AJ63" s="136">
        <v>7</v>
      </c>
      <c r="AK63" s="104">
        <v>46281.33934027778</v>
      </c>
      <c r="AL63" s="104">
        <v>46281.992430555554</v>
      </c>
      <c r="AM63" s="104">
        <v>46282.340601851851</v>
      </c>
      <c r="AN63" s="104">
        <v>0</v>
      </c>
      <c r="AO63" s="104">
        <v>46283.5705787037</v>
      </c>
      <c r="AP63" s="104">
        <v>0</v>
      </c>
      <c r="AQ63" s="104">
        <v>46284.340763888889</v>
      </c>
      <c r="AR63" s="104">
        <v>0</v>
      </c>
      <c r="AS63" s="104">
        <v>46285.339120370372</v>
      </c>
      <c r="AT63" s="104">
        <v>46285.984444444446</v>
      </c>
      <c r="AU63" s="104">
        <v>46286.335717592592</v>
      </c>
      <c r="AV63" s="104">
        <v>46286.979722222219</v>
      </c>
      <c r="AW63" s="104">
        <v>46287.344953703701</v>
      </c>
      <c r="AX63" s="104">
        <v>0</v>
      </c>
      <c r="AY63" s="104">
        <v>46288.333622685182</v>
      </c>
      <c r="AZ63" s="104">
        <v>0</v>
      </c>
      <c r="BA63" s="104">
        <v>46289.337789351855</v>
      </c>
      <c r="BB63" s="104">
        <v>0</v>
      </c>
      <c r="BC63" s="104">
        <v>46290.006238425929</v>
      </c>
      <c r="BD63" s="104">
        <v>46290.978229166663</v>
      </c>
      <c r="BE63" s="104">
        <v>46291.337951388887</v>
      </c>
      <c r="BF63" s="104">
        <v>0</v>
      </c>
      <c r="BG63" s="104">
        <v>46292.338784722226</v>
      </c>
      <c r="BH63" s="104">
        <v>0</v>
      </c>
      <c r="BI63" s="104">
        <v>46293.34</v>
      </c>
      <c r="BJ63" s="104">
        <v>0</v>
      </c>
      <c r="BK63" s="104">
        <v>0</v>
      </c>
      <c r="BL63" s="104">
        <v>0</v>
      </c>
      <c r="BM63" s="104">
        <v>0</v>
      </c>
      <c r="BN63" s="104">
        <v>0</v>
      </c>
      <c r="BO63" s="118"/>
      <c r="BP63" s="118"/>
      <c r="BQ63" s="13">
        <f>BS63+BT63+BU63+BV63+CA63+BY63+BZ63+CD63</f>
        <v>29</v>
      </c>
      <c r="BR63" s="109">
        <v>3</v>
      </c>
      <c r="BS63" s="14">
        <f>COUNT(E63:AH63)/2+COUNT(AK12:BN12)/2</f>
        <v>28</v>
      </c>
      <c r="BT63" s="15">
        <f>COUNTIF(B63:BN63,"OFF")/2</f>
        <v>1</v>
      </c>
      <c r="BU63" s="15">
        <f>COUNTIF(B63:BN63,"MC")/2</f>
        <v>0</v>
      </c>
      <c r="BV63" s="15">
        <f>COUNTIF(B63:BN63,"EL")/2</f>
        <v>0</v>
      </c>
      <c r="BW63" s="15">
        <f>COUNTIF(B63:BN63,"AL")/2</f>
        <v>0</v>
      </c>
      <c r="BX63" s="15">
        <f>COUNTIF(B63:BN63,"SUS")/2</f>
        <v>0</v>
      </c>
      <c r="BY63" s="15">
        <f>COUNTIF(B63:BN63,"FL")/2</f>
        <v>0</v>
      </c>
      <c r="BZ63" s="15">
        <f>COUNTIF(B63:BN63,"SICK")/2</f>
        <v>0</v>
      </c>
      <c r="CA63" s="15">
        <f>COUNTIF(B63:BN63,"HD")/2</f>
        <v>0</v>
      </c>
      <c r="CB63" s="15">
        <f>COUNTIF(B63:BN63,"AB")/2</f>
        <v>0</v>
      </c>
      <c r="CC63" s="15">
        <f>COUNTIF(B63:BN63,"NL")/2</f>
        <v>0</v>
      </c>
      <c r="CD63" s="15">
        <f>COUNTIF(B63:BN63,"SP")/2</f>
        <v>0</v>
      </c>
      <c r="CE63" s="119"/>
      <c r="CH63" s="70">
        <v>0</v>
      </c>
      <c r="CI63" s="70">
        <v>0</v>
      </c>
      <c r="CJ63" s="70">
        <v>0</v>
      </c>
      <c r="CK63" s="70">
        <v>0</v>
      </c>
      <c r="CL63" s="70">
        <v>0</v>
      </c>
      <c r="CM63" s="70">
        <v>2</v>
      </c>
      <c r="CN63" s="70">
        <v>0</v>
      </c>
      <c r="CO63" s="70">
        <v>0</v>
      </c>
      <c r="CP63" s="70">
        <v>0</v>
      </c>
      <c r="CQ63" s="70">
        <v>0</v>
      </c>
      <c r="CR63" s="71">
        <f>SUM(CH63:CQ63)</f>
        <v>2</v>
      </c>
    </row>
    <row r="64" spans="1:96" s="102" customFormat="1" ht="20.25" customHeight="1" x14ac:dyDescent="0.25">
      <c r="A64" s="143">
        <v>29</v>
      </c>
      <c r="B64" s="144" t="s">
        <v>113</v>
      </c>
      <c r="C64" s="145" t="s">
        <v>112</v>
      </c>
      <c r="D64" s="146">
        <v>46258</v>
      </c>
      <c r="E64" s="236" t="s">
        <v>114</v>
      </c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8"/>
      <c r="AI64" s="147"/>
      <c r="AJ64" s="148">
        <v>29</v>
      </c>
      <c r="AK64" s="236"/>
      <c r="AL64" s="237"/>
      <c r="AM64" s="237"/>
      <c r="AN64" s="237"/>
      <c r="AO64" s="237"/>
      <c r="AP64" s="237"/>
      <c r="AQ64" s="237"/>
      <c r="AR64" s="237"/>
      <c r="AS64" s="237"/>
      <c r="AT64" s="237"/>
      <c r="AU64" s="237"/>
      <c r="AV64" s="237"/>
      <c r="AW64" s="237"/>
      <c r="AX64" s="237"/>
      <c r="AY64" s="237"/>
      <c r="AZ64" s="238"/>
      <c r="BA64" s="149">
        <v>46258.354131944441</v>
      </c>
      <c r="BB64" s="149">
        <v>46258.938576388886</v>
      </c>
      <c r="BC64" s="150">
        <v>46259.344652777778</v>
      </c>
      <c r="BD64" s="150">
        <v>46259.943530092591</v>
      </c>
      <c r="BE64" s="150">
        <v>46260.348275462966</v>
      </c>
      <c r="BF64" s="150">
        <v>46260.940057870372</v>
      </c>
      <c r="BG64" s="150">
        <v>46261.347500000003</v>
      </c>
      <c r="BH64" s="150">
        <v>46261.959432870368</v>
      </c>
      <c r="BI64" s="150">
        <v>46262.575428240743</v>
      </c>
      <c r="BJ64" s="150">
        <v>46262.940011574072</v>
      </c>
      <c r="BK64" s="150">
        <v>46263.348865740743</v>
      </c>
      <c r="BL64" s="150">
        <v>0</v>
      </c>
      <c r="BM64" s="151" t="s">
        <v>23</v>
      </c>
      <c r="BN64" s="151" t="s">
        <v>23</v>
      </c>
      <c r="BO64" s="151" t="s">
        <v>23</v>
      </c>
      <c r="BP64" s="151" t="s">
        <v>23</v>
      </c>
      <c r="BQ64" s="152">
        <f>BS64+BT64+BU64+BV64+CA64+BY64+BZ64+CD64</f>
        <v>6</v>
      </c>
      <c r="BR64" s="153">
        <v>1</v>
      </c>
      <c r="BS64" s="154">
        <f>COUNT(E64:AH64)/2+COUNT(AK64:BP64)/2</f>
        <v>6</v>
      </c>
      <c r="BT64" s="155">
        <f>COUNTIF(B64:BN64,"OFF")/2</f>
        <v>0</v>
      </c>
      <c r="BU64" s="155">
        <f>COUNTIF(B64:BN64,"MC")/2</f>
        <v>0</v>
      </c>
      <c r="BV64" s="155">
        <f>COUNTIF(B64:BN64,"EL")/2</f>
        <v>0</v>
      </c>
      <c r="BW64" s="155">
        <f>COUNTIF(B64:BN64,"AL")/2</f>
        <v>0</v>
      </c>
      <c r="BX64" s="155">
        <f>COUNTIF(B64:BN64,"SUS")/2</f>
        <v>0</v>
      </c>
      <c r="BY64" s="155">
        <f>COUNTIF(B64:BN64,"FL")/2</f>
        <v>0</v>
      </c>
      <c r="BZ64" s="155">
        <f>COUNTIF(B64:BN64,"SICK")/2</f>
        <v>0</v>
      </c>
      <c r="CA64" s="155">
        <f>COUNTIF(B64:BN64,"HD")/2</f>
        <v>0</v>
      </c>
      <c r="CB64" s="155">
        <f>COUNTIF(B64:BP64,"AB")/2</f>
        <v>2</v>
      </c>
      <c r="CC64" s="155">
        <f>COUNTIF(B64:BN64,"NL")/2</f>
        <v>0</v>
      </c>
      <c r="CD64" s="155">
        <f>COUNTIF(B64:BN64,"SP")/2</f>
        <v>0</v>
      </c>
      <c r="CE64" s="156"/>
      <c r="CH64" s="157">
        <v>0</v>
      </c>
      <c r="CI64" s="157">
        <v>0</v>
      </c>
      <c r="CJ64" s="157">
        <v>0</v>
      </c>
      <c r="CK64" s="157">
        <v>0</v>
      </c>
      <c r="CL64" s="157">
        <v>0</v>
      </c>
      <c r="CM64" s="158">
        <v>0</v>
      </c>
      <c r="CN64" s="157">
        <v>0</v>
      </c>
      <c r="CO64" s="158">
        <v>0</v>
      </c>
      <c r="CP64" s="158">
        <v>0</v>
      </c>
      <c r="CQ64" s="158">
        <v>0</v>
      </c>
      <c r="CR64" s="159">
        <f>SUM(CH64:CQ64)</f>
        <v>0</v>
      </c>
    </row>
    <row r="66" spans="1:96" ht="22.5" customHeight="1" x14ac:dyDescent="0.25">
      <c r="A66" s="7">
        <v>20</v>
      </c>
      <c r="B66" s="8" t="s">
        <v>52</v>
      </c>
      <c r="C66" s="44" t="s">
        <v>53</v>
      </c>
      <c r="D66" s="66">
        <v>45764</v>
      </c>
      <c r="E66" s="65">
        <v>0.34513888888888888</v>
      </c>
      <c r="F66" s="65">
        <v>0.82986111111111116</v>
      </c>
      <c r="G66" s="65">
        <v>0.33888888888888885</v>
      </c>
      <c r="H66" s="65">
        <v>0.82847222222222217</v>
      </c>
      <c r="I66" s="69">
        <v>0.56944444444444442</v>
      </c>
      <c r="J66" s="69">
        <v>0.82291666666666663</v>
      </c>
      <c r="K66" s="65">
        <v>0.34513888888888888</v>
      </c>
      <c r="L66" s="65">
        <v>0.83263888888888893</v>
      </c>
      <c r="M66" s="65">
        <v>0.34375</v>
      </c>
      <c r="N66" s="65">
        <v>0.91041666666666676</v>
      </c>
      <c r="O66" s="65">
        <v>0.3430555555555555</v>
      </c>
      <c r="P66" s="65">
        <v>0.9555555555555556</v>
      </c>
      <c r="Q66" s="65">
        <v>0.34652777777777777</v>
      </c>
      <c r="R66" s="65">
        <v>0.83124999999999993</v>
      </c>
      <c r="S66" s="65">
        <v>0.3430555555555555</v>
      </c>
      <c r="T66" s="65">
        <v>0.74930555555555556</v>
      </c>
      <c r="U66" s="65">
        <v>0.34097222222222223</v>
      </c>
      <c r="V66" s="65">
        <v>0.92986111111111114</v>
      </c>
      <c r="W66" s="68" t="s">
        <v>15</v>
      </c>
      <c r="X66" s="68" t="s">
        <v>15</v>
      </c>
      <c r="Y66" s="65">
        <v>0.34513888888888888</v>
      </c>
      <c r="Z66" s="65">
        <v>0.87847222222222221</v>
      </c>
      <c r="AA66" s="65">
        <v>0.3444444444444445</v>
      </c>
      <c r="AB66" s="65">
        <v>0.85902777777777783</v>
      </c>
      <c r="AC66" s="65">
        <v>0.3444444444444445</v>
      </c>
      <c r="AD66" s="65">
        <v>0.85</v>
      </c>
      <c r="AE66" s="65">
        <v>0.33680555555555558</v>
      </c>
      <c r="AF66" s="65">
        <v>0.84791666666666676</v>
      </c>
      <c r="AG66" s="65">
        <v>0.3354166666666667</v>
      </c>
      <c r="AH66" s="65">
        <v>0.82638888888888884</v>
      </c>
      <c r="AI66" s="65"/>
      <c r="AJ66" s="7">
        <v>20</v>
      </c>
      <c r="AK66" s="65">
        <v>0.34652777777777777</v>
      </c>
      <c r="AL66" s="65">
        <v>0.8354166666666667</v>
      </c>
      <c r="AM66" s="69">
        <v>0.57777777777777783</v>
      </c>
      <c r="AN66" s="69">
        <v>0.87777777777777777</v>
      </c>
      <c r="AO66" s="65">
        <v>0.33888888888888885</v>
      </c>
      <c r="AP66" s="65">
        <v>0.33958333333333335</v>
      </c>
      <c r="AQ66" s="65">
        <v>0.35138888888888892</v>
      </c>
      <c r="AR66" s="65">
        <v>0.85</v>
      </c>
      <c r="AS66" s="65">
        <v>0.3430555555555555</v>
      </c>
      <c r="AT66" s="65">
        <v>0.85486111111111107</v>
      </c>
      <c r="AU66" s="65">
        <v>0.34027777777777773</v>
      </c>
      <c r="AV66" s="65">
        <v>0.85138888888888886</v>
      </c>
      <c r="AW66" s="65">
        <v>0.33333333333333331</v>
      </c>
      <c r="AX66" s="65">
        <v>0.33333333333333331</v>
      </c>
      <c r="AY66" s="65">
        <v>0.33749999999999997</v>
      </c>
      <c r="AZ66" s="65">
        <v>0.33749999999999997</v>
      </c>
      <c r="BA66" s="68" t="s">
        <v>15</v>
      </c>
      <c r="BB66" s="68" t="s">
        <v>15</v>
      </c>
      <c r="BC66" s="65" t="s">
        <v>18</v>
      </c>
      <c r="BD66" s="65" t="s">
        <v>18</v>
      </c>
      <c r="BE66" s="65" t="s">
        <v>18</v>
      </c>
      <c r="BF66" s="65" t="s">
        <v>18</v>
      </c>
      <c r="BI66" s="59"/>
      <c r="BJ66" s="59"/>
      <c r="BK66" s="59"/>
      <c r="BL66" s="59"/>
      <c r="BM66" s="59"/>
      <c r="BN66" s="59"/>
      <c r="BO66" s="100"/>
      <c r="BP66" s="100"/>
      <c r="BQ66" s="46">
        <f>BS66+BT66+BU66+BV66+CA66+BY66+BZ66+CD66</f>
        <v>23.5</v>
      </c>
      <c r="BR66" s="47"/>
      <c r="BS66" s="14">
        <f>COUNT(E66:AD66)/2+COUNT(AG66:BN66)/2</f>
        <v>21.5</v>
      </c>
      <c r="BT66" s="15">
        <f>COUNTIF(B66:BN66,"OFF")/2</f>
        <v>2</v>
      </c>
      <c r="BU66" s="15">
        <f>COUNTIF(B66:BN66,"MC")/2</f>
        <v>0</v>
      </c>
      <c r="BV66" s="15">
        <f>COUNTIF(B66:BN66,"EL")/2</f>
        <v>0</v>
      </c>
      <c r="BW66" s="15">
        <f>COUNTIF(B66:BN66,"AL")/2</f>
        <v>2</v>
      </c>
      <c r="BX66" s="15">
        <f>COUNTIF(B66:BN66,"SUS")/2</f>
        <v>0</v>
      </c>
      <c r="BY66" s="15">
        <f>COUNTIF(B66:BN66,"FL")/2</f>
        <v>0</v>
      </c>
      <c r="BZ66" s="15">
        <f>COUNTIF(B66:BN66,"SICK")/2</f>
        <v>0</v>
      </c>
      <c r="CA66" s="15">
        <f>COUNTIF(B66:BN66,"HD")/2</f>
        <v>0</v>
      </c>
      <c r="CB66" s="15">
        <f>COUNTIF(B66:BN66,"AB")/2</f>
        <v>0</v>
      </c>
      <c r="CC66" s="15">
        <f>COUNTIF(B66:BN66,"NL")/2</f>
        <v>0</v>
      </c>
      <c r="CD66" s="15">
        <f>COUNTIF(B66:BN66,"SP")/2</f>
        <v>0</v>
      </c>
      <c r="CE66" s="16"/>
      <c r="CH66" s="53">
        <v>0</v>
      </c>
      <c r="CI66" s="53">
        <v>0</v>
      </c>
      <c r="CJ66" s="53">
        <v>0</v>
      </c>
      <c r="CK66" s="53">
        <v>0</v>
      </c>
      <c r="CL66" s="53">
        <v>0</v>
      </c>
      <c r="CM66" s="53">
        <v>0</v>
      </c>
      <c r="CN66" s="53">
        <v>0</v>
      </c>
      <c r="CO66" s="53">
        <v>0</v>
      </c>
      <c r="CP66" s="53">
        <v>0</v>
      </c>
      <c r="CQ66" s="53">
        <v>0</v>
      </c>
      <c r="CR66" s="57">
        <f>SUM(CH66:CQ66)</f>
        <v>0</v>
      </c>
    </row>
    <row r="67" spans="1:96" ht="22.5" customHeight="1" x14ac:dyDescent="0.25">
      <c r="A67" s="7">
        <v>16</v>
      </c>
      <c r="B67" s="8" t="s">
        <v>47</v>
      </c>
      <c r="C67" s="44" t="s">
        <v>48</v>
      </c>
      <c r="D67" s="66">
        <v>45616</v>
      </c>
      <c r="E67" s="72">
        <v>0.57847222222222217</v>
      </c>
      <c r="F67" s="72">
        <v>0.57847222222222217</v>
      </c>
      <c r="G67" s="65">
        <v>0.33749999999999997</v>
      </c>
      <c r="H67" s="67">
        <v>1</v>
      </c>
      <c r="I67" s="65">
        <v>0.34027777777777773</v>
      </c>
      <c r="J67" s="65">
        <v>0.87361111111111101</v>
      </c>
      <c r="K67" s="65">
        <v>0.3263888888888889</v>
      </c>
      <c r="L67" s="67">
        <v>1</v>
      </c>
      <c r="M67" s="65">
        <v>0.3215277777777778</v>
      </c>
      <c r="N67" s="65">
        <v>0.86458333333333337</v>
      </c>
      <c r="O67" s="65">
        <v>0.3354166666666667</v>
      </c>
      <c r="P67" s="65">
        <v>0.82013888888888886</v>
      </c>
      <c r="Q67" s="65">
        <v>0.32916666666666666</v>
      </c>
      <c r="R67" s="65">
        <v>0.32916666666666666</v>
      </c>
      <c r="S67" s="67" t="s">
        <v>15</v>
      </c>
      <c r="T67" s="67" t="s">
        <v>15</v>
      </c>
      <c r="U67" s="65">
        <v>0.34166666666666662</v>
      </c>
      <c r="V67" s="67">
        <v>1</v>
      </c>
      <c r="W67" s="65">
        <v>0.32500000000000001</v>
      </c>
      <c r="X67" s="65">
        <v>0.84861111111111109</v>
      </c>
      <c r="Y67" s="65">
        <v>0.31111111111111112</v>
      </c>
      <c r="Z67" s="65">
        <v>0.84375</v>
      </c>
      <c r="AA67" s="65">
        <v>0.32847222222222222</v>
      </c>
      <c r="AB67" s="65">
        <v>0.32847222222222222</v>
      </c>
      <c r="AC67" s="65">
        <v>0.32916666666666666</v>
      </c>
      <c r="AD67" s="65">
        <v>0.86041666666666661</v>
      </c>
      <c r="AE67" s="65">
        <v>0.31736111111111115</v>
      </c>
      <c r="AF67" s="67">
        <v>1</v>
      </c>
      <c r="AG67" s="72">
        <v>0.56736111111111109</v>
      </c>
      <c r="AH67" s="73">
        <v>1</v>
      </c>
      <c r="AI67" s="73"/>
      <c r="AJ67" s="7">
        <v>16</v>
      </c>
      <c r="AK67" s="65">
        <v>0.32916666666666666</v>
      </c>
      <c r="AL67" s="65">
        <v>0.80694444444444446</v>
      </c>
      <c r="AM67" s="65">
        <v>0.32500000000000001</v>
      </c>
      <c r="AN67" s="67">
        <v>1</v>
      </c>
      <c r="AO67" s="65">
        <v>0.32916666666666666</v>
      </c>
      <c r="AP67" s="65">
        <v>0.90069444444444446</v>
      </c>
      <c r="AQ67" s="65">
        <v>0.3354166666666667</v>
      </c>
      <c r="AR67" s="65">
        <v>0.83611111111111114</v>
      </c>
      <c r="AS67" s="65">
        <v>0.33680555555555558</v>
      </c>
      <c r="AT67" s="65">
        <v>0.85138888888888886</v>
      </c>
      <c r="AU67" s="65">
        <v>0.33680555555555558</v>
      </c>
      <c r="AV67" s="67">
        <v>1</v>
      </c>
      <c r="AW67" s="73" t="s">
        <v>15</v>
      </c>
      <c r="AX67" s="73" t="s">
        <v>15</v>
      </c>
      <c r="AY67" s="65">
        <v>0.35625000000000001</v>
      </c>
      <c r="AZ67" s="65">
        <v>0.84930555555555554</v>
      </c>
      <c r="BA67" s="65">
        <v>0.34236111111111112</v>
      </c>
      <c r="BB67" s="65">
        <v>0.79166666666666663</v>
      </c>
      <c r="BC67" s="65">
        <v>0.34513888888888888</v>
      </c>
      <c r="BD67" s="65">
        <v>0.8881944444444444</v>
      </c>
      <c r="BE67" s="65">
        <v>0.34722222222222227</v>
      </c>
      <c r="BF67" s="67">
        <v>1</v>
      </c>
      <c r="BG67" s="73" t="s">
        <v>15</v>
      </c>
      <c r="BH67" s="73" t="s">
        <v>15</v>
      </c>
      <c r="BI67" s="65">
        <v>0.3298611111111111</v>
      </c>
      <c r="BJ67" s="65">
        <v>0.99513888888888891</v>
      </c>
      <c r="BK67" s="72">
        <v>0.58124999999999993</v>
      </c>
      <c r="BL67" s="72">
        <v>0.58124999999999993</v>
      </c>
      <c r="BQ67" s="46">
        <f t="shared" ref="BQ67" si="44">BS67+BT67+BU67+BV67+CA67+BY67+BZ67+CD67</f>
        <v>29</v>
      </c>
      <c r="BR67" s="47">
        <v>3</v>
      </c>
      <c r="BS67" s="14">
        <f>COUNT(E67:AH67)/2+COUNT(AK67:BN67)/2</f>
        <v>26</v>
      </c>
      <c r="BT67" s="15">
        <f>COUNTIF(B67:BL67,"OFF")/2</f>
        <v>3</v>
      </c>
      <c r="BU67" s="15">
        <f>COUNTIF(B67:BL67,"MC")/2</f>
        <v>0</v>
      </c>
      <c r="BV67" s="15">
        <f>COUNTIF(B67:BL67,"EL")/2</f>
        <v>0</v>
      </c>
      <c r="BW67" s="15">
        <f>COUNTIF(B67:BL67,"AL")/2</f>
        <v>0</v>
      </c>
      <c r="BX67" s="15">
        <f>COUNTIF(B67:BL67,"SUS")/2</f>
        <v>0</v>
      </c>
      <c r="BY67" s="15">
        <f>COUNTIF(B67:BL67,"FL")/2</f>
        <v>0</v>
      </c>
      <c r="BZ67" s="15">
        <f>COUNTIF(B67:BL67,"SICK")/2</f>
        <v>0</v>
      </c>
      <c r="CA67" s="15">
        <f>COUNTIF(B67:BL67,"HD")/2</f>
        <v>0</v>
      </c>
      <c r="CB67" s="15">
        <f>COUNTIF(B67:BL67,"AB")/2</f>
        <v>0</v>
      </c>
      <c r="CC67" s="15">
        <f>COUNTIF(B67:BL67,"NL")/2</f>
        <v>0</v>
      </c>
      <c r="CD67" s="15">
        <f>COUNTIF(B67:BL67,"SP")/2</f>
        <v>0</v>
      </c>
      <c r="CE67" s="16"/>
      <c r="CH67" s="54">
        <v>0</v>
      </c>
      <c r="CI67" s="54">
        <v>0</v>
      </c>
      <c r="CJ67" s="54">
        <v>1</v>
      </c>
      <c r="CK67" s="55">
        <v>0</v>
      </c>
      <c r="CL67" s="55">
        <v>0</v>
      </c>
      <c r="CM67" s="54">
        <v>6</v>
      </c>
      <c r="CN67" s="55">
        <v>0</v>
      </c>
      <c r="CO67" s="55">
        <v>1</v>
      </c>
      <c r="CP67" s="55">
        <v>0</v>
      </c>
      <c r="CQ67" s="55">
        <v>0</v>
      </c>
      <c r="CR67" s="56">
        <f t="shared" ref="CR67" si="45">SUM(CH67:CQ67)</f>
        <v>8</v>
      </c>
    </row>
  </sheetData>
  <mergeCells count="152">
    <mergeCell ref="E64:AH64"/>
    <mergeCell ref="AK64:AZ64"/>
    <mergeCell ref="AC24:AD24"/>
    <mergeCell ref="AE24:AF24"/>
    <mergeCell ref="AG24:AH24"/>
    <mergeCell ref="AK24:AL24"/>
    <mergeCell ref="AG23:AH23"/>
    <mergeCell ref="U24:V24"/>
    <mergeCell ref="W24:X24"/>
    <mergeCell ref="Y24:Z24"/>
    <mergeCell ref="Q23:R23"/>
    <mergeCell ref="S23:T23"/>
    <mergeCell ref="U23:V23"/>
    <mergeCell ref="W23:X23"/>
    <mergeCell ref="Y23:Z23"/>
    <mergeCell ref="F51:H51"/>
    <mergeCell ref="CH23:CQ23"/>
    <mergeCell ref="E24:F24"/>
    <mergeCell ref="G24:H24"/>
    <mergeCell ref="I24:J24"/>
    <mergeCell ref="K24:L24"/>
    <mergeCell ref="M24:N24"/>
    <mergeCell ref="BA23:BB23"/>
    <mergeCell ref="BC23:BD23"/>
    <mergeCell ref="BE23:BF23"/>
    <mergeCell ref="BG23:BH23"/>
    <mergeCell ref="BI23:BJ23"/>
    <mergeCell ref="BK23:BL23"/>
    <mergeCell ref="AO23:AP23"/>
    <mergeCell ref="AQ23:AR23"/>
    <mergeCell ref="AS23:AT23"/>
    <mergeCell ref="AU23:AV23"/>
    <mergeCell ref="AW23:AX23"/>
    <mergeCell ref="AE23:AF23"/>
    <mergeCell ref="AA23:AB23"/>
    <mergeCell ref="AC23:AD23"/>
    <mergeCell ref="O23:P23"/>
    <mergeCell ref="BM24:BN24"/>
    <mergeCell ref="BO24:BP24"/>
    <mergeCell ref="BA24:BB24"/>
    <mergeCell ref="AS3:AT3"/>
    <mergeCell ref="AU3:AV3"/>
    <mergeCell ref="AW3:AX3"/>
    <mergeCell ref="AY3:AZ3"/>
    <mergeCell ref="BA3:BB3"/>
    <mergeCell ref="AC3:AD3"/>
    <mergeCell ref="BO23:BP23"/>
    <mergeCell ref="BQ23:BQ25"/>
    <mergeCell ref="BR23:BR25"/>
    <mergeCell ref="BC24:BD24"/>
    <mergeCell ref="BE24:BF24"/>
    <mergeCell ref="BG24:BH24"/>
    <mergeCell ref="BI24:BJ24"/>
    <mergeCell ref="BK24:BL24"/>
    <mergeCell ref="AO24:AP24"/>
    <mergeCell ref="AQ24:AR24"/>
    <mergeCell ref="AS24:AT24"/>
    <mergeCell ref="AU24:AV24"/>
    <mergeCell ref="AW24:AX24"/>
    <mergeCell ref="AY24:AZ24"/>
    <mergeCell ref="AM24:AN24"/>
    <mergeCell ref="AY23:AZ23"/>
    <mergeCell ref="AK23:AL23"/>
    <mergeCell ref="AM23:AN23"/>
    <mergeCell ref="S3:T3"/>
    <mergeCell ref="U3:V3"/>
    <mergeCell ref="W3:X3"/>
    <mergeCell ref="Y3:Z3"/>
    <mergeCell ref="AA3:AB3"/>
    <mergeCell ref="BO3:BP3"/>
    <mergeCell ref="AE3:AF3"/>
    <mergeCell ref="AO3:AP3"/>
    <mergeCell ref="BM23:BN23"/>
    <mergeCell ref="A22:AH22"/>
    <mergeCell ref="AJ22:CE22"/>
    <mergeCell ref="BI3:BJ3"/>
    <mergeCell ref="BK3:BL3"/>
    <mergeCell ref="BM3:BN3"/>
    <mergeCell ref="A23:C24"/>
    <mergeCell ref="E23:F23"/>
    <mergeCell ref="G23:H23"/>
    <mergeCell ref="I23:J23"/>
    <mergeCell ref="K23:L23"/>
    <mergeCell ref="M23:N23"/>
    <mergeCell ref="BC3:BD3"/>
    <mergeCell ref="BE3:BF3"/>
    <mergeCell ref="BG3:BH3"/>
    <mergeCell ref="AQ3:AR3"/>
    <mergeCell ref="CH2:CQ2"/>
    <mergeCell ref="E3:F3"/>
    <mergeCell ref="G3:H3"/>
    <mergeCell ref="I3:J3"/>
    <mergeCell ref="K3:L3"/>
    <mergeCell ref="M3:N3"/>
    <mergeCell ref="O3:P3"/>
    <mergeCell ref="BE2:BF2"/>
    <mergeCell ref="BG2:BH2"/>
    <mergeCell ref="BI2:BJ2"/>
    <mergeCell ref="BK2:BL2"/>
    <mergeCell ref="BM2:BN2"/>
    <mergeCell ref="BO2:BP2"/>
    <mergeCell ref="AS2:AT2"/>
    <mergeCell ref="AU2:AV2"/>
    <mergeCell ref="AW2:AX2"/>
    <mergeCell ref="AY2:AZ2"/>
    <mergeCell ref="BA2:BB2"/>
    <mergeCell ref="BC2:BD2"/>
    <mergeCell ref="AE2:AF2"/>
    <mergeCell ref="AG2:AH2"/>
    <mergeCell ref="AG3:AH3"/>
    <mergeCell ref="AK3:AL3"/>
    <mergeCell ref="AM3:AN3"/>
    <mergeCell ref="A1:AH1"/>
    <mergeCell ref="AJ1:CE1"/>
    <mergeCell ref="A2:C3"/>
    <mergeCell ref="E2:F2"/>
    <mergeCell ref="G2:H2"/>
    <mergeCell ref="I2:J2"/>
    <mergeCell ref="K2:L2"/>
    <mergeCell ref="M2:N2"/>
    <mergeCell ref="O2:P2"/>
    <mergeCell ref="Q2:R2"/>
    <mergeCell ref="AK2:AL2"/>
    <mergeCell ref="AM2:AN2"/>
    <mergeCell ref="AO2:AP2"/>
    <mergeCell ref="AQ2:AR2"/>
    <mergeCell ref="S2:T2"/>
    <mergeCell ref="U2:V2"/>
    <mergeCell ref="W2:X2"/>
    <mergeCell ref="Y2:Z2"/>
    <mergeCell ref="AA2:AB2"/>
    <mergeCell ref="AC2:AD2"/>
    <mergeCell ref="BQ2:BQ4"/>
    <mergeCell ref="BR2:BR4"/>
    <mergeCell ref="BS2:CE2"/>
    <mergeCell ref="Q3:R3"/>
    <mergeCell ref="G14:I14"/>
    <mergeCell ref="G17:I17"/>
    <mergeCell ref="G18:I18"/>
    <mergeCell ref="AO14:AQ14"/>
    <mergeCell ref="AO17:AQ17"/>
    <mergeCell ref="AO18:AQ18"/>
    <mergeCell ref="AN49:AP49"/>
    <mergeCell ref="AN52:AP52"/>
    <mergeCell ref="AN53:AP53"/>
    <mergeCell ref="F52:H52"/>
    <mergeCell ref="F48:H48"/>
    <mergeCell ref="O24:P24"/>
    <mergeCell ref="Q24:R24"/>
    <mergeCell ref="S24:T24"/>
    <mergeCell ref="AA24:AB24"/>
    <mergeCell ref="N48:Q48"/>
  </mergeCells>
  <phoneticPr fontId="17" type="noConversion"/>
  <conditionalFormatting sqref="A23">
    <cfRule type="cellIs" dxfId="196" priority="329" stopIfTrue="1" operator="equal">
      <formula>";"</formula>
    </cfRule>
  </conditionalFormatting>
  <conditionalFormatting sqref="C6">
    <cfRule type="duplicateValues" dxfId="195" priority="61"/>
    <cfRule type="duplicateValues" dxfId="194" priority="62"/>
  </conditionalFormatting>
  <conditionalFormatting sqref="C8">
    <cfRule type="duplicateValues" dxfId="193" priority="73"/>
    <cfRule type="duplicateValues" dxfId="192" priority="74"/>
    <cfRule type="duplicateValues" dxfId="191" priority="76"/>
  </conditionalFormatting>
  <conditionalFormatting sqref="C11">
    <cfRule type="duplicateValues" dxfId="190" priority="3523"/>
    <cfRule type="duplicateValues" dxfId="189" priority="3524"/>
  </conditionalFormatting>
  <conditionalFormatting sqref="C12:C21">
    <cfRule type="duplicateValues" dxfId="188" priority="3575"/>
  </conditionalFormatting>
  <conditionalFormatting sqref="C29">
    <cfRule type="duplicateValues" dxfId="187" priority="21"/>
  </conditionalFormatting>
  <conditionalFormatting sqref="C70:C1048576 C1:C28 C30:C46 C48:C67">
    <cfRule type="duplicateValues" dxfId="186" priority="3540"/>
  </conditionalFormatting>
  <conditionalFormatting sqref="C70:C1048576 C7 C9:C10 C30:C46 C1:C5 C22:C28 C48:C67">
    <cfRule type="duplicateValues" dxfId="185" priority="3566"/>
  </conditionalFormatting>
  <conditionalFormatting sqref="C70:C1048576 C7:C10 C30:C46 C1:C5 C22:C28 C48:C67">
    <cfRule type="duplicateValues" dxfId="184" priority="3573"/>
  </conditionalFormatting>
  <conditionalFormatting sqref="C8:D8">
    <cfRule type="duplicateValues" dxfId="183" priority="75"/>
  </conditionalFormatting>
  <conditionalFormatting sqref="C29:D29">
    <cfRule type="duplicateValues" dxfId="182" priority="22"/>
  </conditionalFormatting>
  <conditionalFormatting sqref="D5:D6">
    <cfRule type="timePeriod" dxfId="181" priority="321" timePeriod="last7Days">
      <formula>AND(TODAY()-FLOOR(D5,1)&lt;=6,FLOOR(D5,1)&lt;=TODAY())</formula>
    </cfRule>
    <cfRule type="timePeriod" dxfId="180" priority="320" timePeriod="thisWeek">
      <formula>AND(TODAY()-ROUNDDOWN(D5,0)&lt;=WEEKDAY(TODAY())-1,ROUNDDOWN(D5,0)-TODAY()&lt;=7-WEEKDAY(TODAY()))</formula>
    </cfRule>
  </conditionalFormatting>
  <conditionalFormatting sqref="D5:D9 D64 D66:D67">
    <cfRule type="timePeriod" dxfId="179" priority="322" timePeriod="nextWeek">
      <formula>AND(ROUNDDOWN(D5,0)-TODAY()&gt;(7-WEEKDAY(TODAY())),ROUNDDOWN(D5,0)-TODAY()&lt;(15-WEEKDAY(TODAY())))</formula>
    </cfRule>
  </conditionalFormatting>
  <conditionalFormatting sqref="D5:D21">
    <cfRule type="timePeriod" priority="35" timePeriod="nextWeek">
      <formula>AND(ROUNDDOWN(D5,0)-TODAY()&gt;(7-WEEKDAY(TODAY())),ROUNDDOWN(D5,0)-TODAY()&lt;(15-WEEKDAY(TODAY())))</formula>
    </cfRule>
  </conditionalFormatting>
  <conditionalFormatting sqref="D8">
    <cfRule type="timePeriod" dxfId="178" priority="64" timePeriod="last7Days">
      <formula>AND(TODAY()-FLOOR(D8,1)&lt;=6,FLOOR(D8,1)&lt;=TODAY())</formula>
    </cfRule>
    <cfRule type="timePeriod" dxfId="177" priority="65" timePeriod="thisWeek">
      <formula>AND(TODAY()-ROUNDDOWN(D8,0)&lt;=WEEKDAY(TODAY())-1,ROUNDDOWN(D8,0)-TODAY()&lt;=7-WEEKDAY(TODAY()))</formula>
    </cfRule>
  </conditionalFormatting>
  <conditionalFormatting sqref="D9 D66:D67 D30:D46">
    <cfRule type="timePeriod" dxfId="176" priority="326" timePeriod="last7Days">
      <formula>AND(TODAY()-FLOOR(D9,1)&lt;=6,FLOOR(D9,1)&lt;=TODAY())</formula>
    </cfRule>
  </conditionalFormatting>
  <conditionalFormatting sqref="D9:D10 D12:D21 D63">
    <cfRule type="timePeriod" dxfId="175" priority="324" timePeriod="thisWeek">
      <formula>AND(TODAY()-ROUNDDOWN(D9,0)&lt;=WEEKDAY(TODAY())-1,ROUNDDOWN(D9,0)-TODAY()&lt;=7-WEEKDAY(TODAY()))</formula>
    </cfRule>
  </conditionalFormatting>
  <conditionalFormatting sqref="D10 D12:D21 D63">
    <cfRule type="timePeriod" dxfId="174" priority="325" timePeriod="nextWeek">
      <formula>AND(ROUNDDOWN(D10,0)-TODAY()&gt;(7-WEEKDAY(TODAY())),ROUNDDOWN(D10,0)-TODAY()&lt;(15-WEEKDAY(TODAY())))</formula>
    </cfRule>
  </conditionalFormatting>
  <conditionalFormatting sqref="D11">
    <cfRule type="timePeriod" dxfId="173" priority="46" timePeriod="nextWeek">
      <formula>AND(ROUNDDOWN(D11,0)-TODAY()&gt;(7-WEEKDAY(TODAY())),ROUNDDOWN(D11,0)-TODAY()&lt;(15-WEEKDAY(TODAY())))</formula>
    </cfRule>
  </conditionalFormatting>
  <conditionalFormatting sqref="D26:D28">
    <cfRule type="timePeriod" dxfId="172" priority="239" timePeriod="last7Days">
      <formula>AND(TODAY()-FLOOR(D26,1)&lt;=6,FLOOR(D26,1)&lt;=TODAY())</formula>
    </cfRule>
    <cfRule type="timePeriod" dxfId="171" priority="241" timePeriod="nextWeek">
      <formula>AND(ROUNDDOWN(D26,0)-TODAY()&gt;(7-WEEKDAY(TODAY())),ROUNDDOWN(D26,0)-TODAY()&lt;(15-WEEKDAY(TODAY())))</formula>
    </cfRule>
  </conditionalFormatting>
  <conditionalFormatting sqref="D26:D46 D63:D64">
    <cfRule type="timePeriod" priority="4" timePeriod="nextWeek">
      <formula>AND(ROUNDDOWN(D26,0)-TODAY()&gt;(7-WEEKDAY(TODAY())),ROUNDDOWN(D26,0)-TODAY()&lt;(15-WEEKDAY(TODAY())))</formula>
    </cfRule>
  </conditionalFormatting>
  <conditionalFormatting sqref="D26:D46 D64">
    <cfRule type="timePeriod" dxfId="170" priority="6" timePeriod="thisWeek">
      <formula>AND(TODAY()-ROUNDDOWN(D26,0)&lt;=WEEKDAY(TODAY())-1,ROUNDDOWN(D26,0)-TODAY()&lt;=7-WEEKDAY(TODAY()))</formula>
    </cfRule>
  </conditionalFormatting>
  <conditionalFormatting sqref="D29:D30">
    <cfRule type="timePeriod" dxfId="169" priority="5" timePeriod="last7Days">
      <formula>AND(TODAY()-FLOOR(D29,1)&lt;=6,FLOOR(D29,1)&lt;=TODAY())</formula>
    </cfRule>
  </conditionalFormatting>
  <conditionalFormatting sqref="D29:D46">
    <cfRule type="timePeriod" dxfId="168" priority="7" timePeriod="nextWeek">
      <formula>AND(ROUNDDOWN(D29,0)-TODAY()&gt;(7-WEEKDAY(TODAY())),ROUNDDOWN(D29,0)-TODAY()&lt;(15-WEEKDAY(TODAY())))</formula>
    </cfRule>
  </conditionalFormatting>
  <conditionalFormatting sqref="D63:D64 D10 D12:D21">
    <cfRule type="timePeriod" dxfId="167" priority="323" timePeriod="last7Days">
      <formula>AND(TODAY()-FLOOR(D10,1)&lt;=6,FLOOR(D10,1)&lt;=TODAY())</formula>
    </cfRule>
  </conditionalFormatting>
  <conditionalFormatting sqref="D66:D67">
    <cfRule type="timePeriod" priority="240" timePeriod="nextWeek">
      <formula>AND(ROUNDDOWN(D66,0)-TODAY()&gt;(7-WEEKDAY(TODAY())),ROUNDDOWN(D66,0)-TODAY()&lt;(15-WEEKDAY(TODAY())))</formula>
    </cfRule>
    <cfRule type="timePeriod" dxfId="166" priority="238" timePeriod="thisWeek">
      <formula>AND(TODAY()-ROUNDDOWN(D66,0)&lt;=WEEKDAY(TODAY())-1,ROUNDDOWN(D66,0)-TODAY()&lt;=7-WEEKDAY(TODAY()))</formula>
    </cfRule>
  </conditionalFormatting>
  <conditionalFormatting sqref="S67:T67">
    <cfRule type="containsText" dxfId="165" priority="230" operator="containsText" text="MC">
      <formula>NOT(ISERROR(SEARCH("MC",S67)))</formula>
    </cfRule>
    <cfRule type="containsText" dxfId="164" priority="227" operator="containsText" text="EL">
      <formula>NOT(ISERROR(SEARCH("EL",S67)))</formula>
    </cfRule>
    <cfRule type="containsText" dxfId="163" priority="228" operator="containsText" text="SP">
      <formula>NOT(ISERROR(SEARCH("SP",S67)))</formula>
    </cfRule>
    <cfRule type="containsText" dxfId="162" priority="229" operator="containsText" text="NL">
      <formula>NOT(ISERROR(SEARCH("NL",S67)))</formula>
    </cfRule>
    <cfRule type="containsText" dxfId="161" priority="236" operator="containsText" text="AL">
      <formula>NOT(ISERROR(SEARCH("AL",S67)))</formula>
    </cfRule>
    <cfRule type="containsText" dxfId="160" priority="231" operator="containsText" text="SUS">
      <formula>NOT(ISERROR(SEARCH("SUS",S67)))</formula>
    </cfRule>
    <cfRule type="containsText" dxfId="159" priority="232" operator="containsText" text="FL">
      <formula>NOT(ISERROR(SEARCH("FL",S67)))</formula>
    </cfRule>
    <cfRule type="containsText" dxfId="158" priority="233" operator="containsText" text="OFF">
      <formula>NOT(ISERROR(SEARCH("OFF",S67)))</formula>
    </cfRule>
    <cfRule type="containsText" dxfId="157" priority="234" operator="containsText" text="AB">
      <formula>NOT(ISERROR(SEARCH("AB",S67)))</formula>
    </cfRule>
    <cfRule type="containsText" dxfId="156" priority="235" operator="containsText" text="SICK">
      <formula>NOT(ISERROR(SEARCH("SICK",S67)))</formula>
    </cfRule>
  </conditionalFormatting>
  <conditionalFormatting sqref="AW67:AX67">
    <cfRule type="containsText" dxfId="155" priority="221" operator="containsText" text="SUS">
      <formula>NOT(ISERROR(SEARCH("SUS",AW67)))</formula>
    </cfRule>
    <cfRule type="containsText" dxfId="154" priority="217" operator="containsText" text="EL">
      <formula>NOT(ISERROR(SEARCH("EL",AW67)))</formula>
    </cfRule>
    <cfRule type="containsText" dxfId="153" priority="218" operator="containsText" text="SP">
      <formula>NOT(ISERROR(SEARCH("SP",AW67)))</formula>
    </cfRule>
    <cfRule type="containsText" dxfId="152" priority="219" operator="containsText" text="NL">
      <formula>NOT(ISERROR(SEARCH("NL",AW67)))</formula>
    </cfRule>
    <cfRule type="containsText" dxfId="151" priority="220" operator="containsText" text="MC">
      <formula>NOT(ISERROR(SEARCH("MC",AW67)))</formula>
    </cfRule>
    <cfRule type="containsText" dxfId="150" priority="222" operator="containsText" text="FL">
      <formula>NOT(ISERROR(SEARCH("FL",AW67)))</formula>
    </cfRule>
    <cfRule type="containsText" dxfId="149" priority="223" operator="containsText" text="OFF">
      <formula>NOT(ISERROR(SEARCH("OFF",AW67)))</formula>
    </cfRule>
    <cfRule type="containsText" dxfId="148" priority="225" operator="containsText" text="SICK">
      <formula>NOT(ISERROR(SEARCH("SICK",AW67)))</formula>
    </cfRule>
    <cfRule type="containsText" dxfId="147" priority="226" operator="containsText" text="AL">
      <formula>NOT(ISERROR(SEARCH("AL",AW67)))</formula>
    </cfRule>
    <cfRule type="containsText" dxfId="146" priority="224" operator="containsText" text="AB">
      <formula>NOT(ISERROR(SEARCH("AB",AW67)))</formula>
    </cfRule>
  </conditionalFormatting>
  <conditionalFormatting sqref="BC66:BF66">
    <cfRule type="containsText" dxfId="145" priority="318" operator="containsText" text="AB">
      <formula>NOT(ISERROR(SEARCH("AB",BC66)))</formula>
    </cfRule>
    <cfRule type="containsText" dxfId="144" priority="319" operator="containsText" text="SICK">
      <formula>NOT(ISERROR(SEARCH("SICK",BC66)))</formula>
    </cfRule>
    <cfRule type="cellIs" dxfId="143" priority="317" operator="between">
      <formula>0.0625</formula>
      <formula>0.1875</formula>
    </cfRule>
    <cfRule type="containsText" dxfId="142" priority="316" operator="containsText" text="AL">
      <formula>NOT(ISERROR(SEARCH("AL",BC66)))</formula>
    </cfRule>
  </conditionalFormatting>
  <conditionalFormatting sqref="BG67:BH67">
    <cfRule type="containsText" dxfId="141" priority="211" operator="containsText" text="SUS">
      <formula>NOT(ISERROR(SEARCH("SUS",BG67)))</formula>
    </cfRule>
    <cfRule type="containsText" dxfId="140" priority="207" operator="containsText" text="EL">
      <formula>NOT(ISERROR(SEARCH("EL",BG67)))</formula>
    </cfRule>
    <cfRule type="containsText" dxfId="139" priority="208" operator="containsText" text="SP">
      <formula>NOT(ISERROR(SEARCH("SP",BG67)))</formula>
    </cfRule>
    <cfRule type="containsText" dxfId="138" priority="209" operator="containsText" text="NL">
      <formula>NOT(ISERROR(SEARCH("NL",BG67)))</formula>
    </cfRule>
    <cfRule type="containsText" dxfId="137" priority="210" operator="containsText" text="MC">
      <formula>NOT(ISERROR(SEARCH("MC",BG67)))</formula>
    </cfRule>
    <cfRule type="containsText" dxfId="136" priority="212" operator="containsText" text="FL">
      <formula>NOT(ISERROR(SEARCH("FL",BG67)))</formula>
    </cfRule>
    <cfRule type="containsText" dxfId="135" priority="213" operator="containsText" text="OFF">
      <formula>NOT(ISERROR(SEARCH("OFF",BG67)))</formula>
    </cfRule>
    <cfRule type="containsText" dxfId="134" priority="214" operator="containsText" text="AB">
      <formula>NOT(ISERROR(SEARCH("AB",BG67)))</formula>
    </cfRule>
    <cfRule type="containsText" dxfId="133" priority="215" operator="containsText" text="SICK">
      <formula>NOT(ISERROR(SEARCH("SICK",BG67)))</formula>
    </cfRule>
    <cfRule type="containsText" dxfId="132" priority="216" operator="containsText" text="AL">
      <formula>NOT(ISERROR(SEARCH("AL",BG67)))</formula>
    </cfRule>
  </conditionalFormatting>
  <conditionalFormatting sqref="BQ29:BQ30">
    <cfRule type="containsText" dxfId="131" priority="15" stopIfTrue="1" operator="containsText" text="AL">
      <formula>NOT(ISERROR(SEARCH("AL",BQ29)))</formula>
    </cfRule>
    <cfRule type="containsText" dxfId="130" priority="16" stopIfTrue="1" operator="containsText" text="EL">
      <formula>NOT(ISERROR(SEARCH("EL",BQ29)))</formula>
    </cfRule>
    <cfRule type="containsText" dxfId="129" priority="17" stopIfTrue="1" operator="containsText" text="AB">
      <formula>NOT(ISERROR(SEARCH("AB",BQ29)))</formula>
    </cfRule>
    <cfRule type="containsText" dxfId="128" priority="18" stopIfTrue="1" operator="containsText" text="FL">
      <formula>NOT(ISERROR(SEARCH("FL",BQ29)))</formula>
    </cfRule>
    <cfRule type="containsText" dxfId="127" priority="19" stopIfTrue="1" operator="containsText" text="SICK">
      <formula>NOT(ISERROR(SEARCH("SICK",BQ29)))</formula>
    </cfRule>
    <cfRule type="containsText" dxfId="126" priority="14" stopIfTrue="1" operator="containsText" text="SP">
      <formula>NOT(ISERROR(SEARCH("SP",BQ29)))</formula>
    </cfRule>
  </conditionalFormatting>
  <conditionalFormatting sqref="BR5:BR7 BR9:BR21 BR63 BI66:BP66">
    <cfRule type="containsText" dxfId="125" priority="328" operator="containsText" text="SICK">
      <formula>NOT(ISERROR(SEARCH("SICK",BI5)))</formula>
    </cfRule>
    <cfRule type="containsText" dxfId="124" priority="327" operator="containsText" text="AB">
      <formula>NOT(ISERROR(SEARCH("AB",BI5)))</formula>
    </cfRule>
  </conditionalFormatting>
  <conditionalFormatting sqref="BR8">
    <cfRule type="cellIs" dxfId="123" priority="72" stopIfTrue="1" operator="equal">
      <formula>";"</formula>
    </cfRule>
  </conditionalFormatting>
  <conditionalFormatting sqref="BR29:BR30">
    <cfRule type="cellIs" dxfId="122" priority="20" stopIfTrue="1" operator="equal">
      <formula>";"</formula>
    </cfRule>
  </conditionalFormatting>
  <conditionalFormatting sqref="BR30:BR46 A2 BR26:BR28 BR64 BR66:BR67">
    <cfRule type="cellIs" dxfId="121" priority="330" operator="equal">
      <formula>";"</formula>
    </cfRule>
  </conditionalFormatting>
  <conditionalFormatting sqref="BT4:BZ4">
    <cfRule type="containsText" dxfId="120" priority="308" operator="containsText" text="NL">
      <formula>NOT(ISERROR(SEARCH("NL",BT4)))</formula>
    </cfRule>
    <cfRule type="containsText" dxfId="119" priority="307" operator="containsText" text="SP">
      <formula>NOT(ISERROR(SEARCH("SP",BT4)))</formula>
    </cfRule>
    <cfRule type="containsText" dxfId="118" priority="306" operator="containsText" text="EL">
      <formula>NOT(ISERROR(SEARCH("EL",BT4)))</formula>
    </cfRule>
    <cfRule type="containsText" dxfId="117" priority="315" operator="containsText" text="AL">
      <formula>NOT(ISERROR(SEARCH("AL",BT4)))</formula>
    </cfRule>
    <cfRule type="containsText" dxfId="116" priority="314" operator="containsText" text="SICK">
      <formula>NOT(ISERROR(SEARCH("SICK",BT4)))</formula>
    </cfRule>
    <cfRule type="containsText" dxfId="115" priority="313" operator="containsText" text="AB">
      <formula>NOT(ISERROR(SEARCH("AB",BT4)))</formula>
    </cfRule>
    <cfRule type="containsText" dxfId="114" priority="312" operator="containsText" text="OFF">
      <formula>NOT(ISERROR(SEARCH("OFF",BT4)))</formula>
    </cfRule>
    <cfRule type="containsText" dxfId="113" priority="311" operator="containsText" text="FL">
      <formula>NOT(ISERROR(SEARCH("FL",BT4)))</formula>
    </cfRule>
    <cfRule type="containsText" dxfId="112" priority="310" operator="containsText" text="SUS">
      <formula>NOT(ISERROR(SEARCH("SUS",BT4)))</formula>
    </cfRule>
    <cfRule type="containsText" dxfId="111" priority="309" operator="containsText" text="MC">
      <formula>NOT(ISERROR(SEARCH("MC",BT4)))</formula>
    </cfRule>
  </conditionalFormatting>
  <conditionalFormatting sqref="BT25:BZ25">
    <cfRule type="containsText" dxfId="110" priority="301" operator="containsText" text="FL">
      <formula>NOT(ISERROR(SEARCH("FL",BT25)))</formula>
    </cfRule>
    <cfRule type="containsText" dxfId="109" priority="302" operator="containsText" text="OFF">
      <formula>NOT(ISERROR(SEARCH("OFF",BT25)))</formula>
    </cfRule>
    <cfRule type="containsText" dxfId="108" priority="303" operator="containsText" text="AB">
      <formula>NOT(ISERROR(SEARCH("AB",BT25)))</formula>
    </cfRule>
    <cfRule type="containsText" dxfId="107" priority="304" operator="containsText" text="SICK">
      <formula>NOT(ISERROR(SEARCH("SICK",BT25)))</formula>
    </cfRule>
    <cfRule type="containsText" dxfId="106" priority="305" operator="containsText" text="AL">
      <formula>NOT(ISERROR(SEARCH("AL",BT25)))</formula>
    </cfRule>
    <cfRule type="containsText" dxfId="105" priority="300" operator="containsText" text="SUS">
      <formula>NOT(ISERROR(SEARCH("SUS",BT25)))</formula>
    </cfRule>
    <cfRule type="containsText" dxfId="104" priority="298" operator="containsText" text="NL">
      <formula>NOT(ISERROR(SEARCH("NL",BT25)))</formula>
    </cfRule>
    <cfRule type="containsText" dxfId="103" priority="296" operator="containsText" text="EL">
      <formula>NOT(ISERROR(SEARCH("EL",BT25)))</formula>
    </cfRule>
    <cfRule type="containsText" dxfId="102" priority="297" operator="containsText" text="SP">
      <formula>NOT(ISERROR(SEARCH("SP",BT25)))</formula>
    </cfRule>
    <cfRule type="containsText" dxfId="101" priority="299" operator="containsText" text="MC">
      <formula>NOT(ISERROR(SEARCH("MC",BT25)))</formula>
    </cfRule>
  </conditionalFormatting>
  <conditionalFormatting sqref="CB4">
    <cfRule type="containsText" dxfId="100" priority="295" operator="containsText" text="AL">
      <formula>NOT(ISERROR(SEARCH("AL",CB4)))</formula>
    </cfRule>
    <cfRule type="containsText" dxfId="99" priority="290" operator="containsText" text="SUS">
      <formula>NOT(ISERROR(SEARCH("SUS",CB4)))</formula>
    </cfRule>
    <cfRule type="containsText" dxfId="98" priority="291" operator="containsText" text="FL">
      <formula>NOT(ISERROR(SEARCH("FL",CB4)))</formula>
    </cfRule>
    <cfRule type="containsText" dxfId="97" priority="288" operator="containsText" text="NL">
      <formula>NOT(ISERROR(SEARCH("NL",CB4)))</formula>
    </cfRule>
    <cfRule type="containsText" dxfId="96" priority="289" operator="containsText" text="MC">
      <formula>NOT(ISERROR(SEARCH("MC",CB4)))</formula>
    </cfRule>
    <cfRule type="containsText" dxfId="95" priority="292" operator="containsText" text="OFF">
      <formula>NOT(ISERROR(SEARCH("OFF",CB4)))</formula>
    </cfRule>
    <cfRule type="containsText" dxfId="94" priority="293" operator="containsText" text="AB">
      <formula>NOT(ISERROR(SEARCH("AB",CB4)))</formula>
    </cfRule>
    <cfRule type="containsText" dxfId="93" priority="294" operator="containsText" text="SICK">
      <formula>NOT(ISERROR(SEARCH("SICK",CB4)))</formula>
    </cfRule>
  </conditionalFormatting>
  <conditionalFormatting sqref="CB25">
    <cfRule type="containsText" dxfId="92" priority="284" operator="containsText" text="OFF">
      <formula>NOT(ISERROR(SEARCH("OFF",CB25)))</formula>
    </cfRule>
    <cfRule type="containsText" dxfId="91" priority="280" operator="containsText" text="NL">
      <formula>NOT(ISERROR(SEARCH("NL",CB25)))</formula>
    </cfRule>
    <cfRule type="containsText" dxfId="90" priority="281" operator="containsText" text="MC">
      <formula>NOT(ISERROR(SEARCH("MC",CB25)))</formula>
    </cfRule>
    <cfRule type="containsText" dxfId="89" priority="282" operator="containsText" text="SUS">
      <formula>NOT(ISERROR(SEARCH("SUS",CB25)))</formula>
    </cfRule>
    <cfRule type="containsText" dxfId="88" priority="287" operator="containsText" text="AL">
      <formula>NOT(ISERROR(SEARCH("AL",CB25)))</formula>
    </cfRule>
    <cfRule type="containsText" dxfId="87" priority="286" operator="containsText" text="SICK">
      <formula>NOT(ISERROR(SEARCH("SICK",CB25)))</formula>
    </cfRule>
    <cfRule type="containsText" dxfId="86" priority="283" operator="containsText" text="FL">
      <formula>NOT(ISERROR(SEARCH("FL",CB25)))</formula>
    </cfRule>
    <cfRule type="containsText" dxfId="85" priority="285" operator="containsText" text="AB">
      <formula>NOT(ISERROR(SEARCH("AB",CB25)))</formula>
    </cfRule>
  </conditionalFormatting>
  <conditionalFormatting sqref="CB4:CC4">
    <cfRule type="containsText" dxfId="84" priority="271" operator="containsText" text="SP">
      <formula>NOT(ISERROR(SEARCH("SP",CB4)))</formula>
    </cfRule>
  </conditionalFormatting>
  <conditionalFormatting sqref="CB25:CC25">
    <cfRule type="containsText" dxfId="83" priority="262" operator="containsText" text="SP">
      <formula>NOT(ISERROR(SEARCH("SP",CB25)))</formula>
    </cfRule>
  </conditionalFormatting>
  <conditionalFormatting sqref="CB4:CD4">
    <cfRule type="containsText" dxfId="82" priority="252" operator="containsText" text="EL">
      <formula>NOT(ISERROR(SEARCH("EL",CB4)))</formula>
    </cfRule>
  </conditionalFormatting>
  <conditionalFormatting sqref="CB25:CD25">
    <cfRule type="containsText" dxfId="81" priority="242" operator="containsText" text="EL">
      <formula>NOT(ISERROR(SEARCH("EL",CB25)))</formula>
    </cfRule>
  </conditionalFormatting>
  <conditionalFormatting sqref="CC4">
    <cfRule type="containsText" dxfId="80" priority="279" operator="containsText" text="AL">
      <formula>NOT(ISERROR(SEARCH("AL",CC4)))</formula>
    </cfRule>
    <cfRule type="containsText" dxfId="79" priority="275" operator="containsText" text="FL">
      <formula>NOT(ISERROR(SEARCH("FL",CC4)))</formula>
    </cfRule>
    <cfRule type="containsText" dxfId="78" priority="277" operator="containsText" text="AB">
      <formula>NOT(ISERROR(SEARCH("AB",CC4)))</formula>
    </cfRule>
    <cfRule type="containsText" dxfId="77" priority="276" operator="containsText" text="OFF">
      <formula>NOT(ISERROR(SEARCH("OFF",CC4)))</formula>
    </cfRule>
    <cfRule type="containsText" dxfId="76" priority="273" operator="containsText" text="MC">
      <formula>NOT(ISERROR(SEARCH("MC",CC4)))</formula>
    </cfRule>
    <cfRule type="containsText" dxfId="75" priority="274" operator="containsText" text="SUS">
      <formula>NOT(ISERROR(SEARCH("SUS",CC4)))</formula>
    </cfRule>
    <cfRule type="containsText" dxfId="74" priority="278" operator="containsText" text="SICK">
      <formula>NOT(ISERROR(SEARCH("SICK",CC4)))</formula>
    </cfRule>
    <cfRule type="containsText" dxfId="73" priority="272" operator="containsText" text="NL">
      <formula>NOT(ISERROR(SEARCH("NL",CC4)))</formula>
    </cfRule>
  </conditionalFormatting>
  <conditionalFormatting sqref="CC25">
    <cfRule type="containsText" dxfId="72" priority="264" operator="containsText" text="MC">
      <formula>NOT(ISERROR(SEARCH("MC",CC25)))</formula>
    </cfRule>
    <cfRule type="containsText" dxfId="71" priority="268" operator="containsText" text="AB">
      <formula>NOT(ISERROR(SEARCH("AB",CC25)))</formula>
    </cfRule>
    <cfRule type="containsText" dxfId="70" priority="263" operator="containsText" text="NL">
      <formula>NOT(ISERROR(SEARCH("NL",CC25)))</formula>
    </cfRule>
    <cfRule type="containsText" dxfId="69" priority="266" operator="containsText" text="FL">
      <formula>NOT(ISERROR(SEARCH("FL",CC25)))</formula>
    </cfRule>
    <cfRule type="containsText" dxfId="68" priority="267" operator="containsText" text="OFF">
      <formula>NOT(ISERROR(SEARCH("OFF",CC25)))</formula>
    </cfRule>
    <cfRule type="containsText" dxfId="67" priority="265" operator="containsText" text="SUS">
      <formula>NOT(ISERROR(SEARCH("SUS",CC25)))</formula>
    </cfRule>
    <cfRule type="containsText" dxfId="66" priority="270" operator="containsText" text="AL">
      <formula>NOT(ISERROR(SEARCH("AL",CC25)))</formula>
    </cfRule>
    <cfRule type="containsText" dxfId="65" priority="269" operator="containsText" text="SICK">
      <formula>NOT(ISERROR(SEARCH("SICK",CC25)))</formula>
    </cfRule>
  </conditionalFormatting>
  <conditionalFormatting sqref="CD4">
    <cfRule type="containsText" dxfId="64" priority="260" operator="containsText" text="SICK">
      <formula>NOT(ISERROR(SEARCH("SICK",CD4)))</formula>
    </cfRule>
    <cfRule type="containsText" dxfId="63" priority="261" operator="containsText" text="AL">
      <formula>NOT(ISERROR(SEARCH("AL",CD4)))</formula>
    </cfRule>
    <cfRule type="containsText" dxfId="62" priority="259" operator="containsText" text="AB">
      <formula>NOT(ISERROR(SEARCH("AB",CD4)))</formula>
    </cfRule>
    <cfRule type="containsText" dxfId="61" priority="258" operator="containsText" text="OFF">
      <formula>NOT(ISERROR(SEARCH("OFF",CD4)))</formula>
    </cfRule>
    <cfRule type="containsText" dxfId="60" priority="257" operator="containsText" text="FL">
      <formula>NOT(ISERROR(SEARCH("FL",CD4)))</formula>
    </cfRule>
    <cfRule type="containsText" dxfId="59" priority="256" operator="containsText" text="SUS">
      <formula>NOT(ISERROR(SEARCH("SUS",CD4)))</formula>
    </cfRule>
    <cfRule type="containsText" dxfId="58" priority="255" operator="containsText" text="MC">
      <formula>NOT(ISERROR(SEARCH("MC",CD4)))</formula>
    </cfRule>
    <cfRule type="containsText" dxfId="57" priority="254" operator="containsText" text="NL">
      <formula>NOT(ISERROR(SEARCH("NL",CD4)))</formula>
    </cfRule>
    <cfRule type="containsText" dxfId="56" priority="253" operator="containsText" text="SP">
      <formula>NOT(ISERROR(SEARCH("SP",CD4)))</formula>
    </cfRule>
  </conditionalFormatting>
  <conditionalFormatting sqref="CD25">
    <cfRule type="containsText" dxfId="55" priority="243" operator="containsText" text="SP">
      <formula>NOT(ISERROR(SEARCH("SP",CD25)))</formula>
    </cfRule>
    <cfRule type="containsText" dxfId="54" priority="244" operator="containsText" text="NL">
      <formula>NOT(ISERROR(SEARCH("NL",CD25)))</formula>
    </cfRule>
    <cfRule type="containsText" dxfId="53" priority="245" operator="containsText" text="MC">
      <formula>NOT(ISERROR(SEARCH("MC",CD25)))</formula>
    </cfRule>
    <cfRule type="containsText" dxfId="52" priority="251" operator="containsText" text="AL">
      <formula>NOT(ISERROR(SEARCH("AL",CD25)))</formula>
    </cfRule>
    <cfRule type="containsText" dxfId="51" priority="250" operator="containsText" text="SICK">
      <formula>NOT(ISERROR(SEARCH("SICK",CD25)))</formula>
    </cfRule>
    <cfRule type="containsText" dxfId="50" priority="249" operator="containsText" text="AB">
      <formula>NOT(ISERROR(SEARCH("AB",CD25)))</formula>
    </cfRule>
    <cfRule type="containsText" dxfId="49" priority="248" operator="containsText" text="OFF">
      <formula>NOT(ISERROR(SEARCH("OFF",CD25)))</formula>
    </cfRule>
    <cfRule type="containsText" dxfId="48" priority="247" operator="containsText" text="FL">
      <formula>NOT(ISERROR(SEARCH("FL",CD25)))</formula>
    </cfRule>
    <cfRule type="containsText" dxfId="47" priority="246" operator="containsText" text="SUS">
      <formula>NOT(ISERROR(SEARCH("SUS",CD25)))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4039-03E6-4ED9-B0A1-48BE97D692FE}">
  <sheetPr>
    <pageSetUpPr fitToPage="1"/>
  </sheetPr>
  <dimension ref="A1:BJ26"/>
  <sheetViews>
    <sheetView tabSelected="1" zoomScaleNormal="100" workbookViewId="0">
      <pane xSplit="4" ySplit="1" topLeftCell="I2" activePane="bottomRight" state="frozen"/>
      <selection pane="topRight" activeCell="E1" sqref="E1"/>
      <selection pane="bottomLeft" activeCell="A5" sqref="A5"/>
      <selection pane="bottomRight" activeCell="N14" sqref="N14"/>
    </sheetView>
  </sheetViews>
  <sheetFormatPr defaultRowHeight="15" x14ac:dyDescent="0.25"/>
  <cols>
    <col min="1" max="1" width="5" customWidth="1"/>
    <col min="2" max="2" width="10.85546875" style="18" customWidth="1"/>
    <col min="3" max="3" width="29.140625" customWidth="1"/>
    <col min="4" max="4" width="8" hidden="1" customWidth="1"/>
    <col min="5" max="5" width="6.42578125" customWidth="1"/>
    <col min="6" max="6" width="7.5703125" customWidth="1"/>
    <col min="7" max="8" width="6.42578125" customWidth="1"/>
    <col min="9" max="9" width="7.7109375" customWidth="1"/>
    <col min="10" max="10" width="6.42578125" customWidth="1"/>
    <col min="11" max="11" width="7.5703125" customWidth="1"/>
    <col min="12" max="12" width="7.28515625" customWidth="1"/>
    <col min="13" max="13" width="6.42578125" customWidth="1"/>
    <col min="14" max="14" width="7.140625" customWidth="1"/>
    <col min="15" max="15" width="6.42578125" customWidth="1"/>
    <col min="16" max="16" width="7.5703125" customWidth="1"/>
    <col min="17" max="23" width="6.42578125" customWidth="1"/>
    <col min="24" max="24" width="7.140625" customWidth="1"/>
    <col min="25" max="34" width="6.42578125" customWidth="1"/>
    <col min="35" max="35" width="5" customWidth="1"/>
    <col min="36" max="48" width="5.140625" customWidth="1"/>
    <col min="49" max="49" width="12.7109375" customWidth="1"/>
    <col min="52" max="62" width="5.28515625" customWidth="1"/>
  </cols>
  <sheetData>
    <row r="1" spans="1:62" s="165" customFormat="1" ht="24" customHeight="1" x14ac:dyDescent="0.3">
      <c r="A1" s="244" t="s">
        <v>121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6"/>
      <c r="AG1" s="170"/>
      <c r="AH1" s="170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</row>
    <row r="2" spans="1:62" s="165" customFormat="1" ht="18.75" customHeight="1" x14ac:dyDescent="0.3">
      <c r="A2" s="235" t="s">
        <v>33</v>
      </c>
      <c r="B2" s="235"/>
      <c r="C2" s="235"/>
      <c r="D2" s="86"/>
      <c r="E2" s="251" t="s">
        <v>7</v>
      </c>
      <c r="F2" s="251"/>
      <c r="G2" s="251" t="s">
        <v>1</v>
      </c>
      <c r="H2" s="251"/>
      <c r="I2" s="251" t="s">
        <v>2</v>
      </c>
      <c r="J2" s="251"/>
      <c r="K2" s="251" t="s">
        <v>3</v>
      </c>
      <c r="L2" s="251"/>
      <c r="M2" s="251" t="s">
        <v>4</v>
      </c>
      <c r="N2" s="251"/>
      <c r="O2" s="251" t="s">
        <v>5</v>
      </c>
      <c r="P2" s="251"/>
      <c r="Q2" s="251" t="s">
        <v>6</v>
      </c>
      <c r="R2" s="251"/>
      <c r="S2" s="251" t="s">
        <v>7</v>
      </c>
      <c r="T2" s="251"/>
      <c r="U2" s="251" t="s">
        <v>1</v>
      </c>
      <c r="V2" s="251"/>
      <c r="W2" s="251" t="s">
        <v>2</v>
      </c>
      <c r="X2" s="251"/>
      <c r="Y2" s="251" t="s">
        <v>3</v>
      </c>
      <c r="Z2" s="251"/>
      <c r="AA2" s="251" t="s">
        <v>4</v>
      </c>
      <c r="AB2" s="251"/>
      <c r="AC2" s="251" t="s">
        <v>5</v>
      </c>
      <c r="AD2" s="251"/>
      <c r="AE2" s="251" t="s">
        <v>6</v>
      </c>
      <c r="AF2" s="251"/>
      <c r="AG2" s="251" t="s">
        <v>7</v>
      </c>
      <c r="AH2" s="251"/>
      <c r="AI2" s="248" t="s">
        <v>8</v>
      </c>
      <c r="AJ2" s="248" t="s">
        <v>9</v>
      </c>
      <c r="AK2" s="171"/>
      <c r="AL2" s="9"/>
      <c r="AM2" s="9"/>
      <c r="AN2" s="9"/>
      <c r="AO2" s="9"/>
      <c r="AP2" s="9"/>
      <c r="AQ2" s="9"/>
      <c r="AR2" s="9"/>
      <c r="AS2" s="185"/>
      <c r="AT2" s="185"/>
      <c r="AU2" s="9"/>
      <c r="AV2" s="186"/>
      <c r="AW2" s="186"/>
      <c r="AZ2" s="230" t="s">
        <v>82</v>
      </c>
      <c r="BA2" s="230"/>
      <c r="BB2" s="230"/>
      <c r="BC2" s="230"/>
      <c r="BD2" s="230"/>
      <c r="BE2" s="230"/>
      <c r="BF2" s="230"/>
      <c r="BG2" s="230"/>
      <c r="BH2" s="230"/>
      <c r="BI2" s="230"/>
      <c r="BJ2" s="166"/>
    </row>
    <row r="3" spans="1:62" s="165" customFormat="1" ht="18.75" customHeight="1" x14ac:dyDescent="0.3">
      <c r="A3" s="235"/>
      <c r="B3" s="235"/>
      <c r="C3" s="235"/>
      <c r="D3" s="86"/>
      <c r="E3" s="252">
        <v>46266</v>
      </c>
      <c r="F3" s="252"/>
      <c r="G3" s="252">
        <v>46267</v>
      </c>
      <c r="H3" s="252"/>
      <c r="I3" s="252">
        <v>46268</v>
      </c>
      <c r="J3" s="252"/>
      <c r="K3" s="252">
        <v>46269</v>
      </c>
      <c r="L3" s="252"/>
      <c r="M3" s="252">
        <v>46270</v>
      </c>
      <c r="N3" s="252"/>
      <c r="O3" s="252">
        <v>46271</v>
      </c>
      <c r="P3" s="252"/>
      <c r="Q3" s="252">
        <v>46272</v>
      </c>
      <c r="R3" s="252"/>
      <c r="S3" s="252">
        <v>46273</v>
      </c>
      <c r="T3" s="252"/>
      <c r="U3" s="252">
        <v>46274</v>
      </c>
      <c r="V3" s="252"/>
      <c r="W3" s="252">
        <v>46275</v>
      </c>
      <c r="X3" s="252"/>
      <c r="Y3" s="252">
        <v>46276</v>
      </c>
      <c r="Z3" s="252"/>
      <c r="AA3" s="252">
        <v>46277</v>
      </c>
      <c r="AB3" s="252"/>
      <c r="AC3" s="252">
        <v>46278</v>
      </c>
      <c r="AD3" s="252"/>
      <c r="AE3" s="252">
        <v>46279</v>
      </c>
      <c r="AF3" s="252"/>
      <c r="AG3" s="252">
        <v>46280</v>
      </c>
      <c r="AH3" s="252"/>
      <c r="AI3" s="249"/>
      <c r="AJ3" s="249"/>
      <c r="AK3" s="171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Z3" s="48" t="s">
        <v>99</v>
      </c>
      <c r="BA3" s="48"/>
      <c r="BB3" s="48"/>
      <c r="BC3" s="48"/>
      <c r="BD3" s="48"/>
      <c r="BE3" s="48"/>
      <c r="BF3" s="48"/>
      <c r="BG3" s="48"/>
      <c r="BH3" s="48"/>
      <c r="BI3" s="48"/>
      <c r="BJ3" s="166"/>
    </row>
    <row r="4" spans="1:62" s="165" customFormat="1" ht="18.75" customHeight="1" x14ac:dyDescent="0.3">
      <c r="A4" s="172" t="s">
        <v>10</v>
      </c>
      <c r="B4" s="172" t="s">
        <v>11</v>
      </c>
      <c r="C4" s="172" t="s">
        <v>12</v>
      </c>
      <c r="D4" s="172"/>
      <c r="E4" s="173" t="s">
        <v>13</v>
      </c>
      <c r="F4" s="173" t="s">
        <v>14</v>
      </c>
      <c r="G4" s="173" t="s">
        <v>13</v>
      </c>
      <c r="H4" s="173" t="s">
        <v>14</v>
      </c>
      <c r="I4" s="173" t="s">
        <v>13</v>
      </c>
      <c r="J4" s="173" t="s">
        <v>14</v>
      </c>
      <c r="K4" s="173" t="s">
        <v>13</v>
      </c>
      <c r="L4" s="173" t="s">
        <v>14</v>
      </c>
      <c r="M4" s="173" t="s">
        <v>13</v>
      </c>
      <c r="N4" s="173" t="s">
        <v>14</v>
      </c>
      <c r="O4" s="173" t="s">
        <v>13</v>
      </c>
      <c r="P4" s="173" t="s">
        <v>14</v>
      </c>
      <c r="Q4" s="173" t="s">
        <v>13</v>
      </c>
      <c r="R4" s="173" t="s">
        <v>14</v>
      </c>
      <c r="S4" s="173" t="s">
        <v>13</v>
      </c>
      <c r="T4" s="173" t="s">
        <v>14</v>
      </c>
      <c r="U4" s="173" t="s">
        <v>13</v>
      </c>
      <c r="V4" s="173" t="s">
        <v>14</v>
      </c>
      <c r="W4" s="173" t="s">
        <v>13</v>
      </c>
      <c r="X4" s="173" t="s">
        <v>14</v>
      </c>
      <c r="Y4" s="173" t="s">
        <v>13</v>
      </c>
      <c r="Z4" s="173" t="s">
        <v>14</v>
      </c>
      <c r="AA4" s="173" t="s">
        <v>13</v>
      </c>
      <c r="AB4" s="173" t="s">
        <v>14</v>
      </c>
      <c r="AC4" s="173" t="s">
        <v>13</v>
      </c>
      <c r="AD4" s="173" t="s">
        <v>14</v>
      </c>
      <c r="AE4" s="173" t="s">
        <v>13</v>
      </c>
      <c r="AF4" s="173" t="s">
        <v>14</v>
      </c>
      <c r="AG4" s="173" t="s">
        <v>13</v>
      </c>
      <c r="AH4" s="173" t="s">
        <v>14</v>
      </c>
      <c r="AI4" s="250"/>
      <c r="AJ4" s="250"/>
      <c r="AK4" s="174"/>
      <c r="AL4" s="187" t="s">
        <v>15</v>
      </c>
      <c r="AM4" s="187" t="s">
        <v>16</v>
      </c>
      <c r="AN4" s="187" t="s">
        <v>17</v>
      </c>
      <c r="AO4" s="187" t="s">
        <v>18</v>
      </c>
      <c r="AP4" s="187" t="s">
        <v>19</v>
      </c>
      <c r="AQ4" s="187" t="s">
        <v>20</v>
      </c>
      <c r="AR4" s="187" t="s">
        <v>96</v>
      </c>
      <c r="AS4" s="43" t="s">
        <v>22</v>
      </c>
      <c r="AT4" s="187" t="s">
        <v>23</v>
      </c>
      <c r="AU4" s="187" t="s">
        <v>24</v>
      </c>
      <c r="AV4" s="187" t="s">
        <v>25</v>
      </c>
      <c r="AW4" s="9" t="s">
        <v>26</v>
      </c>
      <c r="AZ4" s="167" t="s">
        <v>16</v>
      </c>
      <c r="BA4" s="167" t="s">
        <v>17</v>
      </c>
      <c r="BB4" s="167" t="s">
        <v>18</v>
      </c>
      <c r="BC4" s="167" t="s">
        <v>19</v>
      </c>
      <c r="BD4" s="167" t="s">
        <v>20</v>
      </c>
      <c r="BE4" s="167" t="s">
        <v>21</v>
      </c>
      <c r="BF4" s="167" t="s">
        <v>22</v>
      </c>
      <c r="BG4" s="167" t="s">
        <v>23</v>
      </c>
      <c r="BH4" s="167" t="s">
        <v>24</v>
      </c>
      <c r="BI4" s="167" t="s">
        <v>25</v>
      </c>
      <c r="BJ4" s="167" t="s">
        <v>83</v>
      </c>
    </row>
    <row r="5" spans="1:62" s="165" customFormat="1" ht="27.75" customHeight="1" x14ac:dyDescent="0.3">
      <c r="A5" s="53">
        <v>1</v>
      </c>
      <c r="B5" s="53" t="s">
        <v>122</v>
      </c>
      <c r="C5" s="175" t="s">
        <v>123</v>
      </c>
      <c r="D5" s="176">
        <v>45387</v>
      </c>
      <c r="E5" s="188">
        <v>46267.343472222223</v>
      </c>
      <c r="F5" s="188">
        <v>46264.950995370367</v>
      </c>
      <c r="G5" s="188">
        <v>46267.343472222223</v>
      </c>
      <c r="H5" s="188">
        <v>0</v>
      </c>
      <c r="I5" s="188">
        <v>46268.33017361111</v>
      </c>
      <c r="J5" s="188">
        <v>0</v>
      </c>
      <c r="K5" s="188">
        <v>46269.579340277778</v>
      </c>
      <c r="L5" s="188">
        <v>46269.998391203706</v>
      </c>
      <c r="M5" s="188">
        <v>46270.352870370371</v>
      </c>
      <c r="N5" s="188">
        <v>46270.999976851854</v>
      </c>
      <c r="O5" s="188">
        <v>46271.345219907409</v>
      </c>
      <c r="P5" s="188">
        <v>0</v>
      </c>
      <c r="Q5" s="188">
        <v>46272.346817129626</v>
      </c>
      <c r="R5" s="188">
        <v>0</v>
      </c>
      <c r="S5" s="188">
        <v>46273.312314814815</v>
      </c>
      <c r="T5" s="188">
        <v>0</v>
      </c>
      <c r="U5" s="188">
        <v>46274.335335648146</v>
      </c>
      <c r="V5" s="188">
        <v>0</v>
      </c>
      <c r="W5" s="188">
        <v>46275.35292824074</v>
      </c>
      <c r="X5" s="188">
        <v>0</v>
      </c>
      <c r="Y5" s="189" t="s">
        <v>15</v>
      </c>
      <c r="Z5" s="189" t="s">
        <v>15</v>
      </c>
      <c r="AA5" s="188">
        <v>46277.339282407411</v>
      </c>
      <c r="AB5" s="188">
        <v>0</v>
      </c>
      <c r="AC5" s="190">
        <v>46278.339212962965</v>
      </c>
      <c r="AD5" s="190">
        <v>0</v>
      </c>
      <c r="AE5" s="190">
        <v>46279.339756944442</v>
      </c>
      <c r="AF5" s="190">
        <v>0</v>
      </c>
      <c r="AG5" s="190">
        <v>46280.339421296296</v>
      </c>
      <c r="AH5" s="190">
        <v>0</v>
      </c>
      <c r="AI5" s="191">
        <f>AK5+AL5+AM5+AN5+AS5+AQ5+AR5+AV5</f>
        <v>30</v>
      </c>
      <c r="AJ5" s="192">
        <v>3</v>
      </c>
      <c r="AK5" s="193">
        <v>29</v>
      </c>
      <c r="AL5" s="192">
        <f>COUNTIF(B5:AF5,"OFF")/2</f>
        <v>1</v>
      </c>
      <c r="AM5" s="194">
        <f>COUNTIF(B5:AF5,"MC")/2</f>
        <v>0</v>
      </c>
      <c r="AN5" s="194">
        <f>COUNTIF(B5:AF5,"EL")/2</f>
        <v>0</v>
      </c>
      <c r="AO5" s="194">
        <f>COUNTIF(B5:AF5,"AL")/2</f>
        <v>0</v>
      </c>
      <c r="AP5" s="194">
        <f>COUNTIF(B5:AF5,"SUS")/2</f>
        <v>0</v>
      </c>
      <c r="AQ5" s="194">
        <f>COUNTIF(B5:AF5,"FL")/2</f>
        <v>0</v>
      </c>
      <c r="AR5" s="194">
        <f>COUNTIF(B5:AF5,"SICK")/2</f>
        <v>0</v>
      </c>
      <c r="AS5" s="194">
        <f>COUNTIF(B5:AF5,"HD")/2</f>
        <v>0</v>
      </c>
      <c r="AT5" s="194">
        <f>COUNTIF(B5:AF5,"AB")/2</f>
        <v>0</v>
      </c>
      <c r="AU5" s="194">
        <f>COUNTIF(B5:AF5,"NL")/2</f>
        <v>0</v>
      </c>
      <c r="AV5" s="194">
        <f>COUNTIF(B5:AF5,"SP")/2</f>
        <v>0</v>
      </c>
      <c r="AW5" s="177"/>
      <c r="AZ5" s="168">
        <v>0</v>
      </c>
      <c r="BA5" s="168">
        <v>0</v>
      </c>
      <c r="BB5" s="168">
        <v>0</v>
      </c>
      <c r="BC5" s="168">
        <v>0</v>
      </c>
      <c r="BD5" s="168">
        <v>0</v>
      </c>
      <c r="BE5" s="169">
        <v>3</v>
      </c>
      <c r="BF5" s="168">
        <v>0</v>
      </c>
      <c r="BG5" s="168">
        <v>0</v>
      </c>
      <c r="BH5" s="168">
        <v>0</v>
      </c>
      <c r="BI5" s="168">
        <v>0</v>
      </c>
      <c r="BJ5" s="164">
        <f t="shared" ref="BJ5" si="0">SUM(AZ5:BI5)</f>
        <v>3</v>
      </c>
    </row>
    <row r="6" spans="1:62" s="165" customFormat="1" ht="18.75" x14ac:dyDescent="0.3">
      <c r="A6" s="74"/>
      <c r="B6" s="19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</row>
    <row r="7" spans="1:62" s="165" customFormat="1" ht="20.25" customHeight="1" x14ac:dyDescent="0.3">
      <c r="A7" s="74"/>
      <c r="B7" s="19"/>
      <c r="C7" s="74"/>
      <c r="D7" s="74"/>
      <c r="E7" s="239" t="s">
        <v>1</v>
      </c>
      <c r="F7" s="240"/>
      <c r="G7" s="239" t="s">
        <v>2</v>
      </c>
      <c r="H7" s="240"/>
      <c r="I7" s="239" t="s">
        <v>3</v>
      </c>
      <c r="J7" s="240"/>
      <c r="K7" s="239" t="s">
        <v>4</v>
      </c>
      <c r="L7" s="240"/>
      <c r="M7" s="239" t="s">
        <v>5</v>
      </c>
      <c r="N7" s="240"/>
      <c r="O7" s="239" t="s">
        <v>6</v>
      </c>
      <c r="P7" s="240"/>
      <c r="Q7" s="239" t="s">
        <v>7</v>
      </c>
      <c r="R7" s="240"/>
      <c r="S7" s="239" t="s">
        <v>1</v>
      </c>
      <c r="T7" s="240"/>
      <c r="U7" s="239" t="s">
        <v>2</v>
      </c>
      <c r="V7" s="240"/>
      <c r="W7" s="239" t="s">
        <v>3</v>
      </c>
      <c r="X7" s="240"/>
      <c r="Y7" s="239" t="s">
        <v>4</v>
      </c>
      <c r="Z7" s="240"/>
      <c r="AA7" s="239" t="s">
        <v>5</v>
      </c>
      <c r="AB7" s="240"/>
      <c r="AC7" s="239" t="s">
        <v>6</v>
      </c>
      <c r="AD7" s="240"/>
      <c r="AE7" s="239" t="s">
        <v>7</v>
      </c>
      <c r="AF7" s="240"/>
      <c r="AG7" s="239" t="s">
        <v>1</v>
      </c>
      <c r="AH7" s="240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</row>
    <row r="8" spans="1:62" s="165" customFormat="1" ht="20.25" customHeight="1" x14ac:dyDescent="0.3">
      <c r="A8" s="74"/>
      <c r="B8" s="19"/>
      <c r="C8" s="74"/>
      <c r="D8" s="74"/>
      <c r="E8" s="242">
        <v>46281</v>
      </c>
      <c r="F8" s="243"/>
      <c r="G8" s="242">
        <v>46282</v>
      </c>
      <c r="H8" s="243"/>
      <c r="I8" s="242">
        <v>46283</v>
      </c>
      <c r="J8" s="243"/>
      <c r="K8" s="242">
        <v>46284</v>
      </c>
      <c r="L8" s="243"/>
      <c r="M8" s="242">
        <v>46285</v>
      </c>
      <c r="N8" s="243"/>
      <c r="O8" s="242">
        <v>46286</v>
      </c>
      <c r="P8" s="243"/>
      <c r="Q8" s="242">
        <v>46287</v>
      </c>
      <c r="R8" s="243"/>
      <c r="S8" s="242">
        <v>46288</v>
      </c>
      <c r="T8" s="243"/>
      <c r="U8" s="242">
        <v>46289</v>
      </c>
      <c r="V8" s="243"/>
      <c r="W8" s="242">
        <v>46290</v>
      </c>
      <c r="X8" s="243"/>
      <c r="Y8" s="242">
        <v>46291</v>
      </c>
      <c r="Z8" s="243"/>
      <c r="AA8" s="242">
        <v>46292</v>
      </c>
      <c r="AB8" s="243"/>
      <c r="AC8" s="242">
        <v>46293</v>
      </c>
      <c r="AD8" s="243"/>
      <c r="AE8" s="242">
        <v>46294</v>
      </c>
      <c r="AF8" s="243"/>
      <c r="AG8" s="242">
        <v>46295</v>
      </c>
      <c r="AH8" s="243"/>
      <c r="AI8" s="74"/>
      <c r="AJ8" s="74"/>
      <c r="AK8" s="74"/>
      <c r="AL8" s="178" t="s">
        <v>70</v>
      </c>
      <c r="AM8" s="179"/>
      <c r="AN8" s="179"/>
      <c r="AO8" s="20" t="s">
        <v>15</v>
      </c>
      <c r="AP8" s="19"/>
      <c r="AQ8" s="180" t="s">
        <v>71</v>
      </c>
      <c r="AR8" s="181"/>
      <c r="AS8" s="181"/>
      <c r="AT8" s="182"/>
      <c r="AU8" s="142" t="s">
        <v>21</v>
      </c>
      <c r="AV8" s="74"/>
      <c r="AW8" s="74"/>
    </row>
    <row r="9" spans="1:62" s="165" customFormat="1" ht="20.25" customHeight="1" x14ac:dyDescent="0.3">
      <c r="A9" s="74"/>
      <c r="B9" s="19"/>
      <c r="C9" s="74"/>
      <c r="D9" s="74"/>
      <c r="E9" s="173" t="s">
        <v>13</v>
      </c>
      <c r="F9" s="173" t="s">
        <v>14</v>
      </c>
      <c r="G9" s="173" t="s">
        <v>13</v>
      </c>
      <c r="H9" s="173" t="s">
        <v>14</v>
      </c>
      <c r="I9" s="173" t="s">
        <v>13</v>
      </c>
      <c r="J9" s="173" t="s">
        <v>14</v>
      </c>
      <c r="K9" s="173" t="s">
        <v>13</v>
      </c>
      <c r="L9" s="173" t="s">
        <v>14</v>
      </c>
      <c r="M9" s="173" t="s">
        <v>13</v>
      </c>
      <c r="N9" s="173" t="s">
        <v>14</v>
      </c>
      <c r="O9" s="173" t="s">
        <v>13</v>
      </c>
      <c r="P9" s="173" t="s">
        <v>14</v>
      </c>
      <c r="Q9" s="173" t="s">
        <v>13</v>
      </c>
      <c r="R9" s="173" t="s">
        <v>14</v>
      </c>
      <c r="S9" s="173" t="s">
        <v>13</v>
      </c>
      <c r="T9" s="173" t="s">
        <v>14</v>
      </c>
      <c r="U9" s="173" t="s">
        <v>13</v>
      </c>
      <c r="V9" s="173" t="s">
        <v>14</v>
      </c>
      <c r="W9" s="173" t="s">
        <v>13</v>
      </c>
      <c r="X9" s="173" t="s">
        <v>14</v>
      </c>
      <c r="Y9" s="173" t="s">
        <v>13</v>
      </c>
      <c r="Z9" s="173" t="s">
        <v>14</v>
      </c>
      <c r="AA9" s="173" t="s">
        <v>13</v>
      </c>
      <c r="AB9" s="173" t="s">
        <v>14</v>
      </c>
      <c r="AC9" s="173" t="s">
        <v>13</v>
      </c>
      <c r="AD9" s="173" t="s">
        <v>14</v>
      </c>
      <c r="AE9" s="173" t="s">
        <v>13</v>
      </c>
      <c r="AF9" s="173" t="s">
        <v>14</v>
      </c>
      <c r="AG9" s="173" t="s">
        <v>13</v>
      </c>
      <c r="AH9" s="173" t="s">
        <v>14</v>
      </c>
      <c r="AI9" s="74"/>
      <c r="AJ9" s="74"/>
      <c r="AK9" s="74"/>
      <c r="AL9" s="178" t="s">
        <v>72</v>
      </c>
      <c r="AM9" s="179"/>
      <c r="AN9" s="179"/>
      <c r="AO9" s="20" t="s">
        <v>16</v>
      </c>
      <c r="AP9" s="19"/>
      <c r="AQ9" s="183" t="s">
        <v>73</v>
      </c>
      <c r="AR9" s="184"/>
      <c r="AS9" s="184"/>
      <c r="AT9" s="182"/>
      <c r="AU9" s="142" t="s">
        <v>22</v>
      </c>
      <c r="AV9" s="74"/>
      <c r="AW9" s="74"/>
    </row>
    <row r="10" spans="1:62" s="165" customFormat="1" ht="22.5" customHeight="1" x14ac:dyDescent="0.3">
      <c r="A10" s="74"/>
      <c r="B10" s="19"/>
      <c r="C10" s="74"/>
      <c r="D10" s="74"/>
      <c r="E10" s="188">
        <v>46281.33934027778</v>
      </c>
      <c r="F10" s="188">
        <v>46281.992430555554</v>
      </c>
      <c r="G10" s="188">
        <v>46282.340601851851</v>
      </c>
      <c r="H10" s="188">
        <v>0</v>
      </c>
      <c r="I10" s="188">
        <v>46283.5705787037</v>
      </c>
      <c r="J10" s="188">
        <v>0</v>
      </c>
      <c r="K10" s="188">
        <v>46284.340763888889</v>
      </c>
      <c r="L10" s="188">
        <v>0</v>
      </c>
      <c r="M10" s="188">
        <v>46285.339120370372</v>
      </c>
      <c r="N10" s="188">
        <v>46285.984444444446</v>
      </c>
      <c r="O10" s="188">
        <v>46286.335717592592</v>
      </c>
      <c r="P10" s="188">
        <v>46286.979722222219</v>
      </c>
      <c r="Q10" s="188">
        <v>46287.344953703701</v>
      </c>
      <c r="R10" s="188">
        <v>0</v>
      </c>
      <c r="S10" s="188">
        <v>46288.333622685182</v>
      </c>
      <c r="T10" s="188">
        <v>0</v>
      </c>
      <c r="U10" s="188">
        <v>46289.337789351855</v>
      </c>
      <c r="V10" s="188">
        <v>0</v>
      </c>
      <c r="W10" s="188">
        <v>46290.006238425929</v>
      </c>
      <c r="X10" s="188">
        <v>46290.978229166663</v>
      </c>
      <c r="Y10" s="188">
        <v>46291.337951388887</v>
      </c>
      <c r="Z10" s="188">
        <v>0</v>
      </c>
      <c r="AA10" s="188">
        <v>46292.338784722226</v>
      </c>
      <c r="AB10" s="188">
        <v>0</v>
      </c>
      <c r="AC10" s="188">
        <v>46293.34</v>
      </c>
      <c r="AD10" s="195">
        <v>0</v>
      </c>
      <c r="AE10" s="195">
        <v>0.33888888888888885</v>
      </c>
      <c r="AF10" s="196">
        <v>1</v>
      </c>
      <c r="AG10" s="196">
        <v>1</v>
      </c>
      <c r="AH10" s="196">
        <v>1</v>
      </c>
      <c r="AI10" s="74"/>
      <c r="AJ10" s="74"/>
      <c r="AK10" s="74"/>
      <c r="AL10" s="178" t="s">
        <v>74</v>
      </c>
      <c r="AM10" s="179"/>
      <c r="AN10" s="179"/>
      <c r="AO10" s="20" t="s">
        <v>17</v>
      </c>
      <c r="AP10" s="19"/>
      <c r="AQ10" s="183" t="s">
        <v>75</v>
      </c>
      <c r="AR10" s="184"/>
      <c r="AS10" s="184"/>
      <c r="AT10" s="182"/>
      <c r="AU10" s="142" t="s">
        <v>23</v>
      </c>
      <c r="AV10" s="74"/>
      <c r="AW10" s="74"/>
    </row>
    <row r="11" spans="1:62" s="165" customFormat="1" ht="18.75" x14ac:dyDescent="0.3">
      <c r="A11" s="74"/>
      <c r="B11" s="19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178" t="s">
        <v>76</v>
      </c>
      <c r="AM11" s="179"/>
      <c r="AN11" s="179"/>
      <c r="AO11" s="20" t="s">
        <v>18</v>
      </c>
      <c r="AP11" s="19"/>
      <c r="AQ11" s="180" t="s">
        <v>77</v>
      </c>
      <c r="AR11" s="181"/>
      <c r="AS11" s="181"/>
      <c r="AT11" s="182"/>
      <c r="AU11" s="142" t="s">
        <v>24</v>
      </c>
      <c r="AV11" s="74"/>
      <c r="AW11" s="74"/>
    </row>
    <row r="12" spans="1:62" s="165" customFormat="1" ht="18.75" x14ac:dyDescent="0.3">
      <c r="A12" s="74"/>
      <c r="B12" s="19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178" t="s">
        <v>78</v>
      </c>
      <c r="AM12" s="179"/>
      <c r="AN12" s="179"/>
      <c r="AO12" s="20" t="s">
        <v>19</v>
      </c>
      <c r="AP12" s="19"/>
      <c r="AQ12" s="180" t="s">
        <v>79</v>
      </c>
      <c r="AR12" s="181"/>
      <c r="AS12" s="181"/>
      <c r="AT12" s="182"/>
      <c r="AU12" s="142" t="s">
        <v>25</v>
      </c>
      <c r="AV12" s="74"/>
      <c r="AW12" s="74"/>
    </row>
    <row r="13" spans="1:62" s="165" customFormat="1" ht="18.75" x14ac:dyDescent="0.3">
      <c r="A13" s="74"/>
      <c r="B13" s="19"/>
      <c r="C13" s="74"/>
      <c r="D13" s="74"/>
      <c r="E13" s="74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74"/>
      <c r="AH13" s="74"/>
      <c r="AI13" s="74"/>
      <c r="AJ13" s="74"/>
      <c r="AK13" s="74"/>
      <c r="AL13" s="178" t="s">
        <v>80</v>
      </c>
      <c r="AM13" s="179"/>
      <c r="AN13" s="179"/>
      <c r="AO13" s="20" t="s">
        <v>20</v>
      </c>
      <c r="AP13" s="19"/>
      <c r="AQ13" s="19"/>
      <c r="AR13" s="19"/>
      <c r="AS13" s="19"/>
      <c r="AT13" s="19"/>
      <c r="AU13" s="19"/>
      <c r="AV13" s="74"/>
      <c r="AW13" s="74"/>
    </row>
    <row r="14" spans="1:62" s="165" customFormat="1" ht="18.75" x14ac:dyDescent="0.3">
      <c r="A14" s="74"/>
      <c r="B14" s="19"/>
      <c r="C14" s="74"/>
      <c r="D14" s="74"/>
      <c r="E14" s="74"/>
      <c r="F14" s="198" t="s">
        <v>106</v>
      </c>
      <c r="G14" s="198"/>
      <c r="H14" s="198" t="s">
        <v>124</v>
      </c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7"/>
      <c r="AA14" s="197"/>
      <c r="AB14" s="197"/>
      <c r="AC14" s="197"/>
      <c r="AD14" s="199"/>
      <c r="AE14" s="199"/>
      <c r="AF14" s="199"/>
      <c r="AG14" s="21"/>
      <c r="AH14" s="21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</row>
    <row r="15" spans="1:62" s="165" customFormat="1" ht="18.75" x14ac:dyDescent="0.3">
      <c r="A15" s="74"/>
      <c r="B15" s="19"/>
      <c r="C15" s="74"/>
      <c r="D15" s="74"/>
      <c r="E15" s="74"/>
      <c r="F15" s="197"/>
      <c r="G15" s="197"/>
      <c r="H15" s="200" t="s">
        <v>125</v>
      </c>
      <c r="I15" s="200"/>
      <c r="J15" s="200"/>
      <c r="K15" s="200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201"/>
      <c r="W15" s="201"/>
      <c r="X15" s="202" t="s">
        <v>81</v>
      </c>
      <c r="Y15" s="203"/>
      <c r="Z15" s="197"/>
      <c r="AA15" s="197"/>
      <c r="AB15" s="197"/>
      <c r="AC15" s="197"/>
      <c r="AD15" s="201"/>
      <c r="AE15" s="204"/>
      <c r="AF15" s="204"/>
      <c r="AG15" s="27"/>
      <c r="AH15" s="27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</row>
    <row r="16" spans="1:62" s="165" customFormat="1" ht="18.75" x14ac:dyDescent="0.3">
      <c r="A16" s="74"/>
      <c r="B16" s="19"/>
      <c r="C16" s="74"/>
      <c r="D16" s="74"/>
      <c r="E16" s="74"/>
      <c r="F16" s="197"/>
      <c r="G16" s="197"/>
      <c r="H16" s="200"/>
      <c r="I16" s="200"/>
      <c r="J16" s="200"/>
      <c r="K16" s="200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201"/>
      <c r="W16" s="201"/>
      <c r="X16" s="202"/>
      <c r="Y16" s="203"/>
      <c r="Z16" s="197"/>
      <c r="AA16" s="197"/>
      <c r="AB16" s="197"/>
      <c r="AC16" s="197"/>
      <c r="AD16" s="201"/>
      <c r="AE16" s="204"/>
      <c r="AF16" s="204"/>
      <c r="AG16" s="27"/>
      <c r="AH16" s="27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</row>
    <row r="17" spans="1:49" s="165" customFormat="1" ht="18.75" x14ac:dyDescent="0.3">
      <c r="A17" s="74"/>
      <c r="B17" s="19"/>
      <c r="C17" s="74"/>
      <c r="D17" s="74"/>
      <c r="E17" s="74"/>
      <c r="F17" s="197"/>
      <c r="G17" s="197"/>
      <c r="H17" s="200"/>
      <c r="I17" s="200"/>
      <c r="J17" s="200"/>
      <c r="K17" s="200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201"/>
      <c r="W17" s="201"/>
      <c r="X17" s="202"/>
      <c r="Y17" s="203"/>
      <c r="Z17" s="197"/>
      <c r="AA17" s="197"/>
      <c r="AB17" s="197"/>
      <c r="AC17" s="197"/>
      <c r="AD17" s="201"/>
      <c r="AE17" s="204"/>
      <c r="AF17" s="204"/>
      <c r="AG17" s="27"/>
      <c r="AH17" s="27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</row>
    <row r="18" spans="1:49" s="165" customFormat="1" ht="18.75" x14ac:dyDescent="0.3">
      <c r="A18" s="74"/>
      <c r="B18" s="19"/>
      <c r="C18" s="74"/>
      <c r="D18" s="74"/>
      <c r="E18" s="74"/>
      <c r="F18" s="197"/>
      <c r="G18" s="197"/>
      <c r="H18" s="200"/>
      <c r="I18" s="200"/>
      <c r="J18" s="200"/>
      <c r="K18" s="200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201"/>
      <c r="W18" s="201"/>
      <c r="X18" s="202"/>
      <c r="Y18" s="203"/>
      <c r="Z18" s="197"/>
      <c r="AA18" s="197"/>
      <c r="AB18" s="197"/>
      <c r="AC18" s="197"/>
      <c r="AD18" s="201"/>
      <c r="AE18" s="204"/>
      <c r="AF18" s="204"/>
      <c r="AG18" s="27"/>
      <c r="AH18" s="27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</row>
    <row r="19" spans="1:49" s="165" customFormat="1" ht="18.75" x14ac:dyDescent="0.3">
      <c r="A19" s="74"/>
      <c r="B19" s="19"/>
      <c r="C19" s="74"/>
      <c r="D19" s="74"/>
      <c r="E19" s="74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</row>
    <row r="20" spans="1:49" s="165" customFormat="1" ht="18.75" x14ac:dyDescent="0.3">
      <c r="A20" s="74"/>
      <c r="B20" s="19"/>
      <c r="C20" s="74"/>
      <c r="D20" s="74"/>
      <c r="E20" s="74"/>
      <c r="F20" s="197"/>
      <c r="G20" s="197"/>
      <c r="H20" s="205" t="s">
        <v>62</v>
      </c>
      <c r="I20" s="205"/>
      <c r="J20" s="205"/>
      <c r="K20" s="205"/>
      <c r="L20" s="205"/>
      <c r="M20" s="205"/>
      <c r="N20" s="205"/>
      <c r="O20" s="205"/>
      <c r="P20" s="205"/>
      <c r="Q20" s="206"/>
      <c r="R20" s="207" t="s">
        <v>63</v>
      </c>
      <c r="S20" s="207"/>
      <c r="T20" s="205"/>
      <c r="U20" s="208"/>
      <c r="V20" s="205"/>
      <c r="W20" s="197"/>
      <c r="X20" s="197"/>
      <c r="Y20" s="197"/>
      <c r="Z20" s="197"/>
      <c r="AA20" s="197"/>
      <c r="AB20" s="197"/>
      <c r="AC20" s="199"/>
      <c r="AD20" s="207" t="s">
        <v>64</v>
      </c>
      <c r="AE20" s="199"/>
      <c r="AF20" s="197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</row>
    <row r="21" spans="1:49" s="165" customFormat="1" ht="18.75" x14ac:dyDescent="0.3">
      <c r="A21" s="74"/>
      <c r="B21" s="19"/>
      <c r="C21" s="74"/>
      <c r="D21" s="74"/>
      <c r="E21" s="74"/>
      <c r="F21" s="197"/>
      <c r="G21" s="209"/>
      <c r="H21" s="201"/>
      <c r="I21" s="201"/>
      <c r="J21" s="201"/>
      <c r="K21" s="201"/>
      <c r="L21" s="201"/>
      <c r="M21" s="201"/>
      <c r="N21" s="201"/>
      <c r="O21" s="201"/>
      <c r="P21" s="201"/>
      <c r="Q21" s="210"/>
      <c r="R21" s="210"/>
      <c r="S21" s="201"/>
      <c r="T21" s="201"/>
      <c r="U21" s="201"/>
      <c r="V21" s="201"/>
      <c r="W21" s="197"/>
      <c r="X21" s="197"/>
      <c r="Y21" s="197"/>
      <c r="Z21" s="197"/>
      <c r="AA21" s="197"/>
      <c r="AB21" s="197"/>
      <c r="AC21" s="204"/>
      <c r="AD21" s="211"/>
      <c r="AE21" s="211"/>
      <c r="AF21" s="197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</row>
    <row r="22" spans="1:49" s="165" customFormat="1" ht="18.75" x14ac:dyDescent="0.3">
      <c r="A22" s="74"/>
      <c r="B22" s="19"/>
      <c r="C22" s="74"/>
      <c r="D22" s="74"/>
      <c r="E22" s="74"/>
      <c r="F22" s="197"/>
      <c r="G22" s="209"/>
      <c r="H22" s="202"/>
      <c r="I22" s="202"/>
      <c r="J22" s="202"/>
      <c r="K22" s="202"/>
      <c r="L22" s="202"/>
      <c r="M22" s="202"/>
      <c r="N22" s="202"/>
      <c r="O22" s="202"/>
      <c r="P22" s="202"/>
      <c r="Q22" s="203"/>
      <c r="R22" s="210"/>
      <c r="S22" s="201"/>
      <c r="T22" s="202"/>
      <c r="U22" s="201"/>
      <c r="V22" s="202"/>
      <c r="W22" s="197"/>
      <c r="X22" s="197"/>
      <c r="Y22" s="197"/>
      <c r="Z22" s="197"/>
      <c r="AA22" s="197"/>
      <c r="AB22" s="197"/>
      <c r="AC22" s="201"/>
      <c r="AD22" s="212"/>
      <c r="AE22" s="212"/>
      <c r="AF22" s="197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</row>
    <row r="23" spans="1:49" s="165" customFormat="1" ht="18.75" x14ac:dyDescent="0.3">
      <c r="A23" s="74"/>
      <c r="B23" s="19"/>
      <c r="C23" s="74"/>
      <c r="D23" s="74"/>
      <c r="E23" s="74"/>
      <c r="F23" s="197"/>
      <c r="G23" s="200"/>
      <c r="H23" s="202"/>
      <c r="I23" s="202"/>
      <c r="J23" s="202"/>
      <c r="K23" s="202"/>
      <c r="L23" s="202"/>
      <c r="M23" s="202"/>
      <c r="N23" s="202"/>
      <c r="O23" s="202"/>
      <c r="P23" s="202"/>
      <c r="Q23" s="203"/>
      <c r="R23" s="210"/>
      <c r="S23" s="199"/>
      <c r="T23" s="202"/>
      <c r="U23" s="201"/>
      <c r="V23" s="202"/>
      <c r="W23" s="197"/>
      <c r="X23" s="197"/>
      <c r="Y23" s="197"/>
      <c r="Z23" s="197"/>
      <c r="AA23" s="197"/>
      <c r="AB23" s="197"/>
      <c r="AC23" s="201"/>
      <c r="AD23" s="212"/>
      <c r="AE23" s="212"/>
      <c r="AF23" s="197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</row>
    <row r="24" spans="1:49" s="165" customFormat="1" ht="18.75" x14ac:dyDescent="0.3">
      <c r="A24" s="74"/>
      <c r="B24" s="19"/>
      <c r="C24" s="74"/>
      <c r="D24" s="74"/>
      <c r="E24" s="74"/>
      <c r="F24" s="197"/>
      <c r="G24" s="241" t="s">
        <v>115</v>
      </c>
      <c r="H24" s="241"/>
      <c r="I24" s="241"/>
      <c r="J24" s="241"/>
      <c r="K24" s="213"/>
      <c r="L24" s="213"/>
      <c r="M24" s="213"/>
      <c r="N24" s="213"/>
      <c r="O24" s="213"/>
      <c r="P24" s="213"/>
      <c r="Q24" s="214"/>
      <c r="R24" s="215" t="s">
        <v>65</v>
      </c>
      <c r="S24" s="216"/>
      <c r="T24" s="213"/>
      <c r="U24" s="213"/>
      <c r="V24" s="213"/>
      <c r="W24" s="197"/>
      <c r="X24" s="197"/>
      <c r="Y24" s="197"/>
      <c r="Z24" s="197"/>
      <c r="AA24" s="197"/>
      <c r="AB24" s="197"/>
      <c r="AC24" s="216"/>
      <c r="AD24" s="215" t="s">
        <v>66</v>
      </c>
      <c r="AE24" s="217"/>
      <c r="AF24" s="197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</row>
    <row r="25" spans="1:49" s="165" customFormat="1" ht="18.75" x14ac:dyDescent="0.3">
      <c r="A25" s="74"/>
      <c r="B25" s="19"/>
      <c r="C25" s="74"/>
      <c r="D25" s="74"/>
      <c r="E25" s="74"/>
      <c r="F25" s="197"/>
      <c r="G25" s="213"/>
      <c r="H25" s="213" t="s">
        <v>67</v>
      </c>
      <c r="I25" s="213"/>
      <c r="J25" s="213"/>
      <c r="K25" s="213"/>
      <c r="L25" s="213"/>
      <c r="M25" s="213"/>
      <c r="N25" s="213"/>
      <c r="O25" s="213"/>
      <c r="P25" s="213"/>
      <c r="Q25" s="218"/>
      <c r="R25" s="215" t="s">
        <v>68</v>
      </c>
      <c r="S25" s="215"/>
      <c r="T25" s="213"/>
      <c r="U25" s="197"/>
      <c r="V25" s="197"/>
      <c r="W25" s="197"/>
      <c r="X25" s="197"/>
      <c r="Y25" s="197"/>
      <c r="Z25" s="197"/>
      <c r="AA25" s="197"/>
      <c r="AB25" s="197"/>
      <c r="AC25" s="216"/>
      <c r="AD25" s="215" t="s">
        <v>69</v>
      </c>
      <c r="AE25" s="217"/>
      <c r="AF25" s="197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</row>
    <row r="26" spans="1:49" ht="17.25" x14ac:dyDescent="0.3"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</row>
  </sheetData>
  <mergeCells count="67">
    <mergeCell ref="AG3:AH3"/>
    <mergeCell ref="W3:X3"/>
    <mergeCell ref="Y3:Z3"/>
    <mergeCell ref="AA3:AB3"/>
    <mergeCell ref="AC3:AD3"/>
    <mergeCell ref="AE3:AF3"/>
    <mergeCell ref="AZ2:BI2"/>
    <mergeCell ref="E3:F3"/>
    <mergeCell ref="E2:F2"/>
    <mergeCell ref="K2:L2"/>
    <mergeCell ref="M2:N2"/>
    <mergeCell ref="O2:P2"/>
    <mergeCell ref="Q2:R2"/>
    <mergeCell ref="G2:H2"/>
    <mergeCell ref="I2:J2"/>
    <mergeCell ref="G3:H3"/>
    <mergeCell ref="I3:J3"/>
    <mergeCell ref="K3:L3"/>
    <mergeCell ref="M3:N3"/>
    <mergeCell ref="O3:P3"/>
    <mergeCell ref="AA2:AB2"/>
    <mergeCell ref="AC2:AD2"/>
    <mergeCell ref="Y8:Z8"/>
    <mergeCell ref="AE8:AF8"/>
    <mergeCell ref="A1:AF1"/>
    <mergeCell ref="AI1:AW1"/>
    <mergeCell ref="A2:C3"/>
    <mergeCell ref="AI2:AI4"/>
    <mergeCell ref="AJ2:AJ4"/>
    <mergeCell ref="AE2:AF2"/>
    <mergeCell ref="AG2:AH2"/>
    <mergeCell ref="S2:T2"/>
    <mergeCell ref="U2:V2"/>
    <mergeCell ref="W2:X2"/>
    <mergeCell ref="Y2:Z2"/>
    <mergeCell ref="Q3:R3"/>
    <mergeCell ref="S3:T3"/>
    <mergeCell ref="U3:V3"/>
    <mergeCell ref="W8:X8"/>
    <mergeCell ref="U8:V8"/>
    <mergeCell ref="S8:T8"/>
    <mergeCell ref="Q8:R8"/>
    <mergeCell ref="O8:P8"/>
    <mergeCell ref="AG8:AH8"/>
    <mergeCell ref="AG7:AH7"/>
    <mergeCell ref="AE7:AF7"/>
    <mergeCell ref="AC7:AD7"/>
    <mergeCell ref="AA7:AB7"/>
    <mergeCell ref="AC8:AD8"/>
    <mergeCell ref="AA8:AB8"/>
    <mergeCell ref="Y7:Z7"/>
    <mergeCell ref="W7:X7"/>
    <mergeCell ref="U7:V7"/>
    <mergeCell ref="S7:T7"/>
    <mergeCell ref="Q7:R7"/>
    <mergeCell ref="E7:F7"/>
    <mergeCell ref="G24:J24"/>
    <mergeCell ref="O7:P7"/>
    <mergeCell ref="M7:N7"/>
    <mergeCell ref="K7:L7"/>
    <mergeCell ref="I7:J7"/>
    <mergeCell ref="G7:H7"/>
    <mergeCell ref="E8:F8"/>
    <mergeCell ref="M8:N8"/>
    <mergeCell ref="K8:L8"/>
    <mergeCell ref="I8:J8"/>
    <mergeCell ref="G8:H8"/>
  </mergeCells>
  <phoneticPr fontId="17" type="noConversion"/>
  <conditionalFormatting sqref="A2">
    <cfRule type="cellIs" dxfId="46" priority="45" stopIfTrue="1" operator="equal">
      <formula>";"</formula>
    </cfRule>
  </conditionalFormatting>
  <conditionalFormatting sqref="C5">
    <cfRule type="duplicateValues" dxfId="45" priority="1"/>
    <cfRule type="duplicateValues" dxfId="44" priority="2"/>
    <cfRule type="duplicateValues" dxfId="43" priority="3"/>
  </conditionalFormatting>
  <conditionalFormatting sqref="C12:C1048576 C1:C4">
    <cfRule type="duplicateValues" dxfId="42" priority="3558"/>
  </conditionalFormatting>
  <conditionalFormatting sqref="C12:C1048576">
    <cfRule type="duplicateValues" dxfId="41" priority="3561"/>
  </conditionalFormatting>
  <conditionalFormatting sqref="D5">
    <cfRule type="timePeriod" dxfId="40" priority="4" timePeriod="thisWeek">
      <formula>AND(TODAY()-ROUNDDOWN(D5,0)&lt;=WEEKDAY(TODAY())-1,ROUNDDOWN(D5,0)-TODAY()&lt;=7-WEEKDAY(TODAY()))</formula>
    </cfRule>
    <cfRule type="timePeriod" dxfId="39" priority="5" timePeriod="last7Days">
      <formula>AND(TODAY()-FLOOR(D5,1)&lt;=6,FLOOR(D5,1)&lt;=TODAY())</formula>
    </cfRule>
    <cfRule type="timePeriod" priority="6" timePeriod="nextWeek">
      <formula>AND(ROUNDDOWN(D5,0)-TODAY()&gt;(7-WEEKDAY(TODAY())),ROUNDDOWN(D5,0)-TODAY()&lt;(15-WEEKDAY(TODAY())))</formula>
    </cfRule>
    <cfRule type="timePeriod" dxfId="38" priority="7" timePeriod="nextWeek">
      <formula>AND(ROUNDDOWN(D5,0)-TODAY()&gt;(7-WEEKDAY(TODAY())),ROUNDDOWN(D5,0)-TODAY()&lt;(15-WEEKDAY(TODAY())))</formula>
    </cfRule>
  </conditionalFormatting>
  <conditionalFormatting sqref="AJ5">
    <cfRule type="cellIs" dxfId="37" priority="46" operator="equal">
      <formula>";"</formula>
    </cfRule>
  </conditionalFormatting>
  <conditionalFormatting sqref="AL4:AR4">
    <cfRule type="containsText" dxfId="36" priority="43" operator="containsText" text="SICK">
      <formula>NOT(ISERROR(SEARCH("SICK",AL4)))</formula>
    </cfRule>
    <cfRule type="containsText" dxfId="35" priority="44" operator="containsText" text="AL">
      <formula>NOT(ISERROR(SEARCH("AL",AL4)))</formula>
    </cfRule>
    <cfRule type="containsText" dxfId="34" priority="42" operator="containsText" text="AB">
      <formula>NOT(ISERROR(SEARCH("AB",AL4)))</formula>
    </cfRule>
    <cfRule type="containsText" dxfId="33" priority="36" operator="containsText" text="SP">
      <formula>NOT(ISERROR(SEARCH("SP",AL4)))</formula>
    </cfRule>
    <cfRule type="containsText" dxfId="32" priority="35" operator="containsText" text="EL">
      <formula>NOT(ISERROR(SEARCH("EL",AL4)))</formula>
    </cfRule>
    <cfRule type="containsText" dxfId="31" priority="37" operator="containsText" text="NL">
      <formula>NOT(ISERROR(SEARCH("NL",AL4)))</formula>
    </cfRule>
    <cfRule type="containsText" dxfId="30" priority="38" operator="containsText" text="MC">
      <formula>NOT(ISERROR(SEARCH("MC",AL4)))</formula>
    </cfRule>
    <cfRule type="containsText" dxfId="29" priority="39" operator="containsText" text="SUS">
      <formula>NOT(ISERROR(SEARCH("SUS",AL4)))</formula>
    </cfRule>
    <cfRule type="containsText" dxfId="28" priority="40" operator="containsText" text="FL">
      <formula>NOT(ISERROR(SEARCH("FL",AL4)))</formula>
    </cfRule>
    <cfRule type="containsText" dxfId="27" priority="41" operator="containsText" text="OFF">
      <formula>NOT(ISERROR(SEARCH("OFF",AL4)))</formula>
    </cfRule>
  </conditionalFormatting>
  <conditionalFormatting sqref="AT4">
    <cfRule type="containsText" dxfId="26" priority="31" operator="containsText" text="OFF">
      <formula>NOT(ISERROR(SEARCH("OFF",AT4)))</formula>
    </cfRule>
    <cfRule type="containsText" dxfId="25" priority="27" operator="containsText" text="NL">
      <formula>NOT(ISERROR(SEARCH("NL",AT4)))</formula>
    </cfRule>
    <cfRule type="containsText" dxfId="24" priority="28" operator="containsText" text="MC">
      <formula>NOT(ISERROR(SEARCH("MC",AT4)))</formula>
    </cfRule>
    <cfRule type="containsText" dxfId="23" priority="29" operator="containsText" text="SUS">
      <formula>NOT(ISERROR(SEARCH("SUS",AT4)))</formula>
    </cfRule>
    <cfRule type="containsText" dxfId="22" priority="30" operator="containsText" text="FL">
      <formula>NOT(ISERROR(SEARCH("FL",AT4)))</formula>
    </cfRule>
    <cfRule type="containsText" dxfId="21" priority="32" operator="containsText" text="AB">
      <formula>NOT(ISERROR(SEARCH("AB",AT4)))</formula>
    </cfRule>
    <cfRule type="containsText" dxfId="20" priority="33" operator="containsText" text="SICK">
      <formula>NOT(ISERROR(SEARCH("SICK",AT4)))</formula>
    </cfRule>
    <cfRule type="containsText" dxfId="19" priority="34" operator="containsText" text="AL">
      <formula>NOT(ISERROR(SEARCH("AL",AT4)))</formula>
    </cfRule>
  </conditionalFormatting>
  <conditionalFormatting sqref="AT4:AU4">
    <cfRule type="containsText" dxfId="18" priority="18" operator="containsText" text="SP">
      <formula>NOT(ISERROR(SEARCH("SP",AT4)))</formula>
    </cfRule>
  </conditionalFormatting>
  <conditionalFormatting sqref="AT4:AV4">
    <cfRule type="containsText" dxfId="17" priority="8" operator="containsText" text="EL">
      <formula>NOT(ISERROR(SEARCH("EL",AT4)))</formula>
    </cfRule>
  </conditionalFormatting>
  <conditionalFormatting sqref="AU4">
    <cfRule type="containsText" dxfId="16" priority="20" operator="containsText" text="MC">
      <formula>NOT(ISERROR(SEARCH("MC",AU4)))</formula>
    </cfRule>
    <cfRule type="containsText" dxfId="15" priority="26" operator="containsText" text="AL">
      <formula>NOT(ISERROR(SEARCH("AL",AU4)))</formula>
    </cfRule>
    <cfRule type="containsText" dxfId="14" priority="24" operator="containsText" text="AB">
      <formula>NOT(ISERROR(SEARCH("AB",AU4)))</formula>
    </cfRule>
    <cfRule type="containsText" dxfId="13" priority="25" operator="containsText" text="SICK">
      <formula>NOT(ISERROR(SEARCH("SICK",AU4)))</formula>
    </cfRule>
    <cfRule type="containsText" dxfId="12" priority="19" operator="containsText" text="NL">
      <formula>NOT(ISERROR(SEARCH("NL",AU4)))</formula>
    </cfRule>
    <cfRule type="containsText" dxfId="11" priority="23" operator="containsText" text="OFF">
      <formula>NOT(ISERROR(SEARCH("OFF",AU4)))</formula>
    </cfRule>
    <cfRule type="containsText" dxfId="10" priority="22" operator="containsText" text="FL">
      <formula>NOT(ISERROR(SEARCH("FL",AU4)))</formula>
    </cfRule>
    <cfRule type="containsText" dxfId="9" priority="21" operator="containsText" text="SUS">
      <formula>NOT(ISERROR(SEARCH("SUS",AU4)))</formula>
    </cfRule>
  </conditionalFormatting>
  <conditionalFormatting sqref="AV4">
    <cfRule type="containsText" dxfId="8" priority="9" operator="containsText" text="SP">
      <formula>NOT(ISERROR(SEARCH("SP",AV4)))</formula>
    </cfRule>
    <cfRule type="containsText" dxfId="7" priority="10" operator="containsText" text="NL">
      <formula>NOT(ISERROR(SEARCH("NL",AV4)))</formula>
    </cfRule>
    <cfRule type="containsText" dxfId="6" priority="11" operator="containsText" text="MC">
      <formula>NOT(ISERROR(SEARCH("MC",AV4)))</formula>
    </cfRule>
    <cfRule type="containsText" dxfId="5" priority="12" operator="containsText" text="SUS">
      <formula>NOT(ISERROR(SEARCH("SUS",AV4)))</formula>
    </cfRule>
    <cfRule type="containsText" dxfId="4" priority="13" operator="containsText" text="FL">
      <formula>NOT(ISERROR(SEARCH("FL",AV4)))</formula>
    </cfRule>
    <cfRule type="containsText" dxfId="3" priority="14" operator="containsText" text="OFF">
      <formula>NOT(ISERROR(SEARCH("OFF",AV4)))</formula>
    </cfRule>
    <cfRule type="containsText" dxfId="2" priority="15" operator="containsText" text="AB">
      <formula>NOT(ISERROR(SEARCH("AB",AV4)))</formula>
    </cfRule>
    <cfRule type="containsText" dxfId="1" priority="16" operator="containsText" text="SICK">
      <formula>NOT(ISERROR(SEARCH("SICK",AV4)))</formula>
    </cfRule>
    <cfRule type="containsText" dxfId="0" priority="17" operator="containsText" text="AL">
      <formula>NOT(ISERROR(SEARCH("AL",AV4)))</formula>
    </cfRule>
  </conditionalFormatting>
  <pageMargins left="0.7" right="0.7" top="0.75" bottom="0.75" header="0.3" footer="0.3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James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2026-10-05T08:06:20Z</cp:lastPrinted>
  <dcterms:created xsi:type="dcterms:W3CDTF">2025-11-05T07:56:06Z</dcterms:created>
  <dcterms:modified xsi:type="dcterms:W3CDTF">2026-10-30T10:01:02Z</dcterms:modified>
</cp:coreProperties>
</file>